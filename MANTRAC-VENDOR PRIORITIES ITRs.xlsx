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bes\Desktop\ITR\AS PER MANTRAC\"/>
    </mc:Choice>
  </mc:AlternateContent>
  <xr:revisionPtr revIDLastSave="0" documentId="13_ncr:1_{A46A5647-F82D-40B0-B52E-A7C65F34F9E2}" xr6:coauthVersionLast="47" xr6:coauthVersionMax="47" xr10:uidLastSave="{00000000-0000-0000-0000-000000000000}"/>
  <bookViews>
    <workbookView xWindow="-108" yWindow="-108" windowWidth="23256" windowHeight="12456" tabRatio="614" xr2:uid="{00000000-000D-0000-FFFF-FFFF00000000}"/>
  </bookViews>
  <sheets>
    <sheet name="CHECKSHEET" sheetId="43" r:id="rId1"/>
    <sheet name="ITR SUMMARY" sheetId="2" r:id="rId2"/>
    <sheet name="DETAILED ITR LIST" sheetId="19" r:id="rId3"/>
    <sheet name="PRELIMINARY -MILESTONES" sheetId="41" r:id="rId4"/>
    <sheet name="MILESTONE &amp; DIS." sheetId="5" r:id="rId5"/>
    <sheet name="1ST PRIORITY MANTRAC" sheetId="50" r:id="rId6"/>
    <sheet name="SUMMERY" sheetId="49" r:id="rId7"/>
  </sheets>
  <definedNames>
    <definedName name="_xlnm._FilterDatabase" localSheetId="5" hidden="1">'1ST PRIORITY MANTRAC'!$A$1:$AF$1664</definedName>
    <definedName name="_xlnm._FilterDatabase" localSheetId="2" hidden="1">'DETAILED ITR LIST'!$A$1:$AE$4145</definedName>
    <definedName name="_xlnm._FilterDatabase" localSheetId="4" hidden="1">'MILESTONE &amp; DIS.'!$R$8:$S$8</definedName>
    <definedName name="_xlnm._FilterDatabase" localSheetId="3" hidden="1">'PRELIMINARY -MILESTONES'!$A$1:$E$73</definedName>
    <definedName name="_xlnm._FilterDatabase" localSheetId="6" hidden="1">SUMMERY!$AA$1:$AC$1664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49" l="1"/>
  <c r="J12" i="49"/>
  <c r="M11" i="49"/>
  <c r="L11" i="49"/>
  <c r="M10" i="49"/>
  <c r="L10" i="49"/>
  <c r="M9" i="49"/>
  <c r="M12" i="49" s="1"/>
  <c r="L9" i="49"/>
  <c r="K7" i="49"/>
  <c r="J7" i="49"/>
  <c r="M6" i="49"/>
  <c r="L6" i="49"/>
  <c r="M5" i="49"/>
  <c r="L5" i="49"/>
  <c r="AE2" i="50"/>
  <c r="AF2" i="50"/>
  <c r="AE3" i="50"/>
  <c r="AF3" i="50"/>
  <c r="AE4" i="50"/>
  <c r="AF4" i="50"/>
  <c r="AE5" i="50"/>
  <c r="AF5" i="50"/>
  <c r="AE6" i="50"/>
  <c r="AF6" i="50"/>
  <c r="AE7" i="50"/>
  <c r="AF7" i="50"/>
  <c r="AE8" i="50"/>
  <c r="AF8" i="50"/>
  <c r="AE9" i="50"/>
  <c r="AF9" i="50"/>
  <c r="AE10" i="50"/>
  <c r="AF10" i="50"/>
  <c r="AE11" i="50"/>
  <c r="AF11" i="50"/>
  <c r="AE12" i="50"/>
  <c r="AF12" i="50"/>
  <c r="AE13" i="50"/>
  <c r="AF13" i="50"/>
  <c r="AE14" i="50"/>
  <c r="AF14" i="50"/>
  <c r="AE15" i="50"/>
  <c r="AF15" i="50"/>
  <c r="AE16" i="50"/>
  <c r="AF16" i="50"/>
  <c r="AE17" i="50"/>
  <c r="AF17" i="50"/>
  <c r="AE18" i="50"/>
  <c r="AF18" i="50"/>
  <c r="AE19" i="50"/>
  <c r="AF19" i="50"/>
  <c r="AE20" i="50"/>
  <c r="AF20" i="50"/>
  <c r="AE21" i="50"/>
  <c r="AF21" i="50"/>
  <c r="AE22" i="50"/>
  <c r="AF22" i="50"/>
  <c r="AE23" i="50"/>
  <c r="AF23" i="50"/>
  <c r="AE24" i="50"/>
  <c r="AF24" i="50"/>
  <c r="AE25" i="50"/>
  <c r="AF25" i="50"/>
  <c r="AE26" i="50"/>
  <c r="AF26" i="50"/>
  <c r="AE27" i="50"/>
  <c r="AF27" i="50"/>
  <c r="AE28" i="50"/>
  <c r="AF28" i="50"/>
  <c r="AE29" i="50"/>
  <c r="AF29" i="50"/>
  <c r="AE30" i="50"/>
  <c r="AF30" i="50"/>
  <c r="AE31" i="50"/>
  <c r="AF31" i="50"/>
  <c r="AE32" i="50"/>
  <c r="AF32" i="50"/>
  <c r="AE33" i="50"/>
  <c r="AF33" i="50"/>
  <c r="AE34" i="50"/>
  <c r="AF34" i="50"/>
  <c r="AE35" i="50"/>
  <c r="AF35" i="50"/>
  <c r="AE36" i="50"/>
  <c r="AF36" i="50"/>
  <c r="AE37" i="50"/>
  <c r="AF37" i="50"/>
  <c r="AE38" i="50"/>
  <c r="AF38" i="50"/>
  <c r="AE39" i="50"/>
  <c r="AF39" i="50"/>
  <c r="AE40" i="50"/>
  <c r="AF40" i="50"/>
  <c r="AE41" i="50"/>
  <c r="AF41" i="50"/>
  <c r="AE42" i="50"/>
  <c r="AF42" i="50"/>
  <c r="AE43" i="50"/>
  <c r="AF43" i="50"/>
  <c r="AE44" i="50"/>
  <c r="AF44" i="50"/>
  <c r="AE45" i="50"/>
  <c r="AF45" i="50"/>
  <c r="AE46" i="50"/>
  <c r="AF46" i="50"/>
  <c r="AE47" i="50"/>
  <c r="AF47" i="50"/>
  <c r="AE48" i="50"/>
  <c r="AF48" i="50"/>
  <c r="AE49" i="50"/>
  <c r="AF49" i="50"/>
  <c r="AE50" i="50"/>
  <c r="AF50" i="50"/>
  <c r="AE51" i="50"/>
  <c r="AF51" i="50"/>
  <c r="AE52" i="50"/>
  <c r="AF52" i="50"/>
  <c r="AE53" i="50"/>
  <c r="AF53" i="50"/>
  <c r="AE54" i="50"/>
  <c r="AF54" i="50"/>
  <c r="AE55" i="50"/>
  <c r="AF55" i="50"/>
  <c r="AE56" i="50"/>
  <c r="AF56" i="50"/>
  <c r="AE57" i="50"/>
  <c r="AF57" i="50"/>
  <c r="AE58" i="50"/>
  <c r="AF58" i="50"/>
  <c r="AE59" i="50"/>
  <c r="AF59" i="50"/>
  <c r="AE60" i="50"/>
  <c r="AF60" i="50"/>
  <c r="AE61" i="50"/>
  <c r="AF61" i="50"/>
  <c r="AE62" i="50"/>
  <c r="AF62" i="50"/>
  <c r="AE63" i="50"/>
  <c r="AF63" i="50"/>
  <c r="AE64" i="50"/>
  <c r="AF64" i="50"/>
  <c r="AE65" i="50"/>
  <c r="AF65" i="50"/>
  <c r="AE66" i="50"/>
  <c r="AF66" i="50"/>
  <c r="AE67" i="50"/>
  <c r="AF67" i="50"/>
  <c r="AE68" i="50"/>
  <c r="AF68" i="50"/>
  <c r="AE69" i="50"/>
  <c r="AF69" i="50"/>
  <c r="AE70" i="50"/>
  <c r="AF70" i="50"/>
  <c r="AE71" i="50"/>
  <c r="AF71" i="50"/>
  <c r="AE72" i="50"/>
  <c r="AF72" i="50"/>
  <c r="AE73" i="50"/>
  <c r="AF73" i="50"/>
  <c r="AE74" i="50"/>
  <c r="AF74" i="50"/>
  <c r="AE75" i="50"/>
  <c r="AF75" i="50"/>
  <c r="AE76" i="50"/>
  <c r="AF76" i="50"/>
  <c r="AE77" i="50"/>
  <c r="AF77" i="50"/>
  <c r="AE78" i="50"/>
  <c r="AF78" i="50"/>
  <c r="AE79" i="50"/>
  <c r="AF79" i="50"/>
  <c r="AE80" i="50"/>
  <c r="AF80" i="50"/>
  <c r="AE81" i="50"/>
  <c r="AF81" i="50"/>
  <c r="AE82" i="50"/>
  <c r="AF82" i="50"/>
  <c r="AE83" i="50"/>
  <c r="AF83" i="50"/>
  <c r="AE84" i="50"/>
  <c r="AF84" i="50"/>
  <c r="AE85" i="50"/>
  <c r="AF85" i="50"/>
  <c r="AE86" i="50"/>
  <c r="AF86" i="50"/>
  <c r="AE87" i="50"/>
  <c r="AF87" i="50"/>
  <c r="AE88" i="50"/>
  <c r="AF88" i="50"/>
  <c r="AE89" i="50"/>
  <c r="AF89" i="50"/>
  <c r="AE90" i="50"/>
  <c r="AF90" i="50"/>
  <c r="AE91" i="50"/>
  <c r="AF91" i="50"/>
  <c r="AE92" i="50"/>
  <c r="AF92" i="50"/>
  <c r="AE93" i="50"/>
  <c r="AF93" i="50"/>
  <c r="AE94" i="50"/>
  <c r="AF94" i="50"/>
  <c r="AE95" i="50"/>
  <c r="AF95" i="50"/>
  <c r="AE96" i="50"/>
  <c r="AF96" i="50"/>
  <c r="AE97" i="50"/>
  <c r="AF97" i="50"/>
  <c r="AE98" i="50"/>
  <c r="AF98" i="50"/>
  <c r="AE99" i="50"/>
  <c r="AF99" i="50"/>
  <c r="AE100" i="50"/>
  <c r="AF100" i="50"/>
  <c r="AE101" i="50"/>
  <c r="AF101" i="50"/>
  <c r="AE102" i="50"/>
  <c r="AF102" i="50"/>
  <c r="AE103" i="50"/>
  <c r="AF103" i="50"/>
  <c r="AE104" i="50"/>
  <c r="AF104" i="50"/>
  <c r="AE105" i="50"/>
  <c r="AF105" i="50"/>
  <c r="AE106" i="50"/>
  <c r="AF106" i="50"/>
  <c r="AE107" i="50"/>
  <c r="AF107" i="50"/>
  <c r="AE108" i="50"/>
  <c r="AF108" i="50"/>
  <c r="AE109" i="50"/>
  <c r="AF109" i="50"/>
  <c r="AE110" i="50"/>
  <c r="AF110" i="50"/>
  <c r="AE111" i="50"/>
  <c r="AF111" i="50"/>
  <c r="AE112" i="50"/>
  <c r="AF112" i="50"/>
  <c r="AE113" i="50"/>
  <c r="AF113" i="50"/>
  <c r="AE114" i="50"/>
  <c r="AF114" i="50"/>
  <c r="AE115" i="50"/>
  <c r="AF115" i="50"/>
  <c r="AE116" i="50"/>
  <c r="AF116" i="50"/>
  <c r="AE117" i="50"/>
  <c r="AF117" i="50"/>
  <c r="AE118" i="50"/>
  <c r="AF118" i="50"/>
  <c r="AE119" i="50"/>
  <c r="AF119" i="50"/>
  <c r="AE120" i="50"/>
  <c r="AF120" i="50"/>
  <c r="AE121" i="50"/>
  <c r="AF121" i="50"/>
  <c r="AE122" i="50"/>
  <c r="AF122" i="50"/>
  <c r="AE123" i="50"/>
  <c r="AF123" i="50"/>
  <c r="AE124" i="50"/>
  <c r="AF124" i="50"/>
  <c r="AE125" i="50"/>
  <c r="AF125" i="50"/>
  <c r="AE126" i="50"/>
  <c r="AF126" i="50"/>
  <c r="AE127" i="50"/>
  <c r="AF127" i="50"/>
  <c r="AE128" i="50"/>
  <c r="AF128" i="50"/>
  <c r="AE129" i="50"/>
  <c r="AF129" i="50"/>
  <c r="AE130" i="50"/>
  <c r="AF130" i="50"/>
  <c r="AE131" i="50"/>
  <c r="AF131" i="50"/>
  <c r="AE132" i="50"/>
  <c r="AF132" i="50"/>
  <c r="AE133" i="50"/>
  <c r="AF133" i="50"/>
  <c r="AE134" i="50"/>
  <c r="AF134" i="50"/>
  <c r="AE135" i="50"/>
  <c r="AF135" i="50"/>
  <c r="AE136" i="50"/>
  <c r="AF136" i="50"/>
  <c r="AE137" i="50"/>
  <c r="AF137" i="50"/>
  <c r="AE138" i="50"/>
  <c r="AF138" i="50"/>
  <c r="AE139" i="50"/>
  <c r="AF139" i="50"/>
  <c r="AE140" i="50"/>
  <c r="AF140" i="50"/>
  <c r="AE141" i="50"/>
  <c r="AF141" i="50"/>
  <c r="AE142" i="50"/>
  <c r="AF142" i="50"/>
  <c r="AE143" i="50"/>
  <c r="AF143" i="50"/>
  <c r="AE144" i="50"/>
  <c r="AF144" i="50"/>
  <c r="AE145" i="50"/>
  <c r="AF145" i="50"/>
  <c r="AE146" i="50"/>
  <c r="AF146" i="50"/>
  <c r="AE147" i="50"/>
  <c r="AF147" i="50"/>
  <c r="AE148" i="50"/>
  <c r="AF148" i="50"/>
  <c r="AE149" i="50"/>
  <c r="AF149" i="50"/>
  <c r="AE150" i="50"/>
  <c r="AF150" i="50"/>
  <c r="AE151" i="50"/>
  <c r="AF151" i="50"/>
  <c r="AE152" i="50"/>
  <c r="AF152" i="50"/>
  <c r="AE153" i="50"/>
  <c r="AF153" i="50"/>
  <c r="AE154" i="50"/>
  <c r="AF154" i="50"/>
  <c r="AE155" i="50"/>
  <c r="AF155" i="50"/>
  <c r="AE156" i="50"/>
  <c r="AF156" i="50"/>
  <c r="AE157" i="50"/>
  <c r="AF157" i="50"/>
  <c r="AE158" i="50"/>
  <c r="AF158" i="50"/>
  <c r="AE159" i="50"/>
  <c r="AF159" i="50"/>
  <c r="AE160" i="50"/>
  <c r="AF160" i="50"/>
  <c r="AE161" i="50"/>
  <c r="AF161" i="50"/>
  <c r="AE162" i="50"/>
  <c r="AF162" i="50"/>
  <c r="AE163" i="50"/>
  <c r="AF163" i="50"/>
  <c r="AE164" i="50"/>
  <c r="AF164" i="50"/>
  <c r="AE165" i="50"/>
  <c r="AF165" i="50"/>
  <c r="AE166" i="50"/>
  <c r="AF166" i="50"/>
  <c r="AE167" i="50"/>
  <c r="AF167" i="50"/>
  <c r="AE168" i="50"/>
  <c r="AF168" i="50"/>
  <c r="AE169" i="50"/>
  <c r="AF169" i="50"/>
  <c r="AE170" i="50"/>
  <c r="AF170" i="50"/>
  <c r="AE171" i="50"/>
  <c r="AF171" i="50"/>
  <c r="AE172" i="50"/>
  <c r="AF172" i="50"/>
  <c r="AE173" i="50"/>
  <c r="AF173" i="50"/>
  <c r="AE174" i="50"/>
  <c r="AF174" i="50"/>
  <c r="AE175" i="50"/>
  <c r="AF175" i="50"/>
  <c r="AE176" i="50"/>
  <c r="AF176" i="50"/>
  <c r="AE177" i="50"/>
  <c r="AF177" i="50"/>
  <c r="AE178" i="50"/>
  <c r="AF178" i="50"/>
  <c r="AE179" i="50"/>
  <c r="AF179" i="50"/>
  <c r="AE180" i="50"/>
  <c r="AF180" i="50"/>
  <c r="AE181" i="50"/>
  <c r="AF181" i="50"/>
  <c r="AE182" i="50"/>
  <c r="AF182" i="50"/>
  <c r="AE183" i="50"/>
  <c r="AF183" i="50"/>
  <c r="AE184" i="50"/>
  <c r="AF184" i="50"/>
  <c r="AE185" i="50"/>
  <c r="AF185" i="50"/>
  <c r="AE186" i="50"/>
  <c r="AF186" i="50"/>
  <c r="AE187" i="50"/>
  <c r="AF187" i="50"/>
  <c r="AE188" i="50"/>
  <c r="AF188" i="50"/>
  <c r="AE189" i="50"/>
  <c r="AF189" i="50"/>
  <c r="AE190" i="50"/>
  <c r="AF190" i="50"/>
  <c r="AE191" i="50"/>
  <c r="AF191" i="50"/>
  <c r="AE192" i="50"/>
  <c r="AF192" i="50"/>
  <c r="AE193" i="50"/>
  <c r="AF193" i="50"/>
  <c r="AE194" i="50"/>
  <c r="AF194" i="50"/>
  <c r="AE195" i="50"/>
  <c r="AF195" i="50"/>
  <c r="AE196" i="50"/>
  <c r="AF196" i="50"/>
  <c r="AE197" i="50"/>
  <c r="AF197" i="50"/>
  <c r="AE198" i="50"/>
  <c r="AF198" i="50"/>
  <c r="AE199" i="50"/>
  <c r="AF199" i="50"/>
  <c r="AE200" i="50"/>
  <c r="AF200" i="50"/>
  <c r="AE201" i="50"/>
  <c r="AF201" i="50"/>
  <c r="AE202" i="50"/>
  <c r="AF202" i="50"/>
  <c r="AE203" i="50"/>
  <c r="AF203" i="50"/>
  <c r="AE204" i="50"/>
  <c r="AF204" i="50"/>
  <c r="AE205" i="50"/>
  <c r="AF205" i="50"/>
  <c r="AE206" i="50"/>
  <c r="AF206" i="50"/>
  <c r="AE207" i="50"/>
  <c r="AF207" i="50"/>
  <c r="AE208" i="50"/>
  <c r="AF208" i="50"/>
  <c r="AE209" i="50"/>
  <c r="AF209" i="50"/>
  <c r="AE210" i="50"/>
  <c r="AF210" i="50"/>
  <c r="AE211" i="50"/>
  <c r="AF211" i="50"/>
  <c r="AE212" i="50"/>
  <c r="AF212" i="50"/>
  <c r="AE213" i="50"/>
  <c r="AF213" i="50"/>
  <c r="AE214" i="50"/>
  <c r="AF214" i="50"/>
  <c r="AE215" i="50"/>
  <c r="AF215" i="50"/>
  <c r="AE216" i="50"/>
  <c r="AF216" i="50"/>
  <c r="AE217" i="50"/>
  <c r="AF217" i="50"/>
  <c r="AE218" i="50"/>
  <c r="AF218" i="50"/>
  <c r="AE219" i="50"/>
  <c r="AF219" i="50"/>
  <c r="AE220" i="50"/>
  <c r="AF220" i="50"/>
  <c r="AE221" i="50"/>
  <c r="AF221" i="50"/>
  <c r="AE222" i="50"/>
  <c r="AF222" i="50"/>
  <c r="AE223" i="50"/>
  <c r="AF223" i="50"/>
  <c r="AE224" i="50"/>
  <c r="AF224" i="50"/>
  <c r="AE225" i="50"/>
  <c r="AF225" i="50"/>
  <c r="AE226" i="50"/>
  <c r="AF226" i="50"/>
  <c r="AE227" i="50"/>
  <c r="AF227" i="50"/>
  <c r="AE228" i="50"/>
  <c r="AF228" i="50"/>
  <c r="AE229" i="50"/>
  <c r="AF229" i="50"/>
  <c r="AE230" i="50"/>
  <c r="AF230" i="50"/>
  <c r="AE231" i="50"/>
  <c r="AF231" i="50"/>
  <c r="AE232" i="50"/>
  <c r="AF232" i="50"/>
  <c r="AE233" i="50"/>
  <c r="AF233" i="50"/>
  <c r="AE234" i="50"/>
  <c r="AF234" i="50"/>
  <c r="AE235" i="50"/>
  <c r="AF235" i="50"/>
  <c r="AE236" i="50"/>
  <c r="AF236" i="50"/>
  <c r="AE237" i="50"/>
  <c r="AF237" i="50"/>
  <c r="AE238" i="50"/>
  <c r="AF238" i="50"/>
  <c r="AE239" i="50"/>
  <c r="AF239" i="50"/>
  <c r="AE240" i="50"/>
  <c r="AF240" i="50"/>
  <c r="AE241" i="50"/>
  <c r="AF241" i="50"/>
  <c r="AE242" i="50"/>
  <c r="AF242" i="50"/>
  <c r="AE243" i="50"/>
  <c r="AF243" i="50"/>
  <c r="AE244" i="50"/>
  <c r="AF244" i="50"/>
  <c r="AE245" i="50"/>
  <c r="AF245" i="50"/>
  <c r="AE246" i="50"/>
  <c r="AF246" i="50"/>
  <c r="AE247" i="50"/>
  <c r="AF247" i="50"/>
  <c r="AE248" i="50"/>
  <c r="AF248" i="50"/>
  <c r="AE249" i="50"/>
  <c r="AF249" i="50"/>
  <c r="AE250" i="50"/>
  <c r="AF250" i="50"/>
  <c r="AE251" i="50"/>
  <c r="AF251" i="50"/>
  <c r="AE252" i="50"/>
  <c r="AF252" i="50"/>
  <c r="AE253" i="50"/>
  <c r="AF253" i="50"/>
  <c r="AE254" i="50"/>
  <c r="AF254" i="50"/>
  <c r="AE255" i="50"/>
  <c r="AF255" i="50"/>
  <c r="AE256" i="50"/>
  <c r="AF256" i="50"/>
  <c r="AE257" i="50"/>
  <c r="AF257" i="50"/>
  <c r="AE258" i="50"/>
  <c r="AF258" i="50"/>
  <c r="AE259" i="50"/>
  <c r="AF259" i="50"/>
  <c r="AE260" i="50"/>
  <c r="AF260" i="50"/>
  <c r="AE261" i="50"/>
  <c r="AF261" i="50"/>
  <c r="AE262" i="50"/>
  <c r="AF262" i="50"/>
  <c r="AE263" i="50"/>
  <c r="AF263" i="50"/>
  <c r="AE264" i="50"/>
  <c r="AF264" i="50"/>
  <c r="AE265" i="50"/>
  <c r="AF265" i="50"/>
  <c r="AE266" i="50"/>
  <c r="AF266" i="50"/>
  <c r="AE267" i="50"/>
  <c r="AF267" i="50"/>
  <c r="AE268" i="50"/>
  <c r="AF268" i="50"/>
  <c r="AE269" i="50"/>
  <c r="AF269" i="50"/>
  <c r="AE270" i="50"/>
  <c r="AF270" i="50"/>
  <c r="AE271" i="50"/>
  <c r="AF271" i="50"/>
  <c r="AE272" i="50"/>
  <c r="AF272" i="50"/>
  <c r="AE273" i="50"/>
  <c r="AF273" i="50"/>
  <c r="AE274" i="50"/>
  <c r="AF274" i="50"/>
  <c r="AE275" i="50"/>
  <c r="AF275" i="50"/>
  <c r="AE276" i="50"/>
  <c r="AF276" i="50"/>
  <c r="AE277" i="50"/>
  <c r="AF277" i="50"/>
  <c r="AE278" i="50"/>
  <c r="AF278" i="50"/>
  <c r="AE279" i="50"/>
  <c r="AF279" i="50"/>
  <c r="AE280" i="50"/>
  <c r="AF280" i="50"/>
  <c r="AE281" i="50"/>
  <c r="AF281" i="50"/>
  <c r="AE282" i="50"/>
  <c r="AF282" i="50"/>
  <c r="AE283" i="50"/>
  <c r="AF283" i="50"/>
  <c r="AE284" i="50"/>
  <c r="AF284" i="50"/>
  <c r="AE285" i="50"/>
  <c r="AF285" i="50"/>
  <c r="AE286" i="50"/>
  <c r="AF286" i="50"/>
  <c r="AE287" i="50"/>
  <c r="AF287" i="50"/>
  <c r="AE288" i="50"/>
  <c r="AF288" i="50"/>
  <c r="AE289" i="50"/>
  <c r="AF289" i="50"/>
  <c r="AE290" i="50"/>
  <c r="AF290" i="50"/>
  <c r="AE291" i="50"/>
  <c r="AF291" i="50"/>
  <c r="AE292" i="50"/>
  <c r="AF292" i="50"/>
  <c r="AE293" i="50"/>
  <c r="AF293" i="50"/>
  <c r="AE294" i="50"/>
  <c r="AF294" i="50"/>
  <c r="AE295" i="50"/>
  <c r="AF295" i="50"/>
  <c r="AE296" i="50"/>
  <c r="AF296" i="50"/>
  <c r="AE297" i="50"/>
  <c r="AF297" i="50"/>
  <c r="AE298" i="50"/>
  <c r="AF298" i="50"/>
  <c r="AE299" i="50"/>
  <c r="AF299" i="50"/>
  <c r="AE300" i="50"/>
  <c r="AF300" i="50"/>
  <c r="AE301" i="50"/>
  <c r="AF301" i="50"/>
  <c r="AE302" i="50"/>
  <c r="AF302" i="50"/>
  <c r="AE303" i="50"/>
  <c r="AF303" i="50"/>
  <c r="AE304" i="50"/>
  <c r="AF304" i="50"/>
  <c r="AE305" i="50"/>
  <c r="AF305" i="50"/>
  <c r="AE306" i="50"/>
  <c r="AF306" i="50"/>
  <c r="AE307" i="50"/>
  <c r="AF307" i="50"/>
  <c r="AE308" i="50"/>
  <c r="AF308" i="50"/>
  <c r="AE309" i="50"/>
  <c r="AF309" i="50"/>
  <c r="AE310" i="50"/>
  <c r="AF310" i="50"/>
  <c r="AE311" i="50"/>
  <c r="AF311" i="50"/>
  <c r="AE312" i="50"/>
  <c r="AF312" i="50"/>
  <c r="AE313" i="50"/>
  <c r="AF313" i="50"/>
  <c r="AE314" i="50"/>
  <c r="AF314" i="50"/>
  <c r="AE315" i="50"/>
  <c r="AF315" i="50"/>
  <c r="AE316" i="50"/>
  <c r="AF316" i="50"/>
  <c r="AE317" i="50"/>
  <c r="AF317" i="50"/>
  <c r="AE318" i="50"/>
  <c r="AF318" i="50"/>
  <c r="AE319" i="50"/>
  <c r="AF319" i="50"/>
  <c r="AE320" i="50"/>
  <c r="AF320" i="50"/>
  <c r="AE321" i="50"/>
  <c r="AF321" i="50"/>
  <c r="AE322" i="50"/>
  <c r="AF322" i="50"/>
  <c r="AE323" i="50"/>
  <c r="AF323" i="50"/>
  <c r="AE324" i="50"/>
  <c r="AF324" i="50"/>
  <c r="AE325" i="50"/>
  <c r="AF325" i="50"/>
  <c r="AE326" i="50"/>
  <c r="AF326" i="50"/>
  <c r="AE327" i="50"/>
  <c r="AF327" i="50"/>
  <c r="AE328" i="50"/>
  <c r="AF328" i="50"/>
  <c r="AE329" i="50"/>
  <c r="AF329" i="50"/>
  <c r="AE330" i="50"/>
  <c r="AF330" i="50"/>
  <c r="AE331" i="50"/>
  <c r="AF331" i="50"/>
  <c r="AE332" i="50"/>
  <c r="AF332" i="50"/>
  <c r="AE333" i="50"/>
  <c r="AF333" i="50"/>
  <c r="AE334" i="50"/>
  <c r="AF334" i="50"/>
  <c r="AE335" i="50"/>
  <c r="AF335" i="50"/>
  <c r="AE336" i="50"/>
  <c r="AF336" i="50"/>
  <c r="AE337" i="50"/>
  <c r="AF337" i="50"/>
  <c r="AE338" i="50"/>
  <c r="AF338" i="50"/>
  <c r="AE339" i="50"/>
  <c r="AF339" i="50"/>
  <c r="AE340" i="50"/>
  <c r="AF340" i="50"/>
  <c r="AE341" i="50"/>
  <c r="AF341" i="50"/>
  <c r="AE342" i="50"/>
  <c r="AF342" i="50"/>
  <c r="AE343" i="50"/>
  <c r="AF343" i="50"/>
  <c r="AE344" i="50"/>
  <c r="AF344" i="50"/>
  <c r="AE345" i="50"/>
  <c r="AF345" i="50"/>
  <c r="AE346" i="50"/>
  <c r="AF346" i="50"/>
  <c r="AE347" i="50"/>
  <c r="AF347" i="50"/>
  <c r="AE348" i="50"/>
  <c r="AF348" i="50"/>
  <c r="AE349" i="50"/>
  <c r="AF349" i="50"/>
  <c r="AE350" i="50"/>
  <c r="AF350" i="50"/>
  <c r="AE351" i="50"/>
  <c r="AF351" i="50"/>
  <c r="AE352" i="50"/>
  <c r="AF352" i="50"/>
  <c r="AE353" i="50"/>
  <c r="AF353" i="50"/>
  <c r="AE354" i="50"/>
  <c r="AF354" i="50"/>
  <c r="AE355" i="50"/>
  <c r="AF355" i="50"/>
  <c r="AE356" i="50"/>
  <c r="AF356" i="50"/>
  <c r="AE357" i="50"/>
  <c r="AF357" i="50"/>
  <c r="AE358" i="50"/>
  <c r="AF358" i="50"/>
  <c r="AE359" i="50"/>
  <c r="AF359" i="50"/>
  <c r="AE360" i="50"/>
  <c r="AF360" i="50"/>
  <c r="AE361" i="50"/>
  <c r="AF361" i="50"/>
  <c r="AE362" i="50"/>
  <c r="AF362" i="50"/>
  <c r="AE363" i="50"/>
  <c r="AF363" i="50"/>
  <c r="AE364" i="50"/>
  <c r="AF364" i="50"/>
  <c r="AE365" i="50"/>
  <c r="AF365" i="50"/>
  <c r="AE366" i="50"/>
  <c r="AF366" i="50"/>
  <c r="AE367" i="50"/>
  <c r="AF367" i="50"/>
  <c r="AE368" i="50"/>
  <c r="AF368" i="50"/>
  <c r="AE369" i="50"/>
  <c r="AF369" i="50"/>
  <c r="AE370" i="50"/>
  <c r="AF370" i="50"/>
  <c r="AE371" i="50"/>
  <c r="AF371" i="50"/>
  <c r="AE372" i="50"/>
  <c r="AF372" i="50"/>
  <c r="AE373" i="50"/>
  <c r="AF373" i="50"/>
  <c r="AE374" i="50"/>
  <c r="AF374" i="50"/>
  <c r="AE375" i="50"/>
  <c r="AF375" i="50"/>
  <c r="AE376" i="50"/>
  <c r="AF376" i="50"/>
  <c r="AE377" i="50"/>
  <c r="AF377" i="50"/>
  <c r="AE378" i="50"/>
  <c r="AF378" i="50"/>
  <c r="AE379" i="50"/>
  <c r="AF379" i="50"/>
  <c r="AE380" i="50"/>
  <c r="AF380" i="50"/>
  <c r="AE381" i="50"/>
  <c r="AF381" i="50"/>
  <c r="AE382" i="50"/>
  <c r="AF382" i="50"/>
  <c r="AE383" i="50"/>
  <c r="AF383" i="50"/>
  <c r="AE384" i="50"/>
  <c r="AF384" i="50"/>
  <c r="AE385" i="50"/>
  <c r="AF385" i="50"/>
  <c r="AE386" i="50"/>
  <c r="AF386" i="50"/>
  <c r="AE387" i="50"/>
  <c r="AF387" i="50"/>
  <c r="AE388" i="50"/>
  <c r="AF388" i="50"/>
  <c r="AE389" i="50"/>
  <c r="AF389" i="50"/>
  <c r="AE390" i="50"/>
  <c r="AF390" i="50"/>
  <c r="AE391" i="50"/>
  <c r="AF391" i="50"/>
  <c r="AE392" i="50"/>
  <c r="AF392" i="50"/>
  <c r="AE393" i="50"/>
  <c r="AF393" i="50"/>
  <c r="AE394" i="50"/>
  <c r="AF394" i="50"/>
  <c r="AE395" i="50"/>
  <c r="AF395" i="50"/>
  <c r="AE396" i="50"/>
  <c r="AF396" i="50"/>
  <c r="AE397" i="50"/>
  <c r="AF397" i="50"/>
  <c r="AE398" i="50"/>
  <c r="AF398" i="50"/>
  <c r="AE399" i="50"/>
  <c r="AF399" i="50"/>
  <c r="AE400" i="50"/>
  <c r="AF400" i="50"/>
  <c r="AE401" i="50"/>
  <c r="AF401" i="50"/>
  <c r="AE402" i="50"/>
  <c r="AF402" i="50"/>
  <c r="AE403" i="50"/>
  <c r="AF403" i="50"/>
  <c r="AE404" i="50"/>
  <c r="AF404" i="50"/>
  <c r="AE405" i="50"/>
  <c r="AF405" i="50"/>
  <c r="AE406" i="50"/>
  <c r="AF406" i="50"/>
  <c r="AE407" i="50"/>
  <c r="AF407" i="50"/>
  <c r="AE408" i="50"/>
  <c r="AF408" i="50"/>
  <c r="AE409" i="50"/>
  <c r="AF409" i="50"/>
  <c r="AE410" i="50"/>
  <c r="AF410" i="50"/>
  <c r="AE411" i="50"/>
  <c r="AF411" i="50"/>
  <c r="AE412" i="50"/>
  <c r="AF412" i="50"/>
  <c r="AE413" i="50"/>
  <c r="AF413" i="50"/>
  <c r="AE414" i="50"/>
  <c r="AF414" i="50"/>
  <c r="AE415" i="50"/>
  <c r="AF415" i="50"/>
  <c r="AE416" i="50"/>
  <c r="AF416" i="50"/>
  <c r="AE417" i="50"/>
  <c r="AF417" i="50"/>
  <c r="AE418" i="50"/>
  <c r="AF418" i="50"/>
  <c r="AE419" i="50"/>
  <c r="AF419" i="50"/>
  <c r="AE420" i="50"/>
  <c r="AF420" i="50"/>
  <c r="AE421" i="50"/>
  <c r="AF421" i="50"/>
  <c r="AE422" i="50"/>
  <c r="AF422" i="50"/>
  <c r="AE423" i="50"/>
  <c r="AF423" i="50"/>
  <c r="AE424" i="50"/>
  <c r="AF424" i="50"/>
  <c r="AE425" i="50"/>
  <c r="AF425" i="50"/>
  <c r="AE426" i="50"/>
  <c r="AF426" i="50"/>
  <c r="AE427" i="50"/>
  <c r="AF427" i="50"/>
  <c r="AE428" i="50"/>
  <c r="AF428" i="50"/>
  <c r="AE429" i="50"/>
  <c r="AF429" i="50"/>
  <c r="AE430" i="50"/>
  <c r="AF430" i="50"/>
  <c r="AE431" i="50"/>
  <c r="AF431" i="50"/>
  <c r="AE432" i="50"/>
  <c r="AF432" i="50"/>
  <c r="AE433" i="50"/>
  <c r="AF433" i="50"/>
  <c r="AE434" i="50"/>
  <c r="AF434" i="50"/>
  <c r="AE435" i="50"/>
  <c r="AF435" i="50"/>
  <c r="AE436" i="50"/>
  <c r="AF436" i="50"/>
  <c r="AE437" i="50"/>
  <c r="AF437" i="50"/>
  <c r="AE438" i="50"/>
  <c r="AF438" i="50"/>
  <c r="AE439" i="50"/>
  <c r="AF439" i="50"/>
  <c r="AE440" i="50"/>
  <c r="AF440" i="50"/>
  <c r="AE441" i="50"/>
  <c r="AF441" i="50"/>
  <c r="AE442" i="50"/>
  <c r="AF442" i="50"/>
  <c r="AE443" i="50"/>
  <c r="AF443" i="50"/>
  <c r="AE444" i="50"/>
  <c r="AF444" i="50"/>
  <c r="AE445" i="50"/>
  <c r="AF445" i="50"/>
  <c r="AE446" i="50"/>
  <c r="AF446" i="50"/>
  <c r="AE447" i="50"/>
  <c r="AF447" i="50"/>
  <c r="AE448" i="50"/>
  <c r="AF448" i="50"/>
  <c r="AE449" i="50"/>
  <c r="AF449" i="50"/>
  <c r="AE450" i="50"/>
  <c r="AF450" i="50"/>
  <c r="AE451" i="50"/>
  <c r="AF451" i="50"/>
  <c r="AE452" i="50"/>
  <c r="AF452" i="50"/>
  <c r="AE453" i="50"/>
  <c r="AF453" i="50"/>
  <c r="AE454" i="50"/>
  <c r="AF454" i="50"/>
  <c r="AE455" i="50"/>
  <c r="AF455" i="50"/>
  <c r="AE456" i="50"/>
  <c r="AF456" i="50"/>
  <c r="AE457" i="50"/>
  <c r="AF457" i="50"/>
  <c r="AE458" i="50"/>
  <c r="AF458" i="50"/>
  <c r="AE459" i="50"/>
  <c r="AF459" i="50"/>
  <c r="AE460" i="50"/>
  <c r="AF460" i="50"/>
  <c r="AE461" i="50"/>
  <c r="AF461" i="50"/>
  <c r="AE462" i="50"/>
  <c r="AF462" i="50"/>
  <c r="AE463" i="50"/>
  <c r="AF463" i="50"/>
  <c r="AE464" i="50"/>
  <c r="AF464" i="50"/>
  <c r="AE465" i="50"/>
  <c r="AF465" i="50"/>
  <c r="AE466" i="50"/>
  <c r="AF466" i="50"/>
  <c r="AE467" i="50"/>
  <c r="AF467" i="50"/>
  <c r="AE468" i="50"/>
  <c r="AF468" i="50"/>
  <c r="AE469" i="50"/>
  <c r="AF469" i="50"/>
  <c r="AE470" i="50"/>
  <c r="AF470" i="50"/>
  <c r="AE471" i="50"/>
  <c r="AF471" i="50"/>
  <c r="AE472" i="50"/>
  <c r="AF472" i="50"/>
  <c r="AE473" i="50"/>
  <c r="AF473" i="50"/>
  <c r="AE474" i="50"/>
  <c r="AF474" i="50"/>
  <c r="AE475" i="50"/>
  <c r="AF475" i="50"/>
  <c r="AE476" i="50"/>
  <c r="AF476" i="50"/>
  <c r="AE477" i="50"/>
  <c r="AF477" i="50"/>
  <c r="AE478" i="50"/>
  <c r="AF478" i="50"/>
  <c r="AE479" i="50"/>
  <c r="AF479" i="50"/>
  <c r="AE480" i="50"/>
  <c r="AF480" i="50"/>
  <c r="AE481" i="50"/>
  <c r="AF481" i="50"/>
  <c r="AE482" i="50"/>
  <c r="AF482" i="50"/>
  <c r="AE483" i="50"/>
  <c r="AF483" i="50"/>
  <c r="AE484" i="50"/>
  <c r="AF484" i="50"/>
  <c r="AE485" i="50"/>
  <c r="AF485" i="50"/>
  <c r="AE486" i="50"/>
  <c r="AF486" i="50"/>
  <c r="AE487" i="50"/>
  <c r="AF487" i="50"/>
  <c r="AE488" i="50"/>
  <c r="AF488" i="50"/>
  <c r="AE489" i="50"/>
  <c r="AF489" i="50"/>
  <c r="AE490" i="50"/>
  <c r="AF490" i="50"/>
  <c r="AE491" i="50"/>
  <c r="AF491" i="50"/>
  <c r="AE492" i="50"/>
  <c r="AF492" i="50"/>
  <c r="AE493" i="50"/>
  <c r="AF493" i="50"/>
  <c r="AE494" i="50"/>
  <c r="AF494" i="50"/>
  <c r="AE495" i="50"/>
  <c r="AF495" i="50"/>
  <c r="AE496" i="50"/>
  <c r="AF496" i="50"/>
  <c r="AE497" i="50"/>
  <c r="AF497" i="50"/>
  <c r="AE498" i="50"/>
  <c r="AF498" i="50"/>
  <c r="AE499" i="50"/>
  <c r="AF499" i="50"/>
  <c r="AE500" i="50"/>
  <c r="AF500" i="50"/>
  <c r="AE501" i="50"/>
  <c r="AF501" i="50"/>
  <c r="AE502" i="50"/>
  <c r="AF502" i="50"/>
  <c r="AE503" i="50"/>
  <c r="AF503" i="50"/>
  <c r="AE504" i="50"/>
  <c r="AF504" i="50"/>
  <c r="AE505" i="50"/>
  <c r="AF505" i="50"/>
  <c r="AE506" i="50"/>
  <c r="AF506" i="50"/>
  <c r="AE507" i="50"/>
  <c r="AF507" i="50"/>
  <c r="AE508" i="50"/>
  <c r="AF508" i="50"/>
  <c r="AE509" i="50"/>
  <c r="AF509" i="50"/>
  <c r="AE510" i="50"/>
  <c r="AF510" i="50"/>
  <c r="AE511" i="50"/>
  <c r="AF511" i="50"/>
  <c r="AE512" i="50"/>
  <c r="AF512" i="50"/>
  <c r="AE513" i="50"/>
  <c r="AF513" i="50"/>
  <c r="AE514" i="50"/>
  <c r="AF514" i="50"/>
  <c r="AE515" i="50"/>
  <c r="AF515" i="50"/>
  <c r="AE516" i="50"/>
  <c r="AF516" i="50"/>
  <c r="AE517" i="50"/>
  <c r="AF517" i="50"/>
  <c r="AE518" i="50"/>
  <c r="AF518" i="50"/>
  <c r="AE519" i="50"/>
  <c r="AF519" i="50"/>
  <c r="AE520" i="50"/>
  <c r="AF520" i="50"/>
  <c r="AE521" i="50"/>
  <c r="AF521" i="50"/>
  <c r="AE522" i="50"/>
  <c r="AF522" i="50"/>
  <c r="AE523" i="50"/>
  <c r="AF523" i="50"/>
  <c r="AE524" i="50"/>
  <c r="AF524" i="50"/>
  <c r="AE525" i="50"/>
  <c r="AF525" i="50"/>
  <c r="AE526" i="50"/>
  <c r="AF526" i="50"/>
  <c r="AE527" i="50"/>
  <c r="AF527" i="50"/>
  <c r="AE528" i="50"/>
  <c r="AF528" i="50"/>
  <c r="AE529" i="50"/>
  <c r="AF529" i="50"/>
  <c r="AE530" i="50"/>
  <c r="AF530" i="50"/>
  <c r="AE531" i="50"/>
  <c r="AF531" i="50"/>
  <c r="AE532" i="50"/>
  <c r="AF532" i="50"/>
  <c r="AE533" i="50"/>
  <c r="AF533" i="50"/>
  <c r="AE534" i="50"/>
  <c r="AF534" i="50"/>
  <c r="AE535" i="50"/>
  <c r="AF535" i="50"/>
  <c r="AE536" i="50"/>
  <c r="AF536" i="50"/>
  <c r="AE537" i="50"/>
  <c r="AF537" i="50"/>
  <c r="AE538" i="50"/>
  <c r="AF538" i="50"/>
  <c r="AE539" i="50"/>
  <c r="AF539" i="50"/>
  <c r="AE540" i="50"/>
  <c r="AF540" i="50"/>
  <c r="AE541" i="50"/>
  <c r="AF541" i="50"/>
  <c r="AE542" i="50"/>
  <c r="AF542" i="50"/>
  <c r="AE543" i="50"/>
  <c r="AF543" i="50"/>
  <c r="AE544" i="50"/>
  <c r="AF544" i="50"/>
  <c r="AE545" i="50"/>
  <c r="AF545" i="50"/>
  <c r="AE546" i="50"/>
  <c r="AF546" i="50"/>
  <c r="AE547" i="50"/>
  <c r="AF547" i="50"/>
  <c r="AE548" i="50"/>
  <c r="AF548" i="50"/>
  <c r="AE549" i="50"/>
  <c r="AF549" i="50"/>
  <c r="AE550" i="50"/>
  <c r="AF550" i="50"/>
  <c r="AE551" i="50"/>
  <c r="AF551" i="50"/>
  <c r="AE552" i="50"/>
  <c r="AF552" i="50"/>
  <c r="AE553" i="50"/>
  <c r="AF553" i="50"/>
  <c r="AE554" i="50"/>
  <c r="AF554" i="50"/>
  <c r="AE555" i="50"/>
  <c r="AF555" i="50"/>
  <c r="AE556" i="50"/>
  <c r="AF556" i="50"/>
  <c r="AE557" i="50"/>
  <c r="AF557" i="50"/>
  <c r="AE558" i="50"/>
  <c r="AF558" i="50"/>
  <c r="AE559" i="50"/>
  <c r="AF559" i="50"/>
  <c r="AE560" i="50"/>
  <c r="AF560" i="50"/>
  <c r="AE561" i="50"/>
  <c r="AF561" i="50"/>
  <c r="AE562" i="50"/>
  <c r="AF562" i="50"/>
  <c r="AE563" i="50"/>
  <c r="AF563" i="50"/>
  <c r="AE564" i="50"/>
  <c r="AF564" i="50"/>
  <c r="AE565" i="50"/>
  <c r="AF565" i="50"/>
  <c r="AE566" i="50"/>
  <c r="AF566" i="50"/>
  <c r="AE567" i="50"/>
  <c r="AF567" i="50"/>
  <c r="AE568" i="50"/>
  <c r="AF568" i="50"/>
  <c r="AE569" i="50"/>
  <c r="AF569" i="50"/>
  <c r="AE570" i="50"/>
  <c r="AF570" i="50"/>
  <c r="AE571" i="50"/>
  <c r="AF571" i="50"/>
  <c r="AE572" i="50"/>
  <c r="AF572" i="50"/>
  <c r="AE573" i="50"/>
  <c r="AF573" i="50"/>
  <c r="AE574" i="50"/>
  <c r="AF574" i="50"/>
  <c r="AE575" i="50"/>
  <c r="AF575" i="50"/>
  <c r="AE576" i="50"/>
  <c r="AF576" i="50"/>
  <c r="AE577" i="50"/>
  <c r="AF577" i="50"/>
  <c r="AE578" i="50"/>
  <c r="AF578" i="50"/>
  <c r="AE579" i="50"/>
  <c r="AF579" i="50"/>
  <c r="AE580" i="50"/>
  <c r="AF580" i="50"/>
  <c r="AE581" i="50"/>
  <c r="AF581" i="50"/>
  <c r="AE582" i="50"/>
  <c r="AF582" i="50"/>
  <c r="AE583" i="50"/>
  <c r="AF583" i="50"/>
  <c r="AE584" i="50"/>
  <c r="AF584" i="50"/>
  <c r="AE585" i="50"/>
  <c r="AF585" i="50"/>
  <c r="AE586" i="50"/>
  <c r="AF586" i="50"/>
  <c r="AE587" i="50"/>
  <c r="AF587" i="50"/>
  <c r="AE588" i="50"/>
  <c r="AF588" i="50"/>
  <c r="AE589" i="50"/>
  <c r="AF589" i="50"/>
  <c r="AE590" i="50"/>
  <c r="AF590" i="50"/>
  <c r="AE591" i="50"/>
  <c r="AF591" i="50"/>
  <c r="AE592" i="50"/>
  <c r="AF592" i="50"/>
  <c r="AE593" i="50"/>
  <c r="AF593" i="50"/>
  <c r="AE594" i="50"/>
  <c r="AF594" i="50"/>
  <c r="AE595" i="50"/>
  <c r="AF595" i="50"/>
  <c r="AE596" i="50"/>
  <c r="AF596" i="50"/>
  <c r="AE597" i="50"/>
  <c r="AF597" i="50"/>
  <c r="AE598" i="50"/>
  <c r="AF598" i="50"/>
  <c r="AE599" i="50"/>
  <c r="AF599" i="50"/>
  <c r="AE600" i="50"/>
  <c r="AF600" i="50"/>
  <c r="AE601" i="50"/>
  <c r="AF601" i="50"/>
  <c r="AE602" i="50"/>
  <c r="AF602" i="50"/>
  <c r="AE603" i="50"/>
  <c r="AF603" i="50"/>
  <c r="AE604" i="50"/>
  <c r="AF604" i="50"/>
  <c r="AE605" i="50"/>
  <c r="AF605" i="50"/>
  <c r="AE606" i="50"/>
  <c r="AF606" i="50"/>
  <c r="AE607" i="50"/>
  <c r="AF607" i="50"/>
  <c r="AE608" i="50"/>
  <c r="AF608" i="50"/>
  <c r="AE609" i="50"/>
  <c r="AF609" i="50"/>
  <c r="AE610" i="50"/>
  <c r="AF610" i="50"/>
  <c r="AE611" i="50"/>
  <c r="AF611" i="50"/>
  <c r="AE612" i="50"/>
  <c r="AF612" i="50"/>
  <c r="AE613" i="50"/>
  <c r="AF613" i="50"/>
  <c r="AE614" i="50"/>
  <c r="AF614" i="50"/>
  <c r="AE615" i="50"/>
  <c r="AF615" i="50"/>
  <c r="AE616" i="50"/>
  <c r="AF616" i="50"/>
  <c r="AE617" i="50"/>
  <c r="AF617" i="50"/>
  <c r="AE618" i="50"/>
  <c r="AF618" i="50"/>
  <c r="AE619" i="50"/>
  <c r="AF619" i="50"/>
  <c r="AE620" i="50"/>
  <c r="AF620" i="50"/>
  <c r="AE621" i="50"/>
  <c r="AF621" i="50"/>
  <c r="AE622" i="50"/>
  <c r="AF622" i="50"/>
  <c r="AE623" i="50"/>
  <c r="AF623" i="50"/>
  <c r="AE624" i="50"/>
  <c r="AF624" i="50"/>
  <c r="AE625" i="50"/>
  <c r="AF625" i="50"/>
  <c r="AE626" i="50"/>
  <c r="AF626" i="50"/>
  <c r="AE627" i="50"/>
  <c r="AF627" i="50"/>
  <c r="AE628" i="50"/>
  <c r="AF628" i="50"/>
  <c r="AE629" i="50"/>
  <c r="AF629" i="50"/>
  <c r="AE630" i="50"/>
  <c r="AF630" i="50"/>
  <c r="AE631" i="50"/>
  <c r="AF631" i="50"/>
  <c r="AE632" i="50"/>
  <c r="AF632" i="50"/>
  <c r="AE633" i="50"/>
  <c r="AF633" i="50"/>
  <c r="AE634" i="50"/>
  <c r="AF634" i="50"/>
  <c r="AE635" i="50"/>
  <c r="AF635" i="50"/>
  <c r="AE636" i="50"/>
  <c r="AF636" i="50"/>
  <c r="AE637" i="50"/>
  <c r="AF637" i="50"/>
  <c r="AE638" i="50"/>
  <c r="AF638" i="50"/>
  <c r="AE639" i="50"/>
  <c r="AF639" i="50"/>
  <c r="AE640" i="50"/>
  <c r="AF640" i="50"/>
  <c r="AE641" i="50"/>
  <c r="AF641" i="50"/>
  <c r="AE642" i="50"/>
  <c r="AF642" i="50"/>
  <c r="AE643" i="50"/>
  <c r="AF643" i="50"/>
  <c r="AE644" i="50"/>
  <c r="AF644" i="50"/>
  <c r="AE645" i="50"/>
  <c r="AF645" i="50"/>
  <c r="AE646" i="50"/>
  <c r="AF646" i="50"/>
  <c r="AE647" i="50"/>
  <c r="AF647" i="50"/>
  <c r="AE648" i="50"/>
  <c r="AF648" i="50"/>
  <c r="AE649" i="50"/>
  <c r="AF649" i="50"/>
  <c r="AE650" i="50"/>
  <c r="AF650" i="50"/>
  <c r="AE651" i="50"/>
  <c r="AF651" i="50"/>
  <c r="AE652" i="50"/>
  <c r="AF652" i="50"/>
  <c r="AE653" i="50"/>
  <c r="AF653" i="50"/>
  <c r="AE654" i="50"/>
  <c r="AF654" i="50"/>
  <c r="AE655" i="50"/>
  <c r="AF655" i="50"/>
  <c r="AE656" i="50"/>
  <c r="AF656" i="50"/>
  <c r="AE657" i="50"/>
  <c r="AF657" i="50"/>
  <c r="AE658" i="50"/>
  <c r="AF658" i="50"/>
  <c r="AE659" i="50"/>
  <c r="AF659" i="50"/>
  <c r="AE660" i="50"/>
  <c r="AF660" i="50"/>
  <c r="AE661" i="50"/>
  <c r="AF661" i="50"/>
  <c r="AE662" i="50"/>
  <c r="AF662" i="50"/>
  <c r="AE663" i="50"/>
  <c r="AF663" i="50"/>
  <c r="AE664" i="50"/>
  <c r="AF664" i="50"/>
  <c r="AE665" i="50"/>
  <c r="AF665" i="50"/>
  <c r="AE666" i="50"/>
  <c r="AF666" i="50"/>
  <c r="AE667" i="50"/>
  <c r="AF667" i="50"/>
  <c r="AE668" i="50"/>
  <c r="AF668" i="50"/>
  <c r="AE669" i="50"/>
  <c r="AF669" i="50"/>
  <c r="AE670" i="50"/>
  <c r="AF670" i="50"/>
  <c r="AE671" i="50"/>
  <c r="AF671" i="50"/>
  <c r="AE672" i="50"/>
  <c r="AF672" i="50"/>
  <c r="AE673" i="50"/>
  <c r="AF673" i="50"/>
  <c r="AE674" i="50"/>
  <c r="AF674" i="50"/>
  <c r="AE675" i="50"/>
  <c r="AF675" i="50"/>
  <c r="AE676" i="50"/>
  <c r="AF676" i="50"/>
  <c r="AE677" i="50"/>
  <c r="AF677" i="50"/>
  <c r="AE678" i="50"/>
  <c r="AF678" i="50"/>
  <c r="AE679" i="50"/>
  <c r="AF679" i="50"/>
  <c r="AE680" i="50"/>
  <c r="AF680" i="50"/>
  <c r="AE681" i="50"/>
  <c r="AF681" i="50"/>
  <c r="AE682" i="50"/>
  <c r="AF682" i="50"/>
  <c r="AE683" i="50"/>
  <c r="AF683" i="50"/>
  <c r="AE684" i="50"/>
  <c r="AF684" i="50"/>
  <c r="AE685" i="50"/>
  <c r="AF685" i="50"/>
  <c r="AE686" i="50"/>
  <c r="AF686" i="50"/>
  <c r="AE687" i="50"/>
  <c r="AF687" i="50"/>
  <c r="AE688" i="50"/>
  <c r="AF688" i="50"/>
  <c r="AE689" i="50"/>
  <c r="AF689" i="50"/>
  <c r="AE690" i="50"/>
  <c r="AF690" i="50"/>
  <c r="AE691" i="50"/>
  <c r="AF691" i="50"/>
  <c r="AE692" i="50"/>
  <c r="AF692" i="50"/>
  <c r="AE693" i="50"/>
  <c r="AF693" i="50"/>
  <c r="AE694" i="50"/>
  <c r="AF694" i="50"/>
  <c r="AE695" i="50"/>
  <c r="AF695" i="50"/>
  <c r="AE696" i="50"/>
  <c r="AF696" i="50"/>
  <c r="AE697" i="50"/>
  <c r="AF697" i="50"/>
  <c r="AE698" i="50"/>
  <c r="AF698" i="50"/>
  <c r="AE699" i="50"/>
  <c r="AF699" i="50"/>
  <c r="AE700" i="50"/>
  <c r="AF700" i="50"/>
  <c r="AE701" i="50"/>
  <c r="AF701" i="50"/>
  <c r="AE702" i="50"/>
  <c r="AF702" i="50"/>
  <c r="AE703" i="50"/>
  <c r="AF703" i="50"/>
  <c r="AE704" i="50"/>
  <c r="AF704" i="50"/>
  <c r="AE705" i="50"/>
  <c r="AF705" i="50"/>
  <c r="AE706" i="50"/>
  <c r="AF706" i="50"/>
  <c r="AE707" i="50"/>
  <c r="AF707" i="50"/>
  <c r="AE708" i="50"/>
  <c r="AF708" i="50"/>
  <c r="AE709" i="50"/>
  <c r="AF709" i="50"/>
  <c r="AE710" i="50"/>
  <c r="AF710" i="50"/>
  <c r="AE711" i="50"/>
  <c r="AF711" i="50"/>
  <c r="AE712" i="50"/>
  <c r="AF712" i="50"/>
  <c r="AE713" i="50"/>
  <c r="AF713" i="50"/>
  <c r="AE714" i="50"/>
  <c r="AF714" i="50"/>
  <c r="AE715" i="50"/>
  <c r="AF715" i="50"/>
  <c r="AE716" i="50"/>
  <c r="AF716" i="50"/>
  <c r="AE717" i="50"/>
  <c r="AF717" i="50"/>
  <c r="AE718" i="50"/>
  <c r="AF718" i="50"/>
  <c r="AE719" i="50"/>
  <c r="AF719" i="50"/>
  <c r="AE720" i="50"/>
  <c r="AF720" i="50"/>
  <c r="AE721" i="50"/>
  <c r="AF721" i="50"/>
  <c r="AE722" i="50"/>
  <c r="AF722" i="50"/>
  <c r="AE723" i="50"/>
  <c r="AF723" i="50"/>
  <c r="AE724" i="50"/>
  <c r="AF724" i="50"/>
  <c r="AE725" i="50"/>
  <c r="AF725" i="50"/>
  <c r="AE726" i="50"/>
  <c r="AF726" i="50"/>
  <c r="AE727" i="50"/>
  <c r="AF727" i="50"/>
  <c r="AE728" i="50"/>
  <c r="AF728" i="50"/>
  <c r="AE729" i="50"/>
  <c r="AF729" i="50"/>
  <c r="AE730" i="50"/>
  <c r="AF730" i="50"/>
  <c r="AE731" i="50"/>
  <c r="AF731" i="50"/>
  <c r="AE732" i="50"/>
  <c r="AF732" i="50"/>
  <c r="AE733" i="50"/>
  <c r="AF733" i="50"/>
  <c r="AE734" i="50"/>
  <c r="AF734" i="50"/>
  <c r="AE735" i="50"/>
  <c r="AF735" i="50"/>
  <c r="AE736" i="50"/>
  <c r="AF736" i="50"/>
  <c r="AE737" i="50"/>
  <c r="AF737" i="50"/>
  <c r="AE738" i="50"/>
  <c r="AF738" i="50"/>
  <c r="AE739" i="50"/>
  <c r="AF739" i="50"/>
  <c r="AE740" i="50"/>
  <c r="AF740" i="50"/>
  <c r="AE741" i="50"/>
  <c r="AF741" i="50"/>
  <c r="AE742" i="50"/>
  <c r="AF742" i="50"/>
  <c r="AE743" i="50"/>
  <c r="AF743" i="50"/>
  <c r="AE744" i="50"/>
  <c r="AF744" i="50"/>
  <c r="AE745" i="50"/>
  <c r="AF745" i="50"/>
  <c r="AE746" i="50"/>
  <c r="AF746" i="50"/>
  <c r="AE747" i="50"/>
  <c r="AF747" i="50"/>
  <c r="AE748" i="50"/>
  <c r="AF748" i="50"/>
  <c r="AE749" i="50"/>
  <c r="AF749" i="50"/>
  <c r="AE750" i="50"/>
  <c r="AF750" i="50"/>
  <c r="AE751" i="50"/>
  <c r="AF751" i="50"/>
  <c r="AE752" i="50"/>
  <c r="AF752" i="50"/>
  <c r="AE753" i="50"/>
  <c r="AF753" i="50"/>
  <c r="AE754" i="50"/>
  <c r="AF754" i="50"/>
  <c r="AE755" i="50"/>
  <c r="AF755" i="50"/>
  <c r="AE756" i="50"/>
  <c r="AF756" i="50"/>
  <c r="AE757" i="50"/>
  <c r="AF757" i="50"/>
  <c r="AE758" i="50"/>
  <c r="AF758" i="50"/>
  <c r="AE759" i="50"/>
  <c r="AF759" i="50"/>
  <c r="AE760" i="50"/>
  <c r="AF760" i="50"/>
  <c r="AE761" i="50"/>
  <c r="AF761" i="50"/>
  <c r="AE762" i="50"/>
  <c r="AF762" i="50"/>
  <c r="AE763" i="50"/>
  <c r="AF763" i="50"/>
  <c r="AE764" i="50"/>
  <c r="AF764" i="50"/>
  <c r="AE765" i="50"/>
  <c r="AF765" i="50"/>
  <c r="AE766" i="50"/>
  <c r="AF766" i="50"/>
  <c r="AE767" i="50"/>
  <c r="AF767" i="50"/>
  <c r="AE768" i="50"/>
  <c r="AF768" i="50"/>
  <c r="AE769" i="50"/>
  <c r="AF769" i="50"/>
  <c r="AE770" i="50"/>
  <c r="AF770" i="50"/>
  <c r="AE771" i="50"/>
  <c r="AF771" i="50"/>
  <c r="AE772" i="50"/>
  <c r="AF772" i="50"/>
  <c r="AE773" i="50"/>
  <c r="AF773" i="50"/>
  <c r="AE774" i="50"/>
  <c r="AF774" i="50"/>
  <c r="AE775" i="50"/>
  <c r="AF775" i="50"/>
  <c r="AE776" i="50"/>
  <c r="AF776" i="50"/>
  <c r="AE777" i="50"/>
  <c r="AF777" i="50"/>
  <c r="AE778" i="50"/>
  <c r="AF778" i="50"/>
  <c r="AE779" i="50"/>
  <c r="AF779" i="50"/>
  <c r="AE780" i="50"/>
  <c r="AF780" i="50"/>
  <c r="AE781" i="50"/>
  <c r="AF781" i="50"/>
  <c r="AE782" i="50"/>
  <c r="AF782" i="50"/>
  <c r="AE783" i="50"/>
  <c r="AF783" i="50"/>
  <c r="AE784" i="50"/>
  <c r="AF784" i="50"/>
  <c r="AE785" i="50"/>
  <c r="AF785" i="50"/>
  <c r="AE786" i="50"/>
  <c r="AF786" i="50"/>
  <c r="AE787" i="50"/>
  <c r="AF787" i="50"/>
  <c r="AE788" i="50"/>
  <c r="AF788" i="50"/>
  <c r="AE789" i="50"/>
  <c r="AF789" i="50"/>
  <c r="AE790" i="50"/>
  <c r="AF790" i="50"/>
  <c r="AE791" i="50"/>
  <c r="AF791" i="50"/>
  <c r="AE792" i="50"/>
  <c r="AF792" i="50"/>
  <c r="AE793" i="50"/>
  <c r="AF793" i="50"/>
  <c r="AE794" i="50"/>
  <c r="AF794" i="50"/>
  <c r="AE795" i="50"/>
  <c r="AF795" i="50"/>
  <c r="AE796" i="50"/>
  <c r="AF796" i="50"/>
  <c r="AE797" i="50"/>
  <c r="AF797" i="50"/>
  <c r="AE798" i="50"/>
  <c r="AF798" i="50"/>
  <c r="AE799" i="50"/>
  <c r="AF799" i="50"/>
  <c r="AE800" i="50"/>
  <c r="AF800" i="50"/>
  <c r="AE801" i="50"/>
  <c r="AF801" i="50"/>
  <c r="AE802" i="50"/>
  <c r="AF802" i="50"/>
  <c r="AE803" i="50"/>
  <c r="AF803" i="50"/>
  <c r="AE804" i="50"/>
  <c r="AF804" i="50"/>
  <c r="AE805" i="50"/>
  <c r="AF805" i="50"/>
  <c r="AE806" i="50"/>
  <c r="AF806" i="50"/>
  <c r="AE807" i="50"/>
  <c r="AF807" i="50"/>
  <c r="AE808" i="50"/>
  <c r="AF808" i="50"/>
  <c r="AE809" i="50"/>
  <c r="AF809" i="50"/>
  <c r="AE810" i="50"/>
  <c r="AF810" i="50"/>
  <c r="AE811" i="50"/>
  <c r="AF811" i="50"/>
  <c r="AE812" i="50"/>
  <c r="AF812" i="50"/>
  <c r="AE813" i="50"/>
  <c r="AF813" i="50"/>
  <c r="AE814" i="50"/>
  <c r="AF814" i="50"/>
  <c r="AE815" i="50"/>
  <c r="AF815" i="50"/>
  <c r="AE816" i="50"/>
  <c r="AF816" i="50"/>
  <c r="AE817" i="50"/>
  <c r="AF817" i="50"/>
  <c r="AE818" i="50"/>
  <c r="AF818" i="50"/>
  <c r="AE819" i="50"/>
  <c r="AF819" i="50"/>
  <c r="AE820" i="50"/>
  <c r="AF820" i="50"/>
  <c r="AE821" i="50"/>
  <c r="AF821" i="50"/>
  <c r="AE822" i="50"/>
  <c r="AF822" i="50"/>
  <c r="AE823" i="50"/>
  <c r="AF823" i="50"/>
  <c r="AE824" i="50"/>
  <c r="AF824" i="50"/>
  <c r="AE825" i="50"/>
  <c r="AF825" i="50"/>
  <c r="AE826" i="50"/>
  <c r="AF826" i="50"/>
  <c r="AE827" i="50"/>
  <c r="AF827" i="50"/>
  <c r="AE828" i="50"/>
  <c r="AF828" i="50"/>
  <c r="AE829" i="50"/>
  <c r="AF829" i="50"/>
  <c r="AE830" i="50"/>
  <c r="AF830" i="50"/>
  <c r="AE831" i="50"/>
  <c r="AF831" i="50"/>
  <c r="AE832" i="50"/>
  <c r="AF832" i="50"/>
  <c r="AE833" i="50"/>
  <c r="AF833" i="50"/>
  <c r="AE834" i="50"/>
  <c r="AF834" i="50"/>
  <c r="AE835" i="50"/>
  <c r="AF835" i="50"/>
  <c r="AE836" i="50"/>
  <c r="AF836" i="50"/>
  <c r="AE837" i="50"/>
  <c r="AF837" i="50"/>
  <c r="AE838" i="50"/>
  <c r="AF838" i="50"/>
  <c r="AE839" i="50"/>
  <c r="AF839" i="50"/>
  <c r="AE840" i="50"/>
  <c r="AF840" i="50"/>
  <c r="AE841" i="50"/>
  <c r="AF841" i="50"/>
  <c r="AE842" i="50"/>
  <c r="AF842" i="50"/>
  <c r="AE843" i="50"/>
  <c r="AF843" i="50"/>
  <c r="AE844" i="50"/>
  <c r="AF844" i="50"/>
  <c r="AE845" i="50"/>
  <c r="AF845" i="50"/>
  <c r="AE846" i="50"/>
  <c r="AF846" i="50"/>
  <c r="AE847" i="50"/>
  <c r="AF847" i="50"/>
  <c r="AE848" i="50"/>
  <c r="AF848" i="50"/>
  <c r="AE849" i="50"/>
  <c r="AF849" i="50"/>
  <c r="AE850" i="50"/>
  <c r="AF850" i="50"/>
  <c r="AE851" i="50"/>
  <c r="AF851" i="50"/>
  <c r="AE852" i="50"/>
  <c r="AF852" i="50"/>
  <c r="AE853" i="50"/>
  <c r="AF853" i="50"/>
  <c r="AE854" i="50"/>
  <c r="AF854" i="50"/>
  <c r="AE855" i="50"/>
  <c r="AF855" i="50"/>
  <c r="AE856" i="50"/>
  <c r="AF856" i="50"/>
  <c r="AE857" i="50"/>
  <c r="AF857" i="50"/>
  <c r="AE858" i="50"/>
  <c r="AF858" i="50"/>
  <c r="AE859" i="50"/>
  <c r="AF859" i="50"/>
  <c r="AE860" i="50"/>
  <c r="AF860" i="50"/>
  <c r="AE861" i="50"/>
  <c r="AF861" i="50"/>
  <c r="AE862" i="50"/>
  <c r="AF862" i="50"/>
  <c r="AE863" i="50"/>
  <c r="AF863" i="50"/>
  <c r="AE864" i="50"/>
  <c r="AF864" i="50"/>
  <c r="AE865" i="50"/>
  <c r="AF865" i="50"/>
  <c r="AE866" i="50"/>
  <c r="AF866" i="50"/>
  <c r="AE867" i="50"/>
  <c r="AF867" i="50"/>
  <c r="AE868" i="50"/>
  <c r="AF868" i="50"/>
  <c r="AE869" i="50"/>
  <c r="AF869" i="50"/>
  <c r="AE870" i="50"/>
  <c r="AF870" i="50"/>
  <c r="AE871" i="50"/>
  <c r="AF871" i="50"/>
  <c r="AE872" i="50"/>
  <c r="AF872" i="50"/>
  <c r="AE873" i="50"/>
  <c r="AF873" i="50"/>
  <c r="AE874" i="50"/>
  <c r="AF874" i="50"/>
  <c r="AE875" i="50"/>
  <c r="AF875" i="50"/>
  <c r="AE876" i="50"/>
  <c r="AF876" i="50"/>
  <c r="AE877" i="50"/>
  <c r="AF877" i="50"/>
  <c r="AE878" i="50"/>
  <c r="AF878" i="50"/>
  <c r="AE879" i="50"/>
  <c r="AF879" i="50"/>
  <c r="AE880" i="50"/>
  <c r="AF880" i="50"/>
  <c r="AE881" i="50"/>
  <c r="AF881" i="50"/>
  <c r="AE882" i="50"/>
  <c r="AF882" i="50"/>
  <c r="AE883" i="50"/>
  <c r="AF883" i="50"/>
  <c r="AE884" i="50"/>
  <c r="AF884" i="50"/>
  <c r="AE885" i="50"/>
  <c r="AF885" i="50"/>
  <c r="AE886" i="50"/>
  <c r="AF886" i="50"/>
  <c r="AE887" i="50"/>
  <c r="AF887" i="50"/>
  <c r="AE888" i="50"/>
  <c r="AF888" i="50"/>
  <c r="AE889" i="50"/>
  <c r="AF889" i="50"/>
  <c r="AE890" i="50"/>
  <c r="AF890" i="50"/>
  <c r="AE891" i="50"/>
  <c r="AF891" i="50"/>
  <c r="AE892" i="50"/>
  <c r="AF892" i="50"/>
  <c r="AE893" i="50"/>
  <c r="AF893" i="50"/>
  <c r="AE894" i="50"/>
  <c r="AF894" i="50"/>
  <c r="AE895" i="50"/>
  <c r="AF895" i="50"/>
  <c r="AE896" i="50"/>
  <c r="AF896" i="50"/>
  <c r="AE897" i="50"/>
  <c r="AF897" i="50"/>
  <c r="AE898" i="50"/>
  <c r="AF898" i="50"/>
  <c r="AE899" i="50"/>
  <c r="AF899" i="50"/>
  <c r="AE900" i="50"/>
  <c r="AF900" i="50"/>
  <c r="AE901" i="50"/>
  <c r="AF901" i="50"/>
  <c r="AE902" i="50"/>
  <c r="AF902" i="50"/>
  <c r="AE903" i="50"/>
  <c r="AF903" i="50"/>
  <c r="AE904" i="50"/>
  <c r="AF904" i="50"/>
  <c r="AE905" i="50"/>
  <c r="AF905" i="50"/>
  <c r="AE906" i="50"/>
  <c r="AF906" i="50"/>
  <c r="AE907" i="50"/>
  <c r="AF907" i="50"/>
  <c r="AE908" i="50"/>
  <c r="AF908" i="50"/>
  <c r="AE909" i="50"/>
  <c r="AF909" i="50"/>
  <c r="AE910" i="50"/>
  <c r="AF910" i="50"/>
  <c r="AE911" i="50"/>
  <c r="AF911" i="50"/>
  <c r="AE912" i="50"/>
  <c r="AF912" i="50"/>
  <c r="AE913" i="50"/>
  <c r="AF913" i="50"/>
  <c r="AE914" i="50"/>
  <c r="AF914" i="50"/>
  <c r="AE915" i="50"/>
  <c r="AF915" i="50"/>
  <c r="AE916" i="50"/>
  <c r="AF916" i="50"/>
  <c r="AE917" i="50"/>
  <c r="AF917" i="50"/>
  <c r="AE918" i="50"/>
  <c r="AF918" i="50"/>
  <c r="AE919" i="50"/>
  <c r="AF919" i="50"/>
  <c r="AE920" i="50"/>
  <c r="AF920" i="50"/>
  <c r="AE921" i="50"/>
  <c r="AF921" i="50"/>
  <c r="AE922" i="50"/>
  <c r="AF922" i="50"/>
  <c r="AE923" i="50"/>
  <c r="AF923" i="50"/>
  <c r="AE924" i="50"/>
  <c r="AF924" i="50"/>
  <c r="AE925" i="50"/>
  <c r="AF925" i="50"/>
  <c r="AE926" i="50"/>
  <c r="AF926" i="50"/>
  <c r="AE927" i="50"/>
  <c r="AF927" i="50"/>
  <c r="AE928" i="50"/>
  <c r="AF928" i="50"/>
  <c r="AE929" i="50"/>
  <c r="AF929" i="50"/>
  <c r="AE930" i="50"/>
  <c r="AF930" i="50"/>
  <c r="AE931" i="50"/>
  <c r="AF931" i="50"/>
  <c r="AE932" i="50"/>
  <c r="AF932" i="50"/>
  <c r="AE933" i="50"/>
  <c r="AF933" i="50"/>
  <c r="AE934" i="50"/>
  <c r="AF934" i="50"/>
  <c r="AE935" i="50"/>
  <c r="AF935" i="50"/>
  <c r="AE936" i="50"/>
  <c r="AF936" i="50"/>
  <c r="AE937" i="50"/>
  <c r="AF937" i="50"/>
  <c r="AE938" i="50"/>
  <c r="AF938" i="50"/>
  <c r="AE939" i="50"/>
  <c r="AF939" i="50"/>
  <c r="AE940" i="50"/>
  <c r="AF940" i="50"/>
  <c r="AE941" i="50"/>
  <c r="AF941" i="50"/>
  <c r="AE942" i="50"/>
  <c r="AF942" i="50"/>
  <c r="AE943" i="50"/>
  <c r="AF943" i="50"/>
  <c r="AE944" i="50"/>
  <c r="AF944" i="50"/>
  <c r="AE945" i="50"/>
  <c r="AF945" i="50"/>
  <c r="AE946" i="50"/>
  <c r="AF946" i="50"/>
  <c r="AE947" i="50"/>
  <c r="AF947" i="50"/>
  <c r="AE948" i="50"/>
  <c r="AF948" i="50"/>
  <c r="AE949" i="50"/>
  <c r="AF949" i="50"/>
  <c r="AE950" i="50"/>
  <c r="AF950" i="50"/>
  <c r="AE951" i="50"/>
  <c r="AF951" i="50"/>
  <c r="AE952" i="50"/>
  <c r="AF952" i="50"/>
  <c r="AE953" i="50"/>
  <c r="AF953" i="50"/>
  <c r="AE954" i="50"/>
  <c r="AF954" i="50"/>
  <c r="AE955" i="50"/>
  <c r="AF955" i="50"/>
  <c r="AE956" i="50"/>
  <c r="AF956" i="50"/>
  <c r="AE957" i="50"/>
  <c r="AF957" i="50"/>
  <c r="AE958" i="50"/>
  <c r="AF958" i="50"/>
  <c r="AE959" i="50"/>
  <c r="AF959" i="50"/>
  <c r="AE960" i="50"/>
  <c r="AF960" i="50"/>
  <c r="AE961" i="50"/>
  <c r="AF961" i="50"/>
  <c r="AE962" i="50"/>
  <c r="AF962" i="50"/>
  <c r="AE963" i="50"/>
  <c r="AF963" i="50"/>
  <c r="AE964" i="50"/>
  <c r="AF964" i="50"/>
  <c r="AE965" i="50"/>
  <c r="AF965" i="50"/>
  <c r="AE966" i="50"/>
  <c r="AF966" i="50"/>
  <c r="AE967" i="50"/>
  <c r="AF967" i="50"/>
  <c r="AE968" i="50"/>
  <c r="AF968" i="50"/>
  <c r="AE969" i="50"/>
  <c r="AF969" i="50"/>
  <c r="AE970" i="50"/>
  <c r="AF970" i="50"/>
  <c r="AE971" i="50"/>
  <c r="AF971" i="50"/>
  <c r="AE972" i="50"/>
  <c r="AF972" i="50"/>
  <c r="AE973" i="50"/>
  <c r="AF973" i="50"/>
  <c r="AE974" i="50"/>
  <c r="AF974" i="50"/>
  <c r="AE975" i="50"/>
  <c r="AF975" i="50"/>
  <c r="AE976" i="50"/>
  <c r="AF976" i="50"/>
  <c r="AE977" i="50"/>
  <c r="AF977" i="50"/>
  <c r="AE978" i="50"/>
  <c r="AF978" i="50"/>
  <c r="AE979" i="50"/>
  <c r="AF979" i="50"/>
  <c r="AE980" i="50"/>
  <c r="AF980" i="50"/>
  <c r="AE981" i="50"/>
  <c r="AF981" i="50"/>
  <c r="AE982" i="50"/>
  <c r="AF982" i="50"/>
  <c r="AE983" i="50"/>
  <c r="AF983" i="50"/>
  <c r="AE984" i="50"/>
  <c r="AF984" i="50"/>
  <c r="AE985" i="50"/>
  <c r="AF985" i="50"/>
  <c r="AE986" i="50"/>
  <c r="AF986" i="50"/>
  <c r="AE987" i="50"/>
  <c r="AF987" i="50"/>
  <c r="AE988" i="50"/>
  <c r="AF988" i="50"/>
  <c r="AE989" i="50"/>
  <c r="AF989" i="50"/>
  <c r="AE990" i="50"/>
  <c r="AF990" i="50"/>
  <c r="AE991" i="50"/>
  <c r="AF991" i="50"/>
  <c r="AE992" i="50"/>
  <c r="AF992" i="50"/>
  <c r="AE993" i="50"/>
  <c r="AF993" i="50"/>
  <c r="AE994" i="50"/>
  <c r="AF994" i="50"/>
  <c r="AE995" i="50"/>
  <c r="AF995" i="50"/>
  <c r="AE996" i="50"/>
  <c r="AF996" i="50"/>
  <c r="AE997" i="50"/>
  <c r="AF997" i="50"/>
  <c r="AE998" i="50"/>
  <c r="AF998" i="50"/>
  <c r="AE999" i="50"/>
  <c r="AF999" i="50"/>
  <c r="AE1000" i="50"/>
  <c r="AF1000" i="50"/>
  <c r="AE1001" i="50"/>
  <c r="AF1001" i="50"/>
  <c r="AE1002" i="50"/>
  <c r="AF1002" i="50"/>
  <c r="AE1003" i="50"/>
  <c r="AF1003" i="50"/>
  <c r="AE1004" i="50"/>
  <c r="AF1004" i="50"/>
  <c r="AE1005" i="50"/>
  <c r="AF1005" i="50"/>
  <c r="AE1006" i="50"/>
  <c r="AF1006" i="50"/>
  <c r="AE1007" i="50"/>
  <c r="AF1007" i="50"/>
  <c r="AE1008" i="50"/>
  <c r="AF1008" i="50"/>
  <c r="AE1009" i="50"/>
  <c r="AF1009" i="50"/>
  <c r="AE1010" i="50"/>
  <c r="AF1010" i="50"/>
  <c r="AE1011" i="50"/>
  <c r="AF1011" i="50"/>
  <c r="AE1012" i="50"/>
  <c r="AF1012" i="50"/>
  <c r="AE1013" i="50"/>
  <c r="AF1013" i="50"/>
  <c r="AE1014" i="50"/>
  <c r="AF1014" i="50"/>
  <c r="AE1015" i="50"/>
  <c r="AF1015" i="50"/>
  <c r="AE1016" i="50"/>
  <c r="AF1016" i="50"/>
  <c r="AE1017" i="50"/>
  <c r="AF1017" i="50"/>
  <c r="AE1018" i="50"/>
  <c r="AF1018" i="50"/>
  <c r="AE1019" i="50"/>
  <c r="AF1019" i="50"/>
  <c r="AE1020" i="50"/>
  <c r="AF1020" i="50"/>
  <c r="AE1021" i="50"/>
  <c r="AF1021" i="50"/>
  <c r="AE1022" i="50"/>
  <c r="AF1022" i="50"/>
  <c r="AE1023" i="50"/>
  <c r="AF1023" i="50"/>
  <c r="AE1024" i="50"/>
  <c r="AF1024" i="50"/>
  <c r="AE1025" i="50"/>
  <c r="AF1025" i="50"/>
  <c r="AE1026" i="50"/>
  <c r="AF1026" i="50"/>
  <c r="AE1027" i="50"/>
  <c r="AF1027" i="50"/>
  <c r="AE1028" i="50"/>
  <c r="AF1028" i="50"/>
  <c r="AE1029" i="50"/>
  <c r="AF1029" i="50"/>
  <c r="AE1030" i="50"/>
  <c r="AF1030" i="50"/>
  <c r="AE1031" i="50"/>
  <c r="AF1031" i="50"/>
  <c r="AE1032" i="50"/>
  <c r="AF1032" i="50"/>
  <c r="AE1033" i="50"/>
  <c r="AF1033" i="50"/>
  <c r="AE1034" i="50"/>
  <c r="AF1034" i="50"/>
  <c r="AE1035" i="50"/>
  <c r="AF1035" i="50"/>
  <c r="AE1036" i="50"/>
  <c r="AF1036" i="50"/>
  <c r="AE1037" i="50"/>
  <c r="AF1037" i="50"/>
  <c r="AE1038" i="50"/>
  <c r="AF1038" i="50"/>
  <c r="AE1039" i="50"/>
  <c r="AF1039" i="50"/>
  <c r="AE1040" i="50"/>
  <c r="AF1040" i="50"/>
  <c r="AE1041" i="50"/>
  <c r="AF1041" i="50"/>
  <c r="AE1042" i="50"/>
  <c r="AF1042" i="50"/>
  <c r="AE1043" i="50"/>
  <c r="AF1043" i="50"/>
  <c r="AE1044" i="50"/>
  <c r="AF1044" i="50"/>
  <c r="AE1045" i="50"/>
  <c r="AF1045" i="50"/>
  <c r="AE1046" i="50"/>
  <c r="AF1046" i="50"/>
  <c r="AE1047" i="50"/>
  <c r="AF1047" i="50"/>
  <c r="AE1048" i="50"/>
  <c r="AF1048" i="50"/>
  <c r="AE1049" i="50"/>
  <c r="AF1049" i="50"/>
  <c r="AE1050" i="50"/>
  <c r="AF1050" i="50"/>
  <c r="AE1051" i="50"/>
  <c r="AF1051" i="50"/>
  <c r="AE1052" i="50"/>
  <c r="AF1052" i="50"/>
  <c r="AE1053" i="50"/>
  <c r="AF1053" i="50"/>
  <c r="AE1054" i="50"/>
  <c r="AF1054" i="50"/>
  <c r="AE1055" i="50"/>
  <c r="AF1055" i="50"/>
  <c r="AE1056" i="50"/>
  <c r="AF1056" i="50"/>
  <c r="AE1057" i="50"/>
  <c r="AF1057" i="50"/>
  <c r="AE1058" i="50"/>
  <c r="AF1058" i="50"/>
  <c r="AE1059" i="50"/>
  <c r="AF1059" i="50"/>
  <c r="AE1060" i="50"/>
  <c r="AF1060" i="50"/>
  <c r="AE1061" i="50"/>
  <c r="AF1061" i="50"/>
  <c r="AE1062" i="50"/>
  <c r="AF1062" i="50"/>
  <c r="AE1063" i="50"/>
  <c r="AF1063" i="50"/>
  <c r="AE1064" i="50"/>
  <c r="AF1064" i="50"/>
  <c r="AE1065" i="50"/>
  <c r="AF1065" i="50"/>
  <c r="AE1066" i="50"/>
  <c r="AF1066" i="50"/>
  <c r="AE1067" i="50"/>
  <c r="AF1067" i="50"/>
  <c r="AE1068" i="50"/>
  <c r="AF1068" i="50"/>
  <c r="AE1069" i="50"/>
  <c r="AF1069" i="50"/>
  <c r="AE1070" i="50"/>
  <c r="AF1070" i="50"/>
  <c r="AE1071" i="50"/>
  <c r="AF1071" i="50"/>
  <c r="AE1072" i="50"/>
  <c r="AF1072" i="50"/>
  <c r="AE1073" i="50"/>
  <c r="AF1073" i="50"/>
  <c r="AE1074" i="50"/>
  <c r="AF1074" i="50"/>
  <c r="AE1075" i="50"/>
  <c r="AF1075" i="50"/>
  <c r="AE1076" i="50"/>
  <c r="AF1076" i="50"/>
  <c r="AE1077" i="50"/>
  <c r="AF1077" i="50"/>
  <c r="AE1078" i="50"/>
  <c r="AF1078" i="50"/>
  <c r="AE1079" i="50"/>
  <c r="AF1079" i="50"/>
  <c r="AE1080" i="50"/>
  <c r="AF1080" i="50"/>
  <c r="AE1081" i="50"/>
  <c r="AF1081" i="50"/>
  <c r="AE1082" i="50"/>
  <c r="AF1082" i="50"/>
  <c r="AE1083" i="50"/>
  <c r="AF1083" i="50"/>
  <c r="AE1084" i="50"/>
  <c r="AF1084" i="50"/>
  <c r="AE1085" i="50"/>
  <c r="AF1085" i="50"/>
  <c r="AE1086" i="50"/>
  <c r="AF1086" i="50"/>
  <c r="AE1087" i="50"/>
  <c r="AF1087" i="50"/>
  <c r="AE1088" i="50"/>
  <c r="AF1088" i="50"/>
  <c r="AE1089" i="50"/>
  <c r="AF1089" i="50"/>
  <c r="AE1090" i="50"/>
  <c r="AF1090" i="50"/>
  <c r="AE1091" i="50"/>
  <c r="AF1091" i="50"/>
  <c r="AE1092" i="50"/>
  <c r="AF1092" i="50"/>
  <c r="AE1093" i="50"/>
  <c r="AF1093" i="50"/>
  <c r="AE1094" i="50"/>
  <c r="AF1094" i="50"/>
  <c r="AE1095" i="50"/>
  <c r="AF1095" i="50"/>
  <c r="AE1096" i="50"/>
  <c r="AF1096" i="50"/>
  <c r="AE1097" i="50"/>
  <c r="AF1097" i="50"/>
  <c r="AE1098" i="50"/>
  <c r="AF1098" i="50"/>
  <c r="AE1099" i="50"/>
  <c r="AF1099" i="50"/>
  <c r="AE1100" i="50"/>
  <c r="AF1100" i="50"/>
  <c r="AE1101" i="50"/>
  <c r="AF1101" i="50"/>
  <c r="AE1102" i="50"/>
  <c r="AF1102" i="50"/>
  <c r="AE1103" i="50"/>
  <c r="AF1103" i="50"/>
  <c r="AE1104" i="50"/>
  <c r="AF1104" i="50"/>
  <c r="AE1105" i="50"/>
  <c r="AF1105" i="50"/>
  <c r="AE1106" i="50"/>
  <c r="AF1106" i="50"/>
  <c r="AE1107" i="50"/>
  <c r="AF1107" i="50"/>
  <c r="AE1108" i="50"/>
  <c r="AF1108" i="50"/>
  <c r="AE1109" i="50"/>
  <c r="AF1109" i="50"/>
  <c r="AE1110" i="50"/>
  <c r="AF1110" i="50"/>
  <c r="AE1111" i="50"/>
  <c r="AF1111" i="50"/>
  <c r="AE1112" i="50"/>
  <c r="AF1112" i="50"/>
  <c r="AE1113" i="50"/>
  <c r="AF1113" i="50"/>
  <c r="AE1114" i="50"/>
  <c r="AF1114" i="50"/>
  <c r="AE1115" i="50"/>
  <c r="AF1115" i="50"/>
  <c r="AE1116" i="50"/>
  <c r="AF1116" i="50"/>
  <c r="AE1117" i="50"/>
  <c r="AF1117" i="50"/>
  <c r="AE1118" i="50"/>
  <c r="AF1118" i="50"/>
  <c r="AE1119" i="50"/>
  <c r="AF1119" i="50"/>
  <c r="AE1120" i="50"/>
  <c r="AF1120" i="50"/>
  <c r="AE1121" i="50"/>
  <c r="AF1121" i="50"/>
  <c r="AE1122" i="50"/>
  <c r="AF1122" i="50"/>
  <c r="AE1123" i="50"/>
  <c r="AF1123" i="50"/>
  <c r="AE1124" i="50"/>
  <c r="AF1124" i="50"/>
  <c r="AE1125" i="50"/>
  <c r="AF1125" i="50"/>
  <c r="AE1126" i="50"/>
  <c r="AF1126" i="50"/>
  <c r="AE1127" i="50"/>
  <c r="AF1127" i="50"/>
  <c r="AE1128" i="50"/>
  <c r="AF1128" i="50"/>
  <c r="AE1129" i="50"/>
  <c r="AF1129" i="50"/>
  <c r="AE1130" i="50"/>
  <c r="AF1130" i="50"/>
  <c r="AE1131" i="50"/>
  <c r="AF1131" i="50"/>
  <c r="AE1132" i="50"/>
  <c r="AF1132" i="50"/>
  <c r="AE1133" i="50"/>
  <c r="AF1133" i="50"/>
  <c r="AE1134" i="50"/>
  <c r="AF1134" i="50"/>
  <c r="AE1135" i="50"/>
  <c r="AF1135" i="50"/>
  <c r="AE1136" i="50"/>
  <c r="AF1136" i="50"/>
  <c r="AE1137" i="50"/>
  <c r="AF1137" i="50"/>
  <c r="AE1138" i="50"/>
  <c r="AF1138" i="50"/>
  <c r="AE1139" i="50"/>
  <c r="AF1139" i="50"/>
  <c r="AE1140" i="50"/>
  <c r="AF1140" i="50"/>
  <c r="AE1141" i="50"/>
  <c r="AF1141" i="50"/>
  <c r="AE1142" i="50"/>
  <c r="AF1142" i="50"/>
  <c r="AE1143" i="50"/>
  <c r="AF1143" i="50"/>
  <c r="AE1144" i="50"/>
  <c r="AF1144" i="50"/>
  <c r="AE1145" i="50"/>
  <c r="AF1145" i="50"/>
  <c r="AE1146" i="50"/>
  <c r="AF1146" i="50"/>
  <c r="AE1147" i="50"/>
  <c r="AF1147" i="50"/>
  <c r="AE1148" i="50"/>
  <c r="AF1148" i="50"/>
  <c r="AE1149" i="50"/>
  <c r="AF1149" i="50"/>
  <c r="AE1150" i="50"/>
  <c r="AF1150" i="50"/>
  <c r="AE1151" i="50"/>
  <c r="AF1151" i="50"/>
  <c r="AE1152" i="50"/>
  <c r="AF1152" i="50"/>
  <c r="AE1153" i="50"/>
  <c r="AF1153" i="50"/>
  <c r="AE1154" i="50"/>
  <c r="AF1154" i="50"/>
  <c r="AE1155" i="50"/>
  <c r="AF1155" i="50"/>
  <c r="AE1156" i="50"/>
  <c r="AF1156" i="50"/>
  <c r="AE1157" i="50"/>
  <c r="AF1157" i="50"/>
  <c r="AE1158" i="50"/>
  <c r="AF1158" i="50"/>
  <c r="AE1159" i="50"/>
  <c r="AF1159" i="50"/>
  <c r="AE1160" i="50"/>
  <c r="AF1160" i="50"/>
  <c r="AE1161" i="50"/>
  <c r="AF1161" i="50"/>
  <c r="AE1162" i="50"/>
  <c r="AF1162" i="50"/>
  <c r="AE1163" i="50"/>
  <c r="AF1163" i="50"/>
  <c r="AE1164" i="50"/>
  <c r="AF1164" i="50"/>
  <c r="AE1165" i="50"/>
  <c r="AF1165" i="50"/>
  <c r="AE1166" i="50"/>
  <c r="AF1166" i="50"/>
  <c r="AE1167" i="50"/>
  <c r="AF1167" i="50"/>
  <c r="AE1168" i="50"/>
  <c r="AF1168" i="50"/>
  <c r="AE1169" i="50"/>
  <c r="AF1169" i="50"/>
  <c r="AE1170" i="50"/>
  <c r="AF1170" i="50"/>
  <c r="AE1171" i="50"/>
  <c r="AF1171" i="50"/>
  <c r="AE1172" i="50"/>
  <c r="AF1172" i="50"/>
  <c r="AE1173" i="50"/>
  <c r="AF1173" i="50"/>
  <c r="AE1174" i="50"/>
  <c r="AF1174" i="50"/>
  <c r="AE1175" i="50"/>
  <c r="AF1175" i="50"/>
  <c r="AE1176" i="50"/>
  <c r="AF1176" i="50"/>
  <c r="AE1177" i="50"/>
  <c r="AF1177" i="50"/>
  <c r="AE1178" i="50"/>
  <c r="AF1178" i="50"/>
  <c r="AE1179" i="50"/>
  <c r="AF1179" i="50"/>
  <c r="AE1180" i="50"/>
  <c r="AF1180" i="50"/>
  <c r="AE1181" i="50"/>
  <c r="AF1181" i="50"/>
  <c r="AE1182" i="50"/>
  <c r="AF1182" i="50"/>
  <c r="AE1183" i="50"/>
  <c r="AF1183" i="50"/>
  <c r="AE1184" i="50"/>
  <c r="AF1184" i="50"/>
  <c r="AE1185" i="50"/>
  <c r="AF1185" i="50"/>
  <c r="AE1186" i="50"/>
  <c r="AF1186" i="50"/>
  <c r="AE1187" i="50"/>
  <c r="AF1187" i="50"/>
  <c r="AE1188" i="50"/>
  <c r="AF1188" i="50"/>
  <c r="AE1189" i="50"/>
  <c r="AF1189" i="50"/>
  <c r="AE1190" i="50"/>
  <c r="AF1190" i="50"/>
  <c r="AE1191" i="50"/>
  <c r="AF1191" i="50"/>
  <c r="AE1192" i="50"/>
  <c r="AF1192" i="50"/>
  <c r="AE1193" i="50"/>
  <c r="AF1193" i="50"/>
  <c r="AE1194" i="50"/>
  <c r="AF1194" i="50"/>
  <c r="AE1195" i="50"/>
  <c r="AF1195" i="50"/>
  <c r="AE1196" i="50"/>
  <c r="AF1196" i="50"/>
  <c r="AE1197" i="50"/>
  <c r="AF1197" i="50"/>
  <c r="AE1198" i="50"/>
  <c r="AF1198" i="50"/>
  <c r="AE1199" i="50"/>
  <c r="AF1199" i="50"/>
  <c r="AE1200" i="50"/>
  <c r="AF1200" i="50"/>
  <c r="AE1201" i="50"/>
  <c r="AF1201" i="50"/>
  <c r="AE1202" i="50"/>
  <c r="AF1202" i="50"/>
  <c r="AE1203" i="50"/>
  <c r="AF1203" i="50"/>
  <c r="AE1204" i="50"/>
  <c r="AF1204" i="50"/>
  <c r="AE1205" i="50"/>
  <c r="AF1205" i="50"/>
  <c r="AE1206" i="50"/>
  <c r="AF1206" i="50"/>
  <c r="AE1207" i="50"/>
  <c r="AF1207" i="50"/>
  <c r="AE1208" i="50"/>
  <c r="AF1208" i="50"/>
  <c r="AE1209" i="50"/>
  <c r="AF1209" i="50"/>
  <c r="AE1210" i="50"/>
  <c r="AF1210" i="50"/>
  <c r="AE1211" i="50"/>
  <c r="AF1211" i="50"/>
  <c r="AE1212" i="50"/>
  <c r="AF1212" i="50"/>
  <c r="AE1213" i="50"/>
  <c r="AF1213" i="50"/>
  <c r="AE1214" i="50"/>
  <c r="AF1214" i="50"/>
  <c r="AE1215" i="50"/>
  <c r="AF1215" i="50"/>
  <c r="AE1216" i="50"/>
  <c r="AF1216" i="50"/>
  <c r="AE1217" i="50"/>
  <c r="AF1217" i="50"/>
  <c r="AE1218" i="50"/>
  <c r="AF1218" i="50"/>
  <c r="AE1219" i="50"/>
  <c r="AF1219" i="50"/>
  <c r="AE1220" i="50"/>
  <c r="AF1220" i="50"/>
  <c r="AE1221" i="50"/>
  <c r="AF1221" i="50"/>
  <c r="AE1222" i="50"/>
  <c r="AF1222" i="50"/>
  <c r="AE1223" i="50"/>
  <c r="AF1223" i="50"/>
  <c r="AE1224" i="50"/>
  <c r="AF1224" i="50"/>
  <c r="AE1225" i="50"/>
  <c r="AF1225" i="50"/>
  <c r="AE1226" i="50"/>
  <c r="AF1226" i="50"/>
  <c r="AE1227" i="50"/>
  <c r="AF1227" i="50"/>
  <c r="AE1228" i="50"/>
  <c r="AF1228" i="50"/>
  <c r="AE1229" i="50"/>
  <c r="AF1229" i="50"/>
  <c r="AE1230" i="50"/>
  <c r="AF1230" i="50"/>
  <c r="AE1231" i="50"/>
  <c r="AF1231" i="50"/>
  <c r="AE1232" i="50"/>
  <c r="AF1232" i="50"/>
  <c r="AE1233" i="50"/>
  <c r="AF1233" i="50"/>
  <c r="AE1234" i="50"/>
  <c r="AF1234" i="50"/>
  <c r="AE1235" i="50"/>
  <c r="AF1235" i="50"/>
  <c r="AE1236" i="50"/>
  <c r="AF1236" i="50"/>
  <c r="AE1237" i="50"/>
  <c r="AF1237" i="50"/>
  <c r="AE1238" i="50"/>
  <c r="AF1238" i="50"/>
  <c r="AE1239" i="50"/>
  <c r="AF1239" i="50"/>
  <c r="AE1240" i="50"/>
  <c r="AF1240" i="50"/>
  <c r="AE1241" i="50"/>
  <c r="AF1241" i="50"/>
  <c r="AE1242" i="50"/>
  <c r="AF1242" i="50"/>
  <c r="AE1243" i="50"/>
  <c r="AF1243" i="50"/>
  <c r="AE1244" i="50"/>
  <c r="AF1244" i="50"/>
  <c r="AE1245" i="50"/>
  <c r="AF1245" i="50"/>
  <c r="AE1246" i="50"/>
  <c r="AF1246" i="50"/>
  <c r="AE1247" i="50"/>
  <c r="AF1247" i="50"/>
  <c r="AE1248" i="50"/>
  <c r="AF1248" i="50"/>
  <c r="AE1249" i="50"/>
  <c r="AF1249" i="50"/>
  <c r="AE1250" i="50"/>
  <c r="AF1250" i="50"/>
  <c r="AE1251" i="50"/>
  <c r="AF1251" i="50"/>
  <c r="AE1252" i="50"/>
  <c r="AF1252" i="50"/>
  <c r="AE1253" i="50"/>
  <c r="AF1253" i="50"/>
  <c r="AE1254" i="50"/>
  <c r="AF1254" i="50"/>
  <c r="AE1255" i="50"/>
  <c r="AF1255" i="50"/>
  <c r="AE1256" i="50"/>
  <c r="AF1256" i="50"/>
  <c r="AE1257" i="50"/>
  <c r="AF1257" i="50"/>
  <c r="AE1258" i="50"/>
  <c r="AF1258" i="50"/>
  <c r="AE1259" i="50"/>
  <c r="AF1259" i="50"/>
  <c r="AE1260" i="50"/>
  <c r="AF1260" i="50"/>
  <c r="AE1261" i="50"/>
  <c r="AF1261" i="50"/>
  <c r="AE1262" i="50"/>
  <c r="AF1262" i="50"/>
  <c r="AE1263" i="50"/>
  <c r="AF1263" i="50"/>
  <c r="AE1264" i="50"/>
  <c r="AF1264" i="50"/>
  <c r="AE1265" i="50"/>
  <c r="AF1265" i="50"/>
  <c r="AE1266" i="50"/>
  <c r="AF1266" i="50"/>
  <c r="AE1267" i="50"/>
  <c r="AF1267" i="50"/>
  <c r="AE1268" i="50"/>
  <c r="AF1268" i="50"/>
  <c r="AE1269" i="50"/>
  <c r="AF1269" i="50"/>
  <c r="AE1270" i="50"/>
  <c r="AF1270" i="50"/>
  <c r="AE1271" i="50"/>
  <c r="AF1271" i="50"/>
  <c r="AE1272" i="50"/>
  <c r="AF1272" i="50"/>
  <c r="AE1273" i="50"/>
  <c r="AF1273" i="50"/>
  <c r="AE1274" i="50"/>
  <c r="AF1274" i="50"/>
  <c r="AE1275" i="50"/>
  <c r="AF1275" i="50"/>
  <c r="AE1276" i="50"/>
  <c r="AF1276" i="50"/>
  <c r="AE1277" i="50"/>
  <c r="AF1277" i="50"/>
  <c r="AE1278" i="50"/>
  <c r="AF1278" i="50"/>
  <c r="AE1279" i="50"/>
  <c r="AF1279" i="50"/>
  <c r="AE1280" i="50"/>
  <c r="AF1280" i="50"/>
  <c r="AE1281" i="50"/>
  <c r="AF1281" i="50"/>
  <c r="AE1282" i="50"/>
  <c r="AF1282" i="50"/>
  <c r="AE1283" i="50"/>
  <c r="AF1283" i="50"/>
  <c r="AE1284" i="50"/>
  <c r="AF1284" i="50"/>
  <c r="AE1285" i="50"/>
  <c r="AF1285" i="50"/>
  <c r="AE1286" i="50"/>
  <c r="AF1286" i="50"/>
  <c r="AE1287" i="50"/>
  <c r="AF1287" i="50"/>
  <c r="AE1288" i="50"/>
  <c r="AF1288" i="50"/>
  <c r="AE1289" i="50"/>
  <c r="AF1289" i="50"/>
  <c r="AE1290" i="50"/>
  <c r="AF1290" i="50"/>
  <c r="AE1291" i="50"/>
  <c r="AF1291" i="50"/>
  <c r="AE1292" i="50"/>
  <c r="AF1292" i="50"/>
  <c r="AE1293" i="50"/>
  <c r="AF1293" i="50"/>
  <c r="AE1294" i="50"/>
  <c r="AF1294" i="50"/>
  <c r="AE1295" i="50"/>
  <c r="AF1295" i="50"/>
  <c r="AE1296" i="50"/>
  <c r="AF1296" i="50"/>
  <c r="AE1297" i="50"/>
  <c r="AF1297" i="50"/>
  <c r="AE1298" i="50"/>
  <c r="AF1298" i="50"/>
  <c r="AE1299" i="50"/>
  <c r="AF1299" i="50"/>
  <c r="AE1300" i="50"/>
  <c r="AF1300" i="50"/>
  <c r="AE1301" i="50"/>
  <c r="AF1301" i="50"/>
  <c r="AE1302" i="50"/>
  <c r="AF1302" i="50"/>
  <c r="AE1303" i="50"/>
  <c r="AF1303" i="50"/>
  <c r="AE1304" i="50"/>
  <c r="AF1304" i="50"/>
  <c r="AE1305" i="50"/>
  <c r="AF1305" i="50"/>
  <c r="AE1306" i="50"/>
  <c r="AF1306" i="50"/>
  <c r="AE1307" i="50"/>
  <c r="AF1307" i="50"/>
  <c r="AE1308" i="50"/>
  <c r="AF1308" i="50"/>
  <c r="AE1309" i="50"/>
  <c r="AF1309" i="50"/>
  <c r="AE1310" i="50"/>
  <c r="AF1310" i="50"/>
  <c r="AE1311" i="50"/>
  <c r="AF1311" i="50"/>
  <c r="AE1312" i="50"/>
  <c r="AF1312" i="50"/>
  <c r="AE1313" i="50"/>
  <c r="AF1313" i="50"/>
  <c r="AE1314" i="50"/>
  <c r="AF1314" i="50"/>
  <c r="AE1315" i="50"/>
  <c r="AF1315" i="50"/>
  <c r="AE1316" i="50"/>
  <c r="AF1316" i="50"/>
  <c r="AE1317" i="50"/>
  <c r="AF1317" i="50"/>
  <c r="AE1318" i="50"/>
  <c r="AF1318" i="50"/>
  <c r="AE1319" i="50"/>
  <c r="AF1319" i="50"/>
  <c r="AE1320" i="50"/>
  <c r="AF1320" i="50"/>
  <c r="AE1321" i="50"/>
  <c r="AF1321" i="50"/>
  <c r="AE1322" i="50"/>
  <c r="AF1322" i="50"/>
  <c r="AE1323" i="50"/>
  <c r="AF1323" i="50"/>
  <c r="AE1324" i="50"/>
  <c r="AF1324" i="50"/>
  <c r="AE1325" i="50"/>
  <c r="AF1325" i="50"/>
  <c r="AE1326" i="50"/>
  <c r="AF1326" i="50"/>
  <c r="AE1327" i="50"/>
  <c r="AF1327" i="50"/>
  <c r="AE1328" i="50"/>
  <c r="AF1328" i="50"/>
  <c r="AE1329" i="50"/>
  <c r="AF1329" i="50"/>
  <c r="AE1330" i="50"/>
  <c r="AF1330" i="50"/>
  <c r="AE1331" i="50"/>
  <c r="AF1331" i="50"/>
  <c r="AE1332" i="50"/>
  <c r="AF1332" i="50"/>
  <c r="AE1333" i="50"/>
  <c r="AF1333" i="50"/>
  <c r="AE1334" i="50"/>
  <c r="AF1334" i="50"/>
  <c r="AE1335" i="50"/>
  <c r="AF1335" i="50"/>
  <c r="AE1336" i="50"/>
  <c r="AF1336" i="50"/>
  <c r="AE1337" i="50"/>
  <c r="AF1337" i="50"/>
  <c r="AE1338" i="50"/>
  <c r="AF1338" i="50"/>
  <c r="AE1339" i="50"/>
  <c r="AF1339" i="50"/>
  <c r="AE1340" i="50"/>
  <c r="AF1340" i="50"/>
  <c r="AE1341" i="50"/>
  <c r="AF1341" i="50"/>
  <c r="AE1342" i="50"/>
  <c r="AF1342" i="50"/>
  <c r="AE1343" i="50"/>
  <c r="AF1343" i="50"/>
  <c r="AE1344" i="50"/>
  <c r="AF1344" i="50"/>
  <c r="AE1345" i="50"/>
  <c r="AF1345" i="50"/>
  <c r="AE1346" i="50"/>
  <c r="AF1346" i="50"/>
  <c r="AE1347" i="50"/>
  <c r="AF1347" i="50"/>
  <c r="AE1348" i="50"/>
  <c r="AF1348" i="50"/>
  <c r="AE1349" i="50"/>
  <c r="AF1349" i="50"/>
  <c r="AE1350" i="50"/>
  <c r="AF1350" i="50"/>
  <c r="AE1351" i="50"/>
  <c r="AF1351" i="50"/>
  <c r="AE1352" i="50"/>
  <c r="AF1352" i="50"/>
  <c r="AE1353" i="50"/>
  <c r="AF1353" i="50"/>
  <c r="AE1354" i="50"/>
  <c r="AF1354" i="50"/>
  <c r="AE1355" i="50"/>
  <c r="AF1355" i="50"/>
  <c r="AE1356" i="50"/>
  <c r="AF1356" i="50"/>
  <c r="AE1357" i="50"/>
  <c r="AF1357" i="50"/>
  <c r="AE1358" i="50"/>
  <c r="AF1358" i="50"/>
  <c r="AE1359" i="50"/>
  <c r="AF1359" i="50"/>
  <c r="AE1360" i="50"/>
  <c r="AF1360" i="50"/>
  <c r="AE1361" i="50"/>
  <c r="AF1361" i="50"/>
  <c r="AE1362" i="50"/>
  <c r="AF1362" i="50"/>
  <c r="AE1363" i="50"/>
  <c r="AF1363" i="50"/>
  <c r="AE1364" i="50"/>
  <c r="AF1364" i="50"/>
  <c r="AE1365" i="50"/>
  <c r="AF1365" i="50"/>
  <c r="AE1366" i="50"/>
  <c r="AF1366" i="50"/>
  <c r="AE1367" i="50"/>
  <c r="AF1367" i="50"/>
  <c r="AE1368" i="50"/>
  <c r="AF1368" i="50"/>
  <c r="AE1369" i="50"/>
  <c r="AF1369" i="50"/>
  <c r="AE1370" i="50"/>
  <c r="AF1370" i="50"/>
  <c r="AE1371" i="50"/>
  <c r="AF1371" i="50"/>
  <c r="AE1372" i="50"/>
  <c r="AF1372" i="50"/>
  <c r="AE1373" i="50"/>
  <c r="AF1373" i="50"/>
  <c r="AE1374" i="50"/>
  <c r="AF1374" i="50"/>
  <c r="AE1375" i="50"/>
  <c r="AF1375" i="50"/>
  <c r="AE1376" i="50"/>
  <c r="AF1376" i="50"/>
  <c r="AE1377" i="50"/>
  <c r="AF1377" i="50"/>
  <c r="AE1378" i="50"/>
  <c r="AF1378" i="50"/>
  <c r="AE1379" i="50"/>
  <c r="AF1379" i="50"/>
  <c r="AE1380" i="50"/>
  <c r="AF1380" i="50"/>
  <c r="AE1381" i="50"/>
  <c r="AF1381" i="50"/>
  <c r="AE1382" i="50"/>
  <c r="AF1382" i="50"/>
  <c r="AE1383" i="50"/>
  <c r="AF1383" i="50"/>
  <c r="AE1384" i="50"/>
  <c r="AF1384" i="50"/>
  <c r="AE1385" i="50"/>
  <c r="AF1385" i="50"/>
  <c r="AE1386" i="50"/>
  <c r="AF1386" i="50"/>
  <c r="AE1387" i="50"/>
  <c r="AF1387" i="50"/>
  <c r="AE1388" i="50"/>
  <c r="AF1388" i="50"/>
  <c r="AE1389" i="50"/>
  <c r="AF1389" i="50"/>
  <c r="AE1390" i="50"/>
  <c r="AF1390" i="50"/>
  <c r="AE1391" i="50"/>
  <c r="AF1391" i="50"/>
  <c r="AE1392" i="50"/>
  <c r="AF1392" i="50"/>
  <c r="AE1393" i="50"/>
  <c r="AF1393" i="50"/>
  <c r="AE1394" i="50"/>
  <c r="AF1394" i="50"/>
  <c r="AE1395" i="50"/>
  <c r="AF1395" i="50"/>
  <c r="AE1396" i="50"/>
  <c r="AF1396" i="50"/>
  <c r="AE1397" i="50"/>
  <c r="AF1397" i="50"/>
  <c r="AE1398" i="50"/>
  <c r="AF1398" i="50"/>
  <c r="AE1399" i="50"/>
  <c r="AF1399" i="50"/>
  <c r="AE1400" i="50"/>
  <c r="AF1400" i="50"/>
  <c r="AE1401" i="50"/>
  <c r="AF1401" i="50"/>
  <c r="AE1402" i="50"/>
  <c r="AF1402" i="50"/>
  <c r="AE1403" i="50"/>
  <c r="AF1403" i="50"/>
  <c r="AE1404" i="50"/>
  <c r="AF1404" i="50"/>
  <c r="AE1405" i="50"/>
  <c r="AF1405" i="50"/>
  <c r="AE1406" i="50"/>
  <c r="AF1406" i="50"/>
  <c r="AE1407" i="50"/>
  <c r="AF1407" i="50"/>
  <c r="AE1408" i="50"/>
  <c r="AF1408" i="50"/>
  <c r="AE1409" i="50"/>
  <c r="AF1409" i="50"/>
  <c r="AE1410" i="50"/>
  <c r="AF1410" i="50"/>
  <c r="AE1411" i="50"/>
  <c r="AF1411" i="50"/>
  <c r="AE1412" i="50"/>
  <c r="AF1412" i="50"/>
  <c r="AE1413" i="50"/>
  <c r="AF1413" i="50"/>
  <c r="AE1414" i="50"/>
  <c r="AF1414" i="50"/>
  <c r="AE1415" i="50"/>
  <c r="AF1415" i="50"/>
  <c r="AE1416" i="50"/>
  <c r="AF1416" i="50"/>
  <c r="AE1417" i="50"/>
  <c r="AF1417" i="50"/>
  <c r="AE1418" i="50"/>
  <c r="AF1418" i="50"/>
  <c r="AE1419" i="50"/>
  <c r="AF1419" i="50"/>
  <c r="AE1420" i="50"/>
  <c r="AF1420" i="50"/>
  <c r="AE1421" i="50"/>
  <c r="AF1421" i="50"/>
  <c r="AE1422" i="50"/>
  <c r="AF1422" i="50"/>
  <c r="AE1423" i="50"/>
  <c r="AF1423" i="50"/>
  <c r="AE1424" i="50"/>
  <c r="AF1424" i="50"/>
  <c r="AE1425" i="50"/>
  <c r="AF1425" i="50"/>
  <c r="AE1426" i="50"/>
  <c r="AF1426" i="50"/>
  <c r="AE1427" i="50"/>
  <c r="AF1427" i="50"/>
  <c r="AE1428" i="50"/>
  <c r="AF1428" i="50"/>
  <c r="AE1429" i="50"/>
  <c r="AF1429" i="50"/>
  <c r="AE1430" i="50"/>
  <c r="AF1430" i="50"/>
  <c r="AE1431" i="50"/>
  <c r="AF1431" i="50"/>
  <c r="AE1432" i="50"/>
  <c r="AF1432" i="50"/>
  <c r="AE1433" i="50"/>
  <c r="AF1433" i="50"/>
  <c r="AE1434" i="50"/>
  <c r="AF1434" i="50"/>
  <c r="AE1435" i="50"/>
  <c r="AF1435" i="50"/>
  <c r="AE1436" i="50"/>
  <c r="AF1436" i="50"/>
  <c r="AE1437" i="50"/>
  <c r="AF1437" i="50"/>
  <c r="AE1438" i="50"/>
  <c r="AF1438" i="50"/>
  <c r="AE1439" i="50"/>
  <c r="AF1439" i="50"/>
  <c r="AE1440" i="50"/>
  <c r="AF1440" i="50"/>
  <c r="AE1441" i="50"/>
  <c r="AF1441" i="50"/>
  <c r="AE1442" i="50"/>
  <c r="AF1442" i="50"/>
  <c r="AE1443" i="50"/>
  <c r="AF1443" i="50"/>
  <c r="AE1444" i="50"/>
  <c r="AF1444" i="50"/>
  <c r="AE1445" i="50"/>
  <c r="AF1445" i="50"/>
  <c r="AE1446" i="50"/>
  <c r="AF1446" i="50"/>
  <c r="AE1447" i="50"/>
  <c r="AF1447" i="50"/>
  <c r="AE1448" i="50"/>
  <c r="AF1448" i="50"/>
  <c r="AE1449" i="50"/>
  <c r="AF1449" i="50"/>
  <c r="AE1450" i="50"/>
  <c r="AF1450" i="50"/>
  <c r="AE1451" i="50"/>
  <c r="AF1451" i="50"/>
  <c r="AE1452" i="50"/>
  <c r="AF1452" i="50"/>
  <c r="AE1453" i="50"/>
  <c r="AF1453" i="50"/>
  <c r="AE1454" i="50"/>
  <c r="AF1454" i="50"/>
  <c r="AE1455" i="50"/>
  <c r="AF1455" i="50"/>
  <c r="AE1456" i="50"/>
  <c r="AF1456" i="50"/>
  <c r="AE1457" i="50"/>
  <c r="AF1457" i="50"/>
  <c r="AE1458" i="50"/>
  <c r="AF1458" i="50"/>
  <c r="AE1459" i="50"/>
  <c r="AF1459" i="50"/>
  <c r="AE1460" i="50"/>
  <c r="AF1460" i="50"/>
  <c r="AE1461" i="50"/>
  <c r="AF1461" i="50"/>
  <c r="AE1462" i="50"/>
  <c r="AF1462" i="50"/>
  <c r="AE1463" i="50"/>
  <c r="AF1463" i="50"/>
  <c r="AE1464" i="50"/>
  <c r="AF1464" i="50"/>
  <c r="AE1465" i="50"/>
  <c r="AF1465" i="50"/>
  <c r="AE1466" i="50"/>
  <c r="AF1466" i="50"/>
  <c r="AE1467" i="50"/>
  <c r="AF1467" i="50"/>
  <c r="AE1468" i="50"/>
  <c r="AF1468" i="50"/>
  <c r="AE1469" i="50"/>
  <c r="AF1469" i="50"/>
  <c r="AE1470" i="50"/>
  <c r="AF1470" i="50"/>
  <c r="AE1471" i="50"/>
  <c r="AF1471" i="50"/>
  <c r="AE1472" i="50"/>
  <c r="AF1472" i="50"/>
  <c r="AE1473" i="50"/>
  <c r="AF1473" i="50"/>
  <c r="AE1474" i="50"/>
  <c r="AF1474" i="50"/>
  <c r="AE1475" i="50"/>
  <c r="AF1475" i="50"/>
  <c r="AE1476" i="50"/>
  <c r="AF1476" i="50"/>
  <c r="AE1477" i="50"/>
  <c r="AF1477" i="50"/>
  <c r="AE1478" i="50"/>
  <c r="AF1478" i="50"/>
  <c r="AE1479" i="50"/>
  <c r="AF1479" i="50"/>
  <c r="AE1480" i="50"/>
  <c r="AF1480" i="50"/>
  <c r="AE1481" i="50"/>
  <c r="AF1481" i="50"/>
  <c r="AE1482" i="50"/>
  <c r="AF1482" i="50"/>
  <c r="AE1483" i="50"/>
  <c r="AF1483" i="50"/>
  <c r="AE1484" i="50"/>
  <c r="AF1484" i="50"/>
  <c r="AE1485" i="50"/>
  <c r="AF1485" i="50"/>
  <c r="AE1486" i="50"/>
  <c r="AF1486" i="50"/>
  <c r="AE1487" i="50"/>
  <c r="AF1487" i="50"/>
  <c r="AE1488" i="50"/>
  <c r="AF1488" i="50"/>
  <c r="AE1489" i="50"/>
  <c r="AF1489" i="50"/>
  <c r="AE1490" i="50"/>
  <c r="AF1490" i="50"/>
  <c r="AE1491" i="50"/>
  <c r="AF1491" i="50"/>
  <c r="AE1492" i="50"/>
  <c r="AF1492" i="50"/>
  <c r="AE1493" i="50"/>
  <c r="AF1493" i="50"/>
  <c r="AE1494" i="50"/>
  <c r="AF1494" i="50"/>
  <c r="AE1495" i="50"/>
  <c r="AF1495" i="50"/>
  <c r="AE1496" i="50"/>
  <c r="AF1496" i="50"/>
  <c r="AE1497" i="50"/>
  <c r="AF1497" i="50"/>
  <c r="AE1498" i="50"/>
  <c r="AF1498" i="50"/>
  <c r="AE1499" i="50"/>
  <c r="AF1499" i="50"/>
  <c r="AE1500" i="50"/>
  <c r="AF1500" i="50"/>
  <c r="AE1501" i="50"/>
  <c r="AF1501" i="50"/>
  <c r="AE1502" i="50"/>
  <c r="AF1502" i="50"/>
  <c r="AE1503" i="50"/>
  <c r="AF1503" i="50"/>
  <c r="AE1504" i="50"/>
  <c r="AF1504" i="50"/>
  <c r="AE1505" i="50"/>
  <c r="AF1505" i="50"/>
  <c r="AE1506" i="50"/>
  <c r="AF1506" i="50"/>
  <c r="AE1507" i="50"/>
  <c r="AF1507" i="50"/>
  <c r="AE1508" i="50"/>
  <c r="AF1508" i="50"/>
  <c r="AE1509" i="50"/>
  <c r="AF1509" i="50"/>
  <c r="AE1510" i="50"/>
  <c r="AF1510" i="50"/>
  <c r="AE1511" i="50"/>
  <c r="AF1511" i="50"/>
  <c r="AE1512" i="50"/>
  <c r="AF1512" i="50"/>
  <c r="AE1513" i="50"/>
  <c r="AF1513" i="50"/>
  <c r="AE1514" i="50"/>
  <c r="AF1514" i="50"/>
  <c r="AE1515" i="50"/>
  <c r="AF1515" i="50"/>
  <c r="AE1516" i="50"/>
  <c r="AF1516" i="50"/>
  <c r="AE1517" i="50"/>
  <c r="AF1517" i="50"/>
  <c r="AE1518" i="50"/>
  <c r="AF1518" i="50"/>
  <c r="AE1519" i="50"/>
  <c r="AF1519" i="50"/>
  <c r="AE1520" i="50"/>
  <c r="AF1520" i="50"/>
  <c r="AE1521" i="50"/>
  <c r="AF1521" i="50"/>
  <c r="AE1522" i="50"/>
  <c r="AF1522" i="50"/>
  <c r="AE1523" i="50"/>
  <c r="AF1523" i="50"/>
  <c r="AE1524" i="50"/>
  <c r="AF1524" i="50"/>
  <c r="AE1525" i="50"/>
  <c r="AF1525" i="50"/>
  <c r="AE1526" i="50"/>
  <c r="AF1526" i="50"/>
  <c r="AE1527" i="50"/>
  <c r="AF1527" i="50"/>
  <c r="AE1528" i="50"/>
  <c r="AF1528" i="50"/>
  <c r="AF1529" i="50"/>
  <c r="AF1530" i="50"/>
  <c r="AF1531" i="50"/>
  <c r="AF1532" i="50"/>
  <c r="AF1533" i="50"/>
  <c r="AF1534" i="50"/>
  <c r="AF1535" i="50"/>
  <c r="AF1536" i="50"/>
  <c r="AF1537" i="50"/>
  <c r="AF1538" i="50"/>
  <c r="AF1539" i="50"/>
  <c r="AF1540" i="50"/>
  <c r="AF1541" i="50"/>
  <c r="AF1542" i="50"/>
  <c r="AF1543" i="50"/>
  <c r="AF1544" i="50"/>
  <c r="AF1545" i="50"/>
  <c r="AF1546" i="50"/>
  <c r="AF1547" i="50"/>
  <c r="AF1548" i="50"/>
  <c r="AF1549" i="50"/>
  <c r="AF1550" i="50"/>
  <c r="AF1551" i="50"/>
  <c r="AF1552" i="50"/>
  <c r="AF1553" i="50"/>
  <c r="AF1554" i="50"/>
  <c r="AF1555" i="50"/>
  <c r="AF1556" i="50"/>
  <c r="AF1557" i="50"/>
  <c r="AF1558" i="50"/>
  <c r="AF1559" i="50"/>
  <c r="AF1560" i="50"/>
  <c r="AF1561" i="50"/>
  <c r="AF1562" i="50"/>
  <c r="AF1563" i="50"/>
  <c r="AF1564" i="50"/>
  <c r="AF1565" i="50"/>
  <c r="AF1566" i="50"/>
  <c r="AF1567" i="50"/>
  <c r="AF1568" i="50"/>
  <c r="AF1569" i="50"/>
  <c r="AF1570" i="50"/>
  <c r="AF1571" i="50"/>
  <c r="AF1572" i="50"/>
  <c r="AF1573" i="50"/>
  <c r="AF1574" i="50"/>
  <c r="AF1575" i="50"/>
  <c r="AF1576" i="50"/>
  <c r="AF1577" i="50"/>
  <c r="AF1578" i="50"/>
  <c r="AF1579" i="50"/>
  <c r="AF1580" i="50"/>
  <c r="AF1581" i="50"/>
  <c r="AF1582" i="50"/>
  <c r="AF1583" i="50"/>
  <c r="AF1584" i="50"/>
  <c r="AF1585" i="50"/>
  <c r="AF1586" i="50"/>
  <c r="AF1587" i="50"/>
  <c r="AF1588" i="50"/>
  <c r="AF1589" i="50"/>
  <c r="AF1590" i="50"/>
  <c r="AF1591" i="50"/>
  <c r="AF1592" i="50"/>
  <c r="AF1593" i="50"/>
  <c r="AF1594" i="50"/>
  <c r="AF1595" i="50"/>
  <c r="AF1596" i="50"/>
  <c r="AF1597" i="50"/>
  <c r="AF1598" i="50"/>
  <c r="AF1599" i="50"/>
  <c r="AF1600" i="50"/>
  <c r="AF1601" i="50"/>
  <c r="AF1602" i="50"/>
  <c r="AF1603" i="50"/>
  <c r="AF1604" i="50"/>
  <c r="AF1605" i="50"/>
  <c r="AF1606" i="50"/>
  <c r="AF1607" i="50"/>
  <c r="AF1608" i="50"/>
  <c r="AF1609" i="50"/>
  <c r="AF1610" i="50"/>
  <c r="AF1611" i="50"/>
  <c r="AF1612" i="50"/>
  <c r="AF1613" i="50"/>
  <c r="AF1614" i="50"/>
  <c r="AF1615" i="50"/>
  <c r="AF1616" i="50"/>
  <c r="AF1617" i="50"/>
  <c r="AF1618" i="50"/>
  <c r="AF1619" i="50"/>
  <c r="AF1620" i="50"/>
  <c r="AF1621" i="50"/>
  <c r="AF1622" i="50"/>
  <c r="AF1623" i="50"/>
  <c r="AF1624" i="50"/>
  <c r="AF1625" i="50"/>
  <c r="AF1626" i="50"/>
  <c r="AF1627" i="50"/>
  <c r="AF1628" i="50"/>
  <c r="AF1629" i="50"/>
  <c r="AF1630" i="50"/>
  <c r="AF1631" i="50"/>
  <c r="AF1632" i="50"/>
  <c r="AF1633" i="50"/>
  <c r="AF1634" i="50"/>
  <c r="AF1635" i="50"/>
  <c r="AF1636" i="50"/>
  <c r="AF1637" i="50"/>
  <c r="AF1638" i="50"/>
  <c r="AF1639" i="50"/>
  <c r="AF1640" i="50"/>
  <c r="AF1641" i="50"/>
  <c r="AF1642" i="50"/>
  <c r="AF1643" i="50"/>
  <c r="AF1644" i="50"/>
  <c r="AF1645" i="50"/>
  <c r="AF1646" i="50"/>
  <c r="AF1647" i="50"/>
  <c r="AF1648" i="50"/>
  <c r="AF1649" i="50"/>
  <c r="AF1650" i="50"/>
  <c r="AF1651" i="50"/>
  <c r="AF1652" i="50"/>
  <c r="AF1653" i="50"/>
  <c r="AF1654" i="50"/>
  <c r="AF1655" i="50"/>
  <c r="AF1656" i="50"/>
  <c r="AF1657" i="50"/>
  <c r="AF1658" i="50"/>
  <c r="AF1659" i="50"/>
  <c r="AF1660" i="50"/>
  <c r="AF1661" i="50"/>
  <c r="AF1662" i="50"/>
  <c r="AF1663" i="50"/>
  <c r="AF1664" i="50"/>
  <c r="AE1529" i="50"/>
  <c r="AE1530" i="50"/>
  <c r="AE1531" i="50"/>
  <c r="AE1532" i="50"/>
  <c r="AE1533" i="50"/>
  <c r="AE1534" i="50"/>
  <c r="AE1535" i="50"/>
  <c r="AE1536" i="50"/>
  <c r="AE1537" i="50"/>
  <c r="AE1538" i="50"/>
  <c r="AE1539" i="50"/>
  <c r="AE1540" i="50"/>
  <c r="AE1541" i="50"/>
  <c r="AE1542" i="50"/>
  <c r="AE1543" i="50"/>
  <c r="AE1544" i="50"/>
  <c r="AE1545" i="50"/>
  <c r="AE1546" i="50"/>
  <c r="AE1547" i="50"/>
  <c r="AE1548" i="50"/>
  <c r="AE1549" i="50"/>
  <c r="AE1550" i="50"/>
  <c r="AE1551" i="50"/>
  <c r="AE1552" i="50"/>
  <c r="AE1553" i="50"/>
  <c r="AE1554" i="50"/>
  <c r="AE1555" i="50"/>
  <c r="AE1556" i="50"/>
  <c r="AE1557" i="50"/>
  <c r="AE1558" i="50"/>
  <c r="AE1559" i="50"/>
  <c r="AE1560" i="50"/>
  <c r="AE1561" i="50"/>
  <c r="AE1562" i="50"/>
  <c r="AE1563" i="50"/>
  <c r="AE1564" i="50"/>
  <c r="AE1565" i="50"/>
  <c r="AE1566" i="50"/>
  <c r="AE1567" i="50"/>
  <c r="AE1568" i="50"/>
  <c r="AE1569" i="50"/>
  <c r="AE1570" i="50"/>
  <c r="AE1571" i="50"/>
  <c r="AE1572" i="50"/>
  <c r="AE1573" i="50"/>
  <c r="AE1574" i="50"/>
  <c r="AE1575" i="50"/>
  <c r="AE1576" i="50"/>
  <c r="AE1577" i="50"/>
  <c r="AE1578" i="50"/>
  <c r="AE1579" i="50"/>
  <c r="AE1580" i="50"/>
  <c r="AE1581" i="50"/>
  <c r="AE1582" i="50"/>
  <c r="AE1583" i="50"/>
  <c r="AE1584" i="50"/>
  <c r="AE1585" i="50"/>
  <c r="AE1586" i="50"/>
  <c r="AE1587" i="50"/>
  <c r="AE1588" i="50"/>
  <c r="AE1589" i="50"/>
  <c r="AE1590" i="50"/>
  <c r="AE1591" i="50"/>
  <c r="AE1592" i="50"/>
  <c r="AE1593" i="50"/>
  <c r="AE1594" i="50"/>
  <c r="AE1595" i="50"/>
  <c r="AE1596" i="50"/>
  <c r="AE1597" i="50"/>
  <c r="AE1598" i="50"/>
  <c r="AE1599" i="50"/>
  <c r="AE1600" i="50"/>
  <c r="AE1601" i="50"/>
  <c r="AE1602" i="50"/>
  <c r="AE1603" i="50"/>
  <c r="AE1604" i="50"/>
  <c r="AE1605" i="50"/>
  <c r="AE1606" i="50"/>
  <c r="AE1607" i="50"/>
  <c r="AE1608" i="50"/>
  <c r="AE1609" i="50"/>
  <c r="AE1610" i="50"/>
  <c r="AE1611" i="50"/>
  <c r="AE1612" i="50"/>
  <c r="AE1613" i="50"/>
  <c r="AE1614" i="50"/>
  <c r="AE1615" i="50"/>
  <c r="AE1616" i="50"/>
  <c r="AE1617" i="50"/>
  <c r="AE1618" i="50"/>
  <c r="AE1619" i="50"/>
  <c r="AE1620" i="50"/>
  <c r="AE1621" i="50"/>
  <c r="AE1622" i="50"/>
  <c r="AE1623" i="50"/>
  <c r="AE1624" i="50"/>
  <c r="AE1625" i="50"/>
  <c r="AE1626" i="50"/>
  <c r="AE1627" i="50"/>
  <c r="AE1628" i="50"/>
  <c r="AE1629" i="50"/>
  <c r="AE1630" i="50"/>
  <c r="AE1631" i="50"/>
  <c r="AE1632" i="50"/>
  <c r="AE1633" i="50"/>
  <c r="AE1634" i="50"/>
  <c r="AE1635" i="50"/>
  <c r="AE1636" i="50"/>
  <c r="AE1637" i="50"/>
  <c r="AE1638" i="50"/>
  <c r="AE1639" i="50"/>
  <c r="AE1640" i="50"/>
  <c r="AE1641" i="50"/>
  <c r="AE1642" i="50"/>
  <c r="AE1643" i="50"/>
  <c r="AE1644" i="50"/>
  <c r="AE1645" i="50"/>
  <c r="AE1646" i="50"/>
  <c r="AE1647" i="50"/>
  <c r="AE1648" i="50"/>
  <c r="AE1649" i="50"/>
  <c r="AE1650" i="50"/>
  <c r="AE1651" i="50"/>
  <c r="AE1652" i="50"/>
  <c r="AE1653" i="50"/>
  <c r="AE1654" i="50"/>
  <c r="AE1655" i="50"/>
  <c r="AE1656" i="50"/>
  <c r="AE1657" i="50"/>
  <c r="AE1658" i="50"/>
  <c r="AE1659" i="50"/>
  <c r="AE1660" i="50"/>
  <c r="AE1661" i="50"/>
  <c r="AE1662" i="50"/>
  <c r="AE1663" i="50"/>
  <c r="AE1664" i="50"/>
  <c r="J13" i="49" l="1"/>
  <c r="L7" i="49"/>
  <c r="M7" i="49"/>
  <c r="M13" i="49" s="1"/>
  <c r="K13" i="49"/>
  <c r="L13" i="49" s="1"/>
  <c r="L12" i="49"/>
  <c r="M24" i="49"/>
  <c r="M23" i="49"/>
  <c r="L24" i="49"/>
  <c r="L23" i="49"/>
  <c r="M19" i="49"/>
  <c r="M18" i="49"/>
  <c r="L19" i="49"/>
  <c r="L18" i="49"/>
  <c r="D6" i="5" l="1"/>
  <c r="G30" i="5" l="1"/>
  <c r="H30" i="5"/>
  <c r="I30" i="5"/>
  <c r="J30" i="5"/>
  <c r="K30" i="5"/>
  <c r="L30" i="5"/>
  <c r="M30" i="5"/>
  <c r="N30" i="5"/>
  <c r="S9" i="5" l="1"/>
  <c r="T9" i="5"/>
  <c r="S10" i="5"/>
  <c r="T10" i="5"/>
  <c r="S11" i="5"/>
  <c r="T11" i="5"/>
  <c r="S12" i="5"/>
  <c r="T12" i="5"/>
  <c r="S17" i="5"/>
  <c r="T17" i="5"/>
  <c r="S18" i="5"/>
  <c r="T18" i="5"/>
  <c r="S19" i="5"/>
  <c r="T19" i="5"/>
  <c r="S20" i="5"/>
  <c r="T20" i="5"/>
  <c r="D28" i="2"/>
  <c r="U12" i="5" l="1"/>
  <c r="V17" i="5"/>
  <c r="U10" i="5"/>
  <c r="U19" i="5"/>
  <c r="V11" i="5"/>
  <c r="V10" i="5"/>
  <c r="V9" i="5"/>
  <c r="V20" i="5"/>
  <c r="V18" i="5"/>
  <c r="V19" i="5"/>
  <c r="U11" i="5"/>
  <c r="U20" i="5"/>
  <c r="U18" i="5"/>
  <c r="V12" i="5"/>
  <c r="T13" i="5"/>
  <c r="U17" i="5"/>
  <c r="U9" i="5"/>
  <c r="S21" i="5"/>
  <c r="T21" i="5"/>
  <c r="S13" i="5"/>
  <c r="P13" i="2"/>
  <c r="P14" i="2"/>
  <c r="P12" i="2"/>
  <c r="P8" i="2"/>
  <c r="P9" i="2"/>
  <c r="U13" i="5" l="1"/>
  <c r="V21" i="5"/>
  <c r="U21" i="5"/>
  <c r="V13" i="5"/>
  <c r="P10" i="2"/>
  <c r="O26" i="5"/>
  <c r="O27" i="5"/>
  <c r="O28" i="5"/>
  <c r="O29" i="5"/>
  <c r="O25" i="5"/>
  <c r="O19" i="5"/>
  <c r="O20" i="5"/>
  <c r="O21" i="5"/>
  <c r="O22" i="5"/>
  <c r="O23" i="5"/>
  <c r="O14" i="5"/>
  <c r="O15" i="5"/>
  <c r="O16" i="5"/>
  <c r="O17" i="5"/>
  <c r="O13" i="5"/>
  <c r="O8" i="5"/>
  <c r="O9" i="5"/>
  <c r="O10" i="5"/>
  <c r="O11" i="5"/>
  <c r="O7" i="5"/>
  <c r="O30" i="5" l="1"/>
  <c r="W10" i="5"/>
  <c r="W11" i="5"/>
  <c r="W9" i="5"/>
  <c r="W12" i="5"/>
  <c r="E29" i="5"/>
  <c r="E23" i="5"/>
  <c r="E17" i="5"/>
  <c r="E11" i="5"/>
  <c r="D29" i="5"/>
  <c r="D23" i="5"/>
  <c r="D17" i="5"/>
  <c r="D11" i="5"/>
  <c r="E28" i="5"/>
  <c r="E22" i="5"/>
  <c r="E16" i="5"/>
  <c r="E10" i="5"/>
  <c r="D28" i="5"/>
  <c r="D22" i="5"/>
  <c r="D21" i="5"/>
  <c r="D16" i="5"/>
  <c r="D10" i="5"/>
  <c r="E27" i="5"/>
  <c r="E21" i="5"/>
  <c r="E15" i="5"/>
  <c r="E9" i="5"/>
  <c r="D27" i="5"/>
  <c r="D15" i="5"/>
  <c r="D9" i="5"/>
  <c r="E26" i="5"/>
  <c r="E20" i="5"/>
  <c r="E14" i="5"/>
  <c r="E8" i="5"/>
  <c r="D26" i="5"/>
  <c r="D20" i="5"/>
  <c r="D14" i="5"/>
  <c r="D8" i="5"/>
  <c r="E24" i="5"/>
  <c r="E18" i="5"/>
  <c r="E12" i="5"/>
  <c r="E6" i="5"/>
  <c r="O6" i="5" s="1"/>
  <c r="D24" i="5"/>
  <c r="D18" i="5"/>
  <c r="D12" i="5"/>
  <c r="E25" i="5"/>
  <c r="E19" i="5"/>
  <c r="E13" i="5"/>
  <c r="E7" i="5"/>
  <c r="D25" i="5"/>
  <c r="D19" i="5"/>
  <c r="D13" i="5"/>
  <c r="D7" i="5"/>
  <c r="O15" i="2"/>
  <c r="O10" i="2"/>
  <c r="E30" i="5" l="1"/>
  <c r="D30" i="5"/>
  <c r="W13" i="5"/>
  <c r="O16" i="2"/>
  <c r="AB17" i="2" l="1"/>
  <c r="AA17" i="2"/>
  <c r="AB16" i="2"/>
  <c r="AA16" i="2"/>
  <c r="AB15" i="2"/>
  <c r="AA15" i="2"/>
  <c r="AB14" i="2"/>
  <c r="AA14" i="2"/>
  <c r="AB13" i="2"/>
  <c r="AA13" i="2"/>
  <c r="AB12" i="2"/>
  <c r="AA12" i="2"/>
  <c r="Z7" i="2" l="1"/>
  <c r="Z8" i="2"/>
  <c r="Z9" i="2"/>
  <c r="Y9" i="2"/>
  <c r="Y7" i="2"/>
  <c r="Y8" i="2"/>
  <c r="AB9" i="2" l="1"/>
  <c r="AB8" i="2"/>
  <c r="AB7" i="2"/>
  <c r="AA9" i="2"/>
  <c r="AA7" i="2"/>
  <c r="AA8" i="2"/>
  <c r="K15" i="2" l="1"/>
  <c r="J15" i="2"/>
  <c r="I15" i="2"/>
  <c r="O24" i="5" l="1"/>
  <c r="O18" i="5"/>
  <c r="O12" i="5"/>
  <c r="M15" i="2"/>
  <c r="N15" i="2"/>
  <c r="M10" i="2"/>
  <c r="N10" i="2"/>
  <c r="L15" i="2"/>
  <c r="L10" i="2"/>
  <c r="K10" i="2"/>
  <c r="J10" i="2"/>
  <c r="I10" i="2"/>
  <c r="H15" i="2"/>
  <c r="H10" i="2"/>
  <c r="H16" i="2" s="1"/>
  <c r="N16" i="2" l="1"/>
  <c r="M16" i="2"/>
  <c r="L16" i="2"/>
  <c r="I16" i="2"/>
  <c r="K16" i="2"/>
  <c r="J16" i="2"/>
  <c r="E8" i="2" l="1"/>
  <c r="P15" i="2" l="1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30" i="5" l="1"/>
  <c r="P16" i="2"/>
  <c r="E14" i="2" l="1"/>
  <c r="E9" i="2"/>
  <c r="E13" i="2"/>
  <c r="E12" i="2"/>
  <c r="D14" i="2"/>
  <c r="D9" i="2"/>
  <c r="D8" i="2"/>
  <c r="D13" i="2"/>
  <c r="D12" i="2"/>
  <c r="F14" i="2" l="1"/>
  <c r="F12" i="2"/>
  <c r="F13" i="2"/>
  <c r="G8" i="2"/>
  <c r="F8" i="2"/>
  <c r="F9" i="2"/>
  <c r="D15" i="2"/>
  <c r="E15" i="2"/>
  <c r="D10" i="2"/>
  <c r="E10" i="2"/>
  <c r="G14" i="2"/>
  <c r="G12" i="2"/>
  <c r="G13" i="2"/>
  <c r="G9" i="2"/>
  <c r="E16" i="2" l="1"/>
  <c r="F10" i="2"/>
  <c r="D16" i="2"/>
  <c r="F15" i="2"/>
  <c r="G15" i="2"/>
  <c r="G10" i="2"/>
  <c r="F16" i="2" l="1"/>
  <c r="G16" i="2"/>
</calcChain>
</file>

<file path=xl/sharedStrings.xml><?xml version="1.0" encoding="utf-8"?>
<sst xmlns="http://schemas.openxmlformats.org/spreadsheetml/2006/main" count="112483" uniqueCount="7446">
  <si>
    <t>Responsible Company (Summary)</t>
  </si>
  <si>
    <t>E</t>
  </si>
  <si>
    <t>I</t>
  </si>
  <si>
    <t>M</t>
  </si>
  <si>
    <t>P</t>
  </si>
  <si>
    <t>T</t>
  </si>
  <si>
    <t>Discipline</t>
  </si>
  <si>
    <t xml:space="preserve">Total </t>
  </si>
  <si>
    <t>Open</t>
  </si>
  <si>
    <t>TOTAL</t>
  </si>
  <si>
    <t>Electrical</t>
  </si>
  <si>
    <t>Instrumentation</t>
  </si>
  <si>
    <t>Mechanical</t>
  </si>
  <si>
    <t>Piping &amp; Vessel</t>
  </si>
  <si>
    <t>Telecom</t>
  </si>
  <si>
    <t>Grand Total</t>
  </si>
  <si>
    <t>Milestone &amp; Discipline</t>
  </si>
  <si>
    <t>Subsystem Total</t>
  </si>
  <si>
    <t xml:space="preserve">ITR Total </t>
  </si>
  <si>
    <t>ITR EACOP Approved</t>
  </si>
  <si>
    <t>ITR Open</t>
  </si>
  <si>
    <t>Description</t>
  </si>
  <si>
    <t>Task ID</t>
  </si>
  <si>
    <t>Field005 (Custom)</t>
  </si>
  <si>
    <t>Closed</t>
  </si>
  <si>
    <t>Total</t>
  </si>
  <si>
    <t>Systemization - Process Plant ID</t>
  </si>
  <si>
    <t>SUBSYSTEM</t>
  </si>
  <si>
    <t>Priority</t>
  </si>
  <si>
    <t>Instrument Air Compressor Skid</t>
  </si>
  <si>
    <t>Systemization - Subsystem (Summary)</t>
  </si>
  <si>
    <t>Physical Location - Area (Summary)</t>
  </si>
  <si>
    <t>Asset - Tag</t>
  </si>
  <si>
    <t>Asset Pack ID</t>
  </si>
  <si>
    <t>Cable Pack ID</t>
  </si>
  <si>
    <t>Pipe Pack ID</t>
  </si>
  <si>
    <t>Loop Name</t>
  </si>
  <si>
    <t>Category (Summary)</t>
  </si>
  <si>
    <t>Task Type (Name)</t>
  </si>
  <si>
    <t>Discipline (Summary)</t>
  </si>
  <si>
    <t>Asset - Description</t>
  </si>
  <si>
    <t>Actual Duration</t>
  </si>
  <si>
    <t>Scheduled Duration</t>
  </si>
  <si>
    <t>Task Duration</t>
  </si>
  <si>
    <t>Title - Actual MH/Person</t>
  </si>
  <si>
    <t>Title - Planned MH/Person</t>
  </si>
  <si>
    <t>Closing Date</t>
  </si>
  <si>
    <t>Subsystem ID</t>
  </si>
  <si>
    <t>Test Form - Description</t>
  </si>
  <si>
    <t>Asset Discipline</t>
  </si>
  <si>
    <t>Task State</t>
  </si>
  <si>
    <t>E - Electrical</t>
  </si>
  <si>
    <t>I - Instrumentation</t>
  </si>
  <si>
    <t>M - Mechanical</t>
  </si>
  <si>
    <t>P - Piping &amp; Vessel</t>
  </si>
  <si>
    <t>T - Telecom</t>
  </si>
  <si>
    <t>PS5-60-22</t>
  </si>
  <si>
    <t>PS5-60-26</t>
  </si>
  <si>
    <t>PS5-60-27</t>
  </si>
  <si>
    <t>PS5-60-02</t>
  </si>
  <si>
    <t>PS5-60-03</t>
  </si>
  <si>
    <t>PS5-71-23</t>
  </si>
  <si>
    <t>PS5-60-70</t>
  </si>
  <si>
    <t>PS5-60-57</t>
  </si>
  <si>
    <t>PS5-60-05</t>
  </si>
  <si>
    <t>PS5-60-06</t>
  </si>
  <si>
    <t>PS5-60-35</t>
  </si>
  <si>
    <t>PS5-60-42</t>
  </si>
  <si>
    <t>PS5-60-49</t>
  </si>
  <si>
    <t>PS5-71-22</t>
  </si>
  <si>
    <t>PS5-60-01</t>
  </si>
  <si>
    <t>PS5-60-56</t>
  </si>
  <si>
    <t>PS5-60-59</t>
  </si>
  <si>
    <t>PS5-60-71</t>
  </si>
  <si>
    <t>PS5-60-36</t>
  </si>
  <si>
    <t>PS5-60-43</t>
  </si>
  <si>
    <t>PS5-60-04</t>
  </si>
  <si>
    <t>PS5-60-50</t>
  </si>
  <si>
    <t>PS5-60-58</t>
  </si>
  <si>
    <t>PS5-60-08</t>
  </si>
  <si>
    <t>PS5-60-09</t>
  </si>
  <si>
    <t>PS5-60-61</t>
  </si>
  <si>
    <t>PS5-60-72</t>
  </si>
  <si>
    <t>PS5-60-11</t>
  </si>
  <si>
    <t>PS5-60-12</t>
  </si>
  <si>
    <t>PS5-60-37</t>
  </si>
  <si>
    <t>PS5-60-44</t>
  </si>
  <si>
    <t>PS5-60-51</t>
  </si>
  <si>
    <t>PS5-60-07</t>
  </si>
  <si>
    <t>PS5-60-60</t>
  </si>
  <si>
    <t>PS5-60-63</t>
  </si>
  <si>
    <t>PS5-60-73</t>
  </si>
  <si>
    <t>PS5-60-14</t>
  </si>
  <si>
    <t>PS5-60-15</t>
  </si>
  <si>
    <t>PS5-60-38</t>
  </si>
  <si>
    <t>PS5-60-45</t>
  </si>
  <si>
    <t>PS5-60-52</t>
  </si>
  <si>
    <t>PS5-60-10</t>
  </si>
  <si>
    <t>PS5-60-62</t>
  </si>
  <si>
    <t>PS5-60-65</t>
  </si>
  <si>
    <t>PS5-60-74</t>
  </si>
  <si>
    <t>PS5-60-17</t>
  </si>
  <si>
    <t>PS5-60-18</t>
  </si>
  <si>
    <t>PS5-60-39</t>
  </si>
  <si>
    <t>PS5-60-46</t>
  </si>
  <si>
    <t>PS5-60-53</t>
  </si>
  <si>
    <t>PS5-60-13</t>
  </si>
  <si>
    <t>PS5-60-64</t>
  </si>
  <si>
    <t>PS5-60-67</t>
  </si>
  <si>
    <t>PS5-60-75</t>
  </si>
  <si>
    <t>PS5-60-40</t>
  </si>
  <si>
    <t>PS5-60-47</t>
  </si>
  <si>
    <t>PS5-60-54</t>
  </si>
  <si>
    <t>PS5-60-16</t>
  </si>
  <si>
    <t>PS5-60-66</t>
  </si>
  <si>
    <t>PS5-60-20</t>
  </si>
  <si>
    <t>PS5-60-21</t>
  </si>
  <si>
    <t>PS5-60-69</t>
  </si>
  <si>
    <t>PS5-60-76</t>
  </si>
  <si>
    <t>PS5-60-41</t>
  </si>
  <si>
    <t>PS5-60-48</t>
  </si>
  <si>
    <t>PS5-60-55</t>
  </si>
  <si>
    <t>PS5-60-19</t>
  </si>
  <si>
    <t>PS5-60-68</t>
  </si>
  <si>
    <t>PS5-03-14</t>
  </si>
  <si>
    <t>PS5-71-06</t>
  </si>
  <si>
    <t>PS5-71-08</t>
  </si>
  <si>
    <t>PS5-71-09</t>
  </si>
  <si>
    <t>PS5 - Milestone B</t>
  </si>
  <si>
    <t>PS5 - Milestone D</t>
  </si>
  <si>
    <t>PS5 - Milestone E</t>
  </si>
  <si>
    <t>PS5 - Milestone H</t>
  </si>
  <si>
    <t>PCOM - Precommissioning</t>
  </si>
  <si>
    <t>Conformity Check</t>
  </si>
  <si>
    <t>EACOP</t>
  </si>
  <si>
    <t>CPP AGI</t>
  </si>
  <si>
    <t>8</t>
  </si>
  <si>
    <t>PS5 - TZA - PS5 - Tanzania</t>
  </si>
  <si>
    <t>To be completed</t>
  </si>
  <si>
    <t>10</t>
  </si>
  <si>
    <t>20</t>
  </si>
  <si>
    <t>CPX02 - Power transformer</t>
  </si>
  <si>
    <t>16</t>
  </si>
  <si>
    <t>Power Transformer</t>
  </si>
  <si>
    <t>T-00018-0192</t>
  </si>
  <si>
    <t>PS5-61-IU-0001A</t>
  </si>
  <si>
    <t>11/33kV Transformer - 6.8 MVA</t>
  </si>
  <si>
    <t>PS5-60-01 - Power Generation Package A</t>
  </si>
  <si>
    <t>T-00018-0193</t>
  </si>
  <si>
    <t>PS5-61-IU-0001B</t>
  </si>
  <si>
    <t>PS5-60-04 - Power Generation Package B</t>
  </si>
  <si>
    <t>T-00018-0194</t>
  </si>
  <si>
    <t>PS5-61-IU-0001C</t>
  </si>
  <si>
    <t>PS5-60-07 - Power Generation Package C</t>
  </si>
  <si>
    <t>T-00018-0195</t>
  </si>
  <si>
    <t>PS5-61-IU-0001D</t>
  </si>
  <si>
    <t>PS5-60-10 - Power Generation Package D</t>
  </si>
  <si>
    <t>T-00018-0196</t>
  </si>
  <si>
    <t>PS5-61-IU-0001E</t>
  </si>
  <si>
    <t>PS5-60-13 - Power Generation Package E</t>
  </si>
  <si>
    <t>T-00018-0197</t>
  </si>
  <si>
    <t>PS5-61-IU-0001F</t>
  </si>
  <si>
    <t>PS5-60-16 - Power Generation Package F</t>
  </si>
  <si>
    <t>T-00018-0198</t>
  </si>
  <si>
    <t>PS5-61-IU-0001G</t>
  </si>
  <si>
    <t>PS5-60-19 - Power Generation Package G</t>
  </si>
  <si>
    <t>24</t>
  </si>
  <si>
    <t>CPX08 - HV Power Cable</t>
  </si>
  <si>
    <t>4</t>
  </si>
  <si>
    <t>TZ-MID-68-WPR2-150101</t>
  </si>
  <si>
    <t>HV Power Cable</t>
  </si>
  <si>
    <t>T-00022-3334</t>
  </si>
  <si>
    <t>PS5-60-IJ-0001A-CH04</t>
  </si>
  <si>
    <t>Cable FROM PS5-60-GE-8100A TO PS5-60-IJ-0001A</t>
  </si>
  <si>
    <t>T-00022-3335</t>
  </si>
  <si>
    <t>PS5-60-IJ-0001B-CH04</t>
  </si>
  <si>
    <t>Cable FROM PS5-60-GE-8100B TO PS5-60-IJ-0001B</t>
  </si>
  <si>
    <t>T-00022-3336</t>
  </si>
  <si>
    <t>PS5-60-IJ-0001C-CH04</t>
  </si>
  <si>
    <t>Cable FROM PS5-60-GE-8100C TO PS5-60-IJ-0001C</t>
  </si>
  <si>
    <t>T-00022-3337</t>
  </si>
  <si>
    <t>PS5-60-IJ-0001D-CH04</t>
  </si>
  <si>
    <t>Cable FROM PS5-60-GE-8100D TO PS5-60-IJ-0001D</t>
  </si>
  <si>
    <t>T-00022-3338</t>
  </si>
  <si>
    <t>PS5-60-IJ-0001E-CH04</t>
  </si>
  <si>
    <t>Cable FROM PS5-60-GE-8100E TO PS5-60-IJ-0001E</t>
  </si>
  <si>
    <t>T-00022-3339</t>
  </si>
  <si>
    <t>PS5-60-IJ-0001F-CH04</t>
  </si>
  <si>
    <t>Cable FROM PS5-60-GE-8100F TO PS5-60-IJ-0001F</t>
  </si>
  <si>
    <t>T-00022-3340</t>
  </si>
  <si>
    <t>PS5-60-IJ-0001G-CH04</t>
  </si>
  <si>
    <t>Cable FROM PS5-60-GE-8100G TO PS5-60-IJ-0001G</t>
  </si>
  <si>
    <t>T-00022-3377</t>
  </si>
  <si>
    <t>PS5-61-IJ-0001-CH01</t>
  </si>
  <si>
    <t>Cable FROM PS5-61-IU-0001A TO PS5-61-IJ-0001</t>
  </si>
  <si>
    <t>T-00022-3378</t>
  </si>
  <si>
    <t>PS5-61-IJ-0001-CH02</t>
  </si>
  <si>
    <t>T-00022-3379</t>
  </si>
  <si>
    <t>PS5-61-IJ-0001-CH03</t>
  </si>
  <si>
    <t>T-00022-3380</t>
  </si>
  <si>
    <t>PS5-61-IJ-0001-CH04</t>
  </si>
  <si>
    <t>Cable FROM PS5-61-IU-0001B TO PS5-61-IJ-0001</t>
  </si>
  <si>
    <t>T-00022-3381</t>
  </si>
  <si>
    <t>PS5-61-IJ-0001-CH05</t>
  </si>
  <si>
    <t>T-00022-3382</t>
  </si>
  <si>
    <t>PS5-61-IJ-0001-CH06</t>
  </si>
  <si>
    <t>T-00022-3383</t>
  </si>
  <si>
    <t>PS5-61-IJ-0001-CH07</t>
  </si>
  <si>
    <t>Cable FROM PS5-61-IU-0001C TO PS5-61-IJ-0001</t>
  </si>
  <si>
    <t>T-00022-3384</t>
  </si>
  <si>
    <t>PS5-61-IJ-0001-CH08</t>
  </si>
  <si>
    <t>T-00022-3385</t>
  </si>
  <si>
    <t>PS5-61-IJ-0001-CH09</t>
  </si>
  <si>
    <t>T-00022-3386</t>
  </si>
  <si>
    <t>PS5-61-IJ-0001-CH10</t>
  </si>
  <si>
    <t>Cable FROM PS5-61-IU-0001D TO PS5-61-IJ-0001</t>
  </si>
  <si>
    <t>T-00022-3387</t>
  </si>
  <si>
    <t>PS5-61-IJ-0001-CH11</t>
  </si>
  <si>
    <t>T-00022-3388</t>
  </si>
  <si>
    <t>PS5-61-IJ-0001-CH12</t>
  </si>
  <si>
    <t>T-00022-3389</t>
  </si>
  <si>
    <t>PS5-61-IJ-0001-CH13</t>
  </si>
  <si>
    <t>Cable FROM PS5-61-IU-0001E TO PS5-61-IJ-0001</t>
  </si>
  <si>
    <t>T-00022-3390</t>
  </si>
  <si>
    <t>PS5-61-IJ-0001-CH14</t>
  </si>
  <si>
    <t>T-00022-3391</t>
  </si>
  <si>
    <t>PS5-61-IJ-0001-CH15</t>
  </si>
  <si>
    <t>T-00022-3392</t>
  </si>
  <si>
    <t>PS5-61-IJ-0001-CH16</t>
  </si>
  <si>
    <t>Cable FROM PS5-61-IU-0001F TO PS5-61-IJ-0001</t>
  </si>
  <si>
    <t>T-00022-3393</t>
  </si>
  <si>
    <t>PS5-61-IJ-0001-CH17</t>
  </si>
  <si>
    <t>T-00022-3394</t>
  </si>
  <si>
    <t>PS5-61-IJ-0001-CH18</t>
  </si>
  <si>
    <t>T-00022-3395</t>
  </si>
  <si>
    <t>PS5-61-IJ-0001-CH19</t>
  </si>
  <si>
    <t>Cable FROM PS5-61-IU-0001G TO PS5-61-IJ-0001</t>
  </si>
  <si>
    <t>T-00022-3396</t>
  </si>
  <si>
    <t>PS5-61-IJ-0001-CH20</t>
  </si>
  <si>
    <t>T-00022-3397</t>
  </si>
  <si>
    <t>PS5-61-IJ-0001-CH21</t>
  </si>
  <si>
    <t>T-00022-3410</t>
  </si>
  <si>
    <t>PS5-61-IU-0001A-CH01</t>
  </si>
  <si>
    <t>Cable FROM PS5-60-GE-8100A TO PS5-61-IU-0001A</t>
  </si>
  <si>
    <t>T-00022-3411</t>
  </si>
  <si>
    <t>PS5-61-IU-0001A-CH02</t>
  </si>
  <si>
    <t>T-00022-3412</t>
  </si>
  <si>
    <t>PS5-61-IU-0001A-CH03</t>
  </si>
  <si>
    <t>T-00022-3413</t>
  </si>
  <si>
    <t>PS5-61-IU-0001B-CH01</t>
  </si>
  <si>
    <t>Cable FROM PS5-60-GE-8100B TO PS5-61-IU-0001B</t>
  </si>
  <si>
    <t>T-00022-3414</t>
  </si>
  <si>
    <t>PS5-61-IU-0001B-CH02</t>
  </si>
  <si>
    <t>T-00022-3415</t>
  </si>
  <si>
    <t>PS5-61-IU-0001B-CH03</t>
  </si>
  <si>
    <t>T-00022-3416</t>
  </si>
  <si>
    <t>PS5-61-IU-0001C-CH01</t>
  </si>
  <si>
    <t>Cable FROM PS5-60-GE-8100C TO PS5-61-IU-0001C</t>
  </si>
  <si>
    <t>T-00022-3417</t>
  </si>
  <si>
    <t>PS5-61-IU-0001C-CH02</t>
  </si>
  <si>
    <t>T-00022-3418</t>
  </si>
  <si>
    <t>PS5-61-IU-0001C-CH03</t>
  </si>
  <si>
    <t>T-00022-3419</t>
  </si>
  <si>
    <t>PS5-61-IU-0001D-CH01</t>
  </si>
  <si>
    <t>Cable FROM PS5-60-GE-8100D TO PS5-61-IU-0001D</t>
  </si>
  <si>
    <t>T-00022-3420</t>
  </si>
  <si>
    <t>PS5-61-IU-0001D-CH02</t>
  </si>
  <si>
    <t>T-00022-3421</t>
  </si>
  <si>
    <t>PS5-61-IU-0001D-CH03</t>
  </si>
  <si>
    <t>T-00022-3422</t>
  </si>
  <si>
    <t>PS5-61-IU-0001E-CH01</t>
  </si>
  <si>
    <t>Cable FROM PS5-60-GE-8100E TO PS5-61-IU-0001E</t>
  </si>
  <si>
    <t>T-00022-3423</t>
  </si>
  <si>
    <t>PS5-61-IU-0001E-CH02</t>
  </si>
  <si>
    <t>T-00022-3424</t>
  </si>
  <si>
    <t>PS5-61-IU-0001E-CH03</t>
  </si>
  <si>
    <t>T-00022-3425</t>
  </si>
  <si>
    <t>PS5-61-IU-0001F-CH01</t>
  </si>
  <si>
    <t>Cable FROM PS5-60-GE-8100F TO PS5-61-IU-0001F</t>
  </si>
  <si>
    <t>T-00022-3426</t>
  </si>
  <si>
    <t>PS5-61-IU-0001F-CH02</t>
  </si>
  <si>
    <t>T-00022-3427</t>
  </si>
  <si>
    <t>PS5-61-IU-0001F-CH03</t>
  </si>
  <si>
    <t>T-00022-3428</t>
  </si>
  <si>
    <t>PS5-61-IU-0001G-CH01</t>
  </si>
  <si>
    <t>Cable FROM PS5-60-GE-8100G TO PS5-61-IU-0001G</t>
  </si>
  <si>
    <t>T-00022-3429</t>
  </si>
  <si>
    <t>PS5-61-IU-0001G-CH02</t>
  </si>
  <si>
    <t>T-00022-3430</t>
  </si>
  <si>
    <t>PS5-61-IU-0001G-CH03</t>
  </si>
  <si>
    <t>CPX09 - LV Power Cable</t>
  </si>
  <si>
    <t>1</t>
  </si>
  <si>
    <t>LV Power Cable</t>
  </si>
  <si>
    <t>T-00023-10536</t>
  </si>
  <si>
    <t>PS5-60-IN-0002A-CG01</t>
  </si>
  <si>
    <t>Cable FROM PS5-60-IH-0001A TO PS5-60-IN-0002A</t>
  </si>
  <si>
    <t>PS5-60-57 - Fuel Conditioning Module PS5-60-UZ-8900A (UCP)</t>
  </si>
  <si>
    <t>T-00023-10537</t>
  </si>
  <si>
    <t>PS5-60-IN-0002B-CG01</t>
  </si>
  <si>
    <t>Cable FROM PS5-60-IH-0001B TO PS5-60-IN-0002B</t>
  </si>
  <si>
    <t>PS5-60-59 - Fuel Conditioning Module PS5-60-UZ-8900B (UCP)</t>
  </si>
  <si>
    <t>T-00023-10538</t>
  </si>
  <si>
    <t>PS5-60-IN-0002C-CG01</t>
  </si>
  <si>
    <t>Cable FROM PS5-60-IH-0001C TO PS5-60-IN-0002C</t>
  </si>
  <si>
    <t>PS5-60-61 - Fuel Conditioning Module PS5-60-UZ-8900C (UCP)</t>
  </si>
  <si>
    <t>T-00023-10539</t>
  </si>
  <si>
    <t>PS5-60-IN-0002D-CG01</t>
  </si>
  <si>
    <t>Cable FROM PS5-60-IH-0001D TO PS5-60-IN-0002D</t>
  </si>
  <si>
    <t>PS5-60-63 - Fuel Conditioning Module PS5-60-UZ-8900D (UCP)</t>
  </si>
  <si>
    <t>T-00023-10540</t>
  </si>
  <si>
    <t>PS5-60-IN-0002E-CG01</t>
  </si>
  <si>
    <t>Cable FROM PS5-60-IH-0001E TO PS5-60-IN-0002E</t>
  </si>
  <si>
    <t>PS5-60-65 - Fuel Conditioning Module PS5-60-UZ-8900E (UCP)</t>
  </si>
  <si>
    <t>T-00023-10541</t>
  </si>
  <si>
    <t>PS5-60-IN-0002F-CG01</t>
  </si>
  <si>
    <t>Cable FROM PS5-60-IH-0001F TO PS5-60-IN-0002F</t>
  </si>
  <si>
    <t>PS5-60-67 - Fuel Conditioning Module PS5-60-UZ-8900F (UCP)</t>
  </si>
  <si>
    <t>T-00023-10542</t>
  </si>
  <si>
    <t>PS5-60-IN-0002G-CG01</t>
  </si>
  <si>
    <t>Cable FROM PS5-60-IH-0001G TO PS5-60-IN-0002G</t>
  </si>
  <si>
    <t>PS5-60-69 - Fuel Conditioning Module PS5-60-UZ-8900G (UCP)</t>
  </si>
  <si>
    <t>T-00023-10593</t>
  </si>
  <si>
    <t>PS5-60-IH-0001A-CG01</t>
  </si>
  <si>
    <t>Cable FROM PS5-61-IK-0003 TO PS5-60-IH-0001A</t>
  </si>
  <si>
    <t>PS5-60-03 - Power Gen Package A Generator Auxiliary MCCs &amp; DBs</t>
  </si>
  <si>
    <t>T-00023-10594</t>
  </si>
  <si>
    <t>PS5-60-IH-0001B-CG01</t>
  </si>
  <si>
    <t>Cable FROM PS5-61-IK-0003 TO PS5-60-IH-0001B</t>
  </si>
  <si>
    <t>PS5-60-06 - Power Gen Package B Generator Auxiliary MCCs &amp; DBs</t>
  </si>
  <si>
    <t>T-00023-10595</t>
  </si>
  <si>
    <t>PS5-60-IH-0001C-CG01</t>
  </si>
  <si>
    <t>Cable FROM PS5-61-IK-0003 TO PS5-60-IH-0001C</t>
  </si>
  <si>
    <t>PS5-60-09 - Power Gen Package C Generator Auxiliary MCCs &amp; DBs</t>
  </si>
  <si>
    <t>T-00023-10596</t>
  </si>
  <si>
    <t>PS5-60-IH-0001D-CG01</t>
  </si>
  <si>
    <t>Cable FROM PS5-61-IK-0003 TO PS5-60-IH-0001D</t>
  </si>
  <si>
    <t>PS5-60-12 - Power Gen Package D Generator Auxiliary MCCs &amp; DBs</t>
  </si>
  <si>
    <t>T-00023-10597</t>
  </si>
  <si>
    <t>PS5-60-IH-0001E-CG01</t>
  </si>
  <si>
    <t>Cable FROM PS5-61-IK-0003 TO PS5-60-IH-0001E</t>
  </si>
  <si>
    <t>PS5-60-15 - Power Gen Package E Generator Auxiliary MCCs &amp; DBs</t>
  </si>
  <si>
    <t>T-00023-10598</t>
  </si>
  <si>
    <t>PS5-60-IH-0001F-CG01</t>
  </si>
  <si>
    <t>Cable FROM PS5-61-IK-0003 TO PS5-60-IH-0001F</t>
  </si>
  <si>
    <t>PS5-60-18 - Power Gen Package F Generator Auxiliary MCCs &amp; DBs</t>
  </si>
  <si>
    <t>T-00023-10599</t>
  </si>
  <si>
    <t>PS5-60-IH-0001G-CG01</t>
  </si>
  <si>
    <t>Cable FROM PS5-61-IK-0003 TO PS5-60-IH-0001G</t>
  </si>
  <si>
    <t>PS5-60-21 - Power Gen Package G Generator Auxiliary MCCs &amp; DBs</t>
  </si>
  <si>
    <t>T-00023-10600</t>
  </si>
  <si>
    <t>PS5-60-IH-0002-CG01</t>
  </si>
  <si>
    <t>Cable FROM PS5-61-IK-0003 TO PS5-60-IH-0002</t>
  </si>
  <si>
    <t>PS5-60-22 - Power Gen Master UCP</t>
  </si>
  <si>
    <t>T-00023-10601</t>
  </si>
  <si>
    <t>PS5-60-IH-0002-CG02</t>
  </si>
  <si>
    <t>T-00023-4725</t>
  </si>
  <si>
    <t>PS5-03-SEA-0003-CL01</t>
  </si>
  <si>
    <t>Cable FROM PS5-06-IG-0004A TO PS5-03-SEA-0003</t>
  </si>
  <si>
    <t>PS5-03-14 - FZ-14 - Power Generation Building - Switchgear Room</t>
  </si>
  <si>
    <t>T-00023-4978</t>
  </si>
  <si>
    <t>PS5-60-BE-0001-CL01</t>
  </si>
  <si>
    <t>Cable FROM PS5-60-IH-0002 TO PS5-60-BE-0001</t>
  </si>
  <si>
    <t>PS5-60-27 - Compressed Air Starting Skid</t>
  </si>
  <si>
    <t>T-00023-4979</t>
  </si>
  <si>
    <t>PS5-60-BE-0001-CL02</t>
  </si>
  <si>
    <t>T-00023-4981</t>
  </si>
  <si>
    <t>PS5-60-BE-0001-CL04</t>
  </si>
  <si>
    <t>Cable FROM PS5-06-IG-0004B TO PS5-60-BE-0001</t>
  </si>
  <si>
    <t>T-00023-4982</t>
  </si>
  <si>
    <t>PS5-60-BE-0002-CL01</t>
  </si>
  <si>
    <t>Cable FROM PS5-60-IH-0002 TO PS5-60-BE-0002</t>
  </si>
  <si>
    <t>PS5-60-26 - Instrument Air Compressor Skid</t>
  </si>
  <si>
    <t>T-00023-4983</t>
  </si>
  <si>
    <t>PS5-60-BE-0002-CL02</t>
  </si>
  <si>
    <t>T-00023-4984</t>
  </si>
  <si>
    <t>PS5-60-BE-0002-CL03</t>
  </si>
  <si>
    <t>T-00023-4986</t>
  </si>
  <si>
    <t>PS5-60-BE-0002-CL05</t>
  </si>
  <si>
    <t>Cable FROM PS5-06-IG-0004B TO PS5-60-BE-0002</t>
  </si>
  <si>
    <t>T-00023-4987</t>
  </si>
  <si>
    <t>PS5-60-BE-0003A-CL01</t>
  </si>
  <si>
    <t>Cable FROM PS5-60-IH-0001A TO PS5-60-BE-0003A</t>
  </si>
  <si>
    <t>T-00023-4988</t>
  </si>
  <si>
    <t>PS5-60-BE-0003B-CL01</t>
  </si>
  <si>
    <t>Cable FROM PS5-60-IH-0001B TO PS5-60-BE-0003B</t>
  </si>
  <si>
    <t>T-00023-4989</t>
  </si>
  <si>
    <t>PS5-60-BE-0003C-CL01</t>
  </si>
  <si>
    <t>Cable FROM PS5-60-IH-0001C TO PS5-60-BE-0003C</t>
  </si>
  <si>
    <t>T-00023-4990</t>
  </si>
  <si>
    <t>PS5-60-BE-0003D-CL01</t>
  </si>
  <si>
    <t>Cable FROM PS5-60-IH-0001D TO PS5-60-BE-0003D</t>
  </si>
  <si>
    <t>T-00023-4991</t>
  </si>
  <si>
    <t>PS5-60-BE-0003E-CL01</t>
  </si>
  <si>
    <t>Cable FROM PS5-60-IH-0001E TO PS5-60-BE-0003E</t>
  </si>
  <si>
    <t>T-00023-4992</t>
  </si>
  <si>
    <t>PS5-60-BE-0003F-CL01</t>
  </si>
  <si>
    <t>Cable FROM PS5-60-IH-0001F TO PS5-60-BE-0003F</t>
  </si>
  <si>
    <t>T-00023-4993</t>
  </si>
  <si>
    <t>PS5-60-BE-0003G-CL01</t>
  </si>
  <si>
    <t>Cable FROM PS5-60-IH-0001G TO PS5-60-BE-0003G</t>
  </si>
  <si>
    <t>T-00023-4994</t>
  </si>
  <si>
    <t>PS5-60-BE-0004A-CL01</t>
  </si>
  <si>
    <t>Cable FROM PS5-60-IH-0001A TO PS5-60-BE-0004A</t>
  </si>
  <si>
    <t>PS5-60-49 - Lube Oil Separator Module PS5-60-UO-81100A</t>
  </si>
  <si>
    <t>T-00023-4995</t>
  </si>
  <si>
    <t>PS5-60-BE-0004B-CL01</t>
  </si>
  <si>
    <t>Cable FROM PS5-60-IH-0001B TO PS5-60-BE-0004B</t>
  </si>
  <si>
    <t>PS5-60-50 - Lube Oil Separator Module PS5-60-UO-81100B</t>
  </si>
  <si>
    <t>T-00023-4996</t>
  </si>
  <si>
    <t>PS5-60-BE-0004C-CL01</t>
  </si>
  <si>
    <t>Cable FROM PS5-60-IH-0001C TO PS5-60-BE-0004C</t>
  </si>
  <si>
    <t>PS5-60-51 - Lube Oil Separator Module PS5-60-UO-81100C</t>
  </si>
  <si>
    <t>T-00023-4997</t>
  </si>
  <si>
    <t>PS5-60-BE-0004D-CL01</t>
  </si>
  <si>
    <t>Cable FROM PS5-60-IH-0001D TO PS5-60-BE-0004D</t>
  </si>
  <si>
    <t>PS5-60-52 - Lube Oil Separator Module PS5-60-UO-81100D</t>
  </si>
  <si>
    <t>T-00023-4998</t>
  </si>
  <si>
    <t>PS5-60-BE-0004E-CL01</t>
  </si>
  <si>
    <t>Cable FROM PS5-60-IH-0001E TO PS5-60-BE-0004E</t>
  </si>
  <si>
    <t>PS5-60-53 - Lube Oil Separator Module PS5-60-UO-81100E</t>
  </si>
  <si>
    <t>T-00023-4999</t>
  </si>
  <si>
    <t>PS5-60-BE-0004F-CL01</t>
  </si>
  <si>
    <t>Cable FROM PS5-60-IH-0001F TO PS5-60-BE-0004F</t>
  </si>
  <si>
    <t>PS5-60-54 - Lube Oil Separator Module PS5-60-UO-81100F</t>
  </si>
  <si>
    <t>T-00023-5000</t>
  </si>
  <si>
    <t>PS5-60-BE-0004G-CL01</t>
  </si>
  <si>
    <t>Cable FROM PS5-60-IH-0001G TO PS5-60-BE-0004G</t>
  </si>
  <si>
    <t>PS5-60-55 - Lube Oil Separator Module PS5-60-UO-81100G</t>
  </si>
  <si>
    <t>T-00023-5001</t>
  </si>
  <si>
    <t>PS5-60-BE-0005A-CL01</t>
  </si>
  <si>
    <t>Cable FROM PS5-60-IH-0001A TO PS5-60-BE-0005A</t>
  </si>
  <si>
    <t>T-00023-5002</t>
  </si>
  <si>
    <t>PS5-60-BE-0005B-CL01</t>
  </si>
  <si>
    <t>Cable FROM PS5-60-IH-0001B TO PS5-60-BE-0005B</t>
  </si>
  <si>
    <t>T-00023-5003</t>
  </si>
  <si>
    <t>PS5-60-BE-0005C-CL01</t>
  </si>
  <si>
    <t>Cable FROM PS5-60-IH-0001C TO PS5-60-BE-0005C</t>
  </si>
  <si>
    <t>T-00023-5004</t>
  </si>
  <si>
    <t>PS5-60-BE-0005D-CL01</t>
  </si>
  <si>
    <t>Cable FROM PS5-60-IH-0001D TO PS5-60-BE-0005D</t>
  </si>
  <si>
    <t>T-00023-5005</t>
  </si>
  <si>
    <t>PS5-60-BE-0005E-CL01</t>
  </si>
  <si>
    <t>Cable FROM PS5-60-IH-0001E TO PS5-60-BE-0005E</t>
  </si>
  <si>
    <t>T-00023-5006</t>
  </si>
  <si>
    <t>PS5-60-BE-0005F-CL01</t>
  </si>
  <si>
    <t>Cable FROM PS5-60-IH-0001F TO PS5-60-BE-0005F</t>
  </si>
  <si>
    <t>T-00023-5007</t>
  </si>
  <si>
    <t>PS5-60-BE-0005G-CL01</t>
  </si>
  <si>
    <t>Cable FROM PS5-60-IH-0001G TO PS5-60-BE-0005G</t>
  </si>
  <si>
    <t>T-00023-5008</t>
  </si>
  <si>
    <t>PS5-60-BE-0011A-CL01</t>
  </si>
  <si>
    <t>Cable FROM PS5-60-IH-0001A TO PS5-60-BE-0011A</t>
  </si>
  <si>
    <t>T-00023-5009</t>
  </si>
  <si>
    <t>PS5-60-BE-0011A-CL02</t>
  </si>
  <si>
    <t>T-00023-5010</t>
  </si>
  <si>
    <t>PS5-60-BE-0011A-CL03</t>
  </si>
  <si>
    <t>T-00023-5011</t>
  </si>
  <si>
    <t>PS5-60-BE-0011A-CL04</t>
  </si>
  <si>
    <t>T-00023-5012</t>
  </si>
  <si>
    <t>PS5-60-BE-0011A-CL05</t>
  </si>
  <si>
    <t>T-00023-5013</t>
  </si>
  <si>
    <t>PS5-60-BE-0011A-CL06</t>
  </si>
  <si>
    <t>T-00023-5014</t>
  </si>
  <si>
    <t>PS5-60-BE-0011B-CL01</t>
  </si>
  <si>
    <t>Cable FROM PS5-60-IH-0001A TO PS5-60-BE-0011B</t>
  </si>
  <si>
    <t>T-00023-5015</t>
  </si>
  <si>
    <t>PS5-60-BE-0011B-CL02</t>
  </si>
  <si>
    <t>T-00023-5016</t>
  </si>
  <si>
    <t>PS5-60-BE-0011B-CL03</t>
  </si>
  <si>
    <t>T-00023-5017</t>
  </si>
  <si>
    <t>PS5-60-BE-0011B-CL04</t>
  </si>
  <si>
    <t>T-00023-5018</t>
  </si>
  <si>
    <t>PS5-60-BE-0011B-CL05</t>
  </si>
  <si>
    <t>T-00023-5019</t>
  </si>
  <si>
    <t>PS5-60-BE-0011B-CL06</t>
  </si>
  <si>
    <t>T-00023-5020</t>
  </si>
  <si>
    <t>PS5-60-BE-0012A-CL01</t>
  </si>
  <si>
    <t>Cable FROM PS5-60-IH-0001B TO PS5-60-BE-0012A</t>
  </si>
  <si>
    <t>T-00023-5021</t>
  </si>
  <si>
    <t>PS5-60-BE-0012A-CL02</t>
  </si>
  <si>
    <t>T-00023-5022</t>
  </si>
  <si>
    <t>PS5-60-BE-0012A-CL03</t>
  </si>
  <si>
    <t>T-00023-5023</t>
  </si>
  <si>
    <t>PS5-60-BE-0012A-CL04</t>
  </si>
  <si>
    <t>T-00023-5024</t>
  </si>
  <si>
    <t>PS5-60-BE-0012A-CL05</t>
  </si>
  <si>
    <t>T-00023-5025</t>
  </si>
  <si>
    <t>PS5-60-BE-0012A-CL06</t>
  </si>
  <si>
    <t>T-00023-5026</t>
  </si>
  <si>
    <t>PS5-60-BE-0012B-CL01</t>
  </si>
  <si>
    <t>Cable FROM PS5-60-IH-0001B TO PS5-60-BE-0012B</t>
  </si>
  <si>
    <t>T-00023-5027</t>
  </si>
  <si>
    <t>PS5-60-BE-0012B-CL02</t>
  </si>
  <si>
    <t>T-00023-5028</t>
  </si>
  <si>
    <t>PS5-60-BE-0012B-CL03</t>
  </si>
  <si>
    <t>T-00023-5029</t>
  </si>
  <si>
    <t>PS5-60-BE-0012B-CL04</t>
  </si>
  <si>
    <t>T-00023-5030</t>
  </si>
  <si>
    <t>PS5-60-BE-0012B-CL05</t>
  </si>
  <si>
    <t>T-00023-5031</t>
  </si>
  <si>
    <t>PS5-60-BE-0012B-CL06</t>
  </si>
  <si>
    <t>T-00023-5032</t>
  </si>
  <si>
    <t>PS5-60-BE-0013A-CL01</t>
  </si>
  <si>
    <t>Cable FROM PS5-60-IH-0001C TO PS5-60-BE-0013A</t>
  </si>
  <si>
    <t>T-00023-5033</t>
  </si>
  <si>
    <t>PS5-60-BE-0013A-CL02</t>
  </si>
  <si>
    <t>T-00023-5034</t>
  </si>
  <si>
    <t>PS5-60-BE-0013A-CL03</t>
  </si>
  <si>
    <t>T-00023-5035</t>
  </si>
  <si>
    <t>PS5-60-BE-0013A-CL04</t>
  </si>
  <si>
    <t>T-00023-5036</t>
  </si>
  <si>
    <t>PS5-60-BE-0013A-CL05</t>
  </si>
  <si>
    <t>T-00023-5037</t>
  </si>
  <si>
    <t>PS5-60-BE-0013A-CL06</t>
  </si>
  <si>
    <t>T-00023-5038</t>
  </si>
  <si>
    <t>PS5-60-BE-0013B-CL01</t>
  </si>
  <si>
    <t>Cable FROM PS5-60-IH-0001C TO PS5-60-BE-0013B</t>
  </si>
  <si>
    <t>T-00023-5039</t>
  </si>
  <si>
    <t>PS5-60-BE-0013B-CL02</t>
  </si>
  <si>
    <t>T-00023-5040</t>
  </si>
  <si>
    <t>PS5-60-BE-0013B-CL03</t>
  </si>
  <si>
    <t>T-00023-5041</t>
  </si>
  <si>
    <t>PS5-60-BE-0013B-CL04</t>
  </si>
  <si>
    <t>T-00023-5042</t>
  </si>
  <si>
    <t>PS5-60-BE-0013B-CL05</t>
  </si>
  <si>
    <t>T-00023-5043</t>
  </si>
  <si>
    <t>PS5-60-BE-0013B-CL06</t>
  </si>
  <si>
    <t>T-00023-5044</t>
  </si>
  <si>
    <t>PS5-60-BE-0014A-CL01</t>
  </si>
  <si>
    <t>Cable FROM PS5-60-IH-0001D TO PS5-60-BE-0014A</t>
  </si>
  <si>
    <t>T-00023-5045</t>
  </si>
  <si>
    <t>PS5-60-BE-0014A-CL02</t>
  </si>
  <si>
    <t>T-00023-5046</t>
  </si>
  <si>
    <t>PS5-60-BE-0014A-CL03</t>
  </si>
  <si>
    <t>T-00023-5047</t>
  </si>
  <si>
    <t>PS5-60-BE-0014A-CL04</t>
  </si>
  <si>
    <t>T-00023-5048</t>
  </si>
  <si>
    <t>PS5-60-BE-0014A-CL05</t>
  </si>
  <si>
    <t>T-00023-5049</t>
  </si>
  <si>
    <t>PS5-60-BE-0014A-CL06</t>
  </si>
  <si>
    <t>T-00023-5050</t>
  </si>
  <si>
    <t>PS5-60-BE-0014B-CL01</t>
  </si>
  <si>
    <t>Cable FROM PS5-60-IH-0001D TO PS5-60-BE-0014B</t>
  </si>
  <si>
    <t>T-00023-5051</t>
  </si>
  <si>
    <t>PS5-60-BE-0014B-CL02</t>
  </si>
  <si>
    <t>T-00023-5052</t>
  </si>
  <si>
    <t>PS5-60-BE-0014B-CL03</t>
  </si>
  <si>
    <t>T-00023-5053</t>
  </si>
  <si>
    <t>PS5-60-BE-0014B-CL04</t>
  </si>
  <si>
    <t>T-00023-5054</t>
  </si>
  <si>
    <t>PS5-60-BE-0014B-CL05</t>
  </si>
  <si>
    <t>T-00023-5055</t>
  </si>
  <si>
    <t>PS5-60-BE-0014B-CL06</t>
  </si>
  <si>
    <t>T-00023-5056</t>
  </si>
  <si>
    <t>PS5-60-BE-0015A-CL01</t>
  </si>
  <si>
    <t>Cable FROM PS5-60-IH-0001E TO PS5-60-BE-0015A</t>
  </si>
  <si>
    <t>T-00023-5057</t>
  </si>
  <si>
    <t>PS5-60-BE-0015A-CL02</t>
  </si>
  <si>
    <t>T-00023-5058</t>
  </si>
  <si>
    <t>PS5-60-BE-0015A-CL03</t>
  </si>
  <si>
    <t>T-00023-5059</t>
  </si>
  <si>
    <t>PS5-60-BE-0015A-CL04</t>
  </si>
  <si>
    <t>T-00023-5060</t>
  </si>
  <si>
    <t>PS5-60-BE-0015A-CL05</t>
  </si>
  <si>
    <t>T-00023-5061</t>
  </si>
  <si>
    <t>PS5-60-BE-0015A-CL06</t>
  </si>
  <si>
    <t>T-00023-5062</t>
  </si>
  <si>
    <t>PS5-60-BE-0015B-CL01</t>
  </si>
  <si>
    <t>Cable FROM PS5-60-IH-0001E TO PS5-60-BE-0015B</t>
  </si>
  <si>
    <t>T-00023-5063</t>
  </si>
  <si>
    <t>PS5-60-BE-0015B-CL02</t>
  </si>
  <si>
    <t>T-00023-5064</t>
  </si>
  <si>
    <t>PS5-60-BE-0015B-CL03</t>
  </si>
  <si>
    <t>T-00023-5065</t>
  </si>
  <si>
    <t>PS5-60-BE-0015B-CL04</t>
  </si>
  <si>
    <t>T-00023-5066</t>
  </si>
  <si>
    <t>PS5-60-BE-0015B-CL05</t>
  </si>
  <si>
    <t>T-00023-5067</t>
  </si>
  <si>
    <t>PS5-60-BE-0015B-CL06</t>
  </si>
  <si>
    <t>T-00023-5068</t>
  </si>
  <si>
    <t>PS5-60-BE-0016A-CL01</t>
  </si>
  <si>
    <t>Cable FROM PS5-60-IH-0001F TO PS5-60-BE-0016A</t>
  </si>
  <si>
    <t>T-00023-5069</t>
  </si>
  <si>
    <t>PS5-60-BE-0016A-CL02</t>
  </si>
  <si>
    <t>T-00023-5070</t>
  </si>
  <si>
    <t>PS5-60-BE-0016A-CL03</t>
  </si>
  <si>
    <t>T-00023-5071</t>
  </si>
  <si>
    <t>PS5-60-BE-0016A-CL04</t>
  </si>
  <si>
    <t>T-00023-5072</t>
  </si>
  <si>
    <t>PS5-60-BE-0016A-CL05</t>
  </si>
  <si>
    <t>T-00023-5073</t>
  </si>
  <si>
    <t>PS5-60-BE-0016A-CL06</t>
  </si>
  <si>
    <t>T-00023-5074</t>
  </si>
  <si>
    <t>PS5-60-BE-0016B-CL01</t>
  </si>
  <si>
    <t>Cable FROM PS5-60-IH-0001F TO PS5-60-BE-0016B</t>
  </si>
  <si>
    <t>T-00023-5075</t>
  </si>
  <si>
    <t>PS5-60-BE-0016B-CL02</t>
  </si>
  <si>
    <t>T-00023-5076</t>
  </si>
  <si>
    <t>PS5-60-BE-0016B-CL03</t>
  </si>
  <si>
    <t>T-00023-5077</t>
  </si>
  <si>
    <t>PS5-60-BE-0016B-CL04</t>
  </si>
  <si>
    <t>T-00023-5078</t>
  </si>
  <si>
    <t>PS5-60-BE-0016B-CL05</t>
  </si>
  <si>
    <t>T-00023-5079</t>
  </si>
  <si>
    <t>PS5-60-BE-0016B-CL06</t>
  </si>
  <si>
    <t>T-00023-5080</t>
  </si>
  <si>
    <t>PS5-60-BE-0017A-CL01</t>
  </si>
  <si>
    <t>Cable FROM PS5-60-IH-0001G TO PS5-60-BE-0017A</t>
  </si>
  <si>
    <t>T-00023-5081</t>
  </si>
  <si>
    <t>PS5-60-BE-0017A-CL02</t>
  </si>
  <si>
    <t>T-00023-5082</t>
  </si>
  <si>
    <t>PS5-60-BE-0017A-CL03</t>
  </si>
  <si>
    <t>T-00023-5083</t>
  </si>
  <si>
    <t>PS5-60-BE-0017A-CL04</t>
  </si>
  <si>
    <t>T-00023-5084</t>
  </si>
  <si>
    <t>PS5-60-BE-0017A-CL05</t>
  </si>
  <si>
    <t>T-00023-5085</t>
  </si>
  <si>
    <t>PS5-60-BE-0017A-CL06</t>
  </si>
  <si>
    <t>T-00023-5086</t>
  </si>
  <si>
    <t>PS5-60-BE-0017B-CL01</t>
  </si>
  <si>
    <t>Cable FROM PS5-60-IH-0001G TO PS5-60-BE-0017B</t>
  </si>
  <si>
    <t>T-00023-5087</t>
  </si>
  <si>
    <t>PS5-60-BE-0017B-CL02</t>
  </si>
  <si>
    <t>T-00023-5088</t>
  </si>
  <si>
    <t>PS5-60-BE-0017B-CL03</t>
  </si>
  <si>
    <t>T-00023-5089</t>
  </si>
  <si>
    <t>PS5-60-BE-0017B-CL04</t>
  </si>
  <si>
    <t>T-00023-5090</t>
  </si>
  <si>
    <t>PS5-60-BE-0017B-CL05</t>
  </si>
  <si>
    <t>T-00023-5091</t>
  </si>
  <si>
    <t>PS5-60-BE-0017B-CL06</t>
  </si>
  <si>
    <t>T-00023-5092</t>
  </si>
  <si>
    <t>PS5-60-BE-0021A-CL01</t>
  </si>
  <si>
    <t>Cable FROM PS5-60-IH-0002 TO PS5-60-BE-0021A</t>
  </si>
  <si>
    <t>T-00023-5093</t>
  </si>
  <si>
    <t>PS5-60-BE-0021B-CL01</t>
  </si>
  <si>
    <t>Cable FROM PS5-60-IH-0002 TO PS5-60-BE-0021B</t>
  </si>
  <si>
    <t>T-00023-5094</t>
  </si>
  <si>
    <t>PS5-60-BE-0024A-CL01</t>
  </si>
  <si>
    <t>Cable FROM PS5-60-IH-0001A TO PS5-60-BE-0024A</t>
  </si>
  <si>
    <t>PS5-60-35 - Injector Tip Cooling Module A</t>
  </si>
  <si>
    <t>T-00023-5095</t>
  </si>
  <si>
    <t>PS5-60-BE-0024A-CL02</t>
  </si>
  <si>
    <t>T-00023-5096</t>
  </si>
  <si>
    <t>PS5-60-BE-0024B-CL01</t>
  </si>
  <si>
    <t>Cable FROM PS5-60-IH-0001B TO PS5-60-BE-0024B</t>
  </si>
  <si>
    <t>PS5-60-36 - Injector Tip Cooling Module B</t>
  </si>
  <si>
    <t>T-00023-5097</t>
  </si>
  <si>
    <t>PS5-60-BE-0024B-CL02</t>
  </si>
  <si>
    <t>T-00023-5098</t>
  </si>
  <si>
    <t>PS5-60-BE-0024C-CL01</t>
  </si>
  <si>
    <t>Cable FROM PS5-60-IH-0001C TO PS5-60-BE-0024C</t>
  </si>
  <si>
    <t>PS5-60-37 - Injector Tip Cooling Module C</t>
  </si>
  <si>
    <t>T-00023-5099</t>
  </si>
  <si>
    <t>PS5-60-BE-0024C-CL02</t>
  </si>
  <si>
    <t>T-00023-5100</t>
  </si>
  <si>
    <t>PS5-60-BE-0024D-CL01</t>
  </si>
  <si>
    <t>Cable FROM PS5-60-IH-0001D TO PS5-60-BE-0024D</t>
  </si>
  <si>
    <t>PS5-60-38 - Injector Tip Cooling Module D</t>
  </si>
  <si>
    <t>T-00023-5101</t>
  </si>
  <si>
    <t>PS5-60-BE-0024D-CL02</t>
  </si>
  <si>
    <t>T-00023-5102</t>
  </si>
  <si>
    <t>PS5-60-BE-0024E-CL01</t>
  </si>
  <si>
    <t>Cable FROM PS5-60-IH-0001E TO PS5-60-BE-0024E</t>
  </si>
  <si>
    <t>PS5-60-39 - Injector Tip Cooling Module E</t>
  </si>
  <si>
    <t>T-00023-5103</t>
  </si>
  <si>
    <t>PS5-60-BE-0024E-CL02</t>
  </si>
  <si>
    <t>T-00023-5104</t>
  </si>
  <si>
    <t>PS5-60-BE-0024F-CL01</t>
  </si>
  <si>
    <t>Cable FROM PS5-60-IH-0001F TO PS5-60-BE-0024F</t>
  </si>
  <si>
    <t>PS5-60-40 - Injector Tip Cooling Module F</t>
  </si>
  <si>
    <t>T-00023-5105</t>
  </si>
  <si>
    <t>PS5-60-BE-0024F-CL02</t>
  </si>
  <si>
    <t>T-00023-5106</t>
  </si>
  <si>
    <t>PS5-60-BE-0024G-CL01</t>
  </si>
  <si>
    <t>Cable FROM PS5-60-IH-0001G TO PS5-60-BE-0024G</t>
  </si>
  <si>
    <t>PS5-60-41 - Injector Tip Cooling Module G</t>
  </si>
  <si>
    <t>T-00023-5107</t>
  </si>
  <si>
    <t>PS5-60-BE-0024G-CL02</t>
  </si>
  <si>
    <t>T-00023-5108</t>
  </si>
  <si>
    <t>PS5-60-BE-0025A-CL01</t>
  </si>
  <si>
    <t>Cable FROM PS5-60-IH-0001A TO PS5-60-BE-0025A</t>
  </si>
  <si>
    <t>T-00023-5109</t>
  </si>
  <si>
    <t>PS5-60-BE-0025B-CL01</t>
  </si>
  <si>
    <t>Cable FROM PS5-60-IH-0001B TO PS5-60-BE-0025B</t>
  </si>
  <si>
    <t>T-00023-5110</t>
  </si>
  <si>
    <t>PS5-60-BE-0025C-CL01</t>
  </si>
  <si>
    <t>Cable FROM PS5-60-IH-0001C TO PS5-60-BE-0025C</t>
  </si>
  <si>
    <t>T-00023-5111</t>
  </si>
  <si>
    <t>PS5-60-BE-0025D-CL01</t>
  </si>
  <si>
    <t>Cable FROM PS5-60-IH-0001D TO PS5-60-BE-0025D</t>
  </si>
  <si>
    <t>T-00023-5112</t>
  </si>
  <si>
    <t>PS5-60-BE-0025E-CL01</t>
  </si>
  <si>
    <t>Cable FROM PS5-60-IH-0001E TO PS5-60-BE-0025E</t>
  </si>
  <si>
    <t>T-00023-5113</t>
  </si>
  <si>
    <t>PS5-60-BE-0025F-CL01</t>
  </si>
  <si>
    <t>Cable FROM PS5-60-IH-0001F TO PS5-60-BE-0025F</t>
  </si>
  <si>
    <t>T-00023-5114</t>
  </si>
  <si>
    <t>PS5-60-BE-0025G-CL01</t>
  </si>
  <si>
    <t>Cable FROM PS5-60-IH-0001G TO PS5-60-BE-0025G</t>
  </si>
  <si>
    <t>T-00023-5115</t>
  </si>
  <si>
    <t>PS5-60-BE-0026A-CL01</t>
  </si>
  <si>
    <t>Cable FROM PS5-60-IH-0001A TO PS5-60-BE-0026A</t>
  </si>
  <si>
    <t>PS5-60-70 - Engine A Cooling system</t>
  </si>
  <si>
    <t>T-00023-5116</t>
  </si>
  <si>
    <t>PS5-60-BE-0026A-CL02</t>
  </si>
  <si>
    <t>T-00023-5117</t>
  </si>
  <si>
    <t>PS5-60-BE-0026B-CL01</t>
  </si>
  <si>
    <t>Cable FROM PS5-60-IH-0001B TO PS5-60-BE-0026B</t>
  </si>
  <si>
    <t>PS5-60-71 - Engine B Cooling system</t>
  </si>
  <si>
    <t>T-00023-5118</t>
  </si>
  <si>
    <t>PS5-60-BE-0026B-CL02</t>
  </si>
  <si>
    <t>T-00023-5119</t>
  </si>
  <si>
    <t>PS5-60-BE-0026C-CL01</t>
  </si>
  <si>
    <t>Cable FROM PS5-60-IH-0001C TO PS5-60-BE-0026C</t>
  </si>
  <si>
    <t>PS5-60-72 - Engine C Cooling system</t>
  </si>
  <si>
    <t>T-00023-5120</t>
  </si>
  <si>
    <t>PS5-60-BE-0026C-CL02</t>
  </si>
  <si>
    <t>T-00023-5121</t>
  </si>
  <si>
    <t>PS5-60-BE-0026D-CL01</t>
  </si>
  <si>
    <t>Cable FROM PS5-60-IH-0001D TO PS5-60-BE-0026D</t>
  </si>
  <si>
    <t>PS5-60-73 - Engine D Cooling system</t>
  </si>
  <si>
    <t>T-00023-5122</t>
  </si>
  <si>
    <t>PS5-60-BE-0026D-CL02</t>
  </si>
  <si>
    <t>T-00023-5123</t>
  </si>
  <si>
    <t>PS5-60-BE-0026E-CL01</t>
  </si>
  <si>
    <t>Cable FROM PS5-60-IH-0001E TO PS5-60-BE-0026E</t>
  </si>
  <si>
    <t>PS5-60-74 - Engine E Cooling system</t>
  </si>
  <si>
    <t>T-00023-5124</t>
  </si>
  <si>
    <t>PS5-60-BE-0026E-CL02</t>
  </si>
  <si>
    <t>T-00023-5125</t>
  </si>
  <si>
    <t>PS5-60-BE-0026F-CL01</t>
  </si>
  <si>
    <t>Cable FROM PS5-60-IH-0001F TO PS5-60-BE-0026F</t>
  </si>
  <si>
    <t>PS5-60-75 - Engine F Cooling system</t>
  </si>
  <si>
    <t>T-00023-5126</t>
  </si>
  <si>
    <t>PS5-60-BE-0026F-CL02</t>
  </si>
  <si>
    <t>T-00023-5127</t>
  </si>
  <si>
    <t>PS5-60-BE-0026G-CL01</t>
  </si>
  <si>
    <t>Cable FROM PS5-60-IH-0001G TO PS5-60-BE-0026G</t>
  </si>
  <si>
    <t>PS5-60-76 - Engine G Cooling system</t>
  </si>
  <si>
    <t>T-00023-5128</t>
  </si>
  <si>
    <t>PS5-60-BE-0026G-CL02</t>
  </si>
  <si>
    <t>T-00023-5129</t>
  </si>
  <si>
    <t>PS5-60-BI-0005A-CL01</t>
  </si>
  <si>
    <t>Cable FROM PS5-60-IH-0001A TO PS5-60-BI-0005A</t>
  </si>
  <si>
    <t>T-00023-5130</t>
  </si>
  <si>
    <t>PS5-60-BI-0005B-CL01</t>
  </si>
  <si>
    <t>Cable FROM PS5-60-IH-0001B TO PS5-60-BI-0005B</t>
  </si>
  <si>
    <t>T-00023-5131</t>
  </si>
  <si>
    <t>PS5-60-BI-0005C-CL01</t>
  </si>
  <si>
    <t>Cable FROM PS5-60-IH-0001C TO PS5-60-BI-0005C</t>
  </si>
  <si>
    <t>T-00023-5132</t>
  </si>
  <si>
    <t>PS5-60-BI-0005D-CL01</t>
  </si>
  <si>
    <t>Cable FROM PS5-60-IH-0001D TO PS5-60-BI-0005D</t>
  </si>
  <si>
    <t>T-00023-5133</t>
  </si>
  <si>
    <t>PS5-60-BI-0005E-CL01</t>
  </si>
  <si>
    <t>Cable FROM PS5-60-IH-0001E TO PS5-60-BI-0005E</t>
  </si>
  <si>
    <t>T-00023-5134</t>
  </si>
  <si>
    <t>PS5-60-BI-0005F-CL01</t>
  </si>
  <si>
    <t>Cable FROM PS5-60-IH-0001F TO PS5-60-BI-0005F</t>
  </si>
  <si>
    <t>T-00023-5135</t>
  </si>
  <si>
    <t>PS5-60-BI-0005G-CL01</t>
  </si>
  <si>
    <t>Cable FROM PS5-60-IH-0001G TO PS5-60-BI-0005G</t>
  </si>
  <si>
    <t>T-00023-5136</t>
  </si>
  <si>
    <t>PS5-60-BI-0015A-CL01</t>
  </si>
  <si>
    <t>Cable FROM PS5-60-IH-0001A TO PS5-60-BI-0015A</t>
  </si>
  <si>
    <t>T-00023-5137</t>
  </si>
  <si>
    <t>PS5-60-BI-0015A-CL02</t>
  </si>
  <si>
    <t>T-00023-5138</t>
  </si>
  <si>
    <t>PS5-60-BI-0015A-CL03</t>
  </si>
  <si>
    <t>T-00023-5139</t>
  </si>
  <si>
    <t>PS5-60-BI-0015B-CL01</t>
  </si>
  <si>
    <t>Cable FROM PS5-60-IH-0001B TO PS5-60-BI-0015B</t>
  </si>
  <si>
    <t>T-00023-5140</t>
  </si>
  <si>
    <t>PS5-60-BI-0015B-CL02</t>
  </si>
  <si>
    <t>T-00023-5141</t>
  </si>
  <si>
    <t>PS5-60-BI-0015B-CL03</t>
  </si>
  <si>
    <t>T-00023-5142</t>
  </si>
  <si>
    <t>PS5-60-BI-0015C-CL01</t>
  </si>
  <si>
    <t>Cable FROM PS5-60-IH-0001C TO PS5-60-BI-0015C</t>
  </si>
  <si>
    <t>T-00023-5143</t>
  </si>
  <si>
    <t>PS5-60-BI-0015C-CL02</t>
  </si>
  <si>
    <t>T-00023-5144</t>
  </si>
  <si>
    <t>PS5-60-BI-0015C-CL03</t>
  </si>
  <si>
    <t>T-00023-5145</t>
  </si>
  <si>
    <t>PS5-60-BI-0015D-CL01</t>
  </si>
  <si>
    <t>Cable FROM PS5-60-IH-0001D TO PS5-60-BI-0015D</t>
  </si>
  <si>
    <t>T-00023-5146</t>
  </si>
  <si>
    <t>PS5-60-BI-0015D-CL02</t>
  </si>
  <si>
    <t>T-00023-5147</t>
  </si>
  <si>
    <t>PS5-60-BI-0015D-CL03</t>
  </si>
  <si>
    <t>T-00023-5148</t>
  </si>
  <si>
    <t>PS5-60-BI-0015E-CL01</t>
  </si>
  <si>
    <t>Cable FROM PS5-60-IH-0001E TO PS5-60-BI-0015E</t>
  </si>
  <si>
    <t>T-00023-5149</t>
  </si>
  <si>
    <t>PS5-60-BI-0015E-CL02</t>
  </si>
  <si>
    <t>T-00023-5150</t>
  </si>
  <si>
    <t>PS5-60-BI-0015E-CL03</t>
  </si>
  <si>
    <t>T-00023-5151</t>
  </si>
  <si>
    <t>PS5-60-BI-0015F-CL01</t>
  </si>
  <si>
    <t>Cable FROM PS5-60-IH-0001F TO PS5-60-BI-0015F</t>
  </si>
  <si>
    <t>T-00023-5152</t>
  </si>
  <si>
    <t>PS5-60-BI-0015F-CL02</t>
  </si>
  <si>
    <t>T-00023-5153</t>
  </si>
  <si>
    <t>PS5-60-BI-0015F-CL03</t>
  </si>
  <si>
    <t>T-00023-5154</t>
  </si>
  <si>
    <t>PS5-60-BI-0015G-CL01</t>
  </si>
  <si>
    <t>Cable FROM PS5-60-IH-0001G TO PS5-60-BI-0015G</t>
  </si>
  <si>
    <t>T-00023-5155</t>
  </si>
  <si>
    <t>PS5-60-BI-0015G-CL02</t>
  </si>
  <si>
    <t>T-00023-5156</t>
  </si>
  <si>
    <t>PS5-60-BI-0015G-CL03</t>
  </si>
  <si>
    <t>T-00023-5157</t>
  </si>
  <si>
    <t>PS5-60-DD-62800A-CL01</t>
  </si>
  <si>
    <t>Cable FROM PS5-60-IH-0001A TO PS5-60-DD-62800A</t>
  </si>
  <si>
    <t>T-00023-5159</t>
  </si>
  <si>
    <t>PS5-60-DD-62800C-CL01</t>
  </si>
  <si>
    <t>Cable FROM PS5-60-IH-0001C TO PS5-60-DD-62800C</t>
  </si>
  <si>
    <t>T-00023-5161</t>
  </si>
  <si>
    <t>PS5-60-DD-62800E-CL01</t>
  </si>
  <si>
    <t>Cable FROM PS5-60-IH-0001E TO PS5-60-DD-62800E</t>
  </si>
  <si>
    <t>T-00023-5163</t>
  </si>
  <si>
    <t>PS5-60-DD-62800G-CL01</t>
  </si>
  <si>
    <t>Cable FROM PS5-60-IH-0001G TO PS5-60-DD-62800G</t>
  </si>
  <si>
    <t>T-00023-5166</t>
  </si>
  <si>
    <t>PS5-60-IE-0002A-CL01</t>
  </si>
  <si>
    <t>Cable FROM PS5-06-IG-0004A TO PS5-60-IE-0002A</t>
  </si>
  <si>
    <t>T-00023-5167</t>
  </si>
  <si>
    <t>PS5-60-IE-0002A-CL02</t>
  </si>
  <si>
    <t>Cable FROM PS5-06-IG-0004B TO PS5-60-IE-0002A</t>
  </si>
  <si>
    <t>T-00023-5168</t>
  </si>
  <si>
    <t>PS5-60-IE-0002A-CL03</t>
  </si>
  <si>
    <t>Cable FROM PS5-60-BI-0015A TO PS5-60-IE-0002A</t>
  </si>
  <si>
    <t>T-00023-5169</t>
  </si>
  <si>
    <t>PS5-60-IE-0002B-CL01</t>
  </si>
  <si>
    <t>Cable FROM PS5-06-IG-0004A TO PS5-60-IE-0002B</t>
  </si>
  <si>
    <t>T-00023-5170</t>
  </si>
  <si>
    <t>PS5-60-IE-0002B-CL02</t>
  </si>
  <si>
    <t>Cable FROM PS5-06-IG-0004B TO PS5-60-IE-0002B</t>
  </si>
  <si>
    <t>T-00023-5171</t>
  </si>
  <si>
    <t>PS5-60-IE-0002B-CL03</t>
  </si>
  <si>
    <t>Cable FROM PS5-60-BI-0015B TO PS5-60-IE-0002B</t>
  </si>
  <si>
    <t>T-00023-5172</t>
  </si>
  <si>
    <t>PS5-60-IE-0002C-CL01</t>
  </si>
  <si>
    <t>Cable FROM PS5-06-IG-0004A TO PS5-60-IE-0002C</t>
  </si>
  <si>
    <t>T-00023-5173</t>
  </si>
  <si>
    <t>PS5-60-IE-0002C-CL02</t>
  </si>
  <si>
    <t>Cable FROM PS5-06-IG-0004B TO PS5-60-IE-0002C</t>
  </si>
  <si>
    <t>T-00023-5174</t>
  </si>
  <si>
    <t>PS5-60-IE-0002C-CL03</t>
  </si>
  <si>
    <t>Cable FROM PS5-60-BI-0015C TO PS5-60-IE-0002C</t>
  </si>
  <si>
    <t>T-00023-5175</t>
  </si>
  <si>
    <t>PS5-60-IE-0002D-CL01</t>
  </si>
  <si>
    <t>Cable FROM PS5-06-IG-0004A TO PS5-60-IE-0002D</t>
  </si>
  <si>
    <t>T-00023-5176</t>
  </si>
  <si>
    <t>PS5-60-IE-0002D-CL02</t>
  </si>
  <si>
    <t>Cable FROM PS5-06-IG-0004B TO PS5-60-IE-0002D</t>
  </si>
  <si>
    <t>T-00023-5177</t>
  </si>
  <si>
    <t>PS5-60-IE-0002D-CL03</t>
  </si>
  <si>
    <t>Cable FROM PS5-60-BI-0015D TO PS5-60-IE-0002D</t>
  </si>
  <si>
    <t>T-00023-5178</t>
  </si>
  <si>
    <t>PS5-60-IE-0002E-CL01</t>
  </si>
  <si>
    <t>Cable FROM PS5-06-IG-0004A TO PS5-60-IE-0002E</t>
  </si>
  <si>
    <t>T-00023-5179</t>
  </si>
  <si>
    <t>PS5-60-IE-0002E-CL02</t>
  </si>
  <si>
    <t>Cable FROM PS5-06-IG-0004B TO PS5-60-IE-0002E</t>
  </si>
  <si>
    <t>T-00023-5180</t>
  </si>
  <si>
    <t>PS5-60-IE-0002E-CL03</t>
  </si>
  <si>
    <t>Cable FROM PS5-60-BI-0015E TO PS5-60-IE-0002E</t>
  </si>
  <si>
    <t>T-00023-5181</t>
  </si>
  <si>
    <t>PS5-60-IE-0002F-CL01</t>
  </si>
  <si>
    <t>Cable FROM PS5-06-IG-0004A TO PS5-60-IE-0002F</t>
  </si>
  <si>
    <t>T-00023-5182</t>
  </si>
  <si>
    <t>PS5-60-IE-0002F-CL02</t>
  </si>
  <si>
    <t>Cable FROM PS5-06-IG-0004B TO PS5-60-IE-0002F</t>
  </si>
  <si>
    <t>T-00023-5183</t>
  </si>
  <si>
    <t>PS5-60-IE-0002F-CL03</t>
  </si>
  <si>
    <t>Cable FROM PS5-60-BI-0015F TO PS5-60-IE-0002F</t>
  </si>
  <si>
    <t>T-00023-5184</t>
  </si>
  <si>
    <t>PS5-60-IE-0002G-CL01</t>
  </si>
  <si>
    <t>Cable FROM PS5-06-IG-0004A TO PS5-60-IE-0002G</t>
  </si>
  <si>
    <t>T-00023-5185</t>
  </si>
  <si>
    <t>PS5-60-IE-0002G-CL02</t>
  </si>
  <si>
    <t>Cable FROM PS5-06-IG-0004B TO PS5-60-IE-0002G</t>
  </si>
  <si>
    <t>T-00023-5186</t>
  </si>
  <si>
    <t>PS5-60-IE-0002G-CL03</t>
  </si>
  <si>
    <t>Cable FROM PS5-60-BI-0015G TO PS5-60-IE-0002G</t>
  </si>
  <si>
    <t>T-00023-5187</t>
  </si>
  <si>
    <t>PS5-60-IE-0003A-CL01</t>
  </si>
  <si>
    <t>Cable FROM PS5-06-IG-0004A TO PS5-60-IE-0003A</t>
  </si>
  <si>
    <t>PS5-60-02 - Power Gen Package A (UCP)</t>
  </si>
  <si>
    <t>T-00023-5188</t>
  </si>
  <si>
    <t>PS5-60-IE-0003A-CL02</t>
  </si>
  <si>
    <t>Cable FROM PS5-06-IG-0004B TO PS5-60-IE-0003A</t>
  </si>
  <si>
    <t>T-00023-5189</t>
  </si>
  <si>
    <t>PS5-60-IE-0003B-CL01</t>
  </si>
  <si>
    <t>Cable FROM PS5-06-IG-0004A TO PS5-60-IE-0003B</t>
  </si>
  <si>
    <t>PS5-60-05 - Power Gen Package B (UCP)</t>
  </si>
  <si>
    <t>T-00023-5190</t>
  </si>
  <si>
    <t>PS5-60-IE-0003B-CL02</t>
  </si>
  <si>
    <t>Cable FROM PS5-06-IG-0004B TO PS5-60-IE-0003B</t>
  </si>
  <si>
    <t>T-00023-5191</t>
  </si>
  <si>
    <t>PS5-60-IE-0003C-CL01</t>
  </si>
  <si>
    <t>Cable FROM PS5-06-IG-0004A TO PS5-60-IE-0003C</t>
  </si>
  <si>
    <t>PS5-60-08 - Power Gen Package C (UCP)</t>
  </si>
  <si>
    <t>T-00023-5192</t>
  </si>
  <si>
    <t>PS5-60-IE-0003C-CL02</t>
  </si>
  <si>
    <t>Cable FROM PS5-06-IG-0004B TO PS5-60-IE-0003C</t>
  </si>
  <si>
    <t>T-00023-5193</t>
  </si>
  <si>
    <t>PS5-60-IE-0003D-CL01</t>
  </si>
  <si>
    <t>Cable FROM PS5-06-IG-0004A TO PS5-60-IE-0003D</t>
  </si>
  <si>
    <t>PS5-60-11 - Power Gen Package D (UCP)</t>
  </si>
  <si>
    <t>T-00023-5194</t>
  </si>
  <si>
    <t>PS5-60-IE-0003D-CL02</t>
  </si>
  <si>
    <t>Cable FROM PS5-06-IG-0004B TO PS5-60-IE-0003D</t>
  </si>
  <si>
    <t>T-00023-5195</t>
  </si>
  <si>
    <t>PS5-60-IE-0003E-CL01</t>
  </si>
  <si>
    <t>Cable FROM PS5-06-IG-0004A TO PS5-60-IE-0003E</t>
  </si>
  <si>
    <t>PS5-60-14 - Power Gen Package E (UCP)</t>
  </si>
  <si>
    <t>T-00023-5196</t>
  </si>
  <si>
    <t>PS5-60-IE-0003E-CL02</t>
  </si>
  <si>
    <t>Cable FROM PS5-06-IG-0004B TO PS5-60-IE-0003E</t>
  </si>
  <si>
    <t>T-00023-5197</t>
  </si>
  <si>
    <t>PS5-60-IE-0003F-CL01</t>
  </si>
  <si>
    <t>Cable FROM PS5-06-IG-0004A TO PS5-60-IE-0003F</t>
  </si>
  <si>
    <t>PS5-60-17 - Power Gen Package F (UCP)</t>
  </si>
  <si>
    <t>T-00023-5198</t>
  </si>
  <si>
    <t>PS5-60-IE-0003F-CL02</t>
  </si>
  <si>
    <t>Cable FROM PS5-06-IG-0004B TO PS5-60-IE-0003F</t>
  </si>
  <si>
    <t>T-00023-5199</t>
  </si>
  <si>
    <t>PS5-60-IE-0003G-CL01</t>
  </si>
  <si>
    <t>Cable FROM PS5-06-IG-0004A TO PS5-60-IE-0003G</t>
  </si>
  <si>
    <t>PS5-60-20 - Power Gen Package G (UCP)</t>
  </si>
  <si>
    <t>T-00023-5200</t>
  </si>
  <si>
    <t>PS5-60-IE-0003G-CL02</t>
  </si>
  <si>
    <t>Cable FROM PS5-06-IG-0004B TO PS5-60-IE-0003G</t>
  </si>
  <si>
    <t>T-00023-5201</t>
  </si>
  <si>
    <t>PS5-60-IE-0004-CL01</t>
  </si>
  <si>
    <t>Cable FROM PS5-06-IG-0004A TO PS5-60-IE-0004</t>
  </si>
  <si>
    <t>T-00023-5202</t>
  </si>
  <si>
    <t>PS5-60-IE-0004-CL02</t>
  </si>
  <si>
    <t>Cable FROM PS5-06-IG-0004B TO PS5-60-IE-0004</t>
  </si>
  <si>
    <t>T-00023-5204</t>
  </si>
  <si>
    <t>PS5-60-IH-0001A-CL01</t>
  </si>
  <si>
    <t>T-00023-5205</t>
  </si>
  <si>
    <t>PS5-60-IH-0001A-CL02</t>
  </si>
  <si>
    <t>T-00023-5206</t>
  </si>
  <si>
    <t>PS5-60-IH-0001A-CL03</t>
  </si>
  <si>
    <t>T-00023-5207</t>
  </si>
  <si>
    <t>PS5-60-IH-0001A-CL04</t>
  </si>
  <si>
    <t>T-00023-5208</t>
  </si>
  <si>
    <t>PS5-60-IH-0001A-CL05</t>
  </si>
  <si>
    <t>Cable FROM PS5-06-IG-0004A TO PS5-60-IH-0001A</t>
  </si>
  <si>
    <t>T-00023-5209</t>
  </si>
  <si>
    <t>PS5-60-IH-0001A-CL06</t>
  </si>
  <si>
    <t>Cable FROM PS5-06-IG-0004B TO PS5-60-IH-0001A</t>
  </si>
  <si>
    <t>T-00023-5211</t>
  </si>
  <si>
    <t>PS5-60-IH-0001B-CL01</t>
  </si>
  <si>
    <t>T-00023-5212</t>
  </si>
  <si>
    <t>PS5-60-IH-0001B-CL02</t>
  </si>
  <si>
    <t>T-00023-5213</t>
  </si>
  <si>
    <t>PS5-60-IH-0001B-CL03</t>
  </si>
  <si>
    <t>T-00023-5214</t>
  </si>
  <si>
    <t>PS5-60-IH-0001B-CL04</t>
  </si>
  <si>
    <t>T-00023-5215</t>
  </si>
  <si>
    <t>PS5-60-IH-0001B-CL05</t>
  </si>
  <si>
    <t>Cable FROM PS5-06-IG-0004A TO PS5-60-IH-0001B</t>
  </si>
  <si>
    <t>T-00023-5216</t>
  </si>
  <si>
    <t>PS5-60-IH-0001B-CL06</t>
  </si>
  <si>
    <t>Cable FROM PS5-06-IG-0004B TO PS5-60-IH-0001B</t>
  </si>
  <si>
    <t>T-00023-5218</t>
  </si>
  <si>
    <t>PS5-60-IH-0001C-CL01</t>
  </si>
  <si>
    <t>T-00023-5219</t>
  </si>
  <si>
    <t>PS5-60-IH-0001C-CL02</t>
  </si>
  <si>
    <t>T-00023-5220</t>
  </si>
  <si>
    <t>PS5-60-IH-0001C-CL03</t>
  </si>
  <si>
    <t>T-00023-5221</t>
  </si>
  <si>
    <t>PS5-60-IH-0001C-CL04</t>
  </si>
  <si>
    <t>T-00023-5222</t>
  </si>
  <si>
    <t>PS5-60-IH-0001C-CL05</t>
  </si>
  <si>
    <t>Cable FROM PS5-06-IG-0004B TO PS5-60-IH-0001C</t>
  </si>
  <si>
    <t>T-00023-5223</t>
  </si>
  <si>
    <t>PS5-60-IH-0001C-CL06</t>
  </si>
  <si>
    <t>Cable FROM PS5-06-IG-0004A TO PS5-60-IH-0001C</t>
  </si>
  <si>
    <t>T-00023-5225</t>
  </si>
  <si>
    <t>PS5-60-IH-0001D-CL01</t>
  </si>
  <si>
    <t>T-00023-5226</t>
  </si>
  <si>
    <t>PS5-60-IH-0001D-CL02</t>
  </si>
  <si>
    <t>T-00023-5227</t>
  </si>
  <si>
    <t>PS5-60-IH-0001D-CL03</t>
  </si>
  <si>
    <t>T-00023-5228</t>
  </si>
  <si>
    <t>PS5-60-IH-0001D-CL04</t>
  </si>
  <si>
    <t>T-00023-5229</t>
  </si>
  <si>
    <t>PS5-60-IH-0001D-CL05</t>
  </si>
  <si>
    <t>Cable FROM PS5-06-IG-0004B TO PS5-60-IH-0001D</t>
  </si>
  <si>
    <t>T-00023-5230</t>
  </si>
  <si>
    <t>PS5-60-IH-0001D-CL06</t>
  </si>
  <si>
    <t>Cable FROM PS5-06-IG-0004A TO PS5-60-IH-0001D</t>
  </si>
  <si>
    <t>T-00023-5232</t>
  </si>
  <si>
    <t>PS5-60-IH-0001E-CL01</t>
  </si>
  <si>
    <t>T-00023-5233</t>
  </si>
  <si>
    <t>PS5-60-IH-0001E-CL02</t>
  </si>
  <si>
    <t>T-00023-5234</t>
  </si>
  <si>
    <t>PS5-60-IH-0001E-CL03</t>
  </si>
  <si>
    <t>T-00023-5235</t>
  </si>
  <si>
    <t>PS5-60-IH-0001E-CL04</t>
  </si>
  <si>
    <t>T-00023-5236</t>
  </si>
  <si>
    <t>PS5-60-IH-0001E-CL05</t>
  </si>
  <si>
    <t>Cable FROM PS5-06-IG-0004B TO PS5-60-IH-0001E</t>
  </si>
  <si>
    <t>T-00023-5237</t>
  </si>
  <si>
    <t>PS5-60-IH-0001E-CL06</t>
  </si>
  <si>
    <t>Cable FROM PS5-06-IG-0004A TO PS5-60-IH-0001E</t>
  </si>
  <si>
    <t>T-00023-5239</t>
  </si>
  <si>
    <t>PS5-60-IH-0001F-CL01</t>
  </si>
  <si>
    <t>T-00023-5240</t>
  </si>
  <si>
    <t>PS5-60-IH-0001F-CL02</t>
  </si>
  <si>
    <t>T-00023-5241</t>
  </si>
  <si>
    <t>PS5-60-IH-0001F-CL03</t>
  </si>
  <si>
    <t>T-00023-5242</t>
  </si>
  <si>
    <t>PS5-60-IH-0001F-CL04</t>
  </si>
  <si>
    <t>T-00023-5243</t>
  </si>
  <si>
    <t>PS5-60-IH-0001F-CL05</t>
  </si>
  <si>
    <t>Cable FROM PS5-06-IG-0004B TO PS5-60-IH-0001F</t>
  </si>
  <si>
    <t>T-00023-5244</t>
  </si>
  <si>
    <t>PS5-60-IH-0001F-CL06</t>
  </si>
  <si>
    <t>Cable FROM PS5-06-IG-0004A TO PS5-60-IH-0001F</t>
  </si>
  <si>
    <t>T-00023-5246</t>
  </si>
  <si>
    <t>PS5-60-IH-0001G-CL01</t>
  </si>
  <si>
    <t>T-00023-5247</t>
  </si>
  <si>
    <t>PS5-60-IH-0001G-CL02</t>
  </si>
  <si>
    <t>T-00023-5248</t>
  </si>
  <si>
    <t>PS5-60-IH-0001G-CL03</t>
  </si>
  <si>
    <t>T-00023-5249</t>
  </si>
  <si>
    <t>PS5-60-IH-0001G-CL04</t>
  </si>
  <si>
    <t>T-00023-5250</t>
  </si>
  <si>
    <t>PS5-60-IH-0001G-CL05</t>
  </si>
  <si>
    <t>Cable FROM PS5-06-IG-0004A TO PS5-60-IH-0001G</t>
  </si>
  <si>
    <t>T-00023-5251</t>
  </si>
  <si>
    <t>PS5-60-IH-0001G-CL06</t>
  </si>
  <si>
    <t>Cable FROM PS5-06-IG-0004B TO PS5-60-IH-0001G</t>
  </si>
  <si>
    <t>T-00023-5254</t>
  </si>
  <si>
    <t>PS5-60-IH-0002-CL01</t>
  </si>
  <si>
    <t>Cable FROM PS5-06-IG-0004A TO PS5-60-IH-0002</t>
  </si>
  <si>
    <t>T-00023-5255</t>
  </si>
  <si>
    <t>PS5-60-IH-0002-CL02</t>
  </si>
  <si>
    <t>Cable FROM PS5-06-IG-0004B TO PS5-60-IH-0002</t>
  </si>
  <si>
    <t>T-00023-5256</t>
  </si>
  <si>
    <t>PS5-60-IH-0002-CL03</t>
  </si>
  <si>
    <t>T-00023-5257</t>
  </si>
  <si>
    <t>PS5-60-IH-0002-CL04</t>
  </si>
  <si>
    <t>T-00023-5258</t>
  </si>
  <si>
    <t>PS5-60-IH-0002-CL05</t>
  </si>
  <si>
    <t>T-00023-5259</t>
  </si>
  <si>
    <t>PS5-60-IH-0002-CL06</t>
  </si>
  <si>
    <t>T-00023-5260</t>
  </si>
  <si>
    <t>PS5-60-IH-0002-CL07</t>
  </si>
  <si>
    <t>T-00023-5261</t>
  </si>
  <si>
    <t>PS5-60-IH-0002-CL08</t>
  </si>
  <si>
    <t>T-00023-5262</t>
  </si>
  <si>
    <t>PS5-60-IH-0002-CL09</t>
  </si>
  <si>
    <t>T-00023-5263</t>
  </si>
  <si>
    <t>PS5-60-IH-0002-CL10</t>
  </si>
  <si>
    <t>T-00023-5264</t>
  </si>
  <si>
    <t>PS5-60-IN-0001A-CL01</t>
  </si>
  <si>
    <t>Cable FROM PS5-60-IH-0001A TO PS5-60-IN-0001A</t>
  </si>
  <si>
    <t>T-00023-5265</t>
  </si>
  <si>
    <t>PS5-60-IN-0001B-CL01</t>
  </si>
  <si>
    <t>Cable FROM PS5-60-IH-0001B TO PS5-60-IN-0001B</t>
  </si>
  <si>
    <t>T-00023-5266</t>
  </si>
  <si>
    <t>PS5-60-IN-0001C-CL01</t>
  </si>
  <si>
    <t>Cable FROM PS5-60-IH-0001C TO PS5-60-IN-0001C</t>
  </si>
  <si>
    <t>T-00023-5267</t>
  </si>
  <si>
    <t>PS5-60-IN-0001D-CL01</t>
  </si>
  <si>
    <t>Cable FROM PS5-60-IH-0001D TO PS5-60-IN-0001D</t>
  </si>
  <si>
    <t>T-00023-5268</t>
  </si>
  <si>
    <t>PS5-60-IN-0001E-CL01</t>
  </si>
  <si>
    <t>Cable FROM PS5-60-IH-0001E TO PS5-60-IN-0001E</t>
  </si>
  <si>
    <t>T-00023-5269</t>
  </si>
  <si>
    <t>PS5-60-IN-0001F-CL01</t>
  </si>
  <si>
    <t>Cable FROM PS5-60-IH-0001F TO PS5-60-IN-0001F</t>
  </si>
  <si>
    <t>T-00023-5270</t>
  </si>
  <si>
    <t>PS5-60-IN-0001G-CL01</t>
  </si>
  <si>
    <t>Cable FROM PS5-60-IH-0001G TO PS5-60-IN-0001G</t>
  </si>
  <si>
    <t>T-00023-5271</t>
  </si>
  <si>
    <t>PS5-60-IN-0002A-CL01</t>
  </si>
  <si>
    <t>T-00023-5272</t>
  </si>
  <si>
    <t>PS5-60-IN-0002A-CL02</t>
  </si>
  <si>
    <t>Cable FROM PS5-06-IG-0004A TO PS5-60-IN-0002A</t>
  </si>
  <si>
    <t>T-00023-5273</t>
  </si>
  <si>
    <t>PS5-60-IN-0002A-CL03</t>
  </si>
  <si>
    <t>Cable FROM PS5-06-IG-0004B TO PS5-60-IN-0002A</t>
  </si>
  <si>
    <t>T-00023-5274</t>
  </si>
  <si>
    <t>PS5-60-IN-0002B-CL01</t>
  </si>
  <si>
    <t>T-00023-5275</t>
  </si>
  <si>
    <t>PS5-60-IN-0002B-CL02</t>
  </si>
  <si>
    <t>Cable FROM PS5-06-IG-0004A TO PS5-60-IN-0002B</t>
  </si>
  <si>
    <t>T-00023-5276</t>
  </si>
  <si>
    <t>PS5-60-IN-0002B-CL03</t>
  </si>
  <si>
    <t>Cable FROM PS5-06-IG-0004B TO PS5-60-IN-0002B</t>
  </si>
  <si>
    <t>T-00023-5277</t>
  </si>
  <si>
    <t>PS5-60-IN-0002C-CL01</t>
  </si>
  <si>
    <t>T-00023-5278</t>
  </si>
  <si>
    <t>PS5-60-IN-0002C-CL02</t>
  </si>
  <si>
    <t>Cable FROM PS5-06-IG-0004A TO PS5-60-IN-0002C</t>
  </si>
  <si>
    <t>T-00023-5279</t>
  </si>
  <si>
    <t>PS5-60-IN-0002C-CL03</t>
  </si>
  <si>
    <t>Cable FROM PS5-06-IG-0004B TO PS5-60-IN-0002C</t>
  </si>
  <si>
    <t>T-00023-5280</t>
  </si>
  <si>
    <t>PS5-60-IN-0002D-CL01</t>
  </si>
  <si>
    <t>T-00023-5281</t>
  </si>
  <si>
    <t>PS5-60-IN-0002D-CL02</t>
  </si>
  <si>
    <t>Cable FROM PS5-06-IG-0004A TO PS5-60-IN-0002D</t>
  </si>
  <si>
    <t>T-00023-5282</t>
  </si>
  <si>
    <t>PS5-60-IN-0002D-CL03</t>
  </si>
  <si>
    <t>Cable FROM PS5-06-IG-0004B TO PS5-60-IN-0002D</t>
  </si>
  <si>
    <t>T-00023-5283</t>
  </si>
  <si>
    <t>PS5-60-IN-0002E-CL01</t>
  </si>
  <si>
    <t>T-00023-5284</t>
  </si>
  <si>
    <t>PS5-60-IN-0002E-CL02</t>
  </si>
  <si>
    <t>Cable FROM PS5-06-IG-0004A TO PS5-60-IN-0002E</t>
  </si>
  <si>
    <t>T-00023-5285</t>
  </si>
  <si>
    <t>PS5-60-IN-0002E-CL03</t>
  </si>
  <si>
    <t>Cable FROM PS5-06-IG-0004B TO PS5-60-IN-0002E</t>
  </si>
  <si>
    <t>T-00023-5286</t>
  </si>
  <si>
    <t>PS5-60-IN-0002F-CL01</t>
  </si>
  <si>
    <t>T-00023-5287</t>
  </si>
  <si>
    <t>PS5-60-IN-0002F-CL02</t>
  </si>
  <si>
    <t>Cable FROM PS5-06-IG-0004A TO PS5-60-IN-0002F</t>
  </si>
  <si>
    <t>T-00023-5288</t>
  </si>
  <si>
    <t>PS5-60-IN-0002F-CL03</t>
  </si>
  <si>
    <t>Cable FROM PS5-06-IG-0004B TO PS5-60-IN-0002F</t>
  </si>
  <si>
    <t>T-00023-5289</t>
  </si>
  <si>
    <t>PS5-60-IN-0002G-CL01</t>
  </si>
  <si>
    <t>T-00023-5290</t>
  </si>
  <si>
    <t>PS5-60-IN-0002G-CL02</t>
  </si>
  <si>
    <t>Cable FROM PS5-06-IG-0004A TO PS5-60-IN-0002G</t>
  </si>
  <si>
    <t>T-00023-5291</t>
  </si>
  <si>
    <t>PS5-60-IN-0002G-CL03</t>
  </si>
  <si>
    <t>Cable FROM PS5-06-IG-0004B TO PS5-60-IN-0002G</t>
  </si>
  <si>
    <t>T-00023-5292</t>
  </si>
  <si>
    <t>PS5-60-IWK-0001A-CL01</t>
  </si>
  <si>
    <t>Cable FROM PS5-06-IG-0004A TO PS5-60-IWK-0001A</t>
  </si>
  <si>
    <t>T-00023-5293</t>
  </si>
  <si>
    <t>PS5-60-IWK-0001A-CL02</t>
  </si>
  <si>
    <t>Cable FROM PS5-06-IG-0004B TO PS5-60-IWK-0001A</t>
  </si>
  <si>
    <t>T-00023-5294</t>
  </si>
  <si>
    <t>PS5-60-IWK-0001B-CL01</t>
  </si>
  <si>
    <t>Cable FROM PS5-06-IG-0004A TO PS5-60-IWK-0001B</t>
  </si>
  <si>
    <t>T-00023-5295</t>
  </si>
  <si>
    <t>PS5-60-IWK-0001B-CL02</t>
  </si>
  <si>
    <t>Cable FROM PS5-06-IG-0004B TO PS5-60-IWK-0001B</t>
  </si>
  <si>
    <t>T-00023-5296</t>
  </si>
  <si>
    <t>PS5-60-IWK-0001C-CL01</t>
  </si>
  <si>
    <t>Cable FROM PS5-06-IG-0004A TO PS5-60-IWK-0001C</t>
  </si>
  <si>
    <t>T-00023-5297</t>
  </si>
  <si>
    <t>PS5-60-IWK-0001C-CL02</t>
  </si>
  <si>
    <t>Cable FROM PS5-06-IG-0004B TO PS5-60-IWK-0001C</t>
  </si>
  <si>
    <t>T-00023-5298</t>
  </si>
  <si>
    <t>PS5-60-LA-0002A-CL01</t>
  </si>
  <si>
    <t>Cable FROM PS5-06-IG-0004A TO PS5-60-LA-0002A</t>
  </si>
  <si>
    <t>T-00023-5299</t>
  </si>
  <si>
    <t>PS5-60-LA-0002A-CL02</t>
  </si>
  <si>
    <t>Cable FROM PS5-06-IG-0004B TO PS5-60-LA-0002A</t>
  </si>
  <si>
    <t>T-00023-5300</t>
  </si>
  <si>
    <t>PS5-60-LA-0002B-CL01</t>
  </si>
  <si>
    <t>Cable FROM PS5-06-IG-0004A TO PS5-60-LA-0002B</t>
  </si>
  <si>
    <t>T-00023-5301</t>
  </si>
  <si>
    <t>PS5-60-LA-0002B-CL02</t>
  </si>
  <si>
    <t>Cable FROM PS5-06-IG-0004B TO PS5-60-LA-0002B</t>
  </si>
  <si>
    <t>T-00023-5302</t>
  </si>
  <si>
    <t>PS5-60-LA-0002C-CL01</t>
  </si>
  <si>
    <t>Cable FROM PS5-06-IG-0004A TO PS5-60-LA-0002C</t>
  </si>
  <si>
    <t>T-00023-5303</t>
  </si>
  <si>
    <t>PS5-60-LA-0002C-CL02</t>
  </si>
  <si>
    <t>Cable FROM PS5-06-IG-0004B TO PS5-60-LA-0002C</t>
  </si>
  <si>
    <t>T-00023-5304</t>
  </si>
  <si>
    <t>PS5-60-LA-0003-CL01</t>
  </si>
  <si>
    <t>Cable FROM PS5-06-IG-0004A TO PS5-60-LA-0003</t>
  </si>
  <si>
    <t>T-00023-5305</t>
  </si>
  <si>
    <t>PS5-60-LA-0003-CL02</t>
  </si>
  <si>
    <t>Cable FROM PS5-06-IG-0004B TO PS5-60-LA-0003</t>
  </si>
  <si>
    <t>T-00023-5310</t>
  </si>
  <si>
    <t>PS5-60-SEA-0001-CL01</t>
  </si>
  <si>
    <t>Cable FROM PS5-06-IG-0004A TO PS5-60-SEA-0001</t>
  </si>
  <si>
    <t>T-00023-5311</t>
  </si>
  <si>
    <t>PS5-60-SEA-0001-CL02</t>
  </si>
  <si>
    <t>Cable FROM PS5-06-IG-0004B TO PS5-60-SEA-0001</t>
  </si>
  <si>
    <t>T-00023-5312</t>
  </si>
  <si>
    <t>PS5-60-VS-9100A-CL01</t>
  </si>
  <si>
    <t>Cable FROM PS5-60-IH-0001A TO PS5-60-VS-9100A</t>
  </si>
  <si>
    <t>PS5-60-42 - Oil Mist Separator Skid PS5-60-VS-9100A</t>
  </si>
  <si>
    <t>T-00023-5313</t>
  </si>
  <si>
    <t>PS5-60-VS-9100B-CL01</t>
  </si>
  <si>
    <t>Cable FROM PS5-60-IH-0001B TO PS5-60-VS-9100B</t>
  </si>
  <si>
    <t>PS5-60-43 - Oil Mist Separator Skid PS5-60-VS-9100B</t>
  </si>
  <si>
    <t>T-00023-5314</t>
  </si>
  <si>
    <t>PS5-60-VS-9100C-CL01</t>
  </si>
  <si>
    <t>Cable FROM PS5-60-IH-0001C TO PS5-60-VS-9100C</t>
  </si>
  <si>
    <t>PS5-60-44 - Oil Mist Separator Skid PS5-60-VS-9100C</t>
  </si>
  <si>
    <t>T-00023-5315</t>
  </si>
  <si>
    <t>PS5-60-VS-9100D-CL01</t>
  </si>
  <si>
    <t>Cable FROM PS5-60-IH-0001D TO PS5-60-VS-9100D</t>
  </si>
  <si>
    <t>PS5-60-45 - Oil Mist Separator Skid PS5-60-VS-9100D</t>
  </si>
  <si>
    <t>T-00023-5316</t>
  </si>
  <si>
    <t>PS5-60-VS-9100E-CL01</t>
  </si>
  <si>
    <t>Cable FROM PS5-60-IH-0001E TO PS5-60-VS-9100E</t>
  </si>
  <si>
    <t>PS5-60-46 - Oil Mist Separator Skid PS5-60-VS-9100E</t>
  </si>
  <si>
    <t>T-00023-5317</t>
  </si>
  <si>
    <t>PS5-60-VS-9100F-CL01</t>
  </si>
  <si>
    <t>Cable FROM PS5-60-IH-0001F TO PS5-60-VS-9100F</t>
  </si>
  <si>
    <t>PS5-60-47 - Oil Mist Separator Skid PS5-60-VS-9100F</t>
  </si>
  <si>
    <t>T-00023-5318</t>
  </si>
  <si>
    <t>PS5-60-VS-9100G-CL01</t>
  </si>
  <si>
    <t>Cable FROM PS5-60-IH-0001G TO PS5-60-VS-9100G</t>
  </si>
  <si>
    <t>PS5-60-48 - Oil Mist Separator Skid PS5-60-VS-9100G</t>
  </si>
  <si>
    <t>T-00023-5319</t>
  </si>
  <si>
    <t>PS5-61-BI-0001-CL01</t>
  </si>
  <si>
    <t>Cable FROM PS5-60-IH-0001A TO PS5-61-BI-0001</t>
  </si>
  <si>
    <t>T-00023-5320</t>
  </si>
  <si>
    <t>PS5-61-BI-0002-CL01</t>
  </si>
  <si>
    <t>Cable FROM PS5-60-IH-0001B TO PS5-61-BI-0002</t>
  </si>
  <si>
    <t>T-00023-5321</t>
  </si>
  <si>
    <t>PS5-61-BI-0003-CL01</t>
  </si>
  <si>
    <t>Cable FROM PS5-60-IH-0001C TO PS5-61-BI-0003</t>
  </si>
  <si>
    <t>T-00023-5322</t>
  </si>
  <si>
    <t>PS5-61-BI-0004-CL01</t>
  </si>
  <si>
    <t>Cable FROM PS5-60-IH-0001D TO PS5-61-BI-0004</t>
  </si>
  <si>
    <t>T-00023-5323</t>
  </si>
  <si>
    <t>PS5-61-BI-0005-CL01</t>
  </si>
  <si>
    <t>Cable FROM PS5-60-IH-0001E TO PS5-61-BI-0005</t>
  </si>
  <si>
    <t>T-00023-5324</t>
  </si>
  <si>
    <t>PS5-61-BI-0006-CL01</t>
  </si>
  <si>
    <t>Cable FROM PS5-60-IH-0001F TO PS5-61-BI-0006</t>
  </si>
  <si>
    <t>T-00023-5325</t>
  </si>
  <si>
    <t>PS5-61-BI-0007-CL01</t>
  </si>
  <si>
    <t>Cable FROM PS5-60-IH-0001G TO PS5-61-BI-0007</t>
  </si>
  <si>
    <t>T-00023-5581</t>
  </si>
  <si>
    <t>PS5-71-IN-0002-CL01</t>
  </si>
  <si>
    <t>Cable FROM PS5-06-IG-0004A TO PS5-71-IN-0002</t>
  </si>
  <si>
    <t>PS5-71-09 - CFO Pre-Pressure Modules (UCP)</t>
  </si>
  <si>
    <t>T-00023-5582</t>
  </si>
  <si>
    <t>PS5-71-IN-0002-CL02</t>
  </si>
  <si>
    <t>Cable FROM PS5-06-IG-0004B TO PS5-71-IN-0002</t>
  </si>
  <si>
    <t>T-00023-5583</t>
  </si>
  <si>
    <t>PS5-71-IN-0002-CL03</t>
  </si>
  <si>
    <t>Cable FROM PS5-60-IH-0002 TO PS5-71-IN-0002</t>
  </si>
  <si>
    <t>T-00023-5584</t>
  </si>
  <si>
    <t>PS5-71-IN-0003-CL01</t>
  </si>
  <si>
    <t>Cable FROM PS5-06-IG-0004A TO PS5-71-IN-0003</t>
  </si>
  <si>
    <t>PS5-71-23 - Diesel Fuel Pre Pressure Module (UCP)</t>
  </si>
  <si>
    <t>T-00023-5585</t>
  </si>
  <si>
    <t>PS5-71-IN-0003-CL02</t>
  </si>
  <si>
    <t>Cable FROM PS5-06-IG-0004B TO PS5-71-IN-0003</t>
  </si>
  <si>
    <t>T-00023-5586</t>
  </si>
  <si>
    <t>PS5-71-IN-0003-CL03</t>
  </si>
  <si>
    <t>Cable FROM PS5-60-IH-0002 TO PS5-71-IN-0003</t>
  </si>
  <si>
    <t>T-00023-5594</t>
  </si>
  <si>
    <t>PS5-71-MOV-0001-CL01</t>
  </si>
  <si>
    <t>Cable FROM PS5-61-IG-0042 TO PS5-71-MOV-0001</t>
  </si>
  <si>
    <t>PS5-71-08 - CFO Pre-Pressure Modules</t>
  </si>
  <si>
    <t>T-00023-5595</t>
  </si>
  <si>
    <t>PS5-71-MOV-0002-CL01</t>
  </si>
  <si>
    <t>Cable FROM PS5-61-IG-0042 TO PS5-71-MOV-0002</t>
  </si>
  <si>
    <t>PS5-71-22 - Diesel Fuel Pre Pressure Module</t>
  </si>
  <si>
    <t>T-00023-5596</t>
  </si>
  <si>
    <t>PS5-71-MOV-0003-CL01</t>
  </si>
  <si>
    <t>Cable FROM PS5-61-IG-0042 TO PS5-71-MOV-0003</t>
  </si>
  <si>
    <t>T-00023-5597</t>
  </si>
  <si>
    <t>PS5-71-MOV-0004-CL01</t>
  </si>
  <si>
    <t>Cable FROM PS5-61-IG-0042 TO PS5-71-MOV-0004</t>
  </si>
  <si>
    <t>T-00023-5599</t>
  </si>
  <si>
    <t>PS5-71-MOV-0008-CL01</t>
  </si>
  <si>
    <t>Cable FROM PS5-61-IG-0042 TO PS5-71-MOV-0008</t>
  </si>
  <si>
    <t>T-00023-5601</t>
  </si>
  <si>
    <t>PS5-71-MOV-0010-CL01</t>
  </si>
  <si>
    <t>Cable FROM PS5-61-IG-0042 TO PS5-71-MOV-0010</t>
  </si>
  <si>
    <t>T-00023-9131</t>
  </si>
  <si>
    <t>PS5-60-BE-0007A-CL01</t>
  </si>
  <si>
    <t>Cable FROM PS5-60-IN-0002A TO PS5-60-BE-0007A</t>
  </si>
  <si>
    <t>PS5-60-56 - Fuel Conditioning Module PS5-60-UZ-8900A</t>
  </si>
  <si>
    <t>T-00023-9132</t>
  </si>
  <si>
    <t>PS5-60-BE-0007B-CL01</t>
  </si>
  <si>
    <t>Cable FROM PS5-60-IN-0002B TO PS5-60-BE-0007B</t>
  </si>
  <si>
    <t>PS5-60-58 - Fuel Conditioning Module PS5-60-UZ-8900B</t>
  </si>
  <si>
    <t>T-00023-9133</t>
  </si>
  <si>
    <t>PS5-60-BE-0007C-CL01</t>
  </si>
  <si>
    <t>Cable FROM PS5-60-IN-0002C TO PS5-60-BE-0007C</t>
  </si>
  <si>
    <t>PS5-60-60 - Fuel Conditioning Module PS5-60-UZ-8900C</t>
  </si>
  <si>
    <t>T-00023-9134</t>
  </si>
  <si>
    <t>PS5-60-BE-0007D-CL01</t>
  </si>
  <si>
    <t>Cable FROM PS5-60-IN-0002D TO PS5-60-BE-0007D</t>
  </si>
  <si>
    <t>PS5-60-62 - Fuel Conditioning Module PS5-60-UZ-8900D</t>
  </si>
  <si>
    <t>T-00023-9135</t>
  </si>
  <si>
    <t>PS5-60-BE-0007E-CL01</t>
  </si>
  <si>
    <t>Cable FROM PS5-60-IN-0002E TO PS5-60-BE-0007E</t>
  </si>
  <si>
    <t>PS5-60-64 - Fuel Conditioning Module PS5-60-UZ-8900E</t>
  </si>
  <si>
    <t>T-00023-9136</t>
  </si>
  <si>
    <t>PS5-60-BE-0007F-CL01</t>
  </si>
  <si>
    <t>Cable FROM PS5-60-IN-0002F TO PS5-60-BE-0007F</t>
  </si>
  <si>
    <t>PS5-60-66 - Fuel Conditioning Module PS5-60-UZ-8900F</t>
  </si>
  <si>
    <t>T-00023-9137</t>
  </si>
  <si>
    <t>PS5-60-BE-0007G-CL01</t>
  </si>
  <si>
    <t>Cable FROM PS5-60-IN-0002G TO PS5-60-BE-0007G</t>
  </si>
  <si>
    <t>PS5-60-68 - Fuel Conditioning Module PS5-60-UZ-8900G</t>
  </si>
  <si>
    <t>T-00023-9138</t>
  </si>
  <si>
    <t>PS5-60-BE-0027A-CL01</t>
  </si>
  <si>
    <t>Cable FROM PS5-60-IN-0002A TO PS5-60-BE-0027A</t>
  </si>
  <si>
    <t>T-00023-9139</t>
  </si>
  <si>
    <t>PS5-60-BE-0027B-CL01</t>
  </si>
  <si>
    <t>Cable FROM PS5-60-IN-0002B TO PS5-60-BE-0027B</t>
  </si>
  <si>
    <t>T-00023-9140</t>
  </si>
  <si>
    <t>PS5-60-BE-0027C-CL01</t>
  </si>
  <si>
    <t>Cable FROM PS5-60-IN-0002C TO PS5-60-BE-0027C</t>
  </si>
  <si>
    <t>T-00023-9141</t>
  </si>
  <si>
    <t>PS5-60-BE-0027D-CL01</t>
  </si>
  <si>
    <t>Cable FROM PS5-60-IN-0002D TO PS5-60-BE-0027D</t>
  </si>
  <si>
    <t>T-00023-9142</t>
  </si>
  <si>
    <t>PS5-60-BE-0027E-CL01</t>
  </si>
  <si>
    <t>Cable FROM PS5-60-IN-0002E TO PS5-60-BE-0027E</t>
  </si>
  <si>
    <t>T-00023-9143</t>
  </si>
  <si>
    <t>PS5-60-BE-0027F-CL01</t>
  </si>
  <si>
    <t>Cable FROM PS5-60-IN-0002F TO PS5-60-BE-0027F</t>
  </si>
  <si>
    <t>T-00023-9144</t>
  </si>
  <si>
    <t>PS5-60-BE-0027G-CL01</t>
  </si>
  <si>
    <t>Cable FROM PS5-60-IN-0002G TO PS5-60-BE-0027G</t>
  </si>
  <si>
    <t>T-00023-9145</t>
  </si>
  <si>
    <t>PS5-60-BE-0028A-CL01</t>
  </si>
  <si>
    <t>Cable FROM PS5-60-IN-0002A TO PS5-60-BE-0028A</t>
  </si>
  <si>
    <t>T-00023-9146</t>
  </si>
  <si>
    <t>PS5-60-BE-0028B-CL01</t>
  </si>
  <si>
    <t>Cable FROM PS5-60-IN-0002B TO PS5-60-BE-0028B</t>
  </si>
  <si>
    <t>T-00023-9147</t>
  </si>
  <si>
    <t>PS5-60-BE-0028C-CL01</t>
  </si>
  <si>
    <t>Cable FROM PS5-60-IN-0002C TO PS5-60-BE-0028C</t>
  </si>
  <si>
    <t>T-00023-9148</t>
  </si>
  <si>
    <t>PS5-60-BE-0028D-CL01</t>
  </si>
  <si>
    <t>Cable FROM PS5-60-IN-0002D TO PS5-60-BE-0028D</t>
  </si>
  <si>
    <t>T-00023-9149</t>
  </si>
  <si>
    <t>PS5-60-BE-0028E-CL01</t>
  </si>
  <si>
    <t>Cable FROM PS5-60-IN-0002E TO PS5-60-BE-0028E</t>
  </si>
  <si>
    <t>T-00023-9150</t>
  </si>
  <si>
    <t>PS5-60-BE-0028F-CL01</t>
  </si>
  <si>
    <t>Cable FROM PS5-60-IN-0002F TO PS5-60-BE-0028F</t>
  </si>
  <si>
    <t>T-00023-9151</t>
  </si>
  <si>
    <t>PS5-60-BE-0028G-CL01</t>
  </si>
  <si>
    <t>Cable FROM PS5-60-IN-0002G TO PS5-60-BE-0028G</t>
  </si>
  <si>
    <t>T-00023-9152</t>
  </si>
  <si>
    <t>PS5-60-BI-0006A-CL01</t>
  </si>
  <si>
    <t>Cable FROM PS5-60-IN-0002A TO PS5-60-BI-0006A</t>
  </si>
  <si>
    <t>T-00023-9153</t>
  </si>
  <si>
    <t>PS5-60-BI-0006A-CL02</t>
  </si>
  <si>
    <t>T-00023-9154</t>
  </si>
  <si>
    <t>PS5-60-BI-0006A-CL03</t>
  </si>
  <si>
    <t>T-00023-9155</t>
  </si>
  <si>
    <t>PS5-60-BI-0006A-CL04</t>
  </si>
  <si>
    <t>T-00023-9156</t>
  </si>
  <si>
    <t>PS5-60-BI-0006A-CL05</t>
  </si>
  <si>
    <t>T-00023-9157</t>
  </si>
  <si>
    <t>PS5-60-BI-0006A-CL06</t>
  </si>
  <si>
    <t>T-00023-9158</t>
  </si>
  <si>
    <t>PS5-60-BI-0006A-CL07</t>
  </si>
  <si>
    <t>T-00023-9159</t>
  </si>
  <si>
    <t>PS5-60-BI-0006A-CL08</t>
  </si>
  <si>
    <t>T-00023-9160</t>
  </si>
  <si>
    <t>PS5-60-BI-0006A-CL09</t>
  </si>
  <si>
    <t>T-00023-9161</t>
  </si>
  <si>
    <t>PS5-60-BI-0006A-CL10</t>
  </si>
  <si>
    <t>T-00023-9162</t>
  </si>
  <si>
    <t>PS5-60-BI-0006A-CL11</t>
  </si>
  <si>
    <t>T-00023-9163</t>
  </si>
  <si>
    <t>PS5-60-BI-0006B-CL01</t>
  </si>
  <si>
    <t>Cable FROM PS5-60-IN-0002B TO PS5-60-BI-0006B</t>
  </si>
  <si>
    <t>T-00023-9164</t>
  </si>
  <si>
    <t>PS5-60-BI-0006B-CL02</t>
  </si>
  <si>
    <t>T-00023-9165</t>
  </si>
  <si>
    <t>PS5-60-BI-0006B-CL03</t>
  </si>
  <si>
    <t>T-00023-9166</t>
  </si>
  <si>
    <t>PS5-60-BI-0006B-CL04</t>
  </si>
  <si>
    <t>T-00023-9167</t>
  </si>
  <si>
    <t>PS5-60-BI-0006B-CL05</t>
  </si>
  <si>
    <t>T-00023-9168</t>
  </si>
  <si>
    <t>PS5-60-BI-0006B-CL06</t>
  </si>
  <si>
    <t>T-00023-9169</t>
  </si>
  <si>
    <t>PS5-60-BI-0006B-CL07</t>
  </si>
  <si>
    <t>T-00023-9170</t>
  </si>
  <si>
    <t>PS5-60-BI-0006B-CL08</t>
  </si>
  <si>
    <t>T-00023-9171</t>
  </si>
  <si>
    <t>PS5-60-BI-0006B-CL09</t>
  </si>
  <si>
    <t>T-00023-9172</t>
  </si>
  <si>
    <t>PS5-60-BI-0006B-CL10</t>
  </si>
  <si>
    <t>T-00023-9173</t>
  </si>
  <si>
    <t>PS5-60-BI-0006B-CL11</t>
  </si>
  <si>
    <t>T-00023-9174</t>
  </si>
  <si>
    <t>PS5-60-BI-0006C-CL01</t>
  </si>
  <si>
    <t>Cable FROM PS5-60-IN-0002C TO PS5-60-BI-0006C</t>
  </si>
  <si>
    <t>T-00023-9175</t>
  </si>
  <si>
    <t>PS5-60-BI-0006C-CL02</t>
  </si>
  <si>
    <t>T-00023-9176</t>
  </si>
  <si>
    <t>PS5-60-BI-0006C-CL03</t>
  </si>
  <si>
    <t>T-00023-9177</t>
  </si>
  <si>
    <t>PS5-60-BI-0006C-CL04</t>
  </si>
  <si>
    <t>T-00023-9178</t>
  </si>
  <si>
    <t>PS5-60-BI-0006C-CL05</t>
  </si>
  <si>
    <t>T-00023-9179</t>
  </si>
  <si>
    <t>PS5-60-BI-0006C-CL06</t>
  </si>
  <si>
    <t>T-00023-9180</t>
  </si>
  <si>
    <t>PS5-60-BI-0006C-CL07</t>
  </si>
  <si>
    <t>T-00023-9181</t>
  </si>
  <si>
    <t>PS5-60-BI-0006C-CL08</t>
  </si>
  <si>
    <t>T-00023-9182</t>
  </si>
  <si>
    <t>PS5-60-BI-0006C-CL09</t>
  </si>
  <si>
    <t>T-00023-9183</t>
  </si>
  <si>
    <t>PS5-60-BI-0006C-CL10</t>
  </si>
  <si>
    <t>T-00023-9184</t>
  </si>
  <si>
    <t>PS5-60-BI-0006C-CL11</t>
  </si>
  <si>
    <t>T-00023-9185</t>
  </si>
  <si>
    <t>PS5-60-BI-0006D-CL01</t>
  </si>
  <si>
    <t>Cable FROM PS5-60-IN-0002D TO PS5-60-BI-0006D</t>
  </si>
  <si>
    <t>T-00023-9186</t>
  </si>
  <si>
    <t>PS5-60-BI-0006D-CL02</t>
  </si>
  <si>
    <t>T-00023-9187</t>
  </si>
  <si>
    <t>PS5-60-BI-0006D-CL03</t>
  </si>
  <si>
    <t>T-00023-9188</t>
  </si>
  <si>
    <t>PS5-60-BI-0006D-CL04</t>
  </si>
  <si>
    <t>T-00023-9189</t>
  </si>
  <si>
    <t>PS5-60-BI-0006D-CL05</t>
  </si>
  <si>
    <t>T-00023-9190</t>
  </si>
  <si>
    <t>PS5-60-BI-0006D-CL06</t>
  </si>
  <si>
    <t>T-00023-9191</t>
  </si>
  <si>
    <t>PS5-60-BI-0006D-CL07</t>
  </si>
  <si>
    <t>T-00023-9192</t>
  </si>
  <si>
    <t>PS5-60-BI-0006D-CL08</t>
  </si>
  <si>
    <t>T-00023-9193</t>
  </si>
  <si>
    <t>PS5-60-BI-0006D-CL09</t>
  </si>
  <si>
    <t>T-00023-9194</t>
  </si>
  <si>
    <t>PS5-60-BI-0006D-CL10</t>
  </si>
  <si>
    <t>T-00023-9195</t>
  </si>
  <si>
    <t>PS5-60-BI-0006D-CL11</t>
  </si>
  <si>
    <t>T-00023-9196</t>
  </si>
  <si>
    <t>PS5-60-BI-0006E-CL01</t>
  </si>
  <si>
    <t>Cable FROM PS5-60-IN-0002E TO PS5-60-BI-0006E</t>
  </si>
  <si>
    <t>T-00023-9197</t>
  </si>
  <si>
    <t>PS5-60-BI-0006E-CL02</t>
  </si>
  <si>
    <t>T-00023-9198</t>
  </si>
  <si>
    <t>PS5-60-BI-0006E-CL03</t>
  </si>
  <si>
    <t>T-00023-9199</t>
  </si>
  <si>
    <t>PS5-60-BI-0006E-CL04</t>
  </si>
  <si>
    <t>T-00023-9200</t>
  </si>
  <si>
    <t>PS5-60-BI-0006E-CL05</t>
  </si>
  <si>
    <t>T-00023-9201</t>
  </si>
  <si>
    <t>PS5-60-BI-0006E-CL06</t>
  </si>
  <si>
    <t>T-00023-9202</t>
  </si>
  <si>
    <t>PS5-60-BI-0006E-CL07</t>
  </si>
  <si>
    <t>T-00023-9203</t>
  </si>
  <si>
    <t>PS5-60-BI-0006E-CL08</t>
  </si>
  <si>
    <t>T-00023-9204</t>
  </si>
  <si>
    <t>PS5-60-BI-0006E-CL09</t>
  </si>
  <si>
    <t>T-00023-9205</t>
  </si>
  <si>
    <t>PS5-60-BI-0006E-CL10</t>
  </si>
  <si>
    <t>T-00023-9206</t>
  </si>
  <si>
    <t>PS5-60-BI-0006E-CL11</t>
  </si>
  <si>
    <t>T-00023-9207</t>
  </si>
  <si>
    <t>PS5-60-BI-0006F-CL01</t>
  </si>
  <si>
    <t>Cable FROM PS5-60-IN-0002F TO PS5-60-BI-0006F</t>
  </si>
  <si>
    <t>T-00023-9208</t>
  </si>
  <si>
    <t>PS5-60-BI-0006F-CL02</t>
  </si>
  <si>
    <t>T-00023-9209</t>
  </si>
  <si>
    <t>PS5-60-BI-0006F-CL03</t>
  </si>
  <si>
    <t>T-00023-9210</t>
  </si>
  <si>
    <t>PS5-60-BI-0006F-CL04</t>
  </si>
  <si>
    <t>T-00023-9211</t>
  </si>
  <si>
    <t>PS5-60-BI-0006F-CL05</t>
  </si>
  <si>
    <t>T-00023-9212</t>
  </si>
  <si>
    <t>PS5-60-BI-0006F-CL06</t>
  </si>
  <si>
    <t>T-00023-9213</t>
  </si>
  <si>
    <t>PS5-60-BI-0006F-CL07</t>
  </si>
  <si>
    <t>T-00023-9214</t>
  </si>
  <si>
    <t>PS5-60-BI-0006F-CL08</t>
  </si>
  <si>
    <t>T-00023-9215</t>
  </si>
  <si>
    <t>PS5-60-BI-0006F-CL09</t>
  </si>
  <si>
    <t>T-00023-9216</t>
  </si>
  <si>
    <t>PS5-60-BI-0006F-CL10</t>
  </si>
  <si>
    <t>T-00023-9217</t>
  </si>
  <si>
    <t>PS5-60-BI-0006F-CL11</t>
  </si>
  <si>
    <t>T-00023-9218</t>
  </si>
  <si>
    <t>PS5-60-BI-0006G-CL01</t>
  </si>
  <si>
    <t>Cable FROM PS5-60-IN-0002G TO PS5-60-BI-0006G</t>
  </si>
  <si>
    <t>T-00023-9219</t>
  </si>
  <si>
    <t>PS5-60-BI-0006G-CL02</t>
  </si>
  <si>
    <t>T-00023-9220</t>
  </si>
  <si>
    <t>PS5-60-BI-0006G-CL03</t>
  </si>
  <si>
    <t>T-00023-9221</t>
  </si>
  <si>
    <t>PS5-60-BI-0006G-CL04</t>
  </si>
  <si>
    <t>T-00023-9222</t>
  </si>
  <si>
    <t>PS5-60-BI-0006G-CL05</t>
  </si>
  <si>
    <t>T-00023-9223</t>
  </si>
  <si>
    <t>PS5-60-BI-0006G-CL06</t>
  </si>
  <si>
    <t>T-00023-9224</t>
  </si>
  <si>
    <t>PS5-60-BI-0006G-CL07</t>
  </si>
  <si>
    <t>T-00023-9225</t>
  </si>
  <si>
    <t>PS5-60-BI-0006G-CL08</t>
  </si>
  <si>
    <t>T-00023-9226</t>
  </si>
  <si>
    <t>PS5-60-BI-0006G-CL09</t>
  </si>
  <si>
    <t>T-00023-9227</t>
  </si>
  <si>
    <t>PS5-60-BI-0006G-CL10</t>
  </si>
  <si>
    <t>T-00023-9228</t>
  </si>
  <si>
    <t>PS5-60-BI-0006G-CL11</t>
  </si>
  <si>
    <t>T-00023-9229</t>
  </si>
  <si>
    <t>PS5-60-BI-0017A-CL01</t>
  </si>
  <si>
    <t>Cable FROM PS5-60-IN-0002A TO PS5-60-BI-0017A</t>
  </si>
  <si>
    <t>T-00023-9230</t>
  </si>
  <si>
    <t>PS5-60-BI-0017B-CL01</t>
  </si>
  <si>
    <t>Cable FROM PS5-60-IN-0002B TO PS5-60-BI-0017B</t>
  </si>
  <si>
    <t>T-00023-9231</t>
  </si>
  <si>
    <t>PS5-60-BI-0017C-CL01</t>
  </si>
  <si>
    <t>Cable FROM PS5-60-IN-0002C TO PS5-60-BI-0017C</t>
  </si>
  <si>
    <t>T-00023-9232</t>
  </si>
  <si>
    <t>PS5-60-BI-0017D-CL01</t>
  </si>
  <si>
    <t>Cable FROM PS5-60-IN-0002D TO PS5-60-BI-0017D</t>
  </si>
  <si>
    <t>T-00023-9233</t>
  </si>
  <si>
    <t>PS5-60-BI-0017E-CL01</t>
  </si>
  <si>
    <t>Cable FROM PS5-60-IN-0002E TO PS5-60-BI-0017E</t>
  </si>
  <si>
    <t>T-00023-9234</t>
  </si>
  <si>
    <t>PS5-60-BI-0017F-CL01</t>
  </si>
  <si>
    <t>Cable FROM PS5-60-IN-0002F TO PS5-60-BI-0017F</t>
  </si>
  <si>
    <t>T-00023-9235</t>
  </si>
  <si>
    <t>PS5-60-BI-0017G-CL01</t>
  </si>
  <si>
    <t>Cable FROM PS5-60-IN-0002G TO PS5-60-BI-0017G</t>
  </si>
  <si>
    <t>T-00023-9236</t>
  </si>
  <si>
    <t>PS5-60-EA-2900A-CL01</t>
  </si>
  <si>
    <t>Cable FROM PS5-60-IN-0002A TO PS5-60-EA-2900A</t>
  </si>
  <si>
    <t>T-00023-9237</t>
  </si>
  <si>
    <t>PS5-60-EA-2900B-CL01</t>
  </si>
  <si>
    <t>Cable FROM PS5-60-IN-0002B TO PS5-60-EA-2900B</t>
  </si>
  <si>
    <t>T-00023-9238</t>
  </si>
  <si>
    <t>PS5-60-EA-2900C-CL01</t>
  </si>
  <si>
    <t>Cable FROM PS5-60-IN-0002C TO PS5-60-EA-2900C</t>
  </si>
  <si>
    <t>T-00023-9239</t>
  </si>
  <si>
    <t>PS5-60-EA-2900D-CL01</t>
  </si>
  <si>
    <t>Cable FROM PS5-60-IN-0002D TO PS5-60-EA-2900D</t>
  </si>
  <si>
    <t>T-00023-9240</t>
  </si>
  <si>
    <t>PS5-60-EA-2900E-CL01</t>
  </si>
  <si>
    <t>Cable FROM PS5-60-IN-0002E TO PS5-60-EA-2900E</t>
  </si>
  <si>
    <t>T-00023-9241</t>
  </si>
  <si>
    <t>PS5-60-EA-2900F-CL01</t>
  </si>
  <si>
    <t>Cable FROM PS5-60-IN-0002F TO PS5-60-EA-2900F</t>
  </si>
  <si>
    <t>T-00023-9242</t>
  </si>
  <si>
    <t>PS5-60-EA-2900G-CL01</t>
  </si>
  <si>
    <t>Cable FROM PS5-60-IN-0002G TO PS5-60-EA-2900G</t>
  </si>
  <si>
    <t>T-00023-9244</t>
  </si>
  <si>
    <t>PS5-71-BE-0004-CL01</t>
  </si>
  <si>
    <t>Cable FROM PS5-71-IN-0002 TO PS5-71-BE-0004</t>
  </si>
  <si>
    <t>T-00023-9245</t>
  </si>
  <si>
    <t>PS5-71-BE-0004-CL02</t>
  </si>
  <si>
    <t>T-00023-9246</t>
  </si>
  <si>
    <t>PS5-71-BE-0004-CL03</t>
  </si>
  <si>
    <t>T-00023-9247</t>
  </si>
  <si>
    <t>PS5-71-BI-0003-CL01</t>
  </si>
  <si>
    <t>Cable FROM PS5-71-IN-0002 TO PS5-71-BI-0003</t>
  </si>
  <si>
    <t>T-00023-9248</t>
  </si>
  <si>
    <t>PS5-71-BI-0003-CL02</t>
  </si>
  <si>
    <t>T-00023-9249</t>
  </si>
  <si>
    <t>PS5-71-BI-0003-CL03</t>
  </si>
  <si>
    <t>T-00023-9250</t>
  </si>
  <si>
    <t>PS5-71-BI-0003-CL04</t>
  </si>
  <si>
    <t>T-00023-9251</t>
  </si>
  <si>
    <t>PS5-71-BI-0004-CL01</t>
  </si>
  <si>
    <t>Cable FROM PS5-71-IN-0002 TO PS5-71-BI-0004</t>
  </si>
  <si>
    <t>T-00023-9252</t>
  </si>
  <si>
    <t>PS5-71-BI-0005-CL01</t>
  </si>
  <si>
    <t>Cable FROM PS5-71-IN-0003 TO PS5-71-BI-0005</t>
  </si>
  <si>
    <t>T-00023-9253</t>
  </si>
  <si>
    <t>PS5-71-BI-0005-CL02</t>
  </si>
  <si>
    <t>T-00023-9254</t>
  </si>
  <si>
    <t>PS5-71-BI-0005-CL03</t>
  </si>
  <si>
    <t>T-00023-9255</t>
  </si>
  <si>
    <t>PS5-71-BI-0006-CL01</t>
  </si>
  <si>
    <t>Cable FROM PS5-71-IN-0003 TO PS5-71-BI-0006</t>
  </si>
  <si>
    <t>CPX10 - Multicore Electrical Control Cable</t>
  </si>
  <si>
    <t>Multicore Electrical Control Cable</t>
  </si>
  <si>
    <t>T-00024-2101</t>
  </si>
  <si>
    <t>PS5-60-IE-0002A-CD01</t>
  </si>
  <si>
    <t>T-00024-2102</t>
  </si>
  <si>
    <t>PS5-60-IE-0002A-CD02</t>
  </si>
  <si>
    <t>T-00024-2103</t>
  </si>
  <si>
    <t>PS5-60-IE-0002A-CD03</t>
  </si>
  <si>
    <t>T-00024-2104</t>
  </si>
  <si>
    <t>PS5-60-IE-0002B-CD01</t>
  </si>
  <si>
    <t>T-00024-2105</t>
  </si>
  <si>
    <t>PS5-60-IE-0002B-CD02</t>
  </si>
  <si>
    <t>T-00024-2106</t>
  </si>
  <si>
    <t>PS5-60-IE-0002B-CD03</t>
  </si>
  <si>
    <t>T-00024-2107</t>
  </si>
  <si>
    <t>PS5-60-IE-0002C-CD01</t>
  </si>
  <si>
    <t>T-00024-2108</t>
  </si>
  <si>
    <t>PS5-60-IE-0002C-CD02</t>
  </si>
  <si>
    <t>T-00024-2109</t>
  </si>
  <si>
    <t>PS5-60-IE-0002C-CD03</t>
  </si>
  <si>
    <t>T-00024-2110</t>
  </si>
  <si>
    <t>PS5-60-IE-0002D-CD01</t>
  </si>
  <si>
    <t>T-00024-2111</t>
  </si>
  <si>
    <t>PS5-60-IE-0002D-CD02</t>
  </si>
  <si>
    <t>T-00024-2112</t>
  </si>
  <si>
    <t>PS5-60-IE-0002D-CD03</t>
  </si>
  <si>
    <t>T-00024-2113</t>
  </si>
  <si>
    <t>PS5-60-IE-0002E-CD01</t>
  </si>
  <si>
    <t>T-00024-2114</t>
  </si>
  <si>
    <t>PS5-60-IE-0002E-CD02</t>
  </si>
  <si>
    <t>T-00024-2115</t>
  </si>
  <si>
    <t>PS5-60-IE-0002E-CD03</t>
  </si>
  <si>
    <t>T-00024-2116</t>
  </si>
  <si>
    <t>PS5-60-IE-0002F-CD01</t>
  </si>
  <si>
    <t>T-00024-2117</t>
  </si>
  <si>
    <t>PS5-60-IE-0002F-CD02</t>
  </si>
  <si>
    <t>T-00024-2118</t>
  </si>
  <si>
    <t>PS5-60-IE-0002F-CD03</t>
  </si>
  <si>
    <t>T-00024-2119</t>
  </si>
  <si>
    <t>PS5-60-IE-0002G-CD01</t>
  </si>
  <si>
    <t>T-00024-2120</t>
  </si>
  <si>
    <t>PS5-60-IE-0002G-CD02</t>
  </si>
  <si>
    <t>T-00024-2121</t>
  </si>
  <si>
    <t>PS5-60-IE-0002G-CD03</t>
  </si>
  <si>
    <t>T-00024-2123</t>
  </si>
  <si>
    <t>PS5-60-IE-0003A-CD02</t>
  </si>
  <si>
    <t>Cable FROM PS5-60-BI-0015A TO PS5-60-IE-0003A</t>
  </si>
  <si>
    <t>T-00024-2124</t>
  </si>
  <si>
    <t>PS5-60-IE-0003A-CD03</t>
  </si>
  <si>
    <t>T-00024-2125</t>
  </si>
  <si>
    <t>PS5-60-IE-0003A-CD04</t>
  </si>
  <si>
    <t>Cable FROM PS5-60-BI-0005A TO PS5-60-IE-0003A</t>
  </si>
  <si>
    <t>T-00024-2126</t>
  </si>
  <si>
    <t>PS5-60-IE-0003A-CD05</t>
  </si>
  <si>
    <t>PS5-60-IE-0003A-CD06</t>
  </si>
  <si>
    <t>Cable FROM PS5-61-IJ-0001 TO PS5-60-IE-0003A</t>
  </si>
  <si>
    <t>PS5-60-IE-0003A-CD08</t>
  </si>
  <si>
    <t>PS5-60-IE-0003A-CD12</t>
  </si>
  <si>
    <t>T-00024-2135</t>
  </si>
  <si>
    <t>PS5-60-IE-0003A-CD14</t>
  </si>
  <si>
    <t>Cable FROM PS5-60-IE-0002A TO PS5-60-IE-0003A</t>
  </si>
  <si>
    <t>T-00024-2136</t>
  </si>
  <si>
    <t>PS5-60-IE-0003A-CD15</t>
  </si>
  <si>
    <t>Cable FROM PS5-60-IE-0004 TO PS5-60-IE-0003A</t>
  </si>
  <si>
    <t>T-00024-2138</t>
  </si>
  <si>
    <t>PS5-60-IE-0003B-CD02</t>
  </si>
  <si>
    <t>Cable FROM PS5-60-BI-0015B TO PS5-60-IE-0003B</t>
  </si>
  <si>
    <t>T-00024-2139</t>
  </si>
  <si>
    <t>PS5-60-IE-0003B-CD03</t>
  </si>
  <si>
    <t>T-00024-2140</t>
  </si>
  <si>
    <t>PS5-60-IE-0003B-CD04</t>
  </si>
  <si>
    <t>Cable FROM PS5-60-BI-0005B TO PS5-60-IE-0003B</t>
  </si>
  <si>
    <t>T-00024-2141</t>
  </si>
  <si>
    <t>PS5-60-IE-0003B-CD05</t>
  </si>
  <si>
    <t>PS5-60-IE-0003B-CD06</t>
  </si>
  <si>
    <t>Cable FROM PS5-61-IJ-0001 TO PS5-60-IE-0003B</t>
  </si>
  <si>
    <t>PS5-60-IE-0003B-CD08</t>
  </si>
  <si>
    <t>PS5-60-IE-0003B-CD12</t>
  </si>
  <si>
    <t>T-00024-2150</t>
  </si>
  <si>
    <t>PS5-60-IE-0003B-CD14</t>
  </si>
  <si>
    <t>Cable FROM PS5-60-IE-0002B TO PS5-60-IE-0003B</t>
  </si>
  <si>
    <t>T-00024-2151</t>
  </si>
  <si>
    <t>PS5-60-IE-0003B-CD15</t>
  </si>
  <si>
    <t>Cable FROM PS5-60-IE-0004 TO PS5-60-IE-0003B</t>
  </si>
  <si>
    <t>T-00024-2153</t>
  </si>
  <si>
    <t>PS5-60-IE-0003C-CD02</t>
  </si>
  <si>
    <t>Cable FROM PS5-60-BI-0015C TO PS5-60-IE-0003C</t>
  </si>
  <si>
    <t>T-00024-2154</t>
  </si>
  <si>
    <t>PS5-60-IE-0003C-CD03</t>
  </si>
  <si>
    <t>T-00024-2155</t>
  </si>
  <si>
    <t>PS5-60-IE-0003C-CD04</t>
  </si>
  <si>
    <t>Cable FROM PS5-60-BI-0005C TO PS5-60-IE-0003C</t>
  </si>
  <si>
    <t>T-00024-2156</t>
  </si>
  <si>
    <t>PS5-60-IE-0003C-CD05</t>
  </si>
  <si>
    <t>PS5-60-IE-0003C-CD06</t>
  </si>
  <si>
    <t>Cable FROM PS5-61-IJ-0001 TO PS5-60-IE-0003C</t>
  </si>
  <si>
    <t>PS5-60-IE-0003C-CD08</t>
  </si>
  <si>
    <t>PS5-60-IE-0003C-CD12</t>
  </si>
  <si>
    <t>T-00024-2165</t>
  </si>
  <si>
    <t>PS5-60-IE-0003C-CD14</t>
  </si>
  <si>
    <t>Cable FROM PS5-60-IE-0002C TO PS5-60-IE-0003C</t>
  </si>
  <si>
    <t>T-00024-2166</t>
  </si>
  <si>
    <t>PS5-60-IE-0003C-CD15</t>
  </si>
  <si>
    <t>Cable FROM PS5-60-IE-0004 TO PS5-60-IE-0003C</t>
  </si>
  <si>
    <t>T-00024-2168</t>
  </si>
  <si>
    <t>PS5-60-IE-0003D-CD02</t>
  </si>
  <si>
    <t>Cable FROM PS5-60-BI-0015D TO PS5-60-IE-0003D</t>
  </si>
  <si>
    <t>T-00024-2169</t>
  </si>
  <si>
    <t>PS5-60-IE-0003D-CD03</t>
  </si>
  <si>
    <t>T-00024-2170</t>
  </si>
  <si>
    <t>PS5-60-IE-0003D-CD04</t>
  </si>
  <si>
    <t>Cable FROM PS5-60-BI-0005D TO PS5-60-IE-0003D</t>
  </si>
  <si>
    <t>T-00024-2171</t>
  </si>
  <si>
    <t>PS5-60-IE-0003D-CD05</t>
  </si>
  <si>
    <t>PS5-60-IE-0003D-CD06</t>
  </si>
  <si>
    <t>Cable FROM PS5-61-IJ-0001 TO PS5-60-IE-0003D</t>
  </si>
  <si>
    <t>PS5-60-IE-0003D-CD08</t>
  </si>
  <si>
    <t>PS5-60-IE-0003D-CD12</t>
  </si>
  <si>
    <t>T-00024-2180</t>
  </si>
  <si>
    <t>PS5-60-IE-0003D-CD14</t>
  </si>
  <si>
    <t>Cable FROM PS5-60-IE-0002D TO PS5-60-IE-0003D</t>
  </si>
  <si>
    <t>T-00024-2181</t>
  </si>
  <si>
    <t>PS5-60-IE-0003D-CD15</t>
  </si>
  <si>
    <t>Cable FROM PS5-60-IE-0004 TO PS5-60-IE-0003D</t>
  </si>
  <si>
    <t>T-00024-2183</t>
  </si>
  <si>
    <t>PS5-60-IE-0003E-CD02</t>
  </si>
  <si>
    <t>Cable FROM PS5-60-BI-0015E TO PS5-60-IE-0003E</t>
  </si>
  <si>
    <t>T-00024-2184</t>
  </si>
  <si>
    <t>PS5-60-IE-0003E-CD03</t>
  </si>
  <si>
    <t>T-00024-2185</t>
  </si>
  <si>
    <t>PS5-60-IE-0003E-CD04</t>
  </si>
  <si>
    <t>Cable FROM PS5-60-BI-0005E TO PS5-60-IE-0003E</t>
  </si>
  <si>
    <t>T-00024-2186</t>
  </si>
  <si>
    <t>PS5-60-IE-0003E-CD05</t>
  </si>
  <si>
    <t>PS5-60-IE-0003E-CD06</t>
  </si>
  <si>
    <t>Cable FROM PS5-61-IJ-0001 TO PS5-60-IE-0003E</t>
  </si>
  <si>
    <t>PS5-60-IE-0003E-CD08</t>
  </si>
  <si>
    <t>PS5-60-IE-0003E-CD12</t>
  </si>
  <si>
    <t>T-00024-2195</t>
  </si>
  <si>
    <t>PS5-60-IE-0003E-CD14</t>
  </si>
  <si>
    <t>Cable FROM PS5-60-IE-0002E TO PS5-60-IE-0003E</t>
  </si>
  <si>
    <t>T-00024-2196</t>
  </si>
  <si>
    <t>PS5-60-IE-0003E-CD15</t>
  </si>
  <si>
    <t>Cable FROM PS5-60-IE-0004 TO PS5-60-IE-0003E</t>
  </si>
  <si>
    <t>T-00024-2198</t>
  </si>
  <si>
    <t>PS5-60-IE-0003F-CD02</t>
  </si>
  <si>
    <t>Cable FROM PS5-60-BI-0015F TO PS5-60-IE-0003F</t>
  </si>
  <si>
    <t>T-00024-2199</t>
  </si>
  <si>
    <t>PS5-60-IE-0003F-CD03</t>
  </si>
  <si>
    <t>T-00024-2200</t>
  </si>
  <si>
    <t>PS5-60-IE-0003F-CD04</t>
  </si>
  <si>
    <t>Cable FROM PS5-60-BI-0005F TO PS5-60-IE-0003F</t>
  </si>
  <si>
    <t>T-00024-2201</t>
  </si>
  <si>
    <t>PS5-60-IE-0003F-CD05</t>
  </si>
  <si>
    <t>PS5-60-IE-0003F-CD06</t>
  </si>
  <si>
    <t>Cable FROM PS5-61-IJ-0001 TO PS5-60-IE-0003F</t>
  </si>
  <si>
    <t>PS5-60-IE-0003F-CD08</t>
  </si>
  <si>
    <t>PS5-60-IE-0003F-CD12</t>
  </si>
  <si>
    <t>T-00024-2210</t>
  </si>
  <si>
    <t>PS5-60-IE-0003F-CD14</t>
  </si>
  <si>
    <t>Cable FROM PS5-60-IE-0002F TO PS5-60-IE-0003F</t>
  </si>
  <si>
    <t>T-00024-2211</t>
  </si>
  <si>
    <t>PS5-60-IE-0003F-CD15</t>
  </si>
  <si>
    <t>Cable FROM PS5-60-IE-0004 TO PS5-60-IE-0003F</t>
  </si>
  <si>
    <t>T-00024-2213</t>
  </si>
  <si>
    <t>PS5-60-IE-0003G-CD02</t>
  </si>
  <si>
    <t>Cable FROM PS5-60-BI-0015G TO PS5-60-IE-0003G</t>
  </si>
  <si>
    <t>T-00024-2214</t>
  </si>
  <si>
    <t>PS5-60-IE-0003G-CD03</t>
  </si>
  <si>
    <t>T-00024-2215</t>
  </si>
  <si>
    <t>PS5-60-IE-0003G-CD04</t>
  </si>
  <si>
    <t>Cable FROM PS5-60-BI-0005G TO PS5-60-IE-0003G</t>
  </si>
  <si>
    <t>T-00024-2216</t>
  </si>
  <si>
    <t>PS5-60-IE-0003G-CD05</t>
  </si>
  <si>
    <t>PS5-60-IE-0003G-CD06</t>
  </si>
  <si>
    <t>Cable FROM PS5-61-IJ-0001 TO PS5-60-IE-0003G</t>
  </si>
  <si>
    <t>PS5-60-IE-0003G-CD08</t>
  </si>
  <si>
    <t>PS5-60-IE-0003G-CD12</t>
  </si>
  <si>
    <t>T-00024-2225</t>
  </si>
  <si>
    <t>PS5-60-IE-0003G-CD14</t>
  </si>
  <si>
    <t>Cable FROM PS5-60-IE-0002G TO PS5-60-IE-0003G</t>
  </si>
  <si>
    <t>T-00024-2226</t>
  </si>
  <si>
    <t>PS5-60-IE-0003G-CD15</t>
  </si>
  <si>
    <t>Cable FROM PS5-60-IE-0004 TO PS5-60-IE-0003G</t>
  </si>
  <si>
    <t>PS5-60-IE-0004-CD01</t>
  </si>
  <si>
    <t>Cable FROM PS5-61-IJ-0001 TO PS5-60-IE-0004</t>
  </si>
  <si>
    <t>PS5-60-IE-0004-CD02</t>
  </si>
  <si>
    <t>6</t>
  </si>
  <si>
    <t>5</t>
  </si>
  <si>
    <t>CPX21 - Neutral Earthing Resistor</t>
  </si>
  <si>
    <t>Neutral Earthing Resistor</t>
  </si>
  <si>
    <t>T-00034-0059</t>
  </si>
  <si>
    <t>PS5-60-IJ-0001A</t>
  </si>
  <si>
    <t>Neutral Grounding resistor for Generator set 1 (A)</t>
  </si>
  <si>
    <t>T-00034-0060</t>
  </si>
  <si>
    <t>PS5-60-IJ-0001B</t>
  </si>
  <si>
    <t>Neutral Grounding resistor for Generator set 2 (B)</t>
  </si>
  <si>
    <t>T-00034-0061</t>
  </si>
  <si>
    <t>PS5-60-IJ-0001C</t>
  </si>
  <si>
    <t>Neutral Grounding resistor for Generator set 3 (C)</t>
  </si>
  <si>
    <t>T-00034-0062</t>
  </si>
  <si>
    <t>PS5-60-IJ-0001D</t>
  </si>
  <si>
    <t>Neutral Grounding resistor for Generator set 4 (D)</t>
  </si>
  <si>
    <t>T-00034-0063</t>
  </si>
  <si>
    <t>PS5-60-IJ-0001E</t>
  </si>
  <si>
    <t>Neutral Grounding resistor for Generator set 5 (E)</t>
  </si>
  <si>
    <t>T-00034-0064</t>
  </si>
  <si>
    <t>PS5-60-IJ-0001F</t>
  </si>
  <si>
    <t>Neutral Grounding resistor for Generator set 6 (F)</t>
  </si>
  <si>
    <t>T-00034-0065</t>
  </si>
  <si>
    <t>PS5-60-IJ-0001G</t>
  </si>
  <si>
    <t>Neutral Grounding resistor for Generator set 7 (G)</t>
  </si>
  <si>
    <t>2</t>
  </si>
  <si>
    <t>T-00044-0090</t>
  </si>
  <si>
    <t>PS5-60-IE-0003A</t>
  </si>
  <si>
    <t>CPX32 - Console / control panel</t>
  </si>
  <si>
    <t>GCP G-1 (A)</t>
  </si>
  <si>
    <t>Console / Control Panel</t>
  </si>
  <si>
    <t>T-00044-0091</t>
  </si>
  <si>
    <t>PS5-60-IE-0003B</t>
  </si>
  <si>
    <t>GCP G-2 (B)</t>
  </si>
  <si>
    <t>T-00044-0092</t>
  </si>
  <si>
    <t>PS5-60-IE-0003C</t>
  </si>
  <si>
    <t>GCP G-3 (C)</t>
  </si>
  <si>
    <t>T-00044-0093</t>
  </si>
  <si>
    <t>PS5-60-IE-0003D</t>
  </si>
  <si>
    <t>GCP G-4 (D)</t>
  </si>
  <si>
    <t>T-00044-0094</t>
  </si>
  <si>
    <t>PS5-60-IE-0003E</t>
  </si>
  <si>
    <t>GCP G-5 (E)</t>
  </si>
  <si>
    <t>T-00044-0095</t>
  </si>
  <si>
    <t>PS5-60-IE-0003F</t>
  </si>
  <si>
    <t>GCP G-6 (F)</t>
  </si>
  <si>
    <t>T-00044-0096</t>
  </si>
  <si>
    <t>PS5-60-IE-0003G</t>
  </si>
  <si>
    <t>GCP G-7 (G)</t>
  </si>
  <si>
    <t>T-00044-0097</t>
  </si>
  <si>
    <t>PS5-60-IE-0004</t>
  </si>
  <si>
    <t>MCP- MASTER CONTROL PANEL</t>
  </si>
  <si>
    <t>T-00044-0098</t>
  </si>
  <si>
    <t>PS5-60-IH-0001A</t>
  </si>
  <si>
    <t>GENSET MCC -1 - G1 (A)</t>
  </si>
  <si>
    <t>T-00044-0099</t>
  </si>
  <si>
    <t>PS5-60-IH-0001B</t>
  </si>
  <si>
    <t>GENSET MCC -2 - G2 (B)</t>
  </si>
  <si>
    <t>T-00044-0100</t>
  </si>
  <si>
    <t>PS5-60-IH-0001C</t>
  </si>
  <si>
    <t>GENSET MCC -3 - G3 (C)</t>
  </si>
  <si>
    <t>T-00044-0101</t>
  </si>
  <si>
    <t>PS5-60-IH-0001D</t>
  </si>
  <si>
    <t>GENSET MCC -4 - G4 (D)</t>
  </si>
  <si>
    <t>T-00044-0102</t>
  </si>
  <si>
    <t>PS5-60-IH-0001E</t>
  </si>
  <si>
    <t>GENSET MCC -5 - G5 (E)</t>
  </si>
  <si>
    <t>T-00044-0103</t>
  </si>
  <si>
    <t>PS5-60-IH-0001F</t>
  </si>
  <si>
    <t>GENSET MCC -6 - G6 (F)</t>
  </si>
  <si>
    <t>T-00044-0104</t>
  </si>
  <si>
    <t>PS5-60-IH-0001G</t>
  </si>
  <si>
    <t>GENSET MCC -7 - G7 (G)</t>
  </si>
  <si>
    <t>T-00044-0105</t>
  </si>
  <si>
    <t>PS5-60-IH-0002</t>
  </si>
  <si>
    <t>COMMON / TREATMENT MCC</t>
  </si>
  <si>
    <t>T-00044-0106</t>
  </si>
  <si>
    <t>PS5-60-IE-0002A</t>
  </si>
  <si>
    <t>LOCAL DISPLAY PANEL LDP GENERATOR SET</t>
  </si>
  <si>
    <t>T-00044-0107</t>
  </si>
  <si>
    <t>PS5-60-IE-0002B</t>
  </si>
  <si>
    <t>T-00044-0108</t>
  </si>
  <si>
    <t>PS5-60-IE-0002C</t>
  </si>
  <si>
    <t>T-00044-0109</t>
  </si>
  <si>
    <t>PS5-60-IE-0002D</t>
  </si>
  <si>
    <t>T-00044-0110</t>
  </si>
  <si>
    <t>PS5-60-IE-0002E</t>
  </si>
  <si>
    <t>T-00044-0111</t>
  </si>
  <si>
    <t>PS5-60-IE-0002F</t>
  </si>
  <si>
    <t>T-00044-0112</t>
  </si>
  <si>
    <t>PS5-60-IE-0002G</t>
  </si>
  <si>
    <t>T-00044-0185</t>
  </si>
  <si>
    <t>PS5-60-IN-0002A</t>
  </si>
  <si>
    <t>Fuel Conditioning Unit Control Panel - Generator Set-1 (A)</t>
  </si>
  <si>
    <t>T-00044-0186</t>
  </si>
  <si>
    <t>PS5-60-IN-0002B</t>
  </si>
  <si>
    <t>Fuel Conditioning Unit Control Panel - Generator Set-2 (B)</t>
  </si>
  <si>
    <t>T-00044-0187</t>
  </si>
  <si>
    <t>PS5-60-IN-0002C</t>
  </si>
  <si>
    <t>Fuel Conditioning Unit Control Panel - Generator Set-3 (C)</t>
  </si>
  <si>
    <t>T-00044-0188</t>
  </si>
  <si>
    <t>PS5-60-IN-0002D</t>
  </si>
  <si>
    <t>Fuel Conditioning Unit Control Panel - Generator Set-4 (D)</t>
  </si>
  <si>
    <t>T-00044-0189</t>
  </si>
  <si>
    <t>PS5-60-IN-0002E</t>
  </si>
  <si>
    <t>Fuel Conditioning Unit Control Panel - Generator Set-5 (E)</t>
  </si>
  <si>
    <t>T-00044-0190</t>
  </si>
  <si>
    <t>PS5-60-IN-0002F</t>
  </si>
  <si>
    <t>Fuel Conditioning Unit Control Panel - Generator Set-6 (F)</t>
  </si>
  <si>
    <t>T-00044-0191</t>
  </si>
  <si>
    <t>PS5-60-IN-0002G</t>
  </si>
  <si>
    <t>Fuel Conditioning Unit Control Panel - Generator Set-7 (G)</t>
  </si>
  <si>
    <t>T-00044-0198</t>
  </si>
  <si>
    <t>PS5-71-IN-0002</t>
  </si>
  <si>
    <t>CRO-PRE PRESSURECONTROL PANEL</t>
  </si>
  <si>
    <t>T-00044-0199</t>
  </si>
  <si>
    <t>PS5-71-IN-0003</t>
  </si>
  <si>
    <t>DFO- PRE PRESSURE CONTROL PANEL</t>
  </si>
  <si>
    <t>CZX01E - Package</t>
  </si>
  <si>
    <t>Package</t>
  </si>
  <si>
    <t>T-00046-0291</t>
  </si>
  <si>
    <t>PS5-60-UR-8100A</t>
  </si>
  <si>
    <t>POWER GENERATION PACKAGE A</t>
  </si>
  <si>
    <t>TZ-MID-68-WPR2-135100</t>
  </si>
  <si>
    <t>T-00046-0292</t>
  </si>
  <si>
    <t>PS5-60-UR-8100B</t>
  </si>
  <si>
    <t>POWER GENERATION PACKAGE B</t>
  </si>
  <si>
    <t>TZ-MID-68-WPR2-135103</t>
  </si>
  <si>
    <t>T-00046-0293</t>
  </si>
  <si>
    <t>PS5-60-UR-8100C</t>
  </si>
  <si>
    <t>POWER GENERATION PACKAGE C</t>
  </si>
  <si>
    <t>TZ-MID-68-WPR2-135106</t>
  </si>
  <si>
    <t>T-00046-0294</t>
  </si>
  <si>
    <t>PS5-60-UR-8100D</t>
  </si>
  <si>
    <t>POWER GENERATION PACKAGE D</t>
  </si>
  <si>
    <t>TZ-MID-68-WPR2-135109</t>
  </si>
  <si>
    <t>T-00046-0295</t>
  </si>
  <si>
    <t>PS5-60-UR-8100E</t>
  </si>
  <si>
    <t>POWER GENERATION PACKAGE E</t>
  </si>
  <si>
    <t>TZ-MID-68-WPR2-135112</t>
  </si>
  <si>
    <t>T-00046-0296</t>
  </si>
  <si>
    <t>PS5-60-UR-8100F</t>
  </si>
  <si>
    <t>POWER GENERATION PACKAGE F</t>
  </si>
  <si>
    <t>TZ-MID-68-WPR2-135115</t>
  </si>
  <si>
    <t>T-00046-0297</t>
  </si>
  <si>
    <t>PS5-60-UR-8100G</t>
  </si>
  <si>
    <t>POWER GENERATION PACKAGE G</t>
  </si>
  <si>
    <t>TZ-MID-68-WPR2-135118</t>
  </si>
  <si>
    <t>T-00046-0300</t>
  </si>
  <si>
    <t>PS5-60-UA-5100</t>
  </si>
  <si>
    <t>COMPRESSOR AIR STARTING SKID</t>
  </si>
  <si>
    <t>TZ-MID-68-WPR2-135128</t>
  </si>
  <si>
    <t>T-00046-0301</t>
  </si>
  <si>
    <t>PS5-60-UO-81100A</t>
  </si>
  <si>
    <t>LUBE OIL SEPARATOR MODULE</t>
  </si>
  <si>
    <t>TZ-MID-68-WPR2-135124</t>
  </si>
  <si>
    <t>T-00046-0302</t>
  </si>
  <si>
    <t>PS5-60-UO-81100B</t>
  </si>
  <si>
    <t>T-00046-0303</t>
  </si>
  <si>
    <t>PS5-60-UO-81100C</t>
  </si>
  <si>
    <t>T-00046-0304</t>
  </si>
  <si>
    <t>PS5-60-UO-81100D</t>
  </si>
  <si>
    <t>T-00046-0305</t>
  </si>
  <si>
    <t>PS5-60-UO-81100E</t>
  </si>
  <si>
    <t>T-00046-0306</t>
  </si>
  <si>
    <t>PS5-60-UO-81100F</t>
  </si>
  <si>
    <t>T-00046-0307</t>
  </si>
  <si>
    <t>PS5-60-UO-81100G</t>
  </si>
  <si>
    <t>T-00046-0308</t>
  </si>
  <si>
    <t>PS5-60-UZ-8200A</t>
  </si>
  <si>
    <t>INJECTOR TIP COOLING MODULE</t>
  </si>
  <si>
    <t>TZ-MID-68-WPR2-135129</t>
  </si>
  <si>
    <t>T-00046-0309</t>
  </si>
  <si>
    <t>PS5-60-UZ-8200B</t>
  </si>
  <si>
    <t>T-00046-0310</t>
  </si>
  <si>
    <t>PS5-60-UZ-8200C</t>
  </si>
  <si>
    <t>T-00046-0311</t>
  </si>
  <si>
    <t>PS5-60-UZ-8200D</t>
  </si>
  <si>
    <t>T-00046-0312</t>
  </si>
  <si>
    <t>PS5-60-UZ-8200E</t>
  </si>
  <si>
    <t>T-00046-0313</t>
  </si>
  <si>
    <t>PS5-60-UZ-8200F</t>
  </si>
  <si>
    <t>T-00046-0314</t>
  </si>
  <si>
    <t>PS5-60-VS-9100A</t>
  </si>
  <si>
    <t>OIL MIST SEPARATOR SKID</t>
  </si>
  <si>
    <t>TZ-MID-68-WPR2-135130</t>
  </si>
  <si>
    <t>T-00046-0315</t>
  </si>
  <si>
    <t>PS5-60-VS-9100B</t>
  </si>
  <si>
    <t>T-00046-0316</t>
  </si>
  <si>
    <t>PS5-60-VS-9100C</t>
  </si>
  <si>
    <t>T-00046-0317</t>
  </si>
  <si>
    <t>PS5-60-VS-9100D</t>
  </si>
  <si>
    <t>T-00046-0318</t>
  </si>
  <si>
    <t>PS5-60-VS-9100E</t>
  </si>
  <si>
    <t>T-00046-0319</t>
  </si>
  <si>
    <t>PS5-60-VS-9100F</t>
  </si>
  <si>
    <t>T-00046-0320</t>
  </si>
  <si>
    <t>PS5-60-VS-9100G</t>
  </si>
  <si>
    <t>T-00046-0322</t>
  </si>
  <si>
    <t>PS5-71-UZ-6800A</t>
  </si>
  <si>
    <t>CRUDE FUEL SEPARATOR MODULE A</t>
  </si>
  <si>
    <t>TZ-MID-68-WPR2-135002</t>
  </si>
  <si>
    <t>PS5-71-06 - Crude Fuel Separation Module</t>
  </si>
  <si>
    <t>T-00046-0323</t>
  </si>
  <si>
    <t>PS5-71-UZ-6800B</t>
  </si>
  <si>
    <t>CRUDE FUEL SEPARATOR MODULE B</t>
  </si>
  <si>
    <t>T-00046-0327</t>
  </si>
  <si>
    <t>PS5-60-EA-2100A</t>
  </si>
  <si>
    <t>POWER GENERATION ENGINE RADIATOR</t>
  </si>
  <si>
    <t>TZ-MID-68-WPR2-135122</t>
  </si>
  <si>
    <t>T-00046-0328</t>
  </si>
  <si>
    <t>PS5-60-EA-2100B</t>
  </si>
  <si>
    <t>T-00046-0329</t>
  </si>
  <si>
    <t>PS5-60-EA-21100A</t>
  </si>
  <si>
    <t>COOLING SKID</t>
  </si>
  <si>
    <t>T-00046-0330</t>
  </si>
  <si>
    <t>PS5-60-EA-21100B</t>
  </si>
  <si>
    <t>T-00046-0331</t>
  </si>
  <si>
    <t>PS5-60-EA-21100C</t>
  </si>
  <si>
    <t>T-00046-0332</t>
  </si>
  <si>
    <t>PS5-60-EA-21100D</t>
  </si>
  <si>
    <t>T-00046-0333</t>
  </si>
  <si>
    <t>PS5-60-EA-21100E</t>
  </si>
  <si>
    <t>T-00046-0334</t>
  </si>
  <si>
    <t>PS5-60-EA-21100F</t>
  </si>
  <si>
    <t>T-00046-0335</t>
  </si>
  <si>
    <t>PS5-60-EA-21100G</t>
  </si>
  <si>
    <t>T-00046-0336</t>
  </si>
  <si>
    <t>PS5-60-EA-21200A</t>
  </si>
  <si>
    <t>T-00046-0337</t>
  </si>
  <si>
    <t>PS5-60-EA-21200B</t>
  </si>
  <si>
    <t>T-00046-0338</t>
  </si>
  <si>
    <t>PS5-60-EA-21200C</t>
  </si>
  <si>
    <t>T-00046-0339</t>
  </si>
  <si>
    <t>PS5-60-EA-21200D</t>
  </si>
  <si>
    <t>T-00046-0340</t>
  </si>
  <si>
    <t>PS5-60-EA-21200E</t>
  </si>
  <si>
    <t>T-00046-0341</t>
  </si>
  <si>
    <t>PS5-60-EA-21200F</t>
  </si>
  <si>
    <t>T-00046-0342</t>
  </si>
  <si>
    <t>PS5-60-EA-21200G</t>
  </si>
  <si>
    <t>T-00046-0343</t>
  </si>
  <si>
    <t>PS5-60-EA-2200A</t>
  </si>
  <si>
    <t>T-00046-0344</t>
  </si>
  <si>
    <t>PS5-60-EA-2200B</t>
  </si>
  <si>
    <t>T-00046-0345</t>
  </si>
  <si>
    <t>PS5-60-EA-2300A</t>
  </si>
  <si>
    <t>T-00046-0346</t>
  </si>
  <si>
    <t>PS5-60-EA-2300B</t>
  </si>
  <si>
    <t>T-00046-0347</t>
  </si>
  <si>
    <t>PS5-60-EA-2400A</t>
  </si>
  <si>
    <t>T-00046-0348</t>
  </si>
  <si>
    <t>PS5-60-EA-2400B</t>
  </si>
  <si>
    <t>T-00046-0349</t>
  </si>
  <si>
    <t>PS5-60-EA-2500A</t>
  </si>
  <si>
    <t>T-00046-0350</t>
  </si>
  <si>
    <t>PS5-60-EA-2500B</t>
  </si>
  <si>
    <t>T-00046-0351</t>
  </si>
  <si>
    <t>PS5-60-EA-2600A</t>
  </si>
  <si>
    <t>T-00046-0352</t>
  </si>
  <si>
    <t>PS5-60-EA-2600B</t>
  </si>
  <si>
    <t>T-00046-0353</t>
  </si>
  <si>
    <t>PS5-60-EA-2700A</t>
  </si>
  <si>
    <t>T-00046-0354</t>
  </si>
  <si>
    <t>PS5-60-EA-2700B</t>
  </si>
  <si>
    <t>T-00046-0355</t>
  </si>
  <si>
    <t>PS5-60-EA-2800A</t>
  </si>
  <si>
    <t>RADIATOR</t>
  </si>
  <si>
    <t>T-00046-0356</t>
  </si>
  <si>
    <t>PS5-60-EA-2800B</t>
  </si>
  <si>
    <t>T-00046-0357</t>
  </si>
  <si>
    <t>PS5-60-EA-2800C</t>
  </si>
  <si>
    <t>T-00046-0358</t>
  </si>
  <si>
    <t>PS5-60-EA-2800D</t>
  </si>
  <si>
    <t>T-00046-0359</t>
  </si>
  <si>
    <t>PS5-60-EA-2800E</t>
  </si>
  <si>
    <t>T-00046-0360</t>
  </si>
  <si>
    <t>PS5-60-EA-2800F</t>
  </si>
  <si>
    <t>T-00046-0361</t>
  </si>
  <si>
    <t>PS5-60-EA-2800G</t>
  </si>
  <si>
    <t>T-00046-0362</t>
  </si>
  <si>
    <t>PS5-60-EA-2900A</t>
  </si>
  <si>
    <t>TZ-MID-68-WPR2-135123</t>
  </si>
  <si>
    <t>T-00046-0363</t>
  </si>
  <si>
    <t>PS5-60-EA-2900B</t>
  </si>
  <si>
    <t>T-00046-0364</t>
  </si>
  <si>
    <t>PS5-60-EA-2900C</t>
  </si>
  <si>
    <t>T-00046-0365</t>
  </si>
  <si>
    <t>PS5-60-EA-2900D</t>
  </si>
  <si>
    <t>T-00046-0366</t>
  </si>
  <si>
    <t>PS5-60-EA-2900E</t>
  </si>
  <si>
    <t>TZ-MID-68-WPR2-135138</t>
  </si>
  <si>
    <t>T-00046-0367</t>
  </si>
  <si>
    <t>PS5-60-EA-2900F</t>
  </si>
  <si>
    <t>T-00046-0368</t>
  </si>
  <si>
    <t>PS5-60-EA-2900G</t>
  </si>
  <si>
    <t>T-00046-0369</t>
  </si>
  <si>
    <t>PS5-60-TCV-0001A</t>
  </si>
  <si>
    <t>THERMAL REGULATING VALVE SKID</t>
  </si>
  <si>
    <t>TZ-MID-68-WPR2-135136</t>
  </si>
  <si>
    <t>T-00046-0370</t>
  </si>
  <si>
    <t>PS5-60-TCV-0001B</t>
  </si>
  <si>
    <t>T-00046-0371</t>
  </si>
  <si>
    <t>PS5-60-TCV-0001C</t>
  </si>
  <si>
    <t>T-00046-0372</t>
  </si>
  <si>
    <t>PS5-60-TCV-0001D</t>
  </si>
  <si>
    <t>T-00046-0373</t>
  </si>
  <si>
    <t>PS5-60-TCV-0001E</t>
  </si>
  <si>
    <t>T-00046-0374</t>
  </si>
  <si>
    <t>PS5-60-TCV-0001F</t>
  </si>
  <si>
    <t>T-00046-0375</t>
  </si>
  <si>
    <t>PS5-60-TCV-0001G</t>
  </si>
  <si>
    <t>T-00046-0376</t>
  </si>
  <si>
    <t>PS5-60-TCV-0002A</t>
  </si>
  <si>
    <t>TZ-MID-68-WPR2-135137</t>
  </si>
  <si>
    <t>T-00046-0377</t>
  </si>
  <si>
    <t>PS5-60-TCV-0002B</t>
  </si>
  <si>
    <t>T-00046-0378</t>
  </si>
  <si>
    <t>PS5-60-TCV-0002C</t>
  </si>
  <si>
    <t>T-00046-0379</t>
  </si>
  <si>
    <t>PS5-60-TCV-0002D</t>
  </si>
  <si>
    <t>T-00046-0380</t>
  </si>
  <si>
    <t>PS5-60-TCV-0002E</t>
  </si>
  <si>
    <t>T-00046-0381</t>
  </si>
  <si>
    <t>PS5-60-TCV-0002F</t>
  </si>
  <si>
    <t>T-00046-0382</t>
  </si>
  <si>
    <t>PS5-60-TCV-0002G</t>
  </si>
  <si>
    <t>T-00046-0383</t>
  </si>
  <si>
    <t>PS5-60-UA-5200</t>
  </si>
  <si>
    <t>INSTRUMENT AIR COMPRESSOR MODULE</t>
  </si>
  <si>
    <t>TZ-MID-68-WPR2-135127</t>
  </si>
  <si>
    <t>T-00046-0384</t>
  </si>
  <si>
    <t>PS5-60-UR-8200A</t>
  </si>
  <si>
    <t>GENERATOR CW PUMP MODULE (ALTERN/ATOR BEARING SYSTEM)</t>
  </si>
  <si>
    <t>T-00046-0385</t>
  </si>
  <si>
    <t>PS5-60-UR-8200B</t>
  </si>
  <si>
    <t>T-00046-0386</t>
  </si>
  <si>
    <t>PS5-60-UR-8200C</t>
  </si>
  <si>
    <t>T-00046-0387</t>
  </si>
  <si>
    <t>PS5-60-UR-8200D</t>
  </si>
  <si>
    <t>T-00046-0388</t>
  </si>
  <si>
    <t>PS5-60-UR-8200E</t>
  </si>
  <si>
    <t>T-00046-0389</t>
  </si>
  <si>
    <t>PS5-60-UR-8200F</t>
  </si>
  <si>
    <t>T-00046-0390</t>
  </si>
  <si>
    <t>PS5-60-UR-8200G</t>
  </si>
  <si>
    <t>T-00046-0391</t>
  </si>
  <si>
    <t>PS5-60-UZ-8200G</t>
  </si>
  <si>
    <t>T-00046-0392</t>
  </si>
  <si>
    <t>PS5-60-UZ-8900A</t>
  </si>
  <si>
    <t>FUEL CONDITIONING MODULE</t>
  </si>
  <si>
    <t>T-00046-0393</t>
  </si>
  <si>
    <t>PS5-60-UZ-8900B</t>
  </si>
  <si>
    <t>T-00046-0394</t>
  </si>
  <si>
    <t>PS5-60-UZ-8900C</t>
  </si>
  <si>
    <t>T-00046-0395</t>
  </si>
  <si>
    <t>PS5-60-UZ-8900D</t>
  </si>
  <si>
    <t>T-00046-0396</t>
  </si>
  <si>
    <t>PS5-60-UZ-8900E</t>
  </si>
  <si>
    <t>T-00046-0397</t>
  </si>
  <si>
    <t>PS5-60-UZ-8900F</t>
  </si>
  <si>
    <t>T-00046-0398</t>
  </si>
  <si>
    <t>PS5-60-UZ-8900G</t>
  </si>
  <si>
    <t>TZ-MID-68-WPR2-135010</t>
  </si>
  <si>
    <t>T-00046-0400</t>
  </si>
  <si>
    <t>PS5-71-UZ-6400</t>
  </si>
  <si>
    <t>CRUDE FUEL OIL PRE-PRESSURE MODULE</t>
  </si>
  <si>
    <t>TZ-MID-68-WPR2-135004</t>
  </si>
  <si>
    <t>T-00046-0401</t>
  </si>
  <si>
    <t>PS5-71-UZ-6700</t>
  </si>
  <si>
    <t>DIESEL FUEL OIL PRE-PRESSURE MODULE</t>
  </si>
  <si>
    <t>TZ-MID-68-WPR2-135126</t>
  </si>
  <si>
    <t>T-00046-0552</t>
  </si>
  <si>
    <t>PS5-60-UR-8300A</t>
  </si>
  <si>
    <t>POWER GENERATION - Cooler Module</t>
  </si>
  <si>
    <t>T-00046-0553</t>
  </si>
  <si>
    <t>PS5-60-UR-8300B</t>
  </si>
  <si>
    <t>T-00046-0554</t>
  </si>
  <si>
    <t>PS5-60-UR-8300C</t>
  </si>
  <si>
    <t>T-00046-0555</t>
  </si>
  <si>
    <t>PS5-60-UR-8300D</t>
  </si>
  <si>
    <t>T-00046-0556</t>
  </si>
  <si>
    <t>PS5-60-UR-8300E</t>
  </si>
  <si>
    <t>T-00046-0557</t>
  </si>
  <si>
    <t>PS5-60-UR-8300F</t>
  </si>
  <si>
    <t>T-00046-0558</t>
  </si>
  <si>
    <t>PS5-60-UR-8300G</t>
  </si>
  <si>
    <t>CJX08 - Electrical instrument</t>
  </si>
  <si>
    <t>MANUAL CALL POINT</t>
  </si>
  <si>
    <t>Electrical Instrument</t>
  </si>
  <si>
    <t>TZ-MID-68-WPR2-121106</t>
  </si>
  <si>
    <t>T-00067-0659</t>
  </si>
  <si>
    <t>PS5-03-RMAC-1409</t>
  </si>
  <si>
    <t>T-00067-0660</t>
  </si>
  <si>
    <t>PS5-03-RMAC-1410</t>
  </si>
  <si>
    <t>T-00067-0661</t>
  </si>
  <si>
    <t>PS5-03-RMAC-1411</t>
  </si>
  <si>
    <t>CJX10 - Multi/Single-core instrument control cable</t>
  </si>
  <si>
    <t>Multi/Single-Core Instrument Control Cable</t>
  </si>
  <si>
    <t>TZ-MID-68-WPR2-161503</t>
  </si>
  <si>
    <t>0</t>
  </si>
  <si>
    <t>T-00069-4487</t>
  </si>
  <si>
    <t>PS5-03-RDOS-1401-CJ01</t>
  </si>
  <si>
    <t>Cable FROM PS5-03-RMAC-1411 TO PS5-03-RDOS-1401</t>
  </si>
  <si>
    <t>T-00069-4488</t>
  </si>
  <si>
    <t>PS5-03-RDOS-1402-CJ01</t>
  </si>
  <si>
    <t>Cable FROM PS5-03-RDOS-1401 TO PS5-03-RDOS-1402</t>
  </si>
  <si>
    <t>T-00069-4489</t>
  </si>
  <si>
    <t>PS5-03-RDOS-1403-CJ01</t>
  </si>
  <si>
    <t>Cable FROM PS5-03-RDOS-1402 TO PS5-03-RDOS-1403</t>
  </si>
  <si>
    <t>T-00069-4490</t>
  </si>
  <si>
    <t>PS5-03-RDOS-1404-CJ01</t>
  </si>
  <si>
    <t>Cable FROM PS5-03-RDOS-1403 TO PS5-03-RDOS-1404</t>
  </si>
  <si>
    <t>T-00069-4491</t>
  </si>
  <si>
    <t>PS5-03-RDOS-1405-CJ01</t>
  </si>
  <si>
    <t>Cable FROM PS5-03-RDOS-1404 TO PS5-03-RDOS-1405</t>
  </si>
  <si>
    <t>T-00069-4492</t>
  </si>
  <si>
    <t>PS5-03-RDOS-1406-CJ01</t>
  </si>
  <si>
    <t>Cable FROM PS5-03-RDOS-1503 TO PS5-03-RDOS-1406</t>
  </si>
  <si>
    <t>T-00069-4493</t>
  </si>
  <si>
    <t>PS5-03-RDOS-1407-CJ01</t>
  </si>
  <si>
    <t>Cable FROM PS5-03-RDOS-1405 TO PS5-03-RDOS-1407</t>
  </si>
  <si>
    <t>T-00069-4494</t>
  </si>
  <si>
    <t>PS5-03-RDOS-1408-CJ01</t>
  </si>
  <si>
    <t>Cable FROM PS5-03-RDOS-1407 TO PS5-03-RDOS-1408</t>
  </si>
  <si>
    <t>T-00069-4540</t>
  </si>
  <si>
    <t>PS5-03-RMAC-1410-CJ01</t>
  </si>
  <si>
    <t>Cable FROM PS5-03-RDOS-2103 TO PS5-03-RMAC-1410</t>
  </si>
  <si>
    <t>T-00069-4541</t>
  </si>
  <si>
    <t>PS5-03-RMAC-1411-CJ01</t>
  </si>
  <si>
    <t>Cable FROM PS5-03-RDOS-1406 TO PS5-03-RMAC-1411</t>
  </si>
  <si>
    <t>PS5-03-SEA-0003-CC01</t>
  </si>
  <si>
    <t>Cable FROM PS5-03-SFMC-0010 TO PS5-03-SEA-0003</t>
  </si>
  <si>
    <t>PS5-03-SEA-0003-CJ01</t>
  </si>
  <si>
    <t>Cable FROM PS5-04-PMC-0004 TO PS5-03-SEA-0003</t>
  </si>
  <si>
    <t>T-00069-4888</t>
  </si>
  <si>
    <t>PS5-60-BE-0001-CC01</t>
  </si>
  <si>
    <t>Cable FROM PS5-60-IE-0004 TO PS5-60-BE-0001</t>
  </si>
  <si>
    <t>T-00069-4889</t>
  </si>
  <si>
    <t>PS5-60-BE-0002-CC01</t>
  </si>
  <si>
    <t>Cable FROM PS5-60-IE-0004 TO PS5-60-BE-0002</t>
  </si>
  <si>
    <t>T-00069-4890</t>
  </si>
  <si>
    <t>PS5-60-BE-0004A-CC01</t>
  </si>
  <si>
    <t>Cable FROM PS5-60-IN-0001A TO PS5-60-BE-0004A</t>
  </si>
  <si>
    <t>T-00069-4891</t>
  </si>
  <si>
    <t>PS5-60-BE-0004B-CC01</t>
  </si>
  <si>
    <t>Cable FROM PS5-60-IN-0001B TO PS5-60-BE-0004B</t>
  </si>
  <si>
    <t>T-00069-4892</t>
  </si>
  <si>
    <t>PS5-60-BE-0004C-CC01</t>
  </si>
  <si>
    <t>Cable FROM PS5-60-IN-0001C TO PS5-60-BE-0004C</t>
  </si>
  <si>
    <t>T-00069-4893</t>
  </si>
  <si>
    <t>PS5-60-BE-0004D-CC01</t>
  </si>
  <si>
    <t>Cable FROM PS5-60-IN-0001D TO PS5-60-BE-0004D</t>
  </si>
  <si>
    <t>T-00069-4894</t>
  </si>
  <si>
    <t>PS5-60-BE-0004E-CC01</t>
  </si>
  <si>
    <t>Cable FROM PS5-60-IN-0001E TO PS5-60-BE-0004E</t>
  </si>
  <si>
    <t>T-00069-4895</t>
  </si>
  <si>
    <t>PS5-60-BE-0004F-CC01</t>
  </si>
  <si>
    <t>Cable FROM PS5-60-IN-0001F TO PS5-60-BE-0004F</t>
  </si>
  <si>
    <t>T-00069-4896</t>
  </si>
  <si>
    <t>PS5-60-BE-0004G-CC01</t>
  </si>
  <si>
    <t>Cable FROM PS5-60-IN-0001G TO PS5-60-BE-0004G</t>
  </si>
  <si>
    <t>T-00069-4897</t>
  </si>
  <si>
    <t>PS5-60-BI-0001A-CC01</t>
  </si>
  <si>
    <t>Cable FROM PS5-60-IE-0003A TO PS5-60-BI-0001A</t>
  </si>
  <si>
    <t>T-00069-4898</t>
  </si>
  <si>
    <t>PS5-60-BI-0001A-CC03</t>
  </si>
  <si>
    <t>T-00069-4899</t>
  </si>
  <si>
    <t>PS5-60-BI-0001B-CC01</t>
  </si>
  <si>
    <t>Cable FROM PS5-60-IE-0003B TO PS5-60-BI-0001B</t>
  </si>
  <si>
    <t>T-00069-4900</t>
  </si>
  <si>
    <t>PS5-60-BI-0001B-CC03</t>
  </si>
  <si>
    <t>T-00069-4901</t>
  </si>
  <si>
    <t>PS5-60-BI-0001C-CC01</t>
  </si>
  <si>
    <t>Cable FROM PS5-60-IE-0003C TO PS5-60-BI-0001C</t>
  </si>
  <si>
    <t>T-00069-4902</t>
  </si>
  <si>
    <t>PS5-60-BI-0001C-CC03</t>
  </si>
  <si>
    <t>T-00069-4903</t>
  </si>
  <si>
    <t>PS5-60-BI-0001D-CC01</t>
  </si>
  <si>
    <t>Cable FROM PS5-60-IE-0003D TO PS5-60-BI-0001D</t>
  </si>
  <si>
    <t>T-00069-4904</t>
  </si>
  <si>
    <t>PS5-60-BI-0001D-CC03</t>
  </si>
  <si>
    <t>T-00069-4905</t>
  </si>
  <si>
    <t>PS5-60-BI-0001E-CC01</t>
  </si>
  <si>
    <t>Cable FROM PS5-60-IE-0003E TO PS5-60-BI-0001E</t>
  </si>
  <si>
    <t>T-00069-4906</t>
  </si>
  <si>
    <t>PS5-60-BI-0001E-CC03</t>
  </si>
  <si>
    <t>T-00069-4907</t>
  </si>
  <si>
    <t>PS5-60-BI-0001F-CC01</t>
  </si>
  <si>
    <t>Cable FROM PS5-60-IE-0003F TO PS5-60-BI-0001F</t>
  </si>
  <si>
    <t>T-00069-4908</t>
  </si>
  <si>
    <t>PS5-60-BI-0001F-CC03</t>
  </si>
  <si>
    <t>T-00069-4909</t>
  </si>
  <si>
    <t>PS5-60-BI-0001G-CC01</t>
  </si>
  <si>
    <t>Cable FROM PS5-60-IE-0003G TO PS5-60-BI-0001G</t>
  </si>
  <si>
    <t>T-00069-4910</t>
  </si>
  <si>
    <t>PS5-60-BI-0001G-CC03</t>
  </si>
  <si>
    <t>T-00069-4911</t>
  </si>
  <si>
    <t>PS5-60-BI-0002-CC01</t>
  </si>
  <si>
    <t>Cable FROM PS5-60-IE-0004 TO PS5-60-BI-0002</t>
  </si>
  <si>
    <t>T-00069-4912</t>
  </si>
  <si>
    <t>PS5-60-BI-0002-CC02</t>
  </si>
  <si>
    <t>T-00069-4913</t>
  </si>
  <si>
    <t>PS5-60-BI-0002-CC03</t>
  </si>
  <si>
    <t>T-00069-4914</t>
  </si>
  <si>
    <t>PS5-60-BI-0002-CC04</t>
  </si>
  <si>
    <t>T-00069-4915</t>
  </si>
  <si>
    <t>PS5-60-BI-0003-CC01</t>
  </si>
  <si>
    <t>Cable FROM PS5-60-IE-0004 TO PS5-60-BI-0003</t>
  </si>
  <si>
    <t>T-00069-4916</t>
  </si>
  <si>
    <t>PS5-60-BI-0003-CC02</t>
  </si>
  <si>
    <t>T-00069-4917</t>
  </si>
  <si>
    <t>PS5-60-BI-0004A-CCO1</t>
  </si>
  <si>
    <t>Cable FROM PS5-60-IE-0001A TO PS5-60-BI-0004A</t>
  </si>
  <si>
    <t>T-00069-4918</t>
  </si>
  <si>
    <t>PS5-60-BI-0004B-CCO1</t>
  </si>
  <si>
    <t>Cable FROM PS5-60-IE-0001B TO PS5-60-BI-0004B</t>
  </si>
  <si>
    <t>T-00069-4919</t>
  </si>
  <si>
    <t>PS5-60-BI-0004C-CCO1</t>
  </si>
  <si>
    <t>Cable FROM PS5-60-IE-0001C TO PS5-60-BI-0004C</t>
  </si>
  <si>
    <t>T-00069-4920</t>
  </si>
  <si>
    <t>PS5-60-BI-0004D-CCO1</t>
  </si>
  <si>
    <t>Cable FROM PS5-60-IE-0001D TO PS5-60-BI-0004D</t>
  </si>
  <si>
    <t>T-00069-4921</t>
  </si>
  <si>
    <t>PS5-60-BI-0004E-CCO1</t>
  </si>
  <si>
    <t>Cable FROM PS5-60-IE-0001E TO PS5-60-BI-0004E</t>
  </si>
  <si>
    <t>T-00069-4922</t>
  </si>
  <si>
    <t>PS5-60-BI-0004F-CCO1</t>
  </si>
  <si>
    <t>Cable FROM PS5-60-IE-0001F TO PS5-60-BI-0004F</t>
  </si>
  <si>
    <t>T-00069-4923</t>
  </si>
  <si>
    <t>PS5-60-BI-0004G-CCO1</t>
  </si>
  <si>
    <t>Cable FROM PS5-60-IE-0001G TO PS5-60-BI-0004G</t>
  </si>
  <si>
    <t>T-00069-4924</t>
  </si>
  <si>
    <t>PS5-60-BI-0005A-CC01</t>
  </si>
  <si>
    <t>Cable FROM PS5-60-IE-0003A TO PS5-60-BI-0005A</t>
  </si>
  <si>
    <t>T-00069-4925</t>
  </si>
  <si>
    <t>PS5-60-BI-0005A-CC02</t>
  </si>
  <si>
    <t>T-00069-4926</t>
  </si>
  <si>
    <t>PS5-60-BI-0005B-CC01</t>
  </si>
  <si>
    <t>Cable FROM PS5-60-IE-0003B TO PS5-60-BI-0005B</t>
  </si>
  <si>
    <t>T-00069-4927</t>
  </si>
  <si>
    <t>PS5-60-BI-0005B-CC02</t>
  </si>
  <si>
    <t>T-00069-4928</t>
  </si>
  <si>
    <t>PS5-60-BI-0005C-CC01</t>
  </si>
  <si>
    <t>Cable FROM PS5-60-IE-0003C TO PS5-60-BI-0005C</t>
  </si>
  <si>
    <t>T-00069-4929</t>
  </si>
  <si>
    <t>PS5-60-BI-0005C-CC02</t>
  </si>
  <si>
    <t>T-00069-4930</t>
  </si>
  <si>
    <t>PS5-60-BI-0005D-CC01</t>
  </si>
  <si>
    <t>Cable FROM PS5-60-IE-0003D TO PS5-60-BI-0005D</t>
  </si>
  <si>
    <t>T-00069-4931</t>
  </si>
  <si>
    <t>PS5-60-BI-0005D-CC02</t>
  </si>
  <si>
    <t>T-00069-4932</t>
  </si>
  <si>
    <t>PS5-60-BI-0005E-CC01</t>
  </si>
  <si>
    <t>Cable FROM PS5-60-IE-0003E TO PS5-60-BI-0005E</t>
  </si>
  <si>
    <t>T-00069-4933</t>
  </si>
  <si>
    <t>PS5-60-BI-0005E-CC02</t>
  </si>
  <si>
    <t>T-00069-4934</t>
  </si>
  <si>
    <t>PS5-60-BI-0005F-CC01</t>
  </si>
  <si>
    <t>Cable FROM PS5-60-IE-0003F TO PS5-60-BI-0005F</t>
  </si>
  <si>
    <t>T-00069-4935</t>
  </si>
  <si>
    <t>PS5-60-BI-0005F-CC02</t>
  </si>
  <si>
    <t>T-00069-4936</t>
  </si>
  <si>
    <t>PS5-60-BI-0005G-CC01</t>
  </si>
  <si>
    <t>Cable FROM PS5-60-IE-0003G TO PS5-60-BI-0005G</t>
  </si>
  <si>
    <t>T-00069-4937</t>
  </si>
  <si>
    <t>PS5-60-BI-0005G-CC02</t>
  </si>
  <si>
    <t>T-00069-4938</t>
  </si>
  <si>
    <t>PS5-60-BI-0006A-CC01</t>
  </si>
  <si>
    <t>Cable FROM PS5-60-IE-0003A TO PS5-60-BI-0006A</t>
  </si>
  <si>
    <t>T-00069-4939</t>
  </si>
  <si>
    <t>PS5-60-BI-0006A-CC02</t>
  </si>
  <si>
    <t>T-00069-4940</t>
  </si>
  <si>
    <t>PS5-60-BI-0006A-CC03</t>
  </si>
  <si>
    <t>T-00069-4941</t>
  </si>
  <si>
    <t>PS5-60-BI-0006A-CC04</t>
  </si>
  <si>
    <t>T-00069-4942</t>
  </si>
  <si>
    <t>PS5-60-BI-0006A-CC05</t>
  </si>
  <si>
    <t>T-00069-4943</t>
  </si>
  <si>
    <t>PS5-60-BI-0006A-CC06</t>
  </si>
  <si>
    <t>T-00069-4944</t>
  </si>
  <si>
    <t>PS5-60-BI-0006B-CC01</t>
  </si>
  <si>
    <t>Cable FROM PS5-60-IE-0003B TO PS5-60-BI-0006B</t>
  </si>
  <si>
    <t>T-00069-4945</t>
  </si>
  <si>
    <t>PS5-60-BI-0006B-CC02</t>
  </si>
  <si>
    <t>T-00069-4946</t>
  </si>
  <si>
    <t>PS5-60-BI-0006B-CC03</t>
  </si>
  <si>
    <t>T-00069-4947</t>
  </si>
  <si>
    <t>PS5-60-BI-0006B-CC04</t>
  </si>
  <si>
    <t>T-00069-4948</t>
  </si>
  <si>
    <t>PS5-60-BI-0006B-CC05</t>
  </si>
  <si>
    <t>T-00069-4949</t>
  </si>
  <si>
    <t>PS5-60-BI-0006B-CC06</t>
  </si>
  <si>
    <t>T-00069-4950</t>
  </si>
  <si>
    <t>PS5-60-BI-0006C-CC01</t>
  </si>
  <si>
    <t>Cable FROM PS5-60-IE-0003C TO PS5-60-BI-0006C</t>
  </si>
  <si>
    <t>T-00069-4951</t>
  </si>
  <si>
    <t>PS5-60-BI-0006C-CC02</t>
  </si>
  <si>
    <t>T-00069-4952</t>
  </si>
  <si>
    <t>PS5-60-BI-0006C-CC03</t>
  </si>
  <si>
    <t>T-00069-4953</t>
  </si>
  <si>
    <t>PS5-60-BI-0006C-CC04</t>
  </si>
  <si>
    <t>T-00069-4954</t>
  </si>
  <si>
    <t>PS5-60-BI-0006C-CC05</t>
  </si>
  <si>
    <t>T-00069-4955</t>
  </si>
  <si>
    <t>PS5-60-BI-0006C-CC06</t>
  </si>
  <si>
    <t>T-00069-4956</t>
  </si>
  <si>
    <t>PS5-60-BI-0006D-CC01</t>
  </si>
  <si>
    <t>Cable FROM PS5-60-IE-0003D TO PS5-60-BI-0006D</t>
  </si>
  <si>
    <t>T-00069-4957</t>
  </si>
  <si>
    <t>PS5-60-BI-0006D-CC02</t>
  </si>
  <si>
    <t>T-00069-4958</t>
  </si>
  <si>
    <t>PS5-60-BI-0006D-CC03</t>
  </si>
  <si>
    <t>T-00069-4959</t>
  </si>
  <si>
    <t>PS5-60-BI-0006D-CC04</t>
  </si>
  <si>
    <t>T-00069-4960</t>
  </si>
  <si>
    <t>PS5-60-BI-0006D-CC05</t>
  </si>
  <si>
    <t>T-00069-4961</t>
  </si>
  <si>
    <t>PS5-60-BI-0006D-CC06</t>
  </si>
  <si>
    <t>T-00069-4962</t>
  </si>
  <si>
    <t>PS5-60-BI-0006E-CC01</t>
  </si>
  <si>
    <t>Cable FROM PS5-60-IE-0003E TO PS5-60-BI-0006E</t>
  </si>
  <si>
    <t>T-00069-4963</t>
  </si>
  <si>
    <t>PS5-60-BI-0006E-CC02</t>
  </si>
  <si>
    <t>T-00069-4964</t>
  </si>
  <si>
    <t>PS5-60-BI-0006E-CC03</t>
  </si>
  <si>
    <t>T-00069-4965</t>
  </si>
  <si>
    <t>PS5-60-BI-0006E-CC04</t>
  </si>
  <si>
    <t>T-00069-4966</t>
  </si>
  <si>
    <t>PS5-60-BI-0006E-CC05</t>
  </si>
  <si>
    <t>T-00069-4967</t>
  </si>
  <si>
    <t>PS5-60-BI-0006E-CC06</t>
  </si>
  <si>
    <t>T-00069-4968</t>
  </si>
  <si>
    <t>PS5-60-BI-0006F-CC01</t>
  </si>
  <si>
    <t>Cable FROM PS5-60-IE-0003F TO PS5-60-BI-0006F</t>
  </si>
  <si>
    <t>T-00069-4969</t>
  </si>
  <si>
    <t>PS5-60-BI-0006F-CC02</t>
  </si>
  <si>
    <t>T-00069-4970</t>
  </si>
  <si>
    <t>PS5-60-BI-0006F-CC03</t>
  </si>
  <si>
    <t>T-00069-4971</t>
  </si>
  <si>
    <t>PS5-60-BI-0006F-CC04</t>
  </si>
  <si>
    <t>T-00069-4972</t>
  </si>
  <si>
    <t>PS5-60-BI-0006F-CC05</t>
  </si>
  <si>
    <t>T-00069-4973</t>
  </si>
  <si>
    <t>PS5-60-BI-0006F-CC06</t>
  </si>
  <si>
    <t>T-00069-4974</t>
  </si>
  <si>
    <t>PS5-60-BI-0006G-CC01</t>
  </si>
  <si>
    <t>Cable FROM PS5-60-IE-0003G TO PS5-60-BI-0006G</t>
  </si>
  <si>
    <t>T-00069-4975</t>
  </si>
  <si>
    <t>PS5-60-BI-0006G-CC02</t>
  </si>
  <si>
    <t>T-00069-4976</t>
  </si>
  <si>
    <t>PS5-60-BI-0006G-CC03</t>
  </si>
  <si>
    <t>T-00069-4977</t>
  </si>
  <si>
    <t>PS5-60-BI-0006G-CC04</t>
  </si>
  <si>
    <t>T-00069-4978</t>
  </si>
  <si>
    <t>PS5-60-BI-0006G-CC05</t>
  </si>
  <si>
    <t>T-00069-4979</t>
  </si>
  <si>
    <t>PS5-60-BI-0006G-CC06</t>
  </si>
  <si>
    <t>T-00069-4980</t>
  </si>
  <si>
    <t>PS5-60-BI-0008A-CC01</t>
  </si>
  <si>
    <t>Cable FROM PS5-60-IE-0003A TO PS5-60-BI-0008A</t>
  </si>
  <si>
    <t>T-00069-4981</t>
  </si>
  <si>
    <t>PS5-60-BI-0008A-CC02</t>
  </si>
  <si>
    <t>Cable FROM PS5-60-IH-0001A TO PS5-60-BI-0008A</t>
  </si>
  <si>
    <t>T-00069-4982</t>
  </si>
  <si>
    <t>PS5-60-BI-0008B-CC01</t>
  </si>
  <si>
    <t>Cable FROM PS5-60-IE-0003A TO PS5-60-BI-0008B</t>
  </si>
  <si>
    <t>T-00069-4983</t>
  </si>
  <si>
    <t>PS5-60-BI-0008B-CC02</t>
  </si>
  <si>
    <t>Cable FROM PS5-60-IH-0001A TO PS5-60-BI-0008B</t>
  </si>
  <si>
    <t>T-00069-4984</t>
  </si>
  <si>
    <t>PS5-60-BI-0009A-CC01</t>
  </si>
  <si>
    <t>Cable FROM PS5-60-IE-0003B TO PS5-60-BI-0009A</t>
  </si>
  <si>
    <t>T-00069-4985</t>
  </si>
  <si>
    <t>PS5-60-BI-0009A-CC02</t>
  </si>
  <si>
    <t>Cable FROM PS5-60-IH-0001B TO PS5-60-BI-0009A</t>
  </si>
  <si>
    <t>T-00069-4986</t>
  </si>
  <si>
    <t>PS5-60-BI-0009B-CC01</t>
  </si>
  <si>
    <t>Cable FROM PS5-60-IE-0003B TO PS5-60-BI-0009B</t>
  </si>
  <si>
    <t>T-00069-4987</t>
  </si>
  <si>
    <t>PS5-60-BI-0009B-CC02</t>
  </si>
  <si>
    <t>Cable FROM PS5-60-IH-0001B TO PS5-60-BI-0009B</t>
  </si>
  <si>
    <t>T-00069-4988</t>
  </si>
  <si>
    <t>PS5-60-BI-0010A-CC01</t>
  </si>
  <si>
    <t>Cable FROM PS5-60-IE-0003C TO PS5-60-BI-0010A</t>
  </si>
  <si>
    <t>T-00069-4989</t>
  </si>
  <si>
    <t>PS5-60-BI-0010A-CC02</t>
  </si>
  <si>
    <t>Cable FROM PS5-60-IH-0001C TO PS5-60-BI-0010A</t>
  </si>
  <si>
    <t>T-00069-4990</t>
  </si>
  <si>
    <t>PS5-60-BI-0010B-CC01</t>
  </si>
  <si>
    <t>Cable FROM PS5-60-IE-0003C TO PS5-60-BI-0010B</t>
  </si>
  <si>
    <t>T-00069-4991</t>
  </si>
  <si>
    <t>PS5-60-BI-0010B-CC02</t>
  </si>
  <si>
    <t>Cable FROM PS5-60-IH-0001C TO PS5-60-BI-0010B</t>
  </si>
  <si>
    <t>T-00069-4992</t>
  </si>
  <si>
    <t>PS5-60-BI-0011A-CC01</t>
  </si>
  <si>
    <t>Cable FROM PS5-60-IE-0003D TO PS5-60-BI-0011A</t>
  </si>
  <si>
    <t>T-00069-4993</t>
  </si>
  <si>
    <t>PS5-60-BI-0011A-CC02</t>
  </si>
  <si>
    <t>Cable FROM PS5-60-IH-0001D TO PS5-60-BI-0011A</t>
  </si>
  <si>
    <t>T-00069-4994</t>
  </si>
  <si>
    <t>PS5-60-BI-0011B-CC01</t>
  </si>
  <si>
    <t>Cable FROM PS5-60-IE-0003D TO PS5-60-BI-0011B</t>
  </si>
  <si>
    <t>T-00069-4995</t>
  </si>
  <si>
    <t>PS5-60-BI-0011B-CC02</t>
  </si>
  <si>
    <t>Cable FROM PS5-60-IH-0001D TO PS5-60-BI-0011B</t>
  </si>
  <si>
    <t>T-00069-4996</t>
  </si>
  <si>
    <t>PS5-60-BI-0012A-CC01</t>
  </si>
  <si>
    <t>Cable FROM PS5-60-IE-0003E TO PS5-60-BI-0012A</t>
  </si>
  <si>
    <t>T-00069-4997</t>
  </si>
  <si>
    <t>PS5-60-BI-0012A-CC02</t>
  </si>
  <si>
    <t>Cable FROM PS5-60-IH-0001E TO PS5-60-BI-0012A</t>
  </si>
  <si>
    <t>T-00069-4998</t>
  </si>
  <si>
    <t>PS5-60-BI-0012B-CC01</t>
  </si>
  <si>
    <t>Cable FROM PS5-60-IE-0003E TO PS5-60-BI-0012B</t>
  </si>
  <si>
    <t>T-00069-4999</t>
  </si>
  <si>
    <t>PS5-60-BI-0012B-CC02</t>
  </si>
  <si>
    <t>Cable FROM PS5-60-IH-0001E TO PS5-60-BI-0012B</t>
  </si>
  <si>
    <t>T-00069-5000</t>
  </si>
  <si>
    <t>PS5-60-BI-0013A-CC01</t>
  </si>
  <si>
    <t>Cable FROM PS5-60-IE-0003F TO PS5-60-BI-0013A</t>
  </si>
  <si>
    <t>T-00069-5001</t>
  </si>
  <si>
    <t>PS5-60-BI-0013A-CC02</t>
  </si>
  <si>
    <t>Cable FROM PS5-60-IH-0001F TO PS5-60-BI-0013A</t>
  </si>
  <si>
    <t>T-00069-5002</t>
  </si>
  <si>
    <t>PS5-60-BI-0013B-CC01</t>
  </si>
  <si>
    <t>Cable FROM PS5-60-IE-0003F TO PS5-60-BI-0013B</t>
  </si>
  <si>
    <t>T-00069-5003</t>
  </si>
  <si>
    <t>PS5-60-BI-0013B-CC02</t>
  </si>
  <si>
    <t>Cable FROM PS5-60-IH-0001F TO PS5-60-BI-0013B</t>
  </si>
  <si>
    <t>T-00069-5004</t>
  </si>
  <si>
    <t>PS5-60-BI-0014A-CC01</t>
  </si>
  <si>
    <t>Cable FROM PS5-60-IE-0003G TO PS5-60-BI-0014A</t>
  </si>
  <si>
    <t>T-00069-5005</t>
  </si>
  <si>
    <t>PS5-60-BI-0014A-CC02</t>
  </si>
  <si>
    <t>Cable FROM PS5-60-IH-0001G TO PS5-60-BI-0014A</t>
  </si>
  <si>
    <t>T-00069-5006</t>
  </si>
  <si>
    <t>PS5-60-BI-0014B-CC01</t>
  </si>
  <si>
    <t>Cable FROM PS5-60-IE-0003G TO PS5-60-BI-0014B</t>
  </si>
  <si>
    <t>T-00069-5007</t>
  </si>
  <si>
    <t>PS5-60-BI-0014B-CC02</t>
  </si>
  <si>
    <t>Cable FROM PS5-60-IH-0001G TO PS5-60-BI-0014B</t>
  </si>
  <si>
    <t>T-00069-5008</t>
  </si>
  <si>
    <t>PS5-60-BI-0016A-CC01</t>
  </si>
  <si>
    <t>Cable FROM PS5-60-IE-0003A TO PS5-60-BI-0016A</t>
  </si>
  <si>
    <t>T-00069-5009</t>
  </si>
  <si>
    <t>PS5-60-BI-0016A-CC02</t>
  </si>
  <si>
    <t>T-00069-5010</t>
  </si>
  <si>
    <t>PS5-60-BI-0016A-CC03</t>
  </si>
  <si>
    <t>T-00069-5011</t>
  </si>
  <si>
    <t>PS5-60-BI-0016A-CCO4</t>
  </si>
  <si>
    <t>Cable FROM PS5-60-IE-0001A TO PS5-60-BI-0016A</t>
  </si>
  <si>
    <t>T-00069-5012</t>
  </si>
  <si>
    <t>PS5-60-BI-0016B-CC01</t>
  </si>
  <si>
    <t>Cable FROM PS5-60-IE-0003B TO PS5-60-BI-0016B</t>
  </si>
  <si>
    <t>T-00069-5013</t>
  </si>
  <si>
    <t>PS5-60-BI-0016B-CC02</t>
  </si>
  <si>
    <t>T-00069-5014</t>
  </si>
  <si>
    <t>PS5-60-BI-0016B-CC03</t>
  </si>
  <si>
    <t>T-00069-5015</t>
  </si>
  <si>
    <t>PS5-60-BI-0016B-CCO4</t>
  </si>
  <si>
    <t>Cable FROM PS5-60-IE-0001B TO PS5-60-BI-0016B</t>
  </si>
  <si>
    <t>T-00069-5016</t>
  </si>
  <si>
    <t>PS5-60-BI-0016C-CC01</t>
  </si>
  <si>
    <t>Cable FROM PS5-60-IE-0003C TO PS5-60-BI-0016C</t>
  </si>
  <si>
    <t>T-00069-5017</t>
  </si>
  <si>
    <t>PS5-60-BI-0016C-CC02</t>
  </si>
  <si>
    <t>T-00069-5018</t>
  </si>
  <si>
    <t>PS5-60-BI-0016C-CC03</t>
  </si>
  <si>
    <t>T-00069-5019</t>
  </si>
  <si>
    <t>PS5-60-BI-0016C-CCO4</t>
  </si>
  <si>
    <t>Cable FROM PS5-60-IE-0001C TO PS5-60-BI-0016C</t>
  </si>
  <si>
    <t>T-00069-5020</t>
  </si>
  <si>
    <t>PS5-60-BI-0016D-CC01</t>
  </si>
  <si>
    <t>Cable FROM PS5-60-IE-0003D TO PS5-60-BI-0016D</t>
  </si>
  <si>
    <t>T-00069-5021</t>
  </si>
  <si>
    <t>PS5-60-BI-0016D-CC02</t>
  </si>
  <si>
    <t>T-00069-5022</t>
  </si>
  <si>
    <t>PS5-60-BI-0016D-CC03</t>
  </si>
  <si>
    <t>T-00069-5023</t>
  </si>
  <si>
    <t>PS5-60-BI-0016D-CCO4</t>
  </si>
  <si>
    <t>Cable FROM PS5-60-IE-0001D TO PS5-60-BI-0016D</t>
  </si>
  <si>
    <t>T-00069-5024</t>
  </si>
  <si>
    <t>PS5-60-BI-0016E-CC01</t>
  </si>
  <si>
    <t>Cable FROM PS5-60-IE-0003E TO PS5-60-BI-0016E</t>
  </si>
  <si>
    <t>T-00069-5025</t>
  </si>
  <si>
    <t>PS5-60-BI-0016E-CC02</t>
  </si>
  <si>
    <t>T-00069-5026</t>
  </si>
  <si>
    <t>PS5-60-BI-0016E-CC03</t>
  </si>
  <si>
    <t>T-00069-5027</t>
  </si>
  <si>
    <t>PS5-60-BI-0016E-CCO4</t>
  </si>
  <si>
    <t>Cable FROM PS5-60-IE-0001E TO PS5-60-BI-0016E</t>
  </si>
  <si>
    <t>T-00069-5028</t>
  </si>
  <si>
    <t>PS5-60-BI-0016F-CC01</t>
  </si>
  <si>
    <t>Cable FROM PS5-60-IE-0003F TO PS5-60-BI-0016F</t>
  </si>
  <si>
    <t>T-00069-5029</t>
  </si>
  <si>
    <t>PS5-60-BI-0016F-CC02</t>
  </si>
  <si>
    <t>T-00069-5030</t>
  </si>
  <si>
    <t>PS5-60-BI-0016F-CC03</t>
  </si>
  <si>
    <t>T-00069-5031</t>
  </si>
  <si>
    <t>PS5-60-BI-0016F-CCO4</t>
  </si>
  <si>
    <t>Cable FROM PS5-60-IE-0001F TO PS5-60-BI-0016F</t>
  </si>
  <si>
    <t>T-00069-5032</t>
  </si>
  <si>
    <t>PS5-60-BI-0016G-CC01</t>
  </si>
  <si>
    <t>Cable FROM PS5-60-IE-0003G TO PS5-60-BI-0016G</t>
  </si>
  <si>
    <t>T-00069-5033</t>
  </si>
  <si>
    <t>PS5-60-BI-0016G-CC02</t>
  </si>
  <si>
    <t>T-00069-5034</t>
  </si>
  <si>
    <t>PS5-60-BI-0016G-CC03</t>
  </si>
  <si>
    <t>T-00069-5035</t>
  </si>
  <si>
    <t>PS5-60-BI-0016G-CCO4</t>
  </si>
  <si>
    <t>Cable FROM PS5-60-IE-0001G TO PS5-60-BI-0016G</t>
  </si>
  <si>
    <t>T-00069-5036</t>
  </si>
  <si>
    <t>PS5-60-BI-0017A-CC02</t>
  </si>
  <si>
    <t>T-00069-5037</t>
  </si>
  <si>
    <t>PS5-60-BI-0017B-CC02</t>
  </si>
  <si>
    <t>T-00069-5038</t>
  </si>
  <si>
    <t>PS5-60-BI-0017C-CC02</t>
  </si>
  <si>
    <t>T-00069-5039</t>
  </si>
  <si>
    <t>PS5-60-BI-0017D-CC02</t>
  </si>
  <si>
    <t>T-00069-5040</t>
  </si>
  <si>
    <t>PS5-60-BI-0017E-CC02</t>
  </si>
  <si>
    <t>T-00069-5041</t>
  </si>
  <si>
    <t>PS5-60-BI-0017F-CC02</t>
  </si>
  <si>
    <t>T-00069-5042</t>
  </si>
  <si>
    <t>PS5-60-BI-0017G-CC02</t>
  </si>
  <si>
    <t>T-00069-5043</t>
  </si>
  <si>
    <t>PS5-60-BI-0019A-CC01</t>
  </si>
  <si>
    <t>Cable FROM PS5-60-IE-0003A TO PS5-60-BI-0019A</t>
  </si>
  <si>
    <t>T-00069-5044</t>
  </si>
  <si>
    <t>PS5-60-BI-0019A-CC02</t>
  </si>
  <si>
    <t>T-00069-5045</t>
  </si>
  <si>
    <t>PS5-60-BI-0019B-CC01</t>
  </si>
  <si>
    <t>Cable FROM PS5-60-IE-0003B TO PS5-60-BI-0019B</t>
  </si>
  <si>
    <t>T-00069-5046</t>
  </si>
  <si>
    <t>PS5-60-BI-0019B-CC02</t>
  </si>
  <si>
    <t>T-00069-5047</t>
  </si>
  <si>
    <t>PS5-60-BI-0019C-CC01</t>
  </si>
  <si>
    <t>Cable FROM PS5-60-IE-0003C TO PS5-60-BI-0019C</t>
  </si>
  <si>
    <t>T-00069-5048</t>
  </si>
  <si>
    <t>PS5-60-BI-0019C-CC02</t>
  </si>
  <si>
    <t>T-00069-5049</t>
  </si>
  <si>
    <t>PS5-60-BI-0019D-CC01</t>
  </si>
  <si>
    <t>Cable FROM PS5-60-IE-0003D TO PS5-60-BI-0019D</t>
  </si>
  <si>
    <t>T-00069-5050</t>
  </si>
  <si>
    <t>PS5-60-BI-0019D-CC02</t>
  </si>
  <si>
    <t>T-00069-5051</t>
  </si>
  <si>
    <t>PS5-60-BI-0019E-CC01</t>
  </si>
  <si>
    <t>Cable FROM PS5-60-IE-0003E TO PS5-60-BI-0019E</t>
  </si>
  <si>
    <t>T-00069-5052</t>
  </si>
  <si>
    <t>PS5-60-BI-0019E-CC02</t>
  </si>
  <si>
    <t>T-00069-5053</t>
  </si>
  <si>
    <t>PS5-60-BI-0019F-CC01</t>
  </si>
  <si>
    <t>Cable FROM PS5-60-IE-0003F TO PS5-60-BI-0019F</t>
  </si>
  <si>
    <t>T-00069-5054</t>
  </si>
  <si>
    <t>PS5-60-BI-0019F-CC02</t>
  </si>
  <si>
    <t>T-00069-5055</t>
  </si>
  <si>
    <t>PS5-60-BI-0019G-CC01</t>
  </si>
  <si>
    <t>Cable FROM PS5-60-IE-0003G TO PS5-60-BI-0019G</t>
  </si>
  <si>
    <t>T-00069-5056</t>
  </si>
  <si>
    <t>PS5-60-BI-0019G-CC02</t>
  </si>
  <si>
    <t>T-00069-5057</t>
  </si>
  <si>
    <t>PS5-60-IE-0002B-CC05</t>
  </si>
  <si>
    <t>Cable FROM PS5-60-IE-0002A TO PS5-60-IE-0002B</t>
  </si>
  <si>
    <t>T-00069-5058</t>
  </si>
  <si>
    <t>PS5-60-IE-0002C-CC05</t>
  </si>
  <si>
    <t>Cable FROM PS5-60-IE-0002B TO PS5-60-IE-0002C</t>
  </si>
  <si>
    <t>T-00069-5059</t>
  </si>
  <si>
    <t>PS5-60-IE-0002D-CC05</t>
  </si>
  <si>
    <t>Cable FROM PS5-60-IE-0002C TO PS5-60-IE-0002D</t>
  </si>
  <si>
    <t>T-00069-5060</t>
  </si>
  <si>
    <t>PS5-60-IE-0002E-CC05</t>
  </si>
  <si>
    <t>Cable FROM PS5-60-IE-0002D TO PS5-60-IE-0002E</t>
  </si>
  <si>
    <t>T-00069-5061</t>
  </si>
  <si>
    <t>PS5-60-IE-0002F-CC05</t>
  </si>
  <si>
    <t>Cable FROM PS5-60-IE-0002E TO PS5-60-IE-0002F</t>
  </si>
  <si>
    <t>T-00069-5062</t>
  </si>
  <si>
    <t>PS5-60-IE-0002G-CC05</t>
  </si>
  <si>
    <t>Cable FROM PS5-60-IE-0002F TO PS5-60-IE-0002G</t>
  </si>
  <si>
    <t>T-00069-5063</t>
  </si>
  <si>
    <t>PS5-60-IE-0003A-CC01</t>
  </si>
  <si>
    <t>Cable FROM PS5-60-IE-0001A TO PS5-60-IE-0003A</t>
  </si>
  <si>
    <t>T-00069-5064</t>
  </si>
  <si>
    <t>PS5-60-IE-0003A-CC02</t>
  </si>
  <si>
    <t>T-00069-5065</t>
  </si>
  <si>
    <t>PS5-60-IE-0003A-CC03</t>
  </si>
  <si>
    <t>T-00069-5066</t>
  </si>
  <si>
    <t>PS5-60-IE-0003A-CC04</t>
  </si>
  <si>
    <t>T-00069-5067</t>
  </si>
  <si>
    <t>PS5-60-IE-0003A-CC05</t>
  </si>
  <si>
    <t>T-00069-5068</t>
  </si>
  <si>
    <t>PS5-60-IE-0003A-CC06</t>
  </si>
  <si>
    <t>T-00069-5069</t>
  </si>
  <si>
    <t>PS5-60-IE-0003A-CC07</t>
  </si>
  <si>
    <t>T-00069-5070</t>
  </si>
  <si>
    <t>PS5-60-IE-0003A-CC08</t>
  </si>
  <si>
    <t>T-00069-5071</t>
  </si>
  <si>
    <t>PS5-60-IE-0003A-CC09</t>
  </si>
  <si>
    <t>T-00069-5072</t>
  </si>
  <si>
    <t>PS5-60-IE-0003A-CC10</t>
  </si>
  <si>
    <t>T-00069-5073</t>
  </si>
  <si>
    <t>PS5-60-IE-0003A-CC11</t>
  </si>
  <si>
    <t>T-00069-5074</t>
  </si>
  <si>
    <t>PS5-60-IE-0003A-CC15</t>
  </si>
  <si>
    <t>T-00069-5075</t>
  </si>
  <si>
    <t>PS5-60-IE-0003A-CC16</t>
  </si>
  <si>
    <t>T-00069-5076</t>
  </si>
  <si>
    <t>PS5-60-IE-0003A-CC17</t>
  </si>
  <si>
    <t>PS5-60-IE-0003A-CC21</t>
  </si>
  <si>
    <t>Cable FROM PS5-04-PMC-0004 TO PS5-60-IE-0003A</t>
  </si>
  <si>
    <t>PS5-60-IE-0003A-CC22</t>
  </si>
  <si>
    <t>Cable FROM PS5-04-PMC-0005 TO PS5-60-IE-0003A</t>
  </si>
  <si>
    <t>PS5-60-IE-0003A-CC23</t>
  </si>
  <si>
    <t>Cable FROM PS5-03-SFMC-0003 TO PS5-60-IE-0003A</t>
  </si>
  <si>
    <t>PS5-60-IE-0003A-CC24</t>
  </si>
  <si>
    <t>Cable FROM PS5-03-SFMC-0005 TO PS5-60-IE-0003A</t>
  </si>
  <si>
    <t>T-00069-5081</t>
  </si>
  <si>
    <t>PS5-60-IE-0003A-CC25</t>
  </si>
  <si>
    <t>Cable FROM PS5-60-TX-41100A TO PS5-60-IE-0003A</t>
  </si>
  <si>
    <t>T-00069-5082</t>
  </si>
  <si>
    <t>PS5-60-IE-0003A-CC26</t>
  </si>
  <si>
    <t>Cable FROM PS5-60-TX-41100B TO PS5-60-IE-0003A</t>
  </si>
  <si>
    <t>T-00069-5083</t>
  </si>
  <si>
    <t>PS5-60-IE-0003B-CC01</t>
  </si>
  <si>
    <t>Cable FROM PS5-60-IE-0001B TO PS5-60-IE-0003B</t>
  </si>
  <si>
    <t>T-00069-5084</t>
  </si>
  <si>
    <t>PS5-60-IE-0003B-CC02</t>
  </si>
  <si>
    <t>T-00069-5085</t>
  </si>
  <si>
    <t>PS5-60-IE-0003B-CC03</t>
  </si>
  <si>
    <t>T-00069-5086</t>
  </si>
  <si>
    <t>PS5-60-IE-0003B-CC04</t>
  </si>
  <si>
    <t>T-00069-5087</t>
  </si>
  <si>
    <t>PS5-60-IE-0003B-CC05</t>
  </si>
  <si>
    <t>T-00069-5088</t>
  </si>
  <si>
    <t>PS5-60-IE-0003B-CC06</t>
  </si>
  <si>
    <t>T-00069-5089</t>
  </si>
  <si>
    <t>PS5-60-IE-0003B-CC07</t>
  </si>
  <si>
    <t>T-00069-5090</t>
  </si>
  <si>
    <t>PS5-60-IE-0003B-CC08</t>
  </si>
  <si>
    <t>T-00069-5091</t>
  </si>
  <si>
    <t>PS5-60-IE-0003B-CC09</t>
  </si>
  <si>
    <t>T-00069-5092</t>
  </si>
  <si>
    <t>PS5-60-IE-0003B-CC10</t>
  </si>
  <si>
    <t>T-00069-5093</t>
  </si>
  <si>
    <t>PS5-60-IE-0003B-CC11</t>
  </si>
  <si>
    <t>T-00069-5094</t>
  </si>
  <si>
    <t>PS5-60-IE-0003B-CC15</t>
  </si>
  <si>
    <t>T-00069-5095</t>
  </si>
  <si>
    <t>PS5-60-IE-0003B-CC16</t>
  </si>
  <si>
    <t>T-00069-5096</t>
  </si>
  <si>
    <t>PS5-60-IE-0003B-CC17</t>
  </si>
  <si>
    <t>PS5-60-IE-0003B-CC21</t>
  </si>
  <si>
    <t>Cable FROM PS5-04-PMC-0004 TO PS5-60-IE-0003B</t>
  </si>
  <si>
    <t>PS5-60-IE-0003B-CC22</t>
  </si>
  <si>
    <t>Cable FROM PS5-04-PMC-0005 TO PS5-60-IE-0003B</t>
  </si>
  <si>
    <t>PS5-60-IE-0003B-CC23</t>
  </si>
  <si>
    <t>Cable FROM PS5-03-SFMC-0003 TO PS5-60-IE-0003B</t>
  </si>
  <si>
    <t>PS5-60-IE-0003B-CC24</t>
  </si>
  <si>
    <t>Cable FROM PS5-03-SFMC-0005 TO PS5-60-IE-0003B</t>
  </si>
  <si>
    <t>T-00069-5101</t>
  </si>
  <si>
    <t>PS5-60-IE-0003B-CC25</t>
  </si>
  <si>
    <t>Cable FROM PS5-60-TX-41200A TO PS5-60-IE-0003B</t>
  </si>
  <si>
    <t>T-00069-5102</t>
  </si>
  <si>
    <t>PS5-60-IE-0003B-CC26</t>
  </si>
  <si>
    <t>Cable FROM PS5-60-TX-41200B TO PS5-60-IE-0003B</t>
  </si>
  <si>
    <t>T-00069-5103</t>
  </si>
  <si>
    <t>PS5-60-IE-0003C-CC01</t>
  </si>
  <si>
    <t>Cable FROM PS5-60-IE-0001C TO PS5-60-IE-0003C</t>
  </si>
  <si>
    <t>T-00069-5104</t>
  </si>
  <si>
    <t>PS5-60-IE-0003C-CC02</t>
  </si>
  <si>
    <t>T-00069-5105</t>
  </si>
  <si>
    <t>PS5-60-IE-0003C-CC03</t>
  </si>
  <si>
    <t>T-00069-5106</t>
  </si>
  <si>
    <t>PS5-60-IE-0003C-CC04</t>
  </si>
  <si>
    <t>T-00069-5107</t>
  </si>
  <si>
    <t>PS5-60-IE-0003C-CC05</t>
  </si>
  <si>
    <t>T-00069-5108</t>
  </si>
  <si>
    <t>PS5-60-IE-0003C-CC06</t>
  </si>
  <si>
    <t>T-00069-5109</t>
  </si>
  <si>
    <t>PS5-60-IE-0003C-CC07</t>
  </si>
  <si>
    <t>T-00069-5110</t>
  </si>
  <si>
    <t>PS5-60-IE-0003C-CC08</t>
  </si>
  <si>
    <t>T-00069-5111</t>
  </si>
  <si>
    <t>PS5-60-IE-0003C-CC09</t>
  </si>
  <si>
    <t>T-00069-5112</t>
  </si>
  <si>
    <t>PS5-60-IE-0003C-CC10</t>
  </si>
  <si>
    <t>T-00069-5113</t>
  </si>
  <si>
    <t>PS5-60-IE-0003C-CC11</t>
  </si>
  <si>
    <t>T-00069-5114</t>
  </si>
  <si>
    <t>PS5-60-IE-0003C-CC15</t>
  </si>
  <si>
    <t>T-00069-5115</t>
  </si>
  <si>
    <t>PS5-60-IE-0003C-CC16</t>
  </si>
  <si>
    <t>T-00069-5116</t>
  </si>
  <si>
    <t>PS5-60-IE-0003C-CC17</t>
  </si>
  <si>
    <t>PS5-60-IE-0003C-CC21</t>
  </si>
  <si>
    <t>Cable FROM PS5-04-PMC-0004 TO PS5-60-IE-0003C</t>
  </si>
  <si>
    <t>PS5-60-IE-0003C-CC22</t>
  </si>
  <si>
    <t>Cable FROM PS5-04-PMC-0005 TO PS5-60-IE-0003C</t>
  </si>
  <si>
    <t>PS5-60-IE-0003C-CC23</t>
  </si>
  <si>
    <t>Cable FROM PS5-03-SFMC-0003 TO PS5-60-IE-0003C</t>
  </si>
  <si>
    <t>PS5-60-IE-0003C-CC24</t>
  </si>
  <si>
    <t>Cable FROM PS5-03-SFMC-0006 TO PS5-60-IE-0003C</t>
  </si>
  <si>
    <t>T-00069-5121</t>
  </si>
  <si>
    <t>PS5-60-IE-0003C-CC25</t>
  </si>
  <si>
    <t>Cable FROM PS5-60-TX-41300A TO PS5-60-IE-0003C</t>
  </si>
  <si>
    <t>T-00069-5122</t>
  </si>
  <si>
    <t>PS5-60-IE-0003C-CC26</t>
  </si>
  <si>
    <t>Cable FROM PS5-60-TX-41300B TO PS5-60-IE-0003C</t>
  </si>
  <si>
    <t>T-00069-5123</t>
  </si>
  <si>
    <t>PS5-60-IE-0003D-CC01</t>
  </si>
  <si>
    <t>Cable FROM PS5-60-IE-0001D TO PS5-60-IE-0003D</t>
  </si>
  <si>
    <t>T-00069-5124</t>
  </si>
  <si>
    <t>PS5-60-IE-0003D-CC02</t>
  </si>
  <si>
    <t>T-00069-5125</t>
  </si>
  <si>
    <t>PS5-60-IE-0003D-CC03</t>
  </si>
  <si>
    <t>T-00069-5126</t>
  </si>
  <si>
    <t>PS5-60-IE-0003D-CC04</t>
  </si>
  <si>
    <t>T-00069-5127</t>
  </si>
  <si>
    <t>PS5-60-IE-0003D-CC05</t>
  </si>
  <si>
    <t>T-00069-5128</t>
  </si>
  <si>
    <t>PS5-60-IE-0003D-CC06</t>
  </si>
  <si>
    <t>T-00069-5129</t>
  </si>
  <si>
    <t>PS5-60-IE-0003D-CC07</t>
  </si>
  <si>
    <t>T-00069-5130</t>
  </si>
  <si>
    <t>PS5-60-IE-0003D-CC08</t>
  </si>
  <si>
    <t>T-00069-5131</t>
  </si>
  <si>
    <t>PS5-60-IE-0003D-CC09</t>
  </si>
  <si>
    <t>T-00069-5132</t>
  </si>
  <si>
    <t>PS5-60-IE-0003D-CC10</t>
  </si>
  <si>
    <t>T-00069-5133</t>
  </si>
  <si>
    <t>PS5-60-IE-0003D-CC11</t>
  </si>
  <si>
    <t>T-00069-5134</t>
  </si>
  <si>
    <t>PS5-60-IE-0003D-CC15</t>
  </si>
  <si>
    <t>T-00069-5135</t>
  </si>
  <si>
    <t>PS5-60-IE-0003D-CC16</t>
  </si>
  <si>
    <t>T-00069-5136</t>
  </si>
  <si>
    <t>PS5-60-IE-0003D-CC17</t>
  </si>
  <si>
    <t>PS5-60-IE-0003D-CC21</t>
  </si>
  <si>
    <t>Cable FROM PS5-04-PMC-0004 TO PS5-60-IE-0003D</t>
  </si>
  <si>
    <t>PS5-60-IE-0003D-CC22</t>
  </si>
  <si>
    <t>Cable FROM PS5-04-PMC-0005 TO PS5-60-IE-0003D</t>
  </si>
  <si>
    <t>PS5-60-IE-0003D-CC23</t>
  </si>
  <si>
    <t>Cable FROM PS5-03-SFMC-0003 TO PS5-60-IE-0003D</t>
  </si>
  <si>
    <t>PS5-60-IE-0003D-CC24</t>
  </si>
  <si>
    <t>Cable FROM PS5-03-SFMC-0005 TO PS5-60-IE-0003D</t>
  </si>
  <si>
    <t>T-00069-5141</t>
  </si>
  <si>
    <t>PS5-60-IE-0003D-CC25</t>
  </si>
  <si>
    <t>Cable FROM PS5-60-TX-41400A TO PS5-60-IE-0003D</t>
  </si>
  <si>
    <t>T-00069-5142</t>
  </si>
  <si>
    <t>PS5-60-IE-0003D-CC26</t>
  </si>
  <si>
    <t>Cable FROM PS5-60-TX-41400B TO PS5-60-IE-0003D</t>
  </si>
  <si>
    <t>T-00069-5143</t>
  </si>
  <si>
    <t>PS5-60-IE-0003E-CC01</t>
  </si>
  <si>
    <t>Cable FROM PS5-60-IE-0001E TO PS5-60-IE-0003E</t>
  </si>
  <si>
    <t>T-00069-5144</t>
  </si>
  <si>
    <t>PS5-60-IE-0003E-CC02</t>
  </si>
  <si>
    <t>T-00069-5145</t>
  </si>
  <si>
    <t>PS5-60-IE-0003E-CC03</t>
  </si>
  <si>
    <t>T-00069-5146</t>
  </si>
  <si>
    <t>PS5-60-IE-0003E-CC04</t>
  </si>
  <si>
    <t>T-00069-5147</t>
  </si>
  <si>
    <t>PS5-60-IE-0003E-CC05</t>
  </si>
  <si>
    <t>Cable FROM PS5-60-IE-0001E TO PS5-60-IE-0003F</t>
  </si>
  <si>
    <t>T-00069-5148</t>
  </si>
  <si>
    <t>PS5-60-IE-0003E-CC06</t>
  </si>
  <si>
    <t>T-00069-5149</t>
  </si>
  <si>
    <t>PS5-60-IE-0003E-CC07</t>
  </si>
  <si>
    <t>T-00069-5150</t>
  </si>
  <si>
    <t>PS5-60-IE-0003E-CC08</t>
  </si>
  <si>
    <t>T-00069-5151</t>
  </si>
  <si>
    <t>PS5-60-IE-0003E-CC09</t>
  </si>
  <si>
    <t>T-00069-5152</t>
  </si>
  <si>
    <t>PS5-60-IE-0003E-CC10</t>
  </si>
  <si>
    <t>T-00069-5153</t>
  </si>
  <si>
    <t>PS5-60-IE-0003E-CC11</t>
  </si>
  <si>
    <t>T-00069-5154</t>
  </si>
  <si>
    <t>PS5-60-IE-0003E-CC15</t>
  </si>
  <si>
    <t>T-00069-5155</t>
  </si>
  <si>
    <t>PS5-60-IE-0003E-CC16</t>
  </si>
  <si>
    <t>T-00069-5156</t>
  </si>
  <si>
    <t>PS5-60-IE-0003E-CC17</t>
  </si>
  <si>
    <t>PS5-60-IE-0003E-CC21</t>
  </si>
  <si>
    <t>Cable FROM PS5-04-PMC-0004 TO PS5-60-IE-0003E</t>
  </si>
  <si>
    <t>PS5-60-IE-0003E-CC22</t>
  </si>
  <si>
    <t>Cable FROM PS5-04-PMC-0005 TO PS5-60-IE-0003E</t>
  </si>
  <si>
    <t>PS5-60-IE-0003E-CC23</t>
  </si>
  <si>
    <t>Cable FROM PS5-03-SFMC-0003 TO PS5-60-IE-0003E</t>
  </si>
  <si>
    <t>PS5-60-IE-0003E-CC24</t>
  </si>
  <si>
    <t>Cable FROM PS5-03-SFMC-0005 TO PS5-60-IE-0003E</t>
  </si>
  <si>
    <t>T-00069-5161</t>
  </si>
  <si>
    <t>PS5-60-IE-0003E-CC25</t>
  </si>
  <si>
    <t>Cable FROM PS5-60-TX-41500A TO PS5-60-IE-0003E</t>
  </si>
  <si>
    <t>T-00069-5162</t>
  </si>
  <si>
    <t>PS5-60-IE-0003E-CC26</t>
  </si>
  <si>
    <t>Cable FROM PS5-60-TX-41500B TO PS5-60-IE-0003E</t>
  </si>
  <si>
    <t>T-00069-5163</t>
  </si>
  <si>
    <t>PS5-60-IE-0003F-CC01</t>
  </si>
  <si>
    <t>Cable FROM PS5-60-IF-0001F TO PS5-60-IF-0003F</t>
  </si>
  <si>
    <t>T-00069-5164</t>
  </si>
  <si>
    <t>PS5-60-IE-0003F-CC02</t>
  </si>
  <si>
    <t>T-00069-5165</t>
  </si>
  <si>
    <t>PS5-60-IE-0003F-CC03</t>
  </si>
  <si>
    <t>Cable FROM PS5-60-IE-0001F TO PS5-60-IE-0003F</t>
  </si>
  <si>
    <t>T-00069-5166</t>
  </si>
  <si>
    <t>PS5-60-IE-0003F-CC04</t>
  </si>
  <si>
    <t>T-00069-5167</t>
  </si>
  <si>
    <t>PS5-60-IE-0003F-CC05</t>
  </si>
  <si>
    <t>Cable FROM PS5-60-IE-0001F TO PS5-60-IE-0003G</t>
  </si>
  <si>
    <t>T-00069-5168</t>
  </si>
  <si>
    <t>PS5-60-IE-0003F-CC06</t>
  </si>
  <si>
    <t>T-00069-5169</t>
  </si>
  <si>
    <t>PS5-60-IE-0003F-CC07</t>
  </si>
  <si>
    <t>T-00069-5170</t>
  </si>
  <si>
    <t>PS5-60-IE-0003F-CC08</t>
  </si>
  <si>
    <t>T-00069-5171</t>
  </si>
  <si>
    <t>PS5-60-IE-0003F-CC09</t>
  </si>
  <si>
    <t>T-00069-5172</t>
  </si>
  <si>
    <t>PS5-60-IE-0003F-CC10</t>
  </si>
  <si>
    <t>T-00069-5173</t>
  </si>
  <si>
    <t>PS5-60-IE-0003F-CC11</t>
  </si>
  <si>
    <t>T-00069-5174</t>
  </si>
  <si>
    <t>PS5-60-IE-0003F-CC15</t>
  </si>
  <si>
    <t>T-00069-5175</t>
  </si>
  <si>
    <t>PS5-60-IE-0003F-CC16</t>
  </si>
  <si>
    <t>T-00069-5176</t>
  </si>
  <si>
    <t>PS5-60-IE-0003F-CC17</t>
  </si>
  <si>
    <t>PS5-60-IE-0003F-CC21</t>
  </si>
  <si>
    <t>Cable FROM PS5-04-PMC-0004 TO PS5-60-IE-0003F</t>
  </si>
  <si>
    <t>PS5-60-IE-0003F-CC22</t>
  </si>
  <si>
    <t>Cable FROM PS5-04-PMC-0005 TO PS5-60-IE-0003F</t>
  </si>
  <si>
    <t>PS5-60-IE-0003F-CC23</t>
  </si>
  <si>
    <t>Cable FROM PS5-03-SFMC-0004 TO PS5-60-IE-0003F</t>
  </si>
  <si>
    <t>PS5-60-IE-0003F-CC24</t>
  </si>
  <si>
    <t>Cable FROM PS5-03-SFMC-0006 TO PS5-60-IE-0003F</t>
  </si>
  <si>
    <t>T-00069-5181</t>
  </si>
  <si>
    <t>PS5-60-IE-0003F-CC25</t>
  </si>
  <si>
    <t>Cable FROM PS5-60-TX-41600A TO PS5-60-IE-0003F</t>
  </si>
  <si>
    <t>T-00069-5182</t>
  </si>
  <si>
    <t>PS5-60-IE-0003F-CC26</t>
  </si>
  <si>
    <t>Cable FROM PS5-60-TX-41600B TO PS5-60-IE-0003F</t>
  </si>
  <si>
    <t>T-00069-5183</t>
  </si>
  <si>
    <t>PS5-60-IE-0003G-CC01</t>
  </si>
  <si>
    <t>Cable FROM PS5-60-IG-0001G TO PS5-60-IG-0003G</t>
  </si>
  <si>
    <t>T-00069-5184</t>
  </si>
  <si>
    <t>PS5-60-IE-0003G-CC02</t>
  </si>
  <si>
    <t>T-00069-5185</t>
  </si>
  <si>
    <t>PS5-60-IE-0003G-CC03</t>
  </si>
  <si>
    <t>Cable FROM PS5-60-IE-0001G TO PS5-60-IE-0003G</t>
  </si>
  <si>
    <t>T-00069-5186</t>
  </si>
  <si>
    <t>PS5-60-IE-0003G-CC04</t>
  </si>
  <si>
    <t>T-00069-5187</t>
  </si>
  <si>
    <t>PS5-60-IE-0003G-CC05</t>
  </si>
  <si>
    <t>Cable FROM PS5-60-IE-0001G TO PS5-60-IE-0003H</t>
  </si>
  <si>
    <t>T-00069-5188</t>
  </si>
  <si>
    <t>PS5-60-IE-0003G-CC06</t>
  </si>
  <si>
    <t>T-00069-5189</t>
  </si>
  <si>
    <t>PS5-60-IE-0003G-CC07</t>
  </si>
  <si>
    <t>T-00069-5190</t>
  </si>
  <si>
    <t>PS5-60-IE-0003G-CC08</t>
  </si>
  <si>
    <t>T-00069-5191</t>
  </si>
  <si>
    <t>PS5-60-IE-0003G-CC09</t>
  </si>
  <si>
    <t>T-00069-5192</t>
  </si>
  <si>
    <t>PS5-60-IE-0003G-CC10</t>
  </si>
  <si>
    <t>T-00069-5193</t>
  </si>
  <si>
    <t>PS5-60-IE-0003G-CC11</t>
  </si>
  <si>
    <t>T-00069-5194</t>
  </si>
  <si>
    <t>PS5-60-IE-0003G-CC15</t>
  </si>
  <si>
    <t>T-00069-5195</t>
  </si>
  <si>
    <t>PS5-60-IE-0003G-CC16</t>
  </si>
  <si>
    <t>T-00069-5196</t>
  </si>
  <si>
    <t>PS5-60-IE-0003G-CC17</t>
  </si>
  <si>
    <t>PS5-60-IE-0003G-CC21</t>
  </si>
  <si>
    <t>Cable FROM PS5-04-PMC-0004 TO PS5-60-IE-0003G</t>
  </si>
  <si>
    <t>PS5-60-IE-0003G-CC22</t>
  </si>
  <si>
    <t>Cable FROM PS5-04-PMC-0005 TO PS5-60-IE-0003G</t>
  </si>
  <si>
    <t>PS5-60-IE-0003G-CC23</t>
  </si>
  <si>
    <t>Cable FROM PS5-03-SFMC-0004 TO PS5-60-IE-0003G</t>
  </si>
  <si>
    <t>PS5-60-IE-0003G-CC24</t>
  </si>
  <si>
    <t>Cable FROM PS5-03-SFMC-0006 TO PS5-60-IE-0003G</t>
  </si>
  <si>
    <t>T-00069-5201</t>
  </si>
  <si>
    <t>PS5-60-IE-0003G-CC25</t>
  </si>
  <si>
    <t>Cable FROM PS5-60-TX-41700A TO PS5-60-IE-0003G</t>
  </si>
  <si>
    <t>T-00069-5202</t>
  </si>
  <si>
    <t>PS5-60-IE-0003G-CC26</t>
  </si>
  <si>
    <t>Cable FROM PS5-60-TX-41700B TO PS5-60-IE-0003G</t>
  </si>
  <si>
    <t>T-00069-5203</t>
  </si>
  <si>
    <t>PS5-60-IE-0004-CC01</t>
  </si>
  <si>
    <t>Cable FROM PS5-60-IE-0003A TO PS5-60-IE-0004</t>
  </si>
  <si>
    <t>T-00069-5204</t>
  </si>
  <si>
    <t>PS5-60-IE-0004-CC02</t>
  </si>
  <si>
    <t>Cable FROM PS5-60-IE-0003B TO PS5-60-IE-0004</t>
  </si>
  <si>
    <t>T-00069-5205</t>
  </si>
  <si>
    <t>PS5-60-IE-0004-CC03</t>
  </si>
  <si>
    <t>Cable FROM PS5-60-IE-0003C TO PS5-60-IE-0004</t>
  </si>
  <si>
    <t>T-00069-5206</t>
  </si>
  <si>
    <t>PS5-60-IE-0004-CC04</t>
  </si>
  <si>
    <t>Cable FROM PS5-60-IE-0003D TO PS5-60-IE-0004</t>
  </si>
  <si>
    <t>T-00069-5207</t>
  </si>
  <si>
    <t>PS5-60-IE-0004-CC05</t>
  </si>
  <si>
    <t>Cable FROM PS5-60-IE-0003E TO PS5-60-IE-0004</t>
  </si>
  <si>
    <t>T-00069-5208</t>
  </si>
  <si>
    <t>PS5-60-IE-0004-CC06</t>
  </si>
  <si>
    <t>Cable FROM PS5-60-IE-0003F TO PS5-60-IE-0004</t>
  </si>
  <si>
    <t>T-00069-5209</t>
  </si>
  <si>
    <t>PS5-60-IE-0004-CC07</t>
  </si>
  <si>
    <t>Cable FROM PS5-60-IE-0003G TO PS5-60-IE-0004</t>
  </si>
  <si>
    <t>PS5-60-IE-0004-CC08</t>
  </si>
  <si>
    <t>Cable FROM PS5-04-PMC-0004 TO PS5-60-IE-0004</t>
  </si>
  <si>
    <t>PS5-60-IE-0004-CC11</t>
  </si>
  <si>
    <t>Cable FROM PS5-03-SFMC-0004 TO PS5-60-IE-0004</t>
  </si>
  <si>
    <t>PS5-60-IE-0004-CC12</t>
  </si>
  <si>
    <t>Cable FROM PS5-03-SFMC-0005 TO PS5-60-IE-0004</t>
  </si>
  <si>
    <t>T-00069-5213</t>
  </si>
  <si>
    <t>PS5-60-IN-0001A-CC01</t>
  </si>
  <si>
    <t>Cable FROM PS5-60-IE-0003A TO PS5-60-IN-0001A</t>
  </si>
  <si>
    <t>T-00069-5214</t>
  </si>
  <si>
    <t>PS5-60-IN-0001A-CC02</t>
  </si>
  <si>
    <t>T-00069-5215</t>
  </si>
  <si>
    <t>PS5-60-IN-0001A-CC03</t>
  </si>
  <si>
    <t>T-00069-5216</t>
  </si>
  <si>
    <t>PS5-60-IN-0001A-CC04</t>
  </si>
  <si>
    <t>T-00069-5217</t>
  </si>
  <si>
    <t>PS5-60-IN-0001B-CC01</t>
  </si>
  <si>
    <t>Cable FROM PS5-60-IE-0003B TO PS5-60-IN-0001B</t>
  </si>
  <si>
    <t>T-00069-5218</t>
  </si>
  <si>
    <t>PS5-60-IN-0001B-CC02</t>
  </si>
  <si>
    <t>T-00069-5219</t>
  </si>
  <si>
    <t>PS5-60-IN-0001B-CC03</t>
  </si>
  <si>
    <t>T-00069-5220</t>
  </si>
  <si>
    <t>PS5-60-IN-0001B-CC04</t>
  </si>
  <si>
    <t>T-00069-5221</t>
  </si>
  <si>
    <t>PS5-60-IN-0001C-CC01</t>
  </si>
  <si>
    <t>Cable FROM PS5-60-IE-0003C TO PS5-60-IN-0001C</t>
  </si>
  <si>
    <t>T-00069-5222</t>
  </si>
  <si>
    <t>PS5-60-IN-0001C-CC02</t>
  </si>
  <si>
    <t>T-00069-5223</t>
  </si>
  <si>
    <t>PS5-60-IN-0001C-CC03</t>
  </si>
  <si>
    <t>T-00069-5224</t>
  </si>
  <si>
    <t>PS5-60-IN-0001C-CC04</t>
  </si>
  <si>
    <t>T-00069-5225</t>
  </si>
  <si>
    <t>PS5-60-IN-0001D-CC01</t>
  </si>
  <si>
    <t>Cable FROM PS5-60-IE-0003D TO PS5-60-IN-0001D</t>
  </si>
  <si>
    <t>T-00069-5226</t>
  </si>
  <si>
    <t>PS5-60-IN-0001D-CC02</t>
  </si>
  <si>
    <t>T-00069-5227</t>
  </si>
  <si>
    <t>PS5-60-IN-0001D-CC03</t>
  </si>
  <si>
    <t>T-00069-5228</t>
  </si>
  <si>
    <t>PS5-60-IN-0001D-CC04</t>
  </si>
  <si>
    <t>T-00069-5229</t>
  </si>
  <si>
    <t>PS5-60-IN-0001E-CC01</t>
  </si>
  <si>
    <t>Cable FROM PS5-60-IE-0003E TO PS5-60-IN-0001E</t>
  </si>
  <si>
    <t>T-00069-5230</t>
  </si>
  <si>
    <t>PS5-60-IN-0001E-CC02</t>
  </si>
  <si>
    <t>T-00069-5231</t>
  </si>
  <si>
    <t>PS5-60-IN-0001E-CC03</t>
  </si>
  <si>
    <t>T-00069-5232</t>
  </si>
  <si>
    <t>PS5-60-IN-0001E-CC04</t>
  </si>
  <si>
    <t>T-00069-5233</t>
  </si>
  <si>
    <t>PS5-60-IN-0001F-CC01</t>
  </si>
  <si>
    <t>Cable FROM PS5-60-IE-0003F TO PS5-60-IN-0001F</t>
  </si>
  <si>
    <t>T-00069-5234</t>
  </si>
  <si>
    <t>PS5-60-IN-0001F-CC02</t>
  </si>
  <si>
    <t>T-00069-5235</t>
  </si>
  <si>
    <t>PS5-60-IN-0001F-CC03</t>
  </si>
  <si>
    <t>T-00069-5236</t>
  </si>
  <si>
    <t>PS5-60-IN-0001F-CC04</t>
  </si>
  <si>
    <t>T-00069-5237</t>
  </si>
  <si>
    <t>PS5-60-IN-0001G-CC01</t>
  </si>
  <si>
    <t>Cable FROM PS5-60-IE-0003G TO PS5-60-IN-0001G</t>
  </si>
  <si>
    <t>T-00069-5238</t>
  </si>
  <si>
    <t>PS5-60-IN-0001G-CC02</t>
  </si>
  <si>
    <t>T-00069-5239</t>
  </si>
  <si>
    <t>PS5-60-IN-0001G-CC03</t>
  </si>
  <si>
    <t>T-00069-5240</t>
  </si>
  <si>
    <t>PS5-60-IN-0001G-CC04</t>
  </si>
  <si>
    <t>T-00069-5241</t>
  </si>
  <si>
    <t>PS5-60-IN-0002A-CC01</t>
  </si>
  <si>
    <t>Cable FROM PS5-60-IE-0003A TO PS5-60-IN-0002A</t>
  </si>
  <si>
    <t>T-00069-5242</t>
  </si>
  <si>
    <t>PS5-60-IN-0002A-CC02</t>
  </si>
  <si>
    <t>T-00069-5243</t>
  </si>
  <si>
    <t>PS5-60-IN-0002A-CC03</t>
  </si>
  <si>
    <t>T-00069-5244</t>
  </si>
  <si>
    <t>PS5-60-IN-0002A-CC04</t>
  </si>
  <si>
    <t>T-00069-5245</t>
  </si>
  <si>
    <t>PS5-60-IN-0002A-CC05</t>
  </si>
  <si>
    <t>T-00069-5246</t>
  </si>
  <si>
    <t>PS5-60-IN-0002A-CC06</t>
  </si>
  <si>
    <t>T-00069-5247</t>
  </si>
  <si>
    <t>PS5-60-IN-0002B-CC01</t>
  </si>
  <si>
    <t>Cable FROM PS5-60-IE-0003B TO PS5-60-IN-0002B</t>
  </si>
  <si>
    <t>T-00069-5248</t>
  </si>
  <si>
    <t>PS5-60-IN-0002B-CC02</t>
  </si>
  <si>
    <t>T-00069-5249</t>
  </si>
  <si>
    <t>PS5-60-IN-0002B-CC03</t>
  </si>
  <si>
    <t>T-00069-5250</t>
  </si>
  <si>
    <t>PS5-60-IN-0002B-CC04</t>
  </si>
  <si>
    <t>T-00069-5251</t>
  </si>
  <si>
    <t>PS5-60-IN-0002B-CC05</t>
  </si>
  <si>
    <t>T-00069-5252</t>
  </si>
  <si>
    <t>PS5-60-IN-0002B-CC06</t>
  </si>
  <si>
    <t>T-00069-5253</t>
  </si>
  <si>
    <t>PS5-60-IN-0002C-CC01</t>
  </si>
  <si>
    <t>Cable FROM PS5-60-IE-0003C TO PS5-60-IN-0002C</t>
  </si>
  <si>
    <t>T-00069-5254</t>
  </si>
  <si>
    <t>PS5-60-IN-0002C-CC02</t>
  </si>
  <si>
    <t>T-00069-5255</t>
  </si>
  <si>
    <t>PS5-60-IN-0002C-CC03</t>
  </si>
  <si>
    <t>T-00069-5256</t>
  </si>
  <si>
    <t>PS5-60-IN-0002C-CC04</t>
  </si>
  <si>
    <t>T-00069-5257</t>
  </si>
  <si>
    <t>PS5-60-IN-0002C-CC05</t>
  </si>
  <si>
    <t>T-00069-5258</t>
  </si>
  <si>
    <t>PS5-60-IN-0002C-CC06</t>
  </si>
  <si>
    <t>T-00069-5259</t>
  </si>
  <si>
    <t>PS5-60-IN-0002D-CC01</t>
  </si>
  <si>
    <t>Cable FROM PS5-60-IE-0003D TO PS5-60-IN-0002D</t>
  </si>
  <si>
    <t>T-00069-5260</t>
  </si>
  <si>
    <t>PS5-60-IN-0002D-CC02</t>
  </si>
  <si>
    <t>T-00069-5261</t>
  </si>
  <si>
    <t>PS5-60-IN-0002D-CC03</t>
  </si>
  <si>
    <t>T-00069-5262</t>
  </si>
  <si>
    <t>PS5-60-IN-0002D-CC04</t>
  </si>
  <si>
    <t>T-00069-5263</t>
  </si>
  <si>
    <t>PS5-60-IN-0002D-CC05</t>
  </si>
  <si>
    <t>T-00069-5264</t>
  </si>
  <si>
    <t>PS5-60-IN-0002D-CC06</t>
  </si>
  <si>
    <t>T-00069-5265</t>
  </si>
  <si>
    <t>PS5-60-IN-0002E-CC01</t>
  </si>
  <si>
    <t>Cable FROM PS5-60-IE-0003E TO PS5-60-IN-0002E</t>
  </si>
  <si>
    <t>T-00069-5266</t>
  </si>
  <si>
    <t>PS5-60-IN-0002E-CC02</t>
  </si>
  <si>
    <t>T-00069-5267</t>
  </si>
  <si>
    <t>PS5-60-IN-0002E-CC03</t>
  </si>
  <si>
    <t>T-00069-5268</t>
  </si>
  <si>
    <t>PS5-60-IN-0002E-CC04</t>
  </si>
  <si>
    <t>T-00069-5269</t>
  </si>
  <si>
    <t>PS5-60-IN-0002E-CC05</t>
  </si>
  <si>
    <t>T-00069-5270</t>
  </si>
  <si>
    <t>PS5-60-IN-0002E-CC06</t>
  </si>
  <si>
    <t>T-00069-5271</t>
  </si>
  <si>
    <t>PS5-60-IN-0002F-CC01</t>
  </si>
  <si>
    <t>Cable FROM PS5-60-IE-0003F TO PS5-60-IN-0002F</t>
  </si>
  <si>
    <t>T-00069-5272</t>
  </si>
  <si>
    <t>PS5-60-IN-0002F-CC02</t>
  </si>
  <si>
    <t>T-00069-5273</t>
  </si>
  <si>
    <t>PS5-60-IN-0002F-CC03</t>
  </si>
  <si>
    <t>T-00069-5274</t>
  </si>
  <si>
    <t>PS5-60-IN-0002F-CC04</t>
  </si>
  <si>
    <t>T-00069-5275</t>
  </si>
  <si>
    <t>PS5-60-IN-0002F-CC05</t>
  </si>
  <si>
    <t>T-00069-5276</t>
  </si>
  <si>
    <t>PS5-60-IN-0002F-CC06</t>
  </si>
  <si>
    <t>T-00069-5277</t>
  </si>
  <si>
    <t>PS5-60-IN-0002G-CC01</t>
  </si>
  <si>
    <t>Cable FROM PS5-60-IE-0003G TO PS5-60-IN-0002G</t>
  </si>
  <si>
    <t>T-00069-5278</t>
  </si>
  <si>
    <t>PS5-60-IN-0002G-CC02</t>
  </si>
  <si>
    <t>T-00069-5279</t>
  </si>
  <si>
    <t>PS5-60-IN-0002G-CC03</t>
  </si>
  <si>
    <t>T-00069-5280</t>
  </si>
  <si>
    <t>PS5-60-IN-0002G-CC04</t>
  </si>
  <si>
    <t>T-00069-5281</t>
  </si>
  <si>
    <t>PS5-60-IN-0002G-CC05</t>
  </si>
  <si>
    <t>T-00069-5282</t>
  </si>
  <si>
    <t>PS5-60-IN-0002G-CC06</t>
  </si>
  <si>
    <t>T-00069-5284</t>
  </si>
  <si>
    <t>PS5-60-LA-0002A-CC01</t>
  </si>
  <si>
    <t>Cable FROM PS5-60-IE-0003A TO PS5-60-LA-0002A</t>
  </si>
  <si>
    <t>T-00069-5285</t>
  </si>
  <si>
    <t>PS5-60-LA-0002A-CC02</t>
  </si>
  <si>
    <t>T-00069-5286</t>
  </si>
  <si>
    <t>PS5-60-LA-0002A-CC03</t>
  </si>
  <si>
    <t>T-00069-5287</t>
  </si>
  <si>
    <t>PS5-60-LA-0002A-CC04</t>
  </si>
  <si>
    <t>Cable FROM PS5-60-IE-0003B TO PS5-60-LA-0002A</t>
  </si>
  <si>
    <t>T-00069-5288</t>
  </si>
  <si>
    <t>PS5-60-LA-0002A-CC05</t>
  </si>
  <si>
    <t>T-00069-5289</t>
  </si>
  <si>
    <t>PS5-60-LA-0002A-CC06</t>
  </si>
  <si>
    <t>T-00069-5290</t>
  </si>
  <si>
    <t>PS5-60-LA-0002A-CC07</t>
  </si>
  <si>
    <t>Cable FROM PS5-60-IE-0003C TO PS5-60-LA-0002A</t>
  </si>
  <si>
    <t>T-00069-5291</t>
  </si>
  <si>
    <t>PS5-60-LA-0002A-CC08</t>
  </si>
  <si>
    <t>T-00069-5292</t>
  </si>
  <si>
    <t>PS5-60-LA-0002A-CC09</t>
  </si>
  <si>
    <t>T-00069-5293</t>
  </si>
  <si>
    <t>PS5-60-LA-0002B-CC01</t>
  </si>
  <si>
    <t>Cable FROM PS5-60-IE-0003D TO PS5-60-LA-0002B</t>
  </si>
  <si>
    <t>T-00069-5294</t>
  </si>
  <si>
    <t>PS5-60-LA-0002B-CC02</t>
  </si>
  <si>
    <t>T-00069-5295</t>
  </si>
  <si>
    <t>PS5-60-LA-0002B-CC03</t>
  </si>
  <si>
    <t>T-00069-5296</t>
  </si>
  <si>
    <t>PS5-60-LA-0002B-CC04</t>
  </si>
  <si>
    <t>Cable FROM PS5-60-IE-0003E TO PS5-60-LA-0002B</t>
  </si>
  <si>
    <t>T-00069-5297</t>
  </si>
  <si>
    <t>PS5-60-LA-0002B-CC05</t>
  </si>
  <si>
    <t>T-00069-5298</t>
  </si>
  <si>
    <t>PS5-60-LA-0002B-CC06</t>
  </si>
  <si>
    <t>T-00069-5299</t>
  </si>
  <si>
    <t>PS5-60-LA-0002C-CC01</t>
  </si>
  <si>
    <t>Cable FROM PS5-60-IE-0003F TO PS5-60-LA-0002C</t>
  </si>
  <si>
    <t>T-00069-5300</t>
  </si>
  <si>
    <t>PS5-60-LA-0002C-CC02</t>
  </si>
  <si>
    <t>T-00069-5301</t>
  </si>
  <si>
    <t>PS5-60-LA-0002C-CC03</t>
  </si>
  <si>
    <t>T-00069-5302</t>
  </si>
  <si>
    <t>PS5-60-LA-0002C-CC04</t>
  </si>
  <si>
    <t>Cable FROM PS5-60-IE-0003G TO PS5-60-LA-0002C</t>
  </si>
  <si>
    <t>T-00069-5303</t>
  </si>
  <si>
    <t>PS5-60-LA-0002C-CC05</t>
  </si>
  <si>
    <t>T-00069-5304</t>
  </si>
  <si>
    <t>PS5-60-LA-0002C-CC06</t>
  </si>
  <si>
    <t>T-00069-5305</t>
  </si>
  <si>
    <t>PS5-60-LA-0003-CC01</t>
  </si>
  <si>
    <t>Cable FROM PS5-60-IE-0004 TO PS5-60-LA-0003</t>
  </si>
  <si>
    <t>T-00069-5316</t>
  </si>
  <si>
    <t>PS5-60-SEA-0001-CC01</t>
  </si>
  <si>
    <t>Cable FROM PS5-60-IE-0003A TO PS5-60-SEA-0001</t>
  </si>
  <si>
    <t>T-00069-5317</t>
  </si>
  <si>
    <t>PS5-60-SEA-0001-CC02</t>
  </si>
  <si>
    <t>Cable FROM PS5-60-IE-0003B TO PS5-60-SEA-0001</t>
  </si>
  <si>
    <t>T-00069-5318</t>
  </si>
  <si>
    <t>PS5-60-SEA-0001-CC03</t>
  </si>
  <si>
    <t>Cable FROM PS5-60-IE-0003C TO PS5-60-SEA-0001</t>
  </si>
  <si>
    <t>T-00069-5319</t>
  </si>
  <si>
    <t>PS5-60-SEA-0001-CC04</t>
  </si>
  <si>
    <t>Cable FROM PS5-60-IE-0003D TO PS5-60-SEA-0001</t>
  </si>
  <si>
    <t>T-00069-5320</t>
  </si>
  <si>
    <t>PS5-60-SEA-0001-CC05</t>
  </si>
  <si>
    <t>Cable FROM PS5-60-IE-0003E TO PS5-60-SEA-0001</t>
  </si>
  <si>
    <t>T-00069-5321</t>
  </si>
  <si>
    <t>PS5-60-SEA-0001-CC06</t>
  </si>
  <si>
    <t>Cable FROM PS5-60-IE-0003F TO PS5-60-SEA-0001</t>
  </si>
  <si>
    <t>T-00069-5322</t>
  </si>
  <si>
    <t>PS5-60-SEA-0001-CC07</t>
  </si>
  <si>
    <t>Cable FROM PS5-60-IE-0003G TO PS5-60-SEA-0001</t>
  </si>
  <si>
    <t>T-00069-5323</t>
  </si>
  <si>
    <t>PS5-60-SEA-0001-CC10</t>
  </si>
  <si>
    <t>Cable FROM PS5-60-IE-0004 TO PS5-60-SEA-0001</t>
  </si>
  <si>
    <t>T-00069-5324</t>
  </si>
  <si>
    <t>PS5-60-SEA-0001-CC11</t>
  </si>
  <si>
    <t>T-00069-5325</t>
  </si>
  <si>
    <t>PS5-60-SEA-0001-CC12</t>
  </si>
  <si>
    <t>T-00069-5326</t>
  </si>
  <si>
    <t>PS5-60-SEA-0001-CC13</t>
  </si>
  <si>
    <t>T-00069-5327</t>
  </si>
  <si>
    <t>PS5-60-SEA-0001-CC14</t>
  </si>
  <si>
    <t>T-00069-5328</t>
  </si>
  <si>
    <t>PS5-60-SEA-0001-CC15</t>
  </si>
  <si>
    <t>T-00069-5329</t>
  </si>
  <si>
    <t>PS5-60-SEA-0001-CC16</t>
  </si>
  <si>
    <t>T-00069-5330</t>
  </si>
  <si>
    <t>PS5-60-SEA-0001-CC17</t>
  </si>
  <si>
    <t>PS5-60-SEA-0001-CC18</t>
  </si>
  <si>
    <t>Cable FROM PS5-03-SFMC-0009 TO PS5-60-SEA-0001</t>
  </si>
  <si>
    <t>T-00069-5339</t>
  </si>
  <si>
    <t>PS5-60-VS-9101A-CC01</t>
  </si>
  <si>
    <t>Cable FROM PS5-60-IE-0003A TO PS5-60-VS-9101A</t>
  </si>
  <si>
    <t>T-00069-5340</t>
  </si>
  <si>
    <t>PS5-60-VS-9101B-CC01</t>
  </si>
  <si>
    <t>Cable FROM PS5-60-IE-0003B TO PS5-60-VS-9101B</t>
  </si>
  <si>
    <t>T-00069-5341</t>
  </si>
  <si>
    <t>PS5-60-VS-9101C-CC01</t>
  </si>
  <si>
    <t>Cable FROM PS5-60-IE-0003C TO PS5-60-VS-9101C</t>
  </si>
  <si>
    <t>T-00069-5342</t>
  </si>
  <si>
    <t>PS5-60-VS-9101D-CC01</t>
  </si>
  <si>
    <t>Cable FROM PS5-60-IE-0003D TO PS5-60-VS-9101D</t>
  </si>
  <si>
    <t>T-00069-5343</t>
  </si>
  <si>
    <t>PS5-60-VS-9101E-CC01</t>
  </si>
  <si>
    <t>Cable FROM PS5-60-IE-0003E TO PS5-60-VS-9101E</t>
  </si>
  <si>
    <t>T-00069-5344</t>
  </si>
  <si>
    <t>PS5-60-VS-9101F-CC01</t>
  </si>
  <si>
    <t>Cable FROM PS5-60-IE-0003F TO PS5-60-VS-9101F</t>
  </si>
  <si>
    <t>T-00069-5345</t>
  </si>
  <si>
    <t>PS5-60-VS-9101G-CC01</t>
  </si>
  <si>
    <t>Cable FROM PS5-60-IE-0003G TO PS5-60-VS-9101G</t>
  </si>
  <si>
    <t>T-00069-5346</t>
  </si>
  <si>
    <t>PS5-61-BI-0001-CC01</t>
  </si>
  <si>
    <t>Cable FROM PS5-60-IE-0003A TO PS5-61-BI-0001</t>
  </si>
  <si>
    <t>T-00069-5347</t>
  </si>
  <si>
    <t>PS5-61-BI-0001-CC02</t>
  </si>
  <si>
    <t>T-00069-5348</t>
  </si>
  <si>
    <t>PS5-61-BI-0001-CC03</t>
  </si>
  <si>
    <t>Cable FROM PS5-61-TE-0003A TO PS5-61-BI-0001</t>
  </si>
  <si>
    <t>T-00069-5349</t>
  </si>
  <si>
    <t>PS5-61-BI-0002-CC01</t>
  </si>
  <si>
    <t>Cable FROM PS5-60-IE-0003B TO PS5-61-BI-0002</t>
  </si>
  <si>
    <t>T-00069-5350</t>
  </si>
  <si>
    <t>PS5-61-BI-0002-CC02</t>
  </si>
  <si>
    <t>T-00069-5351</t>
  </si>
  <si>
    <t>PS5-61-BI-0002-CC03</t>
  </si>
  <si>
    <t>Cable FROM PS5-61-TE-0003B TO PS5-61-BI-0002</t>
  </si>
  <si>
    <t>T-00069-5352</t>
  </si>
  <si>
    <t>PS5-61-BI-0003-CC01</t>
  </si>
  <si>
    <t>Cable FROM PS5-60-IE-0003C TO PS5-61-BI-0003</t>
  </si>
  <si>
    <t>T-00069-5353</t>
  </si>
  <si>
    <t>PS5-61-BI-0003-CC02</t>
  </si>
  <si>
    <t>T-00069-5354</t>
  </si>
  <si>
    <t>PS5-61-BI-0003-CC03</t>
  </si>
  <si>
    <t>Cable FROM PS5-61-TE-0003C TO PS5-61-BI-0003</t>
  </si>
  <si>
    <t>T-00069-5355</t>
  </si>
  <si>
    <t>PS5-61-BI-0004-CC01</t>
  </si>
  <si>
    <t>Cable FROM PS5-60-IE-0003D TO PS5-61-BI-0004</t>
  </si>
  <si>
    <t>T-00069-5356</t>
  </si>
  <si>
    <t>PS5-61-BI-0004-CC02</t>
  </si>
  <si>
    <t>T-00069-5357</t>
  </si>
  <si>
    <t>PS5-61-BI-0004-CC03</t>
  </si>
  <si>
    <t>Cable FROM PS5-61-TE-0003D TO PS5-61-BI-0004</t>
  </si>
  <si>
    <t>T-00069-5358</t>
  </si>
  <si>
    <t>PS5-61-BI-0005-CC01</t>
  </si>
  <si>
    <t>Cable FROM PS5-60-IE-0003E TO PS5-61-BI-0005</t>
  </si>
  <si>
    <t>T-00069-5359</t>
  </si>
  <si>
    <t>PS5-61-BI-0005-CC02</t>
  </si>
  <si>
    <t>T-00069-5360</t>
  </si>
  <si>
    <t>PS5-61-BI-0005-CC03</t>
  </si>
  <si>
    <t>Cable FROM PS5-61-TE-0003E TO PS5-61-BI-0005</t>
  </si>
  <si>
    <t>T-00069-5361</t>
  </si>
  <si>
    <t>PS5-61-BI-0006-CC01</t>
  </si>
  <si>
    <t>Cable FROM PS5-60-IE-0003F TO PS5-61-BI-0006</t>
  </si>
  <si>
    <t>T-00069-5362</t>
  </si>
  <si>
    <t>PS5-61-BI-0006-CC02</t>
  </si>
  <si>
    <t>T-00069-5363</t>
  </si>
  <si>
    <t>PS5-61-BI-0006-CC03</t>
  </si>
  <si>
    <t>Cable FROM PS5-61-TE-0003F TO PS5-61-BI-0006</t>
  </si>
  <si>
    <t>T-00069-5364</t>
  </si>
  <si>
    <t>PS5-61-BI-0007-CC01</t>
  </si>
  <si>
    <t>Cable FROM PS5-60-IE-0003G TO PS5-61-BI-0007</t>
  </si>
  <si>
    <t>T-00069-5365</t>
  </si>
  <si>
    <t>PS5-61-BI-0007-CC02</t>
  </si>
  <si>
    <t>T-00069-5366</t>
  </si>
  <si>
    <t>PS5-61-BI-0007-CC03</t>
  </si>
  <si>
    <t>Cable FROM PS5-61-TE-0003G TO PS5-61-BI-0007</t>
  </si>
  <si>
    <t>T-00069-5378</t>
  </si>
  <si>
    <t>PS5-71-BI-0001A-CC01</t>
  </si>
  <si>
    <t>Cable FROM PS5-71-IN-0004A TO PS5-71-BI-0001A</t>
  </si>
  <si>
    <t>T-00069-5379</t>
  </si>
  <si>
    <t>PS5-71-BI-0001B-CC01</t>
  </si>
  <si>
    <t>Cable FROM PS5-71-IN-0004A TO PS5-71-BI-0001B</t>
  </si>
  <si>
    <t>T-00069-5382</t>
  </si>
  <si>
    <t>PS5-71-BI-0003-CC01</t>
  </si>
  <si>
    <t>Cable FROM PS5-60-IE-0004 TO PS5-71-BI-0003</t>
  </si>
  <si>
    <t>T-00069-5383</t>
  </si>
  <si>
    <t>PS5-71-BI-0003-CC02</t>
  </si>
  <si>
    <t>T-00069-5384</t>
  </si>
  <si>
    <t>PS5-71-BI-0003-CC03</t>
  </si>
  <si>
    <t>T-00069-5385</t>
  </si>
  <si>
    <t>PS5-71-BI-0003-CC04</t>
  </si>
  <si>
    <t>T-00069-5386</t>
  </si>
  <si>
    <t>PS5-71-BI-0004-CC01</t>
  </si>
  <si>
    <t>T-00069-5387</t>
  </si>
  <si>
    <t>PS5-71-BI-0005-CC01</t>
  </si>
  <si>
    <t>T-00069-5388</t>
  </si>
  <si>
    <t>PS5-71-BI-0005-CC02</t>
  </si>
  <si>
    <t>Cable FROM PS5-60-IE-0004 TO PS5-71-BI-0005</t>
  </si>
  <si>
    <t>T-00069-5389</t>
  </si>
  <si>
    <t>PS5-71-BI-0006-CC01</t>
  </si>
  <si>
    <t>T-00069-5390</t>
  </si>
  <si>
    <t>PS5-71-BI-0008A-CC01</t>
  </si>
  <si>
    <t>Cable FROM PS5-71-IN-0004A TO PS5-71-BI-0008A</t>
  </si>
  <si>
    <t>T-00069-5391</t>
  </si>
  <si>
    <t>PS5-71-BI-0008A-CC02</t>
  </si>
  <si>
    <t>T-00069-5392</t>
  </si>
  <si>
    <t>PS5-71-BI-0008B-CC01</t>
  </si>
  <si>
    <t>Cable FROM PS5-71-IN-0004A TO PS5-71-BI-0008B</t>
  </si>
  <si>
    <t>T-00069-5393</t>
  </si>
  <si>
    <t>PS5-71-BI-0008B-CC02</t>
  </si>
  <si>
    <t>T-00069-5399</t>
  </si>
  <si>
    <t>PS5-71-BI-0011A-CC01</t>
  </si>
  <si>
    <t>Cable FROM PS5-71-IN-0004A TO PS5-71-BI-0011A</t>
  </si>
  <si>
    <t>T-00069-5400</t>
  </si>
  <si>
    <t>PS5-71-BI-0011A-CC02</t>
  </si>
  <si>
    <t>T-00069-5401</t>
  </si>
  <si>
    <t>PS5-71-BI-0011A-CC03</t>
  </si>
  <si>
    <t>T-00069-5402</t>
  </si>
  <si>
    <t>PS5-71-BI-0011A-CC04</t>
  </si>
  <si>
    <t>T-00069-5403</t>
  </si>
  <si>
    <t>PS5-71-BI-0011A-CC05</t>
  </si>
  <si>
    <t>T-00069-5404</t>
  </si>
  <si>
    <t>PS5-71-BI-0011B-CC01</t>
  </si>
  <si>
    <t>Cable FROM PS5-71-IN-0004A TO PS5-71-BI-0011B</t>
  </si>
  <si>
    <t>T-00069-5405</t>
  </si>
  <si>
    <t>PS5-71-BI-0011B-CC02</t>
  </si>
  <si>
    <t>T-00069-5406</t>
  </si>
  <si>
    <t>PS5-71-BI-0011B-CC03</t>
  </si>
  <si>
    <t>T-00069-5407</t>
  </si>
  <si>
    <t>PS5-71-BI-0011B-CC04</t>
  </si>
  <si>
    <t>T-00069-5408</t>
  </si>
  <si>
    <t>PS5-71-BI-0011B-CC05</t>
  </si>
  <si>
    <t>T-00069-5467</t>
  </si>
  <si>
    <t>PS5-71-IN-0002-CC01</t>
  </si>
  <si>
    <t>Cable FROM PS5-60-IE-0004 TO PS5-71-IN-0002</t>
  </si>
  <si>
    <t>T-00069-5468</t>
  </si>
  <si>
    <t>PS5-71-IN-0002-CC02</t>
  </si>
  <si>
    <t>T-00069-5469</t>
  </si>
  <si>
    <t>PS5-71-IN-0002-CC03</t>
  </si>
  <si>
    <t>T-00069-5470</t>
  </si>
  <si>
    <t>PS5-71-IN-0002-CC04</t>
  </si>
  <si>
    <t>PS5-71-IN-0002-CC05</t>
  </si>
  <si>
    <t>Cable FROM PS5-04-PMC-0004 TO PS5-71-IN-0002</t>
  </si>
  <si>
    <t>PS5-71-IN-0002-CC06</t>
  </si>
  <si>
    <t>Cable FROM PS5-03-SFMC-0004 TO PS5-71-IN-0002</t>
  </si>
  <si>
    <t>PS5-71-IN-0002-CC07</t>
  </si>
  <si>
    <t>Cable FROM PS5-03-SFMC-0006 TO PS5-71-IN-0002</t>
  </si>
  <si>
    <t>T-00069-5474</t>
  </si>
  <si>
    <t>PS5-71-IN-0003-CC01</t>
  </si>
  <si>
    <t>Cable FROM PS5-60-IE-0004 TO PS5-71-IN-0003</t>
  </si>
  <si>
    <t>T-00069-5475</t>
  </si>
  <si>
    <t>PS5-71-IN-0003-CC02</t>
  </si>
  <si>
    <t>T-00069-5476</t>
  </si>
  <si>
    <t>PS5-71-IN-0003-CC03</t>
  </si>
  <si>
    <t>T-00069-5477</t>
  </si>
  <si>
    <t>PS5-71-IN-0003-CC04</t>
  </si>
  <si>
    <t>PS5-71-IN-0003-CC05</t>
  </si>
  <si>
    <t>Cable FROM PS5-04-PMC-0004 TO PS5-71-IN-0003</t>
  </si>
  <si>
    <t>PS5-71-IN-0003-CC06</t>
  </si>
  <si>
    <t>Cable FROM PS5-03-SFMC-0004 TO PS5-71-IN-0003</t>
  </si>
  <si>
    <t>PS5-71-IN-0003-CC07</t>
  </si>
  <si>
    <t>Cable FROM PS5-03-SFMC-0006 TO PS5-71-IN-0003</t>
  </si>
  <si>
    <t>T-00069-5516</t>
  </si>
  <si>
    <t>PS5-71-MOV-0001-CC01</t>
  </si>
  <si>
    <t>Cable FROM PS5-71-BI-2120 TO PS5-71-MOV-0001</t>
  </si>
  <si>
    <t>T-00069-5517</t>
  </si>
  <si>
    <t>PS5-71-MOV-0001-CC02</t>
  </si>
  <si>
    <t>Cable FROM PS5-71-BI-2124 TO PS5-71-MOV-0001</t>
  </si>
  <si>
    <t>T-00069-5518</t>
  </si>
  <si>
    <t>PS5-71-MOV-0002-CC01</t>
  </si>
  <si>
    <t>Cable FROM PS5-71-BI-2120 TO PS5-71-MOV-0002</t>
  </si>
  <si>
    <t>T-00069-5519</t>
  </si>
  <si>
    <t>PS5-71-MOV-0002-CC02</t>
  </si>
  <si>
    <t>Cable FROM PS5-71-BI-2124 TO PS5-71-MOV-0002</t>
  </si>
  <si>
    <t>T-00069-5520</t>
  </si>
  <si>
    <t>PS5-71-MOV-0003-CC01</t>
  </si>
  <si>
    <t>Cable FROM PS5-71-BI-2121 TO PS5-71-MOV-0003</t>
  </si>
  <si>
    <t>T-00069-5521</t>
  </si>
  <si>
    <t>PS5-71-MOV-0003-CC02</t>
  </si>
  <si>
    <t>Cable FROM PS5-71-BI-2125 TO PS5-71-MOV-0003</t>
  </si>
  <si>
    <t>T-00069-5522</t>
  </si>
  <si>
    <t>PS5-71-MOV-0004-CC01</t>
  </si>
  <si>
    <t>Cable FROM PS5-71-BI-2121 TO PS5-71-MOV-0004</t>
  </si>
  <si>
    <t>T-00069-5523</t>
  </si>
  <si>
    <t>PS5-71-MOV-0004-CC02</t>
  </si>
  <si>
    <t>Cable FROM PS5-71-BI-2125 TO PS5-71-MOV-0004</t>
  </si>
  <si>
    <t>T-00069-5524</t>
  </si>
  <si>
    <t>PS5-71-MOV-0007-CC01</t>
  </si>
  <si>
    <t>Cable FROM PS5-71-BI-2118 TO PS5-71-MOV-0007</t>
  </si>
  <si>
    <t>T-00069-5525</t>
  </si>
  <si>
    <t>PS5-71-MOV-0007-CC02</t>
  </si>
  <si>
    <t>Cable FROM PS5-71-BI-2122 TO PS5-71-MOV-0007</t>
  </si>
  <si>
    <t>T-00069-5526</t>
  </si>
  <si>
    <t>PS5-71-MOV-0008-CC01</t>
  </si>
  <si>
    <t>Cable FROM PS5-71-BI-2118 TO PS5-71-MOV-0008</t>
  </si>
  <si>
    <t>T-00069-5527</t>
  </si>
  <si>
    <t>PS5-71-MOV-0008-CC02</t>
  </si>
  <si>
    <t>Cable FROM PS5-71-BI-2122 TO PS5-71-MOV-0008</t>
  </si>
  <si>
    <t>T-00069-5528</t>
  </si>
  <si>
    <t>PS5-71-MOV-0009-CC01</t>
  </si>
  <si>
    <t>Cable FROM PS5-71-BI-2119 TO PS5-71-MOV-0009</t>
  </si>
  <si>
    <t>T-00069-5529</t>
  </si>
  <si>
    <t>PS5-71-MOV-0009-CC02</t>
  </si>
  <si>
    <t>Cable FROM PS5-71-BI-2123 TO PS5-71-MOV-0009</t>
  </si>
  <si>
    <t>T-00069-5530</t>
  </si>
  <si>
    <t>PS5-71-MOV-0010-CC01</t>
  </si>
  <si>
    <t>Cable FROM PS5-71-BI-2119 TO PS5-71-MOV-0010</t>
  </si>
  <si>
    <t>T-00069-5531</t>
  </si>
  <si>
    <t>PS5-71-MOV-0010-CC02</t>
  </si>
  <si>
    <t>Cable FROM PS5-71-BI-2123 TO PS5-71-MOV-0010</t>
  </si>
  <si>
    <t>T-00069-9408</t>
  </si>
  <si>
    <t>PS5-03-RMAC-1409-CJ01</t>
  </si>
  <si>
    <t>Cable FROM PS5-03-SEA-0003 TO PS5-03-RMAC-1409</t>
  </si>
  <si>
    <t>CJX12 - Optical fiber cable</t>
  </si>
  <si>
    <t>TZ-MID-68-SSF1-161401</t>
  </si>
  <si>
    <t>Optical Fibre Cable</t>
  </si>
  <si>
    <t>T-00071-0027</t>
  </si>
  <si>
    <t>PS5-60-IE-0004-CX03</t>
  </si>
  <si>
    <t>Cable FROM PS5-04-PNC-0001 TO PS5-60-IE-0004</t>
  </si>
  <si>
    <t>T-00071-0028</t>
  </si>
  <si>
    <t>PS5-60-IE-0004-CX04</t>
  </si>
  <si>
    <t>T-00071-0029</t>
  </si>
  <si>
    <t>PS5-60-LA-0003-CX01</t>
  </si>
  <si>
    <t>Cable FROM PS5-04-PNC-0001 TO PS5-60-LA-0003</t>
  </si>
  <si>
    <t>T-00072-0165</t>
  </si>
  <si>
    <t>PS5-60-TW-0006G</t>
  </si>
  <si>
    <t>CJX13 - Thermowell</t>
  </si>
  <si>
    <t>Thermowell</t>
  </si>
  <si>
    <t>T-00072-0169</t>
  </si>
  <si>
    <t>PS5-60-TW-0007C</t>
  </si>
  <si>
    <t>T-00072-0171</t>
  </si>
  <si>
    <t>PS5-60-TW-0005F</t>
  </si>
  <si>
    <t>T-00072-0173</t>
  </si>
  <si>
    <t>PS5-60-TW-0007B</t>
  </si>
  <si>
    <t>T-00072-0174</t>
  </si>
  <si>
    <t>PS5-60-TW-0006C</t>
  </si>
  <si>
    <t>T-00072-0175</t>
  </si>
  <si>
    <t>PS5-60-TW-0008A</t>
  </si>
  <si>
    <t>T-00072-0176</t>
  </si>
  <si>
    <t>PS5-60-TW-0007D</t>
  </si>
  <si>
    <t>T-00072-0177</t>
  </si>
  <si>
    <t>PS5-60-TW-0008C</t>
  </si>
  <si>
    <t>T-00072-0179</t>
  </si>
  <si>
    <t>PS5-60-TW-0005G</t>
  </si>
  <si>
    <t>T-00072-0181</t>
  </si>
  <si>
    <t>PS5-60-TW-0008E</t>
  </si>
  <si>
    <t>T-00072-0182</t>
  </si>
  <si>
    <t>PS5-60-TW-0007A</t>
  </si>
  <si>
    <t>T-00072-0183</t>
  </si>
  <si>
    <t>PS5-60-TW-0006D</t>
  </si>
  <si>
    <t>T-00072-0184</t>
  </si>
  <si>
    <t>PS5-60-TW-0008B</t>
  </si>
  <si>
    <t>T-00072-0185</t>
  </si>
  <si>
    <t>PS5-60-TW-0007E</t>
  </si>
  <si>
    <t>T-00072-0186</t>
  </si>
  <si>
    <t>PS5-60-TW-0008D</t>
  </si>
  <si>
    <t>T-00072-0189</t>
  </si>
  <si>
    <t>PS5-60-TW-0008F</t>
  </si>
  <si>
    <t>T-00072-0190</t>
  </si>
  <si>
    <t>PS5-60-TW-0006E</t>
  </si>
  <si>
    <t>T-00072-0194</t>
  </si>
  <si>
    <t>PS5-60-TW-0006B</t>
  </si>
  <si>
    <t>T-00072-0198</t>
  </si>
  <si>
    <t>PS5-60-TW-0006A</t>
  </si>
  <si>
    <t>T-00072-0199</t>
  </si>
  <si>
    <t>PS5-60-TW-0007F</t>
  </si>
  <si>
    <t>T-00072-0207</t>
  </si>
  <si>
    <t>PS5-60-TW-0005A</t>
  </si>
  <si>
    <t>T-00072-0208</t>
  </si>
  <si>
    <t>PS5-60-TW-0005B</t>
  </si>
  <si>
    <t>T-00072-0209</t>
  </si>
  <si>
    <t>PS5-60-TW-0005C</t>
  </si>
  <si>
    <t>T-00072-0210</t>
  </si>
  <si>
    <t>PS5-60-TW-0005D</t>
  </si>
  <si>
    <t>T-00072-0211</t>
  </si>
  <si>
    <t>PS5-60-TW-0005E</t>
  </si>
  <si>
    <t>T-00072-0212</t>
  </si>
  <si>
    <t>PS5-60-TW-0006F</t>
  </si>
  <si>
    <t>T-00072-0213</t>
  </si>
  <si>
    <t>PS5-60-TW-0007G</t>
  </si>
  <si>
    <t>T-00072-0214</t>
  </si>
  <si>
    <t>PS5-60-TW-0008G</t>
  </si>
  <si>
    <t>CJX16 - Local gauge / indicator</t>
  </si>
  <si>
    <t>Local Gauge/Indicator</t>
  </si>
  <si>
    <t>T-00075-0200</t>
  </si>
  <si>
    <t>PS5-60-TG-0005C</t>
  </si>
  <si>
    <t>Temperature Gauge</t>
  </si>
  <si>
    <t>T-00075-0202</t>
  </si>
  <si>
    <t>PS5-60-TG-0006F</t>
  </si>
  <si>
    <t>T-00075-0204</t>
  </si>
  <si>
    <t>PS5-60-TG-0005E</t>
  </si>
  <si>
    <t>T-00075-0205</t>
  </si>
  <si>
    <t>PS5-60-TG-0008D</t>
  </si>
  <si>
    <t>T-00075-0211</t>
  </si>
  <si>
    <t>PS5-60-TG-0005A</t>
  </si>
  <si>
    <t>T-00075-0215</t>
  </si>
  <si>
    <t>PS5-60-TG-0007G</t>
  </si>
  <si>
    <t>T-00075-0216</t>
  </si>
  <si>
    <t>PS5-60-TG-0005F</t>
  </si>
  <si>
    <t>T-00075-0217</t>
  </si>
  <si>
    <t>PS5-60-TG-0006G</t>
  </si>
  <si>
    <t>T-00075-0218</t>
  </si>
  <si>
    <t>PS5-60-TG-0008A</t>
  </si>
  <si>
    <t>T-00075-0224</t>
  </si>
  <si>
    <t>PS5-60-TG-0008C</t>
  </si>
  <si>
    <t>T-00075-0229</t>
  </si>
  <si>
    <t>PS5-60-TG-0007D</t>
  </si>
  <si>
    <t>T-00075-0234</t>
  </si>
  <si>
    <t>PS5-60-TG-0008E</t>
  </si>
  <si>
    <t>T-00075-0239</t>
  </si>
  <si>
    <t>PS5-60-TG-0007A</t>
  </si>
  <si>
    <t>T-00075-0242</t>
  </si>
  <si>
    <t>PS5-60-TG-0008F</t>
  </si>
  <si>
    <t>T-00075-0244</t>
  </si>
  <si>
    <t>PS5-60-TG-0007C</t>
  </si>
  <si>
    <t>T-00075-0250</t>
  </si>
  <si>
    <t>PS5-60-TG-0005G</t>
  </si>
  <si>
    <t>T-00075-0251</t>
  </si>
  <si>
    <t>PS5-60-TG-0006D</t>
  </si>
  <si>
    <t>T-00075-0252</t>
  </si>
  <si>
    <t>PS5-60-TG-0007E</t>
  </si>
  <si>
    <t>T-00075-0264</t>
  </si>
  <si>
    <t>PS5-60-TG-0005D</t>
  </si>
  <si>
    <t>T-00075-0265</t>
  </si>
  <si>
    <t>PS5-60-TG-0006A</t>
  </si>
  <si>
    <t>T-00075-0266</t>
  </si>
  <si>
    <t>PS5-60-TG-0006C</t>
  </si>
  <si>
    <t>T-00075-0267</t>
  </si>
  <si>
    <t>PS5-60-TG-0006E</t>
  </si>
  <si>
    <t>T-00075-0268</t>
  </si>
  <si>
    <t>PS5-60-TG-0007F</t>
  </si>
  <si>
    <t>T-00075-0269</t>
  </si>
  <si>
    <t>PS5-60-TG-0008G</t>
  </si>
  <si>
    <t>T-00075-0270</t>
  </si>
  <si>
    <t>PS5-60-TG-0006B</t>
  </si>
  <si>
    <t>T-00075-0271</t>
  </si>
  <si>
    <t>PS5-60-TG-0005B</t>
  </si>
  <si>
    <t>T-00075-0272</t>
  </si>
  <si>
    <t>PS5-60-TG-0007B</t>
  </si>
  <si>
    <t>T-00075-0273</t>
  </si>
  <si>
    <t>PS5-60-TG-0008B</t>
  </si>
  <si>
    <t>CJX24 - Actuated on/off valve - Electrical type</t>
  </si>
  <si>
    <t>Motor Operated Valve</t>
  </si>
  <si>
    <t>Actuated on/off Valve</t>
  </si>
  <si>
    <t>T-00078-0140</t>
  </si>
  <si>
    <t>PS5-71-MOV-0007</t>
  </si>
  <si>
    <t>T-00078-0143</t>
  </si>
  <si>
    <t>PS5-71-MOV-0010</t>
  </si>
  <si>
    <t>T-00078-0144</t>
  </si>
  <si>
    <t>PS5-71-MOV-0003</t>
  </si>
  <si>
    <t>T-00078-0147</t>
  </si>
  <si>
    <t>PS5-71-MOV-0004</t>
  </si>
  <si>
    <t>T-00078-0149</t>
  </si>
  <si>
    <t>PS5-71-MOV-0001</t>
  </si>
  <si>
    <t>T-00078-0151</t>
  </si>
  <si>
    <t>PS5-71-MOV-0002</t>
  </si>
  <si>
    <t>T-00078-0152</t>
  </si>
  <si>
    <t>PS5-71-MOV-0008</t>
  </si>
  <si>
    <t>T-00078-0153</t>
  </si>
  <si>
    <t>PS5-71-MOV-0009</t>
  </si>
  <si>
    <t>CJX42 - Gas / smoke detector</t>
  </si>
  <si>
    <t>Gas/Smoke Detector</t>
  </si>
  <si>
    <t>T-00083-0865</t>
  </si>
  <si>
    <t>PS5-03-RDOS-1401</t>
  </si>
  <si>
    <t>SMOKE DETECTOR</t>
  </si>
  <si>
    <t>T-00083-0866</t>
  </si>
  <si>
    <t>PS5-03-RDOS-1402</t>
  </si>
  <si>
    <t>T-00083-0867</t>
  </si>
  <si>
    <t>PS5-03-RDOS-1403</t>
  </si>
  <si>
    <t>T-00083-0868</t>
  </si>
  <si>
    <t>PS5-03-RDOS-1404</t>
  </si>
  <si>
    <t>T-00083-0869</t>
  </si>
  <si>
    <t>PS5-03-RDOS-1405</t>
  </si>
  <si>
    <t>T-00083-0870</t>
  </si>
  <si>
    <t>PS5-03-RDOS-1406</t>
  </si>
  <si>
    <t>T-00083-0871</t>
  </si>
  <si>
    <t>PS5-03-RDOS-1407</t>
  </si>
  <si>
    <t>T-00083-0872</t>
  </si>
  <si>
    <t>PS5-03-RDOS-1408</t>
  </si>
  <si>
    <t>TZ-MID-68-WPR2-121133</t>
  </si>
  <si>
    <t>CJX48 - Indoor cabinet / panel</t>
  </si>
  <si>
    <t>FIRE ALARM CONTROL PANEL</t>
  </si>
  <si>
    <t>Indoor Cabinet/Panel</t>
  </si>
  <si>
    <t>T-00087-0103</t>
  </si>
  <si>
    <t>PS5-03-SEA-0003</t>
  </si>
  <si>
    <t>T-00087-0105</t>
  </si>
  <si>
    <t>PS5-60-SEA-0001</t>
  </si>
  <si>
    <t>GAS DETECTION PANEL</t>
  </si>
  <si>
    <t>T-00087-0500</t>
  </si>
  <si>
    <t>PS5-60-LA-0002A</t>
  </si>
  <si>
    <t>VTMS VIBRATION AND TEMPERATURE MONITORING SYSTEM</t>
  </si>
  <si>
    <t>T-00087-0501</t>
  </si>
  <si>
    <t>PS5-60-LA-0002B</t>
  </si>
  <si>
    <t>T-00087-0502</t>
  </si>
  <si>
    <t>PS5-60-LA-0002C</t>
  </si>
  <si>
    <t>CZX01I - Package</t>
  </si>
  <si>
    <t>T-00090-0179</t>
  </si>
  <si>
    <t>T-00090-0180</t>
  </si>
  <si>
    <t>T-00090-0181</t>
  </si>
  <si>
    <t>T-00090-0182</t>
  </si>
  <si>
    <t>T-00090-0183</t>
  </si>
  <si>
    <t>T-00090-0184</t>
  </si>
  <si>
    <t>T-00090-0185</t>
  </si>
  <si>
    <t>T-00090-0188</t>
  </si>
  <si>
    <t>T-00090-0189</t>
  </si>
  <si>
    <t>T-00090-0190</t>
  </si>
  <si>
    <t>T-00090-0191</t>
  </si>
  <si>
    <t>T-00090-0192</t>
  </si>
  <si>
    <t>T-00090-0193</t>
  </si>
  <si>
    <t>T-00090-0194</t>
  </si>
  <si>
    <t>T-00090-0195</t>
  </si>
  <si>
    <t>T-00090-0196</t>
  </si>
  <si>
    <t>T-00090-0197</t>
  </si>
  <si>
    <t>T-00090-0198</t>
  </si>
  <si>
    <t>T-00090-0199</t>
  </si>
  <si>
    <t>T-00090-0200</t>
  </si>
  <si>
    <t>T-00090-0201</t>
  </si>
  <si>
    <t>T-00090-0202</t>
  </si>
  <si>
    <t>T-00090-0203</t>
  </si>
  <si>
    <t>T-00090-0204</t>
  </si>
  <si>
    <t>T-00090-0205</t>
  </si>
  <si>
    <t>T-00090-0206</t>
  </si>
  <si>
    <t>T-00090-0207</t>
  </si>
  <si>
    <t>T-00090-0208</t>
  </si>
  <si>
    <t>T-00090-0210</t>
  </si>
  <si>
    <t>T-00090-0211</t>
  </si>
  <si>
    <t>T-00090-0215</t>
  </si>
  <si>
    <t>T-00090-0216</t>
  </si>
  <si>
    <t>T-00090-0217</t>
  </si>
  <si>
    <t>T-00090-0218</t>
  </si>
  <si>
    <t>T-00090-0219</t>
  </si>
  <si>
    <t>T-00090-0220</t>
  </si>
  <si>
    <t>T-00090-0221</t>
  </si>
  <si>
    <t>T-00090-0222</t>
  </si>
  <si>
    <t>T-00090-0223</t>
  </si>
  <si>
    <t>T-00090-0224</t>
  </si>
  <si>
    <t>T-00090-0225</t>
  </si>
  <si>
    <t>T-00090-0226</t>
  </si>
  <si>
    <t>T-00090-0227</t>
  </si>
  <si>
    <t>T-00090-0228</t>
  </si>
  <si>
    <t>T-00090-0229</t>
  </si>
  <si>
    <t>T-00090-0230</t>
  </si>
  <si>
    <t>T-00090-0231</t>
  </si>
  <si>
    <t>T-00090-0232</t>
  </si>
  <si>
    <t>T-00090-0233</t>
  </si>
  <si>
    <t>T-00090-0234</t>
  </si>
  <si>
    <t>T-00090-0235</t>
  </si>
  <si>
    <t>T-00090-0236</t>
  </si>
  <si>
    <t>T-00090-0237</t>
  </si>
  <si>
    <t>T-00090-0238</t>
  </si>
  <si>
    <t>T-00090-0239</t>
  </si>
  <si>
    <t>T-00090-0240</t>
  </si>
  <si>
    <t>T-00090-0241</t>
  </si>
  <si>
    <t>T-00090-0242</t>
  </si>
  <si>
    <t>T-00090-0243</t>
  </si>
  <si>
    <t>T-00090-0244</t>
  </si>
  <si>
    <t>T-00090-0245</t>
  </si>
  <si>
    <t>T-00090-0246</t>
  </si>
  <si>
    <t>T-00090-0247</t>
  </si>
  <si>
    <t>T-00090-0248</t>
  </si>
  <si>
    <t>T-00090-0249</t>
  </si>
  <si>
    <t>T-00090-0250</t>
  </si>
  <si>
    <t>T-00090-0251</t>
  </si>
  <si>
    <t>T-00090-0252</t>
  </si>
  <si>
    <t>T-00090-0253</t>
  </si>
  <si>
    <t>T-00090-0254</t>
  </si>
  <si>
    <t>T-00090-0255</t>
  </si>
  <si>
    <t>T-00090-0256</t>
  </si>
  <si>
    <t>T-00090-0257</t>
  </si>
  <si>
    <t>T-00090-0258</t>
  </si>
  <si>
    <t>T-00090-0259</t>
  </si>
  <si>
    <t>T-00090-0260</t>
  </si>
  <si>
    <t>T-00090-0261</t>
  </si>
  <si>
    <t>T-00090-0262</t>
  </si>
  <si>
    <t>T-00090-0263</t>
  </si>
  <si>
    <t>T-00090-0264</t>
  </si>
  <si>
    <t>T-00090-0265</t>
  </si>
  <si>
    <t>T-00090-0266</t>
  </si>
  <si>
    <t>T-00090-0267</t>
  </si>
  <si>
    <t>T-00090-0268</t>
  </si>
  <si>
    <t>T-00090-0269</t>
  </si>
  <si>
    <t>T-00090-0270</t>
  </si>
  <si>
    <t>T-00090-0271</t>
  </si>
  <si>
    <t>T-00090-0272</t>
  </si>
  <si>
    <t>T-00090-0273</t>
  </si>
  <si>
    <t>T-00090-0274</t>
  </si>
  <si>
    <t>T-00090-0275</t>
  </si>
  <si>
    <t>T-00090-0276</t>
  </si>
  <si>
    <t>T-00090-0277</t>
  </si>
  <si>
    <t>T-00090-0278</t>
  </si>
  <si>
    <t>T-00090-0279</t>
  </si>
  <si>
    <t>T-00090-0280</t>
  </si>
  <si>
    <t>T-00090-0281</t>
  </si>
  <si>
    <t>T-00090-0282</t>
  </si>
  <si>
    <t>T-00090-0283</t>
  </si>
  <si>
    <t>T-00090-0284</t>
  </si>
  <si>
    <t>T-00090-0285</t>
  </si>
  <si>
    <t>T-00090-0286</t>
  </si>
  <si>
    <t>T-00090-0288</t>
  </si>
  <si>
    <t>T-00090-0289</t>
  </si>
  <si>
    <t>T-00090-0436</t>
  </si>
  <si>
    <t>T-00090-0437</t>
  </si>
  <si>
    <t>T-00090-0438</t>
  </si>
  <si>
    <t>T-00090-0439</t>
  </si>
  <si>
    <t>T-00090-0440</t>
  </si>
  <si>
    <t>T-00090-0441</t>
  </si>
  <si>
    <t>T-00090-0442</t>
  </si>
  <si>
    <t>12</t>
  </si>
  <si>
    <t>Started (not Completed)</t>
  </si>
  <si>
    <t>Submitted</t>
  </si>
  <si>
    <t>T-00115-0006</t>
  </si>
  <si>
    <t>PS5-60-YF-1700A</t>
  </si>
  <si>
    <t>CHX01 - Strainer / Filter</t>
  </si>
  <si>
    <t>FUEL FITLER SE - LOOSE / REMOTE MOUNTED</t>
  </si>
  <si>
    <t>TZ-MID-68-WPR2-135134</t>
  </si>
  <si>
    <t>Strainer/Filter</t>
  </si>
  <si>
    <t>T-00115-0007</t>
  </si>
  <si>
    <t>PS5-60-YF-1700B</t>
  </si>
  <si>
    <t>T-00115-0008</t>
  </si>
  <si>
    <t>PS5-60-YF-1700C</t>
  </si>
  <si>
    <t>T-00115-0009</t>
  </si>
  <si>
    <t>PS5-60-YF-1700D</t>
  </si>
  <si>
    <t>T-00115-0010</t>
  </si>
  <si>
    <t>PS5-60-YF-1700E</t>
  </si>
  <si>
    <t>T-00115-0011</t>
  </si>
  <si>
    <t>PS5-60-YF-1700F</t>
  </si>
  <si>
    <t>T-00115-0012</t>
  </si>
  <si>
    <t>PS5-60-YF-1700G</t>
  </si>
  <si>
    <t>CZX01M - Package</t>
  </si>
  <si>
    <t>T-00135-0220</t>
  </si>
  <si>
    <t>T-00135-0221</t>
  </si>
  <si>
    <t>T-00135-0222</t>
  </si>
  <si>
    <t>T-00135-0223</t>
  </si>
  <si>
    <t>T-00135-0224</t>
  </si>
  <si>
    <t>T-00135-0225</t>
  </si>
  <si>
    <t>T-00135-0226</t>
  </si>
  <si>
    <t>T-00135-0229</t>
  </si>
  <si>
    <t>T-00135-0230</t>
  </si>
  <si>
    <t>T-00135-0231</t>
  </si>
  <si>
    <t>T-00135-0232</t>
  </si>
  <si>
    <t>T-00135-0233</t>
  </si>
  <si>
    <t>T-00135-0234</t>
  </si>
  <si>
    <t>T-00135-0235</t>
  </si>
  <si>
    <t>T-00135-0236</t>
  </si>
  <si>
    <t>T-00135-0237</t>
  </si>
  <si>
    <t>T-00135-0238</t>
  </si>
  <si>
    <t>T-00135-0239</t>
  </si>
  <si>
    <t>T-00135-0240</t>
  </si>
  <si>
    <t>T-00135-0241</t>
  </si>
  <si>
    <t>T-00135-0242</t>
  </si>
  <si>
    <t>T-00135-0243</t>
  </si>
  <si>
    <t>T-00135-0244</t>
  </si>
  <si>
    <t>T-00135-0245</t>
  </si>
  <si>
    <t>T-00135-0246</t>
  </si>
  <si>
    <t>T-00135-0247</t>
  </si>
  <si>
    <t>T-00135-0248</t>
  </si>
  <si>
    <t>T-00135-0249</t>
  </si>
  <si>
    <t>T-00135-0251</t>
  </si>
  <si>
    <t>T-00135-0252</t>
  </si>
  <si>
    <t>T-00135-0256</t>
  </si>
  <si>
    <t>T-00135-0257</t>
  </si>
  <si>
    <t>T-00135-0258</t>
  </si>
  <si>
    <t>T-00135-0259</t>
  </si>
  <si>
    <t>T-00135-0260</t>
  </si>
  <si>
    <t>T-00135-0261</t>
  </si>
  <si>
    <t>T-00135-0262</t>
  </si>
  <si>
    <t>T-00135-0263</t>
  </si>
  <si>
    <t>T-00135-0264</t>
  </si>
  <si>
    <t>T-00135-0265</t>
  </si>
  <si>
    <t>T-00135-0266</t>
  </si>
  <si>
    <t>T-00135-0267</t>
  </si>
  <si>
    <t>T-00135-0268</t>
  </si>
  <si>
    <t>T-00135-0269</t>
  </si>
  <si>
    <t>T-00135-0270</t>
  </si>
  <si>
    <t>T-00135-0271</t>
  </si>
  <si>
    <t>T-00135-0272</t>
  </si>
  <si>
    <t>T-00135-0273</t>
  </si>
  <si>
    <t>T-00135-0274</t>
  </si>
  <si>
    <t>T-00135-0275</t>
  </si>
  <si>
    <t>T-00135-0276</t>
  </si>
  <si>
    <t>T-00135-0277</t>
  </si>
  <si>
    <t>T-00135-0278</t>
  </si>
  <si>
    <t>T-00135-0279</t>
  </si>
  <si>
    <t>T-00135-0280</t>
  </si>
  <si>
    <t>T-00135-0281</t>
  </si>
  <si>
    <t>T-00135-0282</t>
  </si>
  <si>
    <t>T-00135-0283</t>
  </si>
  <si>
    <t>T-00135-0284</t>
  </si>
  <si>
    <t>T-00135-0285</t>
  </si>
  <si>
    <t>T-00135-0286</t>
  </si>
  <si>
    <t>T-00135-0287</t>
  </si>
  <si>
    <t>T-00135-0288</t>
  </si>
  <si>
    <t>T-00135-0289</t>
  </si>
  <si>
    <t>T-00135-0290</t>
  </si>
  <si>
    <t>T-00135-0291</t>
  </si>
  <si>
    <t>T-00135-0292</t>
  </si>
  <si>
    <t>T-00135-0293</t>
  </si>
  <si>
    <t>T-00135-0294</t>
  </si>
  <si>
    <t>T-00135-0295</t>
  </si>
  <si>
    <t>T-00135-0296</t>
  </si>
  <si>
    <t>T-00135-0297</t>
  </si>
  <si>
    <t>T-00135-0298</t>
  </si>
  <si>
    <t>T-00135-0299</t>
  </si>
  <si>
    <t>T-00135-0300</t>
  </si>
  <si>
    <t>T-00135-0301</t>
  </si>
  <si>
    <t>T-00135-0302</t>
  </si>
  <si>
    <t>T-00135-0303</t>
  </si>
  <si>
    <t>T-00135-0304</t>
  </si>
  <si>
    <t>T-00135-0305</t>
  </si>
  <si>
    <t>T-00135-0306</t>
  </si>
  <si>
    <t>T-00135-0307</t>
  </si>
  <si>
    <t>T-00135-0308</t>
  </si>
  <si>
    <t>T-00135-0309</t>
  </si>
  <si>
    <t>T-00135-0310</t>
  </si>
  <si>
    <t>T-00135-0311</t>
  </si>
  <si>
    <t>T-00135-0312</t>
  </si>
  <si>
    <t>T-00135-0313</t>
  </si>
  <si>
    <t>T-00135-0314</t>
  </si>
  <si>
    <t>T-00135-0315</t>
  </si>
  <si>
    <t>T-00135-0316</t>
  </si>
  <si>
    <t>T-00135-0317</t>
  </si>
  <si>
    <t>T-00135-0318</t>
  </si>
  <si>
    <t>T-00135-0319</t>
  </si>
  <si>
    <t>T-00135-0320</t>
  </si>
  <si>
    <t>T-00135-0321</t>
  </si>
  <si>
    <t>T-00135-0322</t>
  </si>
  <si>
    <t>T-00135-0323</t>
  </si>
  <si>
    <t>T-00135-0324</t>
  </si>
  <si>
    <t>T-00135-0325</t>
  </si>
  <si>
    <t>T-00135-0326</t>
  </si>
  <si>
    <t>T-00135-0327</t>
  </si>
  <si>
    <t>T-00135-0329</t>
  </si>
  <si>
    <t>T-00135-0330</t>
  </si>
  <si>
    <t>T-00135-0465</t>
  </si>
  <si>
    <t>T-00135-0466</t>
  </si>
  <si>
    <t>T-00135-0467</t>
  </si>
  <si>
    <t>T-00135-0468</t>
  </si>
  <si>
    <t>T-00135-0469</t>
  </si>
  <si>
    <t>T-00135-0470</t>
  </si>
  <si>
    <t>T-00135-0471</t>
  </si>
  <si>
    <t>CDX01 - Storage tank</t>
  </si>
  <si>
    <t>Storage Tank</t>
  </si>
  <si>
    <t>T-00140-0065</t>
  </si>
  <si>
    <t>PS5-60-TX-41100A</t>
  </si>
  <si>
    <t>COOLING WATER EXPANSION TANK</t>
  </si>
  <si>
    <t>TZ-MID-68-WPR2-135131</t>
  </si>
  <si>
    <t>T-00140-0066</t>
  </si>
  <si>
    <t>PS5-60-TX-41100B</t>
  </si>
  <si>
    <t>TZ-MID-68-WPR2-135132</t>
  </si>
  <si>
    <t>T-00140-0067</t>
  </si>
  <si>
    <t>PS5-60-TX-41200A</t>
  </si>
  <si>
    <t>T-00140-0068</t>
  </si>
  <si>
    <t>PS5-60-TX-41200B</t>
  </si>
  <si>
    <t>T-00140-0069</t>
  </si>
  <si>
    <t>PS5-60-TX-41300A</t>
  </si>
  <si>
    <t>T-00140-0070</t>
  </si>
  <si>
    <t>PS5-60-TX-41300B</t>
  </si>
  <si>
    <t>T-00140-0071</t>
  </si>
  <si>
    <t>PS5-60-TX-41400A</t>
  </si>
  <si>
    <t>T-00140-0072</t>
  </si>
  <si>
    <t>PS5-60-TX-41400B</t>
  </si>
  <si>
    <t>T-00140-0073</t>
  </si>
  <si>
    <t>PS5-60-TX-41500A</t>
  </si>
  <si>
    <t>T-00140-0074</t>
  </si>
  <si>
    <t>PS5-60-TX-41500B</t>
  </si>
  <si>
    <t>T-00140-0075</t>
  </si>
  <si>
    <t>PS5-60-TX-41600A</t>
  </si>
  <si>
    <t>T-00140-0076</t>
  </si>
  <si>
    <t>PS5-60-TX-41600B</t>
  </si>
  <si>
    <t>T-00140-0077</t>
  </si>
  <si>
    <t>PS5-60-TX-41700A</t>
  </si>
  <si>
    <t>T-00140-0078</t>
  </si>
  <si>
    <t>PS5-60-TX-41700B</t>
  </si>
  <si>
    <t>CLX02 - Pipework</t>
  </si>
  <si>
    <t>Subsystem all lines</t>
  </si>
  <si>
    <t>Pipework</t>
  </si>
  <si>
    <t>T-00141-0132</t>
  </si>
  <si>
    <t>PS5-60-01_SS_ALL_LINES</t>
  </si>
  <si>
    <t>T-00141-0133</t>
  </si>
  <si>
    <t>PS5-60-04_SS_ALL_LINES</t>
  </si>
  <si>
    <t>T-00141-0134</t>
  </si>
  <si>
    <t>PS5-60-07_SS_ALL_LINES</t>
  </si>
  <si>
    <t>T-00141-0135</t>
  </si>
  <si>
    <t>PS5-60-10_SS_ALL_LINES</t>
  </si>
  <si>
    <t>T-00141-0136</t>
  </si>
  <si>
    <t>PS5-60-13_SS_ALL_LINES</t>
  </si>
  <si>
    <t>T-00141-0137</t>
  </si>
  <si>
    <t>PS5-60-16_SS_ALL_LINES</t>
  </si>
  <si>
    <t>T-00141-0138</t>
  </si>
  <si>
    <t>PS5-60-19_SS_ALL_LINES</t>
  </si>
  <si>
    <t>T-00141-0142</t>
  </si>
  <si>
    <t>PS5-60-26_SS_ALL_LINES</t>
  </si>
  <si>
    <t>T-00141-0143</t>
  </si>
  <si>
    <t>PS5-60-27_SS_ALL_LINES</t>
  </si>
  <si>
    <t>T-00141-0151</t>
  </si>
  <si>
    <t>PS5-60-35_SS_ALL_LINES</t>
  </si>
  <si>
    <t>T-00141-0152</t>
  </si>
  <si>
    <t>PS5-60-36_SS_ALL_LINES</t>
  </si>
  <si>
    <t>T-00141-0153</t>
  </si>
  <si>
    <t>PS5-60-37_SS_ALL_LINES</t>
  </si>
  <si>
    <t>T-00141-0154</t>
  </si>
  <si>
    <t>PS5-60-38_SS_ALL_LINES</t>
  </si>
  <si>
    <t>T-00141-0155</t>
  </si>
  <si>
    <t>PS5-60-39_SS_ALL_LINES</t>
  </si>
  <si>
    <t>T-00141-0156</t>
  </si>
  <si>
    <t>PS5-60-40_SS_ALL_LINES</t>
  </si>
  <si>
    <t>T-00141-0157</t>
  </si>
  <si>
    <t>PS5-60-41_SS_ALL_LINES</t>
  </si>
  <si>
    <t>T-00141-0158</t>
  </si>
  <si>
    <t>PS5-60-42_SS_ALL_LINES</t>
  </si>
  <si>
    <t>T-00141-0159</t>
  </si>
  <si>
    <t>PS5-60-43_SS_ALL_LINES</t>
  </si>
  <si>
    <t>T-00141-0160</t>
  </si>
  <si>
    <t>PS5-60-44_SS_ALL_LINES</t>
  </si>
  <si>
    <t>T-00141-0161</t>
  </si>
  <si>
    <t>PS5-60-45_SS_ALL_LINES</t>
  </si>
  <si>
    <t>T-00141-0162</t>
  </si>
  <si>
    <t>PS5-60-46_SS_ALL_LINES</t>
  </si>
  <si>
    <t>T-00141-0163</t>
  </si>
  <si>
    <t>PS5-60-47_SS_ALL_LINES</t>
  </si>
  <si>
    <t>T-00141-0164</t>
  </si>
  <si>
    <t>PS5-60-48_SS_ALL_LINES</t>
  </si>
  <si>
    <t>T-00141-0165</t>
  </si>
  <si>
    <t>PS5-60-49_SS_ALL_LINES</t>
  </si>
  <si>
    <t>T-00141-0166</t>
  </si>
  <si>
    <t>PS5-60-50_SS_ALL_LINES</t>
  </si>
  <si>
    <t>T-00141-0167</t>
  </si>
  <si>
    <t>PS5-60-51_SS_ALL_LINES</t>
  </si>
  <si>
    <t>T-00141-0168</t>
  </si>
  <si>
    <t>PS5-60-52_SS_ALL_LINES</t>
  </si>
  <si>
    <t>T-00141-0169</t>
  </si>
  <si>
    <t>PS5-60-53_SS_ALL_LINES</t>
  </si>
  <si>
    <t>T-00141-0170</t>
  </si>
  <si>
    <t>PS5-60-54_SS_ALL_LINES</t>
  </si>
  <si>
    <t>T-00141-0171</t>
  </si>
  <si>
    <t>PS5-60-55_SS_ALL_LINES</t>
  </si>
  <si>
    <t>T-00141-0172</t>
  </si>
  <si>
    <t>PS5-60-56_SS_ALL_LINES</t>
  </si>
  <si>
    <t>T-00141-0173</t>
  </si>
  <si>
    <t>PS5-60-58_SS_ALL_LINES</t>
  </si>
  <si>
    <t>T-00141-0174</t>
  </si>
  <si>
    <t>PS5-60-60_SS_ALL_LINES</t>
  </si>
  <si>
    <t>T-00141-0175</t>
  </si>
  <si>
    <t>PS5-60-62_SS_ALL_LINES</t>
  </si>
  <si>
    <t>T-00141-0176</t>
  </si>
  <si>
    <t>PS5-60-64_SS_ALL_LINES</t>
  </si>
  <si>
    <t>T-00141-0177</t>
  </si>
  <si>
    <t>PS5-60-66_SS_ALL_LINES</t>
  </si>
  <si>
    <t>T-00141-0178</t>
  </si>
  <si>
    <t>PS5-60-68_SS_ALL_LINES</t>
  </si>
  <si>
    <t>T-00141-0179</t>
  </si>
  <si>
    <t>PS5-60-70_SS_ALL_LINES</t>
  </si>
  <si>
    <t>T-00141-0180</t>
  </si>
  <si>
    <t>PS5-60-71_SS_ALL_LINES</t>
  </si>
  <si>
    <t>T-00141-0181</t>
  </si>
  <si>
    <t>PS5-60-72_SS_ALL_LINES</t>
  </si>
  <si>
    <t>T-00141-0182</t>
  </si>
  <si>
    <t>PS5-60-73_SS_ALL_LINES</t>
  </si>
  <si>
    <t>T-00141-0183</t>
  </si>
  <si>
    <t>PS5-60-74_SS_ALL_LINES</t>
  </si>
  <si>
    <t>T-00141-0184</t>
  </si>
  <si>
    <t>PS5-60-75_SS_ALL_LINES</t>
  </si>
  <si>
    <t>T-00141-0185</t>
  </si>
  <si>
    <t>PS5-60-76_SS_ALL_LINES</t>
  </si>
  <si>
    <t>T-00141-0190</t>
  </si>
  <si>
    <t>PS5-71-06_SS_ALL_LINES</t>
  </si>
  <si>
    <t>T-00141-0191</t>
  </si>
  <si>
    <t>PS5-71-08_SS_ALL_LINES</t>
  </si>
  <si>
    <t>T-00141-0201</t>
  </si>
  <si>
    <t>PS5-71-22_SS_ALL_LINES</t>
  </si>
  <si>
    <t>CZX01P - Package</t>
  </si>
  <si>
    <t>T-00146-0173</t>
  </si>
  <si>
    <t>T-00146-0174</t>
  </si>
  <si>
    <t>T-00146-0175</t>
  </si>
  <si>
    <t>T-00146-0176</t>
  </si>
  <si>
    <t>T-00146-0177</t>
  </si>
  <si>
    <t>T-00146-0178</t>
  </si>
  <si>
    <t>T-00146-0179</t>
  </si>
  <si>
    <t>T-00146-0182</t>
  </si>
  <si>
    <t>T-00146-0183</t>
  </si>
  <si>
    <t>T-00146-0184</t>
  </si>
  <si>
    <t>T-00146-0185</t>
  </si>
  <si>
    <t>T-00146-0186</t>
  </si>
  <si>
    <t>T-00146-0187</t>
  </si>
  <si>
    <t>T-00146-0188</t>
  </si>
  <si>
    <t>T-00146-0189</t>
  </si>
  <si>
    <t>T-00146-0190</t>
  </si>
  <si>
    <t>T-00146-0191</t>
  </si>
  <si>
    <t>T-00146-0192</t>
  </si>
  <si>
    <t>T-00146-0193</t>
  </si>
  <si>
    <t>T-00146-0194</t>
  </si>
  <si>
    <t>T-00146-0195</t>
  </si>
  <si>
    <t>T-00146-0196</t>
  </si>
  <si>
    <t>T-00146-0197</t>
  </si>
  <si>
    <t>T-00146-0198</t>
  </si>
  <si>
    <t>T-00146-0199</t>
  </si>
  <si>
    <t>T-00146-0200</t>
  </si>
  <si>
    <t>T-00146-0201</t>
  </si>
  <si>
    <t>T-00146-0202</t>
  </si>
  <si>
    <t>T-00146-0204</t>
  </si>
  <si>
    <t>T-00146-0205</t>
  </si>
  <si>
    <t>T-00146-0209</t>
  </si>
  <si>
    <t>T-00146-0210</t>
  </si>
  <si>
    <t>T-00146-0211</t>
  </si>
  <si>
    <t>T-00146-0212</t>
  </si>
  <si>
    <t>T-00146-0213</t>
  </si>
  <si>
    <t>T-00146-0214</t>
  </si>
  <si>
    <t>T-00146-0215</t>
  </si>
  <si>
    <t>T-00146-0216</t>
  </si>
  <si>
    <t>T-00146-0217</t>
  </si>
  <si>
    <t>T-00146-0218</t>
  </si>
  <si>
    <t>T-00146-0219</t>
  </si>
  <si>
    <t>T-00146-0220</t>
  </si>
  <si>
    <t>T-00146-0221</t>
  </si>
  <si>
    <t>T-00146-0222</t>
  </si>
  <si>
    <t>T-00146-0223</t>
  </si>
  <si>
    <t>T-00146-0224</t>
  </si>
  <si>
    <t>T-00146-0225</t>
  </si>
  <si>
    <t>T-00146-0226</t>
  </si>
  <si>
    <t>T-00146-0227</t>
  </si>
  <si>
    <t>T-00146-0228</t>
  </si>
  <si>
    <t>T-00146-0229</t>
  </si>
  <si>
    <t>T-00146-0230</t>
  </si>
  <si>
    <t>T-00146-0231</t>
  </si>
  <si>
    <t>T-00146-0232</t>
  </si>
  <si>
    <t>T-00146-0233</t>
  </si>
  <si>
    <t>T-00146-0234</t>
  </si>
  <si>
    <t>T-00146-0235</t>
  </si>
  <si>
    <t>T-00146-0236</t>
  </si>
  <si>
    <t>T-00146-0237</t>
  </si>
  <si>
    <t>T-00146-0238</t>
  </si>
  <si>
    <t>T-00146-0239</t>
  </si>
  <si>
    <t>T-00146-0240</t>
  </si>
  <si>
    <t>T-00146-0241</t>
  </si>
  <si>
    <t>T-00146-0242</t>
  </si>
  <si>
    <t>T-00146-0243</t>
  </si>
  <si>
    <t>T-00146-0244</t>
  </si>
  <si>
    <t>T-00146-0245</t>
  </si>
  <si>
    <t>T-00146-0246</t>
  </si>
  <si>
    <t>T-00146-0247</t>
  </si>
  <si>
    <t>T-00146-0248</t>
  </si>
  <si>
    <t>T-00146-0249</t>
  </si>
  <si>
    <t>T-00146-0250</t>
  </si>
  <si>
    <t>T-00146-0251</t>
  </si>
  <si>
    <t>T-00146-0252</t>
  </si>
  <si>
    <t>T-00146-0253</t>
  </si>
  <si>
    <t>T-00146-0254</t>
  </si>
  <si>
    <t>T-00146-0255</t>
  </si>
  <si>
    <t>T-00146-0256</t>
  </si>
  <si>
    <t>T-00146-0257</t>
  </si>
  <si>
    <t>T-00146-0258</t>
  </si>
  <si>
    <t>T-00146-0259</t>
  </si>
  <si>
    <t>T-00146-0260</t>
  </si>
  <si>
    <t>T-00146-0261</t>
  </si>
  <si>
    <t>T-00146-0262</t>
  </si>
  <si>
    <t>T-00146-0263</t>
  </si>
  <si>
    <t>T-00146-0264</t>
  </si>
  <si>
    <t>T-00146-0265</t>
  </si>
  <si>
    <t>T-00146-0266</t>
  </si>
  <si>
    <t>T-00146-0267</t>
  </si>
  <si>
    <t>T-00146-0268</t>
  </si>
  <si>
    <t>T-00146-0269</t>
  </si>
  <si>
    <t>T-00146-0270</t>
  </si>
  <si>
    <t>T-00146-0271</t>
  </si>
  <si>
    <t>T-00146-0272</t>
  </si>
  <si>
    <t>T-00146-0273</t>
  </si>
  <si>
    <t>T-00146-0274</t>
  </si>
  <si>
    <t>T-00146-0275</t>
  </si>
  <si>
    <t>T-00146-0276</t>
  </si>
  <si>
    <t>T-00146-0277</t>
  </si>
  <si>
    <t>T-00146-0278</t>
  </si>
  <si>
    <t>T-00146-0279</t>
  </si>
  <si>
    <t>T-00146-0280</t>
  </si>
  <si>
    <t>T-00146-0282</t>
  </si>
  <si>
    <t>T-00146-0283</t>
  </si>
  <si>
    <t>T-00146-0418</t>
  </si>
  <si>
    <t>T-00146-0419</t>
  </si>
  <si>
    <t>T-00146-0420</t>
  </si>
  <si>
    <t>T-00146-0421</t>
  </si>
  <si>
    <t>T-00146-0422</t>
  </si>
  <si>
    <t>T-00146-0423</t>
  </si>
  <si>
    <t>T-00146-0424</t>
  </si>
  <si>
    <t>Sample Connection - Type 4</t>
  </si>
  <si>
    <t>T-00146-0449</t>
  </si>
  <si>
    <t>PS5-60-SPZQ-0081A</t>
  </si>
  <si>
    <t>Sample Connection - Type 5</t>
  </si>
  <si>
    <t>T-00146-0450</t>
  </si>
  <si>
    <t>PS5-60-SPZQ-0081B</t>
  </si>
  <si>
    <t>T-00146-0451</t>
  </si>
  <si>
    <t>PS5-60-SPZQ-0081C</t>
  </si>
  <si>
    <t>T-00146-0452</t>
  </si>
  <si>
    <t>PS5-60-SPZQ-0081D</t>
  </si>
  <si>
    <t>T-00146-0453</t>
  </si>
  <si>
    <t>PS5-60-SPZQ-0081E</t>
  </si>
  <si>
    <t>T-00146-0454</t>
  </si>
  <si>
    <t>PS5-60-SPZQ-0081F</t>
  </si>
  <si>
    <t>T-00146-0455</t>
  </si>
  <si>
    <t>PS5-60-SPZQ-0081G</t>
  </si>
  <si>
    <t>T-00146-0461</t>
  </si>
  <si>
    <t>PS5-71-SPZQ-0070</t>
  </si>
  <si>
    <t>T-00171-4342</t>
  </si>
  <si>
    <t>PS5-60-IE-0003B-CA02</t>
  </si>
  <si>
    <t>CIX09 - Telecom cable power / Control / Multicore</t>
  </si>
  <si>
    <t>Cable FROM PS5-60-IE-0003A TO PS5-60-IE-0003B</t>
  </si>
  <si>
    <t>Telecom Cable Power/Control/Multicore</t>
  </si>
  <si>
    <t>T-00171-4343</t>
  </si>
  <si>
    <t>PS5-60-IE-0003B-CA03</t>
  </si>
  <si>
    <t>T-00171-4344</t>
  </si>
  <si>
    <t>PS5-60-IE-0003B-CA04</t>
  </si>
  <si>
    <t>T-00171-4345</t>
  </si>
  <si>
    <t>PS5-60-IE-0003B-CA05</t>
  </si>
  <si>
    <t>T-00171-4346</t>
  </si>
  <si>
    <t>PS5-60-IE-0003C-CA02</t>
  </si>
  <si>
    <t>Cable FROM PS5-60-IE-0003B TO PS5-60-IE-0003C</t>
  </si>
  <si>
    <t>T-00171-4347</t>
  </si>
  <si>
    <t>PS5-60-IE-0003C-CA03</t>
  </si>
  <si>
    <t>T-00171-4348</t>
  </si>
  <si>
    <t>PS5-60-IE-0003C-CA04</t>
  </si>
  <si>
    <t>T-00171-4349</t>
  </si>
  <si>
    <t>PS5-60-IE-0003C-CA05</t>
  </si>
  <si>
    <t>T-00171-4350</t>
  </si>
  <si>
    <t>PS5-60-IE-0003D-CA02</t>
  </si>
  <si>
    <t>Cable FROM PS5-60-IE-0003C TO PS5-60-IE-0003D</t>
  </si>
  <si>
    <t>T-00171-4351</t>
  </si>
  <si>
    <t>PS5-60-IE-0003D-CA03</t>
  </si>
  <si>
    <t>T-00171-4352</t>
  </si>
  <si>
    <t>PS5-60-IE-0003D-CA04</t>
  </si>
  <si>
    <t>T-00171-4353</t>
  </si>
  <si>
    <t>PS5-60-IE-0003D-CA05</t>
  </si>
  <si>
    <t>T-00171-4354</t>
  </si>
  <si>
    <t>PS5-60-IE-0003E-CA02</t>
  </si>
  <si>
    <t>Cable FROM PS5-60-IE-0003D TO PS5-60-IE-0003E</t>
  </si>
  <si>
    <t>T-00171-4355</t>
  </si>
  <si>
    <t>PS5-60-IE-0003E-CA03</t>
  </si>
  <si>
    <t>T-00171-4356</t>
  </si>
  <si>
    <t>PS5-60-IE-0003E-CA04</t>
  </si>
  <si>
    <t>T-00171-4357</t>
  </si>
  <si>
    <t>PS5-60-IE-0003E-CA05</t>
  </si>
  <si>
    <t>T-00171-4358</t>
  </si>
  <si>
    <t>PS5-60-IE-0003F-CA02</t>
  </si>
  <si>
    <t>Cable FROM PS5-60-IE-0003E TO PS5-60-IE-0003F</t>
  </si>
  <si>
    <t>T-00171-4359</t>
  </si>
  <si>
    <t>PS5-60-IE-0003F-CA03</t>
  </si>
  <si>
    <t>T-00171-4360</t>
  </si>
  <si>
    <t>PS5-60-IE-0003F-CA04</t>
  </si>
  <si>
    <t>T-00171-4361</t>
  </si>
  <si>
    <t>PS5-60-IE-0003F-CA05</t>
  </si>
  <si>
    <t>T-00171-4362</t>
  </si>
  <si>
    <t>PS5-60-IE-0003G-CA03</t>
  </si>
  <si>
    <t>Cable FROM PS5-60-IE-0003F TO PS5-60-IE-0003G</t>
  </si>
  <si>
    <t>T-00171-4363</t>
  </si>
  <si>
    <t>PS5-60-IE-0003G-CA04</t>
  </si>
  <si>
    <t>T-00171-4364</t>
  </si>
  <si>
    <t>PS5-60-IE-0003G-CA05</t>
  </si>
  <si>
    <t>T-00171-4365</t>
  </si>
  <si>
    <t>PS5-60-IE-0004-CA01</t>
  </si>
  <si>
    <t>T-00171-4366</t>
  </si>
  <si>
    <t>PS5-60-IE-0004-CA07</t>
  </si>
  <si>
    <t>T-00171-4367</t>
  </si>
  <si>
    <t>PS5-60-IE-0004-CA08</t>
  </si>
  <si>
    <t>T-00171-4368</t>
  </si>
  <si>
    <t>PS5-60-IE-0004-CA14</t>
  </si>
  <si>
    <t>T-00171-4369</t>
  </si>
  <si>
    <t>PS5-60-IE-0004-CA15</t>
  </si>
  <si>
    <t>T-00171-4370</t>
  </si>
  <si>
    <t>PS5-60-IE-0004-CA21</t>
  </si>
  <si>
    <t>T-00171-4371</t>
  </si>
  <si>
    <t>PS5-60-IH-0001A-CA01</t>
  </si>
  <si>
    <t>Cable FROM PS5-60-IE-0003G TO PS5-60-IH-0001A</t>
  </si>
  <si>
    <t>T-00171-4372</t>
  </si>
  <si>
    <t>PS5-60-IH-0001B-CA01</t>
  </si>
  <si>
    <t>Cable FROM PS5-60-IE-0001B TO PS5-60-IH-0001B</t>
  </si>
  <si>
    <t>T-00171-4373</t>
  </si>
  <si>
    <t>PS5-60-IH-0001C-CA01</t>
  </si>
  <si>
    <t>Cable FROM PS5-60-IE-0001C TO PS5-60-IH-0001C</t>
  </si>
  <si>
    <t>T-00171-4374</t>
  </si>
  <si>
    <t>PS5-60-IH-0001D-CA01</t>
  </si>
  <si>
    <t>Cable FROM PS5-60-IE-0001D TO PS5-60-IH-0001D</t>
  </si>
  <si>
    <t>T-00171-4375</t>
  </si>
  <si>
    <t>PS5-60-IH-0001E-CA01</t>
  </si>
  <si>
    <t>Cable FROM PS5-60-IE-0001E TO PS5-60-IH-0001E</t>
  </si>
  <si>
    <t>T-00171-4376</t>
  </si>
  <si>
    <t>PS5-60-IH-0001F-CA01</t>
  </si>
  <si>
    <t>Cable FROM PS5-60-IE-0001F TO PS5-60-IH-0001F</t>
  </si>
  <si>
    <t>T-00171-4377</t>
  </si>
  <si>
    <t>PS5-60-IH-0001G-CA01</t>
  </si>
  <si>
    <t>Cable FROM PS5-60-IE-0001G TO PS5-60-IH-0001G</t>
  </si>
  <si>
    <t>T-00171-4378</t>
  </si>
  <si>
    <t>PS5-60-IN-0001A-CA01</t>
  </si>
  <si>
    <t>T-00171-4379</t>
  </si>
  <si>
    <t>PS5-60-IN-0001B-CA01</t>
  </si>
  <si>
    <t>T-00171-4380</t>
  </si>
  <si>
    <t>PS5-60-IN-0001C-CA01</t>
  </si>
  <si>
    <t>T-00171-4381</t>
  </si>
  <si>
    <t>PS5-60-IN-0001D-CA01</t>
  </si>
  <si>
    <t>T-00171-4382</t>
  </si>
  <si>
    <t>PS5-60-IN-0001E-CA01</t>
  </si>
  <si>
    <t>T-00171-4383</t>
  </si>
  <si>
    <t>PS5-60-IN-0001F-CA01</t>
  </si>
  <si>
    <t>T-00171-4384</t>
  </si>
  <si>
    <t>PS5-60-IN-0001G-CA01</t>
  </si>
  <si>
    <t>T-00171-4385</t>
  </si>
  <si>
    <t>PS5-60-IN-0002A-CA01</t>
  </si>
  <si>
    <t>T-00171-4386</t>
  </si>
  <si>
    <t>PS5-60-IN-0002B-CA01</t>
  </si>
  <si>
    <t>T-00171-4387</t>
  </si>
  <si>
    <t>PS5-60-IN-0002C-CA01</t>
  </si>
  <si>
    <t>T-00171-4388</t>
  </si>
  <si>
    <t>PS5-60-IN-0002D-CA01</t>
  </si>
  <si>
    <t>T-00171-4389</t>
  </si>
  <si>
    <t>PS5-60-IN-0002E-CA01</t>
  </si>
  <si>
    <t>T-00171-4390</t>
  </si>
  <si>
    <t>PS5-60-IN-0002F-CA01</t>
  </si>
  <si>
    <t>T-00171-4391</t>
  </si>
  <si>
    <t>PS5-60-IN-0002G-CA01</t>
  </si>
  <si>
    <t>T-00171-4392</t>
  </si>
  <si>
    <t>PS5-60-LA-0002B-CA01</t>
  </si>
  <si>
    <t>Cable FROM PS5-60-IE-0004 TO PS5-60-LA-0002B</t>
  </si>
  <si>
    <t>T-00171-4393</t>
  </si>
  <si>
    <t>PS5-60-LA-0002B-CA02</t>
  </si>
  <si>
    <t>Cable FROM PS5-60-LA-0002A TO PS5-60-LA-0002B</t>
  </si>
  <si>
    <t>T-00171-4394</t>
  </si>
  <si>
    <t>PS5-60-LA-0002B-CA03</t>
  </si>
  <si>
    <t>T-00171-4395</t>
  </si>
  <si>
    <t>PS5-60-LA-0002B-CA04</t>
  </si>
  <si>
    <t>T-00171-4396</t>
  </si>
  <si>
    <t>PS5-60-LA-0002B-CA05</t>
  </si>
  <si>
    <t>Cable FROM PS5-60-LA-0002C TO PS5-60-LA-0002B</t>
  </si>
  <si>
    <t>T-00171-4397</t>
  </si>
  <si>
    <t>PS5-60-LA-0002B-CA06</t>
  </si>
  <si>
    <t>T-00171-4398</t>
  </si>
  <si>
    <t>PS5-60-LA-0002C-CA01</t>
  </si>
  <si>
    <t>Cable FROM PS5-60-IE-0004 TO PS5-60-LA-0002C</t>
  </si>
  <si>
    <t>T-00171-4399</t>
  </si>
  <si>
    <t>PS5-60-LA-0002C-CA02</t>
  </si>
  <si>
    <t>Cable FROM PS5-60-LA-0002A TO PS5-60-LA-0002C</t>
  </si>
  <si>
    <t>T-00171-4400</t>
  </si>
  <si>
    <t>PS5-60-LA-0002C-CA03</t>
  </si>
  <si>
    <t>T-00171-4401</t>
  </si>
  <si>
    <t>PS5-60-LA-0002C-CA04</t>
  </si>
  <si>
    <t>T-00171-4402</t>
  </si>
  <si>
    <t>PS5-60-LA-0002C-CA05</t>
  </si>
  <si>
    <t>Cable FROM PS5-60-LA-0002B TO PS5-60-LA-0002C</t>
  </si>
  <si>
    <t>T-00171-4403</t>
  </si>
  <si>
    <t>PS5-60-LA-0002C-CA06</t>
  </si>
  <si>
    <t>T-00171-4404</t>
  </si>
  <si>
    <t>PS5-60-SEA-0001-CA01</t>
  </si>
  <si>
    <t>T-00171-4407</t>
  </si>
  <si>
    <t>PS5-71-IN-0002-CA01</t>
  </si>
  <si>
    <t>T-00171-4408</t>
  </si>
  <si>
    <t>PS5-71-IN-0003-CA01</t>
  </si>
  <si>
    <t>CLX01 - Pipework Test Pack composition</t>
  </si>
  <si>
    <t>Piping Test Preparations</t>
  </si>
  <si>
    <t>40</t>
  </si>
  <si>
    <t>Pipework Test Pack Composition</t>
  </si>
  <si>
    <t>T-00214-0231</t>
  </si>
  <si>
    <t>EACOP-PS5-60-01-0151</t>
  </si>
  <si>
    <t>T-00214-0232</t>
  </si>
  <si>
    <t>EACOP-PS5-60-01-0152</t>
  </si>
  <si>
    <t>T-00214-0233</t>
  </si>
  <si>
    <t>EACOP-PS5-60-01-0153</t>
  </si>
  <si>
    <t>T-00214-0234</t>
  </si>
  <si>
    <t>EACOP-PS5-60-04-0154</t>
  </si>
  <si>
    <t>T-00214-0235</t>
  </si>
  <si>
    <t>EACOP-PS5-60-04-0155</t>
  </si>
  <si>
    <t>T-00214-0236</t>
  </si>
  <si>
    <t>EACOP-PS5-60-04-0156</t>
  </si>
  <si>
    <t>T-00214-0237</t>
  </si>
  <si>
    <t>EACOP-PS5-60-07-0157</t>
  </si>
  <si>
    <t>T-00214-0238</t>
  </si>
  <si>
    <t>EACOP-PS5-60-07-0158</t>
  </si>
  <si>
    <t>T-00214-0239</t>
  </si>
  <si>
    <t>EACOP-PS5-60-07-0159</t>
  </si>
  <si>
    <t>T-00214-0240</t>
  </si>
  <si>
    <t>EACOP-PS5-60-10-0160</t>
  </si>
  <si>
    <t>T-00214-0241</t>
  </si>
  <si>
    <t>EACOP-PS5-60-10-0161</t>
  </si>
  <si>
    <t>T-00214-0242</t>
  </si>
  <si>
    <t>EACOP-PS5-60-10-0162</t>
  </si>
  <si>
    <t>T-00214-0243</t>
  </si>
  <si>
    <t>EACOP-PS5-60-13-0163</t>
  </si>
  <si>
    <t>T-00214-0244</t>
  </si>
  <si>
    <t>EACOP-PS5-60-13-0164</t>
  </si>
  <si>
    <t>T-00214-0245</t>
  </si>
  <si>
    <t>EACOP-PS5-60-13-0165</t>
  </si>
  <si>
    <t>T-00214-0246</t>
  </si>
  <si>
    <t>EACOP-PS5-60-16-0166</t>
  </si>
  <si>
    <t>T-00214-0247</t>
  </si>
  <si>
    <t>EACOP-PS5-60-16-0167</t>
  </si>
  <si>
    <t>T-00214-0248</t>
  </si>
  <si>
    <t>EACOP-PS5-60-16-0168</t>
  </si>
  <si>
    <t>T-00214-0249</t>
  </si>
  <si>
    <t>EACOP-PS5-60-19-0169</t>
  </si>
  <si>
    <t>T-00214-0250</t>
  </si>
  <si>
    <t>EACOP-PS5-60-19-0170</t>
  </si>
  <si>
    <t>T-00214-0251</t>
  </si>
  <si>
    <t>EACOP-PS5-60-19-0171</t>
  </si>
  <si>
    <t>T-00214-0267</t>
  </si>
  <si>
    <t>EACOP-PS5-60-26-0183</t>
  </si>
  <si>
    <t>T-00214-0268</t>
  </si>
  <si>
    <t>EACOP-PS5-60-26-0184</t>
  </si>
  <si>
    <t>T-00214-0269</t>
  </si>
  <si>
    <t>EACOP-PS5-60-27-0185</t>
  </si>
  <si>
    <t>T-00214-0270</t>
  </si>
  <si>
    <t>EACOP-PS5-60-27-0186</t>
  </si>
  <si>
    <t>T-00214-0278</t>
  </si>
  <si>
    <t>EACOP-PS5-60-35-0194</t>
  </si>
  <si>
    <t>T-00214-0279</t>
  </si>
  <si>
    <t>EACOP-PS5-60-35-0195</t>
  </si>
  <si>
    <t>T-00214-0280</t>
  </si>
  <si>
    <t>EACOP-PS5-60-36-0196</t>
  </si>
  <si>
    <t>T-00214-0281</t>
  </si>
  <si>
    <t>EACOP-PS5-60-36-0197</t>
  </si>
  <si>
    <t>T-00214-0282</t>
  </si>
  <si>
    <t>EACOP-PS5-60-37-0198</t>
  </si>
  <si>
    <t>T-00214-0283</t>
  </si>
  <si>
    <t>EACOP-PS5-60-37-0199</t>
  </si>
  <si>
    <t>T-00214-0284</t>
  </si>
  <si>
    <t>EACOP-PS5-60-38-0200</t>
  </si>
  <si>
    <t>T-00214-0285</t>
  </si>
  <si>
    <t>EACOP-PS5-60-38-0201</t>
  </si>
  <si>
    <t>T-00214-0286</t>
  </si>
  <si>
    <t>EACOP-PS5-60-39-0202</t>
  </si>
  <si>
    <t>T-00214-0287</t>
  </si>
  <si>
    <t>EACOP-PS5-60-39-0203</t>
  </si>
  <si>
    <t>T-00214-0288</t>
  </si>
  <si>
    <t>EACOP-PS5-60-40-0204</t>
  </si>
  <si>
    <t>T-00214-0289</t>
  </si>
  <si>
    <t>EACOP-PS5-60-40-0205</t>
  </si>
  <si>
    <t>T-00214-0290</t>
  </si>
  <si>
    <t>EACOP-PS5-60-41-0206</t>
  </si>
  <si>
    <t>T-00214-0291</t>
  </si>
  <si>
    <t>EACOP-PS5-60-41-0207</t>
  </si>
  <si>
    <t>T-00214-0292</t>
  </si>
  <si>
    <t>EACOP-PS5-60-42-0208</t>
  </si>
  <si>
    <t>T-00214-0293</t>
  </si>
  <si>
    <t>EACOP-PS5-60-42-0209</t>
  </si>
  <si>
    <t>T-00214-0294</t>
  </si>
  <si>
    <t>EACOP-PS5-60-43-0210</t>
  </si>
  <si>
    <t>T-00214-0295</t>
  </si>
  <si>
    <t>EACOP-PS5-60-43-0211</t>
  </si>
  <si>
    <t>T-00214-0296</t>
  </si>
  <si>
    <t>EACOP-PS5-60-44-0212</t>
  </si>
  <si>
    <t>T-00214-0297</t>
  </si>
  <si>
    <t>EACOP-PS5-60-44-0213</t>
  </si>
  <si>
    <t>T-00214-0298</t>
  </si>
  <si>
    <t>EACOP-PS5-60-45-0214</t>
  </si>
  <si>
    <t>T-00214-0299</t>
  </si>
  <si>
    <t>EACOP-PS5-60-45-0215</t>
  </si>
  <si>
    <t>T-00214-0300</t>
  </si>
  <si>
    <t>EACOP-PS5-60-46-0216</t>
  </si>
  <si>
    <t>T-00214-0301</t>
  </si>
  <si>
    <t>EACOP-PS5-60-46-0217</t>
  </si>
  <si>
    <t>T-00214-0302</t>
  </si>
  <si>
    <t>EACOP-PS5-60-47-0218</t>
  </si>
  <si>
    <t>T-00214-0303</t>
  </si>
  <si>
    <t>EACOP-PS5-60-47-0219</t>
  </si>
  <si>
    <t>T-00214-0304</t>
  </si>
  <si>
    <t>EACOP-PS5-60-48-0220</t>
  </si>
  <si>
    <t>T-00214-0305</t>
  </si>
  <si>
    <t>EACOP-PS5-60-48-0221</t>
  </si>
  <si>
    <t>T-00214-0306</t>
  </si>
  <si>
    <t>EACOP-PS5-60-49-0222</t>
  </si>
  <si>
    <t>T-00214-0307</t>
  </si>
  <si>
    <t>EACOP-PS5-60-49-0223</t>
  </si>
  <si>
    <t>T-00214-0308</t>
  </si>
  <si>
    <t>EACOP-PS5-60-50-0224</t>
  </si>
  <si>
    <t>T-00214-0309</t>
  </si>
  <si>
    <t>EACOP-PS5-60-50-0225</t>
  </si>
  <si>
    <t>T-00214-0310</t>
  </si>
  <si>
    <t>EACOP-PS5-60-51-0226</t>
  </si>
  <si>
    <t>T-00214-0311</t>
  </si>
  <si>
    <t>EACOP-PS5-60-51-0227</t>
  </si>
  <si>
    <t>T-00214-0312</t>
  </si>
  <si>
    <t>EACOP-PS5-60-52-0228</t>
  </si>
  <si>
    <t>T-00214-0313</t>
  </si>
  <si>
    <t>EACOP-PS5-60-52-0229</t>
  </si>
  <si>
    <t>T-00214-0314</t>
  </si>
  <si>
    <t>EACOP-PS5-60-53-0230</t>
  </si>
  <si>
    <t>T-00214-0315</t>
  </si>
  <si>
    <t>EACOP-PS5-60-53-0231</t>
  </si>
  <si>
    <t>T-00214-0316</t>
  </si>
  <si>
    <t>EACOP-PS5-60-54-0232</t>
  </si>
  <si>
    <t>T-00214-0317</t>
  </si>
  <si>
    <t>EACOP-PS5-60-54-0233</t>
  </si>
  <si>
    <t>T-00214-0318</t>
  </si>
  <si>
    <t>EACOP-PS5-60-55-0234</t>
  </si>
  <si>
    <t>T-00214-0319</t>
  </si>
  <si>
    <t>EACOP-PS5-60-55-0235</t>
  </si>
  <si>
    <t>T-00214-0320</t>
  </si>
  <si>
    <t>EACOP-PS5-60-56-0236</t>
  </si>
  <si>
    <t>T-00214-0321</t>
  </si>
  <si>
    <t>EACOP-PS5-60-56-0237</t>
  </si>
  <si>
    <t>T-00214-0322</t>
  </si>
  <si>
    <t>EACOP-PS5-60-58-0238</t>
  </si>
  <si>
    <t>T-00214-0323</t>
  </si>
  <si>
    <t>EACOP-PS5-60-58-0239</t>
  </si>
  <si>
    <t>T-00214-0324</t>
  </si>
  <si>
    <t>EACOP-PS5-60-60-0240</t>
  </si>
  <si>
    <t>T-00214-0325</t>
  </si>
  <si>
    <t>EACOP-PS5-60-60-0241</t>
  </si>
  <si>
    <t>T-00214-0326</t>
  </si>
  <si>
    <t>EACOP-PS5-60-62-0242</t>
  </si>
  <si>
    <t>T-00214-0327</t>
  </si>
  <si>
    <t>EACOP-PS5-60-62-0243</t>
  </si>
  <si>
    <t>T-00214-0328</t>
  </si>
  <si>
    <t>EACOP-PS5-60-64-0244</t>
  </si>
  <si>
    <t>T-00214-0329</t>
  </si>
  <si>
    <t>EACOP-PS5-60-64-0245</t>
  </si>
  <si>
    <t>T-00214-0330</t>
  </si>
  <si>
    <t>EACOP-PS5-60-66-0246</t>
  </si>
  <si>
    <t>T-00214-0331</t>
  </si>
  <si>
    <t>EACOP-PS5-60-66-0247</t>
  </si>
  <si>
    <t>T-00214-0332</t>
  </si>
  <si>
    <t>EACOP-PS5-60-68-0248</t>
  </si>
  <si>
    <t>T-00214-0333</t>
  </si>
  <si>
    <t>EACOP-PS5-60-68-0249</t>
  </si>
  <si>
    <t>T-00214-0334</t>
  </si>
  <si>
    <t>EACOP-PS5-60-70-0250</t>
  </si>
  <si>
    <t>T-00214-0335</t>
  </si>
  <si>
    <t>EACOP-PS5-60-70-0251</t>
  </si>
  <si>
    <t>T-00214-0336</t>
  </si>
  <si>
    <t>EACOP-PS5-60-70-0252</t>
  </si>
  <si>
    <t>T-00214-0337</t>
  </si>
  <si>
    <t>EACOP-PS5-60-70-0253</t>
  </si>
  <si>
    <t>T-00214-0338</t>
  </si>
  <si>
    <t>EACOP-PS5-60-70-0254</t>
  </si>
  <si>
    <t>T-00214-0339</t>
  </si>
  <si>
    <t>EACOP-PS5-60-70-0255</t>
  </si>
  <si>
    <t>T-00214-0340</t>
  </si>
  <si>
    <t>EACOP-PS5-60-71-0256</t>
  </si>
  <si>
    <t>T-00214-0341</t>
  </si>
  <si>
    <t>EACOP-PS5-60-71-0257</t>
  </si>
  <si>
    <t>T-00214-0342</t>
  </si>
  <si>
    <t>EACOP-PS5-60-71-0258</t>
  </si>
  <si>
    <t>T-00214-0343</t>
  </si>
  <si>
    <t>EACOP-PS5-60-71-0259</t>
  </si>
  <si>
    <t>T-00214-0344</t>
  </si>
  <si>
    <t>EACOP-PS5-60-71-0260</t>
  </si>
  <si>
    <t>T-00214-0345</t>
  </si>
  <si>
    <t>EACOP-PS5-60-71-0261</t>
  </si>
  <si>
    <t>T-00214-0346</t>
  </si>
  <si>
    <t>EACOP-PS5-60-72-0262</t>
  </si>
  <si>
    <t>T-00214-0347</t>
  </si>
  <si>
    <t>EACOP-PS5-60-72-0263</t>
  </si>
  <si>
    <t>T-00214-0348</t>
  </si>
  <si>
    <t>EACOP-PS5-60-72-0264</t>
  </si>
  <si>
    <t>T-00214-0349</t>
  </si>
  <si>
    <t>EACOP-PS5-60-72-0265</t>
  </si>
  <si>
    <t>T-00214-0350</t>
  </si>
  <si>
    <t>EACOP-PS5-60-72-0266</t>
  </si>
  <si>
    <t>T-00214-0351</t>
  </si>
  <si>
    <t>EACOP-PS5-60-72-0267</t>
  </si>
  <si>
    <t>T-00214-0352</t>
  </si>
  <si>
    <t>EACOP-PS5-60-73-0268</t>
  </si>
  <si>
    <t>T-00214-0353</t>
  </si>
  <si>
    <t>EACOP-PS5-60-73-0269</t>
  </si>
  <si>
    <t>T-00214-0354</t>
  </si>
  <si>
    <t>EACOP-PS5-60-73-0270</t>
  </si>
  <si>
    <t>T-00214-0355</t>
  </si>
  <si>
    <t>EACOP-PS5-60-73-0271</t>
  </si>
  <si>
    <t>T-00214-0356</t>
  </si>
  <si>
    <t>EACOP-PS5-60-73-0272</t>
  </si>
  <si>
    <t>T-00214-0357</t>
  </si>
  <si>
    <t>EACOP-PS5-60-73-0273</t>
  </si>
  <si>
    <t>T-00214-0358</t>
  </si>
  <si>
    <t>EACOP-PS5-60-74-0274</t>
  </si>
  <si>
    <t>T-00214-0359</t>
  </si>
  <si>
    <t>EACOP-PS5-60-74-0275</t>
  </si>
  <si>
    <t>T-00214-0360</t>
  </si>
  <si>
    <t>EACOP-PS5-60-74-0276</t>
  </si>
  <si>
    <t>T-00214-0361</t>
  </si>
  <si>
    <t>EACOP-PS5-60-74-0277</t>
  </si>
  <si>
    <t>T-00214-0362</t>
  </si>
  <si>
    <t>EACOP-PS5-60-74-0278</t>
  </si>
  <si>
    <t>T-00214-0363</t>
  </si>
  <si>
    <t>EACOP-PS5-60-74-0279</t>
  </si>
  <si>
    <t>T-00214-0364</t>
  </si>
  <si>
    <t>EACOP-PS5-60-75-0280</t>
  </si>
  <si>
    <t>T-00214-0365</t>
  </si>
  <si>
    <t>EACOP-PS5-60-75-0281</t>
  </si>
  <si>
    <t>T-00214-0366</t>
  </si>
  <si>
    <t>EACOP-PS5-60-75-0282</t>
  </si>
  <si>
    <t>T-00214-0367</t>
  </si>
  <si>
    <t>EACOP-PS5-60-75-0283</t>
  </si>
  <si>
    <t>T-00214-0368</t>
  </si>
  <si>
    <t>EACOP-PS5-60-75-0284</t>
  </si>
  <si>
    <t>T-00214-0369</t>
  </si>
  <si>
    <t>EACOP-PS5-60-75-0285</t>
  </si>
  <si>
    <t>T-00214-0370</t>
  </si>
  <si>
    <t>EACOP-PS5-60-76-0286</t>
  </si>
  <si>
    <t>T-00214-0371</t>
  </si>
  <si>
    <t>EACOP-PS5-60-76-0287</t>
  </si>
  <si>
    <t>T-00214-0372</t>
  </si>
  <si>
    <t>EACOP-PS5-60-76-0288</t>
  </si>
  <si>
    <t>T-00214-0373</t>
  </si>
  <si>
    <t>EACOP-PS5-60-76-0289</t>
  </si>
  <si>
    <t>T-00214-0374</t>
  </si>
  <si>
    <t>EACOP-PS5-60-76-0290</t>
  </si>
  <si>
    <t>T-00214-0375</t>
  </si>
  <si>
    <t>EACOP-PS5-60-76-0291</t>
  </si>
  <si>
    <t>T-00214-0391</t>
  </si>
  <si>
    <t>EACOP-PS5-71-06-0307</t>
  </si>
  <si>
    <t>T-00214-0392</t>
  </si>
  <si>
    <t>EACOP-PS5-71-06-0308</t>
  </si>
  <si>
    <t>T-00214-0393</t>
  </si>
  <si>
    <t>EACOP-PS5-71-06-0378</t>
  </si>
  <si>
    <t>T-00214-0394</t>
  </si>
  <si>
    <t>EACOP-PS5-71-08-0309</t>
  </si>
  <si>
    <t>T-00214-0395</t>
  </si>
  <si>
    <t>EACOP-PS5-71-08-0310</t>
  </si>
  <si>
    <t>T-00214-0418</t>
  </si>
  <si>
    <t>EACOP-PS5-71-22-0333</t>
  </si>
  <si>
    <t>T-00214-0419</t>
  </si>
  <si>
    <t>EACOP-PS5-71-22-0334</t>
  </si>
  <si>
    <t>T-00214-0420</t>
  </si>
  <si>
    <t>EACOP-PS5-71-22-0335</t>
  </si>
  <si>
    <t>T-00214-0421</t>
  </si>
  <si>
    <t>EACOP-PS5-71-22-0336</t>
  </si>
  <si>
    <t>T-00214-0422</t>
  </si>
  <si>
    <t>EACOP-PS5-71-22-0337</t>
  </si>
  <si>
    <t>T-00214-0512</t>
  </si>
  <si>
    <t>EACOP-PS5-60-42-0046</t>
  </si>
  <si>
    <t>T-00214-0513</t>
  </si>
  <si>
    <t>EACOP-PS5-60-43-0091</t>
  </si>
  <si>
    <t>T-00214-0514</t>
  </si>
  <si>
    <t>EACOP-PS5-60-44-0421</t>
  </si>
  <si>
    <t>T-00214-0515</t>
  </si>
  <si>
    <t>EACOP-PS5-60-45-0422</t>
  </si>
  <si>
    <t>T-00214-0516</t>
  </si>
  <si>
    <t>EACOP-PS5-60-46-0423</t>
  </si>
  <si>
    <t>T-00214-0517</t>
  </si>
  <si>
    <t>EACOP-PS5-60-47-0424</t>
  </si>
  <si>
    <t>T-00214-0518</t>
  </si>
  <si>
    <t>EACOP-PS5-60-48-0065</t>
  </si>
  <si>
    <t>CLX02A - Pipework before test</t>
  </si>
  <si>
    <t>Pipework Before Test</t>
  </si>
  <si>
    <t>T-00215-0231</t>
  </si>
  <si>
    <t>T-00215-0232</t>
  </si>
  <si>
    <t>T-00215-0233</t>
  </si>
  <si>
    <t>T-00215-0234</t>
  </si>
  <si>
    <t>T-00215-0235</t>
  </si>
  <si>
    <t>T-00215-0236</t>
  </si>
  <si>
    <t>T-00215-0237</t>
  </si>
  <si>
    <t>T-00215-0238</t>
  </si>
  <si>
    <t>T-00215-0239</t>
  </si>
  <si>
    <t>T-00215-0240</t>
  </si>
  <si>
    <t>T-00215-0241</t>
  </si>
  <si>
    <t>T-00215-0242</t>
  </si>
  <si>
    <t>T-00215-0243</t>
  </si>
  <si>
    <t>T-00215-0244</t>
  </si>
  <si>
    <t>T-00215-0245</t>
  </si>
  <si>
    <t>T-00215-0246</t>
  </si>
  <si>
    <t>T-00215-0247</t>
  </si>
  <si>
    <t>T-00215-0248</t>
  </si>
  <si>
    <t>T-00215-0249</t>
  </si>
  <si>
    <t>T-00215-0250</t>
  </si>
  <si>
    <t>T-00215-0251</t>
  </si>
  <si>
    <t>T-00215-0267</t>
  </si>
  <si>
    <t>T-00215-0268</t>
  </si>
  <si>
    <t>T-00215-0269</t>
  </si>
  <si>
    <t>T-00215-0270</t>
  </si>
  <si>
    <t>T-00215-0278</t>
  </si>
  <si>
    <t>T-00215-0279</t>
  </si>
  <si>
    <t>T-00215-0280</t>
  </si>
  <si>
    <t>T-00215-0281</t>
  </si>
  <si>
    <t>T-00215-0282</t>
  </si>
  <si>
    <t>T-00215-0283</t>
  </si>
  <si>
    <t>T-00215-0284</t>
  </si>
  <si>
    <t>T-00215-0285</t>
  </si>
  <si>
    <t>T-00215-0286</t>
  </si>
  <si>
    <t>T-00215-0287</t>
  </si>
  <si>
    <t>T-00215-0288</t>
  </si>
  <si>
    <t>T-00215-0289</t>
  </si>
  <si>
    <t>T-00215-0290</t>
  </si>
  <si>
    <t>T-00215-0291</t>
  </si>
  <si>
    <t>T-00215-0292</t>
  </si>
  <si>
    <t>T-00215-0293</t>
  </si>
  <si>
    <t>T-00215-0294</t>
  </si>
  <si>
    <t>T-00215-0295</t>
  </si>
  <si>
    <t>T-00215-0296</t>
  </si>
  <si>
    <t>T-00215-0297</t>
  </si>
  <si>
    <t>T-00215-0298</t>
  </si>
  <si>
    <t>T-00215-0299</t>
  </si>
  <si>
    <t>T-00215-0300</t>
  </si>
  <si>
    <t>T-00215-0301</t>
  </si>
  <si>
    <t>T-00215-0302</t>
  </si>
  <si>
    <t>T-00215-0303</t>
  </si>
  <si>
    <t>T-00215-0304</t>
  </si>
  <si>
    <t>T-00215-0305</t>
  </si>
  <si>
    <t>T-00215-0306</t>
  </si>
  <si>
    <t>T-00215-0307</t>
  </si>
  <si>
    <t>T-00215-0308</t>
  </si>
  <si>
    <t>T-00215-0309</t>
  </si>
  <si>
    <t>T-00215-0310</t>
  </si>
  <si>
    <t>T-00215-0311</t>
  </si>
  <si>
    <t>T-00215-0312</t>
  </si>
  <si>
    <t>T-00215-0313</t>
  </si>
  <si>
    <t>T-00215-0314</t>
  </si>
  <si>
    <t>T-00215-0315</t>
  </si>
  <si>
    <t>T-00215-0316</t>
  </si>
  <si>
    <t>T-00215-0317</t>
  </si>
  <si>
    <t>T-00215-0318</t>
  </si>
  <si>
    <t>T-00215-0319</t>
  </si>
  <si>
    <t>T-00215-0320</t>
  </si>
  <si>
    <t>T-00215-0321</t>
  </si>
  <si>
    <t>T-00215-0322</t>
  </si>
  <si>
    <t>T-00215-0323</t>
  </si>
  <si>
    <t>T-00215-0324</t>
  </si>
  <si>
    <t>T-00215-0325</t>
  </si>
  <si>
    <t>T-00215-0326</t>
  </si>
  <si>
    <t>T-00215-0327</t>
  </si>
  <si>
    <t>T-00215-0328</t>
  </si>
  <si>
    <t>T-00215-0329</t>
  </si>
  <si>
    <t>T-00215-0330</t>
  </si>
  <si>
    <t>T-00215-0331</t>
  </si>
  <si>
    <t>T-00215-0332</t>
  </si>
  <si>
    <t>T-00215-0333</t>
  </si>
  <si>
    <t>T-00215-0334</t>
  </si>
  <si>
    <t>T-00215-0335</t>
  </si>
  <si>
    <t>T-00215-0336</t>
  </si>
  <si>
    <t>T-00215-0337</t>
  </si>
  <si>
    <t>T-00215-0338</t>
  </si>
  <si>
    <t>T-00215-0339</t>
  </si>
  <si>
    <t>T-00215-0340</t>
  </si>
  <si>
    <t>T-00215-0341</t>
  </si>
  <si>
    <t>T-00215-0342</t>
  </si>
  <si>
    <t>T-00215-0343</t>
  </si>
  <si>
    <t>T-00215-0344</t>
  </si>
  <si>
    <t>T-00215-0345</t>
  </si>
  <si>
    <t>T-00215-0346</t>
  </si>
  <si>
    <t>T-00215-0347</t>
  </si>
  <si>
    <t>T-00215-0348</t>
  </si>
  <si>
    <t>T-00215-0349</t>
  </si>
  <si>
    <t>T-00215-0350</t>
  </si>
  <si>
    <t>T-00215-0351</t>
  </si>
  <si>
    <t>T-00215-0352</t>
  </si>
  <si>
    <t>T-00215-0353</t>
  </si>
  <si>
    <t>T-00215-0354</t>
  </si>
  <si>
    <t>T-00215-0355</t>
  </si>
  <si>
    <t>T-00215-0356</t>
  </si>
  <si>
    <t>T-00215-0357</t>
  </si>
  <si>
    <t>T-00215-0358</t>
  </si>
  <si>
    <t>T-00215-0359</t>
  </si>
  <si>
    <t>T-00215-0360</t>
  </si>
  <si>
    <t>T-00215-0361</t>
  </si>
  <si>
    <t>T-00215-0362</t>
  </si>
  <si>
    <t>T-00215-0363</t>
  </si>
  <si>
    <t>T-00215-0364</t>
  </si>
  <si>
    <t>T-00215-0365</t>
  </si>
  <si>
    <t>T-00215-0366</t>
  </si>
  <si>
    <t>T-00215-0367</t>
  </si>
  <si>
    <t>T-00215-0368</t>
  </si>
  <si>
    <t>T-00215-0369</t>
  </si>
  <si>
    <t>T-00215-0370</t>
  </si>
  <si>
    <t>T-00215-0371</t>
  </si>
  <si>
    <t>T-00215-0372</t>
  </si>
  <si>
    <t>T-00215-0373</t>
  </si>
  <si>
    <t>T-00215-0374</t>
  </si>
  <si>
    <t>T-00215-0375</t>
  </si>
  <si>
    <t>T-00215-0391</t>
  </si>
  <si>
    <t>T-00215-0392</t>
  </si>
  <si>
    <t>T-00215-0393</t>
  </si>
  <si>
    <t>T-00215-0394</t>
  </si>
  <si>
    <t>T-00215-0395</t>
  </si>
  <si>
    <t>T-00215-0418</t>
  </si>
  <si>
    <t>T-00215-0419</t>
  </si>
  <si>
    <t>T-00215-0420</t>
  </si>
  <si>
    <t>T-00215-0421</t>
  </si>
  <si>
    <t>T-00215-0422</t>
  </si>
  <si>
    <t>T-00215-0512</t>
  </si>
  <si>
    <t>T-00215-0513</t>
  </si>
  <si>
    <t>T-00215-0514</t>
  </si>
  <si>
    <t>T-00215-0515</t>
  </si>
  <si>
    <t>T-00215-0516</t>
  </si>
  <si>
    <t>T-00215-0517</t>
  </si>
  <si>
    <t>T-00215-0518</t>
  </si>
  <si>
    <t>CLX02B - Pipework after test (Reinstatement)</t>
  </si>
  <si>
    <t>Pipework After Test</t>
  </si>
  <si>
    <t>T-00216-0231</t>
  </si>
  <si>
    <t>T-00216-0232</t>
  </si>
  <si>
    <t>T-00216-0233</t>
  </si>
  <si>
    <t>T-00216-0234</t>
  </si>
  <si>
    <t>T-00216-0235</t>
  </si>
  <si>
    <t>T-00216-0236</t>
  </si>
  <si>
    <t>T-00216-0237</t>
  </si>
  <si>
    <t>T-00216-0238</t>
  </si>
  <si>
    <t>T-00216-0239</t>
  </si>
  <si>
    <t>T-00216-0240</t>
  </si>
  <si>
    <t>T-00216-0241</t>
  </si>
  <si>
    <t>T-00216-0242</t>
  </si>
  <si>
    <t>T-00216-0243</t>
  </si>
  <si>
    <t>T-00216-0244</t>
  </si>
  <si>
    <t>T-00216-0245</t>
  </si>
  <si>
    <t>T-00216-0246</t>
  </si>
  <si>
    <t>T-00216-0247</t>
  </si>
  <si>
    <t>T-00216-0248</t>
  </si>
  <si>
    <t>T-00216-0249</t>
  </si>
  <si>
    <t>T-00216-0250</t>
  </si>
  <si>
    <t>T-00216-0251</t>
  </si>
  <si>
    <t>T-00216-0267</t>
  </si>
  <si>
    <t>T-00216-0268</t>
  </si>
  <si>
    <t>T-00216-0269</t>
  </si>
  <si>
    <t>T-00216-0270</t>
  </si>
  <si>
    <t>T-00216-0278</t>
  </si>
  <si>
    <t>T-00216-0279</t>
  </si>
  <si>
    <t>T-00216-0280</t>
  </si>
  <si>
    <t>T-00216-0281</t>
  </si>
  <si>
    <t>T-00216-0282</t>
  </si>
  <si>
    <t>T-00216-0283</t>
  </si>
  <si>
    <t>T-00216-0284</t>
  </si>
  <si>
    <t>T-00216-0285</t>
  </si>
  <si>
    <t>T-00216-0286</t>
  </si>
  <si>
    <t>T-00216-0287</t>
  </si>
  <si>
    <t>T-00216-0288</t>
  </si>
  <si>
    <t>T-00216-0289</t>
  </si>
  <si>
    <t>T-00216-0290</t>
  </si>
  <si>
    <t>T-00216-0291</t>
  </si>
  <si>
    <t>T-00216-0292</t>
  </si>
  <si>
    <t>T-00216-0293</t>
  </si>
  <si>
    <t>T-00216-0294</t>
  </si>
  <si>
    <t>T-00216-0295</t>
  </si>
  <si>
    <t>T-00216-0296</t>
  </si>
  <si>
    <t>T-00216-0297</t>
  </si>
  <si>
    <t>T-00216-0298</t>
  </si>
  <si>
    <t>T-00216-0299</t>
  </si>
  <si>
    <t>T-00216-0300</t>
  </si>
  <si>
    <t>T-00216-0301</t>
  </si>
  <si>
    <t>T-00216-0302</t>
  </si>
  <si>
    <t>T-00216-0303</t>
  </si>
  <si>
    <t>T-00216-0304</t>
  </si>
  <si>
    <t>T-00216-0305</t>
  </si>
  <si>
    <t>T-00216-0306</t>
  </si>
  <si>
    <t>T-00216-0307</t>
  </si>
  <si>
    <t>T-00216-0308</t>
  </si>
  <si>
    <t>T-00216-0309</t>
  </si>
  <si>
    <t>T-00216-0310</t>
  </si>
  <si>
    <t>T-00216-0311</t>
  </si>
  <si>
    <t>T-00216-0312</t>
  </si>
  <si>
    <t>T-00216-0313</t>
  </si>
  <si>
    <t>T-00216-0314</t>
  </si>
  <si>
    <t>T-00216-0315</t>
  </si>
  <si>
    <t>T-00216-0316</t>
  </si>
  <si>
    <t>T-00216-0317</t>
  </si>
  <si>
    <t>T-00216-0318</t>
  </si>
  <si>
    <t>T-00216-0319</t>
  </si>
  <si>
    <t>T-00216-0320</t>
  </si>
  <si>
    <t>T-00216-0321</t>
  </si>
  <si>
    <t>T-00216-0322</t>
  </si>
  <si>
    <t>T-00216-0323</t>
  </si>
  <si>
    <t>T-00216-0324</t>
  </si>
  <si>
    <t>T-00216-0325</t>
  </si>
  <si>
    <t>T-00216-0326</t>
  </si>
  <si>
    <t>T-00216-0327</t>
  </si>
  <si>
    <t>T-00216-0328</t>
  </si>
  <si>
    <t>T-00216-0329</t>
  </si>
  <si>
    <t>T-00216-0330</t>
  </si>
  <si>
    <t>T-00216-0331</t>
  </si>
  <si>
    <t>T-00216-0332</t>
  </si>
  <si>
    <t>T-00216-0333</t>
  </si>
  <si>
    <t>T-00216-0334</t>
  </si>
  <si>
    <t>T-00216-0335</t>
  </si>
  <si>
    <t>T-00216-0336</t>
  </si>
  <si>
    <t>T-00216-0337</t>
  </si>
  <si>
    <t>T-00216-0338</t>
  </si>
  <si>
    <t>T-00216-0339</t>
  </si>
  <si>
    <t>T-00216-0340</t>
  </si>
  <si>
    <t>T-00216-0341</t>
  </si>
  <si>
    <t>T-00216-0342</t>
  </si>
  <si>
    <t>T-00216-0343</t>
  </si>
  <si>
    <t>T-00216-0344</t>
  </si>
  <si>
    <t>T-00216-0345</t>
  </si>
  <si>
    <t>T-00216-0346</t>
  </si>
  <si>
    <t>T-00216-0347</t>
  </si>
  <si>
    <t>T-00216-0348</t>
  </si>
  <si>
    <t>T-00216-0349</t>
  </si>
  <si>
    <t>T-00216-0350</t>
  </si>
  <si>
    <t>T-00216-0351</t>
  </si>
  <si>
    <t>T-00216-0352</t>
  </si>
  <si>
    <t>T-00216-0353</t>
  </si>
  <si>
    <t>T-00216-0354</t>
  </si>
  <si>
    <t>T-00216-0355</t>
  </si>
  <si>
    <t>T-00216-0356</t>
  </si>
  <si>
    <t>T-00216-0357</t>
  </si>
  <si>
    <t>T-00216-0358</t>
  </si>
  <si>
    <t>T-00216-0359</t>
  </si>
  <si>
    <t>T-00216-0360</t>
  </si>
  <si>
    <t>T-00216-0361</t>
  </si>
  <si>
    <t>T-00216-0362</t>
  </si>
  <si>
    <t>T-00216-0363</t>
  </si>
  <si>
    <t>T-00216-0364</t>
  </si>
  <si>
    <t>T-00216-0365</t>
  </si>
  <si>
    <t>T-00216-0366</t>
  </si>
  <si>
    <t>T-00216-0367</t>
  </si>
  <si>
    <t>T-00216-0368</t>
  </si>
  <si>
    <t>T-00216-0369</t>
  </si>
  <si>
    <t>T-00216-0370</t>
  </si>
  <si>
    <t>T-00216-0371</t>
  </si>
  <si>
    <t>T-00216-0372</t>
  </si>
  <si>
    <t>T-00216-0373</t>
  </si>
  <si>
    <t>T-00216-0374</t>
  </si>
  <si>
    <t>T-00216-0375</t>
  </si>
  <si>
    <t>T-00216-0391</t>
  </si>
  <si>
    <t>T-00216-0392</t>
  </si>
  <si>
    <t>T-00216-0393</t>
  </si>
  <si>
    <t>T-00216-0394</t>
  </si>
  <si>
    <t>T-00216-0395</t>
  </si>
  <si>
    <t>T-00216-0418</t>
  </si>
  <si>
    <t>T-00216-0419</t>
  </si>
  <si>
    <t>T-00216-0420</t>
  </si>
  <si>
    <t>T-00216-0421</t>
  </si>
  <si>
    <t>T-00216-0422</t>
  </si>
  <si>
    <t>T-00216-0512</t>
  </si>
  <si>
    <t>T-00216-0513</t>
  </si>
  <si>
    <t>T-00216-0514</t>
  </si>
  <si>
    <t>T-00216-0515</t>
  </si>
  <si>
    <t>T-00216-0516</t>
  </si>
  <si>
    <t>T-00216-0517</t>
  </si>
  <si>
    <t>T-00216-0518</t>
  </si>
  <si>
    <t>CXX02 - Painting line</t>
  </si>
  <si>
    <t>Painting Line</t>
  </si>
  <si>
    <t>T-00218-0097</t>
  </si>
  <si>
    <t>T-00218-0098</t>
  </si>
  <si>
    <t>T-00218-0099</t>
  </si>
  <si>
    <t>T-00218-0100</t>
  </si>
  <si>
    <t>T-00218-0101</t>
  </si>
  <si>
    <t>T-00218-0102</t>
  </si>
  <si>
    <t>T-00218-0103</t>
  </si>
  <si>
    <t>T-00218-0107</t>
  </si>
  <si>
    <t>T-00218-0108</t>
  </si>
  <si>
    <t>T-00218-0116</t>
  </si>
  <si>
    <t>T-00218-0117</t>
  </si>
  <si>
    <t>T-00218-0118</t>
  </si>
  <si>
    <t>T-00218-0119</t>
  </si>
  <si>
    <t>T-00218-0120</t>
  </si>
  <si>
    <t>T-00218-0121</t>
  </si>
  <si>
    <t>T-00218-0122</t>
  </si>
  <si>
    <t>T-00218-0123</t>
  </si>
  <si>
    <t>T-00218-0124</t>
  </si>
  <si>
    <t>T-00218-0125</t>
  </si>
  <si>
    <t>T-00218-0126</t>
  </si>
  <si>
    <t>T-00218-0127</t>
  </si>
  <si>
    <t>T-00218-0128</t>
  </si>
  <si>
    <t>T-00218-0129</t>
  </si>
  <si>
    <t>T-00218-0130</t>
  </si>
  <si>
    <t>T-00218-0131</t>
  </si>
  <si>
    <t>T-00218-0132</t>
  </si>
  <si>
    <t>T-00218-0133</t>
  </si>
  <si>
    <t>T-00218-0134</t>
  </si>
  <si>
    <t>T-00218-0135</t>
  </si>
  <si>
    <t>T-00218-0136</t>
  </si>
  <si>
    <t>T-00218-0137</t>
  </si>
  <si>
    <t>T-00218-0138</t>
  </si>
  <si>
    <t>T-00218-0139</t>
  </si>
  <si>
    <t>T-00218-0140</t>
  </si>
  <si>
    <t>T-00218-0141</t>
  </si>
  <si>
    <t>T-00218-0142</t>
  </si>
  <si>
    <t>T-00218-0143</t>
  </si>
  <si>
    <t>T-00218-0144</t>
  </si>
  <si>
    <t>T-00218-0145</t>
  </si>
  <si>
    <t>T-00218-0146</t>
  </si>
  <si>
    <t>T-00218-0147</t>
  </si>
  <si>
    <t>T-00218-0148</t>
  </si>
  <si>
    <t>T-00218-0149</t>
  </si>
  <si>
    <t>T-00218-0150</t>
  </si>
  <si>
    <t>T-00218-0155</t>
  </si>
  <si>
    <t>T-00218-0156</t>
  </si>
  <si>
    <t>T-00218-0166</t>
  </si>
  <si>
    <t>CXX05 - Personnel protection</t>
  </si>
  <si>
    <t>Personnel Protection</t>
  </si>
  <si>
    <t>T-00220-0008</t>
  </si>
  <si>
    <t>T-00220-0009</t>
  </si>
  <si>
    <t>T-00220-0010</t>
  </si>
  <si>
    <t>T-00220-0011</t>
  </si>
  <si>
    <t>T-00220-0012</t>
  </si>
  <si>
    <t>T-00220-0013</t>
  </si>
  <si>
    <t>T-00220-0014</t>
  </si>
  <si>
    <t>T-00220-0015</t>
  </si>
  <si>
    <t>T-00220-0016</t>
  </si>
  <si>
    <t>T-00220-0017</t>
  </si>
  <si>
    <t>T-00220-0018</t>
  </si>
  <si>
    <t>T-00220-0019</t>
  </si>
  <si>
    <t>T-00220-0020</t>
  </si>
  <si>
    <t>T-00220-0021</t>
  </si>
  <si>
    <t>T-00220-0022</t>
  </si>
  <si>
    <t>T-00220-0023</t>
  </si>
  <si>
    <t>T-00220-0024</t>
  </si>
  <si>
    <t>T-00220-0025</t>
  </si>
  <si>
    <t>T-00220-0026</t>
  </si>
  <si>
    <t>T-00220-0027</t>
  </si>
  <si>
    <t>T-00220-0028</t>
  </si>
  <si>
    <t>TMX05 - Pressure test</t>
  </si>
  <si>
    <t>Pressure Test</t>
  </si>
  <si>
    <t>T-00221-0231</t>
  </si>
  <si>
    <t>T-00221-0232</t>
  </si>
  <si>
    <t>T-00221-0233</t>
  </si>
  <si>
    <t>T-00221-0234</t>
  </si>
  <si>
    <t>T-00221-0235</t>
  </si>
  <si>
    <t>T-00221-0236</t>
  </si>
  <si>
    <t>T-00221-0237</t>
  </si>
  <si>
    <t>T-00221-0238</t>
  </si>
  <si>
    <t>T-00221-0239</t>
  </si>
  <si>
    <t>T-00221-0240</t>
  </si>
  <si>
    <t>T-00221-0241</t>
  </si>
  <si>
    <t>T-00221-0242</t>
  </si>
  <si>
    <t>T-00221-0243</t>
  </si>
  <si>
    <t>T-00221-0244</t>
  </si>
  <si>
    <t>T-00221-0245</t>
  </si>
  <si>
    <t>T-00221-0246</t>
  </si>
  <si>
    <t>T-00221-0247</t>
  </si>
  <si>
    <t>T-00221-0248</t>
  </si>
  <si>
    <t>T-00221-0249</t>
  </si>
  <si>
    <t>T-00221-0250</t>
  </si>
  <si>
    <t>T-00221-0251</t>
  </si>
  <si>
    <t>T-00221-0267</t>
  </si>
  <si>
    <t>T-00221-0268</t>
  </si>
  <si>
    <t>T-00221-0269</t>
  </si>
  <si>
    <t>T-00221-0270</t>
  </si>
  <si>
    <t>T-00221-0278</t>
  </si>
  <si>
    <t>T-00221-0279</t>
  </si>
  <si>
    <t>T-00221-0280</t>
  </si>
  <si>
    <t>T-00221-0281</t>
  </si>
  <si>
    <t>T-00221-0282</t>
  </si>
  <si>
    <t>T-00221-0283</t>
  </si>
  <si>
    <t>T-00221-0284</t>
  </si>
  <si>
    <t>T-00221-0285</t>
  </si>
  <si>
    <t>T-00221-0286</t>
  </si>
  <si>
    <t>T-00221-0287</t>
  </si>
  <si>
    <t>T-00221-0288</t>
  </si>
  <si>
    <t>T-00221-0289</t>
  </si>
  <si>
    <t>T-00221-0290</t>
  </si>
  <si>
    <t>T-00221-0291</t>
  </si>
  <si>
    <t>T-00221-0292</t>
  </si>
  <si>
    <t>T-00221-0293</t>
  </si>
  <si>
    <t>T-00221-0294</t>
  </si>
  <si>
    <t>T-00221-0295</t>
  </si>
  <si>
    <t>T-00221-0296</t>
  </si>
  <si>
    <t>T-00221-0297</t>
  </si>
  <si>
    <t>T-00221-0298</t>
  </si>
  <si>
    <t>T-00221-0299</t>
  </si>
  <si>
    <t>T-00221-0300</t>
  </si>
  <si>
    <t>T-00221-0301</t>
  </si>
  <si>
    <t>T-00221-0302</t>
  </si>
  <si>
    <t>T-00221-0303</t>
  </si>
  <si>
    <t>T-00221-0304</t>
  </si>
  <si>
    <t>T-00221-0305</t>
  </si>
  <si>
    <t>T-00221-0306</t>
  </si>
  <si>
    <t>T-00221-0307</t>
  </si>
  <si>
    <t>T-00221-0308</t>
  </si>
  <si>
    <t>T-00221-0309</t>
  </si>
  <si>
    <t>T-00221-0310</t>
  </si>
  <si>
    <t>T-00221-0311</t>
  </si>
  <si>
    <t>T-00221-0312</t>
  </si>
  <si>
    <t>T-00221-0313</t>
  </si>
  <si>
    <t>T-00221-0314</t>
  </si>
  <si>
    <t>T-00221-0315</t>
  </si>
  <si>
    <t>T-00221-0316</t>
  </si>
  <si>
    <t>T-00221-0317</t>
  </si>
  <si>
    <t>T-00221-0318</t>
  </si>
  <si>
    <t>T-00221-0319</t>
  </si>
  <si>
    <t>T-00221-0320</t>
  </si>
  <si>
    <t>T-00221-0321</t>
  </si>
  <si>
    <t>T-00221-0322</t>
  </si>
  <si>
    <t>T-00221-0323</t>
  </si>
  <si>
    <t>T-00221-0324</t>
  </si>
  <si>
    <t>T-00221-0325</t>
  </si>
  <si>
    <t>T-00221-0326</t>
  </si>
  <si>
    <t>T-00221-0327</t>
  </si>
  <si>
    <t>T-00221-0328</t>
  </si>
  <si>
    <t>T-00221-0329</t>
  </si>
  <si>
    <t>T-00221-0330</t>
  </si>
  <si>
    <t>T-00221-0331</t>
  </si>
  <si>
    <t>T-00221-0332</t>
  </si>
  <si>
    <t>T-00221-0333</t>
  </si>
  <si>
    <t>T-00221-0334</t>
  </si>
  <si>
    <t>T-00221-0335</t>
  </si>
  <si>
    <t>T-00221-0336</t>
  </si>
  <si>
    <t>T-00221-0337</t>
  </si>
  <si>
    <t>T-00221-0338</t>
  </si>
  <si>
    <t>T-00221-0339</t>
  </si>
  <si>
    <t>T-00221-0340</t>
  </si>
  <si>
    <t>T-00221-0341</t>
  </si>
  <si>
    <t>T-00221-0342</t>
  </si>
  <si>
    <t>T-00221-0343</t>
  </si>
  <si>
    <t>T-00221-0344</t>
  </si>
  <si>
    <t>T-00221-0345</t>
  </si>
  <si>
    <t>T-00221-0346</t>
  </si>
  <si>
    <t>T-00221-0347</t>
  </si>
  <si>
    <t>T-00221-0348</t>
  </si>
  <si>
    <t>T-00221-0349</t>
  </si>
  <si>
    <t>T-00221-0350</t>
  </si>
  <si>
    <t>T-00221-0351</t>
  </si>
  <si>
    <t>T-00221-0352</t>
  </si>
  <si>
    <t>T-00221-0353</t>
  </si>
  <si>
    <t>T-00221-0354</t>
  </si>
  <si>
    <t>T-00221-0355</t>
  </si>
  <si>
    <t>T-00221-0356</t>
  </si>
  <si>
    <t>T-00221-0357</t>
  </si>
  <si>
    <t>T-00221-0358</t>
  </si>
  <si>
    <t>T-00221-0359</t>
  </si>
  <si>
    <t>T-00221-0360</t>
  </si>
  <si>
    <t>T-00221-0361</t>
  </si>
  <si>
    <t>T-00221-0362</t>
  </si>
  <si>
    <t>T-00221-0363</t>
  </si>
  <si>
    <t>T-00221-0364</t>
  </si>
  <si>
    <t>T-00221-0365</t>
  </si>
  <si>
    <t>T-00221-0366</t>
  </si>
  <si>
    <t>T-00221-0367</t>
  </si>
  <si>
    <t>T-00221-0368</t>
  </si>
  <si>
    <t>T-00221-0369</t>
  </si>
  <si>
    <t>T-00221-0370</t>
  </si>
  <si>
    <t>T-00221-0371</t>
  </si>
  <si>
    <t>T-00221-0372</t>
  </si>
  <si>
    <t>T-00221-0373</t>
  </si>
  <si>
    <t>T-00221-0374</t>
  </si>
  <si>
    <t>T-00221-0375</t>
  </si>
  <si>
    <t>T-00221-0391</t>
  </si>
  <si>
    <t>T-00221-0392</t>
  </si>
  <si>
    <t>T-00221-0393</t>
  </si>
  <si>
    <t>T-00221-0394</t>
  </si>
  <si>
    <t>T-00221-0395</t>
  </si>
  <si>
    <t>T-00221-0418</t>
  </si>
  <si>
    <t>T-00221-0419</t>
  </si>
  <si>
    <t>T-00221-0420</t>
  </si>
  <si>
    <t>T-00221-0421</t>
  </si>
  <si>
    <t>T-00221-0422</t>
  </si>
  <si>
    <t>T-00221-0512</t>
  </si>
  <si>
    <t>T-00221-0513</t>
  </si>
  <si>
    <t>T-00221-0514</t>
  </si>
  <si>
    <t>T-00221-0515</t>
  </si>
  <si>
    <t>T-00221-0516</t>
  </si>
  <si>
    <t>T-00221-0517</t>
  </si>
  <si>
    <t>T-00221-0518</t>
  </si>
  <si>
    <t>TMX03 - Cleaning</t>
  </si>
  <si>
    <t>50</t>
  </si>
  <si>
    <t>Smart Form PLACEHOLDER (DO NOT DELETE)</t>
  </si>
  <si>
    <t>T-00223-0231</t>
  </si>
  <si>
    <t>T-00223-0232</t>
  </si>
  <si>
    <t>T-00223-0233</t>
  </si>
  <si>
    <t>T-00223-0234</t>
  </si>
  <si>
    <t>T-00223-0235</t>
  </si>
  <si>
    <t>T-00223-0236</t>
  </si>
  <si>
    <t>T-00223-0237</t>
  </si>
  <si>
    <t>T-00223-0238</t>
  </si>
  <si>
    <t>T-00223-0239</t>
  </si>
  <si>
    <t>T-00223-0240</t>
  </si>
  <si>
    <t>T-00223-0241</t>
  </si>
  <si>
    <t>T-00223-0242</t>
  </si>
  <si>
    <t>T-00223-0243</t>
  </si>
  <si>
    <t>T-00223-0244</t>
  </si>
  <si>
    <t>T-00223-0245</t>
  </si>
  <si>
    <t>T-00223-0246</t>
  </si>
  <si>
    <t>T-00223-0247</t>
  </si>
  <si>
    <t>T-00223-0248</t>
  </si>
  <si>
    <t>T-00223-0249</t>
  </si>
  <si>
    <t>T-00223-0250</t>
  </si>
  <si>
    <t>T-00223-0251</t>
  </si>
  <si>
    <t>T-00223-0267</t>
  </si>
  <si>
    <t>T-00223-0268</t>
  </si>
  <si>
    <t>T-00223-0269</t>
  </si>
  <si>
    <t>T-00223-0270</t>
  </si>
  <si>
    <t>T-00223-0278</t>
  </si>
  <si>
    <t>T-00223-0279</t>
  </si>
  <si>
    <t>T-00223-0280</t>
  </si>
  <si>
    <t>T-00223-0281</t>
  </si>
  <si>
    <t>T-00223-0282</t>
  </si>
  <si>
    <t>T-00223-0283</t>
  </si>
  <si>
    <t>T-00223-0284</t>
  </si>
  <si>
    <t>T-00223-0285</t>
  </si>
  <si>
    <t>T-00223-0286</t>
  </si>
  <si>
    <t>T-00223-0287</t>
  </si>
  <si>
    <t>T-00223-0288</t>
  </si>
  <si>
    <t>T-00223-0289</t>
  </si>
  <si>
    <t>T-00223-0290</t>
  </si>
  <si>
    <t>T-00223-0291</t>
  </si>
  <si>
    <t>T-00223-0292</t>
  </si>
  <si>
    <t>T-00223-0293</t>
  </si>
  <si>
    <t>T-00223-0294</t>
  </si>
  <si>
    <t>T-00223-0295</t>
  </si>
  <si>
    <t>T-00223-0296</t>
  </si>
  <si>
    <t>T-00223-0297</t>
  </si>
  <si>
    <t>T-00223-0298</t>
  </si>
  <si>
    <t>T-00223-0299</t>
  </si>
  <si>
    <t>T-00223-0300</t>
  </si>
  <si>
    <t>T-00223-0301</t>
  </si>
  <si>
    <t>T-00223-0302</t>
  </si>
  <si>
    <t>T-00223-0303</t>
  </si>
  <si>
    <t>T-00223-0304</t>
  </si>
  <si>
    <t>T-00223-0305</t>
  </si>
  <si>
    <t>T-00223-0306</t>
  </si>
  <si>
    <t>T-00223-0307</t>
  </si>
  <si>
    <t>T-00223-0308</t>
  </si>
  <si>
    <t>T-00223-0309</t>
  </si>
  <si>
    <t>T-00223-0310</t>
  </si>
  <si>
    <t>T-00223-0311</t>
  </si>
  <si>
    <t>T-00223-0312</t>
  </si>
  <si>
    <t>T-00223-0313</t>
  </si>
  <si>
    <t>T-00223-0314</t>
  </si>
  <si>
    <t>T-00223-0315</t>
  </si>
  <si>
    <t>T-00223-0316</t>
  </si>
  <si>
    <t>T-00223-0317</t>
  </si>
  <si>
    <t>T-00223-0318</t>
  </si>
  <si>
    <t>T-00223-0319</t>
  </si>
  <si>
    <t>T-00223-0320</t>
  </si>
  <si>
    <t>T-00223-0321</t>
  </si>
  <si>
    <t>T-00223-0322</t>
  </si>
  <si>
    <t>T-00223-0323</t>
  </si>
  <si>
    <t>T-00223-0324</t>
  </si>
  <si>
    <t>T-00223-0325</t>
  </si>
  <si>
    <t>T-00223-0326</t>
  </si>
  <si>
    <t>T-00223-0327</t>
  </si>
  <si>
    <t>T-00223-0328</t>
  </si>
  <si>
    <t>T-00223-0329</t>
  </si>
  <si>
    <t>T-00223-0330</t>
  </si>
  <si>
    <t>T-00223-0331</t>
  </si>
  <si>
    <t>T-00223-0332</t>
  </si>
  <si>
    <t>T-00223-0333</t>
  </si>
  <si>
    <t>T-00223-0334</t>
  </si>
  <si>
    <t>T-00223-0335</t>
  </si>
  <si>
    <t>T-00223-0336</t>
  </si>
  <si>
    <t>T-00223-0337</t>
  </si>
  <si>
    <t>T-00223-0338</t>
  </si>
  <si>
    <t>T-00223-0339</t>
  </si>
  <si>
    <t>T-00223-0340</t>
  </si>
  <si>
    <t>T-00223-0341</t>
  </si>
  <si>
    <t>T-00223-0342</t>
  </si>
  <si>
    <t>T-00223-0343</t>
  </si>
  <si>
    <t>T-00223-0344</t>
  </si>
  <si>
    <t>T-00223-0345</t>
  </si>
  <si>
    <t>T-00223-0346</t>
  </si>
  <si>
    <t>T-00223-0347</t>
  </si>
  <si>
    <t>T-00223-0348</t>
  </si>
  <si>
    <t>T-00223-0349</t>
  </si>
  <si>
    <t>T-00223-0350</t>
  </si>
  <si>
    <t>T-00223-0351</t>
  </si>
  <si>
    <t>T-00223-0352</t>
  </si>
  <si>
    <t>T-00223-0353</t>
  </si>
  <si>
    <t>T-00223-0354</t>
  </si>
  <si>
    <t>T-00223-0355</t>
  </si>
  <si>
    <t>T-00223-0356</t>
  </si>
  <si>
    <t>T-00223-0357</t>
  </si>
  <si>
    <t>T-00223-0358</t>
  </si>
  <si>
    <t>T-00223-0359</t>
  </si>
  <si>
    <t>T-00223-0360</t>
  </si>
  <si>
    <t>T-00223-0361</t>
  </si>
  <si>
    <t>T-00223-0362</t>
  </si>
  <si>
    <t>T-00223-0363</t>
  </si>
  <si>
    <t>T-00223-0364</t>
  </si>
  <si>
    <t>T-00223-0365</t>
  </si>
  <si>
    <t>T-00223-0366</t>
  </si>
  <si>
    <t>T-00223-0367</t>
  </si>
  <si>
    <t>T-00223-0368</t>
  </si>
  <si>
    <t>T-00223-0369</t>
  </si>
  <si>
    <t>T-00223-0370</t>
  </si>
  <si>
    <t>T-00223-0371</t>
  </si>
  <si>
    <t>T-00223-0372</t>
  </si>
  <si>
    <t>T-00223-0373</t>
  </si>
  <si>
    <t>T-00223-0374</t>
  </si>
  <si>
    <t>T-00223-0375</t>
  </si>
  <si>
    <t>T-00223-0391</t>
  </si>
  <si>
    <t>T-00223-0392</t>
  </si>
  <si>
    <t>T-00223-0393</t>
  </si>
  <si>
    <t>T-00223-0394</t>
  </si>
  <si>
    <t>T-00223-0395</t>
  </si>
  <si>
    <t>T-00223-0418</t>
  </si>
  <si>
    <t>T-00223-0419</t>
  </si>
  <si>
    <t>T-00223-0420</t>
  </si>
  <si>
    <t>T-00223-0421</t>
  </si>
  <si>
    <t>T-00223-0422</t>
  </si>
  <si>
    <t>T-00223-0512</t>
  </si>
  <si>
    <t>T-00223-0513</t>
  </si>
  <si>
    <t>T-00223-0514</t>
  </si>
  <si>
    <t>T-00223-0515</t>
  </si>
  <si>
    <t>T-00223-0516</t>
  </si>
  <si>
    <t>T-00223-0517</t>
  </si>
  <si>
    <t>T-00223-0518</t>
  </si>
  <si>
    <t>TMX25 - Gross air leak test</t>
  </si>
  <si>
    <t>Gross Air Leak Test</t>
  </si>
  <si>
    <t>30</t>
  </si>
  <si>
    <t>T-00224-0120</t>
  </si>
  <si>
    <t>PS5-60-01_GALT</t>
  </si>
  <si>
    <t>T-00224-0121</t>
  </si>
  <si>
    <t>PS5-60-04_GALT</t>
  </si>
  <si>
    <t>T-00224-0122</t>
  </si>
  <si>
    <t>PS5-60-07_GALT</t>
  </si>
  <si>
    <t>T-00224-0123</t>
  </si>
  <si>
    <t>PS5-60-10_GALT</t>
  </si>
  <si>
    <t>T-00224-0124</t>
  </si>
  <si>
    <t>PS5-60-13_GALT</t>
  </si>
  <si>
    <t>T-00224-0125</t>
  </si>
  <si>
    <t>PS5-60-16_GALT</t>
  </si>
  <si>
    <t>T-00224-0126</t>
  </si>
  <si>
    <t>PS5-60-19_GALT</t>
  </si>
  <si>
    <t>T-00224-0130</t>
  </si>
  <si>
    <t>PS5-60-26_GALT</t>
  </si>
  <si>
    <t>T-00224-0131</t>
  </si>
  <si>
    <t>PS5-60-27_GALT</t>
  </si>
  <si>
    <t>T-00224-0139</t>
  </si>
  <si>
    <t>PS5-60-35_GALT</t>
  </si>
  <si>
    <t>T-00224-0140</t>
  </si>
  <si>
    <t>PS5-60-36_GALT</t>
  </si>
  <si>
    <t>T-00224-0141</t>
  </si>
  <si>
    <t>PS5-60-37_GALT</t>
  </si>
  <si>
    <t>T-00224-0142</t>
  </si>
  <si>
    <t>PS5-60-38_GALT</t>
  </si>
  <si>
    <t>T-00224-0143</t>
  </si>
  <si>
    <t>PS5-60-39_GALT</t>
  </si>
  <si>
    <t>T-00224-0144</t>
  </si>
  <si>
    <t>PS5-60-40_GALT</t>
  </si>
  <si>
    <t>T-00224-0145</t>
  </si>
  <si>
    <t>PS5-60-41_GALT</t>
  </si>
  <si>
    <t>T-00224-0146</t>
  </si>
  <si>
    <t>PS5-60-42_GALT</t>
  </si>
  <si>
    <t>T-00224-0147</t>
  </si>
  <si>
    <t>PS5-60-43_GALT</t>
  </si>
  <si>
    <t>T-00224-0148</t>
  </si>
  <si>
    <t>PS5-60-44_GALT</t>
  </si>
  <si>
    <t>T-00224-0149</t>
  </si>
  <si>
    <t>PS5-60-45_GALT</t>
  </si>
  <si>
    <t>T-00224-0150</t>
  </si>
  <si>
    <t>PS5-60-46_GALT</t>
  </si>
  <si>
    <t>T-00224-0151</t>
  </si>
  <si>
    <t>PS5-60-47_GALT</t>
  </si>
  <si>
    <t>T-00224-0152</t>
  </si>
  <si>
    <t>PS5-60-48_GALT</t>
  </si>
  <si>
    <t>T-00224-0153</t>
  </si>
  <si>
    <t>PS5-60-49_GALT</t>
  </si>
  <si>
    <t>T-00224-0154</t>
  </si>
  <si>
    <t>PS5-60-50_GALT</t>
  </si>
  <si>
    <t>T-00224-0155</t>
  </si>
  <si>
    <t>PS5-60-51_GALT</t>
  </si>
  <si>
    <t>T-00224-0156</t>
  </si>
  <si>
    <t>PS5-60-52_GALT</t>
  </si>
  <si>
    <t>T-00224-0157</t>
  </si>
  <si>
    <t>PS5-60-53_GALT</t>
  </si>
  <si>
    <t>T-00224-0158</t>
  </si>
  <si>
    <t>PS5-60-54_GALT</t>
  </si>
  <si>
    <t>T-00224-0159</t>
  </si>
  <si>
    <t>PS5-60-55_GALT</t>
  </si>
  <si>
    <t>T-00224-0160</t>
  </si>
  <si>
    <t>PS5-60-56_GALT</t>
  </si>
  <si>
    <t>T-00224-0161</t>
  </si>
  <si>
    <t>PS5-60-58_GALT</t>
  </si>
  <si>
    <t>T-00224-0162</t>
  </si>
  <si>
    <t>PS5-60-60_GALT</t>
  </si>
  <si>
    <t>T-00224-0163</t>
  </si>
  <si>
    <t>PS5-60-62_GALT</t>
  </si>
  <si>
    <t>T-00224-0164</t>
  </si>
  <si>
    <t>PS5-60-64_GALT</t>
  </si>
  <si>
    <t>T-00224-0165</t>
  </si>
  <si>
    <t>PS5-60-66_GALT</t>
  </si>
  <si>
    <t>T-00224-0166</t>
  </si>
  <si>
    <t>PS5-60-68_GALT</t>
  </si>
  <si>
    <t>T-00224-0167</t>
  </si>
  <si>
    <t>PS5-60-70_GALT</t>
  </si>
  <si>
    <t>T-00224-0168</t>
  </si>
  <si>
    <t>PS5-60-71_GALT</t>
  </si>
  <si>
    <t>T-00224-0169</t>
  </si>
  <si>
    <t>PS5-60-72_GALT</t>
  </si>
  <si>
    <t>T-00224-0170</t>
  </si>
  <si>
    <t>PS5-60-73_GALT</t>
  </si>
  <si>
    <t>T-00224-0171</t>
  </si>
  <si>
    <t>PS5-60-74_GALT</t>
  </si>
  <si>
    <t>T-00224-0172</t>
  </si>
  <si>
    <t>PS5-60-75_GALT</t>
  </si>
  <si>
    <t>T-00224-0173</t>
  </si>
  <si>
    <t>PS5-60-76_GALT</t>
  </si>
  <si>
    <t>T-00224-0178</t>
  </si>
  <si>
    <t>PS5-71-06_GALT</t>
  </si>
  <si>
    <t>T-00224-0179</t>
  </si>
  <si>
    <t>PS5-71-08_GALT</t>
  </si>
  <si>
    <t>T-00224-0189</t>
  </si>
  <si>
    <t>PS5-71-22_GALT</t>
  </si>
  <si>
    <t>TPX02 - Power transformer</t>
  </si>
  <si>
    <t>Static Test</t>
  </si>
  <si>
    <t>T-00227-0133</t>
  </si>
  <si>
    <t>T-00227-0134</t>
  </si>
  <si>
    <t>T-00227-0135</t>
  </si>
  <si>
    <t>T-00227-0136</t>
  </si>
  <si>
    <t>T-00227-0137</t>
  </si>
  <si>
    <t>T-00227-0138</t>
  </si>
  <si>
    <t>T-00227-0139</t>
  </si>
  <si>
    <t>TPX08 - HV power cable</t>
  </si>
  <si>
    <t>T-00232-0970</t>
  </si>
  <si>
    <t>T-00232-0971</t>
  </si>
  <si>
    <t>T-00232-0972</t>
  </si>
  <si>
    <t>T-00232-0973</t>
  </si>
  <si>
    <t>T-00232-0974</t>
  </si>
  <si>
    <t>T-00232-0975</t>
  </si>
  <si>
    <t>T-00232-0976</t>
  </si>
  <si>
    <t>T-00232-1013</t>
  </si>
  <si>
    <t>T-00232-1014</t>
  </si>
  <si>
    <t>T-00232-1015</t>
  </si>
  <si>
    <t>T-00232-1016</t>
  </si>
  <si>
    <t>T-00232-1017</t>
  </si>
  <si>
    <t>T-00232-1018</t>
  </si>
  <si>
    <t>T-00232-1019</t>
  </si>
  <si>
    <t>T-00232-1020</t>
  </si>
  <si>
    <t>T-00232-1021</t>
  </si>
  <si>
    <t>T-00232-1022</t>
  </si>
  <si>
    <t>T-00232-1023</t>
  </si>
  <si>
    <t>T-00232-1024</t>
  </si>
  <si>
    <t>T-00232-1025</t>
  </si>
  <si>
    <t>T-00232-1026</t>
  </si>
  <si>
    <t>T-00232-1027</t>
  </si>
  <si>
    <t>T-00232-1028</t>
  </si>
  <si>
    <t>T-00232-1029</t>
  </si>
  <si>
    <t>T-00232-1030</t>
  </si>
  <si>
    <t>T-00232-1031</t>
  </si>
  <si>
    <t>T-00232-1032</t>
  </si>
  <si>
    <t>T-00232-1033</t>
  </si>
  <si>
    <t>T-00232-1046</t>
  </si>
  <si>
    <t>T-00232-1047</t>
  </si>
  <si>
    <t>T-00232-1048</t>
  </si>
  <si>
    <t>T-00232-1049</t>
  </si>
  <si>
    <t>T-00232-1050</t>
  </si>
  <si>
    <t>T-00232-1051</t>
  </si>
  <si>
    <t>T-00232-1052</t>
  </si>
  <si>
    <t>T-00232-1053</t>
  </si>
  <si>
    <t>T-00232-1054</t>
  </si>
  <si>
    <t>T-00232-1055</t>
  </si>
  <si>
    <t>T-00232-1056</t>
  </si>
  <si>
    <t>T-00232-1057</t>
  </si>
  <si>
    <t>T-00232-1058</t>
  </si>
  <si>
    <t>T-00232-1059</t>
  </si>
  <si>
    <t>T-00232-1060</t>
  </si>
  <si>
    <t>T-00232-1061</t>
  </si>
  <si>
    <t>T-00232-1062</t>
  </si>
  <si>
    <t>T-00232-1063</t>
  </si>
  <si>
    <t>T-00232-1064</t>
  </si>
  <si>
    <t>T-00232-1065</t>
  </si>
  <si>
    <t>T-00232-1066</t>
  </si>
  <si>
    <t>TPX09 - LV power cable</t>
  </si>
  <si>
    <t>T-00233-10536</t>
  </si>
  <si>
    <t>T-00233-10537</t>
  </si>
  <si>
    <t>T-00233-10538</t>
  </si>
  <si>
    <t>T-00233-10539</t>
  </si>
  <si>
    <t>T-00233-10540</t>
  </si>
  <si>
    <t>T-00233-10541</t>
  </si>
  <si>
    <t>T-00233-10542</t>
  </si>
  <si>
    <t>T-00233-10593</t>
  </si>
  <si>
    <t>T-00233-10594</t>
  </si>
  <si>
    <t>T-00233-10595</t>
  </si>
  <si>
    <t>T-00233-10596</t>
  </si>
  <si>
    <t>T-00233-10597</t>
  </si>
  <si>
    <t>T-00233-10598</t>
  </si>
  <si>
    <t>T-00233-10599</t>
  </si>
  <si>
    <t>T-00233-10600</t>
  </si>
  <si>
    <t>T-00233-10601</t>
  </si>
  <si>
    <t>T-00233-4725</t>
  </si>
  <si>
    <t>T-00233-4978</t>
  </si>
  <si>
    <t>T-00233-4979</t>
  </si>
  <si>
    <t>T-00233-4981</t>
  </si>
  <si>
    <t>T-00233-4982</t>
  </si>
  <si>
    <t>T-00233-4983</t>
  </si>
  <si>
    <t>T-00233-4984</t>
  </si>
  <si>
    <t>T-00233-4986</t>
  </si>
  <si>
    <t>T-00233-4987</t>
  </si>
  <si>
    <t>T-00233-4988</t>
  </si>
  <si>
    <t>T-00233-4989</t>
  </si>
  <si>
    <t>T-00233-4990</t>
  </si>
  <si>
    <t>T-00233-4991</t>
  </si>
  <si>
    <t>T-00233-4992</t>
  </si>
  <si>
    <t>T-00233-4993</t>
  </si>
  <si>
    <t>T-00233-4994</t>
  </si>
  <si>
    <t>T-00233-4995</t>
  </si>
  <si>
    <t>T-00233-4996</t>
  </si>
  <si>
    <t>T-00233-4997</t>
  </si>
  <si>
    <t>T-00233-4998</t>
  </si>
  <si>
    <t>T-00233-4999</t>
  </si>
  <si>
    <t>T-00233-5000</t>
  </si>
  <si>
    <t>T-00233-5001</t>
  </si>
  <si>
    <t>T-00233-5002</t>
  </si>
  <si>
    <t>T-00233-5003</t>
  </si>
  <si>
    <t>T-00233-5004</t>
  </si>
  <si>
    <t>T-00233-5005</t>
  </si>
  <si>
    <t>T-00233-5006</t>
  </si>
  <si>
    <t>T-00233-5007</t>
  </si>
  <si>
    <t>T-00233-5008</t>
  </si>
  <si>
    <t>T-00233-5009</t>
  </si>
  <si>
    <t>T-00233-5010</t>
  </si>
  <si>
    <t>T-00233-5011</t>
  </si>
  <si>
    <t>T-00233-5012</t>
  </si>
  <si>
    <t>T-00233-5013</t>
  </si>
  <si>
    <t>T-00233-5014</t>
  </si>
  <si>
    <t>T-00233-5015</t>
  </si>
  <si>
    <t>T-00233-5016</t>
  </si>
  <si>
    <t>T-00233-5017</t>
  </si>
  <si>
    <t>T-00233-5018</t>
  </si>
  <si>
    <t>T-00233-5019</t>
  </si>
  <si>
    <t>T-00233-5020</t>
  </si>
  <si>
    <t>T-00233-5021</t>
  </si>
  <si>
    <t>T-00233-5022</t>
  </si>
  <si>
    <t>T-00233-5023</t>
  </si>
  <si>
    <t>T-00233-5024</t>
  </si>
  <si>
    <t>T-00233-5025</t>
  </si>
  <si>
    <t>T-00233-5026</t>
  </si>
  <si>
    <t>T-00233-5027</t>
  </si>
  <si>
    <t>T-00233-5028</t>
  </si>
  <si>
    <t>T-00233-5029</t>
  </si>
  <si>
    <t>T-00233-5030</t>
  </si>
  <si>
    <t>T-00233-5031</t>
  </si>
  <si>
    <t>T-00233-5032</t>
  </si>
  <si>
    <t>T-00233-5033</t>
  </si>
  <si>
    <t>T-00233-5034</t>
  </si>
  <si>
    <t>T-00233-5035</t>
  </si>
  <si>
    <t>T-00233-5036</t>
  </si>
  <si>
    <t>T-00233-5037</t>
  </si>
  <si>
    <t>T-00233-5038</t>
  </si>
  <si>
    <t>T-00233-5039</t>
  </si>
  <si>
    <t>T-00233-5040</t>
  </si>
  <si>
    <t>T-00233-5041</t>
  </si>
  <si>
    <t>T-00233-5042</t>
  </si>
  <si>
    <t>T-00233-5043</t>
  </si>
  <si>
    <t>T-00233-5044</t>
  </si>
  <si>
    <t>T-00233-5045</t>
  </si>
  <si>
    <t>T-00233-5046</t>
  </si>
  <si>
    <t>T-00233-5047</t>
  </si>
  <si>
    <t>T-00233-5048</t>
  </si>
  <si>
    <t>T-00233-5049</t>
  </si>
  <si>
    <t>T-00233-5050</t>
  </si>
  <si>
    <t>T-00233-5051</t>
  </si>
  <si>
    <t>T-00233-5052</t>
  </si>
  <si>
    <t>T-00233-5053</t>
  </si>
  <si>
    <t>T-00233-5054</t>
  </si>
  <si>
    <t>T-00233-5055</t>
  </si>
  <si>
    <t>T-00233-5056</t>
  </si>
  <si>
    <t>T-00233-5057</t>
  </si>
  <si>
    <t>T-00233-5058</t>
  </si>
  <si>
    <t>T-00233-5059</t>
  </si>
  <si>
    <t>T-00233-5060</t>
  </si>
  <si>
    <t>T-00233-5061</t>
  </si>
  <si>
    <t>T-00233-5062</t>
  </si>
  <si>
    <t>T-00233-5063</t>
  </si>
  <si>
    <t>T-00233-5064</t>
  </si>
  <si>
    <t>T-00233-5065</t>
  </si>
  <si>
    <t>T-00233-5066</t>
  </si>
  <si>
    <t>T-00233-5067</t>
  </si>
  <si>
    <t>T-00233-5068</t>
  </si>
  <si>
    <t>T-00233-5069</t>
  </si>
  <si>
    <t>T-00233-5070</t>
  </si>
  <si>
    <t>T-00233-5071</t>
  </si>
  <si>
    <t>T-00233-5072</t>
  </si>
  <si>
    <t>T-00233-5073</t>
  </si>
  <si>
    <t>T-00233-5074</t>
  </si>
  <si>
    <t>T-00233-5075</t>
  </si>
  <si>
    <t>T-00233-5076</t>
  </si>
  <si>
    <t>T-00233-5077</t>
  </si>
  <si>
    <t>T-00233-5078</t>
  </si>
  <si>
    <t>T-00233-5079</t>
  </si>
  <si>
    <t>T-00233-5080</t>
  </si>
  <si>
    <t>T-00233-5081</t>
  </si>
  <si>
    <t>T-00233-5082</t>
  </si>
  <si>
    <t>T-00233-5083</t>
  </si>
  <si>
    <t>T-00233-5084</t>
  </si>
  <si>
    <t>T-00233-5085</t>
  </si>
  <si>
    <t>T-00233-5086</t>
  </si>
  <si>
    <t>T-00233-5087</t>
  </si>
  <si>
    <t>T-00233-5088</t>
  </si>
  <si>
    <t>T-00233-5089</t>
  </si>
  <si>
    <t>T-00233-5090</t>
  </si>
  <si>
    <t>T-00233-5091</t>
  </si>
  <si>
    <t>T-00233-5092</t>
  </si>
  <si>
    <t>T-00233-5093</t>
  </si>
  <si>
    <t>T-00233-5094</t>
  </si>
  <si>
    <t>T-00233-5095</t>
  </si>
  <si>
    <t>T-00233-5096</t>
  </si>
  <si>
    <t>T-00233-5097</t>
  </si>
  <si>
    <t>T-00233-5098</t>
  </si>
  <si>
    <t>T-00233-5099</t>
  </si>
  <si>
    <t>T-00233-5100</t>
  </si>
  <si>
    <t>T-00233-5101</t>
  </si>
  <si>
    <t>T-00233-5102</t>
  </si>
  <si>
    <t>T-00233-5103</t>
  </si>
  <si>
    <t>T-00233-5104</t>
  </si>
  <si>
    <t>T-00233-5105</t>
  </si>
  <si>
    <t>T-00233-5106</t>
  </si>
  <si>
    <t>T-00233-5107</t>
  </si>
  <si>
    <t>T-00233-5108</t>
  </si>
  <si>
    <t>T-00233-5109</t>
  </si>
  <si>
    <t>T-00233-5110</t>
  </si>
  <si>
    <t>T-00233-5111</t>
  </si>
  <si>
    <t>T-00233-5112</t>
  </si>
  <si>
    <t>T-00233-5113</t>
  </si>
  <si>
    <t>T-00233-5114</t>
  </si>
  <si>
    <t>T-00233-5115</t>
  </si>
  <si>
    <t>T-00233-5116</t>
  </si>
  <si>
    <t>T-00233-5117</t>
  </si>
  <si>
    <t>T-00233-5118</t>
  </si>
  <si>
    <t>T-00233-5119</t>
  </si>
  <si>
    <t>T-00233-5120</t>
  </si>
  <si>
    <t>T-00233-5121</t>
  </si>
  <si>
    <t>T-00233-5122</t>
  </si>
  <si>
    <t>T-00233-5123</t>
  </si>
  <si>
    <t>T-00233-5124</t>
  </si>
  <si>
    <t>T-00233-5125</t>
  </si>
  <si>
    <t>T-00233-5126</t>
  </si>
  <si>
    <t>T-00233-5127</t>
  </si>
  <si>
    <t>T-00233-5128</t>
  </si>
  <si>
    <t>T-00233-5129</t>
  </si>
  <si>
    <t>T-00233-5130</t>
  </si>
  <si>
    <t>T-00233-5131</t>
  </si>
  <si>
    <t>T-00233-5132</t>
  </si>
  <si>
    <t>T-00233-5133</t>
  </si>
  <si>
    <t>T-00233-5134</t>
  </si>
  <si>
    <t>T-00233-5135</t>
  </si>
  <si>
    <t>T-00233-5136</t>
  </si>
  <si>
    <t>T-00233-5137</t>
  </si>
  <si>
    <t>T-00233-5138</t>
  </si>
  <si>
    <t>T-00233-5139</t>
  </si>
  <si>
    <t>T-00233-5140</t>
  </si>
  <si>
    <t>T-00233-5141</t>
  </si>
  <si>
    <t>T-00233-5142</t>
  </si>
  <si>
    <t>T-00233-5143</t>
  </si>
  <si>
    <t>T-00233-5144</t>
  </si>
  <si>
    <t>T-00233-5145</t>
  </si>
  <si>
    <t>T-00233-5146</t>
  </si>
  <si>
    <t>T-00233-5147</t>
  </si>
  <si>
    <t>T-00233-5148</t>
  </si>
  <si>
    <t>T-00233-5149</t>
  </si>
  <si>
    <t>T-00233-5150</t>
  </si>
  <si>
    <t>T-00233-5151</t>
  </si>
  <si>
    <t>T-00233-5152</t>
  </si>
  <si>
    <t>T-00233-5153</t>
  </si>
  <si>
    <t>T-00233-5154</t>
  </si>
  <si>
    <t>T-00233-5155</t>
  </si>
  <si>
    <t>T-00233-5156</t>
  </si>
  <si>
    <t>T-00233-5157</t>
  </si>
  <si>
    <t>T-00233-5159</t>
  </si>
  <si>
    <t>T-00233-5161</t>
  </si>
  <si>
    <t>T-00233-5163</t>
  </si>
  <si>
    <t>T-00233-5166</t>
  </si>
  <si>
    <t>T-00233-5167</t>
  </si>
  <si>
    <t>T-00233-5168</t>
  </si>
  <si>
    <t>T-00233-5169</t>
  </si>
  <si>
    <t>T-00233-5170</t>
  </si>
  <si>
    <t>T-00233-5171</t>
  </si>
  <si>
    <t>T-00233-5172</t>
  </si>
  <si>
    <t>T-00233-5173</t>
  </si>
  <si>
    <t>T-00233-5174</t>
  </si>
  <si>
    <t>T-00233-5175</t>
  </si>
  <si>
    <t>T-00233-5176</t>
  </si>
  <si>
    <t>T-00233-5177</t>
  </si>
  <si>
    <t>T-00233-5178</t>
  </si>
  <si>
    <t>T-00233-5179</t>
  </si>
  <si>
    <t>T-00233-5180</t>
  </si>
  <si>
    <t>T-00233-5181</t>
  </si>
  <si>
    <t>T-00233-5182</t>
  </si>
  <si>
    <t>T-00233-5183</t>
  </si>
  <si>
    <t>T-00233-5184</t>
  </si>
  <si>
    <t>T-00233-5185</t>
  </si>
  <si>
    <t>T-00233-5186</t>
  </si>
  <si>
    <t>T-00233-5187</t>
  </si>
  <si>
    <t>T-00233-5188</t>
  </si>
  <si>
    <t>T-00233-5189</t>
  </si>
  <si>
    <t>T-00233-5190</t>
  </si>
  <si>
    <t>T-00233-5191</t>
  </si>
  <si>
    <t>T-00233-5192</t>
  </si>
  <si>
    <t>T-00233-5193</t>
  </si>
  <si>
    <t>T-00233-5194</t>
  </si>
  <si>
    <t>T-00233-5195</t>
  </si>
  <si>
    <t>T-00233-5196</t>
  </si>
  <si>
    <t>T-00233-5197</t>
  </si>
  <si>
    <t>T-00233-5198</t>
  </si>
  <si>
    <t>T-00233-5199</t>
  </si>
  <si>
    <t>T-00233-5200</t>
  </si>
  <si>
    <t>T-00233-5201</t>
  </si>
  <si>
    <t>T-00233-5202</t>
  </si>
  <si>
    <t>T-00233-5204</t>
  </si>
  <si>
    <t>T-00233-5205</t>
  </si>
  <si>
    <t>T-00233-5206</t>
  </si>
  <si>
    <t>T-00233-5207</t>
  </si>
  <si>
    <t>T-00233-5208</t>
  </si>
  <si>
    <t>T-00233-5209</t>
  </si>
  <si>
    <t>T-00233-5211</t>
  </si>
  <si>
    <t>T-00233-5212</t>
  </si>
  <si>
    <t>T-00233-5213</t>
  </si>
  <si>
    <t>T-00233-5214</t>
  </si>
  <si>
    <t>T-00233-5215</t>
  </si>
  <si>
    <t>T-00233-5216</t>
  </si>
  <si>
    <t>T-00233-5218</t>
  </si>
  <si>
    <t>T-00233-5219</t>
  </si>
  <si>
    <t>T-00233-5220</t>
  </si>
  <si>
    <t>T-00233-5221</t>
  </si>
  <si>
    <t>T-00233-5222</t>
  </si>
  <si>
    <t>T-00233-5223</t>
  </si>
  <si>
    <t>T-00233-5225</t>
  </si>
  <si>
    <t>T-00233-5226</t>
  </si>
  <si>
    <t>T-00233-5227</t>
  </si>
  <si>
    <t>T-00233-5228</t>
  </si>
  <si>
    <t>T-00233-5229</t>
  </si>
  <si>
    <t>T-00233-5230</t>
  </si>
  <si>
    <t>T-00233-5232</t>
  </si>
  <si>
    <t>T-00233-5233</t>
  </si>
  <si>
    <t>T-00233-5234</t>
  </si>
  <si>
    <t>T-00233-5235</t>
  </si>
  <si>
    <t>T-00233-5236</t>
  </si>
  <si>
    <t>T-00233-5237</t>
  </si>
  <si>
    <t>T-00233-5239</t>
  </si>
  <si>
    <t>T-00233-5240</t>
  </si>
  <si>
    <t>T-00233-5241</t>
  </si>
  <si>
    <t>T-00233-5242</t>
  </si>
  <si>
    <t>T-00233-5243</t>
  </si>
  <si>
    <t>T-00233-5244</t>
  </si>
  <si>
    <t>T-00233-5246</t>
  </si>
  <si>
    <t>T-00233-5247</t>
  </si>
  <si>
    <t>T-00233-5248</t>
  </si>
  <si>
    <t>T-00233-5249</t>
  </si>
  <si>
    <t>T-00233-5250</t>
  </si>
  <si>
    <t>T-00233-5251</t>
  </si>
  <si>
    <t>T-00233-5254</t>
  </si>
  <si>
    <t>T-00233-5255</t>
  </si>
  <si>
    <t>T-00233-5256</t>
  </si>
  <si>
    <t>T-00233-5257</t>
  </si>
  <si>
    <t>T-00233-5258</t>
  </si>
  <si>
    <t>T-00233-5259</t>
  </si>
  <si>
    <t>T-00233-5260</t>
  </si>
  <si>
    <t>T-00233-5261</t>
  </si>
  <si>
    <t>T-00233-5262</t>
  </si>
  <si>
    <t>T-00233-5263</t>
  </si>
  <si>
    <t>T-00233-5264</t>
  </si>
  <si>
    <t>T-00233-5265</t>
  </si>
  <si>
    <t>T-00233-5266</t>
  </si>
  <si>
    <t>T-00233-5267</t>
  </si>
  <si>
    <t>T-00233-5268</t>
  </si>
  <si>
    <t>T-00233-5269</t>
  </si>
  <si>
    <t>T-00233-5270</t>
  </si>
  <si>
    <t>T-00233-5271</t>
  </si>
  <si>
    <t>T-00233-5272</t>
  </si>
  <si>
    <t>T-00233-5273</t>
  </si>
  <si>
    <t>T-00233-5274</t>
  </si>
  <si>
    <t>T-00233-5275</t>
  </si>
  <si>
    <t>T-00233-5276</t>
  </si>
  <si>
    <t>T-00233-5277</t>
  </si>
  <si>
    <t>T-00233-5278</t>
  </si>
  <si>
    <t>T-00233-5279</t>
  </si>
  <si>
    <t>T-00233-5280</t>
  </si>
  <si>
    <t>T-00233-5281</t>
  </si>
  <si>
    <t>T-00233-5282</t>
  </si>
  <si>
    <t>T-00233-5283</t>
  </si>
  <si>
    <t>T-00233-5284</t>
  </si>
  <si>
    <t>T-00233-5285</t>
  </si>
  <si>
    <t>T-00233-5286</t>
  </si>
  <si>
    <t>T-00233-5287</t>
  </si>
  <si>
    <t>T-00233-5288</t>
  </si>
  <si>
    <t>T-00233-5289</t>
  </si>
  <si>
    <t>T-00233-5290</t>
  </si>
  <si>
    <t>T-00233-5291</t>
  </si>
  <si>
    <t>T-00233-5292</t>
  </si>
  <si>
    <t>T-00233-5293</t>
  </si>
  <si>
    <t>T-00233-5294</t>
  </si>
  <si>
    <t>T-00233-5295</t>
  </si>
  <si>
    <t>T-00233-5296</t>
  </si>
  <si>
    <t>T-00233-5297</t>
  </si>
  <si>
    <t>T-00233-5298</t>
  </si>
  <si>
    <t>T-00233-5299</t>
  </si>
  <si>
    <t>T-00233-5300</t>
  </si>
  <si>
    <t>T-00233-5301</t>
  </si>
  <si>
    <t>T-00233-5302</t>
  </si>
  <si>
    <t>T-00233-5303</t>
  </si>
  <si>
    <t>T-00233-5304</t>
  </si>
  <si>
    <t>T-00233-5305</t>
  </si>
  <si>
    <t>T-00233-5310</t>
  </si>
  <si>
    <t>T-00233-5311</t>
  </si>
  <si>
    <t>T-00233-5312</t>
  </si>
  <si>
    <t>T-00233-5313</t>
  </si>
  <si>
    <t>T-00233-5314</t>
  </si>
  <si>
    <t>T-00233-5315</t>
  </si>
  <si>
    <t>T-00233-5316</t>
  </si>
  <si>
    <t>T-00233-5317</t>
  </si>
  <si>
    <t>T-00233-5318</t>
  </si>
  <si>
    <t>T-00233-5319</t>
  </si>
  <si>
    <t>T-00233-5320</t>
  </si>
  <si>
    <t>T-00233-5321</t>
  </si>
  <si>
    <t>T-00233-5322</t>
  </si>
  <si>
    <t>T-00233-5323</t>
  </si>
  <si>
    <t>T-00233-5324</t>
  </si>
  <si>
    <t>T-00233-5325</t>
  </si>
  <si>
    <t>T-00233-5581</t>
  </si>
  <si>
    <t>T-00233-5582</t>
  </si>
  <si>
    <t>T-00233-5583</t>
  </si>
  <si>
    <t>T-00233-5584</t>
  </si>
  <si>
    <t>T-00233-5585</t>
  </si>
  <si>
    <t>T-00233-5586</t>
  </si>
  <si>
    <t>T-00233-5594</t>
  </si>
  <si>
    <t>T-00233-5595</t>
  </si>
  <si>
    <t>T-00233-5596</t>
  </si>
  <si>
    <t>T-00233-5597</t>
  </si>
  <si>
    <t>T-00233-5599</t>
  </si>
  <si>
    <t>T-00233-5601</t>
  </si>
  <si>
    <t>T-00233-9131</t>
  </si>
  <si>
    <t>T-00233-9132</t>
  </si>
  <si>
    <t>T-00233-9133</t>
  </si>
  <si>
    <t>T-00233-9134</t>
  </si>
  <si>
    <t>T-00233-9135</t>
  </si>
  <si>
    <t>T-00233-9136</t>
  </si>
  <si>
    <t>T-00233-9137</t>
  </si>
  <si>
    <t>T-00233-9138</t>
  </si>
  <si>
    <t>T-00233-9139</t>
  </si>
  <si>
    <t>T-00233-9140</t>
  </si>
  <si>
    <t>T-00233-9141</t>
  </si>
  <si>
    <t>T-00233-9142</t>
  </si>
  <si>
    <t>T-00233-9143</t>
  </si>
  <si>
    <t>T-00233-9144</t>
  </si>
  <si>
    <t>T-00233-9145</t>
  </si>
  <si>
    <t>T-00233-9146</t>
  </si>
  <si>
    <t>T-00233-9147</t>
  </si>
  <si>
    <t>T-00233-9148</t>
  </si>
  <si>
    <t>T-00233-9149</t>
  </si>
  <si>
    <t>T-00233-9150</t>
  </si>
  <si>
    <t>T-00233-9151</t>
  </si>
  <si>
    <t>T-00233-9152</t>
  </si>
  <si>
    <t>T-00233-9153</t>
  </si>
  <si>
    <t>T-00233-9154</t>
  </si>
  <si>
    <t>T-00233-9155</t>
  </si>
  <si>
    <t>T-00233-9156</t>
  </si>
  <si>
    <t>T-00233-9157</t>
  </si>
  <si>
    <t>T-00233-9158</t>
  </si>
  <si>
    <t>T-00233-9159</t>
  </si>
  <si>
    <t>T-00233-9160</t>
  </si>
  <si>
    <t>T-00233-9161</t>
  </si>
  <si>
    <t>T-00233-9162</t>
  </si>
  <si>
    <t>T-00233-9163</t>
  </si>
  <si>
    <t>T-00233-9164</t>
  </si>
  <si>
    <t>T-00233-9165</t>
  </si>
  <si>
    <t>T-00233-9166</t>
  </si>
  <si>
    <t>T-00233-9167</t>
  </si>
  <si>
    <t>T-00233-9168</t>
  </si>
  <si>
    <t>T-00233-9169</t>
  </si>
  <si>
    <t>T-00233-9170</t>
  </si>
  <si>
    <t>T-00233-9171</t>
  </si>
  <si>
    <t>T-00233-9172</t>
  </si>
  <si>
    <t>T-00233-9173</t>
  </si>
  <si>
    <t>T-00233-9174</t>
  </si>
  <si>
    <t>T-00233-9175</t>
  </si>
  <si>
    <t>T-00233-9176</t>
  </si>
  <si>
    <t>T-00233-9177</t>
  </si>
  <si>
    <t>T-00233-9178</t>
  </si>
  <si>
    <t>T-00233-9179</t>
  </si>
  <si>
    <t>T-00233-9180</t>
  </si>
  <si>
    <t>T-00233-9181</t>
  </si>
  <si>
    <t>T-00233-9182</t>
  </si>
  <si>
    <t>T-00233-9183</t>
  </si>
  <si>
    <t>T-00233-9184</t>
  </si>
  <si>
    <t>T-00233-9185</t>
  </si>
  <si>
    <t>T-00233-9186</t>
  </si>
  <si>
    <t>T-00233-9187</t>
  </si>
  <si>
    <t>T-00233-9188</t>
  </si>
  <si>
    <t>T-00233-9189</t>
  </si>
  <si>
    <t>T-00233-9190</t>
  </si>
  <si>
    <t>T-00233-9191</t>
  </si>
  <si>
    <t>T-00233-9192</t>
  </si>
  <si>
    <t>T-00233-9193</t>
  </si>
  <si>
    <t>T-00233-9194</t>
  </si>
  <si>
    <t>T-00233-9195</t>
  </si>
  <si>
    <t>T-00233-9196</t>
  </si>
  <si>
    <t>T-00233-9197</t>
  </si>
  <si>
    <t>T-00233-9198</t>
  </si>
  <si>
    <t>T-00233-9199</t>
  </si>
  <si>
    <t>T-00233-9200</t>
  </si>
  <si>
    <t>T-00233-9201</t>
  </si>
  <si>
    <t>T-00233-9202</t>
  </si>
  <si>
    <t>T-00233-9203</t>
  </si>
  <si>
    <t>T-00233-9204</t>
  </si>
  <si>
    <t>T-00233-9205</t>
  </si>
  <si>
    <t>T-00233-9206</t>
  </si>
  <si>
    <t>T-00233-9207</t>
  </si>
  <si>
    <t>T-00233-9208</t>
  </si>
  <si>
    <t>T-00233-9209</t>
  </si>
  <si>
    <t>T-00233-9210</t>
  </si>
  <si>
    <t>T-00233-9211</t>
  </si>
  <si>
    <t>T-00233-9212</t>
  </si>
  <si>
    <t>T-00233-9213</t>
  </si>
  <si>
    <t>T-00233-9214</t>
  </si>
  <si>
    <t>T-00233-9215</t>
  </si>
  <si>
    <t>T-00233-9216</t>
  </si>
  <si>
    <t>T-00233-9217</t>
  </si>
  <si>
    <t>T-00233-9218</t>
  </si>
  <si>
    <t>T-00233-9219</t>
  </si>
  <si>
    <t>T-00233-9220</t>
  </si>
  <si>
    <t>T-00233-9221</t>
  </si>
  <si>
    <t>T-00233-9222</t>
  </si>
  <si>
    <t>T-00233-9223</t>
  </si>
  <si>
    <t>T-00233-9224</t>
  </si>
  <si>
    <t>T-00233-9225</t>
  </si>
  <si>
    <t>T-00233-9226</t>
  </si>
  <si>
    <t>T-00233-9227</t>
  </si>
  <si>
    <t>T-00233-9228</t>
  </si>
  <si>
    <t>T-00233-9229</t>
  </si>
  <si>
    <t>T-00233-9230</t>
  </si>
  <si>
    <t>T-00233-9231</t>
  </si>
  <si>
    <t>T-00233-9232</t>
  </si>
  <si>
    <t>T-00233-9233</t>
  </si>
  <si>
    <t>T-00233-9234</t>
  </si>
  <si>
    <t>T-00233-9235</t>
  </si>
  <si>
    <t>T-00233-9236</t>
  </si>
  <si>
    <t>T-00233-9237</t>
  </si>
  <si>
    <t>T-00233-9238</t>
  </si>
  <si>
    <t>T-00233-9239</t>
  </si>
  <si>
    <t>T-00233-9240</t>
  </si>
  <si>
    <t>T-00233-9241</t>
  </si>
  <si>
    <t>T-00233-9242</t>
  </si>
  <si>
    <t>T-00233-9244</t>
  </si>
  <si>
    <t>T-00233-9245</t>
  </si>
  <si>
    <t>T-00233-9246</t>
  </si>
  <si>
    <t>T-00233-9247</t>
  </si>
  <si>
    <t>T-00233-9248</t>
  </si>
  <si>
    <t>T-00233-9249</t>
  </si>
  <si>
    <t>T-00233-9250</t>
  </si>
  <si>
    <t>T-00233-9251</t>
  </si>
  <si>
    <t>T-00233-9252</t>
  </si>
  <si>
    <t>T-00233-9253</t>
  </si>
  <si>
    <t>T-00233-9254</t>
  </si>
  <si>
    <t>T-00233-9255</t>
  </si>
  <si>
    <t>TPX10 - Multicore electrical control cable</t>
  </si>
  <si>
    <t>T-00234-2101</t>
  </si>
  <si>
    <t>T-00234-2102</t>
  </si>
  <si>
    <t>T-00234-2103</t>
  </si>
  <si>
    <t>T-00234-2104</t>
  </si>
  <si>
    <t>T-00234-2105</t>
  </si>
  <si>
    <t>T-00234-2106</t>
  </si>
  <si>
    <t>T-00234-2107</t>
  </si>
  <si>
    <t>T-00234-2108</t>
  </si>
  <si>
    <t>T-00234-2109</t>
  </si>
  <si>
    <t>T-00234-2110</t>
  </si>
  <si>
    <t>T-00234-2111</t>
  </si>
  <si>
    <t>T-00234-2112</t>
  </si>
  <si>
    <t>T-00234-2113</t>
  </si>
  <si>
    <t>T-00234-2114</t>
  </si>
  <si>
    <t>T-00234-2115</t>
  </si>
  <si>
    <t>T-00234-2116</t>
  </si>
  <si>
    <t>T-00234-2117</t>
  </si>
  <si>
    <t>T-00234-2118</t>
  </si>
  <si>
    <t>T-00234-2119</t>
  </si>
  <si>
    <t>T-00234-2120</t>
  </si>
  <si>
    <t>T-00234-2121</t>
  </si>
  <si>
    <t>T-00234-2123</t>
  </si>
  <si>
    <t>T-00234-2124</t>
  </si>
  <si>
    <t>T-00234-2125</t>
  </si>
  <si>
    <t>T-00234-2126</t>
  </si>
  <si>
    <t>T-00234-2135</t>
  </si>
  <si>
    <t>T-00234-2136</t>
  </si>
  <si>
    <t>T-00234-2138</t>
  </si>
  <si>
    <t>T-00234-2139</t>
  </si>
  <si>
    <t>T-00234-2140</t>
  </si>
  <si>
    <t>T-00234-2141</t>
  </si>
  <si>
    <t>T-00234-2150</t>
  </si>
  <si>
    <t>T-00234-2151</t>
  </si>
  <si>
    <t>T-00234-2153</t>
  </si>
  <si>
    <t>T-00234-2154</t>
  </si>
  <si>
    <t>T-00234-2155</t>
  </si>
  <si>
    <t>T-00234-2156</t>
  </si>
  <si>
    <t>T-00234-2165</t>
  </si>
  <si>
    <t>T-00234-2166</t>
  </si>
  <si>
    <t>T-00234-2168</t>
  </si>
  <si>
    <t>T-00234-2169</t>
  </si>
  <si>
    <t>T-00234-2170</t>
  </si>
  <si>
    <t>T-00234-2171</t>
  </si>
  <si>
    <t>T-00234-2180</t>
  </si>
  <si>
    <t>T-00234-2181</t>
  </si>
  <si>
    <t>T-00234-2183</t>
  </si>
  <si>
    <t>T-00234-2184</t>
  </si>
  <si>
    <t>T-00234-2185</t>
  </si>
  <si>
    <t>T-00234-2186</t>
  </si>
  <si>
    <t>T-00234-2195</t>
  </si>
  <si>
    <t>T-00234-2196</t>
  </si>
  <si>
    <t>T-00234-2198</t>
  </si>
  <si>
    <t>T-00234-2199</t>
  </si>
  <si>
    <t>T-00234-2200</t>
  </si>
  <si>
    <t>T-00234-2201</t>
  </si>
  <si>
    <t>T-00234-2210</t>
  </si>
  <si>
    <t>T-00234-2211</t>
  </si>
  <si>
    <t>T-00234-2213</t>
  </si>
  <si>
    <t>T-00234-2214</t>
  </si>
  <si>
    <t>T-00234-2215</t>
  </si>
  <si>
    <t>T-00234-2216</t>
  </si>
  <si>
    <t>T-00234-2225</t>
  </si>
  <si>
    <t>T-00234-2226</t>
  </si>
  <si>
    <t>T-00238-0457</t>
  </si>
  <si>
    <t>TPX15 - Distribution board/console/control panel</t>
  </si>
  <si>
    <t>Distribution Board/Console/Control Panel</t>
  </si>
  <si>
    <t>T-00238-0458</t>
  </si>
  <si>
    <t>T-00238-0459</t>
  </si>
  <si>
    <t>T-00238-0460</t>
  </si>
  <si>
    <t>T-00238-0461</t>
  </si>
  <si>
    <t>T-00238-0462</t>
  </si>
  <si>
    <t>T-00238-0463</t>
  </si>
  <si>
    <t>T-00238-0464</t>
  </si>
  <si>
    <t>T-00238-0465</t>
  </si>
  <si>
    <t>T-00238-0466</t>
  </si>
  <si>
    <t>T-00238-0467</t>
  </si>
  <si>
    <t>T-00238-0468</t>
  </si>
  <si>
    <t>T-00238-0469</t>
  </si>
  <si>
    <t>T-00238-0470</t>
  </si>
  <si>
    <t>T-00238-0471</t>
  </si>
  <si>
    <t>T-00238-0472</t>
  </si>
  <si>
    <t>T-00238-0473</t>
  </si>
  <si>
    <t>T-00238-0474</t>
  </si>
  <si>
    <t>T-00238-0475</t>
  </si>
  <si>
    <t>T-00238-0476</t>
  </si>
  <si>
    <t>T-00238-0477</t>
  </si>
  <si>
    <t>T-00238-0478</t>
  </si>
  <si>
    <t>T-00238-0479</t>
  </si>
  <si>
    <t>T-00238-0552</t>
  </si>
  <si>
    <t>T-00238-0553</t>
  </si>
  <si>
    <t>T-00238-0554</t>
  </si>
  <si>
    <t>T-00238-0555</t>
  </si>
  <si>
    <t>T-00238-0556</t>
  </si>
  <si>
    <t>T-00238-0557</t>
  </si>
  <si>
    <t>T-00238-0558</t>
  </si>
  <si>
    <t>T-00238-0565</t>
  </si>
  <si>
    <t>T-00238-0566</t>
  </si>
  <si>
    <t>TPX21 - Neutral earthing resistor</t>
  </si>
  <si>
    <t>T-00243-0059</t>
  </si>
  <si>
    <t>T-00243-0060</t>
  </si>
  <si>
    <t>T-00243-0061</t>
  </si>
  <si>
    <t>T-00243-0062</t>
  </si>
  <si>
    <t>T-00243-0063</t>
  </si>
  <si>
    <t>T-00243-0064</t>
  </si>
  <si>
    <t>T-00243-0065</t>
  </si>
  <si>
    <t>TJX10 - Multi/Single-core instrument control cable</t>
  </si>
  <si>
    <t>T-00254-4499</t>
  </si>
  <si>
    <t>T-00254-4500</t>
  </si>
  <si>
    <t>T-00254-4501</t>
  </si>
  <si>
    <t>T-00254-4502</t>
  </si>
  <si>
    <t>T-00254-4503</t>
  </si>
  <si>
    <t>T-00254-4504</t>
  </si>
  <si>
    <t>T-00254-4505</t>
  </si>
  <si>
    <t>T-00254-4506</t>
  </si>
  <si>
    <t>T-00254-4552</t>
  </si>
  <si>
    <t>T-00254-4553</t>
  </si>
  <si>
    <t>T-00254-4900</t>
  </si>
  <si>
    <t>T-00254-4901</t>
  </si>
  <si>
    <t>T-00254-4902</t>
  </si>
  <si>
    <t>T-00254-4903</t>
  </si>
  <si>
    <t>T-00254-4904</t>
  </si>
  <si>
    <t>T-00254-4905</t>
  </si>
  <si>
    <t>T-00254-4906</t>
  </si>
  <si>
    <t>T-00254-4907</t>
  </si>
  <si>
    <t>T-00254-4908</t>
  </si>
  <si>
    <t>T-00254-4909</t>
  </si>
  <si>
    <t>T-00254-4910</t>
  </si>
  <si>
    <t>T-00254-4911</t>
  </si>
  <si>
    <t>T-00254-4912</t>
  </si>
  <si>
    <t>T-00254-4913</t>
  </si>
  <si>
    <t>T-00254-4914</t>
  </si>
  <si>
    <t>T-00254-4915</t>
  </si>
  <si>
    <t>T-00254-4916</t>
  </si>
  <si>
    <t>T-00254-4917</t>
  </si>
  <si>
    <t>T-00254-4918</t>
  </si>
  <si>
    <t>T-00254-4919</t>
  </si>
  <si>
    <t>T-00254-4920</t>
  </si>
  <si>
    <t>T-00254-4921</t>
  </si>
  <si>
    <t>T-00254-4922</t>
  </si>
  <si>
    <t>T-00254-4923</t>
  </si>
  <si>
    <t>T-00254-4924</t>
  </si>
  <si>
    <t>T-00254-4925</t>
  </si>
  <si>
    <t>T-00254-4926</t>
  </si>
  <si>
    <t>T-00254-4927</t>
  </si>
  <si>
    <t>T-00254-4928</t>
  </si>
  <si>
    <t>T-00254-4929</t>
  </si>
  <si>
    <t>T-00254-4930</t>
  </si>
  <si>
    <t>T-00254-4931</t>
  </si>
  <si>
    <t>T-00254-4932</t>
  </si>
  <si>
    <t>T-00254-4933</t>
  </si>
  <si>
    <t>T-00254-4934</t>
  </si>
  <si>
    <t>T-00254-4935</t>
  </si>
  <si>
    <t>T-00254-4936</t>
  </si>
  <si>
    <t>T-00254-4937</t>
  </si>
  <si>
    <t>T-00254-4938</t>
  </si>
  <si>
    <t>T-00254-4939</t>
  </si>
  <si>
    <t>T-00254-4940</t>
  </si>
  <si>
    <t>T-00254-4941</t>
  </si>
  <si>
    <t>T-00254-4942</t>
  </si>
  <si>
    <t>T-00254-4943</t>
  </si>
  <si>
    <t>T-00254-4944</t>
  </si>
  <si>
    <t>T-00254-4945</t>
  </si>
  <si>
    <t>T-00254-4946</t>
  </si>
  <si>
    <t>T-00254-4947</t>
  </si>
  <si>
    <t>T-00254-4948</t>
  </si>
  <si>
    <t>T-00254-4949</t>
  </si>
  <si>
    <t>T-00254-4950</t>
  </si>
  <si>
    <t>T-00254-4951</t>
  </si>
  <si>
    <t>T-00254-4952</t>
  </si>
  <si>
    <t>T-00254-4953</t>
  </si>
  <si>
    <t>T-00254-4954</t>
  </si>
  <si>
    <t>T-00254-4955</t>
  </si>
  <si>
    <t>T-00254-4956</t>
  </si>
  <si>
    <t>T-00254-4957</t>
  </si>
  <si>
    <t>T-00254-4958</t>
  </si>
  <si>
    <t>T-00254-4959</t>
  </si>
  <si>
    <t>T-00254-4960</t>
  </si>
  <si>
    <t>T-00254-4961</t>
  </si>
  <si>
    <t>T-00254-4962</t>
  </si>
  <si>
    <t>T-00254-4963</t>
  </si>
  <si>
    <t>T-00254-4964</t>
  </si>
  <si>
    <t>T-00254-4965</t>
  </si>
  <si>
    <t>T-00254-4966</t>
  </si>
  <si>
    <t>T-00254-4967</t>
  </si>
  <si>
    <t>T-00254-4968</t>
  </si>
  <si>
    <t>T-00254-4969</t>
  </si>
  <si>
    <t>T-00254-4970</t>
  </si>
  <si>
    <t>T-00254-4971</t>
  </si>
  <si>
    <t>T-00254-4972</t>
  </si>
  <si>
    <t>T-00254-4973</t>
  </si>
  <si>
    <t>T-00254-4974</t>
  </si>
  <si>
    <t>T-00254-4975</t>
  </si>
  <si>
    <t>T-00254-4976</t>
  </si>
  <si>
    <t>T-00254-4977</t>
  </si>
  <si>
    <t>T-00254-4978</t>
  </si>
  <si>
    <t>T-00254-4979</t>
  </si>
  <si>
    <t>T-00254-4980</t>
  </si>
  <si>
    <t>T-00254-4981</t>
  </si>
  <si>
    <t>T-00254-4982</t>
  </si>
  <si>
    <t>T-00254-4983</t>
  </si>
  <si>
    <t>T-00254-4984</t>
  </si>
  <si>
    <t>T-00254-4985</t>
  </si>
  <si>
    <t>T-00254-4986</t>
  </si>
  <si>
    <t>T-00254-4987</t>
  </si>
  <si>
    <t>T-00254-4988</t>
  </si>
  <si>
    <t>T-00254-4989</t>
  </si>
  <si>
    <t>T-00254-4990</t>
  </si>
  <si>
    <t>T-00254-4991</t>
  </si>
  <si>
    <t>T-00254-4992</t>
  </si>
  <si>
    <t>T-00254-4993</t>
  </si>
  <si>
    <t>T-00254-4994</t>
  </si>
  <si>
    <t>T-00254-4995</t>
  </si>
  <si>
    <t>T-00254-4996</t>
  </si>
  <si>
    <t>T-00254-4997</t>
  </si>
  <si>
    <t>T-00254-4998</t>
  </si>
  <si>
    <t>T-00254-4999</t>
  </si>
  <si>
    <t>T-00254-5000</t>
  </si>
  <si>
    <t>T-00254-5001</t>
  </si>
  <si>
    <t>T-00254-5002</t>
  </si>
  <si>
    <t>T-00254-5003</t>
  </si>
  <si>
    <t>T-00254-5004</t>
  </si>
  <si>
    <t>T-00254-5005</t>
  </si>
  <si>
    <t>T-00254-5006</t>
  </si>
  <si>
    <t>T-00254-5007</t>
  </si>
  <si>
    <t>T-00254-5008</t>
  </si>
  <si>
    <t>T-00254-5009</t>
  </si>
  <si>
    <t>T-00254-5010</t>
  </si>
  <si>
    <t>T-00254-5011</t>
  </si>
  <si>
    <t>T-00254-5012</t>
  </si>
  <si>
    <t>T-00254-5013</t>
  </si>
  <si>
    <t>T-00254-5014</t>
  </si>
  <si>
    <t>T-00254-5015</t>
  </si>
  <si>
    <t>T-00254-5016</t>
  </si>
  <si>
    <t>T-00254-5017</t>
  </si>
  <si>
    <t>T-00254-5018</t>
  </si>
  <si>
    <t>T-00254-5019</t>
  </si>
  <si>
    <t>T-00254-5020</t>
  </si>
  <si>
    <t>T-00254-5021</t>
  </si>
  <si>
    <t>T-00254-5022</t>
  </si>
  <si>
    <t>T-00254-5023</t>
  </si>
  <si>
    <t>T-00254-5024</t>
  </si>
  <si>
    <t>T-00254-5025</t>
  </si>
  <si>
    <t>T-00254-5026</t>
  </si>
  <si>
    <t>T-00254-5027</t>
  </si>
  <si>
    <t>T-00254-5028</t>
  </si>
  <si>
    <t>T-00254-5029</t>
  </si>
  <si>
    <t>T-00254-5030</t>
  </si>
  <si>
    <t>T-00254-5031</t>
  </si>
  <si>
    <t>T-00254-5032</t>
  </si>
  <si>
    <t>T-00254-5033</t>
  </si>
  <si>
    <t>T-00254-5034</t>
  </si>
  <si>
    <t>T-00254-5035</t>
  </si>
  <si>
    <t>T-00254-5036</t>
  </si>
  <si>
    <t>T-00254-5037</t>
  </si>
  <si>
    <t>T-00254-5038</t>
  </si>
  <si>
    <t>T-00254-5039</t>
  </si>
  <si>
    <t>T-00254-5040</t>
  </si>
  <si>
    <t>T-00254-5041</t>
  </si>
  <si>
    <t>T-00254-5042</t>
  </si>
  <si>
    <t>T-00254-5043</t>
  </si>
  <si>
    <t>T-00254-5044</t>
  </si>
  <si>
    <t>T-00254-5045</t>
  </si>
  <si>
    <t>T-00254-5046</t>
  </si>
  <si>
    <t>T-00254-5047</t>
  </si>
  <si>
    <t>T-00254-5048</t>
  </si>
  <si>
    <t>T-00254-5049</t>
  </si>
  <si>
    <t>T-00254-5050</t>
  </si>
  <si>
    <t>T-00254-5051</t>
  </si>
  <si>
    <t>T-00254-5052</t>
  </si>
  <si>
    <t>T-00254-5053</t>
  </si>
  <si>
    <t>T-00254-5054</t>
  </si>
  <si>
    <t>T-00254-5055</t>
  </si>
  <si>
    <t>T-00254-5056</t>
  </si>
  <si>
    <t>T-00254-5057</t>
  </si>
  <si>
    <t>T-00254-5058</t>
  </si>
  <si>
    <t>T-00254-5059</t>
  </si>
  <si>
    <t>T-00254-5060</t>
  </si>
  <si>
    <t>T-00254-5061</t>
  </si>
  <si>
    <t>T-00254-5062</t>
  </si>
  <si>
    <t>T-00254-5063</t>
  </si>
  <si>
    <t>T-00254-5064</t>
  </si>
  <si>
    <t>T-00254-5065</t>
  </si>
  <si>
    <t>T-00254-5066</t>
  </si>
  <si>
    <t>T-00254-5067</t>
  </si>
  <si>
    <t>T-00254-5068</t>
  </si>
  <si>
    <t>T-00254-5069</t>
  </si>
  <si>
    <t>T-00254-5070</t>
  </si>
  <si>
    <t>T-00254-5071</t>
  </si>
  <si>
    <t>T-00254-5072</t>
  </si>
  <si>
    <t>T-00254-5073</t>
  </si>
  <si>
    <t>T-00254-5074</t>
  </si>
  <si>
    <t>T-00254-5075</t>
  </si>
  <si>
    <t>T-00254-5076</t>
  </si>
  <si>
    <t>T-00254-5077</t>
  </si>
  <si>
    <t>T-00254-5078</t>
  </si>
  <si>
    <t>T-00254-5079</t>
  </si>
  <si>
    <t>T-00254-5080</t>
  </si>
  <si>
    <t>T-00254-5081</t>
  </si>
  <si>
    <t>T-00254-5082</t>
  </si>
  <si>
    <t>T-00254-5083</t>
  </si>
  <si>
    <t>T-00254-5084</t>
  </si>
  <si>
    <t>T-00254-5085</t>
  </si>
  <si>
    <t>T-00254-5086</t>
  </si>
  <si>
    <t>T-00254-5087</t>
  </si>
  <si>
    <t>T-00254-5088</t>
  </si>
  <si>
    <t>T-00254-5093</t>
  </si>
  <si>
    <t>T-00254-5094</t>
  </si>
  <si>
    <t>T-00254-5095</t>
  </si>
  <si>
    <t>T-00254-5096</t>
  </si>
  <si>
    <t>T-00254-5097</t>
  </si>
  <si>
    <t>T-00254-5098</t>
  </si>
  <si>
    <t>T-00254-5099</t>
  </si>
  <si>
    <t>T-00254-5100</t>
  </si>
  <si>
    <t>T-00254-5101</t>
  </si>
  <si>
    <t>T-00254-5102</t>
  </si>
  <si>
    <t>T-00254-5103</t>
  </si>
  <si>
    <t>T-00254-5104</t>
  </si>
  <si>
    <t>T-00254-5105</t>
  </si>
  <si>
    <t>T-00254-5106</t>
  </si>
  <si>
    <t>T-00254-5107</t>
  </si>
  <si>
    <t>T-00254-5108</t>
  </si>
  <si>
    <t>T-00254-5113</t>
  </si>
  <si>
    <t>T-00254-5114</t>
  </si>
  <si>
    <t>T-00254-5115</t>
  </si>
  <si>
    <t>T-00254-5116</t>
  </si>
  <si>
    <t>T-00254-5117</t>
  </si>
  <si>
    <t>T-00254-5118</t>
  </si>
  <si>
    <t>T-00254-5119</t>
  </si>
  <si>
    <t>T-00254-5120</t>
  </si>
  <si>
    <t>T-00254-5121</t>
  </si>
  <si>
    <t>T-00254-5122</t>
  </si>
  <si>
    <t>T-00254-5123</t>
  </si>
  <si>
    <t>T-00254-5124</t>
  </si>
  <si>
    <t>T-00254-5125</t>
  </si>
  <si>
    <t>T-00254-5126</t>
  </si>
  <si>
    <t>T-00254-5127</t>
  </si>
  <si>
    <t>T-00254-5128</t>
  </si>
  <si>
    <t>T-00254-5133</t>
  </si>
  <si>
    <t>T-00254-5134</t>
  </si>
  <si>
    <t>T-00254-5135</t>
  </si>
  <si>
    <t>T-00254-5136</t>
  </si>
  <si>
    <t>T-00254-5137</t>
  </si>
  <si>
    <t>T-00254-5138</t>
  </si>
  <si>
    <t>T-00254-5139</t>
  </si>
  <si>
    <t>T-00254-5140</t>
  </si>
  <si>
    <t>T-00254-5141</t>
  </si>
  <si>
    <t>T-00254-5142</t>
  </si>
  <si>
    <t>T-00254-5143</t>
  </si>
  <si>
    <t>T-00254-5144</t>
  </si>
  <si>
    <t>T-00254-5145</t>
  </si>
  <si>
    <t>T-00254-5146</t>
  </si>
  <si>
    <t>T-00254-5147</t>
  </si>
  <si>
    <t>T-00254-5148</t>
  </si>
  <si>
    <t>T-00254-5153</t>
  </si>
  <si>
    <t>T-00254-5154</t>
  </si>
  <si>
    <t>T-00254-5155</t>
  </si>
  <si>
    <t>T-00254-5156</t>
  </si>
  <si>
    <t>T-00254-5157</t>
  </si>
  <si>
    <t>T-00254-5158</t>
  </si>
  <si>
    <t>T-00254-5159</t>
  </si>
  <si>
    <t>T-00254-5160</t>
  </si>
  <si>
    <t>T-00254-5161</t>
  </si>
  <si>
    <t>T-00254-5162</t>
  </si>
  <si>
    <t>T-00254-5163</t>
  </si>
  <si>
    <t>T-00254-5164</t>
  </si>
  <si>
    <t>T-00254-5165</t>
  </si>
  <si>
    <t>T-00254-5166</t>
  </si>
  <si>
    <t>T-00254-5167</t>
  </si>
  <si>
    <t>T-00254-5168</t>
  </si>
  <si>
    <t>T-00254-5173</t>
  </si>
  <si>
    <t>T-00254-5174</t>
  </si>
  <si>
    <t>T-00254-5175</t>
  </si>
  <si>
    <t>T-00254-5176</t>
  </si>
  <si>
    <t>T-00254-5177</t>
  </si>
  <si>
    <t>T-00254-5178</t>
  </si>
  <si>
    <t>T-00254-5179</t>
  </si>
  <si>
    <t>T-00254-5180</t>
  </si>
  <si>
    <t>T-00254-5181</t>
  </si>
  <si>
    <t>T-00254-5182</t>
  </si>
  <si>
    <t>T-00254-5183</t>
  </si>
  <si>
    <t>T-00254-5184</t>
  </si>
  <si>
    <t>T-00254-5185</t>
  </si>
  <si>
    <t>T-00254-5186</t>
  </si>
  <si>
    <t>T-00254-5187</t>
  </si>
  <si>
    <t>T-00254-5188</t>
  </si>
  <si>
    <t>T-00254-5193</t>
  </si>
  <si>
    <t>T-00254-5194</t>
  </si>
  <si>
    <t>T-00254-5195</t>
  </si>
  <si>
    <t>T-00254-5196</t>
  </si>
  <si>
    <t>T-00254-5197</t>
  </si>
  <si>
    <t>T-00254-5198</t>
  </si>
  <si>
    <t>T-00254-5199</t>
  </si>
  <si>
    <t>T-00254-5200</t>
  </si>
  <si>
    <t>T-00254-5201</t>
  </si>
  <si>
    <t>T-00254-5202</t>
  </si>
  <si>
    <t>T-00254-5203</t>
  </si>
  <si>
    <t>T-00254-5204</t>
  </si>
  <si>
    <t>T-00254-5205</t>
  </si>
  <si>
    <t>T-00254-5206</t>
  </si>
  <si>
    <t>T-00254-5207</t>
  </si>
  <si>
    <t>T-00254-5208</t>
  </si>
  <si>
    <t>T-00254-5213</t>
  </si>
  <si>
    <t>T-00254-5214</t>
  </si>
  <si>
    <t>T-00254-5215</t>
  </si>
  <si>
    <t>T-00254-5216</t>
  </si>
  <si>
    <t>T-00254-5217</t>
  </si>
  <si>
    <t>T-00254-5218</t>
  </si>
  <si>
    <t>T-00254-5219</t>
  </si>
  <si>
    <t>T-00254-5220</t>
  </si>
  <si>
    <t>T-00254-5221</t>
  </si>
  <si>
    <t>T-00254-5225</t>
  </si>
  <si>
    <t>T-00254-5226</t>
  </si>
  <si>
    <t>T-00254-5227</t>
  </si>
  <si>
    <t>T-00254-5228</t>
  </si>
  <si>
    <t>T-00254-5229</t>
  </si>
  <si>
    <t>T-00254-5230</t>
  </si>
  <si>
    <t>T-00254-5231</t>
  </si>
  <si>
    <t>T-00254-5232</t>
  </si>
  <si>
    <t>T-00254-5233</t>
  </si>
  <si>
    <t>T-00254-5234</t>
  </si>
  <si>
    <t>T-00254-5235</t>
  </si>
  <si>
    <t>T-00254-5236</t>
  </si>
  <si>
    <t>T-00254-5237</t>
  </si>
  <si>
    <t>T-00254-5238</t>
  </si>
  <si>
    <t>T-00254-5239</t>
  </si>
  <si>
    <t>T-00254-5240</t>
  </si>
  <si>
    <t>T-00254-5241</t>
  </si>
  <si>
    <t>T-00254-5242</t>
  </si>
  <si>
    <t>T-00254-5243</t>
  </si>
  <si>
    <t>T-00254-5244</t>
  </si>
  <si>
    <t>T-00254-5245</t>
  </si>
  <si>
    <t>T-00254-5246</t>
  </si>
  <si>
    <t>T-00254-5247</t>
  </si>
  <si>
    <t>T-00254-5248</t>
  </si>
  <si>
    <t>T-00254-5249</t>
  </si>
  <si>
    <t>T-00254-5250</t>
  </si>
  <si>
    <t>T-00254-5251</t>
  </si>
  <si>
    <t>T-00254-5252</t>
  </si>
  <si>
    <t>T-00254-5253</t>
  </si>
  <si>
    <t>T-00254-5254</t>
  </si>
  <si>
    <t>T-00254-5255</t>
  </si>
  <si>
    <t>T-00254-5256</t>
  </si>
  <si>
    <t>T-00254-5257</t>
  </si>
  <si>
    <t>T-00254-5258</t>
  </si>
  <si>
    <t>T-00254-5259</t>
  </si>
  <si>
    <t>T-00254-5260</t>
  </si>
  <si>
    <t>T-00254-5261</t>
  </si>
  <si>
    <t>T-00254-5262</t>
  </si>
  <si>
    <t>T-00254-5263</t>
  </si>
  <si>
    <t>T-00254-5264</t>
  </si>
  <si>
    <t>T-00254-5265</t>
  </si>
  <si>
    <t>T-00254-5266</t>
  </si>
  <si>
    <t>T-00254-5267</t>
  </si>
  <si>
    <t>T-00254-5268</t>
  </si>
  <si>
    <t>T-00254-5269</t>
  </si>
  <si>
    <t>T-00254-5270</t>
  </si>
  <si>
    <t>T-00254-5271</t>
  </si>
  <si>
    <t>T-00254-5272</t>
  </si>
  <si>
    <t>T-00254-5273</t>
  </si>
  <si>
    <t>T-00254-5274</t>
  </si>
  <si>
    <t>T-00254-5275</t>
  </si>
  <si>
    <t>T-00254-5276</t>
  </si>
  <si>
    <t>T-00254-5277</t>
  </si>
  <si>
    <t>T-00254-5278</t>
  </si>
  <si>
    <t>T-00254-5279</t>
  </si>
  <si>
    <t>T-00254-5280</t>
  </si>
  <si>
    <t>T-00254-5281</t>
  </si>
  <si>
    <t>T-00254-5282</t>
  </si>
  <si>
    <t>T-00254-5283</t>
  </si>
  <si>
    <t>T-00254-5284</t>
  </si>
  <si>
    <t>T-00254-5285</t>
  </si>
  <si>
    <t>T-00254-5286</t>
  </si>
  <si>
    <t>T-00254-5287</t>
  </si>
  <si>
    <t>T-00254-5288</t>
  </si>
  <si>
    <t>T-00254-5289</t>
  </si>
  <si>
    <t>T-00254-5290</t>
  </si>
  <si>
    <t>T-00254-5291</t>
  </si>
  <si>
    <t>T-00254-5292</t>
  </si>
  <si>
    <t>T-00254-5293</t>
  </si>
  <si>
    <t>T-00254-5294</t>
  </si>
  <si>
    <t>T-00254-5296</t>
  </si>
  <si>
    <t>T-00254-5297</t>
  </si>
  <si>
    <t>T-00254-5298</t>
  </si>
  <si>
    <t>T-00254-5299</t>
  </si>
  <si>
    <t>T-00254-5300</t>
  </si>
  <si>
    <t>T-00254-5301</t>
  </si>
  <si>
    <t>T-00254-5302</t>
  </si>
  <si>
    <t>T-00254-5303</t>
  </si>
  <si>
    <t>T-00254-5304</t>
  </si>
  <si>
    <t>T-00254-5305</t>
  </si>
  <si>
    <t>T-00254-5306</t>
  </si>
  <si>
    <t>T-00254-5307</t>
  </si>
  <si>
    <t>T-00254-5308</t>
  </si>
  <si>
    <t>T-00254-5309</t>
  </si>
  <si>
    <t>T-00254-5310</t>
  </si>
  <si>
    <t>T-00254-5311</t>
  </si>
  <si>
    <t>T-00254-5312</t>
  </si>
  <si>
    <t>T-00254-5313</t>
  </si>
  <si>
    <t>T-00254-5314</t>
  </si>
  <si>
    <t>T-00254-5315</t>
  </si>
  <si>
    <t>T-00254-5316</t>
  </si>
  <si>
    <t>T-00254-5317</t>
  </si>
  <si>
    <t>T-00254-5328</t>
  </si>
  <si>
    <t>T-00254-5329</t>
  </si>
  <si>
    <t>T-00254-5330</t>
  </si>
  <si>
    <t>T-00254-5331</t>
  </si>
  <si>
    <t>T-00254-5332</t>
  </si>
  <si>
    <t>T-00254-5333</t>
  </si>
  <si>
    <t>T-00254-5334</t>
  </si>
  <si>
    <t>T-00254-5335</t>
  </si>
  <si>
    <t>T-00254-5336</t>
  </si>
  <si>
    <t>T-00254-5337</t>
  </si>
  <si>
    <t>T-00254-5338</t>
  </si>
  <si>
    <t>T-00254-5339</t>
  </si>
  <si>
    <t>T-00254-5340</t>
  </si>
  <si>
    <t>T-00254-5341</t>
  </si>
  <si>
    <t>T-00254-5342</t>
  </si>
  <si>
    <t>T-00254-5351</t>
  </si>
  <si>
    <t>T-00254-5352</t>
  </si>
  <si>
    <t>T-00254-5353</t>
  </si>
  <si>
    <t>T-00254-5354</t>
  </si>
  <si>
    <t>T-00254-5355</t>
  </si>
  <si>
    <t>T-00254-5356</t>
  </si>
  <si>
    <t>T-00254-5357</t>
  </si>
  <si>
    <t>T-00254-5358</t>
  </si>
  <si>
    <t>T-00254-5359</t>
  </si>
  <si>
    <t>T-00254-5360</t>
  </si>
  <si>
    <t>T-00254-5361</t>
  </si>
  <si>
    <t>T-00254-5362</t>
  </si>
  <si>
    <t>T-00254-5363</t>
  </si>
  <si>
    <t>T-00254-5364</t>
  </si>
  <si>
    <t>T-00254-5365</t>
  </si>
  <si>
    <t>T-00254-5366</t>
  </si>
  <si>
    <t>T-00254-5367</t>
  </si>
  <si>
    <t>T-00254-5368</t>
  </si>
  <si>
    <t>T-00254-5369</t>
  </si>
  <si>
    <t>T-00254-5370</t>
  </si>
  <si>
    <t>T-00254-5371</t>
  </si>
  <si>
    <t>T-00254-5372</t>
  </si>
  <si>
    <t>T-00254-5373</t>
  </si>
  <si>
    <t>T-00254-5374</t>
  </si>
  <si>
    <t>T-00254-5375</t>
  </si>
  <si>
    <t>T-00254-5376</t>
  </si>
  <si>
    <t>T-00254-5377</t>
  </si>
  <si>
    <t>T-00254-5378</t>
  </si>
  <si>
    <t>T-00254-5390</t>
  </si>
  <si>
    <t>T-00254-5391</t>
  </si>
  <si>
    <t>T-00254-5394</t>
  </si>
  <si>
    <t>T-00254-5395</t>
  </si>
  <si>
    <t>T-00254-5396</t>
  </si>
  <si>
    <t>T-00254-5397</t>
  </si>
  <si>
    <t>T-00254-5398</t>
  </si>
  <si>
    <t>T-00254-5399</t>
  </si>
  <si>
    <t>T-00254-5400</t>
  </si>
  <si>
    <t>T-00254-5401</t>
  </si>
  <si>
    <t>T-00254-5402</t>
  </si>
  <si>
    <t>T-00254-5403</t>
  </si>
  <si>
    <t>T-00254-5404</t>
  </si>
  <si>
    <t>T-00254-5405</t>
  </si>
  <si>
    <t>T-00254-5411</t>
  </si>
  <si>
    <t>T-00254-5412</t>
  </si>
  <si>
    <t>T-00254-5413</t>
  </si>
  <si>
    <t>T-00254-5414</t>
  </si>
  <si>
    <t>T-00254-5415</t>
  </si>
  <si>
    <t>T-00254-5416</t>
  </si>
  <si>
    <t>T-00254-5417</t>
  </si>
  <si>
    <t>T-00254-5418</t>
  </si>
  <si>
    <t>T-00254-5419</t>
  </si>
  <si>
    <t>T-00254-5420</t>
  </si>
  <si>
    <t>T-00254-5479</t>
  </si>
  <si>
    <t>T-00254-5480</t>
  </si>
  <si>
    <t>T-00254-5481</t>
  </si>
  <si>
    <t>T-00254-5482</t>
  </si>
  <si>
    <t>T-00254-5486</t>
  </si>
  <si>
    <t>T-00254-5487</t>
  </si>
  <si>
    <t>T-00254-5488</t>
  </si>
  <si>
    <t>T-00254-5489</t>
  </si>
  <si>
    <t>T-00254-5528</t>
  </si>
  <si>
    <t>T-00254-5529</t>
  </si>
  <si>
    <t>T-00254-5530</t>
  </si>
  <si>
    <t>T-00254-5531</t>
  </si>
  <si>
    <t>T-00254-5532</t>
  </si>
  <si>
    <t>T-00254-5533</t>
  </si>
  <si>
    <t>T-00254-5534</t>
  </si>
  <si>
    <t>T-00254-5535</t>
  </si>
  <si>
    <t>T-00254-5536</t>
  </si>
  <si>
    <t>T-00254-5537</t>
  </si>
  <si>
    <t>T-00254-5538</t>
  </si>
  <si>
    <t>T-00254-5539</t>
  </si>
  <si>
    <t>T-00254-5540</t>
  </si>
  <si>
    <t>T-00254-5541</t>
  </si>
  <si>
    <t>T-00254-5542</t>
  </si>
  <si>
    <t>T-00254-5543</t>
  </si>
  <si>
    <t>T-00254-9420</t>
  </si>
  <si>
    <t>TJX12 - Optical fiber cable</t>
  </si>
  <si>
    <t>T-00256-0027</t>
  </si>
  <si>
    <t>T-00256-0028</t>
  </si>
  <si>
    <t>T-00256-0029</t>
  </si>
  <si>
    <t>T-00257-0165</t>
  </si>
  <si>
    <t>TJX13 - Thermowell</t>
  </si>
  <si>
    <t>T-00257-0169</t>
  </si>
  <si>
    <t>T-00257-0171</t>
  </si>
  <si>
    <t>T-00257-0173</t>
  </si>
  <si>
    <t>T-00257-0174</t>
  </si>
  <si>
    <t>T-00257-0175</t>
  </si>
  <si>
    <t>T-00257-0176</t>
  </si>
  <si>
    <t>T-00257-0177</t>
  </si>
  <si>
    <t>T-00257-0179</t>
  </si>
  <si>
    <t>T-00257-0181</t>
  </si>
  <si>
    <t>T-00257-0182</t>
  </si>
  <si>
    <t>T-00257-0183</t>
  </si>
  <si>
    <t>T-00257-0184</t>
  </si>
  <si>
    <t>T-00257-0185</t>
  </si>
  <si>
    <t>T-00257-0186</t>
  </si>
  <si>
    <t>T-00257-0189</t>
  </si>
  <si>
    <t>T-00257-0190</t>
  </si>
  <si>
    <t>T-00257-0194</t>
  </si>
  <si>
    <t>T-00257-0198</t>
  </si>
  <si>
    <t>T-00257-0199</t>
  </si>
  <si>
    <t>T-00257-0207</t>
  </si>
  <si>
    <t>T-00257-0208</t>
  </si>
  <si>
    <t>T-00257-0209</t>
  </si>
  <si>
    <t>T-00257-0210</t>
  </si>
  <si>
    <t>T-00257-0211</t>
  </si>
  <si>
    <t>T-00257-0212</t>
  </si>
  <si>
    <t>T-00257-0213</t>
  </si>
  <si>
    <t>T-00257-0214</t>
  </si>
  <si>
    <t>T-00275-1945</t>
  </si>
  <si>
    <t>TIX01 - RJ45 Cable</t>
  </si>
  <si>
    <t>RJ45 Cable</t>
  </si>
  <si>
    <t>T-00275-1946</t>
  </si>
  <si>
    <t>T-00275-1947</t>
  </si>
  <si>
    <t>T-00275-1948</t>
  </si>
  <si>
    <t>T-00275-1949</t>
  </si>
  <si>
    <t>T-00275-1950</t>
  </si>
  <si>
    <t>T-00275-1951</t>
  </si>
  <si>
    <t>T-00275-1952</t>
  </si>
  <si>
    <t>T-00275-1953</t>
  </si>
  <si>
    <t>T-00275-1954</t>
  </si>
  <si>
    <t>T-00275-1955</t>
  </si>
  <si>
    <t>T-00275-1956</t>
  </si>
  <si>
    <t>T-00275-1957</t>
  </si>
  <si>
    <t>T-00275-1958</t>
  </si>
  <si>
    <t>T-00275-1959</t>
  </si>
  <si>
    <t>T-00275-1960</t>
  </si>
  <si>
    <t>T-00275-1961</t>
  </si>
  <si>
    <t>T-00275-1962</t>
  </si>
  <si>
    <t>T-00275-1963</t>
  </si>
  <si>
    <t>T-00275-1964</t>
  </si>
  <si>
    <t>T-00275-1965</t>
  </si>
  <si>
    <t>T-00275-1966</t>
  </si>
  <si>
    <t>T-00275-1967</t>
  </si>
  <si>
    <t>T-00275-1968</t>
  </si>
  <si>
    <t>T-00275-1969</t>
  </si>
  <si>
    <t>T-00275-1970</t>
  </si>
  <si>
    <t>T-00275-1971</t>
  </si>
  <si>
    <t>T-00275-1972</t>
  </si>
  <si>
    <t>T-00275-1973</t>
  </si>
  <si>
    <t>T-00275-1974</t>
  </si>
  <si>
    <t>T-00275-1975</t>
  </si>
  <si>
    <t>T-00275-1976</t>
  </si>
  <si>
    <t>T-00275-1977</t>
  </si>
  <si>
    <t>T-00275-1978</t>
  </si>
  <si>
    <t>T-00275-1979</t>
  </si>
  <si>
    <t>T-00275-1980</t>
  </si>
  <si>
    <t>T-00275-1981</t>
  </si>
  <si>
    <t>T-00275-1982</t>
  </si>
  <si>
    <t>T-00275-1983</t>
  </si>
  <si>
    <t>T-00275-1984</t>
  </si>
  <si>
    <t>T-00275-1985</t>
  </si>
  <si>
    <t>T-00275-1986</t>
  </si>
  <si>
    <t>T-00275-1987</t>
  </si>
  <si>
    <t>T-00275-1988</t>
  </si>
  <si>
    <t>T-00275-1989</t>
  </si>
  <si>
    <t>T-00275-1990</t>
  </si>
  <si>
    <t>T-00275-1991</t>
  </si>
  <si>
    <t>T-00275-1992</t>
  </si>
  <si>
    <t>T-00275-1993</t>
  </si>
  <si>
    <t>T-00275-1994</t>
  </si>
  <si>
    <t>T-00275-1995</t>
  </si>
  <si>
    <t>T-00275-1996</t>
  </si>
  <si>
    <t>T-00275-1997</t>
  </si>
  <si>
    <t>T-00275-1998</t>
  </si>
  <si>
    <t>T-00275-1999</t>
  </si>
  <si>
    <t>T-00275-2000</t>
  </si>
  <si>
    <t>T-00275-2001</t>
  </si>
  <si>
    <t>T-00275-2002</t>
  </si>
  <si>
    <t>T-00275-2003</t>
  </si>
  <si>
    <t>T-00275-2004</t>
  </si>
  <si>
    <t>T-00275-2005</t>
  </si>
  <si>
    <t>T-00275-2006</t>
  </si>
  <si>
    <t>T-00275-2007</t>
  </si>
  <si>
    <t>T-00275-2010</t>
  </si>
  <si>
    <t>T-00275-2011</t>
  </si>
  <si>
    <t>T-00525-0026</t>
  </si>
  <si>
    <t>CZX01R - Package receiving inspection</t>
  </si>
  <si>
    <t>T-00525-0027</t>
  </si>
  <si>
    <t>T-00525-0028</t>
  </si>
  <si>
    <t>T-00525-0029</t>
  </si>
  <si>
    <t>T-00525-0030</t>
  </si>
  <si>
    <t>T-00525-0031</t>
  </si>
  <si>
    <t>T-00525-0032</t>
  </si>
  <si>
    <t>T-00525-0219</t>
  </si>
  <si>
    <t>T-00525-0220</t>
  </si>
  <si>
    <t>T-00525-0221</t>
  </si>
  <si>
    <t>T-00525-0222</t>
  </si>
  <si>
    <t>T-00525-0223</t>
  </si>
  <si>
    <t>T-00525-0224</t>
  </si>
  <si>
    <t>T-00525-0225</t>
  </si>
  <si>
    <t>T-00525-0226</t>
  </si>
  <si>
    <t>T-00525-0227</t>
  </si>
  <si>
    <t>T-00525-0228</t>
  </si>
  <si>
    <t>T-00525-0229</t>
  </si>
  <si>
    <t>T-00525-0230</t>
  </si>
  <si>
    <t>T-00525-0231</t>
  </si>
  <si>
    <t>T-00525-0232</t>
  </si>
  <si>
    <t>T-00525-0233</t>
  </si>
  <si>
    <t>T-00525-0234</t>
  </si>
  <si>
    <t>T-00525-0235</t>
  </si>
  <si>
    <t>T-00525-0236</t>
  </si>
  <si>
    <t>T-00525-0237</t>
  </si>
  <si>
    <t>T-00525-0238</t>
  </si>
  <si>
    <t>T-00525-0239</t>
  </si>
  <si>
    <t>T-00525-0241</t>
  </si>
  <si>
    <t>T-00525-0242</t>
  </si>
  <si>
    <t>T-00525-0276</t>
  </si>
  <si>
    <t>T-00525-0278</t>
  </si>
  <si>
    <t>T-00525-0279</t>
  </si>
  <si>
    <t>T-00525-0280</t>
  </si>
  <si>
    <t>T-00525-0281</t>
  </si>
  <si>
    <t>T-00525-0282</t>
  </si>
  <si>
    <t>T-00525-0283</t>
  </si>
  <si>
    <t>T-00525-0284</t>
  </si>
  <si>
    <t>T-00525-0458</t>
  </si>
  <si>
    <t>T-00525-0459</t>
  </si>
  <si>
    <t>T-00525-0460</t>
  </si>
  <si>
    <t>T-00525-0461</t>
  </si>
  <si>
    <t>T-00525-0462</t>
  </si>
  <si>
    <t>T-00525-0463</t>
  </si>
  <si>
    <t>T-00525-0464</t>
  </si>
  <si>
    <t>T-00525-0465</t>
  </si>
  <si>
    <t>T-00525-0466</t>
  </si>
  <si>
    <t>T-00525-0467</t>
  </si>
  <si>
    <t>T-00525-0468</t>
  </si>
  <si>
    <t>T-00525-0469</t>
  </si>
  <si>
    <t>T-00525-0546</t>
  </si>
  <si>
    <t>T-00525-0547</t>
  </si>
  <si>
    <t>T-00525-0548</t>
  </si>
  <si>
    <t>T-00525-0549</t>
  </si>
  <si>
    <t>T-00525-0550</t>
  </si>
  <si>
    <t>T-00525-0551</t>
  </si>
  <si>
    <t>T-00525-0552</t>
  </si>
  <si>
    <t>T-00525-0553</t>
  </si>
  <si>
    <t>T-00525-0560</t>
  </si>
  <si>
    <t>T-00525-0561</t>
  </si>
  <si>
    <t>T-00525-0562</t>
  </si>
  <si>
    <t>T-00525-0563</t>
  </si>
  <si>
    <t>T-00525-0564</t>
  </si>
  <si>
    <t>T-00525-0565</t>
  </si>
  <si>
    <t>T-00525-0566</t>
  </si>
  <si>
    <t>T-00525-0567</t>
  </si>
  <si>
    <t>T-00525-0568</t>
  </si>
  <si>
    <t>T-00525-0569</t>
  </si>
  <si>
    <t>T-00525-0570</t>
  </si>
  <si>
    <t>T-00525-0571</t>
  </si>
  <si>
    <t>T-00525-0572</t>
  </si>
  <si>
    <t>T-00525-0573</t>
  </si>
  <si>
    <t>T-00525-0574</t>
  </si>
  <si>
    <t>T-00525-0575</t>
  </si>
  <si>
    <t>T-00525-0576</t>
  </si>
  <si>
    <t>T-00525-0583</t>
  </si>
  <si>
    <t>T-00525-0609</t>
  </si>
  <si>
    <t>T-00023-10887</t>
  </si>
  <si>
    <t>PS5-60-BE-0007A-CL02</t>
  </si>
  <si>
    <t>T-00023-10888</t>
  </si>
  <si>
    <t>PS5-60-BE-0007A-CL03</t>
  </si>
  <si>
    <t>T-00023-10889</t>
  </si>
  <si>
    <t>PS5-60-BE-0007B-CL02</t>
  </si>
  <si>
    <t>T-00023-10890</t>
  </si>
  <si>
    <t>PS5-60-BE-0007B-CL03</t>
  </si>
  <si>
    <t>T-00023-10891</t>
  </si>
  <si>
    <t>PS5-60-BE-0007C-CL02</t>
  </si>
  <si>
    <t>T-00023-10892</t>
  </si>
  <si>
    <t>PS5-60-BE-0007C-CL03</t>
  </si>
  <si>
    <t>T-00023-10893</t>
  </si>
  <si>
    <t>PS5-60-BE-0007D-CL02</t>
  </si>
  <si>
    <t>T-00023-10894</t>
  </si>
  <si>
    <t>PS5-60-BE-0007D-CL03</t>
  </si>
  <si>
    <t>T-00023-10895</t>
  </si>
  <si>
    <t>PS5-60-BE-0007E-CL02</t>
  </si>
  <si>
    <t>T-00023-10896</t>
  </si>
  <si>
    <t>PS5-60-BE-0007E-CL03</t>
  </si>
  <si>
    <t>T-00023-10897</t>
  </si>
  <si>
    <t>PS5-60-BE-0007F-CL02</t>
  </si>
  <si>
    <t>T-00023-10898</t>
  </si>
  <si>
    <t>PS5-60-BE-0007F-CL03</t>
  </si>
  <si>
    <t>T-00023-10899</t>
  </si>
  <si>
    <t>PS5-60-BE-0007G-CL02</t>
  </si>
  <si>
    <t>T-00023-10900</t>
  </si>
  <si>
    <t>PS5-60-BE-0007G-CL03</t>
  </si>
  <si>
    <t>T-00023-10901</t>
  </si>
  <si>
    <t>PS5-60-ISO-62800A-CL01</t>
  </si>
  <si>
    <t>Cable FROM PS5-60-IH-0001A TO PS5-60-ISO-62800A</t>
  </si>
  <si>
    <t>T-00023-10902</t>
  </si>
  <si>
    <t>PS5-60-ISO-62800C-CL01</t>
  </si>
  <si>
    <t>Cable FROM PS5-60-IH-0001C TO PS5-60-ISO-62800C</t>
  </si>
  <si>
    <t>T-00023-10903</t>
  </si>
  <si>
    <t>PS5-60-ISO-62800E-CL01</t>
  </si>
  <si>
    <t>Cable FROM PS5-60-IH-0001E TO PS5-60-ISO-62800E</t>
  </si>
  <si>
    <t>T-00023-10904</t>
  </si>
  <si>
    <t>PS5-60-ISO-62800G-CL01</t>
  </si>
  <si>
    <t>Cable FROM PS5-60-IH-0001G TO PS5-60-ISO-62800G</t>
  </si>
  <si>
    <t>PS5-60-IE-0004-CD14</t>
  </si>
  <si>
    <t>PS5-60-IE-0004-CD15</t>
  </si>
  <si>
    <t>PS5-60-IE-0004-CD16</t>
  </si>
  <si>
    <t>T-00233-10890</t>
  </si>
  <si>
    <t>T-00233-10891</t>
  </si>
  <si>
    <t>T-00233-10892</t>
  </si>
  <si>
    <t>T-00233-10893</t>
  </si>
  <si>
    <t>T-00233-10894</t>
  </si>
  <si>
    <t>T-00233-10895</t>
  </si>
  <si>
    <t>T-00233-10896</t>
  </si>
  <si>
    <t>T-00233-10897</t>
  </si>
  <si>
    <t>T-00233-10898</t>
  </si>
  <si>
    <t>T-00233-10899</t>
  </si>
  <si>
    <t>T-00233-10900</t>
  </si>
  <si>
    <t>T-00233-10901</t>
  </si>
  <si>
    <t>T-00233-10902</t>
  </si>
  <si>
    <t>T-00233-10903</t>
  </si>
  <si>
    <t>T-00233-10904</t>
  </si>
  <si>
    <t>T-00233-10905</t>
  </si>
  <si>
    <t>T-00233-10906</t>
  </si>
  <si>
    <t>T-00233-10907</t>
  </si>
  <si>
    <t>CPX10b - Multicore Electrical Control Cable (One end by HU CTR)</t>
  </si>
  <si>
    <t>T-00610-0220</t>
  </si>
  <si>
    <t>T-00610-0221</t>
  </si>
  <si>
    <t>T-00610-0222</t>
  </si>
  <si>
    <t>T-00610-0223</t>
  </si>
  <si>
    <t>T-00610-0224</t>
  </si>
  <si>
    <t>T-00610-0225</t>
  </si>
  <si>
    <t>T-00610-0226</t>
  </si>
  <si>
    <t>T-00610-0227</t>
  </si>
  <si>
    <t>T-00610-0228</t>
  </si>
  <si>
    <t>T-00610-0229</t>
  </si>
  <si>
    <t>T-00610-0230</t>
  </si>
  <si>
    <t>T-00610-0231</t>
  </si>
  <si>
    <t>T-00610-0232</t>
  </si>
  <si>
    <t>T-00610-0233</t>
  </si>
  <si>
    <t>T-00610-0234</t>
  </si>
  <si>
    <t>T-00610-0235</t>
  </si>
  <si>
    <t>T-00610-0236</t>
  </si>
  <si>
    <t>T-00610-0237</t>
  </si>
  <si>
    <t>T-00610-0238</t>
  </si>
  <si>
    <t>T-00610-0239</t>
  </si>
  <si>
    <t>T-00610-0240</t>
  </si>
  <si>
    <t>T-00610-0241</t>
  </si>
  <si>
    <t>T-00610-0242</t>
  </si>
  <si>
    <t>T-00610-0574</t>
  </si>
  <si>
    <t>T-00610-0575</t>
  </si>
  <si>
    <t>T-00610-0576</t>
  </si>
  <si>
    <t>CJX10a - Multi/Single-core instrument control cable (One end by HU CTR)</t>
  </si>
  <si>
    <t>T-00614-0922</t>
  </si>
  <si>
    <t>T-00614-0923</t>
  </si>
  <si>
    <t>T-00614-1034</t>
  </si>
  <si>
    <t>T-00614-1035</t>
  </si>
  <si>
    <t>T-00614-1036</t>
  </si>
  <si>
    <t>T-00614-1037</t>
  </si>
  <si>
    <t>T-00614-1038</t>
  </si>
  <si>
    <t>T-00614-1039</t>
  </si>
  <si>
    <t>T-00614-1040</t>
  </si>
  <si>
    <t>T-00614-1041</t>
  </si>
  <si>
    <t>T-00614-1042</t>
  </si>
  <si>
    <t>T-00614-1043</t>
  </si>
  <si>
    <t>T-00614-1044</t>
  </si>
  <si>
    <t>T-00614-1045</t>
  </si>
  <si>
    <t>T-00614-1046</t>
  </si>
  <si>
    <t>T-00614-1047</t>
  </si>
  <si>
    <t>T-00614-1048</t>
  </si>
  <si>
    <t>T-00614-1049</t>
  </si>
  <si>
    <t>T-00614-1050</t>
  </si>
  <si>
    <t>T-00614-1051</t>
  </si>
  <si>
    <t>T-00614-1052</t>
  </si>
  <si>
    <t>T-00614-1053</t>
  </si>
  <si>
    <t>T-00614-1054</t>
  </si>
  <si>
    <t>T-00614-1055</t>
  </si>
  <si>
    <t>T-00614-1056</t>
  </si>
  <si>
    <t>T-00614-1057</t>
  </si>
  <si>
    <t>T-00614-1058</t>
  </si>
  <si>
    <t>T-00614-1059</t>
  </si>
  <si>
    <t>T-00614-1060</t>
  </si>
  <si>
    <t>T-00614-1061</t>
  </si>
  <si>
    <t>T-00614-1062</t>
  </si>
  <si>
    <t>T-00614-1063</t>
  </si>
  <si>
    <t>T-00614-1064</t>
  </si>
  <si>
    <t>T-00614-1065</t>
  </si>
  <si>
    <t>T-00614-1111</t>
  </si>
  <si>
    <t>T-00614-1112</t>
  </si>
  <si>
    <t>T-00614-1113</t>
  </si>
  <si>
    <t>T-00614-1114</t>
  </si>
  <si>
    <t>T-00614-1115</t>
  </si>
  <si>
    <t>T-00614-1116</t>
  </si>
  <si>
    <t>EIT</t>
  </si>
  <si>
    <t>CLOSED</t>
  </si>
  <si>
    <t>MILESTONES</t>
  </si>
  <si>
    <t>REMARKS</t>
  </si>
  <si>
    <t>GRAND TOTAL</t>
  </si>
  <si>
    <t>%</t>
  </si>
  <si>
    <t>SUBSYTEM DESCRIPTIONS</t>
  </si>
  <si>
    <t>TOTAL ITRs</t>
  </si>
  <si>
    <t>HYDROTEST-ITRs STATUS</t>
  </si>
  <si>
    <t>TOTAL CLOSED</t>
  </si>
  <si>
    <t>T-00525-0899</t>
  </si>
  <si>
    <t>T-00525-0900</t>
  </si>
  <si>
    <t>T-00525-0901</t>
  </si>
  <si>
    <t>T-00525-0902</t>
  </si>
  <si>
    <t>T-00525-0903</t>
  </si>
  <si>
    <t>T-00525-0904</t>
  </si>
  <si>
    <t>T-00525-0905</t>
  </si>
  <si>
    <t>MONTH</t>
  </si>
  <si>
    <t>JUNE</t>
  </si>
  <si>
    <t>JULY</t>
  </si>
  <si>
    <t>AUGUST</t>
  </si>
  <si>
    <t>SEPTEMBER</t>
  </si>
  <si>
    <t>OCTOBER</t>
  </si>
  <si>
    <t>TOTAL ITRS</t>
  </si>
  <si>
    <t>BALANCE</t>
  </si>
  <si>
    <t>TOTAL NO SS</t>
  </si>
  <si>
    <t>RFC SIGNED</t>
  </si>
  <si>
    <t>% COMPLETION</t>
  </si>
  <si>
    <t>ITR CLOSED THIS WEEK</t>
  </si>
  <si>
    <t>TP</t>
  </si>
  <si>
    <t>T-00087-0528</t>
  </si>
  <si>
    <t>PS5-60-LA-0003</t>
  </si>
  <si>
    <t>Remote Access Panel</t>
  </si>
  <si>
    <t>MILESTONES-CPP AGI STATUS</t>
  </si>
  <si>
    <t>REMAIINING</t>
  </si>
  <si>
    <t>T-00069-12948</t>
  </si>
  <si>
    <t>PS5-60-BI-0001A-CC02</t>
  </si>
  <si>
    <t>Cable FROM PS5-60-IE-0001A TO PS5-60-BI-0001A</t>
  </si>
  <si>
    <t>T-00069-12949</t>
  </si>
  <si>
    <t>PS5-60-BI-0001B-CC02</t>
  </si>
  <si>
    <t>Cable FROM PS5-60-IE-0001B TO PS5-60-BI-0001B</t>
  </si>
  <si>
    <t>T-00069-12950</t>
  </si>
  <si>
    <t>PS5-60-BI-0001C-CC02</t>
  </si>
  <si>
    <t>Cable FROM PS5-60-IE-0001C TO PS5-60-BI-0001C</t>
  </si>
  <si>
    <t>T-00069-12951</t>
  </si>
  <si>
    <t>PS5-60-BI-0001D-CC02</t>
  </si>
  <si>
    <t>Cable FROM PS5-60-IE-0001D TO PS5-60-BI-0001D</t>
  </si>
  <si>
    <t>T-00069-12952</t>
  </si>
  <si>
    <t>PS5-60-BI-0001E-CC02</t>
  </si>
  <si>
    <t>Cable FROM PS5-60-IE-0001E TO PS5-60-BI-0001E</t>
  </si>
  <si>
    <t>T-00069-12953</t>
  </si>
  <si>
    <t>PS5-60-BI-0001F-CC02</t>
  </si>
  <si>
    <t>Cable FROM PS5-60-IE-0001F TO PS5-60-BI-0001F</t>
  </si>
  <si>
    <t>T-00069-12954</t>
  </si>
  <si>
    <t>PS5-60-BI-0001G-CC02</t>
  </si>
  <si>
    <t>Cable FROM PS5-60-IE-0001G TO PS5-60-BI-0001G</t>
  </si>
  <si>
    <t>T-00069-12955</t>
  </si>
  <si>
    <t>PS5-60-BI-0003-CC03</t>
  </si>
  <si>
    <t>T-00069-12956</t>
  </si>
  <si>
    <t>PS5-60-IE-0002A-CC01</t>
  </si>
  <si>
    <t>Cable FROM PS5-60-IE-0001A TO PS5-60-IE-0002A</t>
  </si>
  <si>
    <t>T-00069-12957</t>
  </si>
  <si>
    <t>PS5-60-IE-0002A-CC02</t>
  </si>
  <si>
    <t>T-00069-12958</t>
  </si>
  <si>
    <t>PS5-60-IE-0002A-CC03</t>
  </si>
  <si>
    <t>T-00069-12959</t>
  </si>
  <si>
    <t>PS5-60-IE-0002B-CC01</t>
  </si>
  <si>
    <t>Cable FROM PS5-60-IE-0001B TO PS5-60-IE-0002B</t>
  </si>
  <si>
    <t>T-00069-12960</t>
  </si>
  <si>
    <t>PS5-60-IE-0002B-CC02</t>
  </si>
  <si>
    <t>T-00069-12961</t>
  </si>
  <si>
    <t>PS5-60-IE-0002B-CC03</t>
  </si>
  <si>
    <t>T-00069-12962</t>
  </si>
  <si>
    <t>PS5-60-IE-0002C-CC01</t>
  </si>
  <si>
    <t>Cable FROM PS5-60-IE-0001C TO PS5-60-IE-0002C</t>
  </si>
  <si>
    <t>T-00069-12963</t>
  </si>
  <si>
    <t>PS5-60-IE-0002C-CC02</t>
  </si>
  <si>
    <t>T-00069-12964</t>
  </si>
  <si>
    <t>PS5-60-IE-0002C-CC03</t>
  </si>
  <si>
    <t>T-00069-12965</t>
  </si>
  <si>
    <t>PS5-60-IE-0002D-CC01</t>
  </si>
  <si>
    <t>Cable FROM PS5-60-IE-0001D TO PS5-60-IE-0002D</t>
  </si>
  <si>
    <t>T-00069-12966</t>
  </si>
  <si>
    <t>PS5-60-IE-0002D-CC02</t>
  </si>
  <si>
    <t>T-00069-12967</t>
  </si>
  <si>
    <t>PS5-60-IE-0002D-CC03</t>
  </si>
  <si>
    <t>T-00069-12968</t>
  </si>
  <si>
    <t>PS5-60-IE-0002E-CC01</t>
  </si>
  <si>
    <t>Cable FROM PS5-60-IE-0001E TO PS5-60-IE-0002E</t>
  </si>
  <si>
    <t>T-00069-12969</t>
  </si>
  <si>
    <t>PS5-60-IE-0002E-CC02</t>
  </si>
  <si>
    <t>T-00069-12970</t>
  </si>
  <si>
    <t>PS5-60-IE-0002E-CC03</t>
  </si>
  <si>
    <t>T-00069-12971</t>
  </si>
  <si>
    <t>PS5-60-IE-0002F-CC01</t>
  </si>
  <si>
    <t>Cable FROM PS5-60-IE-0001F TO PS5-60-IE-0002F</t>
  </si>
  <si>
    <t>T-00069-12972</t>
  </si>
  <si>
    <t>PS5-60-IE-0002F-CC02</t>
  </si>
  <si>
    <t>T-00069-12973</t>
  </si>
  <si>
    <t>PS5-60-IE-0002F-CC03</t>
  </si>
  <si>
    <t>T-00069-12974</t>
  </si>
  <si>
    <t>PS5-60-IE-0002G-CC01</t>
  </si>
  <si>
    <t>Cable FROM PS5-60-IE-0001G TO PS5-60-IE-0002G</t>
  </si>
  <si>
    <t>T-00069-12975</t>
  </si>
  <si>
    <t>PS5-60-IE-0002G-CC02</t>
  </si>
  <si>
    <t>T-00069-12976</t>
  </si>
  <si>
    <t>PS5-60-IE-0002G-CC03</t>
  </si>
  <si>
    <t>T-00069-12977</t>
  </si>
  <si>
    <t>PS5-60-IH-0001A-CC01</t>
  </si>
  <si>
    <t>Cable FROM PS5-60-IE-0003A TO PS5-60-IH-0001A</t>
  </si>
  <si>
    <t>T-00069-12978</t>
  </si>
  <si>
    <t>PS5-60-IH-0001A-CC02</t>
  </si>
  <si>
    <t>T-00069-12979</t>
  </si>
  <si>
    <t>PS5-60-IH-0001B-CC01</t>
  </si>
  <si>
    <t>Cable FROM PS5-60-IE-0003B TO PS5-60-IH-0001B</t>
  </si>
  <si>
    <t>T-00069-12980</t>
  </si>
  <si>
    <t>PS5-60-IH-0001B-CC02</t>
  </si>
  <si>
    <t>T-00069-12981</t>
  </si>
  <si>
    <t>PS5-60-IH-0001C-CC01</t>
  </si>
  <si>
    <t>Cable FROM PS5-60-IE-0003C TO PS5-60-IH-0001C</t>
  </si>
  <si>
    <t>T-00069-12982</t>
  </si>
  <si>
    <t>PS5-60-IH-0001C-CC02</t>
  </si>
  <si>
    <t>T-00069-12983</t>
  </si>
  <si>
    <t>PS5-60-IH-0001D-CC01</t>
  </si>
  <si>
    <t>Cable FROM PS5-60-IE-0003D TO PS5-60-IH-0001D</t>
  </si>
  <si>
    <t>T-00069-12984</t>
  </si>
  <si>
    <t>PS5-60-IH-0001D-CC02</t>
  </si>
  <si>
    <t>T-00069-12985</t>
  </si>
  <si>
    <t>PS5-60-IH-0001E-CC01</t>
  </si>
  <si>
    <t>Cable FROM PS5-60-IE-0003E TO PS5-60-IH-0001E</t>
  </si>
  <si>
    <t>T-00069-12986</t>
  </si>
  <si>
    <t>PS5-60-IH-0001E-CC02</t>
  </si>
  <si>
    <t>T-00069-12987</t>
  </si>
  <si>
    <t>PS5-60-IH-0001F-CC01</t>
  </si>
  <si>
    <t>Cable FROM PS5-60-IE-0003F TO PS5-60-IH-0001F</t>
  </si>
  <si>
    <t>T-00069-12988</t>
  </si>
  <si>
    <t>PS5-60-IH-0001F-CC02</t>
  </si>
  <si>
    <t>T-00069-12989</t>
  </si>
  <si>
    <t>PS5-60-IH-0001G-CC01</t>
  </si>
  <si>
    <t>Cable FROM PS5-60-IE-0003G TO PS5-60-IH-0001G</t>
  </si>
  <si>
    <t>T-00069-12990</t>
  </si>
  <si>
    <t>PS5-60-IH-0001G-CC02</t>
  </si>
  <si>
    <t>T-00069-12991</t>
  </si>
  <si>
    <t>PS5-60-IH-0002-CC01</t>
  </si>
  <si>
    <t>Cable FROM PS5-60-IE-0004 TO PS5-60-IH-0002</t>
  </si>
  <si>
    <t>T-00069-12992</t>
  </si>
  <si>
    <t>PS5-60-IH-0002-CC02</t>
  </si>
  <si>
    <t>T-00069-12993</t>
  </si>
  <si>
    <t>PS5-60-LA-0003-CC02</t>
  </si>
  <si>
    <t>T-00069-12994</t>
  </si>
  <si>
    <t>PS5-60-LA-0003-CC03</t>
  </si>
  <si>
    <t>T-00069-12995</t>
  </si>
  <si>
    <t>PS5-60-PIT-8113A-CC01</t>
  </si>
  <si>
    <t>Cable FROM PS5-60-IE-0001A TO PS5-60-BE-0027A</t>
  </si>
  <si>
    <t>T-00069-12996</t>
  </si>
  <si>
    <t>PS5-60-PIT-8113B-CC01</t>
  </si>
  <si>
    <t>Cable FROM PS5-60-IE-0001B TO PS5-60-BE-0027B</t>
  </si>
  <si>
    <t>T-00069-12997</t>
  </si>
  <si>
    <t>PS5-60-PIT-8113C-CC01</t>
  </si>
  <si>
    <t>Cable FROM PS5-60-IE-0001C TO PS5-60-BE-0027C</t>
  </si>
  <si>
    <t>T-00069-12998</t>
  </si>
  <si>
    <t>PS5-60-PIT-8113D-CC01</t>
  </si>
  <si>
    <t>Cable FROM PS5-60-IE-0001D TO PS5-60-BE-0027D</t>
  </si>
  <si>
    <t>T-00069-12999</t>
  </si>
  <si>
    <t>PS5-60-PIT-8113E-CC01</t>
  </si>
  <si>
    <t>Cable FROM PS5-60-IE-0001E TO PS5-60-BE-0027E</t>
  </si>
  <si>
    <t>T-00069-13000</t>
  </si>
  <si>
    <t>PS5-60-PIT-8113F-CC01</t>
  </si>
  <si>
    <t>Cable FROM PS5-60-IE-0001F TO PS5-60-BE-0027F</t>
  </si>
  <si>
    <t>T-00069-13001</t>
  </si>
  <si>
    <t>PS5-60-PIT-8113G-CC01</t>
  </si>
  <si>
    <t>Cable FROM PS5-60-IE-0001G TO PS5-60-BE-0027G</t>
  </si>
  <si>
    <t>T-00069-13002</t>
  </si>
  <si>
    <t>PS5-60-PIT-8114A-CC01</t>
  </si>
  <si>
    <t>T-00069-13003</t>
  </si>
  <si>
    <t>PS5-60-PIT-8114B-CC01</t>
  </si>
  <si>
    <t>T-00069-13004</t>
  </si>
  <si>
    <t>PS5-60-PIT-8114C-CC01</t>
  </si>
  <si>
    <t>T-00069-13005</t>
  </si>
  <si>
    <t>PS5-60-PIT-8114D-CC01</t>
  </si>
  <si>
    <t>T-00069-13006</t>
  </si>
  <si>
    <t>PS5-60-PIT-8114E-CC01</t>
  </si>
  <si>
    <t>T-00069-13007</t>
  </si>
  <si>
    <t>PS5-60-PIT-8114F-CC01</t>
  </si>
  <si>
    <t>T-00069-13008</t>
  </si>
  <si>
    <t>PS5-60-PIT-8114G-CC01</t>
  </si>
  <si>
    <t>T-00071-0090</t>
  </si>
  <si>
    <t>PS5-60-LA-0003-CX02</t>
  </si>
  <si>
    <t>T-00254-12960</t>
  </si>
  <si>
    <t>T-00254-12961</t>
  </si>
  <si>
    <t>T-00254-12962</t>
  </si>
  <si>
    <t>T-00254-12963</t>
  </si>
  <si>
    <t>T-00254-12964</t>
  </si>
  <si>
    <t>T-00254-12965</t>
  </si>
  <si>
    <t>T-00254-12966</t>
  </si>
  <si>
    <t>T-00254-12967</t>
  </si>
  <si>
    <t>T-00254-12968</t>
  </si>
  <si>
    <t>T-00254-12969</t>
  </si>
  <si>
    <t>T-00254-12970</t>
  </si>
  <si>
    <t>T-00254-12971</t>
  </si>
  <si>
    <t>T-00254-12972</t>
  </si>
  <si>
    <t>T-00254-12973</t>
  </si>
  <si>
    <t>T-00254-12974</t>
  </si>
  <si>
    <t>T-00254-12975</t>
  </si>
  <si>
    <t>T-00254-12976</t>
  </si>
  <si>
    <t>T-00254-12977</t>
  </si>
  <si>
    <t>T-00254-12978</t>
  </si>
  <si>
    <t>T-00254-12979</t>
  </si>
  <si>
    <t>T-00254-12980</t>
  </si>
  <si>
    <t>T-00254-12981</t>
  </si>
  <si>
    <t>T-00254-12982</t>
  </si>
  <si>
    <t>T-00254-12983</t>
  </si>
  <si>
    <t>T-00254-12984</t>
  </si>
  <si>
    <t>T-00254-12985</t>
  </si>
  <si>
    <t>T-00254-12986</t>
  </si>
  <si>
    <t>T-00254-12987</t>
  </si>
  <si>
    <t>T-00254-12988</t>
  </si>
  <si>
    <t>T-00254-12989</t>
  </si>
  <si>
    <t>T-00254-12990</t>
  </si>
  <si>
    <t>T-00254-12991</t>
  </si>
  <si>
    <t>T-00254-12992</t>
  </si>
  <si>
    <t>T-00254-12993</t>
  </si>
  <si>
    <t>T-00254-12994</t>
  </si>
  <si>
    <t>T-00254-12995</t>
  </si>
  <si>
    <t>T-00254-12996</t>
  </si>
  <si>
    <t>T-00254-12997</t>
  </si>
  <si>
    <t>T-00254-12998</t>
  </si>
  <si>
    <t>T-00254-12999</t>
  </si>
  <si>
    <t>T-00254-13000</t>
  </si>
  <si>
    <t>T-00254-13001</t>
  </si>
  <si>
    <t>T-00254-13002</t>
  </si>
  <si>
    <t>T-00254-13003</t>
  </si>
  <si>
    <t>T-00254-13004</t>
  </si>
  <si>
    <t>T-00254-13005</t>
  </si>
  <si>
    <t>T-00254-13006</t>
  </si>
  <si>
    <t>T-00254-13007</t>
  </si>
  <si>
    <t>T-00254-13008</t>
  </si>
  <si>
    <t>T-00254-13009</t>
  </si>
  <si>
    <t>T-00254-13010</t>
  </si>
  <si>
    <t>T-00254-13011</t>
  </si>
  <si>
    <t>T-00254-13012</t>
  </si>
  <si>
    <t>T-00254-13013</t>
  </si>
  <si>
    <t>T-00254-13014</t>
  </si>
  <si>
    <t>T-00254-13015</t>
  </si>
  <si>
    <t>T-00254-13016</t>
  </si>
  <si>
    <t>T-00254-13017</t>
  </si>
  <si>
    <t>T-00254-13018</t>
  </si>
  <si>
    <t>T-00254-13019</t>
  </si>
  <si>
    <t>T-00254-13020</t>
  </si>
  <si>
    <t>T-00256-0090</t>
  </si>
  <si>
    <t>CPP</t>
  </si>
  <si>
    <t>Pre-commissioning Preliminary Check List - Walkdown (PS4/PS5)</t>
  </si>
  <si>
    <t>Sr. no</t>
  </si>
  <si>
    <t>Item / Activity</t>
  </si>
  <si>
    <t>Check Point for attendance at site</t>
  </si>
  <si>
    <t>Power Gen</t>
  </si>
  <si>
    <t>PS-4 Sub-system No.</t>
  </si>
  <si>
    <t>PS-5 Sub-system No.</t>
  </si>
  <si>
    <t>Comments</t>
  </si>
  <si>
    <t>Injector tip Cooling Module (Repeated for All Skids)</t>
  </si>
  <si>
    <t>PG</t>
  </si>
  <si>
    <t>PS4-60-35/36/37/38/39/40/41</t>
  </si>
  <si>
    <t>PS5-60-35/36/37/38/39/40/41</t>
  </si>
  <si>
    <t>Milestone B</t>
  </si>
  <si>
    <t>Milestone D</t>
  </si>
  <si>
    <t>Milestone E</t>
  </si>
  <si>
    <t>Alternator bearing cooling skid (Repeated for All Skids)</t>
  </si>
  <si>
    <t>PS4-60-01/04/07/10/13/16/19</t>
  </si>
  <si>
    <t>PS5-60-01/04/07/10/13/16/19</t>
  </si>
  <si>
    <t>Lube oil separator module (Repeated for All Skids)</t>
  </si>
  <si>
    <t>PS4-60-49/50/51/52/53/54/55</t>
  </si>
  <si>
    <t>PS5-60-49/50/51/52/53/54/55</t>
  </si>
  <si>
    <t>Oil mist eliminator (Vent Purifier) (Repeated for All Units)</t>
  </si>
  <si>
    <t>PS4-60-42/43/44/45/46/47/48</t>
  </si>
  <si>
    <t>PS5-60-42/43/44/45/46/47/48</t>
  </si>
  <si>
    <t>External Cooler Skid (Repeated for All Skids)</t>
  </si>
  <si>
    <t>Engine Cooling Radiator (Repeated for All Skids)</t>
  </si>
  <si>
    <t>PS4-60-70/71/72/73/74/75/76</t>
  </si>
  <si>
    <t>PS5-60-70/71/72/73/74/75/76</t>
  </si>
  <si>
    <t>Cooling water expansion Tank(s) (Repeated for All Skids)</t>
  </si>
  <si>
    <t>Fuel Conditioning module unit (FCU) (Repeated for All Skids)</t>
  </si>
  <si>
    <t>PS4-60-56/58/60/62/64/66/68</t>
  </si>
  <si>
    <t>PS5-60-56/58/60/62/64/66/68</t>
  </si>
  <si>
    <t xml:space="preserve">Starting Compressed air skid </t>
  </si>
  <si>
    <t>PS4-60-27</t>
  </si>
  <si>
    <t>Starting Compressed air Bottles</t>
  </si>
  <si>
    <t>PS4-60-26</t>
  </si>
  <si>
    <t>Crude separator module (A/B)</t>
  </si>
  <si>
    <t>PS4-71-06</t>
  </si>
  <si>
    <t>Milestone H</t>
  </si>
  <si>
    <t>Diesel oil separator module</t>
  </si>
  <si>
    <t>PS4-71-22</t>
  </si>
  <si>
    <t>Crude pre-pressure module</t>
  </si>
  <si>
    <t>PS4-71-08</t>
  </si>
  <si>
    <t>Diesel oil pre-pressure module</t>
  </si>
  <si>
    <t>Self supporting exhaust Chimney (repeated)</t>
  </si>
  <si>
    <t>Exhaust gas silencer (Repeated)</t>
  </si>
  <si>
    <t>Exhaust Line ducting (Repeated)</t>
  </si>
  <si>
    <t>Air Intake ducting (Repeated)</t>
  </si>
  <si>
    <t>Engine MCC - CRO Generator set</t>
  </si>
  <si>
    <t>PS4-60-03/06/09/12/15/18/21</t>
  </si>
  <si>
    <t>PS5-60-03/06/09/12/15/18/21</t>
  </si>
  <si>
    <t>Power Generation Common/Treatment MCC</t>
  </si>
  <si>
    <t>PS4-60-22</t>
  </si>
  <si>
    <t>Local display panel LDP Generator set</t>
  </si>
  <si>
    <t>GCP Generator Set</t>
  </si>
  <si>
    <t>PS4-60-02/05/08/11/14/17/20</t>
  </si>
  <si>
    <t>PS5-60-02/05/08/11/14/17/20</t>
  </si>
  <si>
    <t>Master Control panel</t>
  </si>
  <si>
    <t>VTMS Vibration and temperature monitoring System</t>
  </si>
  <si>
    <t>PS4-60-01/10/16</t>
  </si>
  <si>
    <t>PS5-60-01/10/16</t>
  </si>
  <si>
    <t>RAP remote access panel</t>
  </si>
  <si>
    <t>Gas detection panel</t>
  </si>
  <si>
    <t>PS4-03-14</t>
  </si>
  <si>
    <t>Power Step-up Transformer (PS4/PS5 only)</t>
  </si>
  <si>
    <t>Crude oil CFO- Separator Control Panel</t>
  </si>
  <si>
    <t>PS4-71-09</t>
  </si>
  <si>
    <t xml:space="preserve">Diesel Fuel oil DFO Control Panels </t>
  </si>
  <si>
    <t>PS4-71-23</t>
  </si>
  <si>
    <t>FCU Control Panel</t>
  </si>
  <si>
    <t>PS4-60-57/59/61/63/65/67/69</t>
  </si>
  <si>
    <t>PS5-60-57/59/61/63/65/67/69</t>
  </si>
  <si>
    <t>NGRs (PS4/PS5 only)</t>
  </si>
  <si>
    <t>CUT OFF DATE-19-JUNE-2026</t>
  </si>
  <si>
    <t>CUT OFF-19-JUNE</t>
  </si>
  <si>
    <t>Responsible Company : CPP AGI-VENDOR-MANTRAC CHECKLIST SUMMERY</t>
  </si>
  <si>
    <t>PS5-05-01,02</t>
  </si>
  <si>
    <t>Completed (not Closed)</t>
  </si>
  <si>
    <t>CPX26 - Earthing system</t>
  </si>
  <si>
    <t>Earthing</t>
  </si>
  <si>
    <t>PS5-63-01 - Electrical Earthing</t>
  </si>
  <si>
    <t>PS5-63-01</t>
  </si>
  <si>
    <t>Earthing System</t>
  </si>
  <si>
    <t>PS5 - Milestone A</t>
  </si>
  <si>
    <t>T-00039-0295</t>
  </si>
  <si>
    <t>PS5 - POWER DISTRIBUTION AREA_Earthing</t>
  </si>
  <si>
    <t>TZ-MID-68-WPR2-151148</t>
  </si>
  <si>
    <t>T-00039-0296</t>
  </si>
  <si>
    <t>PS5 - POWER GENERATION BUILDING AREA_Earthing</t>
  </si>
  <si>
    <t>TZ-MID-68-WPR2-151152</t>
  </si>
  <si>
    <t>T-00039-0297</t>
  </si>
  <si>
    <t>PS5 - POWER GENERATION COOLING TOWER AREA_Earthing</t>
  </si>
  <si>
    <t>TZ-MID-68-WPR2-151154</t>
  </si>
  <si>
    <t>T-00039-0309</t>
  </si>
  <si>
    <t>PS5-84-OB-0005_Earthing</t>
  </si>
  <si>
    <t>Earthing for Generator Electrical Building</t>
  </si>
  <si>
    <t>TZ-MID-68-WPR2-151181</t>
  </si>
  <si>
    <t>PS5-63-03 - Electrical Earthing - Generator Building</t>
  </si>
  <si>
    <t>PS5-63-03</t>
  </si>
  <si>
    <t>T-00082-0460</t>
  </si>
  <si>
    <t>PS5-01-BI-1117</t>
  </si>
  <si>
    <t>CJX31 - Junction &amp; marshalling box</t>
  </si>
  <si>
    <t>Junction Box</t>
  </si>
  <si>
    <t>PS5-91-01 - Multicore cables &amp; JB</t>
  </si>
  <si>
    <t>PS5-91-01</t>
  </si>
  <si>
    <t>Junction and Marshalling Box</t>
  </si>
  <si>
    <t>T-00082-0461</t>
  </si>
  <si>
    <t>PS5-01-BI-1118</t>
  </si>
  <si>
    <t>T-00082-0463</t>
  </si>
  <si>
    <t>PS5-01-BI-1515</t>
  </si>
  <si>
    <t>T-00082-0466</t>
  </si>
  <si>
    <t>PS5-01-BI-2110</t>
  </si>
  <si>
    <t>T-00082-0484</t>
  </si>
  <si>
    <t>PS5-03-BI-2503</t>
  </si>
  <si>
    <t>T-00082-0487</t>
  </si>
  <si>
    <t>PS5-03-BI-2506</t>
  </si>
  <si>
    <t>T-00082-0490</t>
  </si>
  <si>
    <t>PS5-03-BI-2509</t>
  </si>
  <si>
    <t>T-00082-0494</t>
  </si>
  <si>
    <t>PS5-03-BI-2514</t>
  </si>
  <si>
    <t>T-00082-0495</t>
  </si>
  <si>
    <t>PS5-03-BI-2515</t>
  </si>
  <si>
    <t>T-00082-0500</t>
  </si>
  <si>
    <t>PS5-25-BI-1101</t>
  </si>
  <si>
    <t>T-00082-0501</t>
  </si>
  <si>
    <t>PS5-25-BI-1102</t>
  </si>
  <si>
    <t>T-00082-0502</t>
  </si>
  <si>
    <t>PS5-25-BI-1103</t>
  </si>
  <si>
    <t>T-00082-0503</t>
  </si>
  <si>
    <t>PS5-25-BI-1104</t>
  </si>
  <si>
    <t>T-00082-0504</t>
  </si>
  <si>
    <t>PS5-25-BI-1115</t>
  </si>
  <si>
    <t>T-00082-0508</t>
  </si>
  <si>
    <t>PS5-25-BI-1201</t>
  </si>
  <si>
    <t>T-00082-0512</t>
  </si>
  <si>
    <t>PS5-25-BI-1301</t>
  </si>
  <si>
    <t>T-00082-0513</t>
  </si>
  <si>
    <t>PS5-25-BI-1302</t>
  </si>
  <si>
    <t>T-00082-0514</t>
  </si>
  <si>
    <t>PS5-25-BI-1310</t>
  </si>
  <si>
    <t>T-00082-0517</t>
  </si>
  <si>
    <t>PS5-25-BI-2103</t>
  </si>
  <si>
    <t>T-00082-0518</t>
  </si>
  <si>
    <t>PS5-25-BI-2104</t>
  </si>
  <si>
    <t>T-00082-0519</t>
  </si>
  <si>
    <t>PS5-25-BI-2105</t>
  </si>
  <si>
    <t>T-00082-0520</t>
  </si>
  <si>
    <t>PS5-25-BI-2106</t>
  </si>
  <si>
    <t>T-00082-0521</t>
  </si>
  <si>
    <t>PS5-25-BI-2108</t>
  </si>
  <si>
    <t>T-00082-0522</t>
  </si>
  <si>
    <t>PS5-25-BI-2109</t>
  </si>
  <si>
    <t>T-00082-0523</t>
  </si>
  <si>
    <t>PS5-25-BI-2201</t>
  </si>
  <si>
    <t>T-00082-0524</t>
  </si>
  <si>
    <t>PS5-25-BI-2203</t>
  </si>
  <si>
    <t>T-00082-0526</t>
  </si>
  <si>
    <t>PS5-25-BI-2301</t>
  </si>
  <si>
    <t>T-00082-0527</t>
  </si>
  <si>
    <t>PS5-25-BI-2302</t>
  </si>
  <si>
    <t>T-00082-0528</t>
  </si>
  <si>
    <t>PS5-25-BI-2305</t>
  </si>
  <si>
    <t>T-00082-0529</t>
  </si>
  <si>
    <t>PS5-25-BI-2308</t>
  </si>
  <si>
    <t>T-00082-0530</t>
  </si>
  <si>
    <t>PS5-25-BI-2309</t>
  </si>
  <si>
    <t>T-00082-0531</t>
  </si>
  <si>
    <t>PS5-25-BI-2312</t>
  </si>
  <si>
    <t>T-00082-0532</t>
  </si>
  <si>
    <t>PS5-25-BI-2315</t>
  </si>
  <si>
    <t>T-00082-0533</t>
  </si>
  <si>
    <t>PS5-25-BI-2316</t>
  </si>
  <si>
    <t>T-00082-0534</t>
  </si>
  <si>
    <t>PS5-28-BI-1105</t>
  </si>
  <si>
    <t>T-00082-0537</t>
  </si>
  <si>
    <t>PS5-28-BI-1303</t>
  </si>
  <si>
    <t>T-00082-0538</t>
  </si>
  <si>
    <t>PS5-28-BI-1307</t>
  </si>
  <si>
    <t>T-00082-0540</t>
  </si>
  <si>
    <t>PS5-50-BI-1107</t>
  </si>
  <si>
    <t>T-00082-0541</t>
  </si>
  <si>
    <t>PS5-53-BI-1108</t>
  </si>
  <si>
    <t>T-00082-0543</t>
  </si>
  <si>
    <t>PS5-71-BI-1109</t>
  </si>
  <si>
    <t>T-00082-0544</t>
  </si>
  <si>
    <t>PS5-71-BI-1110</t>
  </si>
  <si>
    <t>T-00082-0545</t>
  </si>
  <si>
    <t>PS5-71-BI-1111</t>
  </si>
  <si>
    <t>T-00082-0547</t>
  </si>
  <si>
    <t>PS5-71-BI-1113</t>
  </si>
  <si>
    <t>T-00082-0548</t>
  </si>
  <si>
    <t>PS5-71-BI-1116</t>
  </si>
  <si>
    <t>T-00082-0549</t>
  </si>
  <si>
    <t>PS5-71-BI-1117</t>
  </si>
  <si>
    <t>T-00082-0550</t>
  </si>
  <si>
    <t>PS5-71-BI-1305</t>
  </si>
  <si>
    <t>T-00082-0551</t>
  </si>
  <si>
    <t>PS5-71-BI-1306</t>
  </si>
  <si>
    <t>T-00082-0553</t>
  </si>
  <si>
    <t>PS5-71-BI-2101</t>
  </si>
  <si>
    <t>T-00082-0554</t>
  </si>
  <si>
    <t>PS5-71-BI-2107</t>
  </si>
  <si>
    <t>T-00082-0555</t>
  </si>
  <si>
    <t>PS5-71-BI-2113</t>
  </si>
  <si>
    <t>T-00082-0556</t>
  </si>
  <si>
    <t>PS5-71-BI-2114</t>
  </si>
  <si>
    <t>T-00082-0557</t>
  </si>
  <si>
    <t>PS5-71-BI-2115</t>
  </si>
  <si>
    <t>T-00082-0558</t>
  </si>
  <si>
    <t>PS5-71-BI-2116</t>
  </si>
  <si>
    <t>T-00082-0559</t>
  </si>
  <si>
    <t>PS5-71-BI-2118</t>
  </si>
  <si>
    <t>T-00082-0560</t>
  </si>
  <si>
    <t>PS5-71-BI-2119</t>
  </si>
  <si>
    <t>T-00082-0561</t>
  </si>
  <si>
    <t>PS5-71-BI-2120</t>
  </si>
  <si>
    <t>T-00082-0562</t>
  </si>
  <si>
    <t>PS5-71-BI-2121</t>
  </si>
  <si>
    <t>T-00082-0563</t>
  </si>
  <si>
    <t>PS5-71-BI-2122</t>
  </si>
  <si>
    <t>T-00082-0564</t>
  </si>
  <si>
    <t>PS5-71-BI-2123</t>
  </si>
  <si>
    <t>T-00082-0565</t>
  </si>
  <si>
    <t>PS5-71-BI-2124</t>
  </si>
  <si>
    <t>T-00082-0566</t>
  </si>
  <si>
    <t>PS5-71-BI-2125</t>
  </si>
  <si>
    <t>T-00082-0567</t>
  </si>
  <si>
    <t>PS5-71-BI-2306</t>
  </si>
  <si>
    <t>T-00082-0569</t>
  </si>
  <si>
    <t>PS5-71-BI-2310</t>
  </si>
  <si>
    <t>T-00082-0571</t>
  </si>
  <si>
    <t>PS5-71-BI-2314</t>
  </si>
  <si>
    <t>TPX26 - Earthing system</t>
  </si>
  <si>
    <t>T-00247-0146</t>
  </si>
  <si>
    <t>T-00247-0147</t>
  </si>
  <si>
    <t>T-00247-0148</t>
  </si>
  <si>
    <t>T-00247-0160</t>
  </si>
  <si>
    <t>T-00614-0853</t>
  </si>
  <si>
    <t>PS5-01-BI-1117-CC01</t>
  </si>
  <si>
    <t>Cable FROM PS5-04-PMC-0002 TO PS5-01-BI-1117</t>
  </si>
  <si>
    <t>T-00614-0854</t>
  </si>
  <si>
    <t>PS5-01-BI-1118-CC01</t>
  </si>
  <si>
    <t>Cable FROM PS5-04-PMC-0001 TO PS5-01-BI-1118</t>
  </si>
  <si>
    <t>T-00614-0856</t>
  </si>
  <si>
    <t>PS5-01-BI-1515-CC01</t>
  </si>
  <si>
    <t>Cable FROM PS5-03-SFMC-0008 TO PS5-01-BI-1515</t>
  </si>
  <si>
    <t>T-00614-0859</t>
  </si>
  <si>
    <t>PS5-01-BI-2110-CC01</t>
  </si>
  <si>
    <t>Cable FROM PS5-04-PMC-0006 TO PS5-01-BI-2110</t>
  </si>
  <si>
    <t>T-00614-0893</t>
  </si>
  <si>
    <t>PS5-03-BI-2503-CC01</t>
  </si>
  <si>
    <t>Cable FROM PS5-03-SFMC-0009 TO PS5-03-BI-2503</t>
  </si>
  <si>
    <t>T-00614-0896</t>
  </si>
  <si>
    <t>PS5-03-BI-2506-CC01</t>
  </si>
  <si>
    <t>Cable FROM PS5-03-SFMC-0010 TO PS5-03-BI-2506</t>
  </si>
  <si>
    <t>T-00614-0899</t>
  </si>
  <si>
    <t>PS5-03-BI-2509-CC01</t>
  </si>
  <si>
    <t>Cable FROM PS5-03-SFMC-0010 TO PS5-03-BI-2509</t>
  </si>
  <si>
    <t>T-00614-0903</t>
  </si>
  <si>
    <t>PS5-03-BI-2514-CC01</t>
  </si>
  <si>
    <t>Cable FROM PS5-03-SFMC-0009 TO PS5-03-BI-2514</t>
  </si>
  <si>
    <t>T-00614-0904</t>
  </si>
  <si>
    <t>PS5-03-BI-2515-CC01</t>
  </si>
  <si>
    <t>Cable FROM PS5-03-SFMC-0009 TO PS5-03-BI-2515</t>
  </si>
  <si>
    <t>T-00614-0953</t>
  </si>
  <si>
    <t>PS5-25-BI-1101-CC01</t>
  </si>
  <si>
    <t>Cable FROM PS5-04-PMC-0001 TO PS5-25-BI-1101</t>
  </si>
  <si>
    <t>T-00614-0954</t>
  </si>
  <si>
    <t>PS5-25-BI-1102-CC01</t>
  </si>
  <si>
    <t>Cable FROM PS5-04-PMC-0002 TO PS5-25-BI-1102</t>
  </si>
  <si>
    <t>T-00614-0955</t>
  </si>
  <si>
    <t>PS5-25-BI-1103-CC01</t>
  </si>
  <si>
    <t>Cable FROM PS5-04-PMC-0001 TO PS5-25-BI-1103</t>
  </si>
  <si>
    <t>T-00614-0956</t>
  </si>
  <si>
    <t>PS5-25-BI-1104-CC01</t>
  </si>
  <si>
    <t>Cable FROM PS5-04-PMC-0002 TO PS5-25-BI-1104</t>
  </si>
  <si>
    <t>T-00614-0957</t>
  </si>
  <si>
    <t>PS5-25-BI-1115-CC01</t>
  </si>
  <si>
    <t>Cable FROM PS5-04-PMC-0002 TO PS5-25-BI-1115</t>
  </si>
  <si>
    <t>T-00614-0961</t>
  </si>
  <si>
    <t>PS5-25-BI-1201-CC01</t>
  </si>
  <si>
    <t>Cable FROM PS5-03-SFMC-0001 TO PS5-25-BI-1201</t>
  </si>
  <si>
    <t>T-00614-0965</t>
  </si>
  <si>
    <t>PS5-25-BI-1301-CC01</t>
  </si>
  <si>
    <t>Cable FROM PS5-03-SFMC-0002 TO PS5-25-BI-1301</t>
  </si>
  <si>
    <t>T-00614-0966</t>
  </si>
  <si>
    <t>PS5-25-BI-1302-CC01</t>
  </si>
  <si>
    <t>Cable FROM PS5-03-SFMC-0002 TO PS5-25-BI-1302</t>
  </si>
  <si>
    <t>T-00614-0967</t>
  </si>
  <si>
    <t>PS5-25-BI-1310-CC01</t>
  </si>
  <si>
    <t>Cable FROM PS5-03-SFMC-0002 TO PS5-25-BI-1310</t>
  </si>
  <si>
    <t>T-00614-0982</t>
  </si>
  <si>
    <t>PS5-25-BI-2103-CC01</t>
  </si>
  <si>
    <t>Cable FROM PS5-04-PMC-0006 TO PS5-25-BI-2103</t>
  </si>
  <si>
    <t>T-00614-0983</t>
  </si>
  <si>
    <t>PS5-25-BI-2104-CC01</t>
  </si>
  <si>
    <t>Cable FROM PS5-04-PMC-0003 TO PS5-25-BI-2104</t>
  </si>
  <si>
    <t>T-00614-0984</t>
  </si>
  <si>
    <t>PS5-25-BI-2105-CC01</t>
  </si>
  <si>
    <t>Cable FROM PS5-04-PMC-0006 TO PS5-25-BI-2105</t>
  </si>
  <si>
    <t>T-00614-0985</t>
  </si>
  <si>
    <t>PS5-25-BI-2106-CC01</t>
  </si>
  <si>
    <t>Cable FROM PS5-04-PMC-0006 TO PS5-25-BI-2106</t>
  </si>
  <si>
    <t>T-00614-0986</t>
  </si>
  <si>
    <t>PS5-25-BI-2108-CC01</t>
  </si>
  <si>
    <t>Cable FROM PS5-04-PMC-0004 TO PS5-25-BI-2108</t>
  </si>
  <si>
    <t>T-00614-0987</t>
  </si>
  <si>
    <t>PS5-25-BI-2109-CC01</t>
  </si>
  <si>
    <t>Cable FROM PS5-04-PMC-0004 TO PS5-25-BI-2109</t>
  </si>
  <si>
    <t>T-00614-0988</t>
  </si>
  <si>
    <t>PS5-25-BI-2201-CC01</t>
  </si>
  <si>
    <t>Cable FROM PS5-03-SFMC-0001 TO PS5-25-BI-2201</t>
  </si>
  <si>
    <t>T-00614-0989</t>
  </si>
  <si>
    <t>PS5-25-BI-2203-CC01</t>
  </si>
  <si>
    <t>Cable FROM PS5-03-SFMC-0001 TO PS5-25-BI-2203</t>
  </si>
  <si>
    <t>T-00614-0991</t>
  </si>
  <si>
    <t>PS5-25-BI-2301-CC01</t>
  </si>
  <si>
    <t>Cable FROM PS5-03-SFMC-0003 TO PS5-25-BI-2301</t>
  </si>
  <si>
    <t>T-00614-0992</t>
  </si>
  <si>
    <t>PS5-25-BI-2302-CC01</t>
  </si>
  <si>
    <t>Cable FROM PS5-03-SFMC-0004 TO PS5-25-BI-2302</t>
  </si>
  <si>
    <t>T-00614-0993</t>
  </si>
  <si>
    <t>PS5-25-BI-2305-CC01</t>
  </si>
  <si>
    <t>Cable FROM PS5-03-SFMC-0003 TO PS5-25-BI-2305</t>
  </si>
  <si>
    <t>T-00614-0994</t>
  </si>
  <si>
    <t>PS5-25-BI-2308-CC01</t>
  </si>
  <si>
    <t>Cable FROM PS5-03-SFMC-0005 TO PS5-25-BI-2308</t>
  </si>
  <si>
    <t>T-00614-0995</t>
  </si>
  <si>
    <t>PS5-25-BI-2309-CC01</t>
  </si>
  <si>
    <t>Cable FROM PS5-03-SFMC-0005 TO PS5-25-BI-2309</t>
  </si>
  <si>
    <t>T-00614-0996</t>
  </si>
  <si>
    <t>PS5-25-BI-2312-CC01</t>
  </si>
  <si>
    <t>Cable FROM PS5-03-SFMC-0003 TO PS5-25-BI-2312</t>
  </si>
  <si>
    <t>T-00614-0997</t>
  </si>
  <si>
    <t>PS5-25-BI-2315-CC01</t>
  </si>
  <si>
    <t>Cable FROM PS5-03-SFMC-0003 TO PS5-25-BI-2315</t>
  </si>
  <si>
    <t>T-00614-0998</t>
  </si>
  <si>
    <t>PS5-25-BI-2316-CC01</t>
  </si>
  <si>
    <t>Cable FROM PS5-03-SFMC-0006 TO PS5-25-BI-2316</t>
  </si>
  <si>
    <t>T-00614-1014</t>
  </si>
  <si>
    <t>PS5-28-BI-1105-CC01</t>
  </si>
  <si>
    <t>Cable FROM PS5-04-PMC-0001 TO PS5-28-BI-1105</t>
  </si>
  <si>
    <t>T-00614-1017</t>
  </si>
  <si>
    <t>PS5-28-BI-1303-CC01</t>
  </si>
  <si>
    <t>Cable FROM PS5-03-SFMC-0001 TO PS5-28-BI-1303</t>
  </si>
  <si>
    <t>T-00614-1018</t>
  </si>
  <si>
    <t>PS5-28-BI-1307-CC01</t>
  </si>
  <si>
    <t>Cable FROM PS5-03-SFMC-0001 TO PS5-28-BI-1307</t>
  </si>
  <si>
    <t>T-00614-1023</t>
  </si>
  <si>
    <t>PS5-50-BI-1107-CC01</t>
  </si>
  <si>
    <t>Cable FROM PS5-04-PMC-0002 TO PS5-50-BI-1107</t>
  </si>
  <si>
    <t>T-00614-1030</t>
  </si>
  <si>
    <t>PS5-53-BI-1108-CC01</t>
  </si>
  <si>
    <t>Cable FROM PS5-04-PMC-0002 TO PS5-53-BI-1108</t>
  </si>
  <si>
    <t>T-00614-1078</t>
  </si>
  <si>
    <t>PS5-71-BI-1109-CC01</t>
  </si>
  <si>
    <t>Cable FROM PS5-04-PMC-0002 TO PS5-71-BI-1109</t>
  </si>
  <si>
    <t>T-00614-1079</t>
  </si>
  <si>
    <t>PS5-71-BI-1110-CC01</t>
  </si>
  <si>
    <t>Cable FROM PS5-04-PMC-0001 TO PS5-71-BI-1110</t>
  </si>
  <si>
    <t>T-00614-1080</t>
  </si>
  <si>
    <t>PS5-71-BI-1111-CC01</t>
  </si>
  <si>
    <t>Cable FROM PS5-04-PMC-0002 TO PS5-71-BI-1111</t>
  </si>
  <si>
    <t>T-00614-1082</t>
  </si>
  <si>
    <t>PS5-71-BI-1113-CC01</t>
  </si>
  <si>
    <t>Cable FROM PS5-04-PMC-0002 TO PS5-71-BI-1113</t>
  </si>
  <si>
    <t>T-00614-1083</t>
  </si>
  <si>
    <t>PS5-71-BI-1116-CC01</t>
  </si>
  <si>
    <t>Cable FROM PS5-04-PMC-0002 TO PS5-71-BI-1116</t>
  </si>
  <si>
    <t>T-00614-1084</t>
  </si>
  <si>
    <t>PS5-71-BI-1117-CC01</t>
  </si>
  <si>
    <t>Cable FROM PS5-04-PMC-0001 TO PS5-71-BI-1117</t>
  </si>
  <si>
    <t>T-00614-1085</t>
  </si>
  <si>
    <t>PS5-71-BI-2101-CC01</t>
  </si>
  <si>
    <t>Cable FROM PS5-04-PMC-0004 TO PS5-71-BI-2101</t>
  </si>
  <si>
    <t>T-00614-1086</t>
  </si>
  <si>
    <t>PS5-71-BI-1305-CC01</t>
  </si>
  <si>
    <t>Cable FROM PS5-03-SFMC-0002 TO PS5-71-BI-1305</t>
  </si>
  <si>
    <t>T-00614-1087</t>
  </si>
  <si>
    <t>PS5-71-BI-1306-CC01</t>
  </si>
  <si>
    <t>Cable FROM PS5-03-SFMC-0002 TO PS5-71-BI-1306</t>
  </si>
  <si>
    <t>T-00614-1089</t>
  </si>
  <si>
    <t>PS5-71-BI-2107-CC01</t>
  </si>
  <si>
    <t>Cable FROM PS5-04-PMC-0006 TO PS5-71-BI-2107</t>
  </si>
  <si>
    <t>T-00614-1090</t>
  </si>
  <si>
    <t>PS5-71-BI-2113-CC01</t>
  </si>
  <si>
    <t>Cable FROM PS5-04-PMC-0003 TO PS5-71-BI-2113</t>
  </si>
  <si>
    <t>T-00614-1091</t>
  </si>
  <si>
    <t>PS5-71-BI-2114-CC01</t>
  </si>
  <si>
    <t>Cable FROM PS5-04-PMC-0006 TO PS5-71-BI-2114</t>
  </si>
  <si>
    <t>T-00614-1092</t>
  </si>
  <si>
    <t>PS5-71-BI-2115-CC01</t>
  </si>
  <si>
    <t>Cable FROM PS5-04-PMC-0004 TO PS5-71-BI-2115</t>
  </si>
  <si>
    <t>T-00614-1093</t>
  </si>
  <si>
    <t>PS5-71-BI-2116-CC01</t>
  </si>
  <si>
    <t>Cable FROM PS5-04-PMC-0003 TO PS5-71-BI-2116</t>
  </si>
  <si>
    <t>T-00614-1094</t>
  </si>
  <si>
    <t>PS5-71-BI-2118-CC01</t>
  </si>
  <si>
    <t>Cable FROM PS5-04-PMC-0005 TO PS5-71-BI-2118</t>
  </si>
  <si>
    <t>T-00614-1095</t>
  </si>
  <si>
    <t>PS5-71-BI-2119-CC01</t>
  </si>
  <si>
    <t>Cable FROM PS5-04-PMC-0005 TO PS5-71-BI-2119</t>
  </si>
  <si>
    <t>T-00614-1096</t>
  </si>
  <si>
    <t>PS5-71-BI-2120-CC01</t>
  </si>
  <si>
    <t>Cable FROM PS5-04-PMC-0005 TO PS5-71-BI-2120</t>
  </si>
  <si>
    <t>T-00614-1097</t>
  </si>
  <si>
    <t>PS5-71-BI-2121-CC01</t>
  </si>
  <si>
    <t>Cable FROM PS5-04-PMC-0005 TO PS5-71-BI-2121</t>
  </si>
  <si>
    <t>T-00614-1098</t>
  </si>
  <si>
    <t>PS5-71-BI-2122-CC01</t>
  </si>
  <si>
    <t>Cable FROM PS5-04-PMC-0004 TO PS5-71-BI-2122</t>
  </si>
  <si>
    <t>T-00614-1099</t>
  </si>
  <si>
    <t>PS5-71-BI-2123-CC01</t>
  </si>
  <si>
    <t>Cable FROM PS5-04-PMC-0006 TO PS5-71-BI-2123</t>
  </si>
  <si>
    <t>T-00614-1100</t>
  </si>
  <si>
    <t>PS5-71-BI-2124-CC01</t>
  </si>
  <si>
    <t>Cable FROM PS5-04-PMC-0006 TO PS5-71-BI-2124</t>
  </si>
  <si>
    <t>T-00614-1101</t>
  </si>
  <si>
    <t>PS5-71-BI-2125-CC01</t>
  </si>
  <si>
    <t>Cable FROM PS5-04-PMC-0006 TO PS5-71-BI-2125</t>
  </si>
  <si>
    <t>T-00614-1102</t>
  </si>
  <si>
    <t>PS5-71-BI-2306-CC01</t>
  </si>
  <si>
    <t>Cable FROM PS5-03-SFMC-0004 TO PS5-71-BI-2306</t>
  </si>
  <si>
    <t>T-00614-1104</t>
  </si>
  <si>
    <t>PS5-71-BI-2310-CC01</t>
  </si>
  <si>
    <t>Cable FROM PS5-03-SFMC-0006 TO PS5-71-BI-2310</t>
  </si>
  <si>
    <t>T-00614-1106</t>
  </si>
  <si>
    <t>PS5-71-BI-2314-CC01</t>
  </si>
  <si>
    <t>Cable FROM PS5-03-SFMC-0004 TO PS5-71-BI-2314</t>
  </si>
  <si>
    <t>27 June</t>
  </si>
  <si>
    <t>28 June</t>
  </si>
  <si>
    <t>29 June</t>
  </si>
  <si>
    <t>30 June</t>
  </si>
  <si>
    <t>1 July</t>
  </si>
  <si>
    <t>2 July</t>
  </si>
  <si>
    <t>3 July</t>
  </si>
  <si>
    <t>DISCIPILINE</t>
  </si>
  <si>
    <t>TOTAL TASK IDs</t>
  </si>
  <si>
    <t>Priority-1</t>
  </si>
  <si>
    <t>Priority-2</t>
  </si>
  <si>
    <t>PRIORITY 1</t>
  </si>
  <si>
    <t>PIPING ANG MECH</t>
  </si>
  <si>
    <t>PRIORITY 2</t>
  </si>
  <si>
    <t>EIT MONTHLY PLAN</t>
  </si>
  <si>
    <t>ACTUAL</t>
  </si>
  <si>
    <t>PLAN</t>
  </si>
  <si>
    <t>DATES</t>
  </si>
  <si>
    <t>MECH &amp; PIPING MONTHLY PLAN</t>
  </si>
  <si>
    <t>PRIORITY 1 &amp; PRIORITY 2</t>
  </si>
  <si>
    <t>RFC</t>
  </si>
  <si>
    <t>P-1,2,3</t>
  </si>
  <si>
    <t>CUT OFF DATE-03-JULY-2026</t>
  </si>
  <si>
    <t>TASK ID</t>
  </si>
  <si>
    <t>BACKLOG</t>
  </si>
  <si>
    <t>*Note: This report was generated based on Hexagon data as of- July 3  2026 at 7.00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</si>
</sst>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4" x14ac:knownFonts="1"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theme="0"/>
      <name val="Calibri"/>
      <family val="2"/>
    </font>
    <font>
      <b/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5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color rgb="FFC00000"/>
      <name val="Calibri"/>
      <family val="2"/>
    </font>
    <font>
      <b/>
      <sz val="18"/>
      <color theme="1"/>
      <name val="Calibri"/>
      <family val="2"/>
    </font>
    <font>
      <b/>
      <sz val="18"/>
      <color rgb="FFC00000"/>
      <name val="Calibri"/>
      <family val="2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FFCC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0" fontId="8" fillId="0" borderId="0"/>
    <xf numFmtId="0" fontId="13" fillId="0" borderId="0"/>
    <xf numFmtId="0" fontId="18" fillId="0" borderId="0"/>
    <xf numFmtId="0" fontId="8" fillId="0" borderId="0"/>
  </cellStyleXfs>
  <cellXfs count="1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1" applyFont="1" applyBorder="1" applyAlignment="1">
      <alignment horizontal="left" vertical="center" wrapText="1" indent="1"/>
    </xf>
    <xf numFmtId="0" fontId="12" fillId="10" borderId="0" xfId="0" applyFont="1" applyFill="1"/>
    <xf numFmtId="0" fontId="13" fillId="0" borderId="0" xfId="2"/>
    <xf numFmtId="0" fontId="16" fillId="11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22" fontId="0" fillId="0" borderId="0" xfId="0" applyNumberFormat="1"/>
    <xf numFmtId="0" fontId="1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10" fontId="0" fillId="0" borderId="0" xfId="0" applyNumberFormat="1"/>
    <xf numFmtId="0" fontId="4" fillId="19" borderId="4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0" fontId="1" fillId="12" borderId="4" xfId="0" applyNumberFormat="1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10" fontId="1" fillId="12" borderId="1" xfId="0" applyNumberFormat="1" applyFont="1" applyFill="1" applyBorder="1" applyAlignment="1">
      <alignment horizontal="center" vertical="center"/>
    </xf>
    <xf numFmtId="0" fontId="21" fillId="18" borderId="4" xfId="0" applyFont="1" applyFill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1" xfId="1" applyBorder="1" applyAlignment="1">
      <alignment horizontal="center" vertical="center"/>
    </xf>
    <xf numFmtId="0" fontId="19" fillId="18" borderId="1" xfId="1" applyFont="1" applyFill="1" applyBorder="1" applyAlignment="1">
      <alignment horizontal="center" vertical="center"/>
    </xf>
    <xf numFmtId="0" fontId="8" fillId="17" borderId="1" xfId="1" applyFill="1" applyBorder="1" applyAlignment="1">
      <alignment horizontal="center" vertical="center"/>
    </xf>
    <xf numFmtId="0" fontId="8" fillId="23" borderId="1" xfId="1" applyFill="1" applyBorder="1" applyAlignment="1">
      <alignment horizontal="center" vertical="center"/>
    </xf>
    <xf numFmtId="0" fontId="19" fillId="24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6" borderId="0" xfId="0" applyFill="1"/>
    <xf numFmtId="0" fontId="15" fillId="6" borderId="1" xfId="0" applyFont="1" applyFill="1" applyBorder="1" applyAlignment="1">
      <alignment horizontal="center" vertical="center"/>
    </xf>
    <xf numFmtId="10" fontId="20" fillId="8" borderId="4" xfId="0" applyNumberFormat="1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16" borderId="12" xfId="0" applyFont="1" applyFill="1" applyBorder="1" applyAlignment="1">
      <alignment horizontal="center" vertical="center"/>
    </xf>
    <xf numFmtId="10" fontId="7" fillId="7" borderId="1" xfId="0" quotePrefix="1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7" fillId="16" borderId="12" xfId="0" applyFont="1" applyFill="1" applyBorder="1" applyAlignment="1">
      <alignment horizontal="center" vertical="center"/>
    </xf>
    <xf numFmtId="0" fontId="25" fillId="14" borderId="12" xfId="0" applyFont="1" applyFill="1" applyBorder="1" applyAlignment="1">
      <alignment horizontal="center" vertical="center"/>
    </xf>
    <xf numFmtId="0" fontId="29" fillId="15" borderId="14" xfId="0" applyFont="1" applyFill="1" applyBorder="1" applyAlignment="1">
      <alignment horizontal="center" vertical="center"/>
    </xf>
    <xf numFmtId="0" fontId="29" fillId="15" borderId="12" xfId="0" applyFont="1" applyFill="1" applyBorder="1" applyAlignment="1">
      <alignment horizontal="center" vertical="center"/>
    </xf>
    <xf numFmtId="0" fontId="22" fillId="7" borderId="12" xfId="0" applyFont="1" applyFill="1" applyBorder="1" applyAlignment="1">
      <alignment horizontal="center" vertical="center"/>
    </xf>
    <xf numFmtId="10" fontId="22" fillId="6" borderId="12" xfId="0" applyNumberFormat="1" applyFont="1" applyFill="1" applyBorder="1" applyAlignment="1">
      <alignment horizontal="center" vertical="center"/>
    </xf>
    <xf numFmtId="10" fontId="27" fillId="16" borderId="12" xfId="0" applyNumberFormat="1" applyFont="1" applyFill="1" applyBorder="1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/>
    </xf>
    <xf numFmtId="10" fontId="25" fillId="6" borderId="12" xfId="0" applyNumberFormat="1" applyFont="1" applyFill="1" applyBorder="1" applyAlignment="1">
      <alignment horizontal="center" vertical="center"/>
    </xf>
    <xf numFmtId="0" fontId="24" fillId="25" borderId="12" xfId="0" applyFont="1" applyFill="1" applyBorder="1" applyAlignment="1">
      <alignment horizontal="center" vertical="center"/>
    </xf>
    <xf numFmtId="10" fontId="28" fillId="16" borderId="12" xfId="0" applyNumberFormat="1" applyFont="1" applyFill="1" applyBorder="1" applyAlignment="1">
      <alignment horizontal="center" vertical="center"/>
    </xf>
    <xf numFmtId="10" fontId="7" fillId="17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22" fillId="16" borderId="12" xfId="0" applyFont="1" applyFill="1" applyBorder="1" applyAlignment="1">
      <alignment horizontal="center" vertical="center"/>
    </xf>
    <xf numFmtId="0" fontId="25" fillId="16" borderId="12" xfId="0" applyFont="1" applyFill="1" applyBorder="1" applyAlignment="1">
      <alignment horizontal="center" vertical="center"/>
    </xf>
    <xf numFmtId="0" fontId="27" fillId="17" borderId="12" xfId="0" applyFont="1" applyFill="1" applyBorder="1" applyAlignment="1">
      <alignment horizontal="center" vertical="center"/>
    </xf>
    <xf numFmtId="0" fontId="30" fillId="25" borderId="12" xfId="0" applyFont="1" applyFill="1" applyBorder="1" applyAlignment="1">
      <alignment horizontal="center" vertical="center"/>
    </xf>
    <xf numFmtId="0" fontId="30" fillId="2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6" fillId="14" borderId="1" xfId="0" quotePrefix="1" applyNumberFormat="1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0" fillId="31" borderId="6" xfId="0" applyFont="1" applyFill="1" applyBorder="1" applyAlignment="1">
      <alignment horizontal="left" vertical="center" indent="2"/>
    </xf>
    <xf numFmtId="0" fontId="20" fillId="31" borderId="5" xfId="0" applyFont="1" applyFill="1" applyBorder="1" applyAlignment="1">
      <alignment horizontal="left" vertical="center" indent="2"/>
    </xf>
    <xf numFmtId="0" fontId="1" fillId="9" borderId="4" xfId="0" applyFont="1" applyFill="1" applyBorder="1" applyAlignment="1">
      <alignment horizontal="center" vertical="center"/>
    </xf>
    <xf numFmtId="0" fontId="5" fillId="32" borderId="7" xfId="0" applyFont="1" applyFill="1" applyBorder="1" applyAlignment="1">
      <alignment horizontal="center" vertical="center"/>
    </xf>
    <xf numFmtId="0" fontId="0" fillId="14" borderId="0" xfId="0" applyFill="1"/>
    <xf numFmtId="0" fontId="1" fillId="3" borderId="7" xfId="0" applyFont="1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16" fillId="34" borderId="1" xfId="0" applyFont="1" applyFill="1" applyBorder="1" applyAlignment="1">
      <alignment horizontal="center" vertical="center"/>
    </xf>
    <xf numFmtId="0" fontId="2" fillId="35" borderId="6" xfId="0" applyFont="1" applyFill="1" applyBorder="1" applyAlignment="1">
      <alignment horizontal="center" vertical="center"/>
    </xf>
    <xf numFmtId="0" fontId="2" fillId="36" borderId="6" xfId="0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4" fillId="29" borderId="17" xfId="0" applyFont="1" applyFill="1" applyBorder="1" applyAlignment="1">
      <alignment horizontal="center" vertical="center"/>
    </xf>
    <xf numFmtId="0" fontId="14" fillId="37" borderId="17" xfId="0" applyFont="1" applyFill="1" applyBorder="1" applyAlignment="1">
      <alignment horizontal="center" vertical="center" wrapText="1"/>
    </xf>
    <xf numFmtId="0" fontId="14" fillId="27" borderId="17" xfId="0" applyFont="1" applyFill="1" applyBorder="1" applyAlignment="1">
      <alignment horizontal="center" vertical="center" wrapText="1"/>
    </xf>
    <xf numFmtId="0" fontId="14" fillId="38" borderId="18" xfId="0" applyFont="1" applyFill="1" applyBorder="1" applyAlignment="1">
      <alignment horizontal="center" vertical="center" wrapText="1"/>
    </xf>
    <xf numFmtId="0" fontId="32" fillId="0" borderId="5" xfId="0" applyFont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8" fillId="0" borderId="1" xfId="4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19" fillId="24" borderId="5" xfId="1" applyFont="1" applyFill="1" applyBorder="1" applyAlignment="1">
      <alignment horizontal="center" vertical="center"/>
    </xf>
    <xf numFmtId="0" fontId="14" fillId="14" borderId="1" xfId="2" applyFont="1" applyFill="1" applyBorder="1"/>
    <xf numFmtId="164" fontId="13" fillId="0" borderId="0" xfId="2" applyNumberForma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4" fillId="40" borderId="1" xfId="2" applyFont="1" applyFill="1" applyBorder="1"/>
    <xf numFmtId="164" fontId="14" fillId="40" borderId="1" xfId="2" applyNumberFormat="1" applyFont="1" applyFill="1" applyBorder="1" applyAlignment="1">
      <alignment horizontal="center" vertical="center"/>
    </xf>
    <xf numFmtId="0" fontId="5" fillId="32" borderId="19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33" borderId="8" xfId="0" applyFont="1" applyFill="1" applyBorder="1" applyAlignment="1">
      <alignment horizontal="center" vertical="center"/>
    </xf>
    <xf numFmtId="0" fontId="1" fillId="33" borderId="9" xfId="0" applyFont="1" applyFill="1" applyBorder="1" applyAlignment="1">
      <alignment horizontal="center" vertical="center"/>
    </xf>
    <xf numFmtId="0" fontId="1" fillId="33" borderId="10" xfId="0" applyFont="1" applyFill="1" applyBorder="1" applyAlignment="1">
      <alignment horizontal="center" vertical="center"/>
    </xf>
    <xf numFmtId="0" fontId="29" fillId="15" borderId="14" xfId="0" applyFont="1" applyFill="1" applyBorder="1" applyAlignment="1">
      <alignment horizontal="center" vertical="center"/>
    </xf>
    <xf numFmtId="0" fontId="29" fillId="15" borderId="15" xfId="0" applyFont="1" applyFill="1" applyBorder="1" applyAlignment="1">
      <alignment horizontal="center" vertical="center"/>
    </xf>
    <xf numFmtId="0" fontId="29" fillId="15" borderId="13" xfId="0" applyFont="1" applyFill="1" applyBorder="1" applyAlignment="1">
      <alignment horizontal="center" vertical="center"/>
    </xf>
    <xf numFmtId="0" fontId="11" fillId="26" borderId="8" xfId="0" applyFont="1" applyFill="1" applyBorder="1" applyAlignment="1">
      <alignment horizontal="center" vertical="center" wrapText="1"/>
    </xf>
    <xf numFmtId="0" fontId="11" fillId="26" borderId="9" xfId="0" applyFont="1" applyFill="1" applyBorder="1" applyAlignment="1">
      <alignment horizontal="center" vertical="center" wrapText="1"/>
    </xf>
    <xf numFmtId="0" fontId="11" fillId="26" borderId="10" xfId="0" applyFont="1" applyFill="1" applyBorder="1" applyAlignment="1">
      <alignment horizontal="center" vertical="center" wrapText="1"/>
    </xf>
    <xf numFmtId="0" fontId="2" fillId="26" borderId="11" xfId="0" applyFont="1" applyFill="1" applyBorder="1" applyAlignment="1">
      <alignment horizontal="center" vertical="center" wrapText="1"/>
    </xf>
    <xf numFmtId="0" fontId="2" fillId="26" borderId="5" xfId="0" applyFont="1" applyFill="1" applyBorder="1" applyAlignment="1">
      <alignment horizontal="center" vertical="center" wrapText="1"/>
    </xf>
    <xf numFmtId="0" fontId="3" fillId="26" borderId="11" xfId="0" applyFont="1" applyFill="1" applyBorder="1" applyAlignment="1">
      <alignment horizontal="center" vertical="center" wrapText="1"/>
    </xf>
    <xf numFmtId="0" fontId="3" fillId="26" borderId="5" xfId="0" applyFont="1" applyFill="1" applyBorder="1" applyAlignment="1">
      <alignment horizontal="center" vertical="center" wrapText="1"/>
    </xf>
    <xf numFmtId="0" fontId="16" fillId="1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6" borderId="8" xfId="0" applyFont="1" applyFill="1" applyBorder="1" applyAlignment="1">
      <alignment horizontal="center" vertical="center"/>
    </xf>
    <xf numFmtId="0" fontId="1" fillId="36" borderId="9" xfId="0" applyFont="1" applyFill="1" applyBorder="1" applyAlignment="1">
      <alignment horizontal="center" vertical="center"/>
    </xf>
    <xf numFmtId="0" fontId="1" fillId="36" borderId="10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 wrapText="1"/>
    </xf>
    <xf numFmtId="0" fontId="20" fillId="30" borderId="2" xfId="0" applyFont="1" applyFill="1" applyBorder="1" applyAlignment="1">
      <alignment horizontal="center" vertical="center"/>
    </xf>
    <xf numFmtId="0" fontId="20" fillId="30" borderId="3" xfId="0" applyFont="1" applyFill="1" applyBorder="1" applyAlignment="1">
      <alignment horizontal="center" vertical="center"/>
    </xf>
    <xf numFmtId="0" fontId="20" fillId="30" borderId="4" xfId="0" applyFont="1" applyFill="1" applyBorder="1" applyAlignment="1">
      <alignment horizontal="center" vertical="center"/>
    </xf>
    <xf numFmtId="0" fontId="20" fillId="30" borderId="8" xfId="0" applyFont="1" applyFill="1" applyBorder="1" applyAlignment="1">
      <alignment horizontal="center" vertical="center"/>
    </xf>
    <xf numFmtId="0" fontId="20" fillId="30" borderId="9" xfId="0" applyFont="1" applyFill="1" applyBorder="1" applyAlignment="1">
      <alignment horizontal="center" vertical="center"/>
    </xf>
    <xf numFmtId="0" fontId="20" fillId="30" borderId="10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ACBBAB28-1836-4EE3-AB83-D88E0EFD818C}"/>
    <cellStyle name="Normal 5" xfId="4" xr:uid="{84876190-50AF-47BB-9C29-98E0767C352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5548-2E8B-4465-8EB1-EDFDEFABCA59}">
  <dimension ref="A1:K37"/>
  <sheetViews>
    <sheetView tabSelected="1" topLeftCell="A13" workbookViewId="0">
      <selection activeCell="B33" sqref="B33"/>
    </sheetView>
  </sheetViews>
  <sheetFormatPr defaultRowHeight="11.4" customHeight="1" x14ac:dyDescent="0.3"/>
  <cols>
    <col min="1" max="1" width="5.6640625" bestFit="1" customWidth="1"/>
    <col min="2" max="2" width="50.21875" bestFit="1" customWidth="1"/>
    <col min="3" max="3" width="29.88671875" bestFit="1" customWidth="1"/>
    <col min="4" max="4" width="10.109375" bestFit="1" customWidth="1"/>
    <col min="5" max="6" width="26.33203125" bestFit="1" customWidth="1"/>
    <col min="7" max="7" width="21.33203125" customWidth="1"/>
    <col min="8" max="9" width="10.77734375" bestFit="1" customWidth="1"/>
    <col min="10" max="10" width="10.5546875" bestFit="1" customWidth="1"/>
  </cols>
  <sheetData>
    <row r="1" spans="1:11" ht="11.4" customHeight="1" x14ac:dyDescent="0.3">
      <c r="D1" s="65"/>
      <c r="E1" s="65"/>
      <c r="F1" s="65"/>
    </row>
    <row r="2" spans="1:11" ht="25.2" customHeight="1" thickBot="1" x14ac:dyDescent="0.4">
      <c r="A2" s="120" t="s">
        <v>6991</v>
      </c>
      <c r="B2" s="120"/>
      <c r="C2" s="120"/>
      <c r="D2" s="120"/>
      <c r="E2" s="120"/>
      <c r="F2" s="120"/>
      <c r="G2" s="120"/>
    </row>
    <row r="3" spans="1:11" ht="36" customHeight="1" thickBot="1" x14ac:dyDescent="0.35">
      <c r="A3" s="79" t="s">
        <v>6992</v>
      </c>
      <c r="B3" s="80" t="s">
        <v>6993</v>
      </c>
      <c r="C3" s="80" t="s">
        <v>6994</v>
      </c>
      <c r="D3" s="80" t="s">
        <v>6995</v>
      </c>
      <c r="E3" s="81" t="s">
        <v>6996</v>
      </c>
      <c r="F3" s="82" t="s">
        <v>6997</v>
      </c>
      <c r="G3" s="83" t="s">
        <v>6998</v>
      </c>
      <c r="H3" s="3"/>
      <c r="I3" s="3"/>
      <c r="J3" s="3"/>
      <c r="K3" s="3"/>
    </row>
    <row r="4" spans="1:11" ht="14.4" customHeight="1" x14ac:dyDescent="0.3">
      <c r="A4" s="84">
        <v>1</v>
      </c>
      <c r="B4" s="85" t="s">
        <v>6999</v>
      </c>
      <c r="C4" s="86"/>
      <c r="D4" s="22" t="s">
        <v>7000</v>
      </c>
      <c r="E4" s="87" t="s">
        <v>7001</v>
      </c>
      <c r="F4" s="87" t="s">
        <v>7002</v>
      </c>
      <c r="G4" s="86"/>
      <c r="H4" s="32" t="s">
        <v>7003</v>
      </c>
      <c r="I4" s="33" t="s">
        <v>7004</v>
      </c>
      <c r="J4" s="34" t="s">
        <v>7005</v>
      </c>
    </row>
    <row r="5" spans="1:11" ht="14.4" customHeight="1" x14ac:dyDescent="0.3">
      <c r="A5" s="88">
        <v>2</v>
      </c>
      <c r="B5" s="89" t="s">
        <v>7006</v>
      </c>
      <c r="C5" s="90"/>
      <c r="D5" s="23" t="s">
        <v>7000</v>
      </c>
      <c r="E5" s="23" t="s">
        <v>7007</v>
      </c>
      <c r="F5" s="23" t="s">
        <v>7008</v>
      </c>
      <c r="G5" s="90"/>
      <c r="H5" s="32" t="s">
        <v>7003</v>
      </c>
      <c r="I5" s="33" t="s">
        <v>7004</v>
      </c>
      <c r="J5" s="34" t="s">
        <v>7005</v>
      </c>
    </row>
    <row r="6" spans="1:11" ht="14.4" customHeight="1" x14ac:dyDescent="0.3">
      <c r="A6" s="88">
        <v>3</v>
      </c>
      <c r="B6" s="89" t="s">
        <v>7009</v>
      </c>
      <c r="C6" s="90"/>
      <c r="D6" s="23" t="s">
        <v>7000</v>
      </c>
      <c r="E6" s="91" t="s">
        <v>7010</v>
      </c>
      <c r="F6" s="91" t="s">
        <v>7011</v>
      </c>
      <c r="G6" s="90"/>
      <c r="H6" s="32" t="s">
        <v>7003</v>
      </c>
      <c r="I6" s="33" t="s">
        <v>7004</v>
      </c>
      <c r="J6" s="34" t="s">
        <v>7005</v>
      </c>
    </row>
    <row r="7" spans="1:11" ht="14.4" customHeight="1" x14ac:dyDescent="0.3">
      <c r="A7" s="88">
        <v>4</v>
      </c>
      <c r="B7" s="89" t="s">
        <v>7012</v>
      </c>
      <c r="C7" s="90"/>
      <c r="D7" s="23" t="s">
        <v>7000</v>
      </c>
      <c r="E7" s="23" t="s">
        <v>7013</v>
      </c>
      <c r="F7" s="23" t="s">
        <v>7014</v>
      </c>
      <c r="G7" s="90"/>
      <c r="H7" s="32" t="s">
        <v>7003</v>
      </c>
      <c r="I7" s="33" t="s">
        <v>7004</v>
      </c>
      <c r="J7" s="34" t="s">
        <v>7005</v>
      </c>
    </row>
    <row r="8" spans="1:11" ht="14.4" customHeight="1" x14ac:dyDescent="0.3">
      <c r="A8" s="88">
        <v>5</v>
      </c>
      <c r="B8" s="89" t="s">
        <v>7015</v>
      </c>
      <c r="C8" s="90"/>
      <c r="D8" s="23" t="s">
        <v>7000</v>
      </c>
      <c r="E8" s="87" t="s">
        <v>7001</v>
      </c>
      <c r="F8" s="87" t="s">
        <v>7002</v>
      </c>
      <c r="G8" s="90"/>
      <c r="H8" s="32" t="s">
        <v>7003</v>
      </c>
      <c r="I8" s="33" t="s">
        <v>7004</v>
      </c>
      <c r="J8" s="34" t="s">
        <v>7005</v>
      </c>
    </row>
    <row r="9" spans="1:11" ht="14.4" customHeight="1" x14ac:dyDescent="0.3">
      <c r="A9" s="88">
        <v>6</v>
      </c>
      <c r="B9" s="89" t="s">
        <v>7016</v>
      </c>
      <c r="C9" s="90"/>
      <c r="D9" s="23" t="s">
        <v>7000</v>
      </c>
      <c r="E9" s="91" t="s">
        <v>7017</v>
      </c>
      <c r="F9" s="91" t="s">
        <v>7018</v>
      </c>
      <c r="G9" s="90"/>
      <c r="H9" s="32" t="s">
        <v>7003</v>
      </c>
      <c r="I9" s="33" t="s">
        <v>7004</v>
      </c>
      <c r="J9" s="34" t="s">
        <v>7005</v>
      </c>
    </row>
    <row r="10" spans="1:11" ht="14.4" customHeight="1" x14ac:dyDescent="0.3">
      <c r="A10" s="88">
        <v>7</v>
      </c>
      <c r="B10" s="89" t="s">
        <v>7019</v>
      </c>
      <c r="C10" s="90"/>
      <c r="D10" s="23" t="s">
        <v>7000</v>
      </c>
      <c r="E10" s="91" t="s">
        <v>7017</v>
      </c>
      <c r="F10" s="91" t="s">
        <v>7018</v>
      </c>
      <c r="G10" s="90"/>
      <c r="H10" s="32" t="s">
        <v>7003</v>
      </c>
      <c r="I10" s="33" t="s">
        <v>7004</v>
      </c>
      <c r="J10" s="34" t="s">
        <v>7005</v>
      </c>
    </row>
    <row r="11" spans="1:11" ht="14.4" customHeight="1" x14ac:dyDescent="0.3">
      <c r="A11" s="88">
        <v>8</v>
      </c>
      <c r="B11" s="89" t="s">
        <v>7020</v>
      </c>
      <c r="C11" s="90"/>
      <c r="D11" s="23" t="s">
        <v>7000</v>
      </c>
      <c r="E11" s="91" t="s">
        <v>7021</v>
      </c>
      <c r="F11" s="91" t="s">
        <v>7022</v>
      </c>
      <c r="G11" s="90"/>
      <c r="H11" s="32" t="s">
        <v>7003</v>
      </c>
      <c r="I11" s="33" t="s">
        <v>7004</v>
      </c>
      <c r="J11" s="34" t="s">
        <v>7005</v>
      </c>
    </row>
    <row r="12" spans="1:11" ht="14.4" customHeight="1" x14ac:dyDescent="0.3">
      <c r="A12" s="88">
        <v>9</v>
      </c>
      <c r="B12" s="89" t="s">
        <v>7023</v>
      </c>
      <c r="C12" s="90"/>
      <c r="D12" s="23" t="s">
        <v>7000</v>
      </c>
      <c r="E12" s="92" t="s">
        <v>7024</v>
      </c>
      <c r="F12" s="23" t="s">
        <v>58</v>
      </c>
      <c r="G12" s="90"/>
      <c r="H12" s="32" t="s">
        <v>7003</v>
      </c>
    </row>
    <row r="13" spans="1:11" ht="14.4" customHeight="1" x14ac:dyDescent="0.3">
      <c r="A13" s="88">
        <v>10</v>
      </c>
      <c r="B13" s="89" t="s">
        <v>7025</v>
      </c>
      <c r="C13" s="90"/>
      <c r="D13" s="23" t="s">
        <v>7000</v>
      </c>
      <c r="E13" s="92" t="s">
        <v>7024</v>
      </c>
      <c r="F13" s="23" t="s">
        <v>58</v>
      </c>
      <c r="G13" s="90"/>
      <c r="H13" s="32" t="s">
        <v>7003</v>
      </c>
    </row>
    <row r="14" spans="1:11" ht="14.4" customHeight="1" x14ac:dyDescent="0.3">
      <c r="A14" s="88">
        <v>11</v>
      </c>
      <c r="B14" s="89" t="s">
        <v>29</v>
      </c>
      <c r="C14" s="90"/>
      <c r="D14" s="23" t="s">
        <v>7000</v>
      </c>
      <c r="E14" s="91" t="s">
        <v>7026</v>
      </c>
      <c r="F14" s="23" t="s">
        <v>57</v>
      </c>
      <c r="G14" s="90"/>
      <c r="H14" s="32" t="s">
        <v>7003</v>
      </c>
    </row>
    <row r="15" spans="1:11" ht="14.4" customHeight="1" x14ac:dyDescent="0.3">
      <c r="A15" s="88">
        <v>12</v>
      </c>
      <c r="B15" s="89" t="s">
        <v>7027</v>
      </c>
      <c r="C15" s="90"/>
      <c r="D15" s="23" t="s">
        <v>7000</v>
      </c>
      <c r="E15" s="91" t="s">
        <v>7028</v>
      </c>
      <c r="F15" s="23" t="s">
        <v>125</v>
      </c>
      <c r="G15" s="90"/>
      <c r="H15" s="35" t="s">
        <v>7029</v>
      </c>
    </row>
    <row r="16" spans="1:11" ht="14.4" customHeight="1" x14ac:dyDescent="0.3">
      <c r="A16" s="88">
        <v>13</v>
      </c>
      <c r="B16" s="89" t="s">
        <v>7030</v>
      </c>
      <c r="C16" s="90"/>
      <c r="D16" s="23" t="s">
        <v>7000</v>
      </c>
      <c r="E16" s="30" t="s">
        <v>7031</v>
      </c>
      <c r="F16" s="23" t="s">
        <v>69</v>
      </c>
      <c r="G16" s="90"/>
      <c r="H16" s="32" t="s">
        <v>7003</v>
      </c>
    </row>
    <row r="17" spans="1:10" ht="14.4" customHeight="1" x14ac:dyDescent="0.3">
      <c r="A17" s="88">
        <v>14</v>
      </c>
      <c r="B17" s="89" t="s">
        <v>7032</v>
      </c>
      <c r="C17" s="90"/>
      <c r="D17" s="23" t="s">
        <v>7000</v>
      </c>
      <c r="E17" s="30" t="s">
        <v>7033</v>
      </c>
      <c r="F17" s="30" t="s">
        <v>126</v>
      </c>
      <c r="G17" s="90"/>
      <c r="H17" s="35" t="s">
        <v>7029</v>
      </c>
    </row>
    <row r="18" spans="1:10" ht="14.4" customHeight="1" x14ac:dyDescent="0.3">
      <c r="A18" s="88">
        <v>15</v>
      </c>
      <c r="B18" s="89" t="s">
        <v>7034</v>
      </c>
      <c r="C18" s="90"/>
      <c r="D18" s="23" t="s">
        <v>7000</v>
      </c>
      <c r="E18" s="30" t="s">
        <v>7031</v>
      </c>
      <c r="F18" s="23" t="s">
        <v>69</v>
      </c>
      <c r="G18" s="90"/>
      <c r="H18" s="32" t="s">
        <v>7003</v>
      </c>
    </row>
    <row r="19" spans="1:10" ht="14.4" customHeight="1" x14ac:dyDescent="0.3">
      <c r="A19" s="88">
        <v>16</v>
      </c>
      <c r="B19" s="89" t="s">
        <v>7035</v>
      </c>
      <c r="C19" s="90"/>
      <c r="D19" s="23" t="s">
        <v>7000</v>
      </c>
      <c r="E19" s="87" t="s">
        <v>7001</v>
      </c>
      <c r="F19" s="87" t="s">
        <v>7002</v>
      </c>
      <c r="G19" s="90"/>
      <c r="H19" s="32" t="s">
        <v>7003</v>
      </c>
      <c r="I19" s="33" t="s">
        <v>7004</v>
      </c>
      <c r="J19" s="34" t="s">
        <v>7005</v>
      </c>
    </row>
    <row r="20" spans="1:10" ht="14.4" customHeight="1" x14ac:dyDescent="0.3">
      <c r="A20" s="88">
        <v>17</v>
      </c>
      <c r="B20" s="89" t="s">
        <v>7036</v>
      </c>
      <c r="C20" s="90"/>
      <c r="D20" s="23" t="s">
        <v>7000</v>
      </c>
      <c r="E20" s="87" t="s">
        <v>7001</v>
      </c>
      <c r="F20" s="87" t="s">
        <v>7002</v>
      </c>
      <c r="G20" s="90"/>
      <c r="H20" s="32" t="s">
        <v>7003</v>
      </c>
      <c r="I20" s="33" t="s">
        <v>7004</v>
      </c>
      <c r="J20" s="34" t="s">
        <v>7005</v>
      </c>
    </row>
    <row r="21" spans="1:10" ht="14.4" customHeight="1" x14ac:dyDescent="0.3">
      <c r="A21" s="88">
        <v>18</v>
      </c>
      <c r="B21" s="89" t="s">
        <v>7037</v>
      </c>
      <c r="C21" s="90"/>
      <c r="D21" s="23" t="s">
        <v>7000</v>
      </c>
      <c r="E21" s="87" t="s">
        <v>7001</v>
      </c>
      <c r="F21" s="87" t="s">
        <v>7002</v>
      </c>
      <c r="G21" s="90"/>
      <c r="H21" s="32" t="s">
        <v>7003</v>
      </c>
      <c r="I21" s="33" t="s">
        <v>7004</v>
      </c>
      <c r="J21" s="34" t="s">
        <v>7005</v>
      </c>
    </row>
    <row r="22" spans="1:10" ht="14.4" customHeight="1" x14ac:dyDescent="0.3">
      <c r="A22" s="88">
        <v>19</v>
      </c>
      <c r="B22" s="89" t="s">
        <v>7038</v>
      </c>
      <c r="C22" s="90"/>
      <c r="D22" s="23" t="s">
        <v>7000</v>
      </c>
      <c r="E22" s="87" t="s">
        <v>7001</v>
      </c>
      <c r="F22" s="87" t="s">
        <v>7002</v>
      </c>
      <c r="G22" s="90"/>
      <c r="H22" s="32" t="s">
        <v>7003</v>
      </c>
      <c r="I22" s="33" t="s">
        <v>7004</v>
      </c>
      <c r="J22" s="34" t="s">
        <v>7005</v>
      </c>
    </row>
    <row r="23" spans="1:10" ht="14.4" customHeight="1" x14ac:dyDescent="0.3">
      <c r="A23" s="88">
        <v>20</v>
      </c>
      <c r="B23" s="89" t="s">
        <v>7039</v>
      </c>
      <c r="C23" s="90"/>
      <c r="D23" s="23" t="s">
        <v>7000</v>
      </c>
      <c r="E23" s="30" t="s">
        <v>7040</v>
      </c>
      <c r="F23" s="30" t="s">
        <v>7041</v>
      </c>
      <c r="G23" s="23"/>
      <c r="H23" s="32" t="s">
        <v>7003</v>
      </c>
      <c r="I23" s="33" t="s">
        <v>7004</v>
      </c>
      <c r="J23" s="34" t="s">
        <v>7005</v>
      </c>
    </row>
    <row r="24" spans="1:10" ht="14.4" customHeight="1" x14ac:dyDescent="0.3">
      <c r="A24" s="88">
        <v>21</v>
      </c>
      <c r="B24" s="89" t="s">
        <v>7042</v>
      </c>
      <c r="C24" s="90"/>
      <c r="D24" s="23" t="s">
        <v>7000</v>
      </c>
      <c r="E24" s="31" t="s">
        <v>7043</v>
      </c>
      <c r="F24" s="31" t="s">
        <v>56</v>
      </c>
      <c r="G24" s="23"/>
      <c r="H24" s="32" t="s">
        <v>7003</v>
      </c>
    </row>
    <row r="25" spans="1:10" ht="14.4" customHeight="1" x14ac:dyDescent="0.3">
      <c r="A25" s="88">
        <v>22</v>
      </c>
      <c r="B25" s="89" t="s">
        <v>7044</v>
      </c>
      <c r="C25" s="90"/>
      <c r="D25" s="23" t="s">
        <v>7000</v>
      </c>
      <c r="E25" s="23" t="s">
        <v>7007</v>
      </c>
      <c r="F25" s="23" t="s">
        <v>7008</v>
      </c>
      <c r="G25" s="23"/>
      <c r="H25" s="32" t="s">
        <v>7003</v>
      </c>
      <c r="I25" s="33" t="s">
        <v>7004</v>
      </c>
      <c r="J25" s="34" t="s">
        <v>7005</v>
      </c>
    </row>
    <row r="26" spans="1:10" ht="14.4" customHeight="1" x14ac:dyDescent="0.3">
      <c r="A26" s="88">
        <v>23</v>
      </c>
      <c r="B26" s="89" t="s">
        <v>7045</v>
      </c>
      <c r="C26" s="90"/>
      <c r="D26" s="23" t="s">
        <v>7000</v>
      </c>
      <c r="E26" s="30" t="s">
        <v>7046</v>
      </c>
      <c r="F26" s="30" t="s">
        <v>7047</v>
      </c>
      <c r="G26" s="23"/>
      <c r="H26" s="32" t="s">
        <v>7003</v>
      </c>
      <c r="I26" s="33" t="s">
        <v>7004</v>
      </c>
      <c r="J26" s="34" t="s">
        <v>7005</v>
      </c>
    </row>
    <row r="27" spans="1:10" ht="14.4" customHeight="1" x14ac:dyDescent="0.3">
      <c r="A27" s="88">
        <v>24</v>
      </c>
      <c r="B27" s="89" t="s">
        <v>7048</v>
      </c>
      <c r="C27" s="90"/>
      <c r="D27" s="23" t="s">
        <v>7000</v>
      </c>
      <c r="E27" s="31" t="s">
        <v>7043</v>
      </c>
      <c r="F27" s="31" t="s">
        <v>56</v>
      </c>
      <c r="G27" s="23"/>
      <c r="H27" s="32" t="s">
        <v>7003</v>
      </c>
    </row>
    <row r="28" spans="1:10" ht="14.4" customHeight="1" x14ac:dyDescent="0.3">
      <c r="A28" s="88">
        <v>25</v>
      </c>
      <c r="B28" s="89" t="s">
        <v>7049</v>
      </c>
      <c r="C28" s="90"/>
      <c r="D28" s="23" t="s">
        <v>7000</v>
      </c>
      <c r="E28" s="93" t="s">
        <v>7050</v>
      </c>
      <c r="F28" s="93" t="s">
        <v>7051</v>
      </c>
      <c r="G28" s="23"/>
      <c r="H28" s="32" t="s">
        <v>7003</v>
      </c>
      <c r="I28" s="33" t="s">
        <v>7004</v>
      </c>
    </row>
    <row r="29" spans="1:10" ht="14.4" customHeight="1" x14ac:dyDescent="0.3">
      <c r="A29" s="88">
        <v>26</v>
      </c>
      <c r="B29" s="89" t="s">
        <v>7052</v>
      </c>
      <c r="C29" s="90"/>
      <c r="D29" s="23" t="s">
        <v>7000</v>
      </c>
      <c r="E29" s="31" t="s">
        <v>7043</v>
      </c>
      <c r="F29" s="31" t="s">
        <v>56</v>
      </c>
      <c r="G29" s="94"/>
      <c r="H29" s="32" t="s">
        <v>7003</v>
      </c>
    </row>
    <row r="30" spans="1:10" ht="14.4" customHeight="1" x14ac:dyDescent="0.3">
      <c r="A30" s="88">
        <v>27</v>
      </c>
      <c r="B30" s="89" t="s">
        <v>7053</v>
      </c>
      <c r="C30" s="90"/>
      <c r="D30" s="23" t="s">
        <v>7000</v>
      </c>
      <c r="E30" s="30" t="s">
        <v>7054</v>
      </c>
      <c r="F30" s="30" t="s">
        <v>124</v>
      </c>
      <c r="G30" s="23"/>
      <c r="H30" s="34" t="s">
        <v>7005</v>
      </c>
    </row>
    <row r="31" spans="1:10" ht="14.4" customHeight="1" x14ac:dyDescent="0.3">
      <c r="A31" s="88">
        <v>28</v>
      </c>
      <c r="B31" s="89" t="s">
        <v>7055</v>
      </c>
      <c r="C31" s="90"/>
      <c r="D31" s="23" t="s">
        <v>7000</v>
      </c>
      <c r="E31" s="23" t="s">
        <v>7007</v>
      </c>
      <c r="F31" s="23" t="s">
        <v>7008</v>
      </c>
      <c r="G31" s="23"/>
      <c r="H31" s="32" t="s">
        <v>7003</v>
      </c>
      <c r="I31" s="33" t="s">
        <v>7004</v>
      </c>
      <c r="J31" s="34" t="s">
        <v>7005</v>
      </c>
    </row>
    <row r="32" spans="1:10" ht="14.4" customHeight="1" x14ac:dyDescent="0.3">
      <c r="A32" s="88">
        <v>29</v>
      </c>
      <c r="B32" s="89" t="s">
        <v>7056</v>
      </c>
      <c r="C32" s="90"/>
      <c r="D32" s="23" t="s">
        <v>7000</v>
      </c>
      <c r="E32" s="31" t="s">
        <v>7057</v>
      </c>
      <c r="F32" s="31" t="s">
        <v>127</v>
      </c>
      <c r="G32" s="23"/>
      <c r="H32" s="95" t="s">
        <v>7029</v>
      </c>
    </row>
    <row r="33" spans="1:10" ht="14.4" customHeight="1" x14ac:dyDescent="0.3">
      <c r="A33" s="88">
        <v>30</v>
      </c>
      <c r="B33" s="89" t="s">
        <v>7058</v>
      </c>
      <c r="C33" s="90"/>
      <c r="D33" s="23" t="s">
        <v>7000</v>
      </c>
      <c r="E33" s="31" t="s">
        <v>7059</v>
      </c>
      <c r="F33" s="31" t="s">
        <v>61</v>
      </c>
      <c r="G33" s="23"/>
      <c r="H33" s="32" t="s">
        <v>7003</v>
      </c>
    </row>
    <row r="34" spans="1:10" ht="14.4" customHeight="1" x14ac:dyDescent="0.3">
      <c r="A34" s="88">
        <v>31</v>
      </c>
      <c r="B34" s="89" t="s">
        <v>7060</v>
      </c>
      <c r="C34" s="90"/>
      <c r="D34" s="23" t="s">
        <v>7000</v>
      </c>
      <c r="E34" s="31" t="s">
        <v>7061</v>
      </c>
      <c r="F34" s="31" t="s">
        <v>7062</v>
      </c>
      <c r="G34" s="23"/>
      <c r="H34" s="32" t="s">
        <v>7003</v>
      </c>
      <c r="I34" s="33" t="s">
        <v>7004</v>
      </c>
      <c r="J34" s="34" t="s">
        <v>7005</v>
      </c>
    </row>
    <row r="35" spans="1:10" ht="14.4" customHeight="1" x14ac:dyDescent="0.3">
      <c r="A35" s="88">
        <v>32</v>
      </c>
      <c r="B35" s="89" t="s">
        <v>7063</v>
      </c>
      <c r="C35" s="90"/>
      <c r="D35" s="23" t="s">
        <v>7000</v>
      </c>
      <c r="E35" s="23" t="s">
        <v>7007</v>
      </c>
      <c r="F35" s="23" t="s">
        <v>7008</v>
      </c>
      <c r="G35" s="23"/>
      <c r="H35" s="32" t="s">
        <v>7003</v>
      </c>
      <c r="I35" s="33" t="s">
        <v>7004</v>
      </c>
      <c r="J35" s="34" t="s">
        <v>7005</v>
      </c>
    </row>
    <row r="36" spans="1:10" ht="11.4" customHeight="1" x14ac:dyDescent="0.3">
      <c r="D36" s="65"/>
      <c r="E36" s="23" t="s">
        <v>7067</v>
      </c>
      <c r="F36" s="65"/>
    </row>
    <row r="37" spans="1:10" ht="11.4" customHeight="1" x14ac:dyDescent="0.3">
      <c r="D37" s="65"/>
      <c r="E37" s="65"/>
      <c r="F37" s="65"/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D28"/>
  <sheetViews>
    <sheetView showGridLines="0" topLeftCell="A3" zoomScaleNormal="100" workbookViewId="0">
      <selection activeCell="S12" sqref="S12"/>
    </sheetView>
  </sheetViews>
  <sheetFormatPr defaultRowHeight="14.4" x14ac:dyDescent="0.3"/>
  <cols>
    <col min="2" max="2" width="2.77734375" customWidth="1"/>
    <col min="3" max="3" width="23.109375" customWidth="1"/>
    <col min="4" max="4" width="13.109375" customWidth="1"/>
    <col min="5" max="6" width="12" customWidth="1"/>
    <col min="7" max="7" width="14.33203125" customWidth="1"/>
    <col min="8" max="8" width="2.109375" hidden="1" customWidth="1"/>
    <col min="9" max="12" width="7.21875" bestFit="1" customWidth="1"/>
    <col min="13" max="13" width="7.109375" customWidth="1"/>
    <col min="14" max="14" width="7.21875" bestFit="1" customWidth="1"/>
    <col min="15" max="15" width="8.109375" customWidth="1"/>
    <col min="16" max="16" width="8.6640625" bestFit="1" customWidth="1"/>
    <col min="17" max="17" width="2.21875" customWidth="1"/>
    <col min="22" max="22" width="11.109375" style="5" bestFit="1" customWidth="1"/>
    <col min="23" max="24" width="8.5546875" style="5" customWidth="1"/>
    <col min="25" max="25" width="8" customWidth="1"/>
    <col min="26" max="26" width="8.5546875" customWidth="1"/>
    <col min="27" max="27" width="8.88671875" bestFit="1" customWidth="1"/>
    <col min="28" max="28" width="13" customWidth="1"/>
    <col min="29" max="29" width="10.5546875" customWidth="1"/>
  </cols>
  <sheetData>
    <row r="1" spans="3:30" hidden="1" x14ac:dyDescent="0.3"/>
    <row r="2" spans="3:30" hidden="1" x14ac:dyDescent="0.3"/>
    <row r="4" spans="3:30" ht="19.8" x14ac:dyDescent="0.3">
      <c r="C4" s="122" t="s">
        <v>7066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4"/>
    </row>
    <row r="5" spans="3:30" ht="25.8" customHeight="1" x14ac:dyDescent="0.3">
      <c r="C5" s="125" t="s">
        <v>6</v>
      </c>
      <c r="D5" s="125" t="s">
        <v>7</v>
      </c>
      <c r="E5" s="126" t="s">
        <v>24</v>
      </c>
      <c r="F5" s="126" t="s">
        <v>6745</v>
      </c>
      <c r="G5" s="127" t="s">
        <v>8</v>
      </c>
      <c r="H5" s="21"/>
      <c r="I5" s="128" t="s">
        <v>7442</v>
      </c>
      <c r="J5" s="128"/>
      <c r="K5" s="128"/>
      <c r="L5" s="128"/>
      <c r="M5" s="128"/>
      <c r="N5" s="128"/>
      <c r="O5" s="128"/>
      <c r="P5" s="128"/>
      <c r="Y5" s="5"/>
      <c r="Z5" s="5"/>
      <c r="AA5" s="5"/>
      <c r="AB5" s="5"/>
      <c r="AC5" s="5"/>
    </row>
    <row r="6" spans="3:30" ht="28.2" customHeight="1" x14ac:dyDescent="0.3">
      <c r="C6" s="125"/>
      <c r="D6" s="125"/>
      <c r="E6" s="126"/>
      <c r="F6" s="126"/>
      <c r="G6" s="127"/>
      <c r="H6" s="21"/>
      <c r="I6" s="66" t="s">
        <v>7420</v>
      </c>
      <c r="J6" s="66" t="s">
        <v>7421</v>
      </c>
      <c r="K6" s="66" t="s">
        <v>7422</v>
      </c>
      <c r="L6" s="66" t="s">
        <v>7423</v>
      </c>
      <c r="M6" s="66" t="s">
        <v>7424</v>
      </c>
      <c r="N6" s="66" t="s">
        <v>7425</v>
      </c>
      <c r="O6" s="66" t="s">
        <v>7426</v>
      </c>
      <c r="P6" s="11" t="s">
        <v>9</v>
      </c>
      <c r="V6" s="5" t="s">
        <v>6757</v>
      </c>
      <c r="W6" s="5" t="s">
        <v>6765</v>
      </c>
      <c r="X6" s="5" t="s">
        <v>6766</v>
      </c>
      <c r="Y6" s="5" t="s">
        <v>6763</v>
      </c>
      <c r="Z6" s="5" t="s">
        <v>6749</v>
      </c>
      <c r="AA6" s="5" t="s">
        <v>6764</v>
      </c>
      <c r="AB6" s="5" t="s">
        <v>6767</v>
      </c>
      <c r="AC6" s="5" t="s">
        <v>6768</v>
      </c>
    </row>
    <row r="7" spans="3:30" ht="21.6" customHeight="1" x14ac:dyDescent="0.3">
      <c r="C7" s="129" t="s">
        <v>6990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1"/>
      <c r="V7" s="5" t="s">
        <v>6758</v>
      </c>
      <c r="W7" s="5">
        <v>10</v>
      </c>
      <c r="X7" s="5">
        <v>0</v>
      </c>
      <c r="Y7" s="5" t="e">
        <f>COUNTIFS('DETAILED ITR LIST'!#REF!,"JUNE")</f>
        <v>#REF!</v>
      </c>
      <c r="Z7" s="5" t="e">
        <f>COUNTIFS('DETAILED ITR LIST'!#REF!,"JUNE",'DETAILED ITR LIST'!AC:AC,"CLOSED")</f>
        <v>#REF!</v>
      </c>
      <c r="AA7" s="5" t="e">
        <f t="shared" ref="AA7:AA9" si="0">Y7-Z7</f>
        <v>#REF!</v>
      </c>
      <c r="AB7" s="5" t="e">
        <f t="shared" ref="AB7:AB9" si="1">Z7/Y7</f>
        <v>#REF!</v>
      </c>
      <c r="AC7" s="5">
        <v>29</v>
      </c>
    </row>
    <row r="8" spans="3:30" ht="19.8" x14ac:dyDescent="0.3">
      <c r="C8" s="68" t="s">
        <v>12</v>
      </c>
      <c r="D8" s="37">
        <f>COUNTIF('DETAILED ITR LIST'!I:I,"M")</f>
        <v>202</v>
      </c>
      <c r="E8" s="37">
        <f>COUNTIFS('DETAILED ITR LIST'!I:I,"M",'DETAILED ITR LIST'!AC:AC,"Closed")</f>
        <v>202</v>
      </c>
      <c r="F8" s="40">
        <f t="shared" ref="F8:F10" si="2">E8/D8</f>
        <v>1</v>
      </c>
      <c r="G8" s="37">
        <f>D8-E8</f>
        <v>0</v>
      </c>
      <c r="H8" s="38"/>
      <c r="I8" s="39"/>
      <c r="J8" s="39"/>
      <c r="K8" s="39"/>
      <c r="L8" s="39">
        <v>14</v>
      </c>
      <c r="M8" s="39"/>
      <c r="N8" s="39"/>
      <c r="O8" s="39"/>
      <c r="P8" s="1">
        <f t="shared" ref="P8:P9" si="3">SUM(I8:O8)</f>
        <v>14</v>
      </c>
      <c r="V8" s="5" t="s">
        <v>6761</v>
      </c>
      <c r="W8" s="5">
        <v>53</v>
      </c>
      <c r="X8" s="5">
        <v>0</v>
      </c>
      <c r="Y8" s="5" t="e">
        <f>COUNTIFS('DETAILED ITR LIST'!#REF!,"SEPTEMBER")</f>
        <v>#REF!</v>
      </c>
      <c r="Z8" s="5" t="e">
        <f>COUNTIFS('DETAILED ITR LIST'!#REF!,"SEPTEMBER",'DETAILED ITR LIST'!AC:AC,"CLOSED")</f>
        <v>#REF!</v>
      </c>
      <c r="AA8" s="5" t="e">
        <f t="shared" si="0"/>
        <v>#REF!</v>
      </c>
      <c r="AB8" s="5" t="e">
        <f t="shared" si="1"/>
        <v>#REF!</v>
      </c>
      <c r="AC8" s="5">
        <v>1</v>
      </c>
    </row>
    <row r="9" spans="3:30" ht="19.2" customHeight="1" x14ac:dyDescent="0.3">
      <c r="C9" s="68" t="s">
        <v>13</v>
      </c>
      <c r="D9" s="37">
        <f>COUNTIF('DETAILED ITR LIST'!I:I,"P")</f>
        <v>995</v>
      </c>
      <c r="E9" s="37">
        <f>COUNTIFS('DETAILED ITR LIST'!I:I,"P",'DETAILED ITR LIST'!AC:AC,"Closed")</f>
        <v>578</v>
      </c>
      <c r="F9" s="40">
        <f t="shared" si="2"/>
        <v>0.58090452261306535</v>
      </c>
      <c r="G9" s="37">
        <f>D9-E9</f>
        <v>417</v>
      </c>
      <c r="H9" s="38"/>
      <c r="I9" s="39">
        <v>1</v>
      </c>
      <c r="J9" s="39"/>
      <c r="K9" s="39"/>
      <c r="L9" s="39">
        <v>9</v>
      </c>
      <c r="M9" s="39">
        <v>4</v>
      </c>
      <c r="N9" s="39">
        <v>19</v>
      </c>
      <c r="O9" s="39">
        <v>8</v>
      </c>
      <c r="P9" s="1">
        <f t="shared" si="3"/>
        <v>41</v>
      </c>
      <c r="V9" s="5" t="s">
        <v>6762</v>
      </c>
      <c r="W9" s="5">
        <v>7</v>
      </c>
      <c r="X9" s="5">
        <v>0</v>
      </c>
      <c r="Y9" s="5" t="e">
        <f>COUNTIFS('DETAILED ITR LIST'!#REF!,"OCTOBER")</f>
        <v>#REF!</v>
      </c>
      <c r="Z9" s="5" t="e">
        <f>COUNTIFS('DETAILED ITR LIST'!#REF!,"OCTOBER",'DETAILED ITR LIST'!AC:AC,"CLOSED")</f>
        <v>#REF!</v>
      </c>
      <c r="AA9" s="5" t="e">
        <f t="shared" si="0"/>
        <v>#REF!</v>
      </c>
      <c r="AB9" s="5" t="e">
        <f t="shared" si="1"/>
        <v>#REF!</v>
      </c>
      <c r="AC9" s="5">
        <v>0</v>
      </c>
    </row>
    <row r="10" spans="3:30" ht="19.8" x14ac:dyDescent="0.3">
      <c r="C10" s="76" t="s">
        <v>25</v>
      </c>
      <c r="D10" s="20">
        <f>SUM(D8:D9)</f>
        <v>1197</v>
      </c>
      <c r="E10" s="19">
        <f>SUM(E8:E9)</f>
        <v>780</v>
      </c>
      <c r="F10" s="26">
        <f t="shared" si="2"/>
        <v>0.65162907268170422</v>
      </c>
      <c r="G10" s="70">
        <f t="shared" ref="G10:P10" si="4">SUM(G8:G9)</f>
        <v>417</v>
      </c>
      <c r="H10" s="15">
        <f t="shared" si="4"/>
        <v>0</v>
      </c>
      <c r="I10" s="2">
        <f t="shared" si="4"/>
        <v>1</v>
      </c>
      <c r="J10" s="2">
        <f t="shared" si="4"/>
        <v>0</v>
      </c>
      <c r="K10" s="2">
        <f t="shared" si="4"/>
        <v>0</v>
      </c>
      <c r="L10" s="2">
        <f t="shared" si="4"/>
        <v>23</v>
      </c>
      <c r="M10" s="2">
        <f t="shared" si="4"/>
        <v>4</v>
      </c>
      <c r="N10" s="2">
        <f t="shared" si="4"/>
        <v>19</v>
      </c>
      <c r="O10" s="2">
        <f t="shared" si="4"/>
        <v>8</v>
      </c>
      <c r="P10" s="10">
        <f t="shared" si="4"/>
        <v>55</v>
      </c>
      <c r="T10" s="5"/>
      <c r="U10" s="5"/>
      <c r="Y10" s="5"/>
      <c r="Z10" s="5"/>
      <c r="AA10" s="5"/>
      <c r="AB10" s="5"/>
      <c r="AC10" s="5"/>
    </row>
    <row r="11" spans="3:30" ht="19.8" x14ac:dyDescent="0.3">
      <c r="C11" s="129" t="s">
        <v>6740</v>
      </c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  <c r="T11" s="5"/>
      <c r="U11" s="5"/>
      <c r="V11" s="5" t="s">
        <v>6757</v>
      </c>
      <c r="W11" s="5" t="s">
        <v>6765</v>
      </c>
      <c r="X11" s="5" t="s">
        <v>6766</v>
      </c>
      <c r="Y11" s="5" t="s">
        <v>6763</v>
      </c>
      <c r="Z11" s="5" t="s">
        <v>6749</v>
      </c>
      <c r="AA11" s="5" t="s">
        <v>6764</v>
      </c>
      <c r="AB11" s="5" t="s">
        <v>6767</v>
      </c>
      <c r="AC11" s="5" t="s">
        <v>6768</v>
      </c>
      <c r="AD11" s="5"/>
    </row>
    <row r="12" spans="3:30" ht="19.8" x14ac:dyDescent="0.3">
      <c r="C12" s="69" t="s">
        <v>10</v>
      </c>
      <c r="D12" s="37">
        <f>COUNTIF('DETAILED ITR LIST'!I:I,"E")</f>
        <v>1451</v>
      </c>
      <c r="E12" s="37">
        <f>COUNTIFS('DETAILED ITR LIST'!I:I,"E",'DETAILED ITR LIST'!AC:AC,"Closed")</f>
        <v>300</v>
      </c>
      <c r="F12" s="40">
        <f>E12/D12</f>
        <v>0.2067539627842867</v>
      </c>
      <c r="G12" s="37">
        <f>D12-E12</f>
        <v>1151</v>
      </c>
      <c r="H12" s="38"/>
      <c r="I12" s="39">
        <v>15</v>
      </c>
      <c r="J12" s="39"/>
      <c r="K12" s="39"/>
      <c r="L12" s="39"/>
      <c r="M12" s="39">
        <v>35</v>
      </c>
      <c r="N12" s="39"/>
      <c r="O12" s="39">
        <v>8</v>
      </c>
      <c r="P12" s="1">
        <f>SUM(I12:O12)</f>
        <v>58</v>
      </c>
      <c r="V12" s="5" t="s">
        <v>6758</v>
      </c>
      <c r="W12" s="5">
        <v>9</v>
      </c>
      <c r="X12" s="5">
        <v>0</v>
      </c>
      <c r="Y12" s="5">
        <v>437</v>
      </c>
      <c r="Z12" s="5">
        <v>47</v>
      </c>
      <c r="AA12" s="5">
        <f t="shared" ref="AA12:AA17" si="5">Y12-Z12</f>
        <v>390</v>
      </c>
      <c r="AB12" s="5">
        <f t="shared" ref="AB12:AB17" si="6">Z12/Y12</f>
        <v>0.10755148741418764</v>
      </c>
      <c r="AC12" s="5">
        <v>29</v>
      </c>
      <c r="AD12" s="5"/>
    </row>
    <row r="13" spans="3:30" ht="19.8" x14ac:dyDescent="0.3">
      <c r="C13" s="68" t="s">
        <v>11</v>
      </c>
      <c r="D13" s="37">
        <f>COUNTIF('DETAILED ITR LIST'!I:I,"I")</f>
        <v>1366</v>
      </c>
      <c r="E13" s="37">
        <f>COUNTIFS('DETAILED ITR LIST'!I:I,"I",'DETAILED ITR LIST'!AC:AC,"Closed")</f>
        <v>18</v>
      </c>
      <c r="F13" s="40">
        <f>E13/D13</f>
        <v>1.3177159590043924E-2</v>
      </c>
      <c r="G13" s="37">
        <f>D13-E13</f>
        <v>1348</v>
      </c>
      <c r="H13" s="38"/>
      <c r="I13" s="39"/>
      <c r="J13" s="39"/>
      <c r="K13" s="39"/>
      <c r="L13" s="39"/>
      <c r="M13" s="39">
        <v>18</v>
      </c>
      <c r="N13" s="39"/>
      <c r="O13" s="39"/>
      <c r="P13" s="1">
        <f t="shared" ref="P13:P14" si="7">SUM(I13:O13)</f>
        <v>18</v>
      </c>
      <c r="V13" s="5" t="s">
        <v>6759</v>
      </c>
      <c r="W13" s="5">
        <v>48</v>
      </c>
      <c r="X13" s="5">
        <v>0</v>
      </c>
      <c r="Y13" s="5">
        <v>2705</v>
      </c>
      <c r="Z13" s="5">
        <v>306</v>
      </c>
      <c r="AA13" s="5">
        <f t="shared" si="5"/>
        <v>2399</v>
      </c>
      <c r="AB13" s="5">
        <f t="shared" si="6"/>
        <v>0.11312384473197781</v>
      </c>
      <c r="AC13" s="5">
        <v>33</v>
      </c>
      <c r="AD13" s="5"/>
    </row>
    <row r="14" spans="3:30" ht="19.8" x14ac:dyDescent="0.3">
      <c r="C14" s="68" t="s">
        <v>14</v>
      </c>
      <c r="D14" s="37">
        <f>COUNTIF('DETAILED ITR LIST'!I:I,"T")</f>
        <v>130</v>
      </c>
      <c r="E14" s="37">
        <f>COUNTIFS('DETAILED ITR LIST'!I:I,"T",'DETAILED ITR LIST'!AC:AC,"Closed")</f>
        <v>0</v>
      </c>
      <c r="F14" s="40">
        <f>E14/D14</f>
        <v>0</v>
      </c>
      <c r="G14" s="37">
        <f>D14-E14</f>
        <v>130</v>
      </c>
      <c r="H14" s="38"/>
      <c r="I14" s="39"/>
      <c r="J14" s="39"/>
      <c r="K14" s="39"/>
      <c r="L14" s="39"/>
      <c r="M14" s="39"/>
      <c r="N14" s="39"/>
      <c r="O14" s="39"/>
      <c r="P14" s="1">
        <f t="shared" si="7"/>
        <v>0</v>
      </c>
      <c r="V14" s="5" t="s">
        <v>6760</v>
      </c>
      <c r="W14" s="5">
        <v>129</v>
      </c>
      <c r="X14" s="5">
        <v>0</v>
      </c>
      <c r="Y14" s="5">
        <v>6505</v>
      </c>
      <c r="Z14" s="5">
        <v>874</v>
      </c>
      <c r="AA14" s="5">
        <f t="shared" si="5"/>
        <v>5631</v>
      </c>
      <c r="AB14" s="5">
        <f t="shared" si="6"/>
        <v>0.13435818601076097</v>
      </c>
      <c r="AC14" s="5">
        <v>35</v>
      </c>
      <c r="AD14" s="5"/>
    </row>
    <row r="15" spans="3:30" ht="23.4" customHeight="1" x14ac:dyDescent="0.3">
      <c r="C15" s="76" t="s">
        <v>25</v>
      </c>
      <c r="D15" s="73">
        <f>SUM(D12:D14)</f>
        <v>2947</v>
      </c>
      <c r="E15" s="16">
        <f>SUM(E12:E14)</f>
        <v>318</v>
      </c>
      <c r="F15" s="28">
        <f>E15/D15</f>
        <v>0.10790634543603665</v>
      </c>
      <c r="G15" s="71">
        <f>SUM(G12:G14)</f>
        <v>2629</v>
      </c>
      <c r="H15" s="17">
        <f>SUM(H12:H14)</f>
        <v>0</v>
      </c>
      <c r="I15" s="18">
        <f>SUM(I12:I14)</f>
        <v>15</v>
      </c>
      <c r="J15" s="18">
        <f>SUM(J12:J14)</f>
        <v>0</v>
      </c>
      <c r="K15" s="18">
        <f>SUM(K12:K14)</f>
        <v>0</v>
      </c>
      <c r="L15" s="18">
        <f t="shared" ref="L15:N15" si="8">SUM(L12:L14)</f>
        <v>0</v>
      </c>
      <c r="M15" s="18">
        <f t="shared" si="8"/>
        <v>53</v>
      </c>
      <c r="N15" s="18">
        <f t="shared" si="8"/>
        <v>0</v>
      </c>
      <c r="O15" s="18">
        <f>SUM(O12:O14)</f>
        <v>8</v>
      </c>
      <c r="P15" s="24">
        <f>SUM(P12:P14)</f>
        <v>76</v>
      </c>
      <c r="V15" s="5" t="s">
        <v>6761</v>
      </c>
      <c r="W15" s="5">
        <v>53</v>
      </c>
      <c r="X15" s="5">
        <v>0</v>
      </c>
      <c r="Y15" s="5">
        <v>1930</v>
      </c>
      <c r="Z15" s="5">
        <v>270</v>
      </c>
      <c r="AA15" s="5">
        <f t="shared" si="5"/>
        <v>1660</v>
      </c>
      <c r="AB15" s="5">
        <f t="shared" si="6"/>
        <v>0.13989637305699482</v>
      </c>
      <c r="AC15" s="5">
        <v>1</v>
      </c>
      <c r="AD15" s="5"/>
    </row>
    <row r="16" spans="3:30" ht="23.4" x14ac:dyDescent="0.3">
      <c r="C16" s="77" t="s">
        <v>15</v>
      </c>
      <c r="D16" s="20">
        <f>D10+D15</f>
        <v>4144</v>
      </c>
      <c r="E16" s="27">
        <f>E10+E15</f>
        <v>1098</v>
      </c>
      <c r="F16" s="58">
        <f>E16/D16</f>
        <v>0.26496138996138996</v>
      </c>
      <c r="G16" s="70">
        <f t="shared" ref="G16:P16" si="9">G10+G15</f>
        <v>3046</v>
      </c>
      <c r="H16" s="20">
        <f t="shared" si="9"/>
        <v>0</v>
      </c>
      <c r="I16" s="25">
        <f t="shared" si="9"/>
        <v>16</v>
      </c>
      <c r="J16" s="25">
        <f t="shared" si="9"/>
        <v>0</v>
      </c>
      <c r="K16" s="25">
        <f t="shared" si="9"/>
        <v>0</v>
      </c>
      <c r="L16" s="25">
        <f t="shared" si="9"/>
        <v>23</v>
      </c>
      <c r="M16" s="25">
        <f t="shared" si="9"/>
        <v>57</v>
      </c>
      <c r="N16" s="25">
        <f t="shared" si="9"/>
        <v>19</v>
      </c>
      <c r="O16" s="25">
        <f t="shared" si="9"/>
        <v>16</v>
      </c>
      <c r="P16" s="29">
        <f t="shared" si="9"/>
        <v>131</v>
      </c>
      <c r="V16" s="5" t="s">
        <v>6762</v>
      </c>
      <c r="W16" s="5">
        <v>7</v>
      </c>
      <c r="X16" s="5">
        <v>0</v>
      </c>
      <c r="Y16" s="5">
        <v>1183</v>
      </c>
      <c r="Z16" s="5">
        <v>2</v>
      </c>
      <c r="AA16" s="5">
        <f t="shared" si="5"/>
        <v>1181</v>
      </c>
      <c r="AB16" s="5">
        <f t="shared" si="6"/>
        <v>1.6906170752324597E-3</v>
      </c>
      <c r="AC16" s="5">
        <v>0</v>
      </c>
      <c r="AD16" s="5"/>
    </row>
    <row r="17" spans="3:30" x14ac:dyDescent="0.3">
      <c r="C17" s="121" t="s">
        <v>7445</v>
      </c>
      <c r="D17" s="121"/>
      <c r="E17" s="121"/>
      <c r="F17" s="121"/>
      <c r="G17" s="121"/>
      <c r="H17" s="121"/>
      <c r="I17" s="121"/>
      <c r="J17" s="121"/>
      <c r="K17" s="121"/>
      <c r="L17" s="121"/>
      <c r="M17" s="3"/>
      <c r="N17" s="3"/>
      <c r="O17" s="3"/>
      <c r="V17" s="5" t="s">
        <v>15</v>
      </c>
      <c r="W17" s="5">
        <v>248</v>
      </c>
      <c r="X17" s="5">
        <v>0</v>
      </c>
      <c r="Y17" s="5">
        <v>12763</v>
      </c>
      <c r="Z17" s="5">
        <v>1501</v>
      </c>
      <c r="AA17" s="5">
        <f t="shared" si="5"/>
        <v>11262</v>
      </c>
      <c r="AB17" s="5">
        <f t="shared" si="6"/>
        <v>0.11760557862571495</v>
      </c>
      <c r="AC17" s="5">
        <v>98</v>
      </c>
      <c r="AD17" s="5"/>
    </row>
    <row r="18" spans="3:30" x14ac:dyDescent="0.3">
      <c r="Y18" s="5"/>
      <c r="Z18" s="5"/>
      <c r="AA18" s="5"/>
      <c r="AB18" s="5"/>
      <c r="AC18" s="5"/>
      <c r="AD18" s="5"/>
    </row>
    <row r="19" spans="3:30" x14ac:dyDescent="0.3">
      <c r="Y19" s="5"/>
      <c r="Z19" s="5"/>
      <c r="AA19" s="5"/>
      <c r="AB19" s="5"/>
      <c r="AC19" s="5"/>
      <c r="AD19" s="5"/>
    </row>
    <row r="26" spans="3:30" x14ac:dyDescent="0.3">
      <c r="F26" s="14"/>
    </row>
    <row r="28" spans="3:30" x14ac:dyDescent="0.3">
      <c r="D28">
        <f>13849-13905</f>
        <v>-56</v>
      </c>
    </row>
  </sheetData>
  <mergeCells count="10">
    <mergeCell ref="C17:L17"/>
    <mergeCell ref="C4:P4"/>
    <mergeCell ref="C5:C6"/>
    <mergeCell ref="D5:D6"/>
    <mergeCell ref="E5:E6"/>
    <mergeCell ref="G5:G6"/>
    <mergeCell ref="I5:P5"/>
    <mergeCell ref="C11:P11"/>
    <mergeCell ref="C7:P7"/>
    <mergeCell ref="F5:F6"/>
  </mergeCells>
  <phoneticPr fontId="17" type="noConversion"/>
  <conditionalFormatting sqref="F8:F9">
    <cfRule type="dataBar" priority="13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{FFCCE00C-6501-478A-A423-459F250A229B}</x14:id>
        </ext>
      </extLst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{8F1A2F79-A3C4-49E8-9A47-D69FD452447A}</x14:id>
        </ext>
      </extLs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{50FC9271-6DB9-41DF-86C4-04F38CB2736F}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{D1AAC672-941A-448E-BC35-8AB298B1CD44}</x14:id>
        </ext>
      </extLst>
    </cfRule>
  </conditionalFormatting>
  <conditionalFormatting sqref="F12:F14">
    <cfRule type="dataBar" priority="1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{11A64276-2455-4C8A-A89F-E0974077AB18}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{F3F9E004-8591-4706-AE0A-1ED2326E8CC5}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{F5E83926-3C91-4355-A191-9F304EA820E2}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{5FB05B96-B989-4B61-865D-989ADA1FDC67}</x14:id>
        </ext>
      </extLst>
    </cfRule>
  </conditionalFormatting>
  <pageMargins left="0.7" right="0.7" top="0.75" bottom="0.75" header="0.3" footer="0.3"/>
  <pageSetup paperSize="9" orientation="portrait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CCE00C-6501-478A-A423-459F250A229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F1A2F79-A3C4-49E8-9A47-D69FD45244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0FC9271-6DB9-41DF-86C4-04F38CB27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AAC672-941A-448E-BC35-8AB298B1C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F8:F9</xm:sqref>
        </x14:conditionalFormatting>
        <x14:conditionalFormatting xmlns:xm="http://schemas.microsoft.com/office/excel/2006/main">
          <x14:cfRule type="dataBar" id="{11A64276-2455-4C8A-A89F-E0974077AB1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3F9E004-8591-4706-AE0A-1ED2326E8CC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E83926-3C91-4355-A191-9F304EA82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B05B96-B989-4B61-865D-989ADA1FDC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F12:F14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45"/>
  <sheetViews>
    <sheetView zoomScale="120" zoomScaleNormal="120" workbookViewId="0">
      <selection activeCell="D9" sqref="D9"/>
    </sheetView>
  </sheetViews>
  <sheetFormatPr defaultRowHeight="14.4" customHeight="1" x14ac:dyDescent="0.3"/>
  <cols>
    <col min="1" max="1" width="13.44140625" style="6" bestFit="1" customWidth="1"/>
    <col min="2" max="2" width="21.88671875" style="6" bestFit="1" customWidth="1"/>
    <col min="3" max="3" width="20.33203125" style="6" bestFit="1" customWidth="1"/>
    <col min="4" max="4" width="12.33203125" style="6" bestFit="1" customWidth="1"/>
    <col min="5" max="5" width="20.33203125" style="6" customWidth="1"/>
    <col min="6" max="6" width="10.6640625" style="6" bestFit="1" customWidth="1"/>
    <col min="7" max="7" width="61.33203125" style="6" bestFit="1" customWidth="1"/>
    <col min="8" max="8" width="22.6640625" style="6" bestFit="1" customWidth="1"/>
    <col min="9" max="9" width="8.88671875" style="6" bestFit="1" customWidth="1"/>
    <col min="10" max="10" width="20.6640625" style="6" customWidth="1"/>
    <col min="11" max="11" width="19" style="6" bestFit="1" customWidth="1"/>
    <col min="12" max="12" width="57.21875" style="6" bestFit="1" customWidth="1"/>
    <col min="13" max="13" width="28" style="6" bestFit="1" customWidth="1"/>
    <col min="14" max="14" width="30" style="6" bestFit="1" customWidth="1"/>
    <col min="15" max="15" width="14.21875" style="6" bestFit="1" customWidth="1"/>
    <col min="16" max="16" width="17.77734375" style="6" bestFit="1" customWidth="1"/>
    <col min="17" max="17" width="12.5546875" style="6" bestFit="1" customWidth="1"/>
    <col min="18" max="18" width="21.88671875" style="6" bestFit="1" customWidth="1"/>
    <col min="19" max="19" width="23.44140625" style="6" bestFit="1" customWidth="1"/>
    <col min="20" max="20" width="22.21875" style="6" bestFit="1" customWidth="1"/>
    <col min="21" max="21" width="31.33203125" style="6" bestFit="1" customWidth="1"/>
    <col min="22" max="22" width="56.21875" style="6" bestFit="1" customWidth="1"/>
    <col min="23" max="23" width="15.44140625" style="6" bestFit="1" customWidth="1"/>
    <col min="24" max="24" width="12.33203125" style="6" bestFit="1" customWidth="1"/>
    <col min="25" max="26" width="7.109375" style="6" bestFit="1" customWidth="1"/>
    <col min="27" max="27" width="38.33203125" style="6" bestFit="1" customWidth="1"/>
    <col min="28" max="28" width="13.88671875" style="6" bestFit="1" customWidth="1"/>
    <col min="29" max="29" width="20.77734375" style="6" bestFit="1" customWidth="1"/>
    <col min="30" max="30" width="15.33203125" style="6" bestFit="1" customWidth="1"/>
    <col min="31" max="31" width="21" style="6" customWidth="1"/>
    <col min="32" max="16384" width="8.88671875" style="6"/>
  </cols>
  <sheetData>
    <row r="1" spans="1:31" ht="18.600000000000001" customHeight="1" x14ac:dyDescent="0.3">
      <c r="A1" s="96" t="s">
        <v>22</v>
      </c>
      <c r="B1" s="96" t="s">
        <v>32</v>
      </c>
      <c r="C1" s="96" t="s">
        <v>33</v>
      </c>
      <c r="D1" s="96" t="s">
        <v>34</v>
      </c>
      <c r="E1" s="96" t="s">
        <v>35</v>
      </c>
      <c r="F1" s="96" t="s">
        <v>36</v>
      </c>
      <c r="G1" s="96" t="s">
        <v>21</v>
      </c>
      <c r="H1" s="96" t="s">
        <v>37</v>
      </c>
      <c r="I1" s="96" t="s">
        <v>6</v>
      </c>
      <c r="J1" s="96" t="s">
        <v>38</v>
      </c>
      <c r="K1" s="96" t="s">
        <v>39</v>
      </c>
      <c r="L1" s="96" t="s">
        <v>40</v>
      </c>
      <c r="M1" s="96" t="s">
        <v>26</v>
      </c>
      <c r="N1" s="96" t="s">
        <v>0</v>
      </c>
      <c r="O1" s="96" t="s">
        <v>41</v>
      </c>
      <c r="P1" s="96" t="s">
        <v>42</v>
      </c>
      <c r="Q1" s="96" t="s">
        <v>43</v>
      </c>
      <c r="R1" s="96" t="s">
        <v>44</v>
      </c>
      <c r="S1" s="96" t="s">
        <v>45</v>
      </c>
      <c r="T1" s="96" t="s">
        <v>23</v>
      </c>
      <c r="U1" s="96" t="s">
        <v>31</v>
      </c>
      <c r="V1" s="96" t="s">
        <v>30</v>
      </c>
      <c r="W1" s="96" t="s">
        <v>46</v>
      </c>
      <c r="X1" s="96" t="s">
        <v>47</v>
      </c>
      <c r="Y1" s="96" t="s">
        <v>28</v>
      </c>
      <c r="Z1" s="96" t="s">
        <v>28</v>
      </c>
      <c r="AA1" s="96" t="s">
        <v>48</v>
      </c>
      <c r="AB1" s="96" t="s">
        <v>49</v>
      </c>
      <c r="AC1" s="96" t="s">
        <v>50</v>
      </c>
      <c r="AD1" s="96" t="s">
        <v>28</v>
      </c>
      <c r="AE1" s="96" t="s">
        <v>7440</v>
      </c>
    </row>
    <row r="2" spans="1:31" ht="14.4" customHeight="1" x14ac:dyDescent="0.3">
      <c r="A2" t="s">
        <v>144</v>
      </c>
      <c r="B2" t="s">
        <v>145</v>
      </c>
      <c r="C2"/>
      <c r="D2"/>
      <c r="E2"/>
      <c r="F2"/>
      <c r="G2" t="s">
        <v>141</v>
      </c>
      <c r="H2" t="s">
        <v>132</v>
      </c>
      <c r="I2" t="s">
        <v>1</v>
      </c>
      <c r="J2" t="s">
        <v>133</v>
      </c>
      <c r="K2" t="s">
        <v>51</v>
      </c>
      <c r="L2" t="s">
        <v>146</v>
      </c>
      <c r="M2" t="s">
        <v>134</v>
      </c>
      <c r="N2" t="s">
        <v>135</v>
      </c>
      <c r="O2"/>
      <c r="P2"/>
      <c r="Q2" t="s">
        <v>142</v>
      </c>
      <c r="R2"/>
      <c r="S2"/>
      <c r="T2"/>
      <c r="U2" t="s">
        <v>137</v>
      </c>
      <c r="V2" t="s">
        <v>147</v>
      </c>
      <c r="W2"/>
      <c r="X2" t="s">
        <v>70</v>
      </c>
      <c r="Y2"/>
      <c r="Z2"/>
      <c r="AA2" t="s">
        <v>143</v>
      </c>
      <c r="AB2" t="s">
        <v>1</v>
      </c>
      <c r="AC2" t="s">
        <v>138</v>
      </c>
      <c r="AD2" t="s">
        <v>128</v>
      </c>
      <c r="AE2" s="97"/>
    </row>
    <row r="3" spans="1:31" ht="14.4" customHeight="1" x14ac:dyDescent="0.3">
      <c r="A3" t="s">
        <v>148</v>
      </c>
      <c r="B3" t="s">
        <v>149</v>
      </c>
      <c r="C3"/>
      <c r="D3"/>
      <c r="E3"/>
      <c r="F3"/>
      <c r="G3" t="s">
        <v>141</v>
      </c>
      <c r="H3" t="s">
        <v>132</v>
      </c>
      <c r="I3" t="s">
        <v>1</v>
      </c>
      <c r="J3" t="s">
        <v>133</v>
      </c>
      <c r="K3" t="s">
        <v>51</v>
      </c>
      <c r="L3" t="s">
        <v>146</v>
      </c>
      <c r="M3" t="s">
        <v>134</v>
      </c>
      <c r="N3" t="s">
        <v>135</v>
      </c>
      <c r="O3"/>
      <c r="P3"/>
      <c r="Q3" t="s">
        <v>142</v>
      </c>
      <c r="R3"/>
      <c r="S3"/>
      <c r="T3"/>
      <c r="U3" t="s">
        <v>137</v>
      </c>
      <c r="V3" t="s">
        <v>150</v>
      </c>
      <c r="W3"/>
      <c r="X3" t="s">
        <v>76</v>
      </c>
      <c r="Y3"/>
      <c r="Z3"/>
      <c r="AA3" t="s">
        <v>143</v>
      </c>
      <c r="AB3" t="s">
        <v>1</v>
      </c>
      <c r="AC3" t="s">
        <v>138</v>
      </c>
      <c r="AD3" t="s">
        <v>128</v>
      </c>
      <c r="AE3" s="97"/>
    </row>
    <row r="4" spans="1:31" ht="14.4" customHeight="1" x14ac:dyDescent="0.3">
      <c r="A4" t="s">
        <v>151</v>
      </c>
      <c r="B4" t="s">
        <v>152</v>
      </c>
      <c r="C4"/>
      <c r="D4"/>
      <c r="E4"/>
      <c r="F4"/>
      <c r="G4" t="s">
        <v>141</v>
      </c>
      <c r="H4" t="s">
        <v>132</v>
      </c>
      <c r="I4" t="s">
        <v>1</v>
      </c>
      <c r="J4" t="s">
        <v>133</v>
      </c>
      <c r="K4" t="s">
        <v>51</v>
      </c>
      <c r="L4" t="s">
        <v>146</v>
      </c>
      <c r="M4" t="s">
        <v>134</v>
      </c>
      <c r="N4" t="s">
        <v>135</v>
      </c>
      <c r="O4"/>
      <c r="P4"/>
      <c r="Q4" t="s">
        <v>142</v>
      </c>
      <c r="R4"/>
      <c r="S4"/>
      <c r="T4"/>
      <c r="U4" t="s">
        <v>137</v>
      </c>
      <c r="V4" t="s">
        <v>153</v>
      </c>
      <c r="W4"/>
      <c r="X4" t="s">
        <v>88</v>
      </c>
      <c r="Y4"/>
      <c r="Z4"/>
      <c r="AA4" t="s">
        <v>143</v>
      </c>
      <c r="AB4" t="s">
        <v>1</v>
      </c>
      <c r="AC4" t="s">
        <v>138</v>
      </c>
      <c r="AD4" t="s">
        <v>129</v>
      </c>
      <c r="AE4" s="97"/>
    </row>
    <row r="5" spans="1:31" ht="14.4" customHeight="1" x14ac:dyDescent="0.3">
      <c r="A5" t="s">
        <v>154</v>
      </c>
      <c r="B5" t="s">
        <v>155</v>
      </c>
      <c r="C5"/>
      <c r="D5"/>
      <c r="E5"/>
      <c r="F5"/>
      <c r="G5" t="s">
        <v>141</v>
      </c>
      <c r="H5" t="s">
        <v>132</v>
      </c>
      <c r="I5" t="s">
        <v>1</v>
      </c>
      <c r="J5" t="s">
        <v>133</v>
      </c>
      <c r="K5" t="s">
        <v>51</v>
      </c>
      <c r="L5" t="s">
        <v>146</v>
      </c>
      <c r="M5" t="s">
        <v>134</v>
      </c>
      <c r="N5" t="s">
        <v>135</v>
      </c>
      <c r="O5"/>
      <c r="P5"/>
      <c r="Q5" t="s">
        <v>142</v>
      </c>
      <c r="R5"/>
      <c r="S5"/>
      <c r="T5"/>
      <c r="U5" t="s">
        <v>137</v>
      </c>
      <c r="V5" t="s">
        <v>156</v>
      </c>
      <c r="W5"/>
      <c r="X5" t="s">
        <v>97</v>
      </c>
      <c r="Y5"/>
      <c r="Z5"/>
      <c r="AA5" t="s">
        <v>143</v>
      </c>
      <c r="AB5" t="s">
        <v>1</v>
      </c>
      <c r="AC5" t="s">
        <v>138</v>
      </c>
      <c r="AD5" t="s">
        <v>129</v>
      </c>
      <c r="AE5" s="97"/>
    </row>
    <row r="6" spans="1:31" ht="14.4" customHeight="1" x14ac:dyDescent="0.3">
      <c r="A6" t="s">
        <v>157</v>
      </c>
      <c r="B6" t="s">
        <v>158</v>
      </c>
      <c r="C6"/>
      <c r="D6"/>
      <c r="E6"/>
      <c r="F6"/>
      <c r="G6" t="s">
        <v>141</v>
      </c>
      <c r="H6" t="s">
        <v>132</v>
      </c>
      <c r="I6" t="s">
        <v>1</v>
      </c>
      <c r="J6" t="s">
        <v>133</v>
      </c>
      <c r="K6" t="s">
        <v>51</v>
      </c>
      <c r="L6" t="s">
        <v>146</v>
      </c>
      <c r="M6" t="s">
        <v>134</v>
      </c>
      <c r="N6" t="s">
        <v>135</v>
      </c>
      <c r="O6"/>
      <c r="P6"/>
      <c r="Q6" t="s">
        <v>142</v>
      </c>
      <c r="R6"/>
      <c r="S6"/>
      <c r="T6"/>
      <c r="U6" t="s">
        <v>137</v>
      </c>
      <c r="V6" t="s">
        <v>159</v>
      </c>
      <c r="W6"/>
      <c r="X6" t="s">
        <v>106</v>
      </c>
      <c r="Y6"/>
      <c r="Z6"/>
      <c r="AA6" t="s">
        <v>143</v>
      </c>
      <c r="AB6" t="s">
        <v>1</v>
      </c>
      <c r="AC6" t="s">
        <v>138</v>
      </c>
      <c r="AD6" t="s">
        <v>129</v>
      </c>
      <c r="AE6" s="97"/>
    </row>
    <row r="7" spans="1:31" ht="14.4" customHeight="1" x14ac:dyDescent="0.3">
      <c r="A7" t="s">
        <v>160</v>
      </c>
      <c r="B7" t="s">
        <v>161</v>
      </c>
      <c r="C7"/>
      <c r="D7"/>
      <c r="E7"/>
      <c r="F7"/>
      <c r="G7" t="s">
        <v>141</v>
      </c>
      <c r="H7" t="s">
        <v>132</v>
      </c>
      <c r="I7" t="s">
        <v>1</v>
      </c>
      <c r="J7" t="s">
        <v>133</v>
      </c>
      <c r="K7" t="s">
        <v>51</v>
      </c>
      <c r="L7" t="s">
        <v>146</v>
      </c>
      <c r="M7" t="s">
        <v>134</v>
      </c>
      <c r="N7" t="s">
        <v>135</v>
      </c>
      <c r="O7"/>
      <c r="P7"/>
      <c r="Q7" t="s">
        <v>142</v>
      </c>
      <c r="R7"/>
      <c r="S7"/>
      <c r="T7"/>
      <c r="U7" t="s">
        <v>137</v>
      </c>
      <c r="V7" t="s">
        <v>162</v>
      </c>
      <c r="W7"/>
      <c r="X7" t="s">
        <v>113</v>
      </c>
      <c r="Y7"/>
      <c r="Z7"/>
      <c r="AA7" t="s">
        <v>143</v>
      </c>
      <c r="AB7" t="s">
        <v>1</v>
      </c>
      <c r="AC7" t="s">
        <v>138</v>
      </c>
      <c r="AD7" t="s">
        <v>129</v>
      </c>
      <c r="AE7" s="97"/>
    </row>
    <row r="8" spans="1:31" ht="14.4" customHeight="1" x14ac:dyDescent="0.3">
      <c r="A8" t="s">
        <v>163</v>
      </c>
      <c r="B8" t="s">
        <v>164</v>
      </c>
      <c r="C8"/>
      <c r="D8"/>
      <c r="E8"/>
      <c r="F8"/>
      <c r="G8" t="s">
        <v>141</v>
      </c>
      <c r="H8" t="s">
        <v>132</v>
      </c>
      <c r="I8" t="s">
        <v>1</v>
      </c>
      <c r="J8" t="s">
        <v>133</v>
      </c>
      <c r="K8" t="s">
        <v>51</v>
      </c>
      <c r="L8" t="s">
        <v>146</v>
      </c>
      <c r="M8" t="s">
        <v>134</v>
      </c>
      <c r="N8" t="s">
        <v>135</v>
      </c>
      <c r="O8"/>
      <c r="P8"/>
      <c r="Q8" t="s">
        <v>142</v>
      </c>
      <c r="R8"/>
      <c r="S8"/>
      <c r="T8"/>
      <c r="U8" t="s">
        <v>137</v>
      </c>
      <c r="V8" t="s">
        <v>165</v>
      </c>
      <c r="W8"/>
      <c r="X8" t="s">
        <v>122</v>
      </c>
      <c r="Y8"/>
      <c r="Z8"/>
      <c r="AA8" t="s">
        <v>143</v>
      </c>
      <c r="AB8" t="s">
        <v>1</v>
      </c>
      <c r="AC8" t="s">
        <v>138</v>
      </c>
      <c r="AD8" t="s">
        <v>130</v>
      </c>
      <c r="AE8" s="97"/>
    </row>
    <row r="9" spans="1:31" ht="14.4" customHeight="1" x14ac:dyDescent="0.3">
      <c r="A9" t="s">
        <v>171</v>
      </c>
      <c r="B9" t="s">
        <v>172</v>
      </c>
      <c r="C9"/>
      <c r="D9"/>
      <c r="E9"/>
      <c r="F9"/>
      <c r="G9" t="s">
        <v>167</v>
      </c>
      <c r="H9" t="s">
        <v>132</v>
      </c>
      <c r="I9" t="s">
        <v>1</v>
      </c>
      <c r="J9" t="s">
        <v>133</v>
      </c>
      <c r="K9" t="s">
        <v>51</v>
      </c>
      <c r="L9" t="s">
        <v>173</v>
      </c>
      <c r="M9" t="s">
        <v>134</v>
      </c>
      <c r="N9" t="s">
        <v>135</v>
      </c>
      <c r="O9"/>
      <c r="P9"/>
      <c r="Q9" t="s">
        <v>168</v>
      </c>
      <c r="R9"/>
      <c r="S9"/>
      <c r="T9" t="s">
        <v>169</v>
      </c>
      <c r="U9" t="s">
        <v>137</v>
      </c>
      <c r="V9" t="s">
        <v>147</v>
      </c>
      <c r="W9" s="9">
        <v>46088.478327858793</v>
      </c>
      <c r="X9" t="s">
        <v>70</v>
      </c>
      <c r="Y9"/>
      <c r="Z9"/>
      <c r="AA9" t="s">
        <v>170</v>
      </c>
      <c r="AB9" t="s">
        <v>1</v>
      </c>
      <c r="AC9" t="s">
        <v>24</v>
      </c>
      <c r="AD9" t="s">
        <v>128</v>
      </c>
      <c r="AE9" s="97"/>
    </row>
    <row r="10" spans="1:31" ht="14.4" customHeight="1" x14ac:dyDescent="0.3">
      <c r="A10" t="s">
        <v>174</v>
      </c>
      <c r="B10" t="s">
        <v>175</v>
      </c>
      <c r="C10"/>
      <c r="D10"/>
      <c r="E10"/>
      <c r="F10"/>
      <c r="G10" t="s">
        <v>167</v>
      </c>
      <c r="H10" t="s">
        <v>132</v>
      </c>
      <c r="I10" t="s">
        <v>1</v>
      </c>
      <c r="J10" t="s">
        <v>133</v>
      </c>
      <c r="K10" t="s">
        <v>51</v>
      </c>
      <c r="L10" t="s">
        <v>176</v>
      </c>
      <c r="M10" t="s">
        <v>134</v>
      </c>
      <c r="N10" t="s">
        <v>135</v>
      </c>
      <c r="O10"/>
      <c r="P10"/>
      <c r="Q10" t="s">
        <v>168</v>
      </c>
      <c r="R10"/>
      <c r="S10"/>
      <c r="T10" t="s">
        <v>169</v>
      </c>
      <c r="U10" t="s">
        <v>137</v>
      </c>
      <c r="V10" t="s">
        <v>150</v>
      </c>
      <c r="W10" s="9">
        <v>46088.483443900463</v>
      </c>
      <c r="X10" t="s">
        <v>76</v>
      </c>
      <c r="Y10"/>
      <c r="Z10"/>
      <c r="AA10" t="s">
        <v>170</v>
      </c>
      <c r="AB10" t="s">
        <v>1</v>
      </c>
      <c r="AC10" t="s">
        <v>24</v>
      </c>
      <c r="AD10" t="s">
        <v>128</v>
      </c>
      <c r="AE10" s="97"/>
    </row>
    <row r="11" spans="1:31" ht="14.4" customHeight="1" x14ac:dyDescent="0.3">
      <c r="A11" t="s">
        <v>177</v>
      </c>
      <c r="B11" t="s">
        <v>178</v>
      </c>
      <c r="C11"/>
      <c r="D11"/>
      <c r="E11"/>
      <c r="F11"/>
      <c r="G11" t="s">
        <v>167</v>
      </c>
      <c r="H11" t="s">
        <v>132</v>
      </c>
      <c r="I11" t="s">
        <v>1</v>
      </c>
      <c r="J11" t="s">
        <v>133</v>
      </c>
      <c r="K11" t="s">
        <v>51</v>
      </c>
      <c r="L11" t="s">
        <v>179</v>
      </c>
      <c r="M11" t="s">
        <v>134</v>
      </c>
      <c r="N11" t="s">
        <v>135</v>
      </c>
      <c r="O11"/>
      <c r="P11"/>
      <c r="Q11" t="s">
        <v>168</v>
      </c>
      <c r="R11"/>
      <c r="S11"/>
      <c r="T11" t="s">
        <v>169</v>
      </c>
      <c r="U11" t="s">
        <v>137</v>
      </c>
      <c r="V11" t="s">
        <v>153</v>
      </c>
      <c r="W11" s="9">
        <v>46088.48542326389</v>
      </c>
      <c r="X11" t="s">
        <v>88</v>
      </c>
      <c r="Y11"/>
      <c r="Z11"/>
      <c r="AA11" t="s">
        <v>170</v>
      </c>
      <c r="AB11" t="s">
        <v>1</v>
      </c>
      <c r="AC11" t="s">
        <v>24</v>
      </c>
      <c r="AD11" t="s">
        <v>129</v>
      </c>
      <c r="AE11" s="97"/>
    </row>
    <row r="12" spans="1:31" ht="14.4" customHeight="1" x14ac:dyDescent="0.3">
      <c r="A12" t="s">
        <v>180</v>
      </c>
      <c r="B12" t="s">
        <v>181</v>
      </c>
      <c r="C12"/>
      <c r="D12"/>
      <c r="E12"/>
      <c r="F12"/>
      <c r="G12" t="s">
        <v>167</v>
      </c>
      <c r="H12" t="s">
        <v>132</v>
      </c>
      <c r="I12" t="s">
        <v>1</v>
      </c>
      <c r="J12" t="s">
        <v>133</v>
      </c>
      <c r="K12" t="s">
        <v>51</v>
      </c>
      <c r="L12" t="s">
        <v>182</v>
      </c>
      <c r="M12" t="s">
        <v>134</v>
      </c>
      <c r="N12" t="s">
        <v>135</v>
      </c>
      <c r="O12"/>
      <c r="P12"/>
      <c r="Q12" t="s">
        <v>168</v>
      </c>
      <c r="R12"/>
      <c r="S12"/>
      <c r="T12" t="s">
        <v>169</v>
      </c>
      <c r="U12" t="s">
        <v>137</v>
      </c>
      <c r="V12" t="s">
        <v>156</v>
      </c>
      <c r="W12" s="9">
        <v>46088.487749687498</v>
      </c>
      <c r="X12" t="s">
        <v>97</v>
      </c>
      <c r="Y12"/>
      <c r="Z12"/>
      <c r="AA12" t="s">
        <v>170</v>
      </c>
      <c r="AB12" t="s">
        <v>1</v>
      </c>
      <c r="AC12" t="s">
        <v>24</v>
      </c>
      <c r="AD12" t="s">
        <v>129</v>
      </c>
      <c r="AE12" s="97"/>
    </row>
    <row r="13" spans="1:31" ht="14.4" customHeight="1" x14ac:dyDescent="0.3">
      <c r="A13" t="s">
        <v>183</v>
      </c>
      <c r="B13" t="s">
        <v>184</v>
      </c>
      <c r="C13"/>
      <c r="D13"/>
      <c r="E13"/>
      <c r="F13"/>
      <c r="G13" t="s">
        <v>167</v>
      </c>
      <c r="H13" t="s">
        <v>132</v>
      </c>
      <c r="I13" t="s">
        <v>1</v>
      </c>
      <c r="J13" t="s">
        <v>133</v>
      </c>
      <c r="K13" t="s">
        <v>51</v>
      </c>
      <c r="L13" t="s">
        <v>185</v>
      </c>
      <c r="M13" t="s">
        <v>134</v>
      </c>
      <c r="N13" t="s">
        <v>135</v>
      </c>
      <c r="O13"/>
      <c r="P13"/>
      <c r="Q13" t="s">
        <v>168</v>
      </c>
      <c r="R13"/>
      <c r="S13"/>
      <c r="T13" t="s">
        <v>169</v>
      </c>
      <c r="U13" t="s">
        <v>137</v>
      </c>
      <c r="V13" t="s">
        <v>159</v>
      </c>
      <c r="W13" s="9">
        <v>46088.490116516201</v>
      </c>
      <c r="X13" t="s">
        <v>106</v>
      </c>
      <c r="Y13"/>
      <c r="Z13"/>
      <c r="AA13" t="s">
        <v>170</v>
      </c>
      <c r="AB13" t="s">
        <v>1</v>
      </c>
      <c r="AC13" t="s">
        <v>24</v>
      </c>
      <c r="AD13" t="s">
        <v>129</v>
      </c>
      <c r="AE13" s="97"/>
    </row>
    <row r="14" spans="1:31" ht="14.4" customHeight="1" x14ac:dyDescent="0.3">
      <c r="A14" t="s">
        <v>186</v>
      </c>
      <c r="B14" t="s">
        <v>187</v>
      </c>
      <c r="C14"/>
      <c r="D14"/>
      <c r="E14"/>
      <c r="F14"/>
      <c r="G14" t="s">
        <v>167</v>
      </c>
      <c r="H14" t="s">
        <v>132</v>
      </c>
      <c r="I14" t="s">
        <v>1</v>
      </c>
      <c r="J14" t="s">
        <v>133</v>
      </c>
      <c r="K14" t="s">
        <v>51</v>
      </c>
      <c r="L14" t="s">
        <v>188</v>
      </c>
      <c r="M14" t="s">
        <v>134</v>
      </c>
      <c r="N14" t="s">
        <v>135</v>
      </c>
      <c r="O14"/>
      <c r="P14"/>
      <c r="Q14" t="s">
        <v>168</v>
      </c>
      <c r="R14"/>
      <c r="S14"/>
      <c r="T14" t="s">
        <v>169</v>
      </c>
      <c r="U14" t="s">
        <v>137</v>
      </c>
      <c r="V14" t="s">
        <v>162</v>
      </c>
      <c r="W14" s="9">
        <v>46088.492136076391</v>
      </c>
      <c r="X14" t="s">
        <v>113</v>
      </c>
      <c r="Y14"/>
      <c r="Z14"/>
      <c r="AA14" t="s">
        <v>170</v>
      </c>
      <c r="AB14" t="s">
        <v>1</v>
      </c>
      <c r="AC14" t="s">
        <v>24</v>
      </c>
      <c r="AD14" t="s">
        <v>129</v>
      </c>
      <c r="AE14" s="97"/>
    </row>
    <row r="15" spans="1:31" ht="14.4" customHeight="1" x14ac:dyDescent="0.3">
      <c r="A15" t="s">
        <v>189</v>
      </c>
      <c r="B15" t="s">
        <v>190</v>
      </c>
      <c r="C15"/>
      <c r="D15"/>
      <c r="E15"/>
      <c r="F15"/>
      <c r="G15" t="s">
        <v>167</v>
      </c>
      <c r="H15" t="s">
        <v>132</v>
      </c>
      <c r="I15" t="s">
        <v>1</v>
      </c>
      <c r="J15" t="s">
        <v>133</v>
      </c>
      <c r="K15" t="s">
        <v>51</v>
      </c>
      <c r="L15" t="s">
        <v>191</v>
      </c>
      <c r="M15" t="s">
        <v>134</v>
      </c>
      <c r="N15" t="s">
        <v>135</v>
      </c>
      <c r="O15"/>
      <c r="P15"/>
      <c r="Q15" t="s">
        <v>168</v>
      </c>
      <c r="R15"/>
      <c r="S15"/>
      <c r="T15" t="s">
        <v>169</v>
      </c>
      <c r="U15" t="s">
        <v>137</v>
      </c>
      <c r="V15" t="s">
        <v>165</v>
      </c>
      <c r="W15" s="9">
        <v>46088.49383684028</v>
      </c>
      <c r="X15" t="s">
        <v>122</v>
      </c>
      <c r="Y15"/>
      <c r="Z15"/>
      <c r="AA15" t="s">
        <v>170</v>
      </c>
      <c r="AB15" t="s">
        <v>1</v>
      </c>
      <c r="AC15" t="s">
        <v>24</v>
      </c>
      <c r="AD15" t="s">
        <v>130</v>
      </c>
      <c r="AE15" s="97"/>
    </row>
    <row r="16" spans="1:31" ht="14.4" customHeight="1" x14ac:dyDescent="0.3">
      <c r="A16" t="s">
        <v>192</v>
      </c>
      <c r="B16" t="s">
        <v>193</v>
      </c>
      <c r="C16"/>
      <c r="D16"/>
      <c r="E16"/>
      <c r="F16"/>
      <c r="G16" t="s">
        <v>167</v>
      </c>
      <c r="H16" t="s">
        <v>132</v>
      </c>
      <c r="I16" t="s">
        <v>1</v>
      </c>
      <c r="J16" t="s">
        <v>133</v>
      </c>
      <c r="K16" t="s">
        <v>51</v>
      </c>
      <c r="L16" t="s">
        <v>194</v>
      </c>
      <c r="M16" t="s">
        <v>134</v>
      </c>
      <c r="N16" t="s">
        <v>135</v>
      </c>
      <c r="O16"/>
      <c r="P16"/>
      <c r="Q16" t="s">
        <v>168</v>
      </c>
      <c r="R16"/>
      <c r="S16"/>
      <c r="T16" t="s">
        <v>169</v>
      </c>
      <c r="U16" t="s">
        <v>137</v>
      </c>
      <c r="V16" t="s">
        <v>147</v>
      </c>
      <c r="W16" s="9">
        <v>46136.342013541667</v>
      </c>
      <c r="X16" t="s">
        <v>70</v>
      </c>
      <c r="Y16"/>
      <c r="Z16"/>
      <c r="AA16" t="s">
        <v>170</v>
      </c>
      <c r="AB16" t="s">
        <v>1</v>
      </c>
      <c r="AC16" t="s">
        <v>24</v>
      </c>
      <c r="AD16" t="s">
        <v>128</v>
      </c>
      <c r="AE16" s="97"/>
    </row>
    <row r="17" spans="1:31" ht="14.4" customHeight="1" x14ac:dyDescent="0.3">
      <c r="A17" t="s">
        <v>195</v>
      </c>
      <c r="B17" t="s">
        <v>196</v>
      </c>
      <c r="C17"/>
      <c r="D17"/>
      <c r="E17"/>
      <c r="F17"/>
      <c r="G17" t="s">
        <v>167</v>
      </c>
      <c r="H17" t="s">
        <v>132</v>
      </c>
      <c r="I17" t="s">
        <v>1</v>
      </c>
      <c r="J17" t="s">
        <v>133</v>
      </c>
      <c r="K17" t="s">
        <v>51</v>
      </c>
      <c r="L17" t="s">
        <v>194</v>
      </c>
      <c r="M17" t="s">
        <v>134</v>
      </c>
      <c r="N17" t="s">
        <v>135</v>
      </c>
      <c r="O17"/>
      <c r="P17"/>
      <c r="Q17" t="s">
        <v>168</v>
      </c>
      <c r="R17"/>
      <c r="S17"/>
      <c r="T17" t="s">
        <v>169</v>
      </c>
      <c r="U17" t="s">
        <v>137</v>
      </c>
      <c r="V17" t="s">
        <v>147</v>
      </c>
      <c r="W17" s="9">
        <v>46136.541063773147</v>
      </c>
      <c r="X17" t="s">
        <v>70</v>
      </c>
      <c r="Y17"/>
      <c r="Z17"/>
      <c r="AA17" t="s">
        <v>170</v>
      </c>
      <c r="AB17" t="s">
        <v>1</v>
      </c>
      <c r="AC17" t="s">
        <v>24</v>
      </c>
      <c r="AD17" t="s">
        <v>128</v>
      </c>
      <c r="AE17" s="97"/>
    </row>
    <row r="18" spans="1:31" ht="14.4" customHeight="1" x14ac:dyDescent="0.3">
      <c r="A18" t="s">
        <v>197</v>
      </c>
      <c r="B18" t="s">
        <v>198</v>
      </c>
      <c r="C18"/>
      <c r="D18"/>
      <c r="E18"/>
      <c r="F18"/>
      <c r="G18" t="s">
        <v>167</v>
      </c>
      <c r="H18" t="s">
        <v>132</v>
      </c>
      <c r="I18" t="s">
        <v>1</v>
      </c>
      <c r="J18" t="s">
        <v>133</v>
      </c>
      <c r="K18" t="s">
        <v>51</v>
      </c>
      <c r="L18" t="s">
        <v>194</v>
      </c>
      <c r="M18" t="s">
        <v>134</v>
      </c>
      <c r="N18" t="s">
        <v>135</v>
      </c>
      <c r="O18"/>
      <c r="P18"/>
      <c r="Q18" t="s">
        <v>168</v>
      </c>
      <c r="R18"/>
      <c r="S18"/>
      <c r="T18" t="s">
        <v>169</v>
      </c>
      <c r="U18" t="s">
        <v>137</v>
      </c>
      <c r="V18" t="s">
        <v>147</v>
      </c>
      <c r="W18" s="9">
        <v>46136.541751932869</v>
      </c>
      <c r="X18" t="s">
        <v>70</v>
      </c>
      <c r="Y18"/>
      <c r="Z18"/>
      <c r="AA18" t="s">
        <v>170</v>
      </c>
      <c r="AB18" t="s">
        <v>1</v>
      </c>
      <c r="AC18" t="s">
        <v>24</v>
      </c>
      <c r="AD18" t="s">
        <v>128</v>
      </c>
      <c r="AE18" s="97"/>
    </row>
    <row r="19" spans="1:31" ht="14.4" customHeight="1" x14ac:dyDescent="0.3">
      <c r="A19" t="s">
        <v>199</v>
      </c>
      <c r="B19" t="s">
        <v>200</v>
      </c>
      <c r="C19"/>
      <c r="D19"/>
      <c r="E19"/>
      <c r="F19"/>
      <c r="G19" t="s">
        <v>167</v>
      </c>
      <c r="H19" t="s">
        <v>132</v>
      </c>
      <c r="I19" t="s">
        <v>1</v>
      </c>
      <c r="J19" t="s">
        <v>133</v>
      </c>
      <c r="K19" t="s">
        <v>51</v>
      </c>
      <c r="L19" t="s">
        <v>201</v>
      </c>
      <c r="M19" t="s">
        <v>134</v>
      </c>
      <c r="N19" t="s">
        <v>135</v>
      </c>
      <c r="O19"/>
      <c r="P19"/>
      <c r="Q19" t="s">
        <v>168</v>
      </c>
      <c r="R19"/>
      <c r="S19"/>
      <c r="T19" t="s">
        <v>169</v>
      </c>
      <c r="U19" t="s">
        <v>137</v>
      </c>
      <c r="V19" t="s">
        <v>150</v>
      </c>
      <c r="W19" s="9">
        <v>46136.542070219904</v>
      </c>
      <c r="X19" t="s">
        <v>76</v>
      </c>
      <c r="Y19"/>
      <c r="Z19"/>
      <c r="AA19" t="s">
        <v>170</v>
      </c>
      <c r="AB19" t="s">
        <v>1</v>
      </c>
      <c r="AC19" t="s">
        <v>24</v>
      </c>
      <c r="AD19" t="s">
        <v>128</v>
      </c>
      <c r="AE19" s="97"/>
    </row>
    <row r="20" spans="1:31" ht="14.4" customHeight="1" x14ac:dyDescent="0.3">
      <c r="A20" t="s">
        <v>202</v>
      </c>
      <c r="B20" t="s">
        <v>203</v>
      </c>
      <c r="C20"/>
      <c r="D20"/>
      <c r="E20"/>
      <c r="F20"/>
      <c r="G20" t="s">
        <v>167</v>
      </c>
      <c r="H20" t="s">
        <v>132</v>
      </c>
      <c r="I20" t="s">
        <v>1</v>
      </c>
      <c r="J20" t="s">
        <v>133</v>
      </c>
      <c r="K20" t="s">
        <v>51</v>
      </c>
      <c r="L20" t="s">
        <v>201</v>
      </c>
      <c r="M20" t="s">
        <v>134</v>
      </c>
      <c r="N20" t="s">
        <v>135</v>
      </c>
      <c r="O20"/>
      <c r="P20"/>
      <c r="Q20" t="s">
        <v>168</v>
      </c>
      <c r="R20"/>
      <c r="S20"/>
      <c r="T20" t="s">
        <v>169</v>
      </c>
      <c r="U20" t="s">
        <v>137</v>
      </c>
      <c r="V20" t="s">
        <v>150</v>
      </c>
      <c r="W20" s="9">
        <v>46136.542416238422</v>
      </c>
      <c r="X20" t="s">
        <v>76</v>
      </c>
      <c r="Y20"/>
      <c r="Z20"/>
      <c r="AA20" t="s">
        <v>170</v>
      </c>
      <c r="AB20" t="s">
        <v>1</v>
      </c>
      <c r="AC20" t="s">
        <v>24</v>
      </c>
      <c r="AD20" t="s">
        <v>128</v>
      </c>
      <c r="AE20" s="97"/>
    </row>
    <row r="21" spans="1:31" ht="14.4" customHeight="1" x14ac:dyDescent="0.3">
      <c r="A21" t="s">
        <v>204</v>
      </c>
      <c r="B21" t="s">
        <v>205</v>
      </c>
      <c r="C21"/>
      <c r="D21"/>
      <c r="E21"/>
      <c r="F21"/>
      <c r="G21" t="s">
        <v>167</v>
      </c>
      <c r="H21" t="s">
        <v>132</v>
      </c>
      <c r="I21" t="s">
        <v>1</v>
      </c>
      <c r="J21" t="s">
        <v>133</v>
      </c>
      <c r="K21" t="s">
        <v>51</v>
      </c>
      <c r="L21" t="s">
        <v>201</v>
      </c>
      <c r="M21" t="s">
        <v>134</v>
      </c>
      <c r="N21" t="s">
        <v>135</v>
      </c>
      <c r="O21"/>
      <c r="P21"/>
      <c r="Q21" t="s">
        <v>168</v>
      </c>
      <c r="R21"/>
      <c r="S21"/>
      <c r="T21" t="s">
        <v>169</v>
      </c>
      <c r="U21" t="s">
        <v>137</v>
      </c>
      <c r="V21" t="s">
        <v>150</v>
      </c>
      <c r="W21" s="9">
        <v>46136.574899884261</v>
      </c>
      <c r="X21" t="s">
        <v>76</v>
      </c>
      <c r="Y21"/>
      <c r="Z21"/>
      <c r="AA21" t="s">
        <v>170</v>
      </c>
      <c r="AB21" t="s">
        <v>1</v>
      </c>
      <c r="AC21" t="s">
        <v>24</v>
      </c>
      <c r="AD21" t="s">
        <v>128</v>
      </c>
      <c r="AE21" s="97"/>
    </row>
    <row r="22" spans="1:31" ht="14.4" customHeight="1" x14ac:dyDescent="0.3">
      <c r="A22" t="s">
        <v>206</v>
      </c>
      <c r="B22" t="s">
        <v>207</v>
      </c>
      <c r="C22"/>
      <c r="D22"/>
      <c r="E22"/>
      <c r="F22"/>
      <c r="G22" t="s">
        <v>167</v>
      </c>
      <c r="H22" t="s">
        <v>132</v>
      </c>
      <c r="I22" t="s">
        <v>1</v>
      </c>
      <c r="J22" t="s">
        <v>133</v>
      </c>
      <c r="K22" t="s">
        <v>51</v>
      </c>
      <c r="L22" t="s">
        <v>208</v>
      </c>
      <c r="M22" t="s">
        <v>134</v>
      </c>
      <c r="N22" t="s">
        <v>135</v>
      </c>
      <c r="O22"/>
      <c r="P22"/>
      <c r="Q22" t="s">
        <v>168</v>
      </c>
      <c r="R22"/>
      <c r="S22"/>
      <c r="T22" t="s">
        <v>169</v>
      </c>
      <c r="U22" t="s">
        <v>137</v>
      </c>
      <c r="V22" t="s">
        <v>153</v>
      </c>
      <c r="W22" s="9">
        <v>46136.575309108797</v>
      </c>
      <c r="X22" t="s">
        <v>88</v>
      </c>
      <c r="Y22"/>
      <c r="Z22"/>
      <c r="AA22" t="s">
        <v>170</v>
      </c>
      <c r="AB22" t="s">
        <v>1</v>
      </c>
      <c r="AC22" t="s">
        <v>24</v>
      </c>
      <c r="AD22" t="s">
        <v>129</v>
      </c>
      <c r="AE22" s="97"/>
    </row>
    <row r="23" spans="1:31" ht="14.4" customHeight="1" x14ac:dyDescent="0.3">
      <c r="A23" t="s">
        <v>209</v>
      </c>
      <c r="B23" t="s">
        <v>210</v>
      </c>
      <c r="C23"/>
      <c r="D23"/>
      <c r="E23"/>
      <c r="F23"/>
      <c r="G23" t="s">
        <v>167</v>
      </c>
      <c r="H23" t="s">
        <v>132</v>
      </c>
      <c r="I23" t="s">
        <v>1</v>
      </c>
      <c r="J23" t="s">
        <v>133</v>
      </c>
      <c r="K23" t="s">
        <v>51</v>
      </c>
      <c r="L23" t="s">
        <v>208</v>
      </c>
      <c r="M23" t="s">
        <v>134</v>
      </c>
      <c r="N23" t="s">
        <v>135</v>
      </c>
      <c r="O23"/>
      <c r="P23"/>
      <c r="Q23" t="s">
        <v>168</v>
      </c>
      <c r="R23"/>
      <c r="S23"/>
      <c r="T23" t="s">
        <v>169</v>
      </c>
      <c r="U23" t="s">
        <v>137</v>
      </c>
      <c r="V23" t="s">
        <v>153</v>
      </c>
      <c r="W23" s="9">
        <v>46136.575658530091</v>
      </c>
      <c r="X23" t="s">
        <v>88</v>
      </c>
      <c r="Y23"/>
      <c r="Z23"/>
      <c r="AA23" t="s">
        <v>170</v>
      </c>
      <c r="AB23" t="s">
        <v>1</v>
      </c>
      <c r="AC23" t="s">
        <v>24</v>
      </c>
      <c r="AD23" t="s">
        <v>129</v>
      </c>
      <c r="AE23" s="97"/>
    </row>
    <row r="24" spans="1:31" ht="14.4" customHeight="1" x14ac:dyDescent="0.3">
      <c r="A24" t="s">
        <v>211</v>
      </c>
      <c r="B24" t="s">
        <v>212</v>
      </c>
      <c r="C24"/>
      <c r="D24"/>
      <c r="E24"/>
      <c r="F24"/>
      <c r="G24" t="s">
        <v>167</v>
      </c>
      <c r="H24" t="s">
        <v>132</v>
      </c>
      <c r="I24" t="s">
        <v>1</v>
      </c>
      <c r="J24" t="s">
        <v>133</v>
      </c>
      <c r="K24" t="s">
        <v>51</v>
      </c>
      <c r="L24" t="s">
        <v>208</v>
      </c>
      <c r="M24" t="s">
        <v>134</v>
      </c>
      <c r="N24" t="s">
        <v>135</v>
      </c>
      <c r="O24"/>
      <c r="P24"/>
      <c r="Q24" t="s">
        <v>168</v>
      </c>
      <c r="R24"/>
      <c r="S24"/>
      <c r="T24" t="s">
        <v>169</v>
      </c>
      <c r="U24" t="s">
        <v>137</v>
      </c>
      <c r="V24" t="s">
        <v>153</v>
      </c>
      <c r="W24" s="9">
        <v>46136.34331585648</v>
      </c>
      <c r="X24" t="s">
        <v>88</v>
      </c>
      <c r="Y24"/>
      <c r="Z24"/>
      <c r="AA24" t="s">
        <v>170</v>
      </c>
      <c r="AB24" t="s">
        <v>1</v>
      </c>
      <c r="AC24" t="s">
        <v>24</v>
      </c>
      <c r="AD24" t="s">
        <v>129</v>
      </c>
      <c r="AE24" s="97"/>
    </row>
    <row r="25" spans="1:31" ht="14.4" customHeight="1" x14ac:dyDescent="0.3">
      <c r="A25" t="s">
        <v>213</v>
      </c>
      <c r="B25" t="s">
        <v>214</v>
      </c>
      <c r="C25"/>
      <c r="D25"/>
      <c r="E25"/>
      <c r="F25"/>
      <c r="G25" t="s">
        <v>167</v>
      </c>
      <c r="H25" t="s">
        <v>132</v>
      </c>
      <c r="I25" t="s">
        <v>1</v>
      </c>
      <c r="J25" t="s">
        <v>133</v>
      </c>
      <c r="K25" t="s">
        <v>51</v>
      </c>
      <c r="L25" t="s">
        <v>215</v>
      </c>
      <c r="M25" t="s">
        <v>134</v>
      </c>
      <c r="N25" t="s">
        <v>135</v>
      </c>
      <c r="O25"/>
      <c r="P25"/>
      <c r="Q25" t="s">
        <v>168</v>
      </c>
      <c r="R25"/>
      <c r="S25"/>
      <c r="T25" t="s">
        <v>169</v>
      </c>
      <c r="U25" t="s">
        <v>137</v>
      </c>
      <c r="V25" t="s">
        <v>156</v>
      </c>
      <c r="W25" s="9">
        <v>46136.343707210646</v>
      </c>
      <c r="X25" t="s">
        <v>97</v>
      </c>
      <c r="Y25"/>
      <c r="Z25"/>
      <c r="AA25" t="s">
        <v>170</v>
      </c>
      <c r="AB25" t="s">
        <v>1</v>
      </c>
      <c r="AC25" t="s">
        <v>24</v>
      </c>
      <c r="AD25" t="s">
        <v>129</v>
      </c>
      <c r="AE25" s="97"/>
    </row>
    <row r="26" spans="1:31" ht="14.4" customHeight="1" x14ac:dyDescent="0.3">
      <c r="A26" t="s">
        <v>216</v>
      </c>
      <c r="B26" t="s">
        <v>217</v>
      </c>
      <c r="C26"/>
      <c r="D26"/>
      <c r="E26"/>
      <c r="F26"/>
      <c r="G26" t="s">
        <v>167</v>
      </c>
      <c r="H26" t="s">
        <v>132</v>
      </c>
      <c r="I26" t="s">
        <v>1</v>
      </c>
      <c r="J26" t="s">
        <v>133</v>
      </c>
      <c r="K26" t="s">
        <v>51</v>
      </c>
      <c r="L26" t="s">
        <v>215</v>
      </c>
      <c r="M26" t="s">
        <v>134</v>
      </c>
      <c r="N26" t="s">
        <v>135</v>
      </c>
      <c r="O26"/>
      <c r="P26"/>
      <c r="Q26" t="s">
        <v>168</v>
      </c>
      <c r="R26"/>
      <c r="S26"/>
      <c r="T26" t="s">
        <v>169</v>
      </c>
      <c r="U26" t="s">
        <v>137</v>
      </c>
      <c r="V26" t="s">
        <v>156</v>
      </c>
      <c r="W26" s="9">
        <v>46136.344050034721</v>
      </c>
      <c r="X26" t="s">
        <v>97</v>
      </c>
      <c r="Y26"/>
      <c r="Z26"/>
      <c r="AA26" t="s">
        <v>170</v>
      </c>
      <c r="AB26" t="s">
        <v>1</v>
      </c>
      <c r="AC26" t="s">
        <v>24</v>
      </c>
      <c r="AD26" t="s">
        <v>129</v>
      </c>
      <c r="AE26" s="97"/>
    </row>
    <row r="27" spans="1:31" ht="14.4" customHeight="1" x14ac:dyDescent="0.3">
      <c r="A27" t="s">
        <v>218</v>
      </c>
      <c r="B27" t="s">
        <v>219</v>
      </c>
      <c r="C27"/>
      <c r="D27"/>
      <c r="E27"/>
      <c r="F27"/>
      <c r="G27" t="s">
        <v>167</v>
      </c>
      <c r="H27" t="s">
        <v>132</v>
      </c>
      <c r="I27" t="s">
        <v>1</v>
      </c>
      <c r="J27" t="s">
        <v>133</v>
      </c>
      <c r="K27" t="s">
        <v>51</v>
      </c>
      <c r="L27" t="s">
        <v>215</v>
      </c>
      <c r="M27" t="s">
        <v>134</v>
      </c>
      <c r="N27" t="s">
        <v>135</v>
      </c>
      <c r="O27"/>
      <c r="P27"/>
      <c r="Q27" t="s">
        <v>168</v>
      </c>
      <c r="R27"/>
      <c r="S27"/>
      <c r="T27" t="s">
        <v>169</v>
      </c>
      <c r="U27" t="s">
        <v>137</v>
      </c>
      <c r="V27" t="s">
        <v>156</v>
      </c>
      <c r="W27" s="9">
        <v>46136.344933912034</v>
      </c>
      <c r="X27" t="s">
        <v>97</v>
      </c>
      <c r="Y27"/>
      <c r="Z27"/>
      <c r="AA27" t="s">
        <v>170</v>
      </c>
      <c r="AB27" t="s">
        <v>1</v>
      </c>
      <c r="AC27" t="s">
        <v>24</v>
      </c>
      <c r="AD27" t="s">
        <v>129</v>
      </c>
      <c r="AE27" s="97"/>
    </row>
    <row r="28" spans="1:31" ht="14.4" customHeight="1" x14ac:dyDescent="0.3">
      <c r="A28" t="s">
        <v>220</v>
      </c>
      <c r="B28" t="s">
        <v>221</v>
      </c>
      <c r="C28"/>
      <c r="D28"/>
      <c r="E28"/>
      <c r="F28"/>
      <c r="G28" t="s">
        <v>167</v>
      </c>
      <c r="H28" t="s">
        <v>132</v>
      </c>
      <c r="I28" t="s">
        <v>1</v>
      </c>
      <c r="J28" t="s">
        <v>133</v>
      </c>
      <c r="K28" t="s">
        <v>51</v>
      </c>
      <c r="L28" t="s">
        <v>222</v>
      </c>
      <c r="M28" t="s">
        <v>134</v>
      </c>
      <c r="N28" t="s">
        <v>135</v>
      </c>
      <c r="O28"/>
      <c r="P28"/>
      <c r="Q28" t="s">
        <v>168</v>
      </c>
      <c r="R28"/>
      <c r="S28"/>
      <c r="T28" t="s">
        <v>169</v>
      </c>
      <c r="U28" t="s">
        <v>137</v>
      </c>
      <c r="V28" t="s">
        <v>159</v>
      </c>
      <c r="W28" s="9">
        <v>46136.34524047454</v>
      </c>
      <c r="X28" t="s">
        <v>106</v>
      </c>
      <c r="Y28"/>
      <c r="Z28"/>
      <c r="AA28" t="s">
        <v>170</v>
      </c>
      <c r="AB28" t="s">
        <v>1</v>
      </c>
      <c r="AC28" t="s">
        <v>24</v>
      </c>
      <c r="AD28" t="s">
        <v>129</v>
      </c>
      <c r="AE28" s="97"/>
    </row>
    <row r="29" spans="1:31" ht="14.4" customHeight="1" x14ac:dyDescent="0.3">
      <c r="A29" t="s">
        <v>223</v>
      </c>
      <c r="B29" t="s">
        <v>224</v>
      </c>
      <c r="C29"/>
      <c r="D29"/>
      <c r="E29"/>
      <c r="F29"/>
      <c r="G29" t="s">
        <v>167</v>
      </c>
      <c r="H29" t="s">
        <v>132</v>
      </c>
      <c r="I29" t="s">
        <v>1</v>
      </c>
      <c r="J29" t="s">
        <v>133</v>
      </c>
      <c r="K29" t="s">
        <v>51</v>
      </c>
      <c r="L29" t="s">
        <v>222</v>
      </c>
      <c r="M29" t="s">
        <v>134</v>
      </c>
      <c r="N29" t="s">
        <v>135</v>
      </c>
      <c r="O29"/>
      <c r="P29"/>
      <c r="Q29" t="s">
        <v>168</v>
      </c>
      <c r="R29"/>
      <c r="S29"/>
      <c r="T29" t="s">
        <v>169</v>
      </c>
      <c r="U29" t="s">
        <v>137</v>
      </c>
      <c r="V29" t="s">
        <v>159</v>
      </c>
      <c r="W29" s="9">
        <v>46136.349795451388</v>
      </c>
      <c r="X29" t="s">
        <v>106</v>
      </c>
      <c r="Y29"/>
      <c r="Z29"/>
      <c r="AA29" t="s">
        <v>170</v>
      </c>
      <c r="AB29" t="s">
        <v>1</v>
      </c>
      <c r="AC29" t="s">
        <v>24</v>
      </c>
      <c r="AD29" t="s">
        <v>129</v>
      </c>
      <c r="AE29" s="97"/>
    </row>
    <row r="30" spans="1:31" ht="14.4" customHeight="1" x14ac:dyDescent="0.3">
      <c r="A30" t="s">
        <v>225</v>
      </c>
      <c r="B30" t="s">
        <v>226</v>
      </c>
      <c r="C30"/>
      <c r="D30"/>
      <c r="E30"/>
      <c r="F30"/>
      <c r="G30" t="s">
        <v>167</v>
      </c>
      <c r="H30" t="s">
        <v>132</v>
      </c>
      <c r="I30" t="s">
        <v>1</v>
      </c>
      <c r="J30" t="s">
        <v>133</v>
      </c>
      <c r="K30" t="s">
        <v>51</v>
      </c>
      <c r="L30" t="s">
        <v>222</v>
      </c>
      <c r="M30" t="s">
        <v>134</v>
      </c>
      <c r="N30" t="s">
        <v>135</v>
      </c>
      <c r="O30"/>
      <c r="P30"/>
      <c r="Q30" t="s">
        <v>168</v>
      </c>
      <c r="R30"/>
      <c r="S30"/>
      <c r="T30" t="s">
        <v>169</v>
      </c>
      <c r="U30" t="s">
        <v>137</v>
      </c>
      <c r="V30" t="s">
        <v>159</v>
      </c>
      <c r="W30" s="9">
        <v>46136.355819872682</v>
      </c>
      <c r="X30" t="s">
        <v>106</v>
      </c>
      <c r="Y30"/>
      <c r="Z30"/>
      <c r="AA30" t="s">
        <v>170</v>
      </c>
      <c r="AB30" t="s">
        <v>1</v>
      </c>
      <c r="AC30" t="s">
        <v>24</v>
      </c>
      <c r="AD30" t="s">
        <v>129</v>
      </c>
      <c r="AE30" s="97"/>
    </row>
    <row r="31" spans="1:31" ht="14.4" customHeight="1" x14ac:dyDescent="0.3">
      <c r="A31" t="s">
        <v>227</v>
      </c>
      <c r="B31" t="s">
        <v>228</v>
      </c>
      <c r="C31"/>
      <c r="D31"/>
      <c r="E31"/>
      <c r="F31"/>
      <c r="G31" t="s">
        <v>167</v>
      </c>
      <c r="H31" t="s">
        <v>132</v>
      </c>
      <c r="I31" t="s">
        <v>1</v>
      </c>
      <c r="J31" t="s">
        <v>133</v>
      </c>
      <c r="K31" t="s">
        <v>51</v>
      </c>
      <c r="L31" t="s">
        <v>229</v>
      </c>
      <c r="M31" t="s">
        <v>134</v>
      </c>
      <c r="N31" t="s">
        <v>135</v>
      </c>
      <c r="O31"/>
      <c r="P31"/>
      <c r="Q31" t="s">
        <v>168</v>
      </c>
      <c r="R31"/>
      <c r="S31"/>
      <c r="T31" t="s">
        <v>169</v>
      </c>
      <c r="U31" t="s">
        <v>137</v>
      </c>
      <c r="V31" t="s">
        <v>162</v>
      </c>
      <c r="W31" s="9">
        <v>46136.356151273147</v>
      </c>
      <c r="X31" t="s">
        <v>113</v>
      </c>
      <c r="Y31"/>
      <c r="Z31"/>
      <c r="AA31" t="s">
        <v>170</v>
      </c>
      <c r="AB31" t="s">
        <v>1</v>
      </c>
      <c r="AC31" t="s">
        <v>24</v>
      </c>
      <c r="AD31" t="s">
        <v>129</v>
      </c>
      <c r="AE31" s="97"/>
    </row>
    <row r="32" spans="1:31" ht="14.4" customHeight="1" x14ac:dyDescent="0.3">
      <c r="A32" t="s">
        <v>230</v>
      </c>
      <c r="B32" t="s">
        <v>231</v>
      </c>
      <c r="C32"/>
      <c r="D32"/>
      <c r="E32"/>
      <c r="F32"/>
      <c r="G32" t="s">
        <v>167</v>
      </c>
      <c r="H32" t="s">
        <v>132</v>
      </c>
      <c r="I32" t="s">
        <v>1</v>
      </c>
      <c r="J32" t="s">
        <v>133</v>
      </c>
      <c r="K32" t="s">
        <v>51</v>
      </c>
      <c r="L32" t="s">
        <v>229</v>
      </c>
      <c r="M32" t="s">
        <v>134</v>
      </c>
      <c r="N32" t="s">
        <v>135</v>
      </c>
      <c r="O32"/>
      <c r="P32"/>
      <c r="Q32" t="s">
        <v>168</v>
      </c>
      <c r="R32"/>
      <c r="S32"/>
      <c r="T32" t="s">
        <v>169</v>
      </c>
      <c r="U32" t="s">
        <v>137</v>
      </c>
      <c r="V32" t="s">
        <v>162</v>
      </c>
      <c r="W32" s="9">
        <v>46136.356444942132</v>
      </c>
      <c r="X32" t="s">
        <v>113</v>
      </c>
      <c r="Y32"/>
      <c r="Z32"/>
      <c r="AA32" t="s">
        <v>170</v>
      </c>
      <c r="AB32" t="s">
        <v>1</v>
      </c>
      <c r="AC32" t="s">
        <v>24</v>
      </c>
      <c r="AD32" t="s">
        <v>129</v>
      </c>
      <c r="AE32" s="97"/>
    </row>
    <row r="33" spans="1:31" ht="14.4" customHeight="1" x14ac:dyDescent="0.3">
      <c r="A33" t="s">
        <v>232</v>
      </c>
      <c r="B33" t="s">
        <v>233</v>
      </c>
      <c r="C33"/>
      <c r="D33"/>
      <c r="E33"/>
      <c r="F33"/>
      <c r="G33" t="s">
        <v>167</v>
      </c>
      <c r="H33" t="s">
        <v>132</v>
      </c>
      <c r="I33" t="s">
        <v>1</v>
      </c>
      <c r="J33" t="s">
        <v>133</v>
      </c>
      <c r="K33" t="s">
        <v>51</v>
      </c>
      <c r="L33" t="s">
        <v>229</v>
      </c>
      <c r="M33" t="s">
        <v>134</v>
      </c>
      <c r="N33" t="s">
        <v>135</v>
      </c>
      <c r="O33"/>
      <c r="P33"/>
      <c r="Q33" t="s">
        <v>168</v>
      </c>
      <c r="R33"/>
      <c r="S33"/>
      <c r="T33" t="s">
        <v>169</v>
      </c>
      <c r="U33" t="s">
        <v>137</v>
      </c>
      <c r="V33" t="s">
        <v>162</v>
      </c>
      <c r="W33" s="9">
        <v>46136.356704247686</v>
      </c>
      <c r="X33" t="s">
        <v>113</v>
      </c>
      <c r="Y33"/>
      <c r="Z33"/>
      <c r="AA33" t="s">
        <v>170</v>
      </c>
      <c r="AB33" t="s">
        <v>1</v>
      </c>
      <c r="AC33" t="s">
        <v>24</v>
      </c>
      <c r="AD33" t="s">
        <v>129</v>
      </c>
      <c r="AE33" s="97"/>
    </row>
    <row r="34" spans="1:31" ht="14.4" customHeight="1" x14ac:dyDescent="0.3">
      <c r="A34" t="s">
        <v>234</v>
      </c>
      <c r="B34" t="s">
        <v>235</v>
      </c>
      <c r="C34"/>
      <c r="D34"/>
      <c r="E34"/>
      <c r="F34"/>
      <c r="G34" t="s">
        <v>167</v>
      </c>
      <c r="H34" t="s">
        <v>132</v>
      </c>
      <c r="I34" t="s">
        <v>1</v>
      </c>
      <c r="J34" t="s">
        <v>133</v>
      </c>
      <c r="K34" t="s">
        <v>51</v>
      </c>
      <c r="L34" t="s">
        <v>236</v>
      </c>
      <c r="M34" t="s">
        <v>134</v>
      </c>
      <c r="N34" t="s">
        <v>135</v>
      </c>
      <c r="O34"/>
      <c r="P34"/>
      <c r="Q34" t="s">
        <v>168</v>
      </c>
      <c r="R34"/>
      <c r="S34"/>
      <c r="T34" t="s">
        <v>169</v>
      </c>
      <c r="U34" t="s">
        <v>137</v>
      </c>
      <c r="V34" t="s">
        <v>165</v>
      </c>
      <c r="W34" s="9">
        <v>46136.357008993058</v>
      </c>
      <c r="X34" t="s">
        <v>122</v>
      </c>
      <c r="Y34"/>
      <c r="Z34"/>
      <c r="AA34" t="s">
        <v>170</v>
      </c>
      <c r="AB34" t="s">
        <v>1</v>
      </c>
      <c r="AC34" t="s">
        <v>24</v>
      </c>
      <c r="AD34" t="s">
        <v>130</v>
      </c>
      <c r="AE34" s="97"/>
    </row>
    <row r="35" spans="1:31" ht="14.4" customHeight="1" x14ac:dyDescent="0.3">
      <c r="A35" t="s">
        <v>237</v>
      </c>
      <c r="B35" t="s">
        <v>238</v>
      </c>
      <c r="C35"/>
      <c r="D35"/>
      <c r="E35"/>
      <c r="F35"/>
      <c r="G35" t="s">
        <v>167</v>
      </c>
      <c r="H35" t="s">
        <v>132</v>
      </c>
      <c r="I35" t="s">
        <v>1</v>
      </c>
      <c r="J35" t="s">
        <v>133</v>
      </c>
      <c r="K35" t="s">
        <v>51</v>
      </c>
      <c r="L35" t="s">
        <v>236</v>
      </c>
      <c r="M35" t="s">
        <v>134</v>
      </c>
      <c r="N35" t="s">
        <v>135</v>
      </c>
      <c r="O35"/>
      <c r="P35"/>
      <c r="Q35" t="s">
        <v>168</v>
      </c>
      <c r="R35"/>
      <c r="S35"/>
      <c r="T35" t="s">
        <v>169</v>
      </c>
      <c r="U35" t="s">
        <v>137</v>
      </c>
      <c r="V35" t="s">
        <v>165</v>
      </c>
      <c r="W35" s="9">
        <v>46136.357282789351</v>
      </c>
      <c r="X35" t="s">
        <v>122</v>
      </c>
      <c r="Y35"/>
      <c r="Z35"/>
      <c r="AA35" t="s">
        <v>170</v>
      </c>
      <c r="AB35" t="s">
        <v>1</v>
      </c>
      <c r="AC35" t="s">
        <v>24</v>
      </c>
      <c r="AD35" t="s">
        <v>130</v>
      </c>
      <c r="AE35" s="97"/>
    </row>
    <row r="36" spans="1:31" ht="14.4" customHeight="1" x14ac:dyDescent="0.3">
      <c r="A36" t="s">
        <v>239</v>
      </c>
      <c r="B36" t="s">
        <v>240</v>
      </c>
      <c r="C36"/>
      <c r="D36"/>
      <c r="E36"/>
      <c r="F36"/>
      <c r="G36" t="s">
        <v>167</v>
      </c>
      <c r="H36" t="s">
        <v>132</v>
      </c>
      <c r="I36" t="s">
        <v>1</v>
      </c>
      <c r="J36" t="s">
        <v>133</v>
      </c>
      <c r="K36" t="s">
        <v>51</v>
      </c>
      <c r="L36" t="s">
        <v>236</v>
      </c>
      <c r="M36" t="s">
        <v>134</v>
      </c>
      <c r="N36" t="s">
        <v>135</v>
      </c>
      <c r="O36"/>
      <c r="P36"/>
      <c r="Q36" t="s">
        <v>168</v>
      </c>
      <c r="R36"/>
      <c r="S36"/>
      <c r="T36" t="s">
        <v>169</v>
      </c>
      <c r="U36" t="s">
        <v>137</v>
      </c>
      <c r="V36" t="s">
        <v>165</v>
      </c>
      <c r="W36" s="9">
        <v>46136.357522916667</v>
      </c>
      <c r="X36" t="s">
        <v>122</v>
      </c>
      <c r="Y36"/>
      <c r="Z36"/>
      <c r="AA36" t="s">
        <v>170</v>
      </c>
      <c r="AB36" t="s">
        <v>1</v>
      </c>
      <c r="AC36" t="s">
        <v>24</v>
      </c>
      <c r="AD36" t="s">
        <v>130</v>
      </c>
      <c r="AE36" s="97"/>
    </row>
    <row r="37" spans="1:31" ht="14.4" customHeight="1" x14ac:dyDescent="0.3">
      <c r="A37" t="s">
        <v>241</v>
      </c>
      <c r="B37" t="s">
        <v>242</v>
      </c>
      <c r="C37"/>
      <c r="D37"/>
      <c r="E37"/>
      <c r="F37"/>
      <c r="G37" t="s">
        <v>167</v>
      </c>
      <c r="H37" t="s">
        <v>132</v>
      </c>
      <c r="I37" t="s">
        <v>1</v>
      </c>
      <c r="J37" t="s">
        <v>133</v>
      </c>
      <c r="K37" t="s">
        <v>51</v>
      </c>
      <c r="L37" t="s">
        <v>243</v>
      </c>
      <c r="M37" t="s">
        <v>134</v>
      </c>
      <c r="N37" t="s">
        <v>135</v>
      </c>
      <c r="O37"/>
      <c r="P37"/>
      <c r="Q37" t="s">
        <v>168</v>
      </c>
      <c r="R37"/>
      <c r="S37"/>
      <c r="T37" t="s">
        <v>169</v>
      </c>
      <c r="U37" t="s">
        <v>137</v>
      </c>
      <c r="V37" t="s">
        <v>147</v>
      </c>
      <c r="W37" s="9">
        <v>46071.541014849536</v>
      </c>
      <c r="X37" t="s">
        <v>70</v>
      </c>
      <c r="Y37"/>
      <c r="Z37"/>
      <c r="AA37" t="s">
        <v>170</v>
      </c>
      <c r="AB37" t="s">
        <v>1</v>
      </c>
      <c r="AC37" t="s">
        <v>24</v>
      </c>
      <c r="AD37" t="s">
        <v>128</v>
      </c>
      <c r="AE37" s="97"/>
    </row>
    <row r="38" spans="1:31" ht="14.4" customHeight="1" x14ac:dyDescent="0.3">
      <c r="A38" t="s">
        <v>244</v>
      </c>
      <c r="B38" t="s">
        <v>245</v>
      </c>
      <c r="C38"/>
      <c r="D38"/>
      <c r="E38"/>
      <c r="F38"/>
      <c r="G38" t="s">
        <v>167</v>
      </c>
      <c r="H38" t="s">
        <v>132</v>
      </c>
      <c r="I38" t="s">
        <v>1</v>
      </c>
      <c r="J38" t="s">
        <v>133</v>
      </c>
      <c r="K38" t="s">
        <v>51</v>
      </c>
      <c r="L38" t="s">
        <v>243</v>
      </c>
      <c r="M38" t="s">
        <v>134</v>
      </c>
      <c r="N38" t="s">
        <v>135</v>
      </c>
      <c r="O38"/>
      <c r="P38"/>
      <c r="Q38" t="s">
        <v>168</v>
      </c>
      <c r="R38"/>
      <c r="S38"/>
      <c r="T38" t="s">
        <v>169</v>
      </c>
      <c r="U38" t="s">
        <v>137</v>
      </c>
      <c r="V38" t="s">
        <v>147</v>
      </c>
      <c r="W38" s="9">
        <v>46071.543937152775</v>
      </c>
      <c r="X38" t="s">
        <v>70</v>
      </c>
      <c r="Y38"/>
      <c r="Z38"/>
      <c r="AA38" t="s">
        <v>170</v>
      </c>
      <c r="AB38" t="s">
        <v>1</v>
      </c>
      <c r="AC38" t="s">
        <v>24</v>
      </c>
      <c r="AD38" t="s">
        <v>128</v>
      </c>
      <c r="AE38" s="97"/>
    </row>
    <row r="39" spans="1:31" ht="14.4" customHeight="1" x14ac:dyDescent="0.3">
      <c r="A39" t="s">
        <v>246</v>
      </c>
      <c r="B39" t="s">
        <v>247</v>
      </c>
      <c r="C39"/>
      <c r="D39"/>
      <c r="E39"/>
      <c r="F39"/>
      <c r="G39" t="s">
        <v>167</v>
      </c>
      <c r="H39" t="s">
        <v>132</v>
      </c>
      <c r="I39" t="s">
        <v>1</v>
      </c>
      <c r="J39" t="s">
        <v>133</v>
      </c>
      <c r="K39" t="s">
        <v>51</v>
      </c>
      <c r="L39" t="s">
        <v>243</v>
      </c>
      <c r="M39" t="s">
        <v>134</v>
      </c>
      <c r="N39" t="s">
        <v>135</v>
      </c>
      <c r="O39"/>
      <c r="P39"/>
      <c r="Q39" t="s">
        <v>168</v>
      </c>
      <c r="R39"/>
      <c r="S39"/>
      <c r="T39" t="s">
        <v>169</v>
      </c>
      <c r="U39" t="s">
        <v>137</v>
      </c>
      <c r="V39" t="s">
        <v>147</v>
      </c>
      <c r="W39" s="9">
        <v>46071.545780671295</v>
      </c>
      <c r="X39" t="s">
        <v>70</v>
      </c>
      <c r="Y39"/>
      <c r="Z39"/>
      <c r="AA39" t="s">
        <v>170</v>
      </c>
      <c r="AB39" t="s">
        <v>1</v>
      </c>
      <c r="AC39" t="s">
        <v>24</v>
      </c>
      <c r="AD39" t="s">
        <v>128</v>
      </c>
      <c r="AE39" s="97"/>
    </row>
    <row r="40" spans="1:31" ht="14.4" customHeight="1" x14ac:dyDescent="0.3">
      <c r="A40" t="s">
        <v>248</v>
      </c>
      <c r="B40" t="s">
        <v>249</v>
      </c>
      <c r="C40"/>
      <c r="D40"/>
      <c r="E40"/>
      <c r="F40"/>
      <c r="G40" t="s">
        <v>167</v>
      </c>
      <c r="H40" t="s">
        <v>132</v>
      </c>
      <c r="I40" t="s">
        <v>1</v>
      </c>
      <c r="J40" t="s">
        <v>133</v>
      </c>
      <c r="K40" t="s">
        <v>51</v>
      </c>
      <c r="L40" t="s">
        <v>250</v>
      </c>
      <c r="M40" t="s">
        <v>134</v>
      </c>
      <c r="N40" t="s">
        <v>135</v>
      </c>
      <c r="O40"/>
      <c r="P40"/>
      <c r="Q40" t="s">
        <v>168</v>
      </c>
      <c r="R40"/>
      <c r="S40"/>
      <c r="T40" t="s">
        <v>169</v>
      </c>
      <c r="U40" t="s">
        <v>137</v>
      </c>
      <c r="V40" t="s">
        <v>150</v>
      </c>
      <c r="W40" s="9">
        <v>46071.547703668984</v>
      </c>
      <c r="X40" t="s">
        <v>76</v>
      </c>
      <c r="Y40"/>
      <c r="Z40"/>
      <c r="AA40" t="s">
        <v>170</v>
      </c>
      <c r="AB40" t="s">
        <v>1</v>
      </c>
      <c r="AC40" t="s">
        <v>24</v>
      </c>
      <c r="AD40" t="s">
        <v>128</v>
      </c>
      <c r="AE40" s="97"/>
    </row>
    <row r="41" spans="1:31" ht="14.4" customHeight="1" x14ac:dyDescent="0.3">
      <c r="A41" t="s">
        <v>251</v>
      </c>
      <c r="B41" t="s">
        <v>252</v>
      </c>
      <c r="C41"/>
      <c r="D41"/>
      <c r="E41"/>
      <c r="F41"/>
      <c r="G41" t="s">
        <v>167</v>
      </c>
      <c r="H41" t="s">
        <v>132</v>
      </c>
      <c r="I41" t="s">
        <v>1</v>
      </c>
      <c r="J41" t="s">
        <v>133</v>
      </c>
      <c r="K41" t="s">
        <v>51</v>
      </c>
      <c r="L41" t="s">
        <v>250</v>
      </c>
      <c r="M41" t="s">
        <v>134</v>
      </c>
      <c r="N41" t="s">
        <v>135</v>
      </c>
      <c r="O41"/>
      <c r="P41"/>
      <c r="Q41" t="s">
        <v>168</v>
      </c>
      <c r="R41"/>
      <c r="S41"/>
      <c r="T41" t="s">
        <v>169</v>
      </c>
      <c r="U41" t="s">
        <v>137</v>
      </c>
      <c r="V41" t="s">
        <v>150</v>
      </c>
      <c r="W41" s="9">
        <v>46071.548983252316</v>
      </c>
      <c r="X41" t="s">
        <v>76</v>
      </c>
      <c r="Y41"/>
      <c r="Z41"/>
      <c r="AA41" t="s">
        <v>170</v>
      </c>
      <c r="AB41" t="s">
        <v>1</v>
      </c>
      <c r="AC41" t="s">
        <v>24</v>
      </c>
      <c r="AD41" t="s">
        <v>128</v>
      </c>
      <c r="AE41" s="97"/>
    </row>
    <row r="42" spans="1:31" ht="14.4" customHeight="1" x14ac:dyDescent="0.3">
      <c r="A42" t="s">
        <v>253</v>
      </c>
      <c r="B42" t="s">
        <v>254</v>
      </c>
      <c r="C42"/>
      <c r="D42"/>
      <c r="E42"/>
      <c r="F42"/>
      <c r="G42" t="s">
        <v>167</v>
      </c>
      <c r="H42" t="s">
        <v>132</v>
      </c>
      <c r="I42" t="s">
        <v>1</v>
      </c>
      <c r="J42" t="s">
        <v>133</v>
      </c>
      <c r="K42" t="s">
        <v>51</v>
      </c>
      <c r="L42" t="s">
        <v>250</v>
      </c>
      <c r="M42" t="s">
        <v>134</v>
      </c>
      <c r="N42" t="s">
        <v>135</v>
      </c>
      <c r="O42"/>
      <c r="P42"/>
      <c r="Q42" t="s">
        <v>168</v>
      </c>
      <c r="R42"/>
      <c r="S42"/>
      <c r="T42" t="s">
        <v>169</v>
      </c>
      <c r="U42" t="s">
        <v>137</v>
      </c>
      <c r="V42" t="s">
        <v>150</v>
      </c>
      <c r="W42" s="9">
        <v>46071.550859803239</v>
      </c>
      <c r="X42" t="s">
        <v>76</v>
      </c>
      <c r="Y42"/>
      <c r="Z42"/>
      <c r="AA42" t="s">
        <v>170</v>
      </c>
      <c r="AB42" t="s">
        <v>1</v>
      </c>
      <c r="AC42" t="s">
        <v>24</v>
      </c>
      <c r="AD42" t="s">
        <v>128</v>
      </c>
      <c r="AE42" s="97"/>
    </row>
    <row r="43" spans="1:31" ht="14.4" customHeight="1" x14ac:dyDescent="0.3">
      <c r="A43" t="s">
        <v>255</v>
      </c>
      <c r="B43" t="s">
        <v>256</v>
      </c>
      <c r="C43"/>
      <c r="D43"/>
      <c r="E43"/>
      <c r="F43"/>
      <c r="G43" t="s">
        <v>167</v>
      </c>
      <c r="H43" t="s">
        <v>132</v>
      </c>
      <c r="I43" t="s">
        <v>1</v>
      </c>
      <c r="J43" t="s">
        <v>133</v>
      </c>
      <c r="K43" t="s">
        <v>51</v>
      </c>
      <c r="L43" t="s">
        <v>257</v>
      </c>
      <c r="M43" t="s">
        <v>134</v>
      </c>
      <c r="N43" t="s">
        <v>135</v>
      </c>
      <c r="O43"/>
      <c r="P43"/>
      <c r="Q43" t="s">
        <v>168</v>
      </c>
      <c r="R43"/>
      <c r="S43"/>
      <c r="T43" t="s">
        <v>169</v>
      </c>
      <c r="U43" t="s">
        <v>137</v>
      </c>
      <c r="V43" t="s">
        <v>153</v>
      </c>
      <c r="W43" s="9">
        <v>46072.526745173614</v>
      </c>
      <c r="X43" t="s">
        <v>88</v>
      </c>
      <c r="Y43"/>
      <c r="Z43"/>
      <c r="AA43" t="s">
        <v>170</v>
      </c>
      <c r="AB43" t="s">
        <v>1</v>
      </c>
      <c r="AC43" t="s">
        <v>24</v>
      </c>
      <c r="AD43" t="s">
        <v>129</v>
      </c>
      <c r="AE43" s="97"/>
    </row>
    <row r="44" spans="1:31" ht="14.4" customHeight="1" x14ac:dyDescent="0.3">
      <c r="A44" t="s">
        <v>258</v>
      </c>
      <c r="B44" t="s">
        <v>259</v>
      </c>
      <c r="C44"/>
      <c r="D44"/>
      <c r="E44"/>
      <c r="F44"/>
      <c r="G44" t="s">
        <v>167</v>
      </c>
      <c r="H44" t="s">
        <v>132</v>
      </c>
      <c r="I44" t="s">
        <v>1</v>
      </c>
      <c r="J44" t="s">
        <v>133</v>
      </c>
      <c r="K44" t="s">
        <v>51</v>
      </c>
      <c r="L44" t="s">
        <v>257</v>
      </c>
      <c r="M44" t="s">
        <v>134</v>
      </c>
      <c r="N44" t="s">
        <v>135</v>
      </c>
      <c r="O44"/>
      <c r="P44"/>
      <c r="Q44" t="s">
        <v>168</v>
      </c>
      <c r="R44"/>
      <c r="S44"/>
      <c r="T44" t="s">
        <v>169</v>
      </c>
      <c r="U44" t="s">
        <v>137</v>
      </c>
      <c r="V44" t="s">
        <v>153</v>
      </c>
      <c r="W44" s="9">
        <v>46072.527712268522</v>
      </c>
      <c r="X44" t="s">
        <v>88</v>
      </c>
      <c r="Y44"/>
      <c r="Z44"/>
      <c r="AA44" t="s">
        <v>170</v>
      </c>
      <c r="AB44" t="s">
        <v>1</v>
      </c>
      <c r="AC44" t="s">
        <v>24</v>
      </c>
      <c r="AD44" t="s">
        <v>129</v>
      </c>
      <c r="AE44" s="97"/>
    </row>
    <row r="45" spans="1:31" ht="14.4" customHeight="1" x14ac:dyDescent="0.3">
      <c r="A45" t="s">
        <v>260</v>
      </c>
      <c r="B45" t="s">
        <v>261</v>
      </c>
      <c r="C45"/>
      <c r="D45"/>
      <c r="E45"/>
      <c r="F45"/>
      <c r="G45" t="s">
        <v>167</v>
      </c>
      <c r="H45" t="s">
        <v>132</v>
      </c>
      <c r="I45" t="s">
        <v>1</v>
      </c>
      <c r="J45" t="s">
        <v>133</v>
      </c>
      <c r="K45" t="s">
        <v>51</v>
      </c>
      <c r="L45" t="s">
        <v>257</v>
      </c>
      <c r="M45" t="s">
        <v>134</v>
      </c>
      <c r="N45" t="s">
        <v>135</v>
      </c>
      <c r="O45"/>
      <c r="P45"/>
      <c r="Q45" t="s">
        <v>168</v>
      </c>
      <c r="R45"/>
      <c r="S45"/>
      <c r="T45" t="s">
        <v>169</v>
      </c>
      <c r="U45" t="s">
        <v>137</v>
      </c>
      <c r="V45" t="s">
        <v>153</v>
      </c>
      <c r="W45" s="9">
        <v>46072.531134687502</v>
      </c>
      <c r="X45" t="s">
        <v>88</v>
      </c>
      <c r="Y45"/>
      <c r="Z45"/>
      <c r="AA45" t="s">
        <v>170</v>
      </c>
      <c r="AB45" t="s">
        <v>1</v>
      </c>
      <c r="AC45" t="s">
        <v>24</v>
      </c>
      <c r="AD45" t="s">
        <v>129</v>
      </c>
      <c r="AE45" s="97"/>
    </row>
    <row r="46" spans="1:31" ht="14.4" customHeight="1" x14ac:dyDescent="0.3">
      <c r="A46" t="s">
        <v>262</v>
      </c>
      <c r="B46" t="s">
        <v>263</v>
      </c>
      <c r="C46"/>
      <c r="D46"/>
      <c r="E46"/>
      <c r="F46"/>
      <c r="G46" t="s">
        <v>167</v>
      </c>
      <c r="H46" t="s">
        <v>132</v>
      </c>
      <c r="I46" t="s">
        <v>1</v>
      </c>
      <c r="J46" t="s">
        <v>133</v>
      </c>
      <c r="K46" t="s">
        <v>51</v>
      </c>
      <c r="L46" t="s">
        <v>264</v>
      </c>
      <c r="M46" t="s">
        <v>134</v>
      </c>
      <c r="N46" t="s">
        <v>135</v>
      </c>
      <c r="O46"/>
      <c r="P46"/>
      <c r="Q46" t="s">
        <v>168</v>
      </c>
      <c r="R46"/>
      <c r="S46"/>
      <c r="T46" t="s">
        <v>169</v>
      </c>
      <c r="U46" t="s">
        <v>137</v>
      </c>
      <c r="V46" t="s">
        <v>156</v>
      </c>
      <c r="W46" s="9">
        <v>46072.532131215281</v>
      </c>
      <c r="X46" t="s">
        <v>97</v>
      </c>
      <c r="Y46"/>
      <c r="Z46"/>
      <c r="AA46" t="s">
        <v>170</v>
      </c>
      <c r="AB46" t="s">
        <v>1</v>
      </c>
      <c r="AC46" t="s">
        <v>24</v>
      </c>
      <c r="AD46" t="s">
        <v>129</v>
      </c>
      <c r="AE46" s="97"/>
    </row>
    <row r="47" spans="1:31" ht="14.4" customHeight="1" x14ac:dyDescent="0.3">
      <c r="A47" t="s">
        <v>265</v>
      </c>
      <c r="B47" t="s">
        <v>266</v>
      </c>
      <c r="C47"/>
      <c r="D47"/>
      <c r="E47"/>
      <c r="F47"/>
      <c r="G47" t="s">
        <v>167</v>
      </c>
      <c r="H47" t="s">
        <v>132</v>
      </c>
      <c r="I47" t="s">
        <v>1</v>
      </c>
      <c r="J47" t="s">
        <v>133</v>
      </c>
      <c r="K47" t="s">
        <v>51</v>
      </c>
      <c r="L47" t="s">
        <v>264</v>
      </c>
      <c r="M47" t="s">
        <v>134</v>
      </c>
      <c r="N47" t="s">
        <v>135</v>
      </c>
      <c r="O47"/>
      <c r="P47"/>
      <c r="Q47" t="s">
        <v>168</v>
      </c>
      <c r="R47"/>
      <c r="S47"/>
      <c r="T47" t="s">
        <v>169</v>
      </c>
      <c r="U47" t="s">
        <v>137</v>
      </c>
      <c r="V47" t="s">
        <v>156</v>
      </c>
      <c r="W47" s="9">
        <v>46072.533378738422</v>
      </c>
      <c r="X47" t="s">
        <v>97</v>
      </c>
      <c r="Y47"/>
      <c r="Z47"/>
      <c r="AA47" t="s">
        <v>170</v>
      </c>
      <c r="AB47" t="s">
        <v>1</v>
      </c>
      <c r="AC47" t="s">
        <v>24</v>
      </c>
      <c r="AD47" t="s">
        <v>129</v>
      </c>
      <c r="AE47" s="97"/>
    </row>
    <row r="48" spans="1:31" ht="14.4" customHeight="1" x14ac:dyDescent="0.3">
      <c r="A48" t="s">
        <v>267</v>
      </c>
      <c r="B48" t="s">
        <v>268</v>
      </c>
      <c r="C48"/>
      <c r="D48"/>
      <c r="E48"/>
      <c r="F48"/>
      <c r="G48" t="s">
        <v>167</v>
      </c>
      <c r="H48" t="s">
        <v>132</v>
      </c>
      <c r="I48" t="s">
        <v>1</v>
      </c>
      <c r="J48" t="s">
        <v>133</v>
      </c>
      <c r="K48" t="s">
        <v>51</v>
      </c>
      <c r="L48" t="s">
        <v>264</v>
      </c>
      <c r="M48" t="s">
        <v>134</v>
      </c>
      <c r="N48" t="s">
        <v>135</v>
      </c>
      <c r="O48"/>
      <c r="P48"/>
      <c r="Q48" t="s">
        <v>168</v>
      </c>
      <c r="R48"/>
      <c r="S48"/>
      <c r="T48" t="s">
        <v>169</v>
      </c>
      <c r="U48" t="s">
        <v>137</v>
      </c>
      <c r="V48" t="s">
        <v>156</v>
      </c>
      <c r="W48" s="9">
        <v>46072.534848807867</v>
      </c>
      <c r="X48" t="s">
        <v>97</v>
      </c>
      <c r="Y48"/>
      <c r="Z48"/>
      <c r="AA48" t="s">
        <v>170</v>
      </c>
      <c r="AB48" t="s">
        <v>1</v>
      </c>
      <c r="AC48" t="s">
        <v>24</v>
      </c>
      <c r="AD48" t="s">
        <v>129</v>
      </c>
      <c r="AE48" s="97"/>
    </row>
    <row r="49" spans="1:31" ht="14.4" customHeight="1" x14ac:dyDescent="0.3">
      <c r="A49" t="s">
        <v>269</v>
      </c>
      <c r="B49" t="s">
        <v>270</v>
      </c>
      <c r="C49"/>
      <c r="D49"/>
      <c r="E49"/>
      <c r="F49"/>
      <c r="G49" t="s">
        <v>167</v>
      </c>
      <c r="H49" t="s">
        <v>132</v>
      </c>
      <c r="I49" t="s">
        <v>1</v>
      </c>
      <c r="J49" t="s">
        <v>133</v>
      </c>
      <c r="K49" t="s">
        <v>51</v>
      </c>
      <c r="L49" t="s">
        <v>271</v>
      </c>
      <c r="M49" t="s">
        <v>134</v>
      </c>
      <c r="N49" t="s">
        <v>135</v>
      </c>
      <c r="O49"/>
      <c r="P49"/>
      <c r="Q49" t="s">
        <v>168</v>
      </c>
      <c r="R49"/>
      <c r="S49"/>
      <c r="T49" t="s">
        <v>169</v>
      </c>
      <c r="U49" t="s">
        <v>137</v>
      </c>
      <c r="V49" t="s">
        <v>159</v>
      </c>
      <c r="W49" s="9">
        <v>46072.535881828706</v>
      </c>
      <c r="X49" t="s">
        <v>106</v>
      </c>
      <c r="Y49"/>
      <c r="Z49"/>
      <c r="AA49" t="s">
        <v>170</v>
      </c>
      <c r="AB49" t="s">
        <v>1</v>
      </c>
      <c r="AC49" t="s">
        <v>24</v>
      </c>
      <c r="AD49" t="s">
        <v>129</v>
      </c>
      <c r="AE49" s="97"/>
    </row>
    <row r="50" spans="1:31" ht="14.4" customHeight="1" x14ac:dyDescent="0.3">
      <c r="A50" t="s">
        <v>272</v>
      </c>
      <c r="B50" t="s">
        <v>273</v>
      </c>
      <c r="C50"/>
      <c r="D50"/>
      <c r="E50"/>
      <c r="F50"/>
      <c r="G50" t="s">
        <v>167</v>
      </c>
      <c r="H50" t="s">
        <v>132</v>
      </c>
      <c r="I50" t="s">
        <v>1</v>
      </c>
      <c r="J50" t="s">
        <v>133</v>
      </c>
      <c r="K50" t="s">
        <v>51</v>
      </c>
      <c r="L50" t="s">
        <v>271</v>
      </c>
      <c r="M50" t="s">
        <v>134</v>
      </c>
      <c r="N50" t="s">
        <v>135</v>
      </c>
      <c r="O50"/>
      <c r="P50"/>
      <c r="Q50" t="s">
        <v>168</v>
      </c>
      <c r="R50"/>
      <c r="S50"/>
      <c r="T50" t="s">
        <v>169</v>
      </c>
      <c r="U50" t="s">
        <v>137</v>
      </c>
      <c r="V50" t="s">
        <v>159</v>
      </c>
      <c r="W50" s="9">
        <v>46072.536808530094</v>
      </c>
      <c r="X50" t="s">
        <v>106</v>
      </c>
      <c r="Y50"/>
      <c r="Z50"/>
      <c r="AA50" t="s">
        <v>170</v>
      </c>
      <c r="AB50" t="s">
        <v>1</v>
      </c>
      <c r="AC50" t="s">
        <v>24</v>
      </c>
      <c r="AD50" t="s">
        <v>129</v>
      </c>
      <c r="AE50" s="97"/>
    </row>
    <row r="51" spans="1:31" ht="14.4" customHeight="1" x14ac:dyDescent="0.3">
      <c r="A51" t="s">
        <v>274</v>
      </c>
      <c r="B51" t="s">
        <v>275</v>
      </c>
      <c r="C51"/>
      <c r="D51"/>
      <c r="E51"/>
      <c r="F51"/>
      <c r="G51" t="s">
        <v>167</v>
      </c>
      <c r="H51" t="s">
        <v>132</v>
      </c>
      <c r="I51" t="s">
        <v>1</v>
      </c>
      <c r="J51" t="s">
        <v>133</v>
      </c>
      <c r="K51" t="s">
        <v>51</v>
      </c>
      <c r="L51" t="s">
        <v>271</v>
      </c>
      <c r="M51" t="s">
        <v>134</v>
      </c>
      <c r="N51" t="s">
        <v>135</v>
      </c>
      <c r="O51"/>
      <c r="P51"/>
      <c r="Q51" t="s">
        <v>168</v>
      </c>
      <c r="R51"/>
      <c r="S51"/>
      <c r="T51" t="s">
        <v>169</v>
      </c>
      <c r="U51" t="s">
        <v>137</v>
      </c>
      <c r="V51" t="s">
        <v>159</v>
      </c>
      <c r="W51" s="9">
        <v>46072.537701157409</v>
      </c>
      <c r="X51" t="s">
        <v>106</v>
      </c>
      <c r="Y51"/>
      <c r="Z51"/>
      <c r="AA51" t="s">
        <v>170</v>
      </c>
      <c r="AB51" t="s">
        <v>1</v>
      </c>
      <c r="AC51" t="s">
        <v>24</v>
      </c>
      <c r="AD51" t="s">
        <v>129</v>
      </c>
      <c r="AE51" s="97"/>
    </row>
    <row r="52" spans="1:31" ht="14.4" customHeight="1" x14ac:dyDescent="0.3">
      <c r="A52" t="s">
        <v>276</v>
      </c>
      <c r="B52" t="s">
        <v>277</v>
      </c>
      <c r="C52"/>
      <c r="D52"/>
      <c r="E52"/>
      <c r="F52"/>
      <c r="G52" t="s">
        <v>167</v>
      </c>
      <c r="H52" t="s">
        <v>132</v>
      </c>
      <c r="I52" t="s">
        <v>1</v>
      </c>
      <c r="J52" t="s">
        <v>133</v>
      </c>
      <c r="K52" t="s">
        <v>51</v>
      </c>
      <c r="L52" t="s">
        <v>278</v>
      </c>
      <c r="M52" t="s">
        <v>134</v>
      </c>
      <c r="N52" t="s">
        <v>135</v>
      </c>
      <c r="O52"/>
      <c r="P52"/>
      <c r="Q52" t="s">
        <v>168</v>
      </c>
      <c r="R52"/>
      <c r="S52"/>
      <c r="T52" t="s">
        <v>169</v>
      </c>
      <c r="U52" t="s">
        <v>137</v>
      </c>
      <c r="V52" t="s">
        <v>162</v>
      </c>
      <c r="W52" s="9">
        <v>46072.538612418983</v>
      </c>
      <c r="X52" t="s">
        <v>113</v>
      </c>
      <c r="Y52"/>
      <c r="Z52"/>
      <c r="AA52" t="s">
        <v>170</v>
      </c>
      <c r="AB52" t="s">
        <v>1</v>
      </c>
      <c r="AC52" t="s">
        <v>24</v>
      </c>
      <c r="AD52" t="s">
        <v>129</v>
      </c>
      <c r="AE52" s="97"/>
    </row>
    <row r="53" spans="1:31" ht="14.4" customHeight="1" x14ac:dyDescent="0.3">
      <c r="A53" t="s">
        <v>279</v>
      </c>
      <c r="B53" t="s">
        <v>280</v>
      </c>
      <c r="C53"/>
      <c r="D53"/>
      <c r="E53"/>
      <c r="F53"/>
      <c r="G53" t="s">
        <v>167</v>
      </c>
      <c r="H53" t="s">
        <v>132</v>
      </c>
      <c r="I53" t="s">
        <v>1</v>
      </c>
      <c r="J53" t="s">
        <v>133</v>
      </c>
      <c r="K53" t="s">
        <v>51</v>
      </c>
      <c r="L53" t="s">
        <v>278</v>
      </c>
      <c r="M53" t="s">
        <v>134</v>
      </c>
      <c r="N53" t="s">
        <v>135</v>
      </c>
      <c r="O53"/>
      <c r="P53"/>
      <c r="Q53" t="s">
        <v>168</v>
      </c>
      <c r="R53"/>
      <c r="S53"/>
      <c r="T53" t="s">
        <v>169</v>
      </c>
      <c r="U53" t="s">
        <v>137</v>
      </c>
      <c r="V53" t="s">
        <v>162</v>
      </c>
      <c r="W53" s="9">
        <v>46072.539355520836</v>
      </c>
      <c r="X53" t="s">
        <v>113</v>
      </c>
      <c r="Y53"/>
      <c r="Z53"/>
      <c r="AA53" t="s">
        <v>170</v>
      </c>
      <c r="AB53" t="s">
        <v>1</v>
      </c>
      <c r="AC53" t="s">
        <v>24</v>
      </c>
      <c r="AD53" t="s">
        <v>129</v>
      </c>
      <c r="AE53" s="97"/>
    </row>
    <row r="54" spans="1:31" ht="14.4" customHeight="1" x14ac:dyDescent="0.3">
      <c r="A54" t="s">
        <v>281</v>
      </c>
      <c r="B54" t="s">
        <v>282</v>
      </c>
      <c r="C54"/>
      <c r="D54"/>
      <c r="E54"/>
      <c r="F54"/>
      <c r="G54" t="s">
        <v>167</v>
      </c>
      <c r="H54" t="s">
        <v>132</v>
      </c>
      <c r="I54" t="s">
        <v>1</v>
      </c>
      <c r="J54" t="s">
        <v>133</v>
      </c>
      <c r="K54" t="s">
        <v>51</v>
      </c>
      <c r="L54" t="s">
        <v>278</v>
      </c>
      <c r="M54" t="s">
        <v>134</v>
      </c>
      <c r="N54" t="s">
        <v>135</v>
      </c>
      <c r="O54"/>
      <c r="P54"/>
      <c r="Q54" t="s">
        <v>168</v>
      </c>
      <c r="R54"/>
      <c r="S54"/>
      <c r="T54" t="s">
        <v>169</v>
      </c>
      <c r="U54" t="s">
        <v>137</v>
      </c>
      <c r="V54" t="s">
        <v>162</v>
      </c>
      <c r="W54" s="9">
        <v>46072.540697141201</v>
      </c>
      <c r="X54" t="s">
        <v>113</v>
      </c>
      <c r="Y54"/>
      <c r="Z54"/>
      <c r="AA54" t="s">
        <v>170</v>
      </c>
      <c r="AB54" t="s">
        <v>1</v>
      </c>
      <c r="AC54" t="s">
        <v>24</v>
      </c>
      <c r="AD54" t="s">
        <v>129</v>
      </c>
      <c r="AE54" s="97"/>
    </row>
    <row r="55" spans="1:31" ht="14.4" customHeight="1" x14ac:dyDescent="0.3">
      <c r="A55" t="s">
        <v>283</v>
      </c>
      <c r="B55" t="s">
        <v>284</v>
      </c>
      <c r="C55"/>
      <c r="D55"/>
      <c r="E55"/>
      <c r="F55"/>
      <c r="G55" t="s">
        <v>167</v>
      </c>
      <c r="H55" t="s">
        <v>132</v>
      </c>
      <c r="I55" t="s">
        <v>1</v>
      </c>
      <c r="J55" t="s">
        <v>133</v>
      </c>
      <c r="K55" t="s">
        <v>51</v>
      </c>
      <c r="L55" t="s">
        <v>285</v>
      </c>
      <c r="M55" t="s">
        <v>134</v>
      </c>
      <c r="N55" t="s">
        <v>135</v>
      </c>
      <c r="O55"/>
      <c r="P55"/>
      <c r="Q55" t="s">
        <v>168</v>
      </c>
      <c r="R55"/>
      <c r="S55"/>
      <c r="T55" t="s">
        <v>169</v>
      </c>
      <c r="U55" t="s">
        <v>137</v>
      </c>
      <c r="V55" t="s">
        <v>165</v>
      </c>
      <c r="W55" s="9">
        <v>46075.469242511572</v>
      </c>
      <c r="X55" t="s">
        <v>122</v>
      </c>
      <c r="Y55"/>
      <c r="Z55"/>
      <c r="AA55" t="s">
        <v>170</v>
      </c>
      <c r="AB55" t="s">
        <v>1</v>
      </c>
      <c r="AC55" t="s">
        <v>24</v>
      </c>
      <c r="AD55" t="s">
        <v>130</v>
      </c>
      <c r="AE55" s="97"/>
    </row>
    <row r="56" spans="1:31" ht="14.4" customHeight="1" x14ac:dyDescent="0.3">
      <c r="A56" t="s">
        <v>286</v>
      </c>
      <c r="B56" t="s">
        <v>287</v>
      </c>
      <c r="C56"/>
      <c r="D56"/>
      <c r="E56"/>
      <c r="F56"/>
      <c r="G56" t="s">
        <v>167</v>
      </c>
      <c r="H56" t="s">
        <v>132</v>
      </c>
      <c r="I56" t="s">
        <v>1</v>
      </c>
      <c r="J56" t="s">
        <v>133</v>
      </c>
      <c r="K56" t="s">
        <v>51</v>
      </c>
      <c r="L56" t="s">
        <v>285</v>
      </c>
      <c r="M56" t="s">
        <v>134</v>
      </c>
      <c r="N56" t="s">
        <v>135</v>
      </c>
      <c r="O56"/>
      <c r="P56"/>
      <c r="Q56" t="s">
        <v>168</v>
      </c>
      <c r="R56"/>
      <c r="S56"/>
      <c r="T56" t="s">
        <v>169</v>
      </c>
      <c r="U56" t="s">
        <v>137</v>
      </c>
      <c r="V56" t="s">
        <v>165</v>
      </c>
      <c r="W56" s="9">
        <v>46075.470931284719</v>
      </c>
      <c r="X56" t="s">
        <v>122</v>
      </c>
      <c r="Y56"/>
      <c r="Z56"/>
      <c r="AA56" t="s">
        <v>170</v>
      </c>
      <c r="AB56" t="s">
        <v>1</v>
      </c>
      <c r="AC56" t="s">
        <v>24</v>
      </c>
      <c r="AD56" t="s">
        <v>130</v>
      </c>
      <c r="AE56" s="97"/>
    </row>
    <row r="57" spans="1:31" ht="14.4" customHeight="1" x14ac:dyDescent="0.3">
      <c r="A57" t="s">
        <v>288</v>
      </c>
      <c r="B57" t="s">
        <v>289</v>
      </c>
      <c r="C57"/>
      <c r="D57"/>
      <c r="E57"/>
      <c r="F57"/>
      <c r="G57" t="s">
        <v>167</v>
      </c>
      <c r="H57" t="s">
        <v>132</v>
      </c>
      <c r="I57" t="s">
        <v>1</v>
      </c>
      <c r="J57" t="s">
        <v>133</v>
      </c>
      <c r="K57" t="s">
        <v>51</v>
      </c>
      <c r="L57" t="s">
        <v>285</v>
      </c>
      <c r="M57" t="s">
        <v>134</v>
      </c>
      <c r="N57" t="s">
        <v>135</v>
      </c>
      <c r="O57"/>
      <c r="P57"/>
      <c r="Q57" t="s">
        <v>168</v>
      </c>
      <c r="R57"/>
      <c r="S57"/>
      <c r="T57" t="s">
        <v>169</v>
      </c>
      <c r="U57" t="s">
        <v>137</v>
      </c>
      <c r="V57" t="s">
        <v>165</v>
      </c>
      <c r="W57" s="9">
        <v>46075.472363854169</v>
      </c>
      <c r="X57" t="s">
        <v>122</v>
      </c>
      <c r="Y57"/>
      <c r="Z57"/>
      <c r="AA57" t="s">
        <v>170</v>
      </c>
      <c r="AB57" t="s">
        <v>1</v>
      </c>
      <c r="AC57" t="s">
        <v>24</v>
      </c>
      <c r="AD57" t="s">
        <v>130</v>
      </c>
      <c r="AE57" s="97"/>
    </row>
    <row r="58" spans="1:31" ht="14.4" customHeight="1" x14ac:dyDescent="0.3">
      <c r="A58" t="s">
        <v>293</v>
      </c>
      <c r="B58" t="s">
        <v>294</v>
      </c>
      <c r="C58"/>
      <c r="D58"/>
      <c r="E58"/>
      <c r="F58"/>
      <c r="G58" t="s">
        <v>290</v>
      </c>
      <c r="H58" t="s">
        <v>132</v>
      </c>
      <c r="I58" t="s">
        <v>1</v>
      </c>
      <c r="J58" t="s">
        <v>133</v>
      </c>
      <c r="K58" t="s">
        <v>51</v>
      </c>
      <c r="L58" t="s">
        <v>295</v>
      </c>
      <c r="M58" t="s">
        <v>134</v>
      </c>
      <c r="N58" t="s">
        <v>135</v>
      </c>
      <c r="O58"/>
      <c r="P58"/>
      <c r="Q58" t="s">
        <v>291</v>
      </c>
      <c r="R58"/>
      <c r="S58" t="s">
        <v>291</v>
      </c>
      <c r="T58"/>
      <c r="U58" t="s">
        <v>137</v>
      </c>
      <c r="V58" t="s">
        <v>296</v>
      </c>
      <c r="W58"/>
      <c r="X58" t="s">
        <v>63</v>
      </c>
      <c r="Y58"/>
      <c r="Z58"/>
      <c r="AA58" t="s">
        <v>292</v>
      </c>
      <c r="AB58" t="s">
        <v>1</v>
      </c>
      <c r="AC58" t="s">
        <v>138</v>
      </c>
      <c r="AD58" t="s">
        <v>128</v>
      </c>
      <c r="AE58" s="97"/>
    </row>
    <row r="59" spans="1:31" ht="14.4" customHeight="1" x14ac:dyDescent="0.3">
      <c r="A59" t="s">
        <v>297</v>
      </c>
      <c r="B59" t="s">
        <v>298</v>
      </c>
      <c r="C59"/>
      <c r="D59"/>
      <c r="E59"/>
      <c r="F59"/>
      <c r="G59" t="s">
        <v>290</v>
      </c>
      <c r="H59" t="s">
        <v>132</v>
      </c>
      <c r="I59" t="s">
        <v>1</v>
      </c>
      <c r="J59" t="s">
        <v>133</v>
      </c>
      <c r="K59" t="s">
        <v>51</v>
      </c>
      <c r="L59" t="s">
        <v>299</v>
      </c>
      <c r="M59" t="s">
        <v>134</v>
      </c>
      <c r="N59" t="s">
        <v>135</v>
      </c>
      <c r="O59"/>
      <c r="P59"/>
      <c r="Q59" t="s">
        <v>291</v>
      </c>
      <c r="R59"/>
      <c r="S59" t="s">
        <v>291</v>
      </c>
      <c r="T59"/>
      <c r="U59" t="s">
        <v>137</v>
      </c>
      <c r="V59" t="s">
        <v>300</v>
      </c>
      <c r="W59"/>
      <c r="X59" t="s">
        <v>72</v>
      </c>
      <c r="Y59"/>
      <c r="Z59"/>
      <c r="AA59" t="s">
        <v>292</v>
      </c>
      <c r="AB59" t="s">
        <v>1</v>
      </c>
      <c r="AC59" t="s">
        <v>138</v>
      </c>
      <c r="AD59" t="s">
        <v>128</v>
      </c>
      <c r="AE59" s="97"/>
    </row>
    <row r="60" spans="1:31" ht="14.4" customHeight="1" x14ac:dyDescent="0.3">
      <c r="A60" t="s">
        <v>301</v>
      </c>
      <c r="B60" t="s">
        <v>302</v>
      </c>
      <c r="C60"/>
      <c r="D60"/>
      <c r="E60"/>
      <c r="F60"/>
      <c r="G60" t="s">
        <v>290</v>
      </c>
      <c r="H60" t="s">
        <v>132</v>
      </c>
      <c r="I60" t="s">
        <v>1</v>
      </c>
      <c r="J60" t="s">
        <v>133</v>
      </c>
      <c r="K60" t="s">
        <v>51</v>
      </c>
      <c r="L60" t="s">
        <v>303</v>
      </c>
      <c r="M60" t="s">
        <v>134</v>
      </c>
      <c r="N60" t="s">
        <v>135</v>
      </c>
      <c r="O60"/>
      <c r="P60"/>
      <c r="Q60" t="s">
        <v>291</v>
      </c>
      <c r="R60"/>
      <c r="S60" t="s">
        <v>291</v>
      </c>
      <c r="T60"/>
      <c r="U60" t="s">
        <v>137</v>
      </c>
      <c r="V60" t="s">
        <v>304</v>
      </c>
      <c r="W60"/>
      <c r="X60" t="s">
        <v>81</v>
      </c>
      <c r="Y60"/>
      <c r="Z60"/>
      <c r="AA60" t="s">
        <v>292</v>
      </c>
      <c r="AB60" t="s">
        <v>1</v>
      </c>
      <c r="AC60" t="s">
        <v>138</v>
      </c>
      <c r="AD60" t="s">
        <v>129</v>
      </c>
      <c r="AE60" s="97"/>
    </row>
    <row r="61" spans="1:31" ht="14.4" customHeight="1" x14ac:dyDescent="0.3">
      <c r="A61" t="s">
        <v>305</v>
      </c>
      <c r="B61" t="s">
        <v>306</v>
      </c>
      <c r="C61"/>
      <c r="D61"/>
      <c r="E61"/>
      <c r="F61"/>
      <c r="G61" t="s">
        <v>290</v>
      </c>
      <c r="H61" t="s">
        <v>132</v>
      </c>
      <c r="I61" t="s">
        <v>1</v>
      </c>
      <c r="J61" t="s">
        <v>133</v>
      </c>
      <c r="K61" t="s">
        <v>51</v>
      </c>
      <c r="L61" t="s">
        <v>307</v>
      </c>
      <c r="M61" t="s">
        <v>134</v>
      </c>
      <c r="N61" t="s">
        <v>135</v>
      </c>
      <c r="O61"/>
      <c r="P61"/>
      <c r="Q61" t="s">
        <v>291</v>
      </c>
      <c r="R61"/>
      <c r="S61" t="s">
        <v>291</v>
      </c>
      <c r="T61"/>
      <c r="U61" t="s">
        <v>137</v>
      </c>
      <c r="V61" t="s">
        <v>308</v>
      </c>
      <c r="W61"/>
      <c r="X61" t="s">
        <v>90</v>
      </c>
      <c r="Y61"/>
      <c r="Z61"/>
      <c r="AA61" t="s">
        <v>292</v>
      </c>
      <c r="AB61" t="s">
        <v>1</v>
      </c>
      <c r="AC61" t="s">
        <v>138</v>
      </c>
      <c r="AD61" t="s">
        <v>129</v>
      </c>
      <c r="AE61" s="97"/>
    </row>
    <row r="62" spans="1:31" ht="14.4" customHeight="1" x14ac:dyDescent="0.3">
      <c r="A62" t="s">
        <v>309</v>
      </c>
      <c r="B62" t="s">
        <v>310</v>
      </c>
      <c r="C62"/>
      <c r="D62"/>
      <c r="E62"/>
      <c r="F62"/>
      <c r="G62" t="s">
        <v>290</v>
      </c>
      <c r="H62" t="s">
        <v>132</v>
      </c>
      <c r="I62" t="s">
        <v>1</v>
      </c>
      <c r="J62" t="s">
        <v>133</v>
      </c>
      <c r="K62" t="s">
        <v>51</v>
      </c>
      <c r="L62" t="s">
        <v>311</v>
      </c>
      <c r="M62" t="s">
        <v>134</v>
      </c>
      <c r="N62" t="s">
        <v>135</v>
      </c>
      <c r="O62"/>
      <c r="P62"/>
      <c r="Q62" t="s">
        <v>291</v>
      </c>
      <c r="R62"/>
      <c r="S62" t="s">
        <v>291</v>
      </c>
      <c r="T62"/>
      <c r="U62" t="s">
        <v>137</v>
      </c>
      <c r="V62" t="s">
        <v>312</v>
      </c>
      <c r="W62"/>
      <c r="X62" t="s">
        <v>99</v>
      </c>
      <c r="Y62"/>
      <c r="Z62"/>
      <c r="AA62" t="s">
        <v>292</v>
      </c>
      <c r="AB62" t="s">
        <v>1</v>
      </c>
      <c r="AC62" t="s">
        <v>138</v>
      </c>
      <c r="AD62" t="s">
        <v>129</v>
      </c>
      <c r="AE62" s="97"/>
    </row>
    <row r="63" spans="1:31" ht="14.4" customHeight="1" x14ac:dyDescent="0.3">
      <c r="A63" t="s">
        <v>313</v>
      </c>
      <c r="B63" t="s">
        <v>314</v>
      </c>
      <c r="C63"/>
      <c r="D63"/>
      <c r="E63"/>
      <c r="F63"/>
      <c r="G63" t="s">
        <v>290</v>
      </c>
      <c r="H63" t="s">
        <v>132</v>
      </c>
      <c r="I63" t="s">
        <v>1</v>
      </c>
      <c r="J63" t="s">
        <v>133</v>
      </c>
      <c r="K63" t="s">
        <v>51</v>
      </c>
      <c r="L63" t="s">
        <v>315</v>
      </c>
      <c r="M63" t="s">
        <v>134</v>
      </c>
      <c r="N63" t="s">
        <v>135</v>
      </c>
      <c r="O63"/>
      <c r="P63"/>
      <c r="Q63" t="s">
        <v>291</v>
      </c>
      <c r="R63"/>
      <c r="S63" t="s">
        <v>291</v>
      </c>
      <c r="T63"/>
      <c r="U63" t="s">
        <v>137</v>
      </c>
      <c r="V63" t="s">
        <v>316</v>
      </c>
      <c r="W63"/>
      <c r="X63" t="s">
        <v>108</v>
      </c>
      <c r="Y63"/>
      <c r="Z63"/>
      <c r="AA63" t="s">
        <v>292</v>
      </c>
      <c r="AB63" t="s">
        <v>1</v>
      </c>
      <c r="AC63" t="s">
        <v>138</v>
      </c>
      <c r="AD63" t="s">
        <v>129</v>
      </c>
      <c r="AE63" s="97"/>
    </row>
    <row r="64" spans="1:31" ht="14.4" customHeight="1" x14ac:dyDescent="0.3">
      <c r="A64" t="s">
        <v>317</v>
      </c>
      <c r="B64" t="s">
        <v>318</v>
      </c>
      <c r="C64"/>
      <c r="D64"/>
      <c r="E64"/>
      <c r="F64"/>
      <c r="G64" t="s">
        <v>290</v>
      </c>
      <c r="H64" t="s">
        <v>132</v>
      </c>
      <c r="I64" t="s">
        <v>1</v>
      </c>
      <c r="J64" t="s">
        <v>133</v>
      </c>
      <c r="K64" t="s">
        <v>51</v>
      </c>
      <c r="L64" t="s">
        <v>319</v>
      </c>
      <c r="M64" t="s">
        <v>134</v>
      </c>
      <c r="N64" t="s">
        <v>135</v>
      </c>
      <c r="O64"/>
      <c r="P64"/>
      <c r="Q64" t="s">
        <v>291</v>
      </c>
      <c r="R64"/>
      <c r="S64" t="s">
        <v>291</v>
      </c>
      <c r="T64"/>
      <c r="U64" t="s">
        <v>137</v>
      </c>
      <c r="V64" t="s">
        <v>320</v>
      </c>
      <c r="W64"/>
      <c r="X64" t="s">
        <v>117</v>
      </c>
      <c r="Y64"/>
      <c r="Z64"/>
      <c r="AA64" t="s">
        <v>292</v>
      </c>
      <c r="AB64" t="s">
        <v>1</v>
      </c>
      <c r="AC64" t="s">
        <v>138</v>
      </c>
      <c r="AD64" t="s">
        <v>130</v>
      </c>
      <c r="AE64" s="97"/>
    </row>
    <row r="65" spans="1:31" ht="14.4" customHeight="1" x14ac:dyDescent="0.3">
      <c r="A65" t="s">
        <v>321</v>
      </c>
      <c r="B65" t="s">
        <v>322</v>
      </c>
      <c r="C65"/>
      <c r="D65"/>
      <c r="E65"/>
      <c r="F65"/>
      <c r="G65" t="s">
        <v>290</v>
      </c>
      <c r="H65" t="s">
        <v>132</v>
      </c>
      <c r="I65" t="s">
        <v>1</v>
      </c>
      <c r="J65" t="s">
        <v>133</v>
      </c>
      <c r="K65" t="s">
        <v>51</v>
      </c>
      <c r="L65" t="s">
        <v>323</v>
      </c>
      <c r="M65" t="s">
        <v>134</v>
      </c>
      <c r="N65" t="s">
        <v>135</v>
      </c>
      <c r="O65"/>
      <c r="P65"/>
      <c r="Q65" t="s">
        <v>291</v>
      </c>
      <c r="R65"/>
      <c r="S65" t="s">
        <v>291</v>
      </c>
      <c r="T65"/>
      <c r="U65" t="s">
        <v>137</v>
      </c>
      <c r="V65" t="s">
        <v>324</v>
      </c>
      <c r="W65"/>
      <c r="X65" t="s">
        <v>60</v>
      </c>
      <c r="Y65"/>
      <c r="Z65"/>
      <c r="AA65" t="s">
        <v>292</v>
      </c>
      <c r="AB65" t="s">
        <v>1</v>
      </c>
      <c r="AC65" t="s">
        <v>138</v>
      </c>
      <c r="AD65" t="s">
        <v>128</v>
      </c>
      <c r="AE65" s="97"/>
    </row>
    <row r="66" spans="1:31" ht="14.4" customHeight="1" x14ac:dyDescent="0.3">
      <c r="A66" t="s">
        <v>325</v>
      </c>
      <c r="B66" t="s">
        <v>326</v>
      </c>
      <c r="C66"/>
      <c r="D66"/>
      <c r="E66"/>
      <c r="F66"/>
      <c r="G66" t="s">
        <v>290</v>
      </c>
      <c r="H66" t="s">
        <v>132</v>
      </c>
      <c r="I66" t="s">
        <v>1</v>
      </c>
      <c r="J66" t="s">
        <v>133</v>
      </c>
      <c r="K66" t="s">
        <v>51</v>
      </c>
      <c r="L66" t="s">
        <v>327</v>
      </c>
      <c r="M66" t="s">
        <v>134</v>
      </c>
      <c r="N66" t="s">
        <v>135</v>
      </c>
      <c r="O66"/>
      <c r="P66"/>
      <c r="Q66" t="s">
        <v>291</v>
      </c>
      <c r="R66"/>
      <c r="S66" t="s">
        <v>291</v>
      </c>
      <c r="T66"/>
      <c r="U66" t="s">
        <v>137</v>
      </c>
      <c r="V66" t="s">
        <v>328</v>
      </c>
      <c r="W66"/>
      <c r="X66" t="s">
        <v>65</v>
      </c>
      <c r="Y66"/>
      <c r="Z66"/>
      <c r="AA66" t="s">
        <v>292</v>
      </c>
      <c r="AB66" t="s">
        <v>1</v>
      </c>
      <c r="AC66" t="s">
        <v>138</v>
      </c>
      <c r="AD66" t="s">
        <v>128</v>
      </c>
      <c r="AE66" s="97"/>
    </row>
    <row r="67" spans="1:31" ht="14.4" customHeight="1" x14ac:dyDescent="0.3">
      <c r="A67" t="s">
        <v>329</v>
      </c>
      <c r="B67" t="s">
        <v>330</v>
      </c>
      <c r="C67"/>
      <c r="D67"/>
      <c r="E67"/>
      <c r="F67"/>
      <c r="G67" t="s">
        <v>290</v>
      </c>
      <c r="H67" t="s">
        <v>132</v>
      </c>
      <c r="I67" t="s">
        <v>1</v>
      </c>
      <c r="J67" t="s">
        <v>133</v>
      </c>
      <c r="K67" t="s">
        <v>51</v>
      </c>
      <c r="L67" t="s">
        <v>331</v>
      </c>
      <c r="M67" t="s">
        <v>134</v>
      </c>
      <c r="N67" t="s">
        <v>135</v>
      </c>
      <c r="O67"/>
      <c r="P67"/>
      <c r="Q67" t="s">
        <v>291</v>
      </c>
      <c r="R67"/>
      <c r="S67" t="s">
        <v>291</v>
      </c>
      <c r="T67"/>
      <c r="U67" t="s">
        <v>137</v>
      </c>
      <c r="V67" t="s">
        <v>332</v>
      </c>
      <c r="W67"/>
      <c r="X67" t="s">
        <v>80</v>
      </c>
      <c r="Y67"/>
      <c r="Z67"/>
      <c r="AA67" t="s">
        <v>292</v>
      </c>
      <c r="AB67" t="s">
        <v>1</v>
      </c>
      <c r="AC67" t="s">
        <v>138</v>
      </c>
      <c r="AD67" t="s">
        <v>129</v>
      </c>
      <c r="AE67" s="97"/>
    </row>
    <row r="68" spans="1:31" ht="14.4" customHeight="1" x14ac:dyDescent="0.3">
      <c r="A68" t="s">
        <v>333</v>
      </c>
      <c r="B68" t="s">
        <v>334</v>
      </c>
      <c r="C68"/>
      <c r="D68"/>
      <c r="E68"/>
      <c r="F68"/>
      <c r="G68" t="s">
        <v>290</v>
      </c>
      <c r="H68" t="s">
        <v>132</v>
      </c>
      <c r="I68" t="s">
        <v>1</v>
      </c>
      <c r="J68" t="s">
        <v>133</v>
      </c>
      <c r="K68" t="s">
        <v>51</v>
      </c>
      <c r="L68" t="s">
        <v>335</v>
      </c>
      <c r="M68" t="s">
        <v>134</v>
      </c>
      <c r="N68" t="s">
        <v>135</v>
      </c>
      <c r="O68"/>
      <c r="P68"/>
      <c r="Q68" t="s">
        <v>291</v>
      </c>
      <c r="R68"/>
      <c r="S68" t="s">
        <v>291</v>
      </c>
      <c r="T68"/>
      <c r="U68" t="s">
        <v>137</v>
      </c>
      <c r="V68" t="s">
        <v>336</v>
      </c>
      <c r="W68"/>
      <c r="X68" t="s">
        <v>84</v>
      </c>
      <c r="Y68"/>
      <c r="Z68"/>
      <c r="AA68" t="s">
        <v>292</v>
      </c>
      <c r="AB68" t="s">
        <v>1</v>
      </c>
      <c r="AC68" t="s">
        <v>138</v>
      </c>
      <c r="AD68" t="s">
        <v>129</v>
      </c>
      <c r="AE68" s="97"/>
    </row>
    <row r="69" spans="1:31" ht="14.4" customHeight="1" x14ac:dyDescent="0.3">
      <c r="A69" t="s">
        <v>337</v>
      </c>
      <c r="B69" t="s">
        <v>338</v>
      </c>
      <c r="C69"/>
      <c r="D69"/>
      <c r="E69"/>
      <c r="F69"/>
      <c r="G69" t="s">
        <v>290</v>
      </c>
      <c r="H69" t="s">
        <v>132</v>
      </c>
      <c r="I69" t="s">
        <v>1</v>
      </c>
      <c r="J69" t="s">
        <v>133</v>
      </c>
      <c r="K69" t="s">
        <v>51</v>
      </c>
      <c r="L69" t="s">
        <v>339</v>
      </c>
      <c r="M69" t="s">
        <v>134</v>
      </c>
      <c r="N69" t="s">
        <v>135</v>
      </c>
      <c r="O69"/>
      <c r="P69"/>
      <c r="Q69" t="s">
        <v>291</v>
      </c>
      <c r="R69"/>
      <c r="S69" t="s">
        <v>291</v>
      </c>
      <c r="T69"/>
      <c r="U69" t="s">
        <v>137</v>
      </c>
      <c r="V69" t="s">
        <v>340</v>
      </c>
      <c r="W69"/>
      <c r="X69" t="s">
        <v>93</v>
      </c>
      <c r="Y69"/>
      <c r="Z69"/>
      <c r="AA69" t="s">
        <v>292</v>
      </c>
      <c r="AB69" t="s">
        <v>1</v>
      </c>
      <c r="AC69" t="s">
        <v>138</v>
      </c>
      <c r="AD69" t="s">
        <v>129</v>
      </c>
      <c r="AE69" s="97"/>
    </row>
    <row r="70" spans="1:31" ht="14.4" customHeight="1" x14ac:dyDescent="0.3">
      <c r="A70" t="s">
        <v>341</v>
      </c>
      <c r="B70" t="s">
        <v>342</v>
      </c>
      <c r="C70"/>
      <c r="D70"/>
      <c r="E70"/>
      <c r="F70"/>
      <c r="G70" t="s">
        <v>290</v>
      </c>
      <c r="H70" t="s">
        <v>132</v>
      </c>
      <c r="I70" t="s">
        <v>1</v>
      </c>
      <c r="J70" t="s">
        <v>133</v>
      </c>
      <c r="K70" t="s">
        <v>51</v>
      </c>
      <c r="L70" t="s">
        <v>343</v>
      </c>
      <c r="M70" t="s">
        <v>134</v>
      </c>
      <c r="N70" t="s">
        <v>135</v>
      </c>
      <c r="O70"/>
      <c r="P70"/>
      <c r="Q70" t="s">
        <v>291</v>
      </c>
      <c r="R70"/>
      <c r="S70" t="s">
        <v>291</v>
      </c>
      <c r="T70"/>
      <c r="U70" t="s">
        <v>137</v>
      </c>
      <c r="V70" t="s">
        <v>344</v>
      </c>
      <c r="W70"/>
      <c r="X70" t="s">
        <v>102</v>
      </c>
      <c r="Y70"/>
      <c r="Z70"/>
      <c r="AA70" t="s">
        <v>292</v>
      </c>
      <c r="AB70" t="s">
        <v>1</v>
      </c>
      <c r="AC70" t="s">
        <v>138</v>
      </c>
      <c r="AD70" t="s">
        <v>129</v>
      </c>
      <c r="AE70" s="97"/>
    </row>
    <row r="71" spans="1:31" ht="14.4" customHeight="1" x14ac:dyDescent="0.3">
      <c r="A71" t="s">
        <v>345</v>
      </c>
      <c r="B71" t="s">
        <v>346</v>
      </c>
      <c r="C71"/>
      <c r="D71"/>
      <c r="E71"/>
      <c r="F71"/>
      <c r="G71" t="s">
        <v>290</v>
      </c>
      <c r="H71" t="s">
        <v>132</v>
      </c>
      <c r="I71" t="s">
        <v>1</v>
      </c>
      <c r="J71" t="s">
        <v>133</v>
      </c>
      <c r="K71" t="s">
        <v>51</v>
      </c>
      <c r="L71" t="s">
        <v>347</v>
      </c>
      <c r="M71" t="s">
        <v>134</v>
      </c>
      <c r="N71" t="s">
        <v>135</v>
      </c>
      <c r="O71"/>
      <c r="P71"/>
      <c r="Q71" t="s">
        <v>291</v>
      </c>
      <c r="R71"/>
      <c r="S71" t="s">
        <v>291</v>
      </c>
      <c r="T71"/>
      <c r="U71" t="s">
        <v>137</v>
      </c>
      <c r="V71" t="s">
        <v>348</v>
      </c>
      <c r="W71"/>
      <c r="X71" t="s">
        <v>116</v>
      </c>
      <c r="Y71"/>
      <c r="Z71"/>
      <c r="AA71" t="s">
        <v>292</v>
      </c>
      <c r="AB71" t="s">
        <v>1</v>
      </c>
      <c r="AC71" t="s">
        <v>138</v>
      </c>
      <c r="AD71" t="s">
        <v>130</v>
      </c>
      <c r="AE71" s="97"/>
    </row>
    <row r="72" spans="1:31" ht="14.4" customHeight="1" x14ac:dyDescent="0.3">
      <c r="A72" t="s">
        <v>349</v>
      </c>
      <c r="B72" t="s">
        <v>350</v>
      </c>
      <c r="C72"/>
      <c r="D72"/>
      <c r="E72"/>
      <c r="F72"/>
      <c r="G72" t="s">
        <v>290</v>
      </c>
      <c r="H72" t="s">
        <v>132</v>
      </c>
      <c r="I72" t="s">
        <v>1</v>
      </c>
      <c r="J72" t="s">
        <v>133</v>
      </c>
      <c r="K72" t="s">
        <v>51</v>
      </c>
      <c r="L72" t="s">
        <v>351</v>
      </c>
      <c r="M72" t="s">
        <v>134</v>
      </c>
      <c r="N72" t="s">
        <v>135</v>
      </c>
      <c r="O72"/>
      <c r="P72"/>
      <c r="Q72" t="s">
        <v>291</v>
      </c>
      <c r="R72"/>
      <c r="S72" t="s">
        <v>291</v>
      </c>
      <c r="T72"/>
      <c r="U72" t="s">
        <v>137</v>
      </c>
      <c r="V72" t="s">
        <v>352</v>
      </c>
      <c r="W72"/>
      <c r="X72" t="s">
        <v>56</v>
      </c>
      <c r="Y72"/>
      <c r="Z72"/>
      <c r="AA72" t="s">
        <v>292</v>
      </c>
      <c r="AB72" t="s">
        <v>1</v>
      </c>
      <c r="AC72" t="s">
        <v>138</v>
      </c>
      <c r="AD72" t="s">
        <v>128</v>
      </c>
      <c r="AE72" s="97"/>
    </row>
    <row r="73" spans="1:31" ht="14.4" customHeight="1" x14ac:dyDescent="0.3">
      <c r="A73" t="s">
        <v>353</v>
      </c>
      <c r="B73" t="s">
        <v>354</v>
      </c>
      <c r="C73"/>
      <c r="D73"/>
      <c r="E73"/>
      <c r="F73"/>
      <c r="G73" t="s">
        <v>290</v>
      </c>
      <c r="H73" t="s">
        <v>132</v>
      </c>
      <c r="I73" t="s">
        <v>1</v>
      </c>
      <c r="J73" t="s">
        <v>133</v>
      </c>
      <c r="K73" t="s">
        <v>51</v>
      </c>
      <c r="L73" t="s">
        <v>351</v>
      </c>
      <c r="M73" t="s">
        <v>134</v>
      </c>
      <c r="N73" t="s">
        <v>135</v>
      </c>
      <c r="O73"/>
      <c r="P73"/>
      <c r="Q73" t="s">
        <v>291</v>
      </c>
      <c r="R73"/>
      <c r="S73" t="s">
        <v>291</v>
      </c>
      <c r="T73"/>
      <c r="U73" t="s">
        <v>137</v>
      </c>
      <c r="V73" t="s">
        <v>352</v>
      </c>
      <c r="W73"/>
      <c r="X73" t="s">
        <v>56</v>
      </c>
      <c r="Y73"/>
      <c r="Z73"/>
      <c r="AA73" t="s">
        <v>292</v>
      </c>
      <c r="AB73" t="s">
        <v>1</v>
      </c>
      <c r="AC73" t="s">
        <v>138</v>
      </c>
      <c r="AD73" t="s">
        <v>128</v>
      </c>
      <c r="AE73" s="97"/>
    </row>
    <row r="74" spans="1:31" ht="14.4" customHeight="1" x14ac:dyDescent="0.3">
      <c r="A74" t="s">
        <v>6611</v>
      </c>
      <c r="B74" t="s">
        <v>6612</v>
      </c>
      <c r="C74"/>
      <c r="D74"/>
      <c r="E74"/>
      <c r="F74"/>
      <c r="G74" t="s">
        <v>290</v>
      </c>
      <c r="H74" t="s">
        <v>132</v>
      </c>
      <c r="I74" t="s">
        <v>1</v>
      </c>
      <c r="J74" t="s">
        <v>133</v>
      </c>
      <c r="K74" t="s">
        <v>51</v>
      </c>
      <c r="L74" t="s">
        <v>1278</v>
      </c>
      <c r="M74" t="s">
        <v>134</v>
      </c>
      <c r="N74" t="s">
        <v>135</v>
      </c>
      <c r="O74"/>
      <c r="P74"/>
      <c r="Q74" t="s">
        <v>291</v>
      </c>
      <c r="R74"/>
      <c r="S74" t="s">
        <v>291</v>
      </c>
      <c r="T74"/>
      <c r="U74" t="s">
        <v>137</v>
      </c>
      <c r="V74" t="s">
        <v>1279</v>
      </c>
      <c r="W74"/>
      <c r="X74" t="s">
        <v>71</v>
      </c>
      <c r="Y74"/>
      <c r="Z74"/>
      <c r="AA74" t="s">
        <v>292</v>
      </c>
      <c r="AB74" t="s">
        <v>1</v>
      </c>
      <c r="AC74" t="s">
        <v>138</v>
      </c>
      <c r="AD74" t="s">
        <v>128</v>
      </c>
      <c r="AE74" s="97"/>
    </row>
    <row r="75" spans="1:31" ht="14.4" customHeight="1" x14ac:dyDescent="0.3">
      <c r="A75" t="s">
        <v>6613</v>
      </c>
      <c r="B75" t="s">
        <v>6614</v>
      </c>
      <c r="C75"/>
      <c r="D75"/>
      <c r="E75"/>
      <c r="F75"/>
      <c r="G75" t="s">
        <v>290</v>
      </c>
      <c r="H75" t="s">
        <v>132</v>
      </c>
      <c r="I75" t="s">
        <v>1</v>
      </c>
      <c r="J75" t="s">
        <v>133</v>
      </c>
      <c r="K75" t="s">
        <v>51</v>
      </c>
      <c r="L75" t="s">
        <v>1278</v>
      </c>
      <c r="M75" t="s">
        <v>134</v>
      </c>
      <c r="N75" t="s">
        <v>135</v>
      </c>
      <c r="O75"/>
      <c r="P75"/>
      <c r="Q75" t="s">
        <v>291</v>
      </c>
      <c r="R75"/>
      <c r="S75" t="s">
        <v>291</v>
      </c>
      <c r="T75"/>
      <c r="U75" t="s">
        <v>137</v>
      </c>
      <c r="V75" t="s">
        <v>1279</v>
      </c>
      <c r="W75"/>
      <c r="X75" t="s">
        <v>71</v>
      </c>
      <c r="Y75"/>
      <c r="Z75"/>
      <c r="AA75" t="s">
        <v>292</v>
      </c>
      <c r="AB75" t="s">
        <v>1</v>
      </c>
      <c r="AC75" t="s">
        <v>138</v>
      </c>
      <c r="AD75" t="s">
        <v>128</v>
      </c>
      <c r="AE75" s="97"/>
    </row>
    <row r="76" spans="1:31" ht="14.4" customHeight="1" x14ac:dyDescent="0.3">
      <c r="A76" t="s">
        <v>6615</v>
      </c>
      <c r="B76" t="s">
        <v>6616</v>
      </c>
      <c r="C76"/>
      <c r="D76"/>
      <c r="E76"/>
      <c r="F76"/>
      <c r="G76" t="s">
        <v>290</v>
      </c>
      <c r="H76" t="s">
        <v>132</v>
      </c>
      <c r="I76" t="s">
        <v>1</v>
      </c>
      <c r="J76" t="s">
        <v>133</v>
      </c>
      <c r="K76" t="s">
        <v>51</v>
      </c>
      <c r="L76" t="s">
        <v>1282</v>
      </c>
      <c r="M76" t="s">
        <v>134</v>
      </c>
      <c r="N76" t="s">
        <v>135</v>
      </c>
      <c r="O76"/>
      <c r="P76"/>
      <c r="Q76" t="s">
        <v>291</v>
      </c>
      <c r="R76"/>
      <c r="S76" t="s">
        <v>291</v>
      </c>
      <c r="T76"/>
      <c r="U76" t="s">
        <v>137</v>
      </c>
      <c r="V76" t="s">
        <v>1283</v>
      </c>
      <c r="W76"/>
      <c r="X76" t="s">
        <v>78</v>
      </c>
      <c r="Y76"/>
      <c r="Z76"/>
      <c r="AA76" t="s">
        <v>292</v>
      </c>
      <c r="AB76" t="s">
        <v>1</v>
      </c>
      <c r="AC76" t="s">
        <v>138</v>
      </c>
      <c r="AD76" t="s">
        <v>128</v>
      </c>
      <c r="AE76" s="97"/>
    </row>
    <row r="77" spans="1:31" ht="14.4" customHeight="1" x14ac:dyDescent="0.3">
      <c r="A77" t="s">
        <v>6617</v>
      </c>
      <c r="B77" t="s">
        <v>6618</v>
      </c>
      <c r="C77"/>
      <c r="D77"/>
      <c r="E77"/>
      <c r="F77"/>
      <c r="G77" t="s">
        <v>290</v>
      </c>
      <c r="H77" t="s">
        <v>132</v>
      </c>
      <c r="I77" t="s">
        <v>1</v>
      </c>
      <c r="J77" t="s">
        <v>133</v>
      </c>
      <c r="K77" t="s">
        <v>51</v>
      </c>
      <c r="L77" t="s">
        <v>1282</v>
      </c>
      <c r="M77" t="s">
        <v>134</v>
      </c>
      <c r="N77" t="s">
        <v>135</v>
      </c>
      <c r="O77"/>
      <c r="P77"/>
      <c r="Q77" t="s">
        <v>291</v>
      </c>
      <c r="R77"/>
      <c r="S77" t="s">
        <v>291</v>
      </c>
      <c r="T77"/>
      <c r="U77" t="s">
        <v>137</v>
      </c>
      <c r="V77" t="s">
        <v>1283</v>
      </c>
      <c r="W77"/>
      <c r="X77" t="s">
        <v>78</v>
      </c>
      <c r="Y77"/>
      <c r="Z77"/>
      <c r="AA77" t="s">
        <v>292</v>
      </c>
      <c r="AB77" t="s">
        <v>1</v>
      </c>
      <c r="AC77" t="s">
        <v>138</v>
      </c>
      <c r="AD77" t="s">
        <v>128</v>
      </c>
      <c r="AE77" s="97"/>
    </row>
    <row r="78" spans="1:31" ht="14.4" customHeight="1" x14ac:dyDescent="0.3">
      <c r="A78" t="s">
        <v>6619</v>
      </c>
      <c r="B78" t="s">
        <v>6620</v>
      </c>
      <c r="C78"/>
      <c r="D78"/>
      <c r="E78"/>
      <c r="F78"/>
      <c r="G78" t="s">
        <v>290</v>
      </c>
      <c r="H78" t="s">
        <v>132</v>
      </c>
      <c r="I78" t="s">
        <v>1</v>
      </c>
      <c r="J78" t="s">
        <v>133</v>
      </c>
      <c r="K78" t="s">
        <v>51</v>
      </c>
      <c r="L78" t="s">
        <v>1286</v>
      </c>
      <c r="M78" t="s">
        <v>134</v>
      </c>
      <c r="N78" t="s">
        <v>135</v>
      </c>
      <c r="O78"/>
      <c r="P78"/>
      <c r="Q78" t="s">
        <v>291</v>
      </c>
      <c r="R78"/>
      <c r="S78" t="s">
        <v>291</v>
      </c>
      <c r="T78"/>
      <c r="U78" t="s">
        <v>137</v>
      </c>
      <c r="V78" t="s">
        <v>1287</v>
      </c>
      <c r="W78"/>
      <c r="X78" t="s">
        <v>89</v>
      </c>
      <c r="Y78"/>
      <c r="Z78"/>
      <c r="AA78" t="s">
        <v>292</v>
      </c>
      <c r="AB78" t="s">
        <v>1</v>
      </c>
      <c r="AC78" t="s">
        <v>138</v>
      </c>
      <c r="AD78" t="s">
        <v>129</v>
      </c>
      <c r="AE78" s="97"/>
    </row>
    <row r="79" spans="1:31" ht="14.4" customHeight="1" x14ac:dyDescent="0.3">
      <c r="A79" t="s">
        <v>6621</v>
      </c>
      <c r="B79" t="s">
        <v>6622</v>
      </c>
      <c r="C79"/>
      <c r="D79"/>
      <c r="E79"/>
      <c r="F79"/>
      <c r="G79" t="s">
        <v>290</v>
      </c>
      <c r="H79" t="s">
        <v>132</v>
      </c>
      <c r="I79" t="s">
        <v>1</v>
      </c>
      <c r="J79" t="s">
        <v>133</v>
      </c>
      <c r="K79" t="s">
        <v>51</v>
      </c>
      <c r="L79" t="s">
        <v>1286</v>
      </c>
      <c r="M79" t="s">
        <v>134</v>
      </c>
      <c r="N79" t="s">
        <v>135</v>
      </c>
      <c r="O79"/>
      <c r="P79"/>
      <c r="Q79" t="s">
        <v>291</v>
      </c>
      <c r="R79"/>
      <c r="S79" t="s">
        <v>291</v>
      </c>
      <c r="T79"/>
      <c r="U79" t="s">
        <v>137</v>
      </c>
      <c r="V79" t="s">
        <v>1287</v>
      </c>
      <c r="W79"/>
      <c r="X79" t="s">
        <v>89</v>
      </c>
      <c r="Y79"/>
      <c r="Z79"/>
      <c r="AA79" t="s">
        <v>292</v>
      </c>
      <c r="AB79" t="s">
        <v>1</v>
      </c>
      <c r="AC79" t="s">
        <v>138</v>
      </c>
      <c r="AD79" t="s">
        <v>129</v>
      </c>
      <c r="AE79" s="97"/>
    </row>
    <row r="80" spans="1:31" ht="14.4" customHeight="1" x14ac:dyDescent="0.3">
      <c r="A80" t="s">
        <v>6623</v>
      </c>
      <c r="B80" t="s">
        <v>6624</v>
      </c>
      <c r="C80"/>
      <c r="D80"/>
      <c r="E80"/>
      <c r="F80"/>
      <c r="G80" t="s">
        <v>290</v>
      </c>
      <c r="H80" t="s">
        <v>132</v>
      </c>
      <c r="I80" t="s">
        <v>1</v>
      </c>
      <c r="J80" t="s">
        <v>133</v>
      </c>
      <c r="K80" t="s">
        <v>51</v>
      </c>
      <c r="L80" t="s">
        <v>1290</v>
      </c>
      <c r="M80" t="s">
        <v>134</v>
      </c>
      <c r="N80" t="s">
        <v>135</v>
      </c>
      <c r="O80"/>
      <c r="P80"/>
      <c r="Q80" t="s">
        <v>291</v>
      </c>
      <c r="R80"/>
      <c r="S80" t="s">
        <v>291</v>
      </c>
      <c r="T80"/>
      <c r="U80" t="s">
        <v>137</v>
      </c>
      <c r="V80" t="s">
        <v>1291</v>
      </c>
      <c r="W80"/>
      <c r="X80" t="s">
        <v>98</v>
      </c>
      <c r="Y80"/>
      <c r="Z80"/>
      <c r="AA80" t="s">
        <v>292</v>
      </c>
      <c r="AB80" t="s">
        <v>1</v>
      </c>
      <c r="AC80" t="s">
        <v>138</v>
      </c>
      <c r="AD80" t="s">
        <v>129</v>
      </c>
      <c r="AE80" s="97"/>
    </row>
    <row r="81" spans="1:31" ht="14.4" customHeight="1" x14ac:dyDescent="0.3">
      <c r="A81" t="s">
        <v>6625</v>
      </c>
      <c r="B81" t="s">
        <v>6626</v>
      </c>
      <c r="C81"/>
      <c r="D81"/>
      <c r="E81"/>
      <c r="F81"/>
      <c r="G81" t="s">
        <v>290</v>
      </c>
      <c r="H81" t="s">
        <v>132</v>
      </c>
      <c r="I81" t="s">
        <v>1</v>
      </c>
      <c r="J81" t="s">
        <v>133</v>
      </c>
      <c r="K81" t="s">
        <v>51</v>
      </c>
      <c r="L81" t="s">
        <v>1290</v>
      </c>
      <c r="M81" t="s">
        <v>134</v>
      </c>
      <c r="N81" t="s">
        <v>135</v>
      </c>
      <c r="O81"/>
      <c r="P81"/>
      <c r="Q81" t="s">
        <v>291</v>
      </c>
      <c r="R81"/>
      <c r="S81" t="s">
        <v>291</v>
      </c>
      <c r="T81"/>
      <c r="U81" t="s">
        <v>137</v>
      </c>
      <c r="V81" t="s">
        <v>1291</v>
      </c>
      <c r="W81"/>
      <c r="X81" t="s">
        <v>98</v>
      </c>
      <c r="Y81"/>
      <c r="Z81"/>
      <c r="AA81" t="s">
        <v>292</v>
      </c>
      <c r="AB81" t="s">
        <v>1</v>
      </c>
      <c r="AC81" t="s">
        <v>138</v>
      </c>
      <c r="AD81" t="s">
        <v>129</v>
      </c>
      <c r="AE81" s="97"/>
    </row>
    <row r="82" spans="1:31" ht="14.4" customHeight="1" x14ac:dyDescent="0.3">
      <c r="A82" t="s">
        <v>6627</v>
      </c>
      <c r="B82" t="s">
        <v>6628</v>
      </c>
      <c r="C82"/>
      <c r="D82"/>
      <c r="E82"/>
      <c r="F82"/>
      <c r="G82" t="s">
        <v>290</v>
      </c>
      <c r="H82" t="s">
        <v>132</v>
      </c>
      <c r="I82" t="s">
        <v>1</v>
      </c>
      <c r="J82" t="s">
        <v>133</v>
      </c>
      <c r="K82" t="s">
        <v>51</v>
      </c>
      <c r="L82" t="s">
        <v>1294</v>
      </c>
      <c r="M82" t="s">
        <v>134</v>
      </c>
      <c r="N82" t="s">
        <v>135</v>
      </c>
      <c r="O82"/>
      <c r="P82"/>
      <c r="Q82" t="s">
        <v>291</v>
      </c>
      <c r="R82"/>
      <c r="S82" t="s">
        <v>291</v>
      </c>
      <c r="T82"/>
      <c r="U82" t="s">
        <v>137</v>
      </c>
      <c r="V82" t="s">
        <v>1295</v>
      </c>
      <c r="W82"/>
      <c r="X82" t="s">
        <v>107</v>
      </c>
      <c r="Y82"/>
      <c r="Z82"/>
      <c r="AA82" t="s">
        <v>292</v>
      </c>
      <c r="AB82" t="s">
        <v>1</v>
      </c>
      <c r="AC82" t="s">
        <v>138</v>
      </c>
      <c r="AD82" t="s">
        <v>129</v>
      </c>
      <c r="AE82" s="97"/>
    </row>
    <row r="83" spans="1:31" ht="14.4" customHeight="1" x14ac:dyDescent="0.3">
      <c r="A83" t="s">
        <v>6629</v>
      </c>
      <c r="B83" t="s">
        <v>6630</v>
      </c>
      <c r="C83"/>
      <c r="D83"/>
      <c r="E83"/>
      <c r="F83"/>
      <c r="G83" t="s">
        <v>290</v>
      </c>
      <c r="H83" t="s">
        <v>132</v>
      </c>
      <c r="I83" t="s">
        <v>1</v>
      </c>
      <c r="J83" t="s">
        <v>133</v>
      </c>
      <c r="K83" t="s">
        <v>51</v>
      </c>
      <c r="L83" t="s">
        <v>1294</v>
      </c>
      <c r="M83" t="s">
        <v>134</v>
      </c>
      <c r="N83" t="s">
        <v>135</v>
      </c>
      <c r="O83"/>
      <c r="P83"/>
      <c r="Q83" t="s">
        <v>291</v>
      </c>
      <c r="R83"/>
      <c r="S83" t="s">
        <v>291</v>
      </c>
      <c r="T83"/>
      <c r="U83" t="s">
        <v>137</v>
      </c>
      <c r="V83" t="s">
        <v>1295</v>
      </c>
      <c r="W83"/>
      <c r="X83" t="s">
        <v>107</v>
      </c>
      <c r="Y83"/>
      <c r="Z83"/>
      <c r="AA83" t="s">
        <v>292</v>
      </c>
      <c r="AB83" t="s">
        <v>1</v>
      </c>
      <c r="AC83" t="s">
        <v>138</v>
      </c>
      <c r="AD83" t="s">
        <v>129</v>
      </c>
      <c r="AE83" s="97"/>
    </row>
    <row r="84" spans="1:31" ht="14.4" customHeight="1" x14ac:dyDescent="0.3">
      <c r="A84" t="s">
        <v>6631</v>
      </c>
      <c r="B84" t="s">
        <v>6632</v>
      </c>
      <c r="C84"/>
      <c r="D84"/>
      <c r="E84"/>
      <c r="F84"/>
      <c r="G84" t="s">
        <v>290</v>
      </c>
      <c r="H84" t="s">
        <v>132</v>
      </c>
      <c r="I84" t="s">
        <v>1</v>
      </c>
      <c r="J84" t="s">
        <v>133</v>
      </c>
      <c r="K84" t="s">
        <v>51</v>
      </c>
      <c r="L84" t="s">
        <v>1298</v>
      </c>
      <c r="M84" t="s">
        <v>134</v>
      </c>
      <c r="N84" t="s">
        <v>135</v>
      </c>
      <c r="O84"/>
      <c r="P84"/>
      <c r="Q84" t="s">
        <v>291</v>
      </c>
      <c r="R84"/>
      <c r="S84" t="s">
        <v>291</v>
      </c>
      <c r="T84"/>
      <c r="U84" t="s">
        <v>137</v>
      </c>
      <c r="V84" t="s">
        <v>1299</v>
      </c>
      <c r="W84"/>
      <c r="X84" t="s">
        <v>114</v>
      </c>
      <c r="Y84"/>
      <c r="Z84"/>
      <c r="AA84" t="s">
        <v>292</v>
      </c>
      <c r="AB84" t="s">
        <v>1</v>
      </c>
      <c r="AC84" t="s">
        <v>138</v>
      </c>
      <c r="AD84" t="s">
        <v>129</v>
      </c>
      <c r="AE84" s="97"/>
    </row>
    <row r="85" spans="1:31" ht="14.4" customHeight="1" x14ac:dyDescent="0.3">
      <c r="A85" t="s">
        <v>6633</v>
      </c>
      <c r="B85" t="s">
        <v>6634</v>
      </c>
      <c r="C85"/>
      <c r="D85"/>
      <c r="E85"/>
      <c r="F85"/>
      <c r="G85" t="s">
        <v>290</v>
      </c>
      <c r="H85" t="s">
        <v>132</v>
      </c>
      <c r="I85" t="s">
        <v>1</v>
      </c>
      <c r="J85" t="s">
        <v>133</v>
      </c>
      <c r="K85" t="s">
        <v>51</v>
      </c>
      <c r="L85" t="s">
        <v>1298</v>
      </c>
      <c r="M85" t="s">
        <v>134</v>
      </c>
      <c r="N85" t="s">
        <v>135</v>
      </c>
      <c r="O85"/>
      <c r="P85"/>
      <c r="Q85" t="s">
        <v>291</v>
      </c>
      <c r="R85"/>
      <c r="S85" t="s">
        <v>291</v>
      </c>
      <c r="T85"/>
      <c r="U85" t="s">
        <v>137</v>
      </c>
      <c r="V85" t="s">
        <v>1299</v>
      </c>
      <c r="W85"/>
      <c r="X85" t="s">
        <v>114</v>
      </c>
      <c r="Y85"/>
      <c r="Z85"/>
      <c r="AA85" t="s">
        <v>292</v>
      </c>
      <c r="AB85" t="s">
        <v>1</v>
      </c>
      <c r="AC85" t="s">
        <v>138</v>
      </c>
      <c r="AD85" t="s">
        <v>129</v>
      </c>
      <c r="AE85" s="97"/>
    </row>
    <row r="86" spans="1:31" ht="14.4" customHeight="1" x14ac:dyDescent="0.3">
      <c r="A86" t="s">
        <v>6635</v>
      </c>
      <c r="B86" t="s">
        <v>6636</v>
      </c>
      <c r="C86"/>
      <c r="D86"/>
      <c r="E86"/>
      <c r="F86"/>
      <c r="G86" t="s">
        <v>290</v>
      </c>
      <c r="H86" t="s">
        <v>132</v>
      </c>
      <c r="I86" t="s">
        <v>1</v>
      </c>
      <c r="J86" t="s">
        <v>133</v>
      </c>
      <c r="K86" t="s">
        <v>51</v>
      </c>
      <c r="L86" t="s">
        <v>1302</v>
      </c>
      <c r="M86" t="s">
        <v>134</v>
      </c>
      <c r="N86" t="s">
        <v>135</v>
      </c>
      <c r="O86"/>
      <c r="P86"/>
      <c r="Q86" t="s">
        <v>291</v>
      </c>
      <c r="R86"/>
      <c r="S86" t="s">
        <v>291</v>
      </c>
      <c r="T86"/>
      <c r="U86" t="s">
        <v>137</v>
      </c>
      <c r="V86" t="s">
        <v>1303</v>
      </c>
      <c r="W86"/>
      <c r="X86" t="s">
        <v>123</v>
      </c>
      <c r="Y86"/>
      <c r="Z86"/>
      <c r="AA86" t="s">
        <v>292</v>
      </c>
      <c r="AB86" t="s">
        <v>1</v>
      </c>
      <c r="AC86" t="s">
        <v>138</v>
      </c>
      <c r="AD86" t="s">
        <v>130</v>
      </c>
      <c r="AE86" s="97"/>
    </row>
    <row r="87" spans="1:31" ht="14.4" customHeight="1" x14ac:dyDescent="0.3">
      <c r="A87" t="s">
        <v>6637</v>
      </c>
      <c r="B87" t="s">
        <v>6638</v>
      </c>
      <c r="C87"/>
      <c r="D87"/>
      <c r="E87"/>
      <c r="F87"/>
      <c r="G87" t="s">
        <v>290</v>
      </c>
      <c r="H87" t="s">
        <v>132</v>
      </c>
      <c r="I87" t="s">
        <v>1</v>
      </c>
      <c r="J87" t="s">
        <v>133</v>
      </c>
      <c r="K87" t="s">
        <v>51</v>
      </c>
      <c r="L87" t="s">
        <v>1302</v>
      </c>
      <c r="M87" t="s">
        <v>134</v>
      </c>
      <c r="N87" t="s">
        <v>135</v>
      </c>
      <c r="O87"/>
      <c r="P87"/>
      <c r="Q87" t="s">
        <v>291</v>
      </c>
      <c r="R87"/>
      <c r="S87" t="s">
        <v>291</v>
      </c>
      <c r="T87"/>
      <c r="U87" t="s">
        <v>137</v>
      </c>
      <c r="V87" t="s">
        <v>1303</v>
      </c>
      <c r="W87"/>
      <c r="X87" t="s">
        <v>123</v>
      </c>
      <c r="Y87"/>
      <c r="Z87"/>
      <c r="AA87" t="s">
        <v>292</v>
      </c>
      <c r="AB87" t="s">
        <v>1</v>
      </c>
      <c r="AC87" t="s">
        <v>138</v>
      </c>
      <c r="AD87" t="s">
        <v>130</v>
      </c>
      <c r="AE87" s="97"/>
    </row>
    <row r="88" spans="1:31" ht="14.4" customHeight="1" x14ac:dyDescent="0.3">
      <c r="A88" t="s">
        <v>6639</v>
      </c>
      <c r="B88" t="s">
        <v>6640</v>
      </c>
      <c r="C88"/>
      <c r="D88"/>
      <c r="E88"/>
      <c r="F88"/>
      <c r="G88" t="s">
        <v>290</v>
      </c>
      <c r="H88" t="s">
        <v>132</v>
      </c>
      <c r="I88" t="s">
        <v>1</v>
      </c>
      <c r="J88" t="s">
        <v>133</v>
      </c>
      <c r="K88" t="s">
        <v>51</v>
      </c>
      <c r="L88" t="s">
        <v>6641</v>
      </c>
      <c r="M88" t="s">
        <v>134</v>
      </c>
      <c r="N88" t="s">
        <v>135</v>
      </c>
      <c r="O88"/>
      <c r="P88"/>
      <c r="Q88" t="s">
        <v>291</v>
      </c>
      <c r="R88"/>
      <c r="S88" t="s">
        <v>291</v>
      </c>
      <c r="T88"/>
      <c r="U88" t="s">
        <v>137</v>
      </c>
      <c r="V88" t="s">
        <v>324</v>
      </c>
      <c r="W88"/>
      <c r="X88" t="s">
        <v>60</v>
      </c>
      <c r="Y88"/>
      <c r="Z88"/>
      <c r="AA88" t="s">
        <v>292</v>
      </c>
      <c r="AB88" t="s">
        <v>1</v>
      </c>
      <c r="AC88" t="s">
        <v>138</v>
      </c>
      <c r="AD88" t="s">
        <v>128</v>
      </c>
      <c r="AE88" s="97"/>
    </row>
    <row r="89" spans="1:31" ht="14.4" customHeight="1" x14ac:dyDescent="0.3">
      <c r="A89" t="s">
        <v>6642</v>
      </c>
      <c r="B89" t="s">
        <v>6643</v>
      </c>
      <c r="C89"/>
      <c r="D89"/>
      <c r="E89"/>
      <c r="F89"/>
      <c r="G89" t="s">
        <v>290</v>
      </c>
      <c r="H89" t="s">
        <v>132</v>
      </c>
      <c r="I89" t="s">
        <v>1</v>
      </c>
      <c r="J89" t="s">
        <v>133</v>
      </c>
      <c r="K89" t="s">
        <v>51</v>
      </c>
      <c r="L89" t="s">
        <v>6644</v>
      </c>
      <c r="M89" t="s">
        <v>134</v>
      </c>
      <c r="N89" t="s">
        <v>135</v>
      </c>
      <c r="O89"/>
      <c r="P89"/>
      <c r="Q89" t="s">
        <v>291</v>
      </c>
      <c r="R89"/>
      <c r="S89" t="s">
        <v>291</v>
      </c>
      <c r="T89"/>
      <c r="U89" t="s">
        <v>137</v>
      </c>
      <c r="V89" t="s">
        <v>332</v>
      </c>
      <c r="W89"/>
      <c r="X89" t="s">
        <v>80</v>
      </c>
      <c r="Y89"/>
      <c r="Z89"/>
      <c r="AA89" t="s">
        <v>292</v>
      </c>
      <c r="AB89" t="s">
        <v>1</v>
      </c>
      <c r="AC89" t="s">
        <v>138</v>
      </c>
      <c r="AD89" t="s">
        <v>129</v>
      </c>
      <c r="AE89" s="97"/>
    </row>
    <row r="90" spans="1:31" ht="14.4" customHeight="1" x14ac:dyDescent="0.3">
      <c r="A90" t="s">
        <v>6645</v>
      </c>
      <c r="B90" t="s">
        <v>6646</v>
      </c>
      <c r="C90"/>
      <c r="D90"/>
      <c r="E90"/>
      <c r="F90"/>
      <c r="G90" t="s">
        <v>290</v>
      </c>
      <c r="H90" t="s">
        <v>132</v>
      </c>
      <c r="I90" t="s">
        <v>1</v>
      </c>
      <c r="J90" t="s">
        <v>133</v>
      </c>
      <c r="K90" t="s">
        <v>51</v>
      </c>
      <c r="L90" t="s">
        <v>6647</v>
      </c>
      <c r="M90" t="s">
        <v>134</v>
      </c>
      <c r="N90" t="s">
        <v>135</v>
      </c>
      <c r="O90"/>
      <c r="P90"/>
      <c r="Q90" t="s">
        <v>291</v>
      </c>
      <c r="R90"/>
      <c r="S90" t="s">
        <v>291</v>
      </c>
      <c r="T90"/>
      <c r="U90" t="s">
        <v>137</v>
      </c>
      <c r="V90" t="s">
        <v>340</v>
      </c>
      <c r="W90"/>
      <c r="X90" t="s">
        <v>93</v>
      </c>
      <c r="Y90"/>
      <c r="Z90"/>
      <c r="AA90" t="s">
        <v>292</v>
      </c>
      <c r="AB90" t="s">
        <v>1</v>
      </c>
      <c r="AC90" t="s">
        <v>138</v>
      </c>
      <c r="AD90" t="s">
        <v>129</v>
      </c>
      <c r="AE90" s="97"/>
    </row>
    <row r="91" spans="1:31" ht="14.4" customHeight="1" x14ac:dyDescent="0.3">
      <c r="A91" t="s">
        <v>6648</v>
      </c>
      <c r="B91" t="s">
        <v>6649</v>
      </c>
      <c r="C91"/>
      <c r="D91"/>
      <c r="E91"/>
      <c r="F91"/>
      <c r="G91" t="s">
        <v>290</v>
      </c>
      <c r="H91" t="s">
        <v>132</v>
      </c>
      <c r="I91" t="s">
        <v>1</v>
      </c>
      <c r="J91" t="s">
        <v>133</v>
      </c>
      <c r="K91" t="s">
        <v>51</v>
      </c>
      <c r="L91" t="s">
        <v>6650</v>
      </c>
      <c r="M91" t="s">
        <v>134</v>
      </c>
      <c r="N91" t="s">
        <v>135</v>
      </c>
      <c r="O91"/>
      <c r="P91"/>
      <c r="Q91" t="s">
        <v>291</v>
      </c>
      <c r="R91"/>
      <c r="S91" t="s">
        <v>291</v>
      </c>
      <c r="T91"/>
      <c r="U91" t="s">
        <v>137</v>
      </c>
      <c r="V91" t="s">
        <v>348</v>
      </c>
      <c r="W91"/>
      <c r="X91" t="s">
        <v>116</v>
      </c>
      <c r="Y91"/>
      <c r="Z91"/>
      <c r="AA91" t="s">
        <v>292</v>
      </c>
      <c r="AB91" t="s">
        <v>1</v>
      </c>
      <c r="AC91" t="s">
        <v>138</v>
      </c>
      <c r="AD91" t="s">
        <v>130</v>
      </c>
      <c r="AE91" s="97"/>
    </row>
    <row r="92" spans="1:31" ht="14.4" customHeight="1" x14ac:dyDescent="0.3">
      <c r="A92" t="s">
        <v>355</v>
      </c>
      <c r="B92" t="s">
        <v>356</v>
      </c>
      <c r="C92"/>
      <c r="D92"/>
      <c r="E92"/>
      <c r="F92"/>
      <c r="G92" t="s">
        <v>290</v>
      </c>
      <c r="H92" t="s">
        <v>132</v>
      </c>
      <c r="I92" t="s">
        <v>1</v>
      </c>
      <c r="J92" t="s">
        <v>133</v>
      </c>
      <c r="K92" t="s">
        <v>51</v>
      </c>
      <c r="L92" t="s">
        <v>357</v>
      </c>
      <c r="M92" t="s">
        <v>134</v>
      </c>
      <c r="N92" t="s">
        <v>135</v>
      </c>
      <c r="O92"/>
      <c r="P92"/>
      <c r="Q92" t="s">
        <v>291</v>
      </c>
      <c r="R92"/>
      <c r="S92"/>
      <c r="T92" t="s">
        <v>169</v>
      </c>
      <c r="U92" t="s">
        <v>137</v>
      </c>
      <c r="V92" t="s">
        <v>358</v>
      </c>
      <c r="W92"/>
      <c r="X92" t="s">
        <v>124</v>
      </c>
      <c r="Y92"/>
      <c r="Z92"/>
      <c r="AA92" t="s">
        <v>292</v>
      </c>
      <c r="AB92" t="s">
        <v>1</v>
      </c>
      <c r="AC92" t="s">
        <v>138</v>
      </c>
      <c r="AD92" t="s">
        <v>130</v>
      </c>
      <c r="AE92" s="97"/>
    </row>
    <row r="93" spans="1:31" ht="14.4" customHeight="1" x14ac:dyDescent="0.3">
      <c r="A93" t="s">
        <v>359</v>
      </c>
      <c r="B93" t="s">
        <v>360</v>
      </c>
      <c r="C93"/>
      <c r="D93"/>
      <c r="E93"/>
      <c r="F93"/>
      <c r="G93" t="s">
        <v>290</v>
      </c>
      <c r="H93" t="s">
        <v>132</v>
      </c>
      <c r="I93" t="s">
        <v>1</v>
      </c>
      <c r="J93" t="s">
        <v>133</v>
      </c>
      <c r="K93" t="s">
        <v>51</v>
      </c>
      <c r="L93" t="s">
        <v>361</v>
      </c>
      <c r="M93" t="s">
        <v>134</v>
      </c>
      <c r="N93" t="s">
        <v>135</v>
      </c>
      <c r="O93"/>
      <c r="P93"/>
      <c r="Q93" t="s">
        <v>291</v>
      </c>
      <c r="R93"/>
      <c r="S93"/>
      <c r="T93" t="s">
        <v>169</v>
      </c>
      <c r="U93" t="s">
        <v>137</v>
      </c>
      <c r="V93" t="s">
        <v>362</v>
      </c>
      <c r="W93"/>
      <c r="X93" t="s">
        <v>58</v>
      </c>
      <c r="Y93"/>
      <c r="Z93"/>
      <c r="AA93" t="s">
        <v>292</v>
      </c>
      <c r="AB93" t="s">
        <v>1</v>
      </c>
      <c r="AC93" t="s">
        <v>138</v>
      </c>
      <c r="AD93" t="s">
        <v>128</v>
      </c>
      <c r="AE93" s="97"/>
    </row>
    <row r="94" spans="1:31" ht="14.4" customHeight="1" x14ac:dyDescent="0.3">
      <c r="A94" t="s">
        <v>363</v>
      </c>
      <c r="B94" t="s">
        <v>364</v>
      </c>
      <c r="C94"/>
      <c r="D94"/>
      <c r="E94"/>
      <c r="F94"/>
      <c r="G94" t="s">
        <v>290</v>
      </c>
      <c r="H94" t="s">
        <v>132</v>
      </c>
      <c r="I94" t="s">
        <v>1</v>
      </c>
      <c r="J94" t="s">
        <v>133</v>
      </c>
      <c r="K94" t="s">
        <v>51</v>
      </c>
      <c r="L94" t="s">
        <v>361</v>
      </c>
      <c r="M94" t="s">
        <v>134</v>
      </c>
      <c r="N94" t="s">
        <v>135</v>
      </c>
      <c r="O94"/>
      <c r="P94"/>
      <c r="Q94" t="s">
        <v>291</v>
      </c>
      <c r="R94"/>
      <c r="S94"/>
      <c r="T94" t="s">
        <v>169</v>
      </c>
      <c r="U94" t="s">
        <v>137</v>
      </c>
      <c r="V94" t="s">
        <v>362</v>
      </c>
      <c r="W94"/>
      <c r="X94" t="s">
        <v>58</v>
      </c>
      <c r="Y94"/>
      <c r="Z94"/>
      <c r="AA94" t="s">
        <v>292</v>
      </c>
      <c r="AB94" t="s">
        <v>1</v>
      </c>
      <c r="AC94" t="s">
        <v>138</v>
      </c>
      <c r="AD94" t="s">
        <v>128</v>
      </c>
      <c r="AE94" s="97"/>
    </row>
    <row r="95" spans="1:31" ht="14.4" customHeight="1" x14ac:dyDescent="0.3">
      <c r="A95" t="s">
        <v>365</v>
      </c>
      <c r="B95" t="s">
        <v>366</v>
      </c>
      <c r="C95"/>
      <c r="D95"/>
      <c r="E95"/>
      <c r="F95"/>
      <c r="G95" t="s">
        <v>290</v>
      </c>
      <c r="H95" t="s">
        <v>132</v>
      </c>
      <c r="I95" t="s">
        <v>1</v>
      </c>
      <c r="J95" t="s">
        <v>133</v>
      </c>
      <c r="K95" t="s">
        <v>51</v>
      </c>
      <c r="L95" t="s">
        <v>367</v>
      </c>
      <c r="M95" t="s">
        <v>134</v>
      </c>
      <c r="N95" t="s">
        <v>135</v>
      </c>
      <c r="O95"/>
      <c r="P95"/>
      <c r="Q95" t="s">
        <v>291</v>
      </c>
      <c r="R95"/>
      <c r="S95"/>
      <c r="T95" t="s">
        <v>169</v>
      </c>
      <c r="U95" t="s">
        <v>137</v>
      </c>
      <c r="V95" t="s">
        <v>362</v>
      </c>
      <c r="W95"/>
      <c r="X95" t="s">
        <v>58</v>
      </c>
      <c r="Y95"/>
      <c r="Z95"/>
      <c r="AA95" t="s">
        <v>292</v>
      </c>
      <c r="AB95" t="s">
        <v>1</v>
      </c>
      <c r="AC95" t="s">
        <v>138</v>
      </c>
      <c r="AD95" t="s">
        <v>128</v>
      </c>
      <c r="AE95" s="97"/>
    </row>
    <row r="96" spans="1:31" ht="14.4" customHeight="1" x14ac:dyDescent="0.3">
      <c r="A96" t="s">
        <v>368</v>
      </c>
      <c r="B96" t="s">
        <v>369</v>
      </c>
      <c r="C96"/>
      <c r="D96"/>
      <c r="E96"/>
      <c r="F96"/>
      <c r="G96" t="s">
        <v>290</v>
      </c>
      <c r="H96" t="s">
        <v>132</v>
      </c>
      <c r="I96" t="s">
        <v>1</v>
      </c>
      <c r="J96" t="s">
        <v>133</v>
      </c>
      <c r="K96" t="s">
        <v>51</v>
      </c>
      <c r="L96" t="s">
        <v>370</v>
      </c>
      <c r="M96" t="s">
        <v>134</v>
      </c>
      <c r="N96" t="s">
        <v>135</v>
      </c>
      <c r="O96"/>
      <c r="P96"/>
      <c r="Q96" t="s">
        <v>291</v>
      </c>
      <c r="R96"/>
      <c r="S96"/>
      <c r="T96" t="s">
        <v>169</v>
      </c>
      <c r="U96" t="s">
        <v>137</v>
      </c>
      <c r="V96" t="s">
        <v>371</v>
      </c>
      <c r="W96"/>
      <c r="X96" t="s">
        <v>57</v>
      </c>
      <c r="Y96"/>
      <c r="Z96"/>
      <c r="AA96" t="s">
        <v>292</v>
      </c>
      <c r="AB96" t="s">
        <v>1</v>
      </c>
      <c r="AC96" t="s">
        <v>138</v>
      </c>
      <c r="AD96" t="s">
        <v>128</v>
      </c>
      <c r="AE96" s="97"/>
    </row>
    <row r="97" spans="1:31" ht="14.4" customHeight="1" x14ac:dyDescent="0.3">
      <c r="A97" t="s">
        <v>372</v>
      </c>
      <c r="B97" t="s">
        <v>373</v>
      </c>
      <c r="C97"/>
      <c r="D97"/>
      <c r="E97"/>
      <c r="F97"/>
      <c r="G97" t="s">
        <v>290</v>
      </c>
      <c r="H97" t="s">
        <v>132</v>
      </c>
      <c r="I97" t="s">
        <v>1</v>
      </c>
      <c r="J97" t="s">
        <v>133</v>
      </c>
      <c r="K97" t="s">
        <v>51</v>
      </c>
      <c r="L97" t="s">
        <v>370</v>
      </c>
      <c r="M97" t="s">
        <v>134</v>
      </c>
      <c r="N97" t="s">
        <v>135</v>
      </c>
      <c r="O97"/>
      <c r="P97"/>
      <c r="Q97" t="s">
        <v>291</v>
      </c>
      <c r="R97"/>
      <c r="S97"/>
      <c r="T97" t="s">
        <v>169</v>
      </c>
      <c r="U97" t="s">
        <v>137</v>
      </c>
      <c r="V97" t="s">
        <v>371</v>
      </c>
      <c r="W97"/>
      <c r="X97" t="s">
        <v>57</v>
      </c>
      <c r="Y97"/>
      <c r="Z97"/>
      <c r="AA97" t="s">
        <v>292</v>
      </c>
      <c r="AB97" t="s">
        <v>1</v>
      </c>
      <c r="AC97" t="s">
        <v>138</v>
      </c>
      <c r="AD97" t="s">
        <v>128</v>
      </c>
      <c r="AE97" s="97"/>
    </row>
    <row r="98" spans="1:31" ht="14.4" customHeight="1" x14ac:dyDescent="0.3">
      <c r="A98" t="s">
        <v>374</v>
      </c>
      <c r="B98" t="s">
        <v>375</v>
      </c>
      <c r="C98"/>
      <c r="D98"/>
      <c r="E98"/>
      <c r="F98"/>
      <c r="G98" t="s">
        <v>290</v>
      </c>
      <c r="H98" t="s">
        <v>132</v>
      </c>
      <c r="I98" t="s">
        <v>1</v>
      </c>
      <c r="J98" t="s">
        <v>133</v>
      </c>
      <c r="K98" t="s">
        <v>51</v>
      </c>
      <c r="L98" t="s">
        <v>370</v>
      </c>
      <c r="M98" t="s">
        <v>134</v>
      </c>
      <c r="N98" t="s">
        <v>135</v>
      </c>
      <c r="O98"/>
      <c r="P98"/>
      <c r="Q98" t="s">
        <v>291</v>
      </c>
      <c r="R98"/>
      <c r="S98"/>
      <c r="T98" t="s">
        <v>169</v>
      </c>
      <c r="U98" t="s">
        <v>137</v>
      </c>
      <c r="V98" t="s">
        <v>371</v>
      </c>
      <c r="W98"/>
      <c r="X98" t="s">
        <v>57</v>
      </c>
      <c r="Y98"/>
      <c r="Z98"/>
      <c r="AA98" t="s">
        <v>292</v>
      </c>
      <c r="AB98" t="s">
        <v>1</v>
      </c>
      <c r="AC98" t="s">
        <v>138</v>
      </c>
      <c r="AD98" t="s">
        <v>128</v>
      </c>
      <c r="AE98" s="97"/>
    </row>
    <row r="99" spans="1:31" ht="14.4" customHeight="1" x14ac:dyDescent="0.3">
      <c r="A99" t="s">
        <v>376</v>
      </c>
      <c r="B99" t="s">
        <v>377</v>
      </c>
      <c r="C99"/>
      <c r="D99"/>
      <c r="E99"/>
      <c r="F99"/>
      <c r="G99" t="s">
        <v>290</v>
      </c>
      <c r="H99" t="s">
        <v>132</v>
      </c>
      <c r="I99" t="s">
        <v>1</v>
      </c>
      <c r="J99" t="s">
        <v>133</v>
      </c>
      <c r="K99" t="s">
        <v>51</v>
      </c>
      <c r="L99" t="s">
        <v>378</v>
      </c>
      <c r="M99" t="s">
        <v>134</v>
      </c>
      <c r="N99" t="s">
        <v>135</v>
      </c>
      <c r="O99"/>
      <c r="P99"/>
      <c r="Q99" t="s">
        <v>291</v>
      </c>
      <c r="R99"/>
      <c r="S99"/>
      <c r="T99" t="s">
        <v>169</v>
      </c>
      <c r="U99" t="s">
        <v>137</v>
      </c>
      <c r="V99" t="s">
        <v>371</v>
      </c>
      <c r="W99"/>
      <c r="X99" t="s">
        <v>57</v>
      </c>
      <c r="Y99"/>
      <c r="Z99"/>
      <c r="AA99" t="s">
        <v>292</v>
      </c>
      <c r="AB99" t="s">
        <v>1</v>
      </c>
      <c r="AC99" t="s">
        <v>138</v>
      </c>
      <c r="AD99" t="s">
        <v>128</v>
      </c>
      <c r="AE99" s="97"/>
    </row>
    <row r="100" spans="1:31" ht="14.4" customHeight="1" x14ac:dyDescent="0.3">
      <c r="A100" t="s">
        <v>379</v>
      </c>
      <c r="B100" t="s">
        <v>380</v>
      </c>
      <c r="C100"/>
      <c r="D100"/>
      <c r="E100"/>
      <c r="F100"/>
      <c r="G100" t="s">
        <v>290</v>
      </c>
      <c r="H100" t="s">
        <v>132</v>
      </c>
      <c r="I100" t="s">
        <v>1</v>
      </c>
      <c r="J100" t="s">
        <v>133</v>
      </c>
      <c r="K100" t="s">
        <v>51</v>
      </c>
      <c r="L100" t="s">
        <v>381</v>
      </c>
      <c r="M100" t="s">
        <v>134</v>
      </c>
      <c r="N100" t="s">
        <v>135</v>
      </c>
      <c r="O100"/>
      <c r="P100"/>
      <c r="Q100" t="s">
        <v>291</v>
      </c>
      <c r="R100"/>
      <c r="S100"/>
      <c r="T100" t="s">
        <v>169</v>
      </c>
      <c r="U100" t="s">
        <v>137</v>
      </c>
      <c r="V100" t="s">
        <v>147</v>
      </c>
      <c r="W100"/>
      <c r="X100" t="s">
        <v>70</v>
      </c>
      <c r="Y100"/>
      <c r="Z100"/>
      <c r="AA100" t="s">
        <v>292</v>
      </c>
      <c r="AB100" t="s">
        <v>1</v>
      </c>
      <c r="AC100" t="s">
        <v>138</v>
      </c>
      <c r="AD100" t="s">
        <v>128</v>
      </c>
      <c r="AE100" s="97"/>
    </row>
    <row r="101" spans="1:31" ht="14.4" customHeight="1" x14ac:dyDescent="0.3">
      <c r="A101" t="s">
        <v>382</v>
      </c>
      <c r="B101" t="s">
        <v>383</v>
      </c>
      <c r="C101"/>
      <c r="D101"/>
      <c r="E101"/>
      <c r="F101"/>
      <c r="G101" t="s">
        <v>290</v>
      </c>
      <c r="H101" t="s">
        <v>132</v>
      </c>
      <c r="I101" t="s">
        <v>1</v>
      </c>
      <c r="J101" t="s">
        <v>133</v>
      </c>
      <c r="K101" t="s">
        <v>51</v>
      </c>
      <c r="L101" t="s">
        <v>384</v>
      </c>
      <c r="M101" t="s">
        <v>134</v>
      </c>
      <c r="N101" t="s">
        <v>135</v>
      </c>
      <c r="O101"/>
      <c r="P101"/>
      <c r="Q101" t="s">
        <v>291</v>
      </c>
      <c r="R101"/>
      <c r="S101"/>
      <c r="T101" t="s">
        <v>169</v>
      </c>
      <c r="U101" t="s">
        <v>137</v>
      </c>
      <c r="V101" t="s">
        <v>150</v>
      </c>
      <c r="W101"/>
      <c r="X101" t="s">
        <v>76</v>
      </c>
      <c r="Y101"/>
      <c r="Z101"/>
      <c r="AA101" t="s">
        <v>292</v>
      </c>
      <c r="AB101" t="s">
        <v>1</v>
      </c>
      <c r="AC101" t="s">
        <v>138</v>
      </c>
      <c r="AD101" t="s">
        <v>128</v>
      </c>
      <c r="AE101" s="97"/>
    </row>
    <row r="102" spans="1:31" ht="14.4" customHeight="1" x14ac:dyDescent="0.3">
      <c r="A102" t="s">
        <v>385</v>
      </c>
      <c r="B102" t="s">
        <v>386</v>
      </c>
      <c r="C102"/>
      <c r="D102"/>
      <c r="E102"/>
      <c r="F102"/>
      <c r="G102" t="s">
        <v>290</v>
      </c>
      <c r="H102" t="s">
        <v>132</v>
      </c>
      <c r="I102" t="s">
        <v>1</v>
      </c>
      <c r="J102" t="s">
        <v>133</v>
      </c>
      <c r="K102" t="s">
        <v>51</v>
      </c>
      <c r="L102" t="s">
        <v>387</v>
      </c>
      <c r="M102" t="s">
        <v>134</v>
      </c>
      <c r="N102" t="s">
        <v>135</v>
      </c>
      <c r="O102"/>
      <c r="P102"/>
      <c r="Q102" t="s">
        <v>291</v>
      </c>
      <c r="R102"/>
      <c r="S102"/>
      <c r="T102" t="s">
        <v>169</v>
      </c>
      <c r="U102" t="s">
        <v>137</v>
      </c>
      <c r="V102" t="s">
        <v>153</v>
      </c>
      <c r="W102"/>
      <c r="X102" t="s">
        <v>88</v>
      </c>
      <c r="Y102"/>
      <c r="Z102"/>
      <c r="AA102" t="s">
        <v>292</v>
      </c>
      <c r="AB102" t="s">
        <v>1</v>
      </c>
      <c r="AC102" t="s">
        <v>138</v>
      </c>
      <c r="AD102" t="s">
        <v>129</v>
      </c>
      <c r="AE102" s="97"/>
    </row>
    <row r="103" spans="1:31" ht="14.4" customHeight="1" x14ac:dyDescent="0.3">
      <c r="A103" t="s">
        <v>388</v>
      </c>
      <c r="B103" t="s">
        <v>389</v>
      </c>
      <c r="C103"/>
      <c r="D103"/>
      <c r="E103"/>
      <c r="F103"/>
      <c r="G103" t="s">
        <v>290</v>
      </c>
      <c r="H103" t="s">
        <v>132</v>
      </c>
      <c r="I103" t="s">
        <v>1</v>
      </c>
      <c r="J103" t="s">
        <v>133</v>
      </c>
      <c r="K103" t="s">
        <v>51</v>
      </c>
      <c r="L103" t="s">
        <v>390</v>
      </c>
      <c r="M103" t="s">
        <v>134</v>
      </c>
      <c r="N103" t="s">
        <v>135</v>
      </c>
      <c r="O103"/>
      <c r="P103"/>
      <c r="Q103" t="s">
        <v>291</v>
      </c>
      <c r="R103"/>
      <c r="S103"/>
      <c r="T103" t="s">
        <v>169</v>
      </c>
      <c r="U103" t="s">
        <v>137</v>
      </c>
      <c r="V103" t="s">
        <v>156</v>
      </c>
      <c r="W103"/>
      <c r="X103" t="s">
        <v>97</v>
      </c>
      <c r="Y103"/>
      <c r="Z103"/>
      <c r="AA103" t="s">
        <v>292</v>
      </c>
      <c r="AB103" t="s">
        <v>1</v>
      </c>
      <c r="AC103" t="s">
        <v>138</v>
      </c>
      <c r="AD103" t="s">
        <v>129</v>
      </c>
      <c r="AE103" s="97"/>
    </row>
    <row r="104" spans="1:31" ht="14.4" customHeight="1" x14ac:dyDescent="0.3">
      <c r="A104" t="s">
        <v>391</v>
      </c>
      <c r="B104" t="s">
        <v>392</v>
      </c>
      <c r="C104"/>
      <c r="D104"/>
      <c r="E104"/>
      <c r="F104"/>
      <c r="G104" t="s">
        <v>290</v>
      </c>
      <c r="H104" t="s">
        <v>132</v>
      </c>
      <c r="I104" t="s">
        <v>1</v>
      </c>
      <c r="J104" t="s">
        <v>133</v>
      </c>
      <c r="K104" t="s">
        <v>51</v>
      </c>
      <c r="L104" t="s">
        <v>393</v>
      </c>
      <c r="M104" t="s">
        <v>134</v>
      </c>
      <c r="N104" t="s">
        <v>135</v>
      </c>
      <c r="O104"/>
      <c r="P104"/>
      <c r="Q104" t="s">
        <v>291</v>
      </c>
      <c r="R104"/>
      <c r="S104"/>
      <c r="T104" t="s">
        <v>169</v>
      </c>
      <c r="U104" t="s">
        <v>137</v>
      </c>
      <c r="V104" t="s">
        <v>159</v>
      </c>
      <c r="W104"/>
      <c r="X104" t="s">
        <v>106</v>
      </c>
      <c r="Y104"/>
      <c r="Z104"/>
      <c r="AA104" t="s">
        <v>292</v>
      </c>
      <c r="AB104" t="s">
        <v>1</v>
      </c>
      <c r="AC104" t="s">
        <v>138</v>
      </c>
      <c r="AD104" t="s">
        <v>129</v>
      </c>
      <c r="AE104" s="97"/>
    </row>
    <row r="105" spans="1:31" ht="14.4" customHeight="1" x14ac:dyDescent="0.3">
      <c r="A105" t="s">
        <v>394</v>
      </c>
      <c r="B105" t="s">
        <v>395</v>
      </c>
      <c r="C105"/>
      <c r="D105"/>
      <c r="E105"/>
      <c r="F105"/>
      <c r="G105" t="s">
        <v>290</v>
      </c>
      <c r="H105" t="s">
        <v>132</v>
      </c>
      <c r="I105" t="s">
        <v>1</v>
      </c>
      <c r="J105" t="s">
        <v>133</v>
      </c>
      <c r="K105" t="s">
        <v>51</v>
      </c>
      <c r="L105" t="s">
        <v>396</v>
      </c>
      <c r="M105" t="s">
        <v>134</v>
      </c>
      <c r="N105" t="s">
        <v>135</v>
      </c>
      <c r="O105"/>
      <c r="P105"/>
      <c r="Q105" t="s">
        <v>291</v>
      </c>
      <c r="R105"/>
      <c r="S105"/>
      <c r="T105" t="s">
        <v>169</v>
      </c>
      <c r="U105" t="s">
        <v>137</v>
      </c>
      <c r="V105" t="s">
        <v>162</v>
      </c>
      <c r="W105"/>
      <c r="X105" t="s">
        <v>113</v>
      </c>
      <c r="Y105"/>
      <c r="Z105"/>
      <c r="AA105" t="s">
        <v>292</v>
      </c>
      <c r="AB105" t="s">
        <v>1</v>
      </c>
      <c r="AC105" t="s">
        <v>138</v>
      </c>
      <c r="AD105" t="s">
        <v>129</v>
      </c>
      <c r="AE105" s="97"/>
    </row>
    <row r="106" spans="1:31" ht="14.4" customHeight="1" x14ac:dyDescent="0.3">
      <c r="A106" t="s">
        <v>397</v>
      </c>
      <c r="B106" t="s">
        <v>398</v>
      </c>
      <c r="C106"/>
      <c r="D106"/>
      <c r="E106"/>
      <c r="F106"/>
      <c r="G106" t="s">
        <v>290</v>
      </c>
      <c r="H106" t="s">
        <v>132</v>
      </c>
      <c r="I106" t="s">
        <v>1</v>
      </c>
      <c r="J106" t="s">
        <v>133</v>
      </c>
      <c r="K106" t="s">
        <v>51</v>
      </c>
      <c r="L106" t="s">
        <v>399</v>
      </c>
      <c r="M106" t="s">
        <v>134</v>
      </c>
      <c r="N106" t="s">
        <v>135</v>
      </c>
      <c r="O106"/>
      <c r="P106"/>
      <c r="Q106" t="s">
        <v>291</v>
      </c>
      <c r="R106"/>
      <c r="S106"/>
      <c r="T106" t="s">
        <v>169</v>
      </c>
      <c r="U106" t="s">
        <v>137</v>
      </c>
      <c r="V106" t="s">
        <v>165</v>
      </c>
      <c r="W106"/>
      <c r="X106" t="s">
        <v>122</v>
      </c>
      <c r="Y106"/>
      <c r="Z106"/>
      <c r="AA106" t="s">
        <v>292</v>
      </c>
      <c r="AB106" t="s">
        <v>1</v>
      </c>
      <c r="AC106" t="s">
        <v>138</v>
      </c>
      <c r="AD106" t="s">
        <v>130</v>
      </c>
      <c r="AE106" s="97"/>
    </row>
    <row r="107" spans="1:31" ht="14.4" customHeight="1" x14ac:dyDescent="0.3">
      <c r="A107" t="s">
        <v>400</v>
      </c>
      <c r="B107" t="s">
        <v>401</v>
      </c>
      <c r="C107"/>
      <c r="D107"/>
      <c r="E107"/>
      <c r="F107"/>
      <c r="G107" t="s">
        <v>290</v>
      </c>
      <c r="H107" t="s">
        <v>132</v>
      </c>
      <c r="I107" t="s">
        <v>1</v>
      </c>
      <c r="J107" t="s">
        <v>133</v>
      </c>
      <c r="K107" t="s">
        <v>51</v>
      </c>
      <c r="L107" t="s">
        <v>402</v>
      </c>
      <c r="M107" t="s">
        <v>134</v>
      </c>
      <c r="N107" t="s">
        <v>135</v>
      </c>
      <c r="O107"/>
      <c r="P107"/>
      <c r="Q107" t="s">
        <v>291</v>
      </c>
      <c r="R107"/>
      <c r="S107"/>
      <c r="T107" t="s">
        <v>169</v>
      </c>
      <c r="U107" t="s">
        <v>137</v>
      </c>
      <c r="V107" t="s">
        <v>403</v>
      </c>
      <c r="W107"/>
      <c r="X107" t="s">
        <v>68</v>
      </c>
      <c r="Y107"/>
      <c r="Z107"/>
      <c r="AA107" t="s">
        <v>292</v>
      </c>
      <c r="AB107" t="s">
        <v>1</v>
      </c>
      <c r="AC107" t="s">
        <v>138</v>
      </c>
      <c r="AD107" t="s">
        <v>128</v>
      </c>
      <c r="AE107" s="97"/>
    </row>
    <row r="108" spans="1:31" ht="14.4" customHeight="1" x14ac:dyDescent="0.3">
      <c r="A108" t="s">
        <v>404</v>
      </c>
      <c r="B108" t="s">
        <v>405</v>
      </c>
      <c r="C108"/>
      <c r="D108"/>
      <c r="E108"/>
      <c r="F108"/>
      <c r="G108" t="s">
        <v>290</v>
      </c>
      <c r="H108" t="s">
        <v>132</v>
      </c>
      <c r="I108" t="s">
        <v>1</v>
      </c>
      <c r="J108" t="s">
        <v>133</v>
      </c>
      <c r="K108" t="s">
        <v>51</v>
      </c>
      <c r="L108" t="s">
        <v>406</v>
      </c>
      <c r="M108" t="s">
        <v>134</v>
      </c>
      <c r="N108" t="s">
        <v>135</v>
      </c>
      <c r="O108"/>
      <c r="P108"/>
      <c r="Q108" t="s">
        <v>291</v>
      </c>
      <c r="R108"/>
      <c r="S108"/>
      <c r="T108" t="s">
        <v>169</v>
      </c>
      <c r="U108" t="s">
        <v>137</v>
      </c>
      <c r="V108" t="s">
        <v>407</v>
      </c>
      <c r="W108"/>
      <c r="X108" t="s">
        <v>77</v>
      </c>
      <c r="Y108"/>
      <c r="Z108"/>
      <c r="AA108" t="s">
        <v>292</v>
      </c>
      <c r="AB108" t="s">
        <v>1</v>
      </c>
      <c r="AC108" t="s">
        <v>138</v>
      </c>
      <c r="AD108" t="s">
        <v>128</v>
      </c>
      <c r="AE108" s="97"/>
    </row>
    <row r="109" spans="1:31" ht="14.4" customHeight="1" x14ac:dyDescent="0.3">
      <c r="A109" t="s">
        <v>408</v>
      </c>
      <c r="B109" t="s">
        <v>409</v>
      </c>
      <c r="C109"/>
      <c r="D109"/>
      <c r="E109"/>
      <c r="F109"/>
      <c r="G109" t="s">
        <v>290</v>
      </c>
      <c r="H109" t="s">
        <v>132</v>
      </c>
      <c r="I109" t="s">
        <v>1</v>
      </c>
      <c r="J109" t="s">
        <v>133</v>
      </c>
      <c r="K109" t="s">
        <v>51</v>
      </c>
      <c r="L109" t="s">
        <v>410</v>
      </c>
      <c r="M109" t="s">
        <v>134</v>
      </c>
      <c r="N109" t="s">
        <v>135</v>
      </c>
      <c r="O109"/>
      <c r="P109"/>
      <c r="Q109" t="s">
        <v>291</v>
      </c>
      <c r="R109"/>
      <c r="S109"/>
      <c r="T109" t="s">
        <v>169</v>
      </c>
      <c r="U109" t="s">
        <v>137</v>
      </c>
      <c r="V109" t="s">
        <v>411</v>
      </c>
      <c r="W109"/>
      <c r="X109" t="s">
        <v>87</v>
      </c>
      <c r="Y109"/>
      <c r="Z109"/>
      <c r="AA109" t="s">
        <v>292</v>
      </c>
      <c r="AB109" t="s">
        <v>1</v>
      </c>
      <c r="AC109" t="s">
        <v>138</v>
      </c>
      <c r="AD109" t="s">
        <v>129</v>
      </c>
      <c r="AE109" s="97"/>
    </row>
    <row r="110" spans="1:31" ht="14.4" customHeight="1" x14ac:dyDescent="0.3">
      <c r="A110" t="s">
        <v>412</v>
      </c>
      <c r="B110" t="s">
        <v>413</v>
      </c>
      <c r="C110"/>
      <c r="D110"/>
      <c r="E110"/>
      <c r="F110"/>
      <c r="G110" t="s">
        <v>290</v>
      </c>
      <c r="H110" t="s">
        <v>132</v>
      </c>
      <c r="I110" t="s">
        <v>1</v>
      </c>
      <c r="J110" t="s">
        <v>133</v>
      </c>
      <c r="K110" t="s">
        <v>51</v>
      </c>
      <c r="L110" t="s">
        <v>414</v>
      </c>
      <c r="M110" t="s">
        <v>134</v>
      </c>
      <c r="N110" t="s">
        <v>135</v>
      </c>
      <c r="O110"/>
      <c r="P110"/>
      <c r="Q110" t="s">
        <v>291</v>
      </c>
      <c r="R110"/>
      <c r="S110"/>
      <c r="T110" t="s">
        <v>169</v>
      </c>
      <c r="U110" t="s">
        <v>137</v>
      </c>
      <c r="V110" t="s">
        <v>415</v>
      </c>
      <c r="W110"/>
      <c r="X110" t="s">
        <v>96</v>
      </c>
      <c r="Y110"/>
      <c r="Z110"/>
      <c r="AA110" t="s">
        <v>292</v>
      </c>
      <c r="AB110" t="s">
        <v>1</v>
      </c>
      <c r="AC110" t="s">
        <v>138</v>
      </c>
      <c r="AD110" t="s">
        <v>129</v>
      </c>
      <c r="AE110" s="97"/>
    </row>
    <row r="111" spans="1:31" ht="14.4" customHeight="1" x14ac:dyDescent="0.3">
      <c r="A111" t="s">
        <v>416</v>
      </c>
      <c r="B111" t="s">
        <v>417</v>
      </c>
      <c r="C111"/>
      <c r="D111"/>
      <c r="E111"/>
      <c r="F111"/>
      <c r="G111" t="s">
        <v>290</v>
      </c>
      <c r="H111" t="s">
        <v>132</v>
      </c>
      <c r="I111" t="s">
        <v>1</v>
      </c>
      <c r="J111" t="s">
        <v>133</v>
      </c>
      <c r="K111" t="s">
        <v>51</v>
      </c>
      <c r="L111" t="s">
        <v>418</v>
      </c>
      <c r="M111" t="s">
        <v>134</v>
      </c>
      <c r="N111" t="s">
        <v>135</v>
      </c>
      <c r="O111"/>
      <c r="P111"/>
      <c r="Q111" t="s">
        <v>291</v>
      </c>
      <c r="R111"/>
      <c r="S111"/>
      <c r="T111" t="s">
        <v>169</v>
      </c>
      <c r="U111" t="s">
        <v>137</v>
      </c>
      <c r="V111" t="s">
        <v>419</v>
      </c>
      <c r="W111"/>
      <c r="X111" t="s">
        <v>105</v>
      </c>
      <c r="Y111"/>
      <c r="Z111"/>
      <c r="AA111" t="s">
        <v>292</v>
      </c>
      <c r="AB111" t="s">
        <v>1</v>
      </c>
      <c r="AC111" t="s">
        <v>138</v>
      </c>
      <c r="AD111" t="s">
        <v>129</v>
      </c>
      <c r="AE111" s="97"/>
    </row>
    <row r="112" spans="1:31" ht="14.4" customHeight="1" x14ac:dyDescent="0.3">
      <c r="A112" t="s">
        <v>420</v>
      </c>
      <c r="B112" t="s">
        <v>421</v>
      </c>
      <c r="C112"/>
      <c r="D112"/>
      <c r="E112"/>
      <c r="F112"/>
      <c r="G112" t="s">
        <v>290</v>
      </c>
      <c r="H112" t="s">
        <v>132</v>
      </c>
      <c r="I112" t="s">
        <v>1</v>
      </c>
      <c r="J112" t="s">
        <v>133</v>
      </c>
      <c r="K112" t="s">
        <v>51</v>
      </c>
      <c r="L112" t="s">
        <v>422</v>
      </c>
      <c r="M112" t="s">
        <v>134</v>
      </c>
      <c r="N112" t="s">
        <v>135</v>
      </c>
      <c r="O112"/>
      <c r="P112"/>
      <c r="Q112" t="s">
        <v>291</v>
      </c>
      <c r="R112"/>
      <c r="S112"/>
      <c r="T112" t="s">
        <v>169</v>
      </c>
      <c r="U112" t="s">
        <v>137</v>
      </c>
      <c r="V112" t="s">
        <v>423</v>
      </c>
      <c r="W112"/>
      <c r="X112" t="s">
        <v>112</v>
      </c>
      <c r="Y112"/>
      <c r="Z112"/>
      <c r="AA112" t="s">
        <v>292</v>
      </c>
      <c r="AB112" t="s">
        <v>1</v>
      </c>
      <c r="AC112" t="s">
        <v>138</v>
      </c>
      <c r="AD112" t="s">
        <v>129</v>
      </c>
      <c r="AE112" s="97"/>
    </row>
    <row r="113" spans="1:31" ht="14.4" customHeight="1" x14ac:dyDescent="0.3">
      <c r="A113" t="s">
        <v>424</v>
      </c>
      <c r="B113" t="s">
        <v>425</v>
      </c>
      <c r="C113"/>
      <c r="D113"/>
      <c r="E113"/>
      <c r="F113"/>
      <c r="G113" t="s">
        <v>290</v>
      </c>
      <c r="H113" t="s">
        <v>132</v>
      </c>
      <c r="I113" t="s">
        <v>1</v>
      </c>
      <c r="J113" t="s">
        <v>133</v>
      </c>
      <c r="K113" t="s">
        <v>51</v>
      </c>
      <c r="L113" t="s">
        <v>426</v>
      </c>
      <c r="M113" t="s">
        <v>134</v>
      </c>
      <c r="N113" t="s">
        <v>135</v>
      </c>
      <c r="O113"/>
      <c r="P113"/>
      <c r="Q113" t="s">
        <v>291</v>
      </c>
      <c r="R113"/>
      <c r="S113"/>
      <c r="T113" t="s">
        <v>169</v>
      </c>
      <c r="U113" t="s">
        <v>137</v>
      </c>
      <c r="V113" t="s">
        <v>427</v>
      </c>
      <c r="W113"/>
      <c r="X113" t="s">
        <v>121</v>
      </c>
      <c r="Y113"/>
      <c r="Z113"/>
      <c r="AA113" t="s">
        <v>292</v>
      </c>
      <c r="AB113" t="s">
        <v>1</v>
      </c>
      <c r="AC113" t="s">
        <v>138</v>
      </c>
      <c r="AD113" t="s">
        <v>130</v>
      </c>
      <c r="AE113" s="97"/>
    </row>
    <row r="114" spans="1:31" ht="14.4" customHeight="1" x14ac:dyDescent="0.3">
      <c r="A114" t="s">
        <v>428</v>
      </c>
      <c r="B114" t="s">
        <v>429</v>
      </c>
      <c r="C114"/>
      <c r="D114"/>
      <c r="E114"/>
      <c r="F114"/>
      <c r="G114" t="s">
        <v>290</v>
      </c>
      <c r="H114" t="s">
        <v>132</v>
      </c>
      <c r="I114" t="s">
        <v>1</v>
      </c>
      <c r="J114" t="s">
        <v>133</v>
      </c>
      <c r="K114" t="s">
        <v>51</v>
      </c>
      <c r="L114" t="s">
        <v>430</v>
      </c>
      <c r="M114" t="s">
        <v>134</v>
      </c>
      <c r="N114" t="s">
        <v>135</v>
      </c>
      <c r="O114"/>
      <c r="P114"/>
      <c r="Q114" t="s">
        <v>291</v>
      </c>
      <c r="R114"/>
      <c r="S114"/>
      <c r="T114" t="s">
        <v>169</v>
      </c>
      <c r="U114" t="s">
        <v>137</v>
      </c>
      <c r="V114" t="s">
        <v>147</v>
      </c>
      <c r="W114"/>
      <c r="X114" t="s">
        <v>70</v>
      </c>
      <c r="Y114"/>
      <c r="Z114"/>
      <c r="AA114" t="s">
        <v>292</v>
      </c>
      <c r="AB114" t="s">
        <v>1</v>
      </c>
      <c r="AC114" t="s">
        <v>138</v>
      </c>
      <c r="AD114" t="s">
        <v>128</v>
      </c>
      <c r="AE114" s="97"/>
    </row>
    <row r="115" spans="1:31" ht="14.4" customHeight="1" x14ac:dyDescent="0.3">
      <c r="A115" t="s">
        <v>431</v>
      </c>
      <c r="B115" t="s">
        <v>432</v>
      </c>
      <c r="C115"/>
      <c r="D115"/>
      <c r="E115"/>
      <c r="F115"/>
      <c r="G115" t="s">
        <v>290</v>
      </c>
      <c r="H115" t="s">
        <v>132</v>
      </c>
      <c r="I115" t="s">
        <v>1</v>
      </c>
      <c r="J115" t="s">
        <v>133</v>
      </c>
      <c r="K115" t="s">
        <v>51</v>
      </c>
      <c r="L115" t="s">
        <v>433</v>
      </c>
      <c r="M115" t="s">
        <v>134</v>
      </c>
      <c r="N115" t="s">
        <v>135</v>
      </c>
      <c r="O115"/>
      <c r="P115"/>
      <c r="Q115" t="s">
        <v>291</v>
      </c>
      <c r="R115"/>
      <c r="S115"/>
      <c r="T115" t="s">
        <v>169</v>
      </c>
      <c r="U115" t="s">
        <v>137</v>
      </c>
      <c r="V115" t="s">
        <v>150</v>
      </c>
      <c r="W115"/>
      <c r="X115" t="s">
        <v>76</v>
      </c>
      <c r="Y115"/>
      <c r="Z115"/>
      <c r="AA115" t="s">
        <v>292</v>
      </c>
      <c r="AB115" t="s">
        <v>1</v>
      </c>
      <c r="AC115" t="s">
        <v>138</v>
      </c>
      <c r="AD115" t="s">
        <v>128</v>
      </c>
      <c r="AE115" s="97"/>
    </row>
    <row r="116" spans="1:31" ht="14.4" customHeight="1" x14ac:dyDescent="0.3">
      <c r="A116" t="s">
        <v>434</v>
      </c>
      <c r="B116" t="s">
        <v>435</v>
      </c>
      <c r="C116"/>
      <c r="D116"/>
      <c r="E116"/>
      <c r="F116"/>
      <c r="G116" t="s">
        <v>290</v>
      </c>
      <c r="H116" t="s">
        <v>132</v>
      </c>
      <c r="I116" t="s">
        <v>1</v>
      </c>
      <c r="J116" t="s">
        <v>133</v>
      </c>
      <c r="K116" t="s">
        <v>51</v>
      </c>
      <c r="L116" t="s">
        <v>436</v>
      </c>
      <c r="M116" t="s">
        <v>134</v>
      </c>
      <c r="N116" t="s">
        <v>135</v>
      </c>
      <c r="O116"/>
      <c r="P116"/>
      <c r="Q116" t="s">
        <v>291</v>
      </c>
      <c r="R116"/>
      <c r="S116"/>
      <c r="T116" t="s">
        <v>169</v>
      </c>
      <c r="U116" t="s">
        <v>137</v>
      </c>
      <c r="V116" t="s">
        <v>153</v>
      </c>
      <c r="W116"/>
      <c r="X116" t="s">
        <v>88</v>
      </c>
      <c r="Y116"/>
      <c r="Z116"/>
      <c r="AA116" t="s">
        <v>292</v>
      </c>
      <c r="AB116" t="s">
        <v>1</v>
      </c>
      <c r="AC116" t="s">
        <v>138</v>
      </c>
      <c r="AD116" t="s">
        <v>129</v>
      </c>
      <c r="AE116" s="97"/>
    </row>
    <row r="117" spans="1:31" ht="14.4" customHeight="1" x14ac:dyDescent="0.3">
      <c r="A117" t="s">
        <v>437</v>
      </c>
      <c r="B117" t="s">
        <v>438</v>
      </c>
      <c r="C117"/>
      <c r="D117"/>
      <c r="E117"/>
      <c r="F117"/>
      <c r="G117" t="s">
        <v>290</v>
      </c>
      <c r="H117" t="s">
        <v>132</v>
      </c>
      <c r="I117" t="s">
        <v>1</v>
      </c>
      <c r="J117" t="s">
        <v>133</v>
      </c>
      <c r="K117" t="s">
        <v>51</v>
      </c>
      <c r="L117" t="s">
        <v>439</v>
      </c>
      <c r="M117" t="s">
        <v>134</v>
      </c>
      <c r="N117" t="s">
        <v>135</v>
      </c>
      <c r="O117"/>
      <c r="P117"/>
      <c r="Q117" t="s">
        <v>291</v>
      </c>
      <c r="R117"/>
      <c r="S117"/>
      <c r="T117" t="s">
        <v>169</v>
      </c>
      <c r="U117" t="s">
        <v>137</v>
      </c>
      <c r="V117" t="s">
        <v>156</v>
      </c>
      <c r="W117"/>
      <c r="X117" t="s">
        <v>97</v>
      </c>
      <c r="Y117"/>
      <c r="Z117"/>
      <c r="AA117" t="s">
        <v>292</v>
      </c>
      <c r="AB117" t="s">
        <v>1</v>
      </c>
      <c r="AC117" t="s">
        <v>138</v>
      </c>
      <c r="AD117" t="s">
        <v>129</v>
      </c>
      <c r="AE117" s="97"/>
    </row>
    <row r="118" spans="1:31" ht="14.4" customHeight="1" x14ac:dyDescent="0.3">
      <c r="A118" t="s">
        <v>440</v>
      </c>
      <c r="B118" t="s">
        <v>441</v>
      </c>
      <c r="C118"/>
      <c r="D118"/>
      <c r="E118"/>
      <c r="F118"/>
      <c r="G118" t="s">
        <v>290</v>
      </c>
      <c r="H118" t="s">
        <v>132</v>
      </c>
      <c r="I118" t="s">
        <v>1</v>
      </c>
      <c r="J118" t="s">
        <v>133</v>
      </c>
      <c r="K118" t="s">
        <v>51</v>
      </c>
      <c r="L118" t="s">
        <v>442</v>
      </c>
      <c r="M118" t="s">
        <v>134</v>
      </c>
      <c r="N118" t="s">
        <v>135</v>
      </c>
      <c r="O118"/>
      <c r="P118"/>
      <c r="Q118" t="s">
        <v>291</v>
      </c>
      <c r="R118"/>
      <c r="S118"/>
      <c r="T118" t="s">
        <v>169</v>
      </c>
      <c r="U118" t="s">
        <v>137</v>
      </c>
      <c r="V118" t="s">
        <v>159</v>
      </c>
      <c r="W118"/>
      <c r="X118" t="s">
        <v>106</v>
      </c>
      <c r="Y118"/>
      <c r="Z118"/>
      <c r="AA118" t="s">
        <v>292</v>
      </c>
      <c r="AB118" t="s">
        <v>1</v>
      </c>
      <c r="AC118" t="s">
        <v>138</v>
      </c>
      <c r="AD118" t="s">
        <v>129</v>
      </c>
      <c r="AE118" s="97"/>
    </row>
    <row r="119" spans="1:31" ht="14.4" customHeight="1" x14ac:dyDescent="0.3">
      <c r="A119" t="s">
        <v>443</v>
      </c>
      <c r="B119" t="s">
        <v>444</v>
      </c>
      <c r="C119"/>
      <c r="D119"/>
      <c r="E119"/>
      <c r="F119"/>
      <c r="G119" t="s">
        <v>290</v>
      </c>
      <c r="H119" t="s">
        <v>132</v>
      </c>
      <c r="I119" t="s">
        <v>1</v>
      </c>
      <c r="J119" t="s">
        <v>133</v>
      </c>
      <c r="K119" t="s">
        <v>51</v>
      </c>
      <c r="L119" t="s">
        <v>445</v>
      </c>
      <c r="M119" t="s">
        <v>134</v>
      </c>
      <c r="N119" t="s">
        <v>135</v>
      </c>
      <c r="O119"/>
      <c r="P119"/>
      <c r="Q119" t="s">
        <v>291</v>
      </c>
      <c r="R119"/>
      <c r="S119"/>
      <c r="T119" t="s">
        <v>169</v>
      </c>
      <c r="U119" t="s">
        <v>137</v>
      </c>
      <c r="V119" t="s">
        <v>162</v>
      </c>
      <c r="W119"/>
      <c r="X119" t="s">
        <v>113</v>
      </c>
      <c r="Y119"/>
      <c r="Z119"/>
      <c r="AA119" t="s">
        <v>292</v>
      </c>
      <c r="AB119" t="s">
        <v>1</v>
      </c>
      <c r="AC119" t="s">
        <v>138</v>
      </c>
      <c r="AD119" t="s">
        <v>129</v>
      </c>
      <c r="AE119" s="97"/>
    </row>
    <row r="120" spans="1:31" ht="14.4" customHeight="1" x14ac:dyDescent="0.3">
      <c r="A120" t="s">
        <v>446</v>
      </c>
      <c r="B120" t="s">
        <v>447</v>
      </c>
      <c r="C120"/>
      <c r="D120"/>
      <c r="E120"/>
      <c r="F120"/>
      <c r="G120" t="s">
        <v>290</v>
      </c>
      <c r="H120" t="s">
        <v>132</v>
      </c>
      <c r="I120" t="s">
        <v>1</v>
      </c>
      <c r="J120" t="s">
        <v>133</v>
      </c>
      <c r="K120" t="s">
        <v>51</v>
      </c>
      <c r="L120" t="s">
        <v>448</v>
      </c>
      <c r="M120" t="s">
        <v>134</v>
      </c>
      <c r="N120" t="s">
        <v>135</v>
      </c>
      <c r="O120"/>
      <c r="P120"/>
      <c r="Q120" t="s">
        <v>291</v>
      </c>
      <c r="R120"/>
      <c r="S120"/>
      <c r="T120" t="s">
        <v>169</v>
      </c>
      <c r="U120" t="s">
        <v>137</v>
      </c>
      <c r="V120" t="s">
        <v>165</v>
      </c>
      <c r="W120"/>
      <c r="X120" t="s">
        <v>122</v>
      </c>
      <c r="Y120"/>
      <c r="Z120"/>
      <c r="AA120" t="s">
        <v>292</v>
      </c>
      <c r="AB120" t="s">
        <v>1</v>
      </c>
      <c r="AC120" t="s">
        <v>138</v>
      </c>
      <c r="AD120" t="s">
        <v>130</v>
      </c>
      <c r="AE120" s="97"/>
    </row>
    <row r="121" spans="1:31" ht="14.4" customHeight="1" x14ac:dyDescent="0.3">
      <c r="A121" t="s">
        <v>449</v>
      </c>
      <c r="B121" t="s">
        <v>450</v>
      </c>
      <c r="C121"/>
      <c r="D121"/>
      <c r="E121"/>
      <c r="F121"/>
      <c r="G121" t="s">
        <v>290</v>
      </c>
      <c r="H121" t="s">
        <v>132</v>
      </c>
      <c r="I121" t="s">
        <v>1</v>
      </c>
      <c r="J121" t="s">
        <v>133</v>
      </c>
      <c r="K121" t="s">
        <v>51</v>
      </c>
      <c r="L121" t="s">
        <v>451</v>
      </c>
      <c r="M121" t="s">
        <v>134</v>
      </c>
      <c r="N121" t="s">
        <v>135</v>
      </c>
      <c r="O121"/>
      <c r="P121"/>
      <c r="Q121" t="s">
        <v>291</v>
      </c>
      <c r="R121"/>
      <c r="S121"/>
      <c r="T121" t="s">
        <v>169</v>
      </c>
      <c r="U121" t="s">
        <v>137</v>
      </c>
      <c r="V121" t="s">
        <v>147</v>
      </c>
      <c r="W121"/>
      <c r="X121" t="s">
        <v>70</v>
      </c>
      <c r="Y121"/>
      <c r="Z121"/>
      <c r="AA121" t="s">
        <v>292</v>
      </c>
      <c r="AB121" t="s">
        <v>1</v>
      </c>
      <c r="AC121" t="s">
        <v>138</v>
      </c>
      <c r="AD121" t="s">
        <v>128</v>
      </c>
      <c r="AE121" s="97"/>
    </row>
    <row r="122" spans="1:31" ht="14.4" customHeight="1" x14ac:dyDescent="0.3">
      <c r="A122" t="s">
        <v>452</v>
      </c>
      <c r="B122" t="s">
        <v>453</v>
      </c>
      <c r="C122"/>
      <c r="D122"/>
      <c r="E122"/>
      <c r="F122"/>
      <c r="G122" t="s">
        <v>290</v>
      </c>
      <c r="H122" t="s">
        <v>132</v>
      </c>
      <c r="I122" t="s">
        <v>1</v>
      </c>
      <c r="J122" t="s">
        <v>133</v>
      </c>
      <c r="K122" t="s">
        <v>51</v>
      </c>
      <c r="L122" t="s">
        <v>451</v>
      </c>
      <c r="M122" t="s">
        <v>134</v>
      </c>
      <c r="N122" t="s">
        <v>135</v>
      </c>
      <c r="O122"/>
      <c r="P122"/>
      <c r="Q122" t="s">
        <v>291</v>
      </c>
      <c r="R122"/>
      <c r="S122"/>
      <c r="T122" t="s">
        <v>169</v>
      </c>
      <c r="U122" t="s">
        <v>137</v>
      </c>
      <c r="V122" t="s">
        <v>147</v>
      </c>
      <c r="W122"/>
      <c r="X122" t="s">
        <v>70</v>
      </c>
      <c r="Y122"/>
      <c r="Z122"/>
      <c r="AA122" t="s">
        <v>292</v>
      </c>
      <c r="AB122" t="s">
        <v>1</v>
      </c>
      <c r="AC122" t="s">
        <v>138</v>
      </c>
      <c r="AD122" t="s">
        <v>128</v>
      </c>
      <c r="AE122" s="97"/>
    </row>
    <row r="123" spans="1:31" ht="14.4" customHeight="1" x14ac:dyDescent="0.3">
      <c r="A123" t="s">
        <v>454</v>
      </c>
      <c r="B123" t="s">
        <v>455</v>
      </c>
      <c r="C123"/>
      <c r="D123"/>
      <c r="E123"/>
      <c r="F123"/>
      <c r="G123" t="s">
        <v>290</v>
      </c>
      <c r="H123" t="s">
        <v>132</v>
      </c>
      <c r="I123" t="s">
        <v>1</v>
      </c>
      <c r="J123" t="s">
        <v>133</v>
      </c>
      <c r="K123" t="s">
        <v>51</v>
      </c>
      <c r="L123" t="s">
        <v>451</v>
      </c>
      <c r="M123" t="s">
        <v>134</v>
      </c>
      <c r="N123" t="s">
        <v>135</v>
      </c>
      <c r="O123"/>
      <c r="P123"/>
      <c r="Q123" t="s">
        <v>291</v>
      </c>
      <c r="R123"/>
      <c r="S123"/>
      <c r="T123" t="s">
        <v>169</v>
      </c>
      <c r="U123" t="s">
        <v>137</v>
      </c>
      <c r="V123" t="s">
        <v>147</v>
      </c>
      <c r="W123"/>
      <c r="X123" t="s">
        <v>70</v>
      </c>
      <c r="Y123"/>
      <c r="Z123"/>
      <c r="AA123" t="s">
        <v>292</v>
      </c>
      <c r="AB123" t="s">
        <v>1</v>
      </c>
      <c r="AC123" t="s">
        <v>138</v>
      </c>
      <c r="AD123" t="s">
        <v>128</v>
      </c>
      <c r="AE123" s="97"/>
    </row>
    <row r="124" spans="1:31" ht="14.4" customHeight="1" x14ac:dyDescent="0.3">
      <c r="A124" t="s">
        <v>456</v>
      </c>
      <c r="B124" t="s">
        <v>457</v>
      </c>
      <c r="C124"/>
      <c r="D124"/>
      <c r="E124"/>
      <c r="F124"/>
      <c r="G124" t="s">
        <v>290</v>
      </c>
      <c r="H124" t="s">
        <v>132</v>
      </c>
      <c r="I124" t="s">
        <v>1</v>
      </c>
      <c r="J124" t="s">
        <v>133</v>
      </c>
      <c r="K124" t="s">
        <v>51</v>
      </c>
      <c r="L124" t="s">
        <v>451</v>
      </c>
      <c r="M124" t="s">
        <v>134</v>
      </c>
      <c r="N124" t="s">
        <v>135</v>
      </c>
      <c r="O124"/>
      <c r="P124"/>
      <c r="Q124" t="s">
        <v>291</v>
      </c>
      <c r="R124"/>
      <c r="S124"/>
      <c r="T124" t="s">
        <v>169</v>
      </c>
      <c r="U124" t="s">
        <v>137</v>
      </c>
      <c r="V124" t="s">
        <v>147</v>
      </c>
      <c r="W124"/>
      <c r="X124" t="s">
        <v>70</v>
      </c>
      <c r="Y124"/>
      <c r="Z124"/>
      <c r="AA124" t="s">
        <v>292</v>
      </c>
      <c r="AB124" t="s">
        <v>1</v>
      </c>
      <c r="AC124" t="s">
        <v>138</v>
      </c>
      <c r="AD124" t="s">
        <v>128</v>
      </c>
      <c r="AE124" s="97"/>
    </row>
    <row r="125" spans="1:31" ht="14.4" customHeight="1" x14ac:dyDescent="0.3">
      <c r="A125" t="s">
        <v>458</v>
      </c>
      <c r="B125" t="s">
        <v>459</v>
      </c>
      <c r="C125"/>
      <c r="D125"/>
      <c r="E125"/>
      <c r="F125"/>
      <c r="G125" t="s">
        <v>290</v>
      </c>
      <c r="H125" t="s">
        <v>132</v>
      </c>
      <c r="I125" t="s">
        <v>1</v>
      </c>
      <c r="J125" t="s">
        <v>133</v>
      </c>
      <c r="K125" t="s">
        <v>51</v>
      </c>
      <c r="L125" t="s">
        <v>451</v>
      </c>
      <c r="M125" t="s">
        <v>134</v>
      </c>
      <c r="N125" t="s">
        <v>135</v>
      </c>
      <c r="O125"/>
      <c r="P125"/>
      <c r="Q125" t="s">
        <v>291</v>
      </c>
      <c r="R125"/>
      <c r="S125"/>
      <c r="T125" t="s">
        <v>169</v>
      </c>
      <c r="U125" t="s">
        <v>137</v>
      </c>
      <c r="V125" t="s">
        <v>147</v>
      </c>
      <c r="W125"/>
      <c r="X125" t="s">
        <v>70</v>
      </c>
      <c r="Y125"/>
      <c r="Z125"/>
      <c r="AA125" t="s">
        <v>292</v>
      </c>
      <c r="AB125" t="s">
        <v>1</v>
      </c>
      <c r="AC125" t="s">
        <v>138</v>
      </c>
      <c r="AD125" t="s">
        <v>128</v>
      </c>
      <c r="AE125" s="97"/>
    </row>
    <row r="126" spans="1:31" ht="14.4" customHeight="1" x14ac:dyDescent="0.3">
      <c r="A126" t="s">
        <v>460</v>
      </c>
      <c r="B126" t="s">
        <v>461</v>
      </c>
      <c r="C126"/>
      <c r="D126"/>
      <c r="E126"/>
      <c r="F126"/>
      <c r="G126" t="s">
        <v>290</v>
      </c>
      <c r="H126" t="s">
        <v>132</v>
      </c>
      <c r="I126" t="s">
        <v>1</v>
      </c>
      <c r="J126" t="s">
        <v>133</v>
      </c>
      <c r="K126" t="s">
        <v>51</v>
      </c>
      <c r="L126" t="s">
        <v>451</v>
      </c>
      <c r="M126" t="s">
        <v>134</v>
      </c>
      <c r="N126" t="s">
        <v>135</v>
      </c>
      <c r="O126"/>
      <c r="P126"/>
      <c r="Q126" t="s">
        <v>291</v>
      </c>
      <c r="R126"/>
      <c r="S126"/>
      <c r="T126" t="s">
        <v>169</v>
      </c>
      <c r="U126" t="s">
        <v>137</v>
      </c>
      <c r="V126" t="s">
        <v>147</v>
      </c>
      <c r="W126"/>
      <c r="X126" t="s">
        <v>70</v>
      </c>
      <c r="Y126"/>
      <c r="Z126"/>
      <c r="AA126" t="s">
        <v>292</v>
      </c>
      <c r="AB126" t="s">
        <v>1</v>
      </c>
      <c r="AC126" t="s">
        <v>138</v>
      </c>
      <c r="AD126" t="s">
        <v>128</v>
      </c>
      <c r="AE126" s="97"/>
    </row>
    <row r="127" spans="1:31" ht="14.4" customHeight="1" x14ac:dyDescent="0.3">
      <c r="A127" t="s">
        <v>462</v>
      </c>
      <c r="B127" t="s">
        <v>463</v>
      </c>
      <c r="C127"/>
      <c r="D127"/>
      <c r="E127"/>
      <c r="F127"/>
      <c r="G127" t="s">
        <v>290</v>
      </c>
      <c r="H127" t="s">
        <v>132</v>
      </c>
      <c r="I127" t="s">
        <v>1</v>
      </c>
      <c r="J127" t="s">
        <v>133</v>
      </c>
      <c r="K127" t="s">
        <v>51</v>
      </c>
      <c r="L127" t="s">
        <v>464</v>
      </c>
      <c r="M127" t="s">
        <v>134</v>
      </c>
      <c r="N127" t="s">
        <v>135</v>
      </c>
      <c r="O127"/>
      <c r="P127"/>
      <c r="Q127" t="s">
        <v>291</v>
      </c>
      <c r="R127"/>
      <c r="S127"/>
      <c r="T127" t="s">
        <v>169</v>
      </c>
      <c r="U127" t="s">
        <v>137</v>
      </c>
      <c r="V127" t="s">
        <v>147</v>
      </c>
      <c r="W127"/>
      <c r="X127" t="s">
        <v>70</v>
      </c>
      <c r="Y127"/>
      <c r="Z127"/>
      <c r="AA127" t="s">
        <v>292</v>
      </c>
      <c r="AB127" t="s">
        <v>1</v>
      </c>
      <c r="AC127" t="s">
        <v>138</v>
      </c>
      <c r="AD127" t="s">
        <v>128</v>
      </c>
      <c r="AE127" s="97"/>
    </row>
    <row r="128" spans="1:31" ht="14.4" customHeight="1" x14ac:dyDescent="0.3">
      <c r="A128" t="s">
        <v>465</v>
      </c>
      <c r="B128" t="s">
        <v>466</v>
      </c>
      <c r="C128"/>
      <c r="D128"/>
      <c r="E128"/>
      <c r="F128"/>
      <c r="G128" t="s">
        <v>290</v>
      </c>
      <c r="H128" t="s">
        <v>132</v>
      </c>
      <c r="I128" t="s">
        <v>1</v>
      </c>
      <c r="J128" t="s">
        <v>133</v>
      </c>
      <c r="K128" t="s">
        <v>51</v>
      </c>
      <c r="L128" t="s">
        <v>464</v>
      </c>
      <c r="M128" t="s">
        <v>134</v>
      </c>
      <c r="N128" t="s">
        <v>135</v>
      </c>
      <c r="O128"/>
      <c r="P128"/>
      <c r="Q128" t="s">
        <v>291</v>
      </c>
      <c r="R128"/>
      <c r="S128"/>
      <c r="T128" t="s">
        <v>169</v>
      </c>
      <c r="U128" t="s">
        <v>137</v>
      </c>
      <c r="V128" t="s">
        <v>147</v>
      </c>
      <c r="W128"/>
      <c r="X128" t="s">
        <v>70</v>
      </c>
      <c r="Y128"/>
      <c r="Z128"/>
      <c r="AA128" t="s">
        <v>292</v>
      </c>
      <c r="AB128" t="s">
        <v>1</v>
      </c>
      <c r="AC128" t="s">
        <v>138</v>
      </c>
      <c r="AD128" t="s">
        <v>128</v>
      </c>
      <c r="AE128" s="97"/>
    </row>
    <row r="129" spans="1:31" ht="14.4" customHeight="1" x14ac:dyDescent="0.3">
      <c r="A129" t="s">
        <v>467</v>
      </c>
      <c r="B129" t="s">
        <v>468</v>
      </c>
      <c r="C129"/>
      <c r="D129"/>
      <c r="E129"/>
      <c r="F129"/>
      <c r="G129" t="s">
        <v>290</v>
      </c>
      <c r="H129" t="s">
        <v>132</v>
      </c>
      <c r="I129" t="s">
        <v>1</v>
      </c>
      <c r="J129" t="s">
        <v>133</v>
      </c>
      <c r="K129" t="s">
        <v>51</v>
      </c>
      <c r="L129" t="s">
        <v>464</v>
      </c>
      <c r="M129" t="s">
        <v>134</v>
      </c>
      <c r="N129" t="s">
        <v>135</v>
      </c>
      <c r="O129"/>
      <c r="P129"/>
      <c r="Q129" t="s">
        <v>291</v>
      </c>
      <c r="R129"/>
      <c r="S129"/>
      <c r="T129" t="s">
        <v>169</v>
      </c>
      <c r="U129" t="s">
        <v>137</v>
      </c>
      <c r="V129" t="s">
        <v>147</v>
      </c>
      <c r="W129"/>
      <c r="X129" t="s">
        <v>70</v>
      </c>
      <c r="Y129"/>
      <c r="Z129"/>
      <c r="AA129" t="s">
        <v>292</v>
      </c>
      <c r="AB129" t="s">
        <v>1</v>
      </c>
      <c r="AC129" t="s">
        <v>138</v>
      </c>
      <c r="AD129" t="s">
        <v>128</v>
      </c>
      <c r="AE129" s="97"/>
    </row>
    <row r="130" spans="1:31" ht="14.4" customHeight="1" x14ac:dyDescent="0.3">
      <c r="A130" t="s">
        <v>469</v>
      </c>
      <c r="B130" t="s">
        <v>470</v>
      </c>
      <c r="C130"/>
      <c r="D130"/>
      <c r="E130"/>
      <c r="F130"/>
      <c r="G130" t="s">
        <v>290</v>
      </c>
      <c r="H130" t="s">
        <v>132</v>
      </c>
      <c r="I130" t="s">
        <v>1</v>
      </c>
      <c r="J130" t="s">
        <v>133</v>
      </c>
      <c r="K130" t="s">
        <v>51</v>
      </c>
      <c r="L130" t="s">
        <v>464</v>
      </c>
      <c r="M130" t="s">
        <v>134</v>
      </c>
      <c r="N130" t="s">
        <v>135</v>
      </c>
      <c r="O130"/>
      <c r="P130"/>
      <c r="Q130" t="s">
        <v>291</v>
      </c>
      <c r="R130"/>
      <c r="S130"/>
      <c r="T130" t="s">
        <v>169</v>
      </c>
      <c r="U130" t="s">
        <v>137</v>
      </c>
      <c r="V130" t="s">
        <v>147</v>
      </c>
      <c r="W130"/>
      <c r="X130" t="s">
        <v>70</v>
      </c>
      <c r="Y130"/>
      <c r="Z130"/>
      <c r="AA130" t="s">
        <v>292</v>
      </c>
      <c r="AB130" t="s">
        <v>1</v>
      </c>
      <c r="AC130" t="s">
        <v>138</v>
      </c>
      <c r="AD130" t="s">
        <v>128</v>
      </c>
      <c r="AE130" s="97"/>
    </row>
    <row r="131" spans="1:31" ht="14.4" customHeight="1" x14ac:dyDescent="0.3">
      <c r="A131" t="s">
        <v>471</v>
      </c>
      <c r="B131" t="s">
        <v>472</v>
      </c>
      <c r="C131"/>
      <c r="D131"/>
      <c r="E131"/>
      <c r="F131"/>
      <c r="G131" t="s">
        <v>290</v>
      </c>
      <c r="H131" t="s">
        <v>132</v>
      </c>
      <c r="I131" t="s">
        <v>1</v>
      </c>
      <c r="J131" t="s">
        <v>133</v>
      </c>
      <c r="K131" t="s">
        <v>51</v>
      </c>
      <c r="L131" t="s">
        <v>464</v>
      </c>
      <c r="M131" t="s">
        <v>134</v>
      </c>
      <c r="N131" t="s">
        <v>135</v>
      </c>
      <c r="O131"/>
      <c r="P131"/>
      <c r="Q131" t="s">
        <v>291</v>
      </c>
      <c r="R131"/>
      <c r="S131"/>
      <c r="T131" t="s">
        <v>169</v>
      </c>
      <c r="U131" t="s">
        <v>137</v>
      </c>
      <c r="V131" t="s">
        <v>147</v>
      </c>
      <c r="W131"/>
      <c r="X131" t="s">
        <v>70</v>
      </c>
      <c r="Y131"/>
      <c r="Z131"/>
      <c r="AA131" t="s">
        <v>292</v>
      </c>
      <c r="AB131" t="s">
        <v>1</v>
      </c>
      <c r="AC131" t="s">
        <v>138</v>
      </c>
      <c r="AD131" t="s">
        <v>128</v>
      </c>
      <c r="AE131" s="97"/>
    </row>
    <row r="132" spans="1:31" ht="14.4" customHeight="1" x14ac:dyDescent="0.3">
      <c r="A132" t="s">
        <v>473</v>
      </c>
      <c r="B132" t="s">
        <v>474</v>
      </c>
      <c r="C132"/>
      <c r="D132"/>
      <c r="E132"/>
      <c r="F132"/>
      <c r="G132" t="s">
        <v>290</v>
      </c>
      <c r="H132" t="s">
        <v>132</v>
      </c>
      <c r="I132" t="s">
        <v>1</v>
      </c>
      <c r="J132" t="s">
        <v>133</v>
      </c>
      <c r="K132" t="s">
        <v>51</v>
      </c>
      <c r="L132" t="s">
        <v>464</v>
      </c>
      <c r="M132" t="s">
        <v>134</v>
      </c>
      <c r="N132" t="s">
        <v>135</v>
      </c>
      <c r="O132"/>
      <c r="P132"/>
      <c r="Q132" t="s">
        <v>291</v>
      </c>
      <c r="R132"/>
      <c r="S132"/>
      <c r="T132" t="s">
        <v>169</v>
      </c>
      <c r="U132" t="s">
        <v>137</v>
      </c>
      <c r="V132" t="s">
        <v>147</v>
      </c>
      <c r="W132"/>
      <c r="X132" t="s">
        <v>70</v>
      </c>
      <c r="Y132"/>
      <c r="Z132"/>
      <c r="AA132" t="s">
        <v>292</v>
      </c>
      <c r="AB132" t="s">
        <v>1</v>
      </c>
      <c r="AC132" t="s">
        <v>138</v>
      </c>
      <c r="AD132" t="s">
        <v>128</v>
      </c>
      <c r="AE132" s="97"/>
    </row>
    <row r="133" spans="1:31" ht="14.4" customHeight="1" x14ac:dyDescent="0.3">
      <c r="A133" t="s">
        <v>475</v>
      </c>
      <c r="B133" t="s">
        <v>476</v>
      </c>
      <c r="C133"/>
      <c r="D133"/>
      <c r="E133"/>
      <c r="F133"/>
      <c r="G133" t="s">
        <v>290</v>
      </c>
      <c r="H133" t="s">
        <v>132</v>
      </c>
      <c r="I133" t="s">
        <v>1</v>
      </c>
      <c r="J133" t="s">
        <v>133</v>
      </c>
      <c r="K133" t="s">
        <v>51</v>
      </c>
      <c r="L133" t="s">
        <v>477</v>
      </c>
      <c r="M133" t="s">
        <v>134</v>
      </c>
      <c r="N133" t="s">
        <v>135</v>
      </c>
      <c r="O133"/>
      <c r="P133"/>
      <c r="Q133" t="s">
        <v>291</v>
      </c>
      <c r="R133"/>
      <c r="S133"/>
      <c r="T133" t="s">
        <v>169</v>
      </c>
      <c r="U133" t="s">
        <v>137</v>
      </c>
      <c r="V133" t="s">
        <v>150</v>
      </c>
      <c r="W133"/>
      <c r="X133" t="s">
        <v>76</v>
      </c>
      <c r="Y133"/>
      <c r="Z133"/>
      <c r="AA133" t="s">
        <v>292</v>
      </c>
      <c r="AB133" t="s">
        <v>1</v>
      </c>
      <c r="AC133" t="s">
        <v>138</v>
      </c>
      <c r="AD133" t="s">
        <v>128</v>
      </c>
      <c r="AE133" s="97"/>
    </row>
    <row r="134" spans="1:31" ht="14.4" customHeight="1" x14ac:dyDescent="0.3">
      <c r="A134" t="s">
        <v>478</v>
      </c>
      <c r="B134" t="s">
        <v>479</v>
      </c>
      <c r="C134"/>
      <c r="D134"/>
      <c r="E134"/>
      <c r="F134"/>
      <c r="G134" t="s">
        <v>290</v>
      </c>
      <c r="H134" t="s">
        <v>132</v>
      </c>
      <c r="I134" t="s">
        <v>1</v>
      </c>
      <c r="J134" t="s">
        <v>133</v>
      </c>
      <c r="K134" t="s">
        <v>51</v>
      </c>
      <c r="L134" t="s">
        <v>477</v>
      </c>
      <c r="M134" t="s">
        <v>134</v>
      </c>
      <c r="N134" t="s">
        <v>135</v>
      </c>
      <c r="O134"/>
      <c r="P134"/>
      <c r="Q134" t="s">
        <v>291</v>
      </c>
      <c r="R134"/>
      <c r="S134"/>
      <c r="T134" t="s">
        <v>169</v>
      </c>
      <c r="U134" t="s">
        <v>137</v>
      </c>
      <c r="V134" t="s">
        <v>150</v>
      </c>
      <c r="W134"/>
      <c r="X134" t="s">
        <v>76</v>
      </c>
      <c r="Y134"/>
      <c r="Z134"/>
      <c r="AA134" t="s">
        <v>292</v>
      </c>
      <c r="AB134" t="s">
        <v>1</v>
      </c>
      <c r="AC134" t="s">
        <v>138</v>
      </c>
      <c r="AD134" t="s">
        <v>128</v>
      </c>
      <c r="AE134" s="97"/>
    </row>
    <row r="135" spans="1:31" ht="14.4" customHeight="1" x14ac:dyDescent="0.3">
      <c r="A135" t="s">
        <v>480</v>
      </c>
      <c r="B135" t="s">
        <v>481</v>
      </c>
      <c r="C135"/>
      <c r="D135"/>
      <c r="E135"/>
      <c r="F135"/>
      <c r="G135" t="s">
        <v>290</v>
      </c>
      <c r="H135" t="s">
        <v>132</v>
      </c>
      <c r="I135" t="s">
        <v>1</v>
      </c>
      <c r="J135" t="s">
        <v>133</v>
      </c>
      <c r="K135" t="s">
        <v>51</v>
      </c>
      <c r="L135" t="s">
        <v>477</v>
      </c>
      <c r="M135" t="s">
        <v>134</v>
      </c>
      <c r="N135" t="s">
        <v>135</v>
      </c>
      <c r="O135"/>
      <c r="P135"/>
      <c r="Q135" t="s">
        <v>291</v>
      </c>
      <c r="R135"/>
      <c r="S135"/>
      <c r="T135" t="s">
        <v>169</v>
      </c>
      <c r="U135" t="s">
        <v>137</v>
      </c>
      <c r="V135" t="s">
        <v>150</v>
      </c>
      <c r="W135"/>
      <c r="X135" t="s">
        <v>76</v>
      </c>
      <c r="Y135"/>
      <c r="Z135"/>
      <c r="AA135" t="s">
        <v>292</v>
      </c>
      <c r="AB135" t="s">
        <v>1</v>
      </c>
      <c r="AC135" t="s">
        <v>138</v>
      </c>
      <c r="AD135" t="s">
        <v>128</v>
      </c>
      <c r="AE135" s="97"/>
    </row>
    <row r="136" spans="1:31" ht="14.4" customHeight="1" x14ac:dyDescent="0.3">
      <c r="A136" t="s">
        <v>482</v>
      </c>
      <c r="B136" t="s">
        <v>483</v>
      </c>
      <c r="C136"/>
      <c r="D136"/>
      <c r="E136"/>
      <c r="F136"/>
      <c r="G136" t="s">
        <v>290</v>
      </c>
      <c r="H136" t="s">
        <v>132</v>
      </c>
      <c r="I136" t="s">
        <v>1</v>
      </c>
      <c r="J136" t="s">
        <v>133</v>
      </c>
      <c r="K136" t="s">
        <v>51</v>
      </c>
      <c r="L136" t="s">
        <v>477</v>
      </c>
      <c r="M136" t="s">
        <v>134</v>
      </c>
      <c r="N136" t="s">
        <v>135</v>
      </c>
      <c r="O136"/>
      <c r="P136"/>
      <c r="Q136" t="s">
        <v>291</v>
      </c>
      <c r="R136"/>
      <c r="S136"/>
      <c r="T136" t="s">
        <v>169</v>
      </c>
      <c r="U136" t="s">
        <v>137</v>
      </c>
      <c r="V136" t="s">
        <v>150</v>
      </c>
      <c r="W136"/>
      <c r="X136" t="s">
        <v>76</v>
      </c>
      <c r="Y136"/>
      <c r="Z136"/>
      <c r="AA136" t="s">
        <v>292</v>
      </c>
      <c r="AB136" t="s">
        <v>1</v>
      </c>
      <c r="AC136" t="s">
        <v>138</v>
      </c>
      <c r="AD136" t="s">
        <v>128</v>
      </c>
      <c r="AE136" s="97"/>
    </row>
    <row r="137" spans="1:31" ht="14.4" customHeight="1" x14ac:dyDescent="0.3">
      <c r="A137" t="s">
        <v>484</v>
      </c>
      <c r="B137" t="s">
        <v>485</v>
      </c>
      <c r="C137"/>
      <c r="D137"/>
      <c r="E137"/>
      <c r="F137"/>
      <c r="G137" t="s">
        <v>290</v>
      </c>
      <c r="H137" t="s">
        <v>132</v>
      </c>
      <c r="I137" t="s">
        <v>1</v>
      </c>
      <c r="J137" t="s">
        <v>133</v>
      </c>
      <c r="K137" t="s">
        <v>51</v>
      </c>
      <c r="L137" t="s">
        <v>477</v>
      </c>
      <c r="M137" t="s">
        <v>134</v>
      </c>
      <c r="N137" t="s">
        <v>135</v>
      </c>
      <c r="O137"/>
      <c r="P137"/>
      <c r="Q137" t="s">
        <v>291</v>
      </c>
      <c r="R137"/>
      <c r="S137"/>
      <c r="T137" t="s">
        <v>169</v>
      </c>
      <c r="U137" t="s">
        <v>137</v>
      </c>
      <c r="V137" t="s">
        <v>150</v>
      </c>
      <c r="W137"/>
      <c r="X137" t="s">
        <v>76</v>
      </c>
      <c r="Y137"/>
      <c r="Z137"/>
      <c r="AA137" t="s">
        <v>292</v>
      </c>
      <c r="AB137" t="s">
        <v>1</v>
      </c>
      <c r="AC137" t="s">
        <v>138</v>
      </c>
      <c r="AD137" t="s">
        <v>128</v>
      </c>
      <c r="AE137" s="97"/>
    </row>
    <row r="138" spans="1:31" ht="14.4" customHeight="1" x14ac:dyDescent="0.3">
      <c r="A138" t="s">
        <v>486</v>
      </c>
      <c r="B138" t="s">
        <v>487</v>
      </c>
      <c r="C138"/>
      <c r="D138"/>
      <c r="E138"/>
      <c r="F138"/>
      <c r="G138" t="s">
        <v>290</v>
      </c>
      <c r="H138" t="s">
        <v>132</v>
      </c>
      <c r="I138" t="s">
        <v>1</v>
      </c>
      <c r="J138" t="s">
        <v>133</v>
      </c>
      <c r="K138" t="s">
        <v>51</v>
      </c>
      <c r="L138" t="s">
        <v>477</v>
      </c>
      <c r="M138" t="s">
        <v>134</v>
      </c>
      <c r="N138" t="s">
        <v>135</v>
      </c>
      <c r="O138"/>
      <c r="P138"/>
      <c r="Q138" t="s">
        <v>291</v>
      </c>
      <c r="R138"/>
      <c r="S138"/>
      <c r="T138" t="s">
        <v>169</v>
      </c>
      <c r="U138" t="s">
        <v>137</v>
      </c>
      <c r="V138" t="s">
        <v>150</v>
      </c>
      <c r="W138"/>
      <c r="X138" t="s">
        <v>76</v>
      </c>
      <c r="Y138"/>
      <c r="Z138"/>
      <c r="AA138" t="s">
        <v>292</v>
      </c>
      <c r="AB138" t="s">
        <v>1</v>
      </c>
      <c r="AC138" t="s">
        <v>138</v>
      </c>
      <c r="AD138" t="s">
        <v>128</v>
      </c>
      <c r="AE138" s="97"/>
    </row>
    <row r="139" spans="1:31" ht="14.4" customHeight="1" x14ac:dyDescent="0.3">
      <c r="A139" t="s">
        <v>488</v>
      </c>
      <c r="B139" t="s">
        <v>489</v>
      </c>
      <c r="C139"/>
      <c r="D139"/>
      <c r="E139"/>
      <c r="F139"/>
      <c r="G139" t="s">
        <v>290</v>
      </c>
      <c r="H139" t="s">
        <v>132</v>
      </c>
      <c r="I139" t="s">
        <v>1</v>
      </c>
      <c r="J139" t="s">
        <v>133</v>
      </c>
      <c r="K139" t="s">
        <v>51</v>
      </c>
      <c r="L139" t="s">
        <v>490</v>
      </c>
      <c r="M139" t="s">
        <v>134</v>
      </c>
      <c r="N139" t="s">
        <v>135</v>
      </c>
      <c r="O139"/>
      <c r="P139"/>
      <c r="Q139" t="s">
        <v>291</v>
      </c>
      <c r="R139"/>
      <c r="S139"/>
      <c r="T139" t="s">
        <v>169</v>
      </c>
      <c r="U139" t="s">
        <v>137</v>
      </c>
      <c r="V139" t="s">
        <v>150</v>
      </c>
      <c r="W139"/>
      <c r="X139" t="s">
        <v>76</v>
      </c>
      <c r="Y139"/>
      <c r="Z139"/>
      <c r="AA139" t="s">
        <v>292</v>
      </c>
      <c r="AB139" t="s">
        <v>1</v>
      </c>
      <c r="AC139" t="s">
        <v>138</v>
      </c>
      <c r="AD139" t="s">
        <v>128</v>
      </c>
      <c r="AE139" s="97"/>
    </row>
    <row r="140" spans="1:31" ht="14.4" customHeight="1" x14ac:dyDescent="0.3">
      <c r="A140" t="s">
        <v>491</v>
      </c>
      <c r="B140" t="s">
        <v>492</v>
      </c>
      <c r="C140"/>
      <c r="D140"/>
      <c r="E140"/>
      <c r="F140"/>
      <c r="G140" t="s">
        <v>290</v>
      </c>
      <c r="H140" t="s">
        <v>132</v>
      </c>
      <c r="I140" t="s">
        <v>1</v>
      </c>
      <c r="J140" t="s">
        <v>133</v>
      </c>
      <c r="K140" t="s">
        <v>51</v>
      </c>
      <c r="L140" t="s">
        <v>490</v>
      </c>
      <c r="M140" t="s">
        <v>134</v>
      </c>
      <c r="N140" t="s">
        <v>135</v>
      </c>
      <c r="O140"/>
      <c r="P140"/>
      <c r="Q140" t="s">
        <v>291</v>
      </c>
      <c r="R140"/>
      <c r="S140"/>
      <c r="T140" t="s">
        <v>169</v>
      </c>
      <c r="U140" t="s">
        <v>137</v>
      </c>
      <c r="V140" t="s">
        <v>150</v>
      </c>
      <c r="W140"/>
      <c r="X140" t="s">
        <v>76</v>
      </c>
      <c r="Y140"/>
      <c r="Z140"/>
      <c r="AA140" t="s">
        <v>292</v>
      </c>
      <c r="AB140" t="s">
        <v>1</v>
      </c>
      <c r="AC140" t="s">
        <v>138</v>
      </c>
      <c r="AD140" t="s">
        <v>128</v>
      </c>
      <c r="AE140" s="97"/>
    </row>
    <row r="141" spans="1:31" ht="14.4" customHeight="1" x14ac:dyDescent="0.3">
      <c r="A141" t="s">
        <v>493</v>
      </c>
      <c r="B141" t="s">
        <v>494</v>
      </c>
      <c r="C141"/>
      <c r="D141"/>
      <c r="E141"/>
      <c r="F141"/>
      <c r="G141" t="s">
        <v>290</v>
      </c>
      <c r="H141" t="s">
        <v>132</v>
      </c>
      <c r="I141" t="s">
        <v>1</v>
      </c>
      <c r="J141" t="s">
        <v>133</v>
      </c>
      <c r="K141" t="s">
        <v>51</v>
      </c>
      <c r="L141" t="s">
        <v>490</v>
      </c>
      <c r="M141" t="s">
        <v>134</v>
      </c>
      <c r="N141" t="s">
        <v>135</v>
      </c>
      <c r="O141"/>
      <c r="P141"/>
      <c r="Q141" t="s">
        <v>291</v>
      </c>
      <c r="R141"/>
      <c r="S141"/>
      <c r="T141" t="s">
        <v>169</v>
      </c>
      <c r="U141" t="s">
        <v>137</v>
      </c>
      <c r="V141" t="s">
        <v>150</v>
      </c>
      <c r="W141"/>
      <c r="X141" t="s">
        <v>76</v>
      </c>
      <c r="Y141"/>
      <c r="Z141"/>
      <c r="AA141" t="s">
        <v>292</v>
      </c>
      <c r="AB141" t="s">
        <v>1</v>
      </c>
      <c r="AC141" t="s">
        <v>138</v>
      </c>
      <c r="AD141" t="s">
        <v>128</v>
      </c>
      <c r="AE141" s="97"/>
    </row>
    <row r="142" spans="1:31" ht="14.4" customHeight="1" x14ac:dyDescent="0.3">
      <c r="A142" t="s">
        <v>495</v>
      </c>
      <c r="B142" t="s">
        <v>496</v>
      </c>
      <c r="C142"/>
      <c r="D142"/>
      <c r="E142"/>
      <c r="F142"/>
      <c r="G142" t="s">
        <v>290</v>
      </c>
      <c r="H142" t="s">
        <v>132</v>
      </c>
      <c r="I142" t="s">
        <v>1</v>
      </c>
      <c r="J142" t="s">
        <v>133</v>
      </c>
      <c r="K142" t="s">
        <v>51</v>
      </c>
      <c r="L142" t="s">
        <v>490</v>
      </c>
      <c r="M142" t="s">
        <v>134</v>
      </c>
      <c r="N142" t="s">
        <v>135</v>
      </c>
      <c r="O142"/>
      <c r="P142"/>
      <c r="Q142" t="s">
        <v>291</v>
      </c>
      <c r="R142"/>
      <c r="S142"/>
      <c r="T142" t="s">
        <v>169</v>
      </c>
      <c r="U142" t="s">
        <v>137</v>
      </c>
      <c r="V142" t="s">
        <v>150</v>
      </c>
      <c r="W142"/>
      <c r="X142" t="s">
        <v>76</v>
      </c>
      <c r="Y142"/>
      <c r="Z142"/>
      <c r="AA142" t="s">
        <v>292</v>
      </c>
      <c r="AB142" t="s">
        <v>1</v>
      </c>
      <c r="AC142" t="s">
        <v>138</v>
      </c>
      <c r="AD142" t="s">
        <v>128</v>
      </c>
      <c r="AE142" s="97"/>
    </row>
    <row r="143" spans="1:31" ht="14.4" customHeight="1" x14ac:dyDescent="0.3">
      <c r="A143" t="s">
        <v>497</v>
      </c>
      <c r="B143" t="s">
        <v>498</v>
      </c>
      <c r="C143"/>
      <c r="D143"/>
      <c r="E143"/>
      <c r="F143"/>
      <c r="G143" t="s">
        <v>290</v>
      </c>
      <c r="H143" t="s">
        <v>132</v>
      </c>
      <c r="I143" t="s">
        <v>1</v>
      </c>
      <c r="J143" t="s">
        <v>133</v>
      </c>
      <c r="K143" t="s">
        <v>51</v>
      </c>
      <c r="L143" t="s">
        <v>490</v>
      </c>
      <c r="M143" t="s">
        <v>134</v>
      </c>
      <c r="N143" t="s">
        <v>135</v>
      </c>
      <c r="O143"/>
      <c r="P143"/>
      <c r="Q143" t="s">
        <v>291</v>
      </c>
      <c r="R143"/>
      <c r="S143"/>
      <c r="T143" t="s">
        <v>169</v>
      </c>
      <c r="U143" t="s">
        <v>137</v>
      </c>
      <c r="V143" t="s">
        <v>150</v>
      </c>
      <c r="W143"/>
      <c r="X143" t="s">
        <v>76</v>
      </c>
      <c r="Y143"/>
      <c r="Z143"/>
      <c r="AA143" t="s">
        <v>292</v>
      </c>
      <c r="AB143" t="s">
        <v>1</v>
      </c>
      <c r="AC143" t="s">
        <v>138</v>
      </c>
      <c r="AD143" t="s">
        <v>128</v>
      </c>
      <c r="AE143" s="97"/>
    </row>
    <row r="144" spans="1:31" ht="14.4" customHeight="1" x14ac:dyDescent="0.3">
      <c r="A144" t="s">
        <v>499</v>
      </c>
      <c r="B144" t="s">
        <v>500</v>
      </c>
      <c r="C144"/>
      <c r="D144"/>
      <c r="E144"/>
      <c r="F144"/>
      <c r="G144" t="s">
        <v>290</v>
      </c>
      <c r="H144" t="s">
        <v>132</v>
      </c>
      <c r="I144" t="s">
        <v>1</v>
      </c>
      <c r="J144" t="s">
        <v>133</v>
      </c>
      <c r="K144" t="s">
        <v>51</v>
      </c>
      <c r="L144" t="s">
        <v>490</v>
      </c>
      <c r="M144" t="s">
        <v>134</v>
      </c>
      <c r="N144" t="s">
        <v>135</v>
      </c>
      <c r="O144"/>
      <c r="P144"/>
      <c r="Q144" t="s">
        <v>291</v>
      </c>
      <c r="R144"/>
      <c r="S144"/>
      <c r="T144" t="s">
        <v>169</v>
      </c>
      <c r="U144" t="s">
        <v>137</v>
      </c>
      <c r="V144" t="s">
        <v>150</v>
      </c>
      <c r="W144"/>
      <c r="X144" t="s">
        <v>76</v>
      </c>
      <c r="Y144"/>
      <c r="Z144"/>
      <c r="AA144" t="s">
        <v>292</v>
      </c>
      <c r="AB144" t="s">
        <v>1</v>
      </c>
      <c r="AC144" t="s">
        <v>138</v>
      </c>
      <c r="AD144" t="s">
        <v>128</v>
      </c>
      <c r="AE144" s="97"/>
    </row>
    <row r="145" spans="1:31" ht="14.4" customHeight="1" x14ac:dyDescent="0.3">
      <c r="A145" t="s">
        <v>501</v>
      </c>
      <c r="B145" t="s">
        <v>502</v>
      </c>
      <c r="C145"/>
      <c r="D145"/>
      <c r="E145"/>
      <c r="F145"/>
      <c r="G145" t="s">
        <v>290</v>
      </c>
      <c r="H145" t="s">
        <v>132</v>
      </c>
      <c r="I145" t="s">
        <v>1</v>
      </c>
      <c r="J145" t="s">
        <v>133</v>
      </c>
      <c r="K145" t="s">
        <v>51</v>
      </c>
      <c r="L145" t="s">
        <v>503</v>
      </c>
      <c r="M145" t="s">
        <v>134</v>
      </c>
      <c r="N145" t="s">
        <v>135</v>
      </c>
      <c r="O145"/>
      <c r="P145"/>
      <c r="Q145" t="s">
        <v>291</v>
      </c>
      <c r="R145"/>
      <c r="S145"/>
      <c r="T145" t="s">
        <v>169</v>
      </c>
      <c r="U145" t="s">
        <v>137</v>
      </c>
      <c r="V145" t="s">
        <v>153</v>
      </c>
      <c r="W145"/>
      <c r="X145" t="s">
        <v>88</v>
      </c>
      <c r="Y145"/>
      <c r="Z145"/>
      <c r="AA145" t="s">
        <v>292</v>
      </c>
      <c r="AB145" t="s">
        <v>1</v>
      </c>
      <c r="AC145" t="s">
        <v>138</v>
      </c>
      <c r="AD145" t="s">
        <v>129</v>
      </c>
      <c r="AE145" s="97"/>
    </row>
    <row r="146" spans="1:31" ht="14.4" customHeight="1" x14ac:dyDescent="0.3">
      <c r="A146" t="s">
        <v>504</v>
      </c>
      <c r="B146" t="s">
        <v>505</v>
      </c>
      <c r="C146"/>
      <c r="D146"/>
      <c r="E146"/>
      <c r="F146"/>
      <c r="G146" t="s">
        <v>290</v>
      </c>
      <c r="H146" t="s">
        <v>132</v>
      </c>
      <c r="I146" t="s">
        <v>1</v>
      </c>
      <c r="J146" t="s">
        <v>133</v>
      </c>
      <c r="K146" t="s">
        <v>51</v>
      </c>
      <c r="L146" t="s">
        <v>503</v>
      </c>
      <c r="M146" t="s">
        <v>134</v>
      </c>
      <c r="N146" t="s">
        <v>135</v>
      </c>
      <c r="O146"/>
      <c r="P146"/>
      <c r="Q146" t="s">
        <v>291</v>
      </c>
      <c r="R146"/>
      <c r="S146"/>
      <c r="T146" t="s">
        <v>169</v>
      </c>
      <c r="U146" t="s">
        <v>137</v>
      </c>
      <c r="V146" t="s">
        <v>153</v>
      </c>
      <c r="W146"/>
      <c r="X146" t="s">
        <v>88</v>
      </c>
      <c r="Y146"/>
      <c r="Z146"/>
      <c r="AA146" t="s">
        <v>292</v>
      </c>
      <c r="AB146" t="s">
        <v>1</v>
      </c>
      <c r="AC146" t="s">
        <v>138</v>
      </c>
      <c r="AD146" t="s">
        <v>129</v>
      </c>
      <c r="AE146" s="97"/>
    </row>
    <row r="147" spans="1:31" ht="14.4" customHeight="1" x14ac:dyDescent="0.3">
      <c r="A147" t="s">
        <v>506</v>
      </c>
      <c r="B147" t="s">
        <v>507</v>
      </c>
      <c r="C147"/>
      <c r="D147"/>
      <c r="E147"/>
      <c r="F147"/>
      <c r="G147" t="s">
        <v>290</v>
      </c>
      <c r="H147" t="s">
        <v>132</v>
      </c>
      <c r="I147" t="s">
        <v>1</v>
      </c>
      <c r="J147" t="s">
        <v>133</v>
      </c>
      <c r="K147" t="s">
        <v>51</v>
      </c>
      <c r="L147" t="s">
        <v>503</v>
      </c>
      <c r="M147" t="s">
        <v>134</v>
      </c>
      <c r="N147" t="s">
        <v>135</v>
      </c>
      <c r="O147"/>
      <c r="P147"/>
      <c r="Q147" t="s">
        <v>291</v>
      </c>
      <c r="R147"/>
      <c r="S147"/>
      <c r="T147" t="s">
        <v>169</v>
      </c>
      <c r="U147" t="s">
        <v>137</v>
      </c>
      <c r="V147" t="s">
        <v>153</v>
      </c>
      <c r="W147"/>
      <c r="X147" t="s">
        <v>88</v>
      </c>
      <c r="Y147"/>
      <c r="Z147"/>
      <c r="AA147" t="s">
        <v>292</v>
      </c>
      <c r="AB147" t="s">
        <v>1</v>
      </c>
      <c r="AC147" t="s">
        <v>138</v>
      </c>
      <c r="AD147" t="s">
        <v>129</v>
      </c>
      <c r="AE147" s="97"/>
    </row>
    <row r="148" spans="1:31" ht="14.4" customHeight="1" x14ac:dyDescent="0.3">
      <c r="A148" t="s">
        <v>508</v>
      </c>
      <c r="B148" t="s">
        <v>509</v>
      </c>
      <c r="C148"/>
      <c r="D148"/>
      <c r="E148"/>
      <c r="F148"/>
      <c r="G148" t="s">
        <v>290</v>
      </c>
      <c r="H148" t="s">
        <v>132</v>
      </c>
      <c r="I148" t="s">
        <v>1</v>
      </c>
      <c r="J148" t="s">
        <v>133</v>
      </c>
      <c r="K148" t="s">
        <v>51</v>
      </c>
      <c r="L148" t="s">
        <v>503</v>
      </c>
      <c r="M148" t="s">
        <v>134</v>
      </c>
      <c r="N148" t="s">
        <v>135</v>
      </c>
      <c r="O148"/>
      <c r="P148"/>
      <c r="Q148" t="s">
        <v>291</v>
      </c>
      <c r="R148"/>
      <c r="S148"/>
      <c r="T148" t="s">
        <v>169</v>
      </c>
      <c r="U148" t="s">
        <v>137</v>
      </c>
      <c r="V148" t="s">
        <v>153</v>
      </c>
      <c r="W148"/>
      <c r="X148" t="s">
        <v>88</v>
      </c>
      <c r="Y148"/>
      <c r="Z148"/>
      <c r="AA148" t="s">
        <v>292</v>
      </c>
      <c r="AB148" t="s">
        <v>1</v>
      </c>
      <c r="AC148" t="s">
        <v>138</v>
      </c>
      <c r="AD148" t="s">
        <v>129</v>
      </c>
      <c r="AE148" s="97"/>
    </row>
    <row r="149" spans="1:31" ht="14.4" customHeight="1" x14ac:dyDescent="0.3">
      <c r="A149" t="s">
        <v>510</v>
      </c>
      <c r="B149" t="s">
        <v>511</v>
      </c>
      <c r="C149"/>
      <c r="D149"/>
      <c r="E149"/>
      <c r="F149"/>
      <c r="G149" t="s">
        <v>290</v>
      </c>
      <c r="H149" t="s">
        <v>132</v>
      </c>
      <c r="I149" t="s">
        <v>1</v>
      </c>
      <c r="J149" t="s">
        <v>133</v>
      </c>
      <c r="K149" t="s">
        <v>51</v>
      </c>
      <c r="L149" t="s">
        <v>503</v>
      </c>
      <c r="M149" t="s">
        <v>134</v>
      </c>
      <c r="N149" t="s">
        <v>135</v>
      </c>
      <c r="O149"/>
      <c r="P149"/>
      <c r="Q149" t="s">
        <v>291</v>
      </c>
      <c r="R149"/>
      <c r="S149"/>
      <c r="T149" t="s">
        <v>169</v>
      </c>
      <c r="U149" t="s">
        <v>137</v>
      </c>
      <c r="V149" t="s">
        <v>153</v>
      </c>
      <c r="W149"/>
      <c r="X149" t="s">
        <v>88</v>
      </c>
      <c r="Y149"/>
      <c r="Z149"/>
      <c r="AA149" t="s">
        <v>292</v>
      </c>
      <c r="AB149" t="s">
        <v>1</v>
      </c>
      <c r="AC149" t="s">
        <v>138</v>
      </c>
      <c r="AD149" t="s">
        <v>129</v>
      </c>
      <c r="AE149" s="97"/>
    </row>
    <row r="150" spans="1:31" ht="14.4" customHeight="1" x14ac:dyDescent="0.3">
      <c r="A150" t="s">
        <v>512</v>
      </c>
      <c r="B150" t="s">
        <v>513</v>
      </c>
      <c r="C150"/>
      <c r="D150"/>
      <c r="E150"/>
      <c r="F150"/>
      <c r="G150" t="s">
        <v>290</v>
      </c>
      <c r="H150" t="s">
        <v>132</v>
      </c>
      <c r="I150" t="s">
        <v>1</v>
      </c>
      <c r="J150" t="s">
        <v>133</v>
      </c>
      <c r="K150" t="s">
        <v>51</v>
      </c>
      <c r="L150" t="s">
        <v>503</v>
      </c>
      <c r="M150" t="s">
        <v>134</v>
      </c>
      <c r="N150" t="s">
        <v>135</v>
      </c>
      <c r="O150"/>
      <c r="P150"/>
      <c r="Q150" t="s">
        <v>291</v>
      </c>
      <c r="R150"/>
      <c r="S150"/>
      <c r="T150" t="s">
        <v>169</v>
      </c>
      <c r="U150" t="s">
        <v>137</v>
      </c>
      <c r="V150" t="s">
        <v>153</v>
      </c>
      <c r="W150"/>
      <c r="X150" t="s">
        <v>88</v>
      </c>
      <c r="Y150"/>
      <c r="Z150"/>
      <c r="AA150" t="s">
        <v>292</v>
      </c>
      <c r="AB150" t="s">
        <v>1</v>
      </c>
      <c r="AC150" t="s">
        <v>138</v>
      </c>
      <c r="AD150" t="s">
        <v>129</v>
      </c>
      <c r="AE150" s="97"/>
    </row>
    <row r="151" spans="1:31" ht="14.4" customHeight="1" x14ac:dyDescent="0.3">
      <c r="A151" t="s">
        <v>514</v>
      </c>
      <c r="B151" t="s">
        <v>515</v>
      </c>
      <c r="C151"/>
      <c r="D151"/>
      <c r="E151"/>
      <c r="F151"/>
      <c r="G151" t="s">
        <v>290</v>
      </c>
      <c r="H151" t="s">
        <v>132</v>
      </c>
      <c r="I151" t="s">
        <v>1</v>
      </c>
      <c r="J151" t="s">
        <v>133</v>
      </c>
      <c r="K151" t="s">
        <v>51</v>
      </c>
      <c r="L151" t="s">
        <v>516</v>
      </c>
      <c r="M151" t="s">
        <v>134</v>
      </c>
      <c r="N151" t="s">
        <v>135</v>
      </c>
      <c r="O151"/>
      <c r="P151"/>
      <c r="Q151" t="s">
        <v>291</v>
      </c>
      <c r="R151"/>
      <c r="S151"/>
      <c r="T151" t="s">
        <v>169</v>
      </c>
      <c r="U151" t="s">
        <v>137</v>
      </c>
      <c r="V151" t="s">
        <v>153</v>
      </c>
      <c r="W151"/>
      <c r="X151" t="s">
        <v>88</v>
      </c>
      <c r="Y151"/>
      <c r="Z151"/>
      <c r="AA151" t="s">
        <v>292</v>
      </c>
      <c r="AB151" t="s">
        <v>1</v>
      </c>
      <c r="AC151" t="s">
        <v>138</v>
      </c>
      <c r="AD151" t="s">
        <v>129</v>
      </c>
      <c r="AE151" s="97"/>
    </row>
    <row r="152" spans="1:31" ht="14.4" customHeight="1" x14ac:dyDescent="0.3">
      <c r="A152" t="s">
        <v>517</v>
      </c>
      <c r="B152" t="s">
        <v>518</v>
      </c>
      <c r="C152"/>
      <c r="D152"/>
      <c r="E152"/>
      <c r="F152"/>
      <c r="G152" t="s">
        <v>290</v>
      </c>
      <c r="H152" t="s">
        <v>132</v>
      </c>
      <c r="I152" t="s">
        <v>1</v>
      </c>
      <c r="J152" t="s">
        <v>133</v>
      </c>
      <c r="K152" t="s">
        <v>51</v>
      </c>
      <c r="L152" t="s">
        <v>516</v>
      </c>
      <c r="M152" t="s">
        <v>134</v>
      </c>
      <c r="N152" t="s">
        <v>135</v>
      </c>
      <c r="O152"/>
      <c r="P152"/>
      <c r="Q152" t="s">
        <v>291</v>
      </c>
      <c r="R152"/>
      <c r="S152"/>
      <c r="T152" t="s">
        <v>169</v>
      </c>
      <c r="U152" t="s">
        <v>137</v>
      </c>
      <c r="V152" t="s">
        <v>153</v>
      </c>
      <c r="W152"/>
      <c r="X152" t="s">
        <v>88</v>
      </c>
      <c r="Y152"/>
      <c r="Z152"/>
      <c r="AA152" t="s">
        <v>292</v>
      </c>
      <c r="AB152" t="s">
        <v>1</v>
      </c>
      <c r="AC152" t="s">
        <v>138</v>
      </c>
      <c r="AD152" t="s">
        <v>129</v>
      </c>
      <c r="AE152" s="97"/>
    </row>
    <row r="153" spans="1:31" ht="14.4" customHeight="1" x14ac:dyDescent="0.3">
      <c r="A153" t="s">
        <v>519</v>
      </c>
      <c r="B153" t="s">
        <v>520</v>
      </c>
      <c r="C153"/>
      <c r="D153"/>
      <c r="E153"/>
      <c r="F153"/>
      <c r="G153" t="s">
        <v>290</v>
      </c>
      <c r="H153" t="s">
        <v>132</v>
      </c>
      <c r="I153" t="s">
        <v>1</v>
      </c>
      <c r="J153" t="s">
        <v>133</v>
      </c>
      <c r="K153" t="s">
        <v>51</v>
      </c>
      <c r="L153" t="s">
        <v>516</v>
      </c>
      <c r="M153" t="s">
        <v>134</v>
      </c>
      <c r="N153" t="s">
        <v>135</v>
      </c>
      <c r="O153"/>
      <c r="P153"/>
      <c r="Q153" t="s">
        <v>291</v>
      </c>
      <c r="R153"/>
      <c r="S153"/>
      <c r="T153" t="s">
        <v>169</v>
      </c>
      <c r="U153" t="s">
        <v>137</v>
      </c>
      <c r="V153" t="s">
        <v>153</v>
      </c>
      <c r="W153"/>
      <c r="X153" t="s">
        <v>88</v>
      </c>
      <c r="Y153"/>
      <c r="Z153"/>
      <c r="AA153" t="s">
        <v>292</v>
      </c>
      <c r="AB153" t="s">
        <v>1</v>
      </c>
      <c r="AC153" t="s">
        <v>138</v>
      </c>
      <c r="AD153" t="s">
        <v>129</v>
      </c>
      <c r="AE153" s="97"/>
    </row>
    <row r="154" spans="1:31" ht="14.4" customHeight="1" x14ac:dyDescent="0.3">
      <c r="A154" t="s">
        <v>521</v>
      </c>
      <c r="B154" t="s">
        <v>522</v>
      </c>
      <c r="C154"/>
      <c r="D154"/>
      <c r="E154"/>
      <c r="F154"/>
      <c r="G154" t="s">
        <v>290</v>
      </c>
      <c r="H154" t="s">
        <v>132</v>
      </c>
      <c r="I154" t="s">
        <v>1</v>
      </c>
      <c r="J154" t="s">
        <v>133</v>
      </c>
      <c r="K154" t="s">
        <v>51</v>
      </c>
      <c r="L154" t="s">
        <v>516</v>
      </c>
      <c r="M154" t="s">
        <v>134</v>
      </c>
      <c r="N154" t="s">
        <v>135</v>
      </c>
      <c r="O154"/>
      <c r="P154"/>
      <c r="Q154" t="s">
        <v>291</v>
      </c>
      <c r="R154"/>
      <c r="S154"/>
      <c r="T154" t="s">
        <v>169</v>
      </c>
      <c r="U154" t="s">
        <v>137</v>
      </c>
      <c r="V154" t="s">
        <v>153</v>
      </c>
      <c r="W154"/>
      <c r="X154" t="s">
        <v>88</v>
      </c>
      <c r="Y154"/>
      <c r="Z154"/>
      <c r="AA154" t="s">
        <v>292</v>
      </c>
      <c r="AB154" t="s">
        <v>1</v>
      </c>
      <c r="AC154" t="s">
        <v>138</v>
      </c>
      <c r="AD154" t="s">
        <v>129</v>
      </c>
      <c r="AE154" s="97"/>
    </row>
    <row r="155" spans="1:31" ht="14.4" customHeight="1" x14ac:dyDescent="0.3">
      <c r="A155" t="s">
        <v>523</v>
      </c>
      <c r="B155" t="s">
        <v>524</v>
      </c>
      <c r="C155"/>
      <c r="D155"/>
      <c r="E155"/>
      <c r="F155"/>
      <c r="G155" t="s">
        <v>290</v>
      </c>
      <c r="H155" t="s">
        <v>132</v>
      </c>
      <c r="I155" t="s">
        <v>1</v>
      </c>
      <c r="J155" t="s">
        <v>133</v>
      </c>
      <c r="K155" t="s">
        <v>51</v>
      </c>
      <c r="L155" t="s">
        <v>516</v>
      </c>
      <c r="M155" t="s">
        <v>134</v>
      </c>
      <c r="N155" t="s">
        <v>135</v>
      </c>
      <c r="O155"/>
      <c r="P155"/>
      <c r="Q155" t="s">
        <v>291</v>
      </c>
      <c r="R155"/>
      <c r="S155"/>
      <c r="T155" t="s">
        <v>169</v>
      </c>
      <c r="U155" t="s">
        <v>137</v>
      </c>
      <c r="V155" t="s">
        <v>153</v>
      </c>
      <c r="W155"/>
      <c r="X155" t="s">
        <v>88</v>
      </c>
      <c r="Y155"/>
      <c r="Z155"/>
      <c r="AA155" t="s">
        <v>292</v>
      </c>
      <c r="AB155" t="s">
        <v>1</v>
      </c>
      <c r="AC155" t="s">
        <v>138</v>
      </c>
      <c r="AD155" t="s">
        <v>129</v>
      </c>
      <c r="AE155" s="97"/>
    </row>
    <row r="156" spans="1:31" ht="14.4" customHeight="1" x14ac:dyDescent="0.3">
      <c r="A156" t="s">
        <v>525</v>
      </c>
      <c r="B156" t="s">
        <v>526</v>
      </c>
      <c r="C156"/>
      <c r="D156"/>
      <c r="E156"/>
      <c r="F156"/>
      <c r="G156" t="s">
        <v>290</v>
      </c>
      <c r="H156" t="s">
        <v>132</v>
      </c>
      <c r="I156" t="s">
        <v>1</v>
      </c>
      <c r="J156" t="s">
        <v>133</v>
      </c>
      <c r="K156" t="s">
        <v>51</v>
      </c>
      <c r="L156" t="s">
        <v>516</v>
      </c>
      <c r="M156" t="s">
        <v>134</v>
      </c>
      <c r="N156" t="s">
        <v>135</v>
      </c>
      <c r="O156"/>
      <c r="P156"/>
      <c r="Q156" t="s">
        <v>291</v>
      </c>
      <c r="R156"/>
      <c r="S156"/>
      <c r="T156" t="s">
        <v>169</v>
      </c>
      <c r="U156" t="s">
        <v>137</v>
      </c>
      <c r="V156" t="s">
        <v>153</v>
      </c>
      <c r="W156"/>
      <c r="X156" t="s">
        <v>88</v>
      </c>
      <c r="Y156"/>
      <c r="Z156"/>
      <c r="AA156" t="s">
        <v>292</v>
      </c>
      <c r="AB156" t="s">
        <v>1</v>
      </c>
      <c r="AC156" t="s">
        <v>138</v>
      </c>
      <c r="AD156" t="s">
        <v>129</v>
      </c>
      <c r="AE156" s="97"/>
    </row>
    <row r="157" spans="1:31" ht="14.4" customHeight="1" x14ac:dyDescent="0.3">
      <c r="A157" t="s">
        <v>527</v>
      </c>
      <c r="B157" t="s">
        <v>528</v>
      </c>
      <c r="C157"/>
      <c r="D157"/>
      <c r="E157"/>
      <c r="F157"/>
      <c r="G157" t="s">
        <v>290</v>
      </c>
      <c r="H157" t="s">
        <v>132</v>
      </c>
      <c r="I157" t="s">
        <v>1</v>
      </c>
      <c r="J157" t="s">
        <v>133</v>
      </c>
      <c r="K157" t="s">
        <v>51</v>
      </c>
      <c r="L157" t="s">
        <v>529</v>
      </c>
      <c r="M157" t="s">
        <v>134</v>
      </c>
      <c r="N157" t="s">
        <v>135</v>
      </c>
      <c r="O157"/>
      <c r="P157"/>
      <c r="Q157" t="s">
        <v>291</v>
      </c>
      <c r="R157"/>
      <c r="S157"/>
      <c r="T157" t="s">
        <v>169</v>
      </c>
      <c r="U157" t="s">
        <v>137</v>
      </c>
      <c r="V157" t="s">
        <v>156</v>
      </c>
      <c r="W157"/>
      <c r="X157" t="s">
        <v>97</v>
      </c>
      <c r="Y157"/>
      <c r="Z157"/>
      <c r="AA157" t="s">
        <v>292</v>
      </c>
      <c r="AB157" t="s">
        <v>1</v>
      </c>
      <c r="AC157" t="s">
        <v>138</v>
      </c>
      <c r="AD157" t="s">
        <v>129</v>
      </c>
      <c r="AE157" s="97"/>
    </row>
    <row r="158" spans="1:31" ht="14.4" customHeight="1" x14ac:dyDescent="0.3">
      <c r="A158" t="s">
        <v>530</v>
      </c>
      <c r="B158" t="s">
        <v>531</v>
      </c>
      <c r="C158"/>
      <c r="D158"/>
      <c r="E158"/>
      <c r="F158"/>
      <c r="G158" t="s">
        <v>290</v>
      </c>
      <c r="H158" t="s">
        <v>132</v>
      </c>
      <c r="I158" t="s">
        <v>1</v>
      </c>
      <c r="J158" t="s">
        <v>133</v>
      </c>
      <c r="K158" t="s">
        <v>51</v>
      </c>
      <c r="L158" t="s">
        <v>529</v>
      </c>
      <c r="M158" t="s">
        <v>134</v>
      </c>
      <c r="N158" t="s">
        <v>135</v>
      </c>
      <c r="O158"/>
      <c r="P158"/>
      <c r="Q158" t="s">
        <v>291</v>
      </c>
      <c r="R158"/>
      <c r="S158"/>
      <c r="T158" t="s">
        <v>169</v>
      </c>
      <c r="U158" t="s">
        <v>137</v>
      </c>
      <c r="V158" t="s">
        <v>156</v>
      </c>
      <c r="W158"/>
      <c r="X158" t="s">
        <v>97</v>
      </c>
      <c r="Y158"/>
      <c r="Z158"/>
      <c r="AA158" t="s">
        <v>292</v>
      </c>
      <c r="AB158" t="s">
        <v>1</v>
      </c>
      <c r="AC158" t="s">
        <v>138</v>
      </c>
      <c r="AD158" t="s">
        <v>129</v>
      </c>
      <c r="AE158" s="97"/>
    </row>
    <row r="159" spans="1:31" ht="14.4" customHeight="1" x14ac:dyDescent="0.3">
      <c r="A159" t="s">
        <v>532</v>
      </c>
      <c r="B159" t="s">
        <v>533</v>
      </c>
      <c r="C159"/>
      <c r="D159"/>
      <c r="E159"/>
      <c r="F159"/>
      <c r="G159" t="s">
        <v>290</v>
      </c>
      <c r="H159" t="s">
        <v>132</v>
      </c>
      <c r="I159" t="s">
        <v>1</v>
      </c>
      <c r="J159" t="s">
        <v>133</v>
      </c>
      <c r="K159" t="s">
        <v>51</v>
      </c>
      <c r="L159" t="s">
        <v>529</v>
      </c>
      <c r="M159" t="s">
        <v>134</v>
      </c>
      <c r="N159" t="s">
        <v>135</v>
      </c>
      <c r="O159"/>
      <c r="P159"/>
      <c r="Q159" t="s">
        <v>291</v>
      </c>
      <c r="R159"/>
      <c r="S159"/>
      <c r="T159" t="s">
        <v>169</v>
      </c>
      <c r="U159" t="s">
        <v>137</v>
      </c>
      <c r="V159" t="s">
        <v>156</v>
      </c>
      <c r="W159"/>
      <c r="X159" t="s">
        <v>97</v>
      </c>
      <c r="Y159"/>
      <c r="Z159"/>
      <c r="AA159" t="s">
        <v>292</v>
      </c>
      <c r="AB159" t="s">
        <v>1</v>
      </c>
      <c r="AC159" t="s">
        <v>138</v>
      </c>
      <c r="AD159" t="s">
        <v>129</v>
      </c>
      <c r="AE159" s="97"/>
    </row>
    <row r="160" spans="1:31" ht="14.4" customHeight="1" x14ac:dyDescent="0.3">
      <c r="A160" t="s">
        <v>534</v>
      </c>
      <c r="B160" t="s">
        <v>535</v>
      </c>
      <c r="C160"/>
      <c r="D160"/>
      <c r="E160"/>
      <c r="F160"/>
      <c r="G160" t="s">
        <v>290</v>
      </c>
      <c r="H160" t="s">
        <v>132</v>
      </c>
      <c r="I160" t="s">
        <v>1</v>
      </c>
      <c r="J160" t="s">
        <v>133</v>
      </c>
      <c r="K160" t="s">
        <v>51</v>
      </c>
      <c r="L160" t="s">
        <v>529</v>
      </c>
      <c r="M160" t="s">
        <v>134</v>
      </c>
      <c r="N160" t="s">
        <v>135</v>
      </c>
      <c r="O160"/>
      <c r="P160"/>
      <c r="Q160" t="s">
        <v>291</v>
      </c>
      <c r="R160"/>
      <c r="S160"/>
      <c r="T160" t="s">
        <v>169</v>
      </c>
      <c r="U160" t="s">
        <v>137</v>
      </c>
      <c r="V160" t="s">
        <v>156</v>
      </c>
      <c r="W160"/>
      <c r="X160" t="s">
        <v>97</v>
      </c>
      <c r="Y160"/>
      <c r="Z160"/>
      <c r="AA160" t="s">
        <v>292</v>
      </c>
      <c r="AB160" t="s">
        <v>1</v>
      </c>
      <c r="AC160" t="s">
        <v>138</v>
      </c>
      <c r="AD160" t="s">
        <v>129</v>
      </c>
      <c r="AE160" s="97"/>
    </row>
    <row r="161" spans="1:31" ht="14.4" customHeight="1" x14ac:dyDescent="0.3">
      <c r="A161" t="s">
        <v>536</v>
      </c>
      <c r="B161" t="s">
        <v>537</v>
      </c>
      <c r="C161"/>
      <c r="D161"/>
      <c r="E161"/>
      <c r="F161"/>
      <c r="G161" t="s">
        <v>290</v>
      </c>
      <c r="H161" t="s">
        <v>132</v>
      </c>
      <c r="I161" t="s">
        <v>1</v>
      </c>
      <c r="J161" t="s">
        <v>133</v>
      </c>
      <c r="K161" t="s">
        <v>51</v>
      </c>
      <c r="L161" t="s">
        <v>529</v>
      </c>
      <c r="M161" t="s">
        <v>134</v>
      </c>
      <c r="N161" t="s">
        <v>135</v>
      </c>
      <c r="O161"/>
      <c r="P161"/>
      <c r="Q161" t="s">
        <v>291</v>
      </c>
      <c r="R161"/>
      <c r="S161"/>
      <c r="T161" t="s">
        <v>169</v>
      </c>
      <c r="U161" t="s">
        <v>137</v>
      </c>
      <c r="V161" t="s">
        <v>156</v>
      </c>
      <c r="W161"/>
      <c r="X161" t="s">
        <v>97</v>
      </c>
      <c r="Y161"/>
      <c r="Z161"/>
      <c r="AA161" t="s">
        <v>292</v>
      </c>
      <c r="AB161" t="s">
        <v>1</v>
      </c>
      <c r="AC161" t="s">
        <v>138</v>
      </c>
      <c r="AD161" t="s">
        <v>129</v>
      </c>
      <c r="AE161" s="97"/>
    </row>
    <row r="162" spans="1:31" ht="14.4" customHeight="1" x14ac:dyDescent="0.3">
      <c r="A162" t="s">
        <v>538</v>
      </c>
      <c r="B162" t="s">
        <v>539</v>
      </c>
      <c r="C162"/>
      <c r="D162"/>
      <c r="E162"/>
      <c r="F162"/>
      <c r="G162" t="s">
        <v>290</v>
      </c>
      <c r="H162" t="s">
        <v>132</v>
      </c>
      <c r="I162" t="s">
        <v>1</v>
      </c>
      <c r="J162" t="s">
        <v>133</v>
      </c>
      <c r="K162" t="s">
        <v>51</v>
      </c>
      <c r="L162" t="s">
        <v>529</v>
      </c>
      <c r="M162" t="s">
        <v>134</v>
      </c>
      <c r="N162" t="s">
        <v>135</v>
      </c>
      <c r="O162"/>
      <c r="P162"/>
      <c r="Q162" t="s">
        <v>291</v>
      </c>
      <c r="R162"/>
      <c r="S162"/>
      <c r="T162" t="s">
        <v>169</v>
      </c>
      <c r="U162" t="s">
        <v>137</v>
      </c>
      <c r="V162" t="s">
        <v>156</v>
      </c>
      <c r="W162"/>
      <c r="X162" t="s">
        <v>97</v>
      </c>
      <c r="Y162"/>
      <c r="Z162"/>
      <c r="AA162" t="s">
        <v>292</v>
      </c>
      <c r="AB162" t="s">
        <v>1</v>
      </c>
      <c r="AC162" t="s">
        <v>138</v>
      </c>
      <c r="AD162" t="s">
        <v>129</v>
      </c>
      <c r="AE162" s="97"/>
    </row>
    <row r="163" spans="1:31" ht="14.4" customHeight="1" x14ac:dyDescent="0.3">
      <c r="A163" t="s">
        <v>540</v>
      </c>
      <c r="B163" t="s">
        <v>541</v>
      </c>
      <c r="C163"/>
      <c r="D163"/>
      <c r="E163"/>
      <c r="F163"/>
      <c r="G163" t="s">
        <v>290</v>
      </c>
      <c r="H163" t="s">
        <v>132</v>
      </c>
      <c r="I163" t="s">
        <v>1</v>
      </c>
      <c r="J163" t="s">
        <v>133</v>
      </c>
      <c r="K163" t="s">
        <v>51</v>
      </c>
      <c r="L163" t="s">
        <v>542</v>
      </c>
      <c r="M163" t="s">
        <v>134</v>
      </c>
      <c r="N163" t="s">
        <v>135</v>
      </c>
      <c r="O163"/>
      <c r="P163"/>
      <c r="Q163" t="s">
        <v>291</v>
      </c>
      <c r="R163"/>
      <c r="S163"/>
      <c r="T163" t="s">
        <v>169</v>
      </c>
      <c r="U163" t="s">
        <v>137</v>
      </c>
      <c r="V163" t="s">
        <v>156</v>
      </c>
      <c r="W163"/>
      <c r="X163" t="s">
        <v>97</v>
      </c>
      <c r="Y163"/>
      <c r="Z163"/>
      <c r="AA163" t="s">
        <v>292</v>
      </c>
      <c r="AB163" t="s">
        <v>1</v>
      </c>
      <c r="AC163" t="s">
        <v>138</v>
      </c>
      <c r="AD163" t="s">
        <v>129</v>
      </c>
      <c r="AE163" s="97"/>
    </row>
    <row r="164" spans="1:31" ht="14.4" customHeight="1" x14ac:dyDescent="0.3">
      <c r="A164" t="s">
        <v>543</v>
      </c>
      <c r="B164" t="s">
        <v>544</v>
      </c>
      <c r="C164"/>
      <c r="D164"/>
      <c r="E164"/>
      <c r="F164"/>
      <c r="G164" t="s">
        <v>290</v>
      </c>
      <c r="H164" t="s">
        <v>132</v>
      </c>
      <c r="I164" t="s">
        <v>1</v>
      </c>
      <c r="J164" t="s">
        <v>133</v>
      </c>
      <c r="K164" t="s">
        <v>51</v>
      </c>
      <c r="L164" t="s">
        <v>542</v>
      </c>
      <c r="M164" t="s">
        <v>134</v>
      </c>
      <c r="N164" t="s">
        <v>135</v>
      </c>
      <c r="O164"/>
      <c r="P164"/>
      <c r="Q164" t="s">
        <v>291</v>
      </c>
      <c r="R164"/>
      <c r="S164"/>
      <c r="T164" t="s">
        <v>169</v>
      </c>
      <c r="U164" t="s">
        <v>137</v>
      </c>
      <c r="V164" t="s">
        <v>156</v>
      </c>
      <c r="W164"/>
      <c r="X164" t="s">
        <v>97</v>
      </c>
      <c r="Y164"/>
      <c r="Z164"/>
      <c r="AA164" t="s">
        <v>292</v>
      </c>
      <c r="AB164" t="s">
        <v>1</v>
      </c>
      <c r="AC164" t="s">
        <v>138</v>
      </c>
      <c r="AD164" t="s">
        <v>129</v>
      </c>
      <c r="AE164" s="97"/>
    </row>
    <row r="165" spans="1:31" ht="14.4" customHeight="1" x14ac:dyDescent="0.3">
      <c r="A165" t="s">
        <v>545</v>
      </c>
      <c r="B165" t="s">
        <v>546</v>
      </c>
      <c r="C165"/>
      <c r="D165"/>
      <c r="E165"/>
      <c r="F165"/>
      <c r="G165" t="s">
        <v>290</v>
      </c>
      <c r="H165" t="s">
        <v>132</v>
      </c>
      <c r="I165" t="s">
        <v>1</v>
      </c>
      <c r="J165" t="s">
        <v>133</v>
      </c>
      <c r="K165" t="s">
        <v>51</v>
      </c>
      <c r="L165" t="s">
        <v>542</v>
      </c>
      <c r="M165" t="s">
        <v>134</v>
      </c>
      <c r="N165" t="s">
        <v>135</v>
      </c>
      <c r="O165"/>
      <c r="P165"/>
      <c r="Q165" t="s">
        <v>291</v>
      </c>
      <c r="R165"/>
      <c r="S165"/>
      <c r="T165" t="s">
        <v>169</v>
      </c>
      <c r="U165" t="s">
        <v>137</v>
      </c>
      <c r="V165" t="s">
        <v>156</v>
      </c>
      <c r="W165"/>
      <c r="X165" t="s">
        <v>97</v>
      </c>
      <c r="Y165"/>
      <c r="Z165"/>
      <c r="AA165" t="s">
        <v>292</v>
      </c>
      <c r="AB165" t="s">
        <v>1</v>
      </c>
      <c r="AC165" t="s">
        <v>138</v>
      </c>
      <c r="AD165" t="s">
        <v>129</v>
      </c>
      <c r="AE165" s="97"/>
    </row>
    <row r="166" spans="1:31" ht="14.4" customHeight="1" x14ac:dyDescent="0.3">
      <c r="A166" t="s">
        <v>547</v>
      </c>
      <c r="B166" t="s">
        <v>548</v>
      </c>
      <c r="C166"/>
      <c r="D166"/>
      <c r="E166"/>
      <c r="F166"/>
      <c r="G166" t="s">
        <v>290</v>
      </c>
      <c r="H166" t="s">
        <v>132</v>
      </c>
      <c r="I166" t="s">
        <v>1</v>
      </c>
      <c r="J166" t="s">
        <v>133</v>
      </c>
      <c r="K166" t="s">
        <v>51</v>
      </c>
      <c r="L166" t="s">
        <v>542</v>
      </c>
      <c r="M166" t="s">
        <v>134</v>
      </c>
      <c r="N166" t="s">
        <v>135</v>
      </c>
      <c r="O166"/>
      <c r="P166"/>
      <c r="Q166" t="s">
        <v>291</v>
      </c>
      <c r="R166"/>
      <c r="S166"/>
      <c r="T166" t="s">
        <v>169</v>
      </c>
      <c r="U166" t="s">
        <v>137</v>
      </c>
      <c r="V166" t="s">
        <v>156</v>
      </c>
      <c r="W166"/>
      <c r="X166" t="s">
        <v>97</v>
      </c>
      <c r="Y166"/>
      <c r="Z166"/>
      <c r="AA166" t="s">
        <v>292</v>
      </c>
      <c r="AB166" t="s">
        <v>1</v>
      </c>
      <c r="AC166" t="s">
        <v>138</v>
      </c>
      <c r="AD166" t="s">
        <v>129</v>
      </c>
      <c r="AE166" s="97"/>
    </row>
    <row r="167" spans="1:31" ht="14.4" customHeight="1" x14ac:dyDescent="0.3">
      <c r="A167" t="s">
        <v>549</v>
      </c>
      <c r="B167" t="s">
        <v>550</v>
      </c>
      <c r="C167"/>
      <c r="D167"/>
      <c r="E167"/>
      <c r="F167"/>
      <c r="G167" t="s">
        <v>290</v>
      </c>
      <c r="H167" t="s">
        <v>132</v>
      </c>
      <c r="I167" t="s">
        <v>1</v>
      </c>
      <c r="J167" t="s">
        <v>133</v>
      </c>
      <c r="K167" t="s">
        <v>51</v>
      </c>
      <c r="L167" t="s">
        <v>542</v>
      </c>
      <c r="M167" t="s">
        <v>134</v>
      </c>
      <c r="N167" t="s">
        <v>135</v>
      </c>
      <c r="O167"/>
      <c r="P167"/>
      <c r="Q167" t="s">
        <v>291</v>
      </c>
      <c r="R167"/>
      <c r="S167"/>
      <c r="T167" t="s">
        <v>169</v>
      </c>
      <c r="U167" t="s">
        <v>137</v>
      </c>
      <c r="V167" t="s">
        <v>156</v>
      </c>
      <c r="W167"/>
      <c r="X167" t="s">
        <v>97</v>
      </c>
      <c r="Y167"/>
      <c r="Z167"/>
      <c r="AA167" t="s">
        <v>292</v>
      </c>
      <c r="AB167" t="s">
        <v>1</v>
      </c>
      <c r="AC167" t="s">
        <v>138</v>
      </c>
      <c r="AD167" t="s">
        <v>129</v>
      </c>
      <c r="AE167" s="97"/>
    </row>
    <row r="168" spans="1:31" ht="14.4" customHeight="1" x14ac:dyDescent="0.3">
      <c r="A168" t="s">
        <v>551</v>
      </c>
      <c r="B168" t="s">
        <v>552</v>
      </c>
      <c r="C168"/>
      <c r="D168"/>
      <c r="E168"/>
      <c r="F168"/>
      <c r="G168" t="s">
        <v>290</v>
      </c>
      <c r="H168" t="s">
        <v>132</v>
      </c>
      <c r="I168" t="s">
        <v>1</v>
      </c>
      <c r="J168" t="s">
        <v>133</v>
      </c>
      <c r="K168" t="s">
        <v>51</v>
      </c>
      <c r="L168" t="s">
        <v>542</v>
      </c>
      <c r="M168" t="s">
        <v>134</v>
      </c>
      <c r="N168" t="s">
        <v>135</v>
      </c>
      <c r="O168"/>
      <c r="P168"/>
      <c r="Q168" t="s">
        <v>291</v>
      </c>
      <c r="R168"/>
      <c r="S168"/>
      <c r="T168" t="s">
        <v>169</v>
      </c>
      <c r="U168" t="s">
        <v>137</v>
      </c>
      <c r="V168" t="s">
        <v>156</v>
      </c>
      <c r="W168"/>
      <c r="X168" t="s">
        <v>97</v>
      </c>
      <c r="Y168"/>
      <c r="Z168"/>
      <c r="AA168" t="s">
        <v>292</v>
      </c>
      <c r="AB168" t="s">
        <v>1</v>
      </c>
      <c r="AC168" t="s">
        <v>138</v>
      </c>
      <c r="AD168" t="s">
        <v>129</v>
      </c>
      <c r="AE168" s="97"/>
    </row>
    <row r="169" spans="1:31" ht="14.4" customHeight="1" x14ac:dyDescent="0.3">
      <c r="A169" t="s">
        <v>553</v>
      </c>
      <c r="B169" t="s">
        <v>554</v>
      </c>
      <c r="C169"/>
      <c r="D169"/>
      <c r="E169"/>
      <c r="F169"/>
      <c r="G169" t="s">
        <v>290</v>
      </c>
      <c r="H169" t="s">
        <v>132</v>
      </c>
      <c r="I169" t="s">
        <v>1</v>
      </c>
      <c r="J169" t="s">
        <v>133</v>
      </c>
      <c r="K169" t="s">
        <v>51</v>
      </c>
      <c r="L169" t="s">
        <v>555</v>
      </c>
      <c r="M169" t="s">
        <v>134</v>
      </c>
      <c r="N169" t="s">
        <v>135</v>
      </c>
      <c r="O169"/>
      <c r="P169"/>
      <c r="Q169" t="s">
        <v>291</v>
      </c>
      <c r="R169"/>
      <c r="S169"/>
      <c r="T169" t="s">
        <v>169</v>
      </c>
      <c r="U169" t="s">
        <v>137</v>
      </c>
      <c r="V169" t="s">
        <v>159</v>
      </c>
      <c r="W169"/>
      <c r="X169" t="s">
        <v>106</v>
      </c>
      <c r="Y169"/>
      <c r="Z169"/>
      <c r="AA169" t="s">
        <v>292</v>
      </c>
      <c r="AB169" t="s">
        <v>1</v>
      </c>
      <c r="AC169" t="s">
        <v>138</v>
      </c>
      <c r="AD169" t="s">
        <v>129</v>
      </c>
      <c r="AE169" s="97"/>
    </row>
    <row r="170" spans="1:31" ht="14.4" customHeight="1" x14ac:dyDescent="0.3">
      <c r="A170" t="s">
        <v>556</v>
      </c>
      <c r="B170" t="s">
        <v>557</v>
      </c>
      <c r="C170"/>
      <c r="D170"/>
      <c r="E170"/>
      <c r="F170"/>
      <c r="G170" t="s">
        <v>290</v>
      </c>
      <c r="H170" t="s">
        <v>132</v>
      </c>
      <c r="I170" t="s">
        <v>1</v>
      </c>
      <c r="J170" t="s">
        <v>133</v>
      </c>
      <c r="K170" t="s">
        <v>51</v>
      </c>
      <c r="L170" t="s">
        <v>555</v>
      </c>
      <c r="M170" t="s">
        <v>134</v>
      </c>
      <c r="N170" t="s">
        <v>135</v>
      </c>
      <c r="O170"/>
      <c r="P170"/>
      <c r="Q170" t="s">
        <v>291</v>
      </c>
      <c r="R170"/>
      <c r="S170"/>
      <c r="T170" t="s">
        <v>169</v>
      </c>
      <c r="U170" t="s">
        <v>137</v>
      </c>
      <c r="V170" t="s">
        <v>159</v>
      </c>
      <c r="W170"/>
      <c r="X170" t="s">
        <v>106</v>
      </c>
      <c r="Y170"/>
      <c r="Z170"/>
      <c r="AA170" t="s">
        <v>292</v>
      </c>
      <c r="AB170" t="s">
        <v>1</v>
      </c>
      <c r="AC170" t="s">
        <v>138</v>
      </c>
      <c r="AD170" t="s">
        <v>129</v>
      </c>
      <c r="AE170" s="97"/>
    </row>
    <row r="171" spans="1:31" ht="14.4" customHeight="1" x14ac:dyDescent="0.3">
      <c r="A171" t="s">
        <v>558</v>
      </c>
      <c r="B171" t="s">
        <v>559</v>
      </c>
      <c r="C171"/>
      <c r="D171"/>
      <c r="E171"/>
      <c r="F171"/>
      <c r="G171" t="s">
        <v>290</v>
      </c>
      <c r="H171" t="s">
        <v>132</v>
      </c>
      <c r="I171" t="s">
        <v>1</v>
      </c>
      <c r="J171" t="s">
        <v>133</v>
      </c>
      <c r="K171" t="s">
        <v>51</v>
      </c>
      <c r="L171" t="s">
        <v>555</v>
      </c>
      <c r="M171" t="s">
        <v>134</v>
      </c>
      <c r="N171" t="s">
        <v>135</v>
      </c>
      <c r="O171"/>
      <c r="P171"/>
      <c r="Q171" t="s">
        <v>291</v>
      </c>
      <c r="R171"/>
      <c r="S171"/>
      <c r="T171" t="s">
        <v>169</v>
      </c>
      <c r="U171" t="s">
        <v>137</v>
      </c>
      <c r="V171" t="s">
        <v>159</v>
      </c>
      <c r="W171"/>
      <c r="X171" t="s">
        <v>106</v>
      </c>
      <c r="Y171"/>
      <c r="Z171"/>
      <c r="AA171" t="s">
        <v>292</v>
      </c>
      <c r="AB171" t="s">
        <v>1</v>
      </c>
      <c r="AC171" t="s">
        <v>138</v>
      </c>
      <c r="AD171" t="s">
        <v>129</v>
      </c>
      <c r="AE171" s="97"/>
    </row>
    <row r="172" spans="1:31" ht="14.4" customHeight="1" x14ac:dyDescent="0.3">
      <c r="A172" t="s">
        <v>560</v>
      </c>
      <c r="B172" t="s">
        <v>561</v>
      </c>
      <c r="C172"/>
      <c r="D172"/>
      <c r="E172"/>
      <c r="F172"/>
      <c r="G172" t="s">
        <v>290</v>
      </c>
      <c r="H172" t="s">
        <v>132</v>
      </c>
      <c r="I172" t="s">
        <v>1</v>
      </c>
      <c r="J172" t="s">
        <v>133</v>
      </c>
      <c r="K172" t="s">
        <v>51</v>
      </c>
      <c r="L172" t="s">
        <v>555</v>
      </c>
      <c r="M172" t="s">
        <v>134</v>
      </c>
      <c r="N172" t="s">
        <v>135</v>
      </c>
      <c r="O172"/>
      <c r="P172"/>
      <c r="Q172" t="s">
        <v>291</v>
      </c>
      <c r="R172"/>
      <c r="S172"/>
      <c r="T172" t="s">
        <v>169</v>
      </c>
      <c r="U172" t="s">
        <v>137</v>
      </c>
      <c r="V172" t="s">
        <v>159</v>
      </c>
      <c r="W172"/>
      <c r="X172" t="s">
        <v>106</v>
      </c>
      <c r="Y172"/>
      <c r="Z172"/>
      <c r="AA172" t="s">
        <v>292</v>
      </c>
      <c r="AB172" t="s">
        <v>1</v>
      </c>
      <c r="AC172" t="s">
        <v>138</v>
      </c>
      <c r="AD172" t="s">
        <v>129</v>
      </c>
      <c r="AE172" s="97"/>
    </row>
    <row r="173" spans="1:31" ht="14.4" customHeight="1" x14ac:dyDescent="0.3">
      <c r="A173" t="s">
        <v>562</v>
      </c>
      <c r="B173" t="s">
        <v>563</v>
      </c>
      <c r="C173"/>
      <c r="D173"/>
      <c r="E173"/>
      <c r="F173"/>
      <c r="G173" t="s">
        <v>290</v>
      </c>
      <c r="H173" t="s">
        <v>132</v>
      </c>
      <c r="I173" t="s">
        <v>1</v>
      </c>
      <c r="J173" t="s">
        <v>133</v>
      </c>
      <c r="K173" t="s">
        <v>51</v>
      </c>
      <c r="L173" t="s">
        <v>555</v>
      </c>
      <c r="M173" t="s">
        <v>134</v>
      </c>
      <c r="N173" t="s">
        <v>135</v>
      </c>
      <c r="O173"/>
      <c r="P173"/>
      <c r="Q173" t="s">
        <v>291</v>
      </c>
      <c r="R173"/>
      <c r="S173"/>
      <c r="T173" t="s">
        <v>169</v>
      </c>
      <c r="U173" t="s">
        <v>137</v>
      </c>
      <c r="V173" t="s">
        <v>159</v>
      </c>
      <c r="W173"/>
      <c r="X173" t="s">
        <v>106</v>
      </c>
      <c r="Y173"/>
      <c r="Z173"/>
      <c r="AA173" t="s">
        <v>292</v>
      </c>
      <c r="AB173" t="s">
        <v>1</v>
      </c>
      <c r="AC173" t="s">
        <v>138</v>
      </c>
      <c r="AD173" t="s">
        <v>129</v>
      </c>
      <c r="AE173" s="97"/>
    </row>
    <row r="174" spans="1:31" ht="14.4" customHeight="1" x14ac:dyDescent="0.3">
      <c r="A174" t="s">
        <v>564</v>
      </c>
      <c r="B174" t="s">
        <v>565</v>
      </c>
      <c r="C174"/>
      <c r="D174"/>
      <c r="E174"/>
      <c r="F174"/>
      <c r="G174" t="s">
        <v>290</v>
      </c>
      <c r="H174" t="s">
        <v>132</v>
      </c>
      <c r="I174" t="s">
        <v>1</v>
      </c>
      <c r="J174" t="s">
        <v>133</v>
      </c>
      <c r="K174" t="s">
        <v>51</v>
      </c>
      <c r="L174" t="s">
        <v>555</v>
      </c>
      <c r="M174" t="s">
        <v>134</v>
      </c>
      <c r="N174" t="s">
        <v>135</v>
      </c>
      <c r="O174"/>
      <c r="P174"/>
      <c r="Q174" t="s">
        <v>291</v>
      </c>
      <c r="R174"/>
      <c r="S174"/>
      <c r="T174" t="s">
        <v>169</v>
      </c>
      <c r="U174" t="s">
        <v>137</v>
      </c>
      <c r="V174" t="s">
        <v>159</v>
      </c>
      <c r="W174"/>
      <c r="X174" t="s">
        <v>106</v>
      </c>
      <c r="Y174"/>
      <c r="Z174"/>
      <c r="AA174" t="s">
        <v>292</v>
      </c>
      <c r="AB174" t="s">
        <v>1</v>
      </c>
      <c r="AC174" t="s">
        <v>138</v>
      </c>
      <c r="AD174" t="s">
        <v>129</v>
      </c>
      <c r="AE174" s="97"/>
    </row>
    <row r="175" spans="1:31" ht="14.4" customHeight="1" x14ac:dyDescent="0.3">
      <c r="A175" t="s">
        <v>566</v>
      </c>
      <c r="B175" t="s">
        <v>567</v>
      </c>
      <c r="C175"/>
      <c r="D175"/>
      <c r="E175"/>
      <c r="F175"/>
      <c r="G175" t="s">
        <v>290</v>
      </c>
      <c r="H175" t="s">
        <v>132</v>
      </c>
      <c r="I175" t="s">
        <v>1</v>
      </c>
      <c r="J175" t="s">
        <v>133</v>
      </c>
      <c r="K175" t="s">
        <v>51</v>
      </c>
      <c r="L175" t="s">
        <v>568</v>
      </c>
      <c r="M175" t="s">
        <v>134</v>
      </c>
      <c r="N175" t="s">
        <v>135</v>
      </c>
      <c r="O175"/>
      <c r="P175"/>
      <c r="Q175" t="s">
        <v>291</v>
      </c>
      <c r="R175"/>
      <c r="S175"/>
      <c r="T175" t="s">
        <v>169</v>
      </c>
      <c r="U175" t="s">
        <v>137</v>
      </c>
      <c r="V175" t="s">
        <v>159</v>
      </c>
      <c r="W175"/>
      <c r="X175" t="s">
        <v>106</v>
      </c>
      <c r="Y175"/>
      <c r="Z175"/>
      <c r="AA175" t="s">
        <v>292</v>
      </c>
      <c r="AB175" t="s">
        <v>1</v>
      </c>
      <c r="AC175" t="s">
        <v>138</v>
      </c>
      <c r="AD175" t="s">
        <v>129</v>
      </c>
      <c r="AE175" s="97"/>
    </row>
    <row r="176" spans="1:31" ht="14.4" customHeight="1" x14ac:dyDescent="0.3">
      <c r="A176" t="s">
        <v>569</v>
      </c>
      <c r="B176" t="s">
        <v>570</v>
      </c>
      <c r="C176"/>
      <c r="D176"/>
      <c r="E176"/>
      <c r="F176"/>
      <c r="G176" t="s">
        <v>290</v>
      </c>
      <c r="H176" t="s">
        <v>132</v>
      </c>
      <c r="I176" t="s">
        <v>1</v>
      </c>
      <c r="J176" t="s">
        <v>133</v>
      </c>
      <c r="K176" t="s">
        <v>51</v>
      </c>
      <c r="L176" t="s">
        <v>568</v>
      </c>
      <c r="M176" t="s">
        <v>134</v>
      </c>
      <c r="N176" t="s">
        <v>135</v>
      </c>
      <c r="O176"/>
      <c r="P176"/>
      <c r="Q176" t="s">
        <v>291</v>
      </c>
      <c r="R176"/>
      <c r="S176"/>
      <c r="T176" t="s">
        <v>169</v>
      </c>
      <c r="U176" t="s">
        <v>137</v>
      </c>
      <c r="V176" t="s">
        <v>159</v>
      </c>
      <c r="W176"/>
      <c r="X176" t="s">
        <v>106</v>
      </c>
      <c r="Y176"/>
      <c r="Z176"/>
      <c r="AA176" t="s">
        <v>292</v>
      </c>
      <c r="AB176" t="s">
        <v>1</v>
      </c>
      <c r="AC176" t="s">
        <v>138</v>
      </c>
      <c r="AD176" t="s">
        <v>129</v>
      </c>
      <c r="AE176" s="97"/>
    </row>
    <row r="177" spans="1:31" ht="14.4" customHeight="1" x14ac:dyDescent="0.3">
      <c r="A177" t="s">
        <v>571</v>
      </c>
      <c r="B177" t="s">
        <v>572</v>
      </c>
      <c r="C177"/>
      <c r="D177"/>
      <c r="E177"/>
      <c r="F177"/>
      <c r="G177" t="s">
        <v>290</v>
      </c>
      <c r="H177" t="s">
        <v>132</v>
      </c>
      <c r="I177" t="s">
        <v>1</v>
      </c>
      <c r="J177" t="s">
        <v>133</v>
      </c>
      <c r="K177" t="s">
        <v>51</v>
      </c>
      <c r="L177" t="s">
        <v>568</v>
      </c>
      <c r="M177" t="s">
        <v>134</v>
      </c>
      <c r="N177" t="s">
        <v>135</v>
      </c>
      <c r="O177"/>
      <c r="P177"/>
      <c r="Q177" t="s">
        <v>291</v>
      </c>
      <c r="R177"/>
      <c r="S177"/>
      <c r="T177" t="s">
        <v>169</v>
      </c>
      <c r="U177" t="s">
        <v>137</v>
      </c>
      <c r="V177" t="s">
        <v>159</v>
      </c>
      <c r="W177"/>
      <c r="X177" t="s">
        <v>106</v>
      </c>
      <c r="Y177"/>
      <c r="Z177"/>
      <c r="AA177" t="s">
        <v>292</v>
      </c>
      <c r="AB177" t="s">
        <v>1</v>
      </c>
      <c r="AC177" t="s">
        <v>138</v>
      </c>
      <c r="AD177" t="s">
        <v>129</v>
      </c>
      <c r="AE177" s="97"/>
    </row>
    <row r="178" spans="1:31" ht="14.4" customHeight="1" x14ac:dyDescent="0.3">
      <c r="A178" t="s">
        <v>573</v>
      </c>
      <c r="B178" t="s">
        <v>574</v>
      </c>
      <c r="C178"/>
      <c r="D178"/>
      <c r="E178"/>
      <c r="F178"/>
      <c r="G178" t="s">
        <v>290</v>
      </c>
      <c r="H178" t="s">
        <v>132</v>
      </c>
      <c r="I178" t="s">
        <v>1</v>
      </c>
      <c r="J178" t="s">
        <v>133</v>
      </c>
      <c r="K178" t="s">
        <v>51</v>
      </c>
      <c r="L178" t="s">
        <v>568</v>
      </c>
      <c r="M178" t="s">
        <v>134</v>
      </c>
      <c r="N178" t="s">
        <v>135</v>
      </c>
      <c r="O178"/>
      <c r="P178"/>
      <c r="Q178" t="s">
        <v>291</v>
      </c>
      <c r="R178"/>
      <c r="S178"/>
      <c r="T178" t="s">
        <v>169</v>
      </c>
      <c r="U178" t="s">
        <v>137</v>
      </c>
      <c r="V178" t="s">
        <v>159</v>
      </c>
      <c r="W178"/>
      <c r="X178" t="s">
        <v>106</v>
      </c>
      <c r="Y178"/>
      <c r="Z178"/>
      <c r="AA178" t="s">
        <v>292</v>
      </c>
      <c r="AB178" t="s">
        <v>1</v>
      </c>
      <c r="AC178" t="s">
        <v>138</v>
      </c>
      <c r="AD178" t="s">
        <v>129</v>
      </c>
      <c r="AE178" s="97"/>
    </row>
    <row r="179" spans="1:31" ht="14.4" customHeight="1" x14ac:dyDescent="0.3">
      <c r="A179" t="s">
        <v>575</v>
      </c>
      <c r="B179" t="s">
        <v>576</v>
      </c>
      <c r="C179"/>
      <c r="D179"/>
      <c r="E179"/>
      <c r="F179"/>
      <c r="G179" t="s">
        <v>290</v>
      </c>
      <c r="H179" t="s">
        <v>132</v>
      </c>
      <c r="I179" t="s">
        <v>1</v>
      </c>
      <c r="J179" t="s">
        <v>133</v>
      </c>
      <c r="K179" t="s">
        <v>51</v>
      </c>
      <c r="L179" t="s">
        <v>568</v>
      </c>
      <c r="M179" t="s">
        <v>134</v>
      </c>
      <c r="N179" t="s">
        <v>135</v>
      </c>
      <c r="O179"/>
      <c r="P179"/>
      <c r="Q179" t="s">
        <v>291</v>
      </c>
      <c r="R179"/>
      <c r="S179"/>
      <c r="T179" t="s">
        <v>169</v>
      </c>
      <c r="U179" t="s">
        <v>137</v>
      </c>
      <c r="V179" t="s">
        <v>159</v>
      </c>
      <c r="W179"/>
      <c r="X179" t="s">
        <v>106</v>
      </c>
      <c r="Y179"/>
      <c r="Z179"/>
      <c r="AA179" t="s">
        <v>292</v>
      </c>
      <c r="AB179" t="s">
        <v>1</v>
      </c>
      <c r="AC179" t="s">
        <v>138</v>
      </c>
      <c r="AD179" t="s">
        <v>129</v>
      </c>
      <c r="AE179" s="97"/>
    </row>
    <row r="180" spans="1:31" ht="14.4" customHeight="1" x14ac:dyDescent="0.3">
      <c r="A180" t="s">
        <v>577</v>
      </c>
      <c r="B180" t="s">
        <v>578</v>
      </c>
      <c r="C180"/>
      <c r="D180"/>
      <c r="E180"/>
      <c r="F180"/>
      <c r="G180" t="s">
        <v>290</v>
      </c>
      <c r="H180" t="s">
        <v>132</v>
      </c>
      <c r="I180" t="s">
        <v>1</v>
      </c>
      <c r="J180" t="s">
        <v>133</v>
      </c>
      <c r="K180" t="s">
        <v>51</v>
      </c>
      <c r="L180" t="s">
        <v>568</v>
      </c>
      <c r="M180" t="s">
        <v>134</v>
      </c>
      <c r="N180" t="s">
        <v>135</v>
      </c>
      <c r="O180"/>
      <c r="P180"/>
      <c r="Q180" t="s">
        <v>291</v>
      </c>
      <c r="R180"/>
      <c r="S180"/>
      <c r="T180" t="s">
        <v>169</v>
      </c>
      <c r="U180" t="s">
        <v>137</v>
      </c>
      <c r="V180" t="s">
        <v>159</v>
      </c>
      <c r="W180"/>
      <c r="X180" t="s">
        <v>106</v>
      </c>
      <c r="Y180"/>
      <c r="Z180"/>
      <c r="AA180" t="s">
        <v>292</v>
      </c>
      <c r="AB180" t="s">
        <v>1</v>
      </c>
      <c r="AC180" t="s">
        <v>138</v>
      </c>
      <c r="AD180" t="s">
        <v>129</v>
      </c>
      <c r="AE180" s="97"/>
    </row>
    <row r="181" spans="1:31" ht="14.4" customHeight="1" x14ac:dyDescent="0.3">
      <c r="A181" t="s">
        <v>579</v>
      </c>
      <c r="B181" t="s">
        <v>580</v>
      </c>
      <c r="C181"/>
      <c r="D181"/>
      <c r="E181"/>
      <c r="F181"/>
      <c r="G181" t="s">
        <v>290</v>
      </c>
      <c r="H181" t="s">
        <v>132</v>
      </c>
      <c r="I181" t="s">
        <v>1</v>
      </c>
      <c r="J181" t="s">
        <v>133</v>
      </c>
      <c r="K181" t="s">
        <v>51</v>
      </c>
      <c r="L181" t="s">
        <v>581</v>
      </c>
      <c r="M181" t="s">
        <v>134</v>
      </c>
      <c r="N181" t="s">
        <v>135</v>
      </c>
      <c r="O181"/>
      <c r="P181"/>
      <c r="Q181" t="s">
        <v>291</v>
      </c>
      <c r="R181"/>
      <c r="S181"/>
      <c r="T181" t="s">
        <v>169</v>
      </c>
      <c r="U181" t="s">
        <v>137</v>
      </c>
      <c r="V181" t="s">
        <v>162</v>
      </c>
      <c r="W181"/>
      <c r="X181" t="s">
        <v>113</v>
      </c>
      <c r="Y181"/>
      <c r="Z181"/>
      <c r="AA181" t="s">
        <v>292</v>
      </c>
      <c r="AB181" t="s">
        <v>1</v>
      </c>
      <c r="AC181" t="s">
        <v>138</v>
      </c>
      <c r="AD181" t="s">
        <v>129</v>
      </c>
      <c r="AE181" s="97"/>
    </row>
    <row r="182" spans="1:31" ht="14.4" customHeight="1" x14ac:dyDescent="0.3">
      <c r="A182" t="s">
        <v>582</v>
      </c>
      <c r="B182" t="s">
        <v>583</v>
      </c>
      <c r="C182"/>
      <c r="D182"/>
      <c r="E182"/>
      <c r="F182"/>
      <c r="G182" t="s">
        <v>290</v>
      </c>
      <c r="H182" t="s">
        <v>132</v>
      </c>
      <c r="I182" t="s">
        <v>1</v>
      </c>
      <c r="J182" t="s">
        <v>133</v>
      </c>
      <c r="K182" t="s">
        <v>51</v>
      </c>
      <c r="L182" t="s">
        <v>581</v>
      </c>
      <c r="M182" t="s">
        <v>134</v>
      </c>
      <c r="N182" t="s">
        <v>135</v>
      </c>
      <c r="O182"/>
      <c r="P182"/>
      <c r="Q182" t="s">
        <v>291</v>
      </c>
      <c r="R182"/>
      <c r="S182"/>
      <c r="T182" t="s">
        <v>169</v>
      </c>
      <c r="U182" t="s">
        <v>137</v>
      </c>
      <c r="V182" t="s">
        <v>162</v>
      </c>
      <c r="W182"/>
      <c r="X182" t="s">
        <v>113</v>
      </c>
      <c r="Y182"/>
      <c r="Z182"/>
      <c r="AA182" t="s">
        <v>292</v>
      </c>
      <c r="AB182" t="s">
        <v>1</v>
      </c>
      <c r="AC182" t="s">
        <v>138</v>
      </c>
      <c r="AD182" t="s">
        <v>129</v>
      </c>
      <c r="AE182" s="97"/>
    </row>
    <row r="183" spans="1:31" ht="14.4" customHeight="1" x14ac:dyDescent="0.3">
      <c r="A183" t="s">
        <v>584</v>
      </c>
      <c r="B183" t="s">
        <v>585</v>
      </c>
      <c r="C183"/>
      <c r="D183"/>
      <c r="E183"/>
      <c r="F183"/>
      <c r="G183" t="s">
        <v>290</v>
      </c>
      <c r="H183" t="s">
        <v>132</v>
      </c>
      <c r="I183" t="s">
        <v>1</v>
      </c>
      <c r="J183" t="s">
        <v>133</v>
      </c>
      <c r="K183" t="s">
        <v>51</v>
      </c>
      <c r="L183" t="s">
        <v>581</v>
      </c>
      <c r="M183" t="s">
        <v>134</v>
      </c>
      <c r="N183" t="s">
        <v>135</v>
      </c>
      <c r="O183"/>
      <c r="P183"/>
      <c r="Q183" t="s">
        <v>291</v>
      </c>
      <c r="R183"/>
      <c r="S183"/>
      <c r="T183" t="s">
        <v>169</v>
      </c>
      <c r="U183" t="s">
        <v>137</v>
      </c>
      <c r="V183" t="s">
        <v>162</v>
      </c>
      <c r="W183"/>
      <c r="X183" t="s">
        <v>113</v>
      </c>
      <c r="Y183"/>
      <c r="Z183"/>
      <c r="AA183" t="s">
        <v>292</v>
      </c>
      <c r="AB183" t="s">
        <v>1</v>
      </c>
      <c r="AC183" t="s">
        <v>138</v>
      </c>
      <c r="AD183" t="s">
        <v>129</v>
      </c>
      <c r="AE183" s="97"/>
    </row>
    <row r="184" spans="1:31" ht="14.4" customHeight="1" x14ac:dyDescent="0.3">
      <c r="A184" t="s">
        <v>586</v>
      </c>
      <c r="B184" t="s">
        <v>587</v>
      </c>
      <c r="C184"/>
      <c r="D184"/>
      <c r="E184"/>
      <c r="F184"/>
      <c r="G184" t="s">
        <v>290</v>
      </c>
      <c r="H184" t="s">
        <v>132</v>
      </c>
      <c r="I184" t="s">
        <v>1</v>
      </c>
      <c r="J184" t="s">
        <v>133</v>
      </c>
      <c r="K184" t="s">
        <v>51</v>
      </c>
      <c r="L184" t="s">
        <v>581</v>
      </c>
      <c r="M184" t="s">
        <v>134</v>
      </c>
      <c r="N184" t="s">
        <v>135</v>
      </c>
      <c r="O184"/>
      <c r="P184"/>
      <c r="Q184" t="s">
        <v>291</v>
      </c>
      <c r="R184"/>
      <c r="S184"/>
      <c r="T184" t="s">
        <v>169</v>
      </c>
      <c r="U184" t="s">
        <v>137</v>
      </c>
      <c r="V184" t="s">
        <v>162</v>
      </c>
      <c r="W184"/>
      <c r="X184" t="s">
        <v>113</v>
      </c>
      <c r="Y184"/>
      <c r="Z184"/>
      <c r="AA184" t="s">
        <v>292</v>
      </c>
      <c r="AB184" t="s">
        <v>1</v>
      </c>
      <c r="AC184" t="s">
        <v>138</v>
      </c>
      <c r="AD184" t="s">
        <v>129</v>
      </c>
      <c r="AE184" s="97"/>
    </row>
    <row r="185" spans="1:31" ht="14.4" customHeight="1" x14ac:dyDescent="0.3">
      <c r="A185" t="s">
        <v>588</v>
      </c>
      <c r="B185" t="s">
        <v>589</v>
      </c>
      <c r="C185"/>
      <c r="D185"/>
      <c r="E185"/>
      <c r="F185"/>
      <c r="G185" t="s">
        <v>290</v>
      </c>
      <c r="H185" t="s">
        <v>132</v>
      </c>
      <c r="I185" t="s">
        <v>1</v>
      </c>
      <c r="J185" t="s">
        <v>133</v>
      </c>
      <c r="K185" t="s">
        <v>51</v>
      </c>
      <c r="L185" t="s">
        <v>581</v>
      </c>
      <c r="M185" t="s">
        <v>134</v>
      </c>
      <c r="N185" t="s">
        <v>135</v>
      </c>
      <c r="O185"/>
      <c r="P185"/>
      <c r="Q185" t="s">
        <v>291</v>
      </c>
      <c r="R185"/>
      <c r="S185"/>
      <c r="T185" t="s">
        <v>169</v>
      </c>
      <c r="U185" t="s">
        <v>137</v>
      </c>
      <c r="V185" t="s">
        <v>162</v>
      </c>
      <c r="W185"/>
      <c r="X185" t="s">
        <v>113</v>
      </c>
      <c r="Y185"/>
      <c r="Z185"/>
      <c r="AA185" t="s">
        <v>292</v>
      </c>
      <c r="AB185" t="s">
        <v>1</v>
      </c>
      <c r="AC185" t="s">
        <v>138</v>
      </c>
      <c r="AD185" t="s">
        <v>129</v>
      </c>
      <c r="AE185" s="97"/>
    </row>
    <row r="186" spans="1:31" ht="14.4" customHeight="1" x14ac:dyDescent="0.3">
      <c r="A186" t="s">
        <v>590</v>
      </c>
      <c r="B186" t="s">
        <v>591</v>
      </c>
      <c r="C186"/>
      <c r="D186"/>
      <c r="E186"/>
      <c r="F186"/>
      <c r="G186" t="s">
        <v>290</v>
      </c>
      <c r="H186" t="s">
        <v>132</v>
      </c>
      <c r="I186" t="s">
        <v>1</v>
      </c>
      <c r="J186" t="s">
        <v>133</v>
      </c>
      <c r="K186" t="s">
        <v>51</v>
      </c>
      <c r="L186" t="s">
        <v>581</v>
      </c>
      <c r="M186" t="s">
        <v>134</v>
      </c>
      <c r="N186" t="s">
        <v>135</v>
      </c>
      <c r="O186"/>
      <c r="P186"/>
      <c r="Q186" t="s">
        <v>291</v>
      </c>
      <c r="R186"/>
      <c r="S186"/>
      <c r="T186" t="s">
        <v>169</v>
      </c>
      <c r="U186" t="s">
        <v>137</v>
      </c>
      <c r="V186" t="s">
        <v>162</v>
      </c>
      <c r="W186"/>
      <c r="X186" t="s">
        <v>113</v>
      </c>
      <c r="Y186"/>
      <c r="Z186"/>
      <c r="AA186" t="s">
        <v>292</v>
      </c>
      <c r="AB186" t="s">
        <v>1</v>
      </c>
      <c r="AC186" t="s">
        <v>138</v>
      </c>
      <c r="AD186" t="s">
        <v>129</v>
      </c>
      <c r="AE186" s="97"/>
    </row>
    <row r="187" spans="1:31" ht="14.4" customHeight="1" x14ac:dyDescent="0.3">
      <c r="A187" t="s">
        <v>592</v>
      </c>
      <c r="B187" t="s">
        <v>593</v>
      </c>
      <c r="C187"/>
      <c r="D187"/>
      <c r="E187"/>
      <c r="F187"/>
      <c r="G187" t="s">
        <v>290</v>
      </c>
      <c r="H187" t="s">
        <v>132</v>
      </c>
      <c r="I187" t="s">
        <v>1</v>
      </c>
      <c r="J187" t="s">
        <v>133</v>
      </c>
      <c r="K187" t="s">
        <v>51</v>
      </c>
      <c r="L187" t="s">
        <v>594</v>
      </c>
      <c r="M187" t="s">
        <v>134</v>
      </c>
      <c r="N187" t="s">
        <v>135</v>
      </c>
      <c r="O187"/>
      <c r="P187"/>
      <c r="Q187" t="s">
        <v>291</v>
      </c>
      <c r="R187"/>
      <c r="S187"/>
      <c r="T187" t="s">
        <v>169</v>
      </c>
      <c r="U187" t="s">
        <v>137</v>
      </c>
      <c r="V187" t="s">
        <v>162</v>
      </c>
      <c r="W187"/>
      <c r="X187" t="s">
        <v>113</v>
      </c>
      <c r="Y187"/>
      <c r="Z187"/>
      <c r="AA187" t="s">
        <v>292</v>
      </c>
      <c r="AB187" t="s">
        <v>1</v>
      </c>
      <c r="AC187" t="s">
        <v>138</v>
      </c>
      <c r="AD187" t="s">
        <v>129</v>
      </c>
      <c r="AE187" s="97"/>
    </row>
    <row r="188" spans="1:31" ht="14.4" customHeight="1" x14ac:dyDescent="0.3">
      <c r="A188" t="s">
        <v>595</v>
      </c>
      <c r="B188" t="s">
        <v>596</v>
      </c>
      <c r="C188"/>
      <c r="D188"/>
      <c r="E188"/>
      <c r="F188"/>
      <c r="G188" t="s">
        <v>290</v>
      </c>
      <c r="H188" t="s">
        <v>132</v>
      </c>
      <c r="I188" t="s">
        <v>1</v>
      </c>
      <c r="J188" t="s">
        <v>133</v>
      </c>
      <c r="K188" t="s">
        <v>51</v>
      </c>
      <c r="L188" t="s">
        <v>594</v>
      </c>
      <c r="M188" t="s">
        <v>134</v>
      </c>
      <c r="N188" t="s">
        <v>135</v>
      </c>
      <c r="O188"/>
      <c r="P188"/>
      <c r="Q188" t="s">
        <v>291</v>
      </c>
      <c r="R188"/>
      <c r="S188"/>
      <c r="T188" t="s">
        <v>169</v>
      </c>
      <c r="U188" t="s">
        <v>137</v>
      </c>
      <c r="V188" t="s">
        <v>162</v>
      </c>
      <c r="W188"/>
      <c r="X188" t="s">
        <v>113</v>
      </c>
      <c r="Y188"/>
      <c r="Z188"/>
      <c r="AA188" t="s">
        <v>292</v>
      </c>
      <c r="AB188" t="s">
        <v>1</v>
      </c>
      <c r="AC188" t="s">
        <v>138</v>
      </c>
      <c r="AD188" t="s">
        <v>129</v>
      </c>
      <c r="AE188" s="97"/>
    </row>
    <row r="189" spans="1:31" ht="14.4" customHeight="1" x14ac:dyDescent="0.3">
      <c r="A189" t="s">
        <v>597</v>
      </c>
      <c r="B189" t="s">
        <v>598</v>
      </c>
      <c r="C189"/>
      <c r="D189"/>
      <c r="E189"/>
      <c r="F189"/>
      <c r="G189" t="s">
        <v>290</v>
      </c>
      <c r="H189" t="s">
        <v>132</v>
      </c>
      <c r="I189" t="s">
        <v>1</v>
      </c>
      <c r="J189" t="s">
        <v>133</v>
      </c>
      <c r="K189" t="s">
        <v>51</v>
      </c>
      <c r="L189" t="s">
        <v>594</v>
      </c>
      <c r="M189" t="s">
        <v>134</v>
      </c>
      <c r="N189" t="s">
        <v>135</v>
      </c>
      <c r="O189"/>
      <c r="P189"/>
      <c r="Q189" t="s">
        <v>291</v>
      </c>
      <c r="R189"/>
      <c r="S189"/>
      <c r="T189" t="s">
        <v>169</v>
      </c>
      <c r="U189" t="s">
        <v>137</v>
      </c>
      <c r="V189" t="s">
        <v>162</v>
      </c>
      <c r="W189"/>
      <c r="X189" t="s">
        <v>113</v>
      </c>
      <c r="Y189"/>
      <c r="Z189"/>
      <c r="AA189" t="s">
        <v>292</v>
      </c>
      <c r="AB189" t="s">
        <v>1</v>
      </c>
      <c r="AC189" t="s">
        <v>138</v>
      </c>
      <c r="AD189" t="s">
        <v>129</v>
      </c>
      <c r="AE189" s="97"/>
    </row>
    <row r="190" spans="1:31" ht="14.4" customHeight="1" x14ac:dyDescent="0.3">
      <c r="A190" t="s">
        <v>599</v>
      </c>
      <c r="B190" t="s">
        <v>600</v>
      </c>
      <c r="C190"/>
      <c r="D190"/>
      <c r="E190"/>
      <c r="F190"/>
      <c r="G190" t="s">
        <v>290</v>
      </c>
      <c r="H190" t="s">
        <v>132</v>
      </c>
      <c r="I190" t="s">
        <v>1</v>
      </c>
      <c r="J190" t="s">
        <v>133</v>
      </c>
      <c r="K190" t="s">
        <v>51</v>
      </c>
      <c r="L190" t="s">
        <v>594</v>
      </c>
      <c r="M190" t="s">
        <v>134</v>
      </c>
      <c r="N190" t="s">
        <v>135</v>
      </c>
      <c r="O190"/>
      <c r="P190"/>
      <c r="Q190" t="s">
        <v>291</v>
      </c>
      <c r="R190"/>
      <c r="S190"/>
      <c r="T190" t="s">
        <v>169</v>
      </c>
      <c r="U190" t="s">
        <v>137</v>
      </c>
      <c r="V190" t="s">
        <v>162</v>
      </c>
      <c r="W190"/>
      <c r="X190" t="s">
        <v>113</v>
      </c>
      <c r="Y190"/>
      <c r="Z190"/>
      <c r="AA190" t="s">
        <v>292</v>
      </c>
      <c r="AB190" t="s">
        <v>1</v>
      </c>
      <c r="AC190" t="s">
        <v>138</v>
      </c>
      <c r="AD190" t="s">
        <v>129</v>
      </c>
      <c r="AE190" s="97"/>
    </row>
    <row r="191" spans="1:31" ht="14.4" customHeight="1" x14ac:dyDescent="0.3">
      <c r="A191" t="s">
        <v>601</v>
      </c>
      <c r="B191" t="s">
        <v>602</v>
      </c>
      <c r="C191"/>
      <c r="D191"/>
      <c r="E191"/>
      <c r="F191"/>
      <c r="G191" t="s">
        <v>290</v>
      </c>
      <c r="H191" t="s">
        <v>132</v>
      </c>
      <c r="I191" t="s">
        <v>1</v>
      </c>
      <c r="J191" t="s">
        <v>133</v>
      </c>
      <c r="K191" t="s">
        <v>51</v>
      </c>
      <c r="L191" t="s">
        <v>594</v>
      </c>
      <c r="M191" t="s">
        <v>134</v>
      </c>
      <c r="N191" t="s">
        <v>135</v>
      </c>
      <c r="O191"/>
      <c r="P191"/>
      <c r="Q191" t="s">
        <v>291</v>
      </c>
      <c r="R191"/>
      <c r="S191"/>
      <c r="T191" t="s">
        <v>169</v>
      </c>
      <c r="U191" t="s">
        <v>137</v>
      </c>
      <c r="V191" t="s">
        <v>162</v>
      </c>
      <c r="W191"/>
      <c r="X191" t="s">
        <v>113</v>
      </c>
      <c r="Y191"/>
      <c r="Z191"/>
      <c r="AA191" t="s">
        <v>292</v>
      </c>
      <c r="AB191" t="s">
        <v>1</v>
      </c>
      <c r="AC191" t="s">
        <v>138</v>
      </c>
      <c r="AD191" t="s">
        <v>129</v>
      </c>
      <c r="AE191" s="97"/>
    </row>
    <row r="192" spans="1:31" ht="14.4" customHeight="1" x14ac:dyDescent="0.3">
      <c r="A192" t="s">
        <v>603</v>
      </c>
      <c r="B192" t="s">
        <v>604</v>
      </c>
      <c r="C192"/>
      <c r="D192"/>
      <c r="E192"/>
      <c r="F192"/>
      <c r="G192" t="s">
        <v>290</v>
      </c>
      <c r="H192" t="s">
        <v>132</v>
      </c>
      <c r="I192" t="s">
        <v>1</v>
      </c>
      <c r="J192" t="s">
        <v>133</v>
      </c>
      <c r="K192" t="s">
        <v>51</v>
      </c>
      <c r="L192" t="s">
        <v>594</v>
      </c>
      <c r="M192" t="s">
        <v>134</v>
      </c>
      <c r="N192" t="s">
        <v>135</v>
      </c>
      <c r="O192"/>
      <c r="P192"/>
      <c r="Q192" t="s">
        <v>291</v>
      </c>
      <c r="R192"/>
      <c r="S192"/>
      <c r="T192" t="s">
        <v>169</v>
      </c>
      <c r="U192" t="s">
        <v>137</v>
      </c>
      <c r="V192" t="s">
        <v>162</v>
      </c>
      <c r="W192"/>
      <c r="X192" t="s">
        <v>113</v>
      </c>
      <c r="Y192"/>
      <c r="Z192"/>
      <c r="AA192" t="s">
        <v>292</v>
      </c>
      <c r="AB192" t="s">
        <v>1</v>
      </c>
      <c r="AC192" t="s">
        <v>138</v>
      </c>
      <c r="AD192" t="s">
        <v>129</v>
      </c>
      <c r="AE192" s="97"/>
    </row>
    <row r="193" spans="1:31" ht="14.4" customHeight="1" x14ac:dyDescent="0.3">
      <c r="A193" t="s">
        <v>605</v>
      </c>
      <c r="B193" t="s">
        <v>606</v>
      </c>
      <c r="C193"/>
      <c r="D193"/>
      <c r="E193"/>
      <c r="F193"/>
      <c r="G193" t="s">
        <v>290</v>
      </c>
      <c r="H193" t="s">
        <v>132</v>
      </c>
      <c r="I193" t="s">
        <v>1</v>
      </c>
      <c r="J193" t="s">
        <v>133</v>
      </c>
      <c r="K193" t="s">
        <v>51</v>
      </c>
      <c r="L193" t="s">
        <v>607</v>
      </c>
      <c r="M193" t="s">
        <v>134</v>
      </c>
      <c r="N193" t="s">
        <v>135</v>
      </c>
      <c r="O193"/>
      <c r="P193"/>
      <c r="Q193" t="s">
        <v>291</v>
      </c>
      <c r="R193"/>
      <c r="S193"/>
      <c r="T193" t="s">
        <v>169</v>
      </c>
      <c r="U193" t="s">
        <v>137</v>
      </c>
      <c r="V193" t="s">
        <v>165</v>
      </c>
      <c r="W193"/>
      <c r="X193" t="s">
        <v>122</v>
      </c>
      <c r="Y193"/>
      <c r="Z193"/>
      <c r="AA193" t="s">
        <v>292</v>
      </c>
      <c r="AB193" t="s">
        <v>1</v>
      </c>
      <c r="AC193" t="s">
        <v>138</v>
      </c>
      <c r="AD193" t="s">
        <v>130</v>
      </c>
      <c r="AE193" s="97"/>
    </row>
    <row r="194" spans="1:31" ht="14.4" customHeight="1" x14ac:dyDescent="0.3">
      <c r="A194" t="s">
        <v>608</v>
      </c>
      <c r="B194" t="s">
        <v>609</v>
      </c>
      <c r="C194"/>
      <c r="D194"/>
      <c r="E194"/>
      <c r="F194"/>
      <c r="G194" t="s">
        <v>290</v>
      </c>
      <c r="H194" t="s">
        <v>132</v>
      </c>
      <c r="I194" t="s">
        <v>1</v>
      </c>
      <c r="J194" t="s">
        <v>133</v>
      </c>
      <c r="K194" t="s">
        <v>51</v>
      </c>
      <c r="L194" t="s">
        <v>607</v>
      </c>
      <c r="M194" t="s">
        <v>134</v>
      </c>
      <c r="N194" t="s">
        <v>135</v>
      </c>
      <c r="O194"/>
      <c r="P194"/>
      <c r="Q194" t="s">
        <v>291</v>
      </c>
      <c r="R194"/>
      <c r="S194"/>
      <c r="T194" t="s">
        <v>169</v>
      </c>
      <c r="U194" t="s">
        <v>137</v>
      </c>
      <c r="V194" t="s">
        <v>165</v>
      </c>
      <c r="W194"/>
      <c r="X194" t="s">
        <v>122</v>
      </c>
      <c r="Y194"/>
      <c r="Z194"/>
      <c r="AA194" t="s">
        <v>292</v>
      </c>
      <c r="AB194" t="s">
        <v>1</v>
      </c>
      <c r="AC194" t="s">
        <v>138</v>
      </c>
      <c r="AD194" t="s">
        <v>130</v>
      </c>
      <c r="AE194" s="97"/>
    </row>
    <row r="195" spans="1:31" ht="14.4" customHeight="1" x14ac:dyDescent="0.3">
      <c r="A195" t="s">
        <v>610</v>
      </c>
      <c r="B195" t="s">
        <v>611</v>
      </c>
      <c r="C195"/>
      <c r="D195"/>
      <c r="E195"/>
      <c r="F195"/>
      <c r="G195" t="s">
        <v>290</v>
      </c>
      <c r="H195" t="s">
        <v>132</v>
      </c>
      <c r="I195" t="s">
        <v>1</v>
      </c>
      <c r="J195" t="s">
        <v>133</v>
      </c>
      <c r="K195" t="s">
        <v>51</v>
      </c>
      <c r="L195" t="s">
        <v>607</v>
      </c>
      <c r="M195" t="s">
        <v>134</v>
      </c>
      <c r="N195" t="s">
        <v>135</v>
      </c>
      <c r="O195"/>
      <c r="P195"/>
      <c r="Q195" t="s">
        <v>291</v>
      </c>
      <c r="R195"/>
      <c r="S195"/>
      <c r="T195" t="s">
        <v>169</v>
      </c>
      <c r="U195" t="s">
        <v>137</v>
      </c>
      <c r="V195" t="s">
        <v>165</v>
      </c>
      <c r="W195"/>
      <c r="X195" t="s">
        <v>122</v>
      </c>
      <c r="Y195"/>
      <c r="Z195"/>
      <c r="AA195" t="s">
        <v>292</v>
      </c>
      <c r="AB195" t="s">
        <v>1</v>
      </c>
      <c r="AC195" t="s">
        <v>138</v>
      </c>
      <c r="AD195" t="s">
        <v>130</v>
      </c>
      <c r="AE195" s="97"/>
    </row>
    <row r="196" spans="1:31" ht="14.4" customHeight="1" x14ac:dyDescent="0.3">
      <c r="A196" t="s">
        <v>612</v>
      </c>
      <c r="B196" t="s">
        <v>613</v>
      </c>
      <c r="C196"/>
      <c r="D196"/>
      <c r="E196"/>
      <c r="F196"/>
      <c r="G196" t="s">
        <v>290</v>
      </c>
      <c r="H196" t="s">
        <v>132</v>
      </c>
      <c r="I196" t="s">
        <v>1</v>
      </c>
      <c r="J196" t="s">
        <v>133</v>
      </c>
      <c r="K196" t="s">
        <v>51</v>
      </c>
      <c r="L196" t="s">
        <v>607</v>
      </c>
      <c r="M196" t="s">
        <v>134</v>
      </c>
      <c r="N196" t="s">
        <v>135</v>
      </c>
      <c r="O196"/>
      <c r="P196"/>
      <c r="Q196" t="s">
        <v>291</v>
      </c>
      <c r="R196"/>
      <c r="S196"/>
      <c r="T196" t="s">
        <v>169</v>
      </c>
      <c r="U196" t="s">
        <v>137</v>
      </c>
      <c r="V196" t="s">
        <v>165</v>
      </c>
      <c r="W196"/>
      <c r="X196" t="s">
        <v>122</v>
      </c>
      <c r="Y196"/>
      <c r="Z196"/>
      <c r="AA196" t="s">
        <v>292</v>
      </c>
      <c r="AB196" t="s">
        <v>1</v>
      </c>
      <c r="AC196" t="s">
        <v>138</v>
      </c>
      <c r="AD196" t="s">
        <v>130</v>
      </c>
      <c r="AE196" s="97"/>
    </row>
    <row r="197" spans="1:31" ht="14.4" customHeight="1" x14ac:dyDescent="0.3">
      <c r="A197" t="s">
        <v>614</v>
      </c>
      <c r="B197" t="s">
        <v>615</v>
      </c>
      <c r="C197"/>
      <c r="D197"/>
      <c r="E197"/>
      <c r="F197"/>
      <c r="G197" t="s">
        <v>290</v>
      </c>
      <c r="H197" t="s">
        <v>132</v>
      </c>
      <c r="I197" t="s">
        <v>1</v>
      </c>
      <c r="J197" t="s">
        <v>133</v>
      </c>
      <c r="K197" t="s">
        <v>51</v>
      </c>
      <c r="L197" t="s">
        <v>607</v>
      </c>
      <c r="M197" t="s">
        <v>134</v>
      </c>
      <c r="N197" t="s">
        <v>135</v>
      </c>
      <c r="O197"/>
      <c r="P197"/>
      <c r="Q197" t="s">
        <v>291</v>
      </c>
      <c r="R197"/>
      <c r="S197"/>
      <c r="T197" t="s">
        <v>169</v>
      </c>
      <c r="U197" t="s">
        <v>137</v>
      </c>
      <c r="V197" t="s">
        <v>165</v>
      </c>
      <c r="W197"/>
      <c r="X197" t="s">
        <v>122</v>
      </c>
      <c r="Y197"/>
      <c r="Z197"/>
      <c r="AA197" t="s">
        <v>292</v>
      </c>
      <c r="AB197" t="s">
        <v>1</v>
      </c>
      <c r="AC197" t="s">
        <v>138</v>
      </c>
      <c r="AD197" t="s">
        <v>130</v>
      </c>
      <c r="AE197" s="97"/>
    </row>
    <row r="198" spans="1:31" ht="14.4" customHeight="1" x14ac:dyDescent="0.3">
      <c r="A198" t="s">
        <v>616</v>
      </c>
      <c r="B198" t="s">
        <v>617</v>
      </c>
      <c r="C198"/>
      <c r="D198"/>
      <c r="E198"/>
      <c r="F198"/>
      <c r="G198" t="s">
        <v>290</v>
      </c>
      <c r="H198" t="s">
        <v>132</v>
      </c>
      <c r="I198" t="s">
        <v>1</v>
      </c>
      <c r="J198" t="s">
        <v>133</v>
      </c>
      <c r="K198" t="s">
        <v>51</v>
      </c>
      <c r="L198" t="s">
        <v>607</v>
      </c>
      <c r="M198" t="s">
        <v>134</v>
      </c>
      <c r="N198" t="s">
        <v>135</v>
      </c>
      <c r="O198"/>
      <c r="P198"/>
      <c r="Q198" t="s">
        <v>291</v>
      </c>
      <c r="R198"/>
      <c r="S198"/>
      <c r="T198" t="s">
        <v>169</v>
      </c>
      <c r="U198" t="s">
        <v>137</v>
      </c>
      <c r="V198" t="s">
        <v>165</v>
      </c>
      <c r="W198"/>
      <c r="X198" t="s">
        <v>122</v>
      </c>
      <c r="Y198"/>
      <c r="Z198"/>
      <c r="AA198" t="s">
        <v>292</v>
      </c>
      <c r="AB198" t="s">
        <v>1</v>
      </c>
      <c r="AC198" t="s">
        <v>138</v>
      </c>
      <c r="AD198" t="s">
        <v>130</v>
      </c>
      <c r="AE198" s="97"/>
    </row>
    <row r="199" spans="1:31" ht="14.4" customHeight="1" x14ac:dyDescent="0.3">
      <c r="A199" t="s">
        <v>618</v>
      </c>
      <c r="B199" t="s">
        <v>619</v>
      </c>
      <c r="C199"/>
      <c r="D199"/>
      <c r="E199"/>
      <c r="F199"/>
      <c r="G199" t="s">
        <v>290</v>
      </c>
      <c r="H199" t="s">
        <v>132</v>
      </c>
      <c r="I199" t="s">
        <v>1</v>
      </c>
      <c r="J199" t="s">
        <v>133</v>
      </c>
      <c r="K199" t="s">
        <v>51</v>
      </c>
      <c r="L199" t="s">
        <v>620</v>
      </c>
      <c r="M199" t="s">
        <v>134</v>
      </c>
      <c r="N199" t="s">
        <v>135</v>
      </c>
      <c r="O199"/>
      <c r="P199"/>
      <c r="Q199" t="s">
        <v>291</v>
      </c>
      <c r="R199"/>
      <c r="S199"/>
      <c r="T199" t="s">
        <v>169</v>
      </c>
      <c r="U199" t="s">
        <v>137</v>
      </c>
      <c r="V199" t="s">
        <v>165</v>
      </c>
      <c r="W199"/>
      <c r="X199" t="s">
        <v>122</v>
      </c>
      <c r="Y199"/>
      <c r="Z199"/>
      <c r="AA199" t="s">
        <v>292</v>
      </c>
      <c r="AB199" t="s">
        <v>1</v>
      </c>
      <c r="AC199" t="s">
        <v>138</v>
      </c>
      <c r="AD199" t="s">
        <v>130</v>
      </c>
      <c r="AE199" s="97"/>
    </row>
    <row r="200" spans="1:31" ht="14.4" customHeight="1" x14ac:dyDescent="0.3">
      <c r="A200" t="s">
        <v>621</v>
      </c>
      <c r="B200" t="s">
        <v>622</v>
      </c>
      <c r="C200"/>
      <c r="D200"/>
      <c r="E200"/>
      <c r="F200"/>
      <c r="G200" t="s">
        <v>290</v>
      </c>
      <c r="H200" t="s">
        <v>132</v>
      </c>
      <c r="I200" t="s">
        <v>1</v>
      </c>
      <c r="J200" t="s">
        <v>133</v>
      </c>
      <c r="K200" t="s">
        <v>51</v>
      </c>
      <c r="L200" t="s">
        <v>620</v>
      </c>
      <c r="M200" t="s">
        <v>134</v>
      </c>
      <c r="N200" t="s">
        <v>135</v>
      </c>
      <c r="O200"/>
      <c r="P200"/>
      <c r="Q200" t="s">
        <v>291</v>
      </c>
      <c r="R200"/>
      <c r="S200"/>
      <c r="T200" t="s">
        <v>169</v>
      </c>
      <c r="U200" t="s">
        <v>137</v>
      </c>
      <c r="V200" t="s">
        <v>165</v>
      </c>
      <c r="W200"/>
      <c r="X200" t="s">
        <v>122</v>
      </c>
      <c r="Y200"/>
      <c r="Z200"/>
      <c r="AA200" t="s">
        <v>292</v>
      </c>
      <c r="AB200" t="s">
        <v>1</v>
      </c>
      <c r="AC200" t="s">
        <v>138</v>
      </c>
      <c r="AD200" t="s">
        <v>130</v>
      </c>
      <c r="AE200" s="97"/>
    </row>
    <row r="201" spans="1:31" ht="14.4" customHeight="1" x14ac:dyDescent="0.3">
      <c r="A201" t="s">
        <v>623</v>
      </c>
      <c r="B201" t="s">
        <v>624</v>
      </c>
      <c r="C201"/>
      <c r="D201"/>
      <c r="E201"/>
      <c r="F201"/>
      <c r="G201" t="s">
        <v>290</v>
      </c>
      <c r="H201" t="s">
        <v>132</v>
      </c>
      <c r="I201" t="s">
        <v>1</v>
      </c>
      <c r="J201" t="s">
        <v>133</v>
      </c>
      <c r="K201" t="s">
        <v>51</v>
      </c>
      <c r="L201" t="s">
        <v>620</v>
      </c>
      <c r="M201" t="s">
        <v>134</v>
      </c>
      <c r="N201" t="s">
        <v>135</v>
      </c>
      <c r="O201"/>
      <c r="P201"/>
      <c r="Q201" t="s">
        <v>291</v>
      </c>
      <c r="R201"/>
      <c r="S201"/>
      <c r="T201" t="s">
        <v>169</v>
      </c>
      <c r="U201" t="s">
        <v>137</v>
      </c>
      <c r="V201" t="s">
        <v>165</v>
      </c>
      <c r="W201"/>
      <c r="X201" t="s">
        <v>122</v>
      </c>
      <c r="Y201"/>
      <c r="Z201"/>
      <c r="AA201" t="s">
        <v>292</v>
      </c>
      <c r="AB201" t="s">
        <v>1</v>
      </c>
      <c r="AC201" t="s">
        <v>138</v>
      </c>
      <c r="AD201" t="s">
        <v>130</v>
      </c>
      <c r="AE201" s="97"/>
    </row>
    <row r="202" spans="1:31" ht="14.4" customHeight="1" x14ac:dyDescent="0.3">
      <c r="A202" t="s">
        <v>625</v>
      </c>
      <c r="B202" t="s">
        <v>626</v>
      </c>
      <c r="C202"/>
      <c r="D202"/>
      <c r="E202"/>
      <c r="F202"/>
      <c r="G202" t="s">
        <v>290</v>
      </c>
      <c r="H202" t="s">
        <v>132</v>
      </c>
      <c r="I202" t="s">
        <v>1</v>
      </c>
      <c r="J202" t="s">
        <v>133</v>
      </c>
      <c r="K202" t="s">
        <v>51</v>
      </c>
      <c r="L202" t="s">
        <v>620</v>
      </c>
      <c r="M202" t="s">
        <v>134</v>
      </c>
      <c r="N202" t="s">
        <v>135</v>
      </c>
      <c r="O202"/>
      <c r="P202"/>
      <c r="Q202" t="s">
        <v>291</v>
      </c>
      <c r="R202"/>
      <c r="S202"/>
      <c r="T202" t="s">
        <v>169</v>
      </c>
      <c r="U202" t="s">
        <v>137</v>
      </c>
      <c r="V202" t="s">
        <v>165</v>
      </c>
      <c r="W202"/>
      <c r="X202" t="s">
        <v>122</v>
      </c>
      <c r="Y202"/>
      <c r="Z202"/>
      <c r="AA202" t="s">
        <v>292</v>
      </c>
      <c r="AB202" t="s">
        <v>1</v>
      </c>
      <c r="AC202" t="s">
        <v>138</v>
      </c>
      <c r="AD202" t="s">
        <v>130</v>
      </c>
      <c r="AE202" s="97"/>
    </row>
    <row r="203" spans="1:31" ht="14.4" customHeight="1" x14ac:dyDescent="0.3">
      <c r="A203" t="s">
        <v>627</v>
      </c>
      <c r="B203" t="s">
        <v>628</v>
      </c>
      <c r="C203"/>
      <c r="D203"/>
      <c r="E203"/>
      <c r="F203"/>
      <c r="G203" t="s">
        <v>290</v>
      </c>
      <c r="H203" t="s">
        <v>132</v>
      </c>
      <c r="I203" t="s">
        <v>1</v>
      </c>
      <c r="J203" t="s">
        <v>133</v>
      </c>
      <c r="K203" t="s">
        <v>51</v>
      </c>
      <c r="L203" t="s">
        <v>620</v>
      </c>
      <c r="M203" t="s">
        <v>134</v>
      </c>
      <c r="N203" t="s">
        <v>135</v>
      </c>
      <c r="O203"/>
      <c r="P203"/>
      <c r="Q203" t="s">
        <v>291</v>
      </c>
      <c r="R203"/>
      <c r="S203"/>
      <c r="T203" t="s">
        <v>169</v>
      </c>
      <c r="U203" t="s">
        <v>137</v>
      </c>
      <c r="V203" t="s">
        <v>165</v>
      </c>
      <c r="W203"/>
      <c r="X203" t="s">
        <v>122</v>
      </c>
      <c r="Y203"/>
      <c r="Z203"/>
      <c r="AA203" t="s">
        <v>292</v>
      </c>
      <c r="AB203" t="s">
        <v>1</v>
      </c>
      <c r="AC203" t="s">
        <v>138</v>
      </c>
      <c r="AD203" t="s">
        <v>130</v>
      </c>
      <c r="AE203" s="97"/>
    </row>
    <row r="204" spans="1:31" ht="14.4" customHeight="1" x14ac:dyDescent="0.3">
      <c r="A204" t="s">
        <v>629</v>
      </c>
      <c r="B204" t="s">
        <v>630</v>
      </c>
      <c r="C204"/>
      <c r="D204"/>
      <c r="E204"/>
      <c r="F204"/>
      <c r="G204" t="s">
        <v>290</v>
      </c>
      <c r="H204" t="s">
        <v>132</v>
      </c>
      <c r="I204" t="s">
        <v>1</v>
      </c>
      <c r="J204" t="s">
        <v>133</v>
      </c>
      <c r="K204" t="s">
        <v>51</v>
      </c>
      <c r="L204" t="s">
        <v>620</v>
      </c>
      <c r="M204" t="s">
        <v>134</v>
      </c>
      <c r="N204" t="s">
        <v>135</v>
      </c>
      <c r="O204"/>
      <c r="P204"/>
      <c r="Q204" t="s">
        <v>291</v>
      </c>
      <c r="R204"/>
      <c r="S204"/>
      <c r="T204" t="s">
        <v>169</v>
      </c>
      <c r="U204" t="s">
        <v>137</v>
      </c>
      <c r="V204" t="s">
        <v>165</v>
      </c>
      <c r="W204"/>
      <c r="X204" t="s">
        <v>122</v>
      </c>
      <c r="Y204"/>
      <c r="Z204"/>
      <c r="AA204" t="s">
        <v>292</v>
      </c>
      <c r="AB204" t="s">
        <v>1</v>
      </c>
      <c r="AC204" t="s">
        <v>138</v>
      </c>
      <c r="AD204" t="s">
        <v>130</v>
      </c>
      <c r="AE204" s="97"/>
    </row>
    <row r="205" spans="1:31" ht="14.4" customHeight="1" x14ac:dyDescent="0.3">
      <c r="A205" t="s">
        <v>631</v>
      </c>
      <c r="B205" t="s">
        <v>632</v>
      </c>
      <c r="C205"/>
      <c r="D205"/>
      <c r="E205"/>
      <c r="F205"/>
      <c r="G205" t="s">
        <v>290</v>
      </c>
      <c r="H205" t="s">
        <v>132</v>
      </c>
      <c r="I205" t="s">
        <v>1</v>
      </c>
      <c r="J205" t="s">
        <v>133</v>
      </c>
      <c r="K205" t="s">
        <v>51</v>
      </c>
      <c r="L205" t="s">
        <v>633</v>
      </c>
      <c r="M205" t="s">
        <v>134</v>
      </c>
      <c r="N205" t="s">
        <v>135</v>
      </c>
      <c r="O205"/>
      <c r="P205"/>
      <c r="Q205" t="s">
        <v>291</v>
      </c>
      <c r="R205"/>
      <c r="S205"/>
      <c r="T205" t="s">
        <v>169</v>
      </c>
      <c r="U205" t="s">
        <v>137</v>
      </c>
      <c r="V205" t="s">
        <v>352</v>
      </c>
      <c r="W205"/>
      <c r="X205" t="s">
        <v>56</v>
      </c>
      <c r="Y205"/>
      <c r="Z205"/>
      <c r="AA205" t="s">
        <v>292</v>
      </c>
      <c r="AB205" t="s">
        <v>1</v>
      </c>
      <c r="AC205" t="s">
        <v>138</v>
      </c>
      <c r="AD205" t="s">
        <v>128</v>
      </c>
      <c r="AE205" s="97"/>
    </row>
    <row r="206" spans="1:31" ht="14.4" customHeight="1" x14ac:dyDescent="0.3">
      <c r="A206" t="s">
        <v>634</v>
      </c>
      <c r="B206" t="s">
        <v>635</v>
      </c>
      <c r="C206"/>
      <c r="D206"/>
      <c r="E206"/>
      <c r="F206"/>
      <c r="G206" t="s">
        <v>290</v>
      </c>
      <c r="H206" t="s">
        <v>132</v>
      </c>
      <c r="I206" t="s">
        <v>1</v>
      </c>
      <c r="J206" t="s">
        <v>133</v>
      </c>
      <c r="K206" t="s">
        <v>51</v>
      </c>
      <c r="L206" t="s">
        <v>636</v>
      </c>
      <c r="M206" t="s">
        <v>134</v>
      </c>
      <c r="N206" t="s">
        <v>135</v>
      </c>
      <c r="O206"/>
      <c r="P206"/>
      <c r="Q206" t="s">
        <v>291</v>
      </c>
      <c r="R206"/>
      <c r="S206"/>
      <c r="T206" t="s">
        <v>169</v>
      </c>
      <c r="U206" t="s">
        <v>137</v>
      </c>
      <c r="V206" t="s">
        <v>352</v>
      </c>
      <c r="W206"/>
      <c r="X206" t="s">
        <v>56</v>
      </c>
      <c r="Y206"/>
      <c r="Z206"/>
      <c r="AA206" t="s">
        <v>292</v>
      </c>
      <c r="AB206" t="s">
        <v>1</v>
      </c>
      <c r="AC206" t="s">
        <v>138</v>
      </c>
      <c r="AD206" t="s">
        <v>128</v>
      </c>
      <c r="AE206" s="97"/>
    </row>
    <row r="207" spans="1:31" ht="14.4" customHeight="1" x14ac:dyDescent="0.3">
      <c r="A207" t="s">
        <v>637</v>
      </c>
      <c r="B207" t="s">
        <v>638</v>
      </c>
      <c r="C207"/>
      <c r="D207"/>
      <c r="E207"/>
      <c r="F207"/>
      <c r="G207" t="s">
        <v>290</v>
      </c>
      <c r="H207" t="s">
        <v>132</v>
      </c>
      <c r="I207" t="s">
        <v>1</v>
      </c>
      <c r="J207" t="s">
        <v>133</v>
      </c>
      <c r="K207" t="s">
        <v>51</v>
      </c>
      <c r="L207" t="s">
        <v>639</v>
      </c>
      <c r="M207" t="s">
        <v>134</v>
      </c>
      <c r="N207" t="s">
        <v>135</v>
      </c>
      <c r="O207"/>
      <c r="P207"/>
      <c r="Q207" t="s">
        <v>291</v>
      </c>
      <c r="R207"/>
      <c r="S207"/>
      <c r="T207" t="s">
        <v>169</v>
      </c>
      <c r="U207" t="s">
        <v>137</v>
      </c>
      <c r="V207" t="s">
        <v>640</v>
      </c>
      <c r="W207"/>
      <c r="X207" t="s">
        <v>66</v>
      </c>
      <c r="Y207"/>
      <c r="Z207"/>
      <c r="AA207" t="s">
        <v>292</v>
      </c>
      <c r="AB207" t="s">
        <v>1</v>
      </c>
      <c r="AC207" t="s">
        <v>138</v>
      </c>
      <c r="AD207" t="s">
        <v>128</v>
      </c>
      <c r="AE207" s="97"/>
    </row>
    <row r="208" spans="1:31" ht="14.4" customHeight="1" x14ac:dyDescent="0.3">
      <c r="A208" t="s">
        <v>641</v>
      </c>
      <c r="B208" t="s">
        <v>642</v>
      </c>
      <c r="C208"/>
      <c r="D208"/>
      <c r="E208"/>
      <c r="F208"/>
      <c r="G208" t="s">
        <v>290</v>
      </c>
      <c r="H208" t="s">
        <v>132</v>
      </c>
      <c r="I208" t="s">
        <v>1</v>
      </c>
      <c r="J208" t="s">
        <v>133</v>
      </c>
      <c r="K208" t="s">
        <v>51</v>
      </c>
      <c r="L208" t="s">
        <v>639</v>
      </c>
      <c r="M208" t="s">
        <v>134</v>
      </c>
      <c r="N208" t="s">
        <v>135</v>
      </c>
      <c r="O208"/>
      <c r="P208"/>
      <c r="Q208" t="s">
        <v>291</v>
      </c>
      <c r="R208"/>
      <c r="S208"/>
      <c r="T208" t="s">
        <v>169</v>
      </c>
      <c r="U208" t="s">
        <v>137</v>
      </c>
      <c r="V208" t="s">
        <v>640</v>
      </c>
      <c r="W208"/>
      <c r="X208" t="s">
        <v>66</v>
      </c>
      <c r="Y208"/>
      <c r="Z208"/>
      <c r="AA208" t="s">
        <v>292</v>
      </c>
      <c r="AB208" t="s">
        <v>1</v>
      </c>
      <c r="AC208" t="s">
        <v>138</v>
      </c>
      <c r="AD208" t="s">
        <v>128</v>
      </c>
      <c r="AE208" s="97"/>
    </row>
    <row r="209" spans="1:31" ht="14.4" customHeight="1" x14ac:dyDescent="0.3">
      <c r="A209" t="s">
        <v>643</v>
      </c>
      <c r="B209" t="s">
        <v>644</v>
      </c>
      <c r="C209"/>
      <c r="D209"/>
      <c r="E209"/>
      <c r="F209"/>
      <c r="G209" t="s">
        <v>290</v>
      </c>
      <c r="H209" t="s">
        <v>132</v>
      </c>
      <c r="I209" t="s">
        <v>1</v>
      </c>
      <c r="J209" t="s">
        <v>133</v>
      </c>
      <c r="K209" t="s">
        <v>51</v>
      </c>
      <c r="L209" t="s">
        <v>645</v>
      </c>
      <c r="M209" t="s">
        <v>134</v>
      </c>
      <c r="N209" t="s">
        <v>135</v>
      </c>
      <c r="O209"/>
      <c r="P209"/>
      <c r="Q209" t="s">
        <v>291</v>
      </c>
      <c r="R209"/>
      <c r="S209"/>
      <c r="T209" t="s">
        <v>169</v>
      </c>
      <c r="U209" t="s">
        <v>137</v>
      </c>
      <c r="V209" t="s">
        <v>646</v>
      </c>
      <c r="W209"/>
      <c r="X209" t="s">
        <v>74</v>
      </c>
      <c r="Y209"/>
      <c r="Z209"/>
      <c r="AA209" t="s">
        <v>292</v>
      </c>
      <c r="AB209" t="s">
        <v>1</v>
      </c>
      <c r="AC209" t="s">
        <v>138</v>
      </c>
      <c r="AD209" t="s">
        <v>128</v>
      </c>
      <c r="AE209" s="97"/>
    </row>
    <row r="210" spans="1:31" ht="14.4" customHeight="1" x14ac:dyDescent="0.3">
      <c r="A210" t="s">
        <v>647</v>
      </c>
      <c r="B210" t="s">
        <v>648</v>
      </c>
      <c r="C210"/>
      <c r="D210"/>
      <c r="E210"/>
      <c r="F210"/>
      <c r="G210" t="s">
        <v>290</v>
      </c>
      <c r="H210" t="s">
        <v>132</v>
      </c>
      <c r="I210" t="s">
        <v>1</v>
      </c>
      <c r="J210" t="s">
        <v>133</v>
      </c>
      <c r="K210" t="s">
        <v>51</v>
      </c>
      <c r="L210" t="s">
        <v>645</v>
      </c>
      <c r="M210" t="s">
        <v>134</v>
      </c>
      <c r="N210" t="s">
        <v>135</v>
      </c>
      <c r="O210"/>
      <c r="P210"/>
      <c r="Q210" t="s">
        <v>291</v>
      </c>
      <c r="R210"/>
      <c r="S210"/>
      <c r="T210" t="s">
        <v>169</v>
      </c>
      <c r="U210" t="s">
        <v>137</v>
      </c>
      <c r="V210" t="s">
        <v>646</v>
      </c>
      <c r="W210"/>
      <c r="X210" t="s">
        <v>74</v>
      </c>
      <c r="Y210"/>
      <c r="Z210"/>
      <c r="AA210" t="s">
        <v>292</v>
      </c>
      <c r="AB210" t="s">
        <v>1</v>
      </c>
      <c r="AC210" t="s">
        <v>138</v>
      </c>
      <c r="AD210" t="s">
        <v>128</v>
      </c>
      <c r="AE210" s="97"/>
    </row>
    <row r="211" spans="1:31" ht="14.4" customHeight="1" x14ac:dyDescent="0.3">
      <c r="A211" t="s">
        <v>649</v>
      </c>
      <c r="B211" t="s">
        <v>650</v>
      </c>
      <c r="C211"/>
      <c r="D211"/>
      <c r="E211"/>
      <c r="F211"/>
      <c r="G211" t="s">
        <v>290</v>
      </c>
      <c r="H211" t="s">
        <v>132</v>
      </c>
      <c r="I211" t="s">
        <v>1</v>
      </c>
      <c r="J211" t="s">
        <v>133</v>
      </c>
      <c r="K211" t="s">
        <v>51</v>
      </c>
      <c r="L211" t="s">
        <v>651</v>
      </c>
      <c r="M211" t="s">
        <v>134</v>
      </c>
      <c r="N211" t="s">
        <v>135</v>
      </c>
      <c r="O211"/>
      <c r="P211"/>
      <c r="Q211" t="s">
        <v>291</v>
      </c>
      <c r="R211"/>
      <c r="S211"/>
      <c r="T211" t="s">
        <v>169</v>
      </c>
      <c r="U211" t="s">
        <v>137</v>
      </c>
      <c r="V211" t="s">
        <v>652</v>
      </c>
      <c r="W211"/>
      <c r="X211" t="s">
        <v>85</v>
      </c>
      <c r="Y211"/>
      <c r="Z211"/>
      <c r="AA211" t="s">
        <v>292</v>
      </c>
      <c r="AB211" t="s">
        <v>1</v>
      </c>
      <c r="AC211" t="s">
        <v>138</v>
      </c>
      <c r="AD211" t="s">
        <v>129</v>
      </c>
      <c r="AE211" s="97"/>
    </row>
    <row r="212" spans="1:31" ht="14.4" customHeight="1" x14ac:dyDescent="0.3">
      <c r="A212" t="s">
        <v>653</v>
      </c>
      <c r="B212" t="s">
        <v>654</v>
      </c>
      <c r="C212"/>
      <c r="D212"/>
      <c r="E212"/>
      <c r="F212"/>
      <c r="G212" t="s">
        <v>290</v>
      </c>
      <c r="H212" t="s">
        <v>132</v>
      </c>
      <c r="I212" t="s">
        <v>1</v>
      </c>
      <c r="J212" t="s">
        <v>133</v>
      </c>
      <c r="K212" t="s">
        <v>51</v>
      </c>
      <c r="L212" t="s">
        <v>651</v>
      </c>
      <c r="M212" t="s">
        <v>134</v>
      </c>
      <c r="N212" t="s">
        <v>135</v>
      </c>
      <c r="O212"/>
      <c r="P212"/>
      <c r="Q212" t="s">
        <v>291</v>
      </c>
      <c r="R212"/>
      <c r="S212"/>
      <c r="T212" t="s">
        <v>169</v>
      </c>
      <c r="U212" t="s">
        <v>137</v>
      </c>
      <c r="V212" t="s">
        <v>652</v>
      </c>
      <c r="W212"/>
      <c r="X212" t="s">
        <v>85</v>
      </c>
      <c r="Y212"/>
      <c r="Z212"/>
      <c r="AA212" t="s">
        <v>292</v>
      </c>
      <c r="AB212" t="s">
        <v>1</v>
      </c>
      <c r="AC212" t="s">
        <v>138</v>
      </c>
      <c r="AD212" t="s">
        <v>129</v>
      </c>
      <c r="AE212" s="97"/>
    </row>
    <row r="213" spans="1:31" ht="14.4" customHeight="1" x14ac:dyDescent="0.3">
      <c r="A213" t="s">
        <v>655</v>
      </c>
      <c r="B213" t="s">
        <v>656</v>
      </c>
      <c r="C213"/>
      <c r="D213"/>
      <c r="E213"/>
      <c r="F213"/>
      <c r="G213" t="s">
        <v>290</v>
      </c>
      <c r="H213" t="s">
        <v>132</v>
      </c>
      <c r="I213" t="s">
        <v>1</v>
      </c>
      <c r="J213" t="s">
        <v>133</v>
      </c>
      <c r="K213" t="s">
        <v>51</v>
      </c>
      <c r="L213" t="s">
        <v>657</v>
      </c>
      <c r="M213" t="s">
        <v>134</v>
      </c>
      <c r="N213" t="s">
        <v>135</v>
      </c>
      <c r="O213"/>
      <c r="P213"/>
      <c r="Q213" t="s">
        <v>291</v>
      </c>
      <c r="R213"/>
      <c r="S213"/>
      <c r="T213" t="s">
        <v>169</v>
      </c>
      <c r="U213" t="s">
        <v>137</v>
      </c>
      <c r="V213" t="s">
        <v>658</v>
      </c>
      <c r="W213"/>
      <c r="X213" t="s">
        <v>94</v>
      </c>
      <c r="Y213"/>
      <c r="Z213"/>
      <c r="AA213" t="s">
        <v>292</v>
      </c>
      <c r="AB213" t="s">
        <v>1</v>
      </c>
      <c r="AC213" t="s">
        <v>138</v>
      </c>
      <c r="AD213" t="s">
        <v>129</v>
      </c>
      <c r="AE213" s="97"/>
    </row>
    <row r="214" spans="1:31" ht="14.4" customHeight="1" x14ac:dyDescent="0.3">
      <c r="A214" t="s">
        <v>659</v>
      </c>
      <c r="B214" t="s">
        <v>660</v>
      </c>
      <c r="C214"/>
      <c r="D214"/>
      <c r="E214"/>
      <c r="F214"/>
      <c r="G214" t="s">
        <v>290</v>
      </c>
      <c r="H214" t="s">
        <v>132</v>
      </c>
      <c r="I214" t="s">
        <v>1</v>
      </c>
      <c r="J214" t="s">
        <v>133</v>
      </c>
      <c r="K214" t="s">
        <v>51</v>
      </c>
      <c r="L214" t="s">
        <v>657</v>
      </c>
      <c r="M214" t="s">
        <v>134</v>
      </c>
      <c r="N214" t="s">
        <v>135</v>
      </c>
      <c r="O214"/>
      <c r="P214"/>
      <c r="Q214" t="s">
        <v>291</v>
      </c>
      <c r="R214"/>
      <c r="S214"/>
      <c r="T214" t="s">
        <v>169</v>
      </c>
      <c r="U214" t="s">
        <v>137</v>
      </c>
      <c r="V214" t="s">
        <v>658</v>
      </c>
      <c r="W214"/>
      <c r="X214" t="s">
        <v>94</v>
      </c>
      <c r="Y214"/>
      <c r="Z214"/>
      <c r="AA214" t="s">
        <v>292</v>
      </c>
      <c r="AB214" t="s">
        <v>1</v>
      </c>
      <c r="AC214" t="s">
        <v>138</v>
      </c>
      <c r="AD214" t="s">
        <v>129</v>
      </c>
      <c r="AE214" s="97"/>
    </row>
    <row r="215" spans="1:31" ht="14.4" customHeight="1" x14ac:dyDescent="0.3">
      <c r="A215" t="s">
        <v>661</v>
      </c>
      <c r="B215" t="s">
        <v>662</v>
      </c>
      <c r="C215"/>
      <c r="D215"/>
      <c r="E215"/>
      <c r="F215"/>
      <c r="G215" t="s">
        <v>290</v>
      </c>
      <c r="H215" t="s">
        <v>132</v>
      </c>
      <c r="I215" t="s">
        <v>1</v>
      </c>
      <c r="J215" t="s">
        <v>133</v>
      </c>
      <c r="K215" t="s">
        <v>51</v>
      </c>
      <c r="L215" t="s">
        <v>663</v>
      </c>
      <c r="M215" t="s">
        <v>134</v>
      </c>
      <c r="N215" t="s">
        <v>135</v>
      </c>
      <c r="O215"/>
      <c r="P215"/>
      <c r="Q215" t="s">
        <v>291</v>
      </c>
      <c r="R215"/>
      <c r="S215"/>
      <c r="T215" t="s">
        <v>169</v>
      </c>
      <c r="U215" t="s">
        <v>137</v>
      </c>
      <c r="V215" t="s">
        <v>664</v>
      </c>
      <c r="W215"/>
      <c r="X215" t="s">
        <v>103</v>
      </c>
      <c r="Y215"/>
      <c r="Z215"/>
      <c r="AA215" t="s">
        <v>292</v>
      </c>
      <c r="AB215" t="s">
        <v>1</v>
      </c>
      <c r="AC215" t="s">
        <v>138</v>
      </c>
      <c r="AD215" t="s">
        <v>129</v>
      </c>
      <c r="AE215" s="97"/>
    </row>
    <row r="216" spans="1:31" ht="14.4" customHeight="1" x14ac:dyDescent="0.3">
      <c r="A216" t="s">
        <v>665</v>
      </c>
      <c r="B216" t="s">
        <v>666</v>
      </c>
      <c r="C216"/>
      <c r="D216"/>
      <c r="E216"/>
      <c r="F216"/>
      <c r="G216" t="s">
        <v>290</v>
      </c>
      <c r="H216" t="s">
        <v>132</v>
      </c>
      <c r="I216" t="s">
        <v>1</v>
      </c>
      <c r="J216" t="s">
        <v>133</v>
      </c>
      <c r="K216" t="s">
        <v>51</v>
      </c>
      <c r="L216" t="s">
        <v>663</v>
      </c>
      <c r="M216" t="s">
        <v>134</v>
      </c>
      <c r="N216" t="s">
        <v>135</v>
      </c>
      <c r="O216"/>
      <c r="P216"/>
      <c r="Q216" t="s">
        <v>291</v>
      </c>
      <c r="R216"/>
      <c r="S216"/>
      <c r="T216" t="s">
        <v>169</v>
      </c>
      <c r="U216" t="s">
        <v>137</v>
      </c>
      <c r="V216" t="s">
        <v>664</v>
      </c>
      <c r="W216"/>
      <c r="X216" t="s">
        <v>103</v>
      </c>
      <c r="Y216"/>
      <c r="Z216"/>
      <c r="AA216" t="s">
        <v>292</v>
      </c>
      <c r="AB216" t="s">
        <v>1</v>
      </c>
      <c r="AC216" t="s">
        <v>138</v>
      </c>
      <c r="AD216" t="s">
        <v>129</v>
      </c>
      <c r="AE216" s="97"/>
    </row>
    <row r="217" spans="1:31" ht="14.4" customHeight="1" x14ac:dyDescent="0.3">
      <c r="A217" t="s">
        <v>667</v>
      </c>
      <c r="B217" t="s">
        <v>668</v>
      </c>
      <c r="C217"/>
      <c r="D217"/>
      <c r="E217"/>
      <c r="F217"/>
      <c r="G217" t="s">
        <v>290</v>
      </c>
      <c r="H217" t="s">
        <v>132</v>
      </c>
      <c r="I217" t="s">
        <v>1</v>
      </c>
      <c r="J217" t="s">
        <v>133</v>
      </c>
      <c r="K217" t="s">
        <v>51</v>
      </c>
      <c r="L217" t="s">
        <v>669</v>
      </c>
      <c r="M217" t="s">
        <v>134</v>
      </c>
      <c r="N217" t="s">
        <v>135</v>
      </c>
      <c r="O217"/>
      <c r="P217"/>
      <c r="Q217" t="s">
        <v>291</v>
      </c>
      <c r="R217"/>
      <c r="S217"/>
      <c r="T217" t="s">
        <v>169</v>
      </c>
      <c r="U217" t="s">
        <v>137</v>
      </c>
      <c r="V217" t="s">
        <v>670</v>
      </c>
      <c r="W217"/>
      <c r="X217" t="s">
        <v>110</v>
      </c>
      <c r="Y217"/>
      <c r="Z217"/>
      <c r="AA217" t="s">
        <v>292</v>
      </c>
      <c r="AB217" t="s">
        <v>1</v>
      </c>
      <c r="AC217" t="s">
        <v>138</v>
      </c>
      <c r="AD217" t="s">
        <v>129</v>
      </c>
      <c r="AE217" s="97"/>
    </row>
    <row r="218" spans="1:31" ht="14.4" customHeight="1" x14ac:dyDescent="0.3">
      <c r="A218" t="s">
        <v>671</v>
      </c>
      <c r="B218" t="s">
        <v>672</v>
      </c>
      <c r="C218"/>
      <c r="D218"/>
      <c r="E218"/>
      <c r="F218"/>
      <c r="G218" t="s">
        <v>290</v>
      </c>
      <c r="H218" t="s">
        <v>132</v>
      </c>
      <c r="I218" t="s">
        <v>1</v>
      </c>
      <c r="J218" t="s">
        <v>133</v>
      </c>
      <c r="K218" t="s">
        <v>51</v>
      </c>
      <c r="L218" t="s">
        <v>669</v>
      </c>
      <c r="M218" t="s">
        <v>134</v>
      </c>
      <c r="N218" t="s">
        <v>135</v>
      </c>
      <c r="O218"/>
      <c r="P218"/>
      <c r="Q218" t="s">
        <v>291</v>
      </c>
      <c r="R218"/>
      <c r="S218"/>
      <c r="T218" t="s">
        <v>169</v>
      </c>
      <c r="U218" t="s">
        <v>137</v>
      </c>
      <c r="V218" t="s">
        <v>670</v>
      </c>
      <c r="W218"/>
      <c r="X218" t="s">
        <v>110</v>
      </c>
      <c r="Y218"/>
      <c r="Z218"/>
      <c r="AA218" t="s">
        <v>292</v>
      </c>
      <c r="AB218" t="s">
        <v>1</v>
      </c>
      <c r="AC218" t="s">
        <v>138</v>
      </c>
      <c r="AD218" t="s">
        <v>129</v>
      </c>
      <c r="AE218" s="97"/>
    </row>
    <row r="219" spans="1:31" ht="14.4" customHeight="1" x14ac:dyDescent="0.3">
      <c r="A219" t="s">
        <v>673</v>
      </c>
      <c r="B219" t="s">
        <v>674</v>
      </c>
      <c r="C219"/>
      <c r="D219"/>
      <c r="E219"/>
      <c r="F219"/>
      <c r="G219" t="s">
        <v>290</v>
      </c>
      <c r="H219" t="s">
        <v>132</v>
      </c>
      <c r="I219" t="s">
        <v>1</v>
      </c>
      <c r="J219" t="s">
        <v>133</v>
      </c>
      <c r="K219" t="s">
        <v>51</v>
      </c>
      <c r="L219" t="s">
        <v>675</v>
      </c>
      <c r="M219" t="s">
        <v>134</v>
      </c>
      <c r="N219" t="s">
        <v>135</v>
      </c>
      <c r="O219"/>
      <c r="P219"/>
      <c r="Q219" t="s">
        <v>291</v>
      </c>
      <c r="R219"/>
      <c r="S219"/>
      <c r="T219" t="s">
        <v>169</v>
      </c>
      <c r="U219" t="s">
        <v>137</v>
      </c>
      <c r="V219" t="s">
        <v>676</v>
      </c>
      <c r="W219"/>
      <c r="X219" t="s">
        <v>119</v>
      </c>
      <c r="Y219"/>
      <c r="Z219"/>
      <c r="AA219" t="s">
        <v>292</v>
      </c>
      <c r="AB219" t="s">
        <v>1</v>
      </c>
      <c r="AC219" t="s">
        <v>138</v>
      </c>
      <c r="AD219" t="s">
        <v>130</v>
      </c>
      <c r="AE219" s="97"/>
    </row>
    <row r="220" spans="1:31" ht="14.4" customHeight="1" x14ac:dyDescent="0.3">
      <c r="A220" t="s">
        <v>677</v>
      </c>
      <c r="B220" t="s">
        <v>678</v>
      </c>
      <c r="C220"/>
      <c r="D220"/>
      <c r="E220"/>
      <c r="F220"/>
      <c r="G220" t="s">
        <v>290</v>
      </c>
      <c r="H220" t="s">
        <v>132</v>
      </c>
      <c r="I220" t="s">
        <v>1</v>
      </c>
      <c r="J220" t="s">
        <v>133</v>
      </c>
      <c r="K220" t="s">
        <v>51</v>
      </c>
      <c r="L220" t="s">
        <v>675</v>
      </c>
      <c r="M220" t="s">
        <v>134</v>
      </c>
      <c r="N220" t="s">
        <v>135</v>
      </c>
      <c r="O220"/>
      <c r="P220"/>
      <c r="Q220" t="s">
        <v>291</v>
      </c>
      <c r="R220"/>
      <c r="S220"/>
      <c r="T220" t="s">
        <v>169</v>
      </c>
      <c r="U220" t="s">
        <v>137</v>
      </c>
      <c r="V220" t="s">
        <v>676</v>
      </c>
      <c r="W220"/>
      <c r="X220" t="s">
        <v>119</v>
      </c>
      <c r="Y220"/>
      <c r="Z220"/>
      <c r="AA220" t="s">
        <v>292</v>
      </c>
      <c r="AB220" t="s">
        <v>1</v>
      </c>
      <c r="AC220" t="s">
        <v>138</v>
      </c>
      <c r="AD220" t="s">
        <v>130</v>
      </c>
      <c r="AE220" s="97"/>
    </row>
    <row r="221" spans="1:31" ht="14.4" customHeight="1" x14ac:dyDescent="0.3">
      <c r="A221" t="s">
        <v>679</v>
      </c>
      <c r="B221" t="s">
        <v>680</v>
      </c>
      <c r="C221"/>
      <c r="D221"/>
      <c r="E221"/>
      <c r="F221"/>
      <c r="G221" t="s">
        <v>290</v>
      </c>
      <c r="H221" t="s">
        <v>132</v>
      </c>
      <c r="I221" t="s">
        <v>1</v>
      </c>
      <c r="J221" t="s">
        <v>133</v>
      </c>
      <c r="K221" t="s">
        <v>51</v>
      </c>
      <c r="L221" t="s">
        <v>681</v>
      </c>
      <c r="M221" t="s">
        <v>134</v>
      </c>
      <c r="N221" t="s">
        <v>135</v>
      </c>
      <c r="O221"/>
      <c r="P221"/>
      <c r="Q221" t="s">
        <v>291</v>
      </c>
      <c r="R221"/>
      <c r="S221"/>
      <c r="T221" t="s">
        <v>169</v>
      </c>
      <c r="U221" t="s">
        <v>137</v>
      </c>
      <c r="V221" t="s">
        <v>640</v>
      </c>
      <c r="W221"/>
      <c r="X221" t="s">
        <v>66</v>
      </c>
      <c r="Y221"/>
      <c r="Z221"/>
      <c r="AA221" t="s">
        <v>292</v>
      </c>
      <c r="AB221" t="s">
        <v>1</v>
      </c>
      <c r="AC221" t="s">
        <v>138</v>
      </c>
      <c r="AD221" t="s">
        <v>128</v>
      </c>
      <c r="AE221" s="97"/>
    </row>
    <row r="222" spans="1:31" ht="14.4" customHeight="1" x14ac:dyDescent="0.3">
      <c r="A222" t="s">
        <v>682</v>
      </c>
      <c r="B222" t="s">
        <v>683</v>
      </c>
      <c r="C222"/>
      <c r="D222"/>
      <c r="E222"/>
      <c r="F222"/>
      <c r="G222" t="s">
        <v>290</v>
      </c>
      <c r="H222" t="s">
        <v>132</v>
      </c>
      <c r="I222" t="s">
        <v>1</v>
      </c>
      <c r="J222" t="s">
        <v>133</v>
      </c>
      <c r="K222" t="s">
        <v>51</v>
      </c>
      <c r="L222" t="s">
        <v>684</v>
      </c>
      <c r="M222" t="s">
        <v>134</v>
      </c>
      <c r="N222" t="s">
        <v>135</v>
      </c>
      <c r="O222"/>
      <c r="P222"/>
      <c r="Q222" t="s">
        <v>291</v>
      </c>
      <c r="R222"/>
      <c r="S222"/>
      <c r="T222" t="s">
        <v>169</v>
      </c>
      <c r="U222" t="s">
        <v>137</v>
      </c>
      <c r="V222" t="s">
        <v>646</v>
      </c>
      <c r="W222"/>
      <c r="X222" t="s">
        <v>74</v>
      </c>
      <c r="Y222"/>
      <c r="Z222"/>
      <c r="AA222" t="s">
        <v>292</v>
      </c>
      <c r="AB222" t="s">
        <v>1</v>
      </c>
      <c r="AC222" t="s">
        <v>138</v>
      </c>
      <c r="AD222" t="s">
        <v>128</v>
      </c>
      <c r="AE222" s="97"/>
    </row>
    <row r="223" spans="1:31" ht="14.4" customHeight="1" x14ac:dyDescent="0.3">
      <c r="A223" t="s">
        <v>685</v>
      </c>
      <c r="B223" t="s">
        <v>686</v>
      </c>
      <c r="C223"/>
      <c r="D223"/>
      <c r="E223"/>
      <c r="F223"/>
      <c r="G223" t="s">
        <v>290</v>
      </c>
      <c r="H223" t="s">
        <v>132</v>
      </c>
      <c r="I223" t="s">
        <v>1</v>
      </c>
      <c r="J223" t="s">
        <v>133</v>
      </c>
      <c r="K223" t="s">
        <v>51</v>
      </c>
      <c r="L223" t="s">
        <v>687</v>
      </c>
      <c r="M223" t="s">
        <v>134</v>
      </c>
      <c r="N223" t="s">
        <v>135</v>
      </c>
      <c r="O223"/>
      <c r="P223"/>
      <c r="Q223" t="s">
        <v>291</v>
      </c>
      <c r="R223"/>
      <c r="S223"/>
      <c r="T223" t="s">
        <v>169</v>
      </c>
      <c r="U223" t="s">
        <v>137</v>
      </c>
      <c r="V223" t="s">
        <v>652</v>
      </c>
      <c r="W223"/>
      <c r="X223" t="s">
        <v>85</v>
      </c>
      <c r="Y223"/>
      <c r="Z223"/>
      <c r="AA223" t="s">
        <v>292</v>
      </c>
      <c r="AB223" t="s">
        <v>1</v>
      </c>
      <c r="AC223" t="s">
        <v>138</v>
      </c>
      <c r="AD223" t="s">
        <v>129</v>
      </c>
      <c r="AE223" s="97"/>
    </row>
    <row r="224" spans="1:31" ht="14.4" customHeight="1" x14ac:dyDescent="0.3">
      <c r="A224" t="s">
        <v>688</v>
      </c>
      <c r="B224" t="s">
        <v>689</v>
      </c>
      <c r="C224"/>
      <c r="D224"/>
      <c r="E224"/>
      <c r="F224"/>
      <c r="G224" t="s">
        <v>290</v>
      </c>
      <c r="H224" t="s">
        <v>132</v>
      </c>
      <c r="I224" t="s">
        <v>1</v>
      </c>
      <c r="J224" t="s">
        <v>133</v>
      </c>
      <c r="K224" t="s">
        <v>51</v>
      </c>
      <c r="L224" t="s">
        <v>690</v>
      </c>
      <c r="M224" t="s">
        <v>134</v>
      </c>
      <c r="N224" t="s">
        <v>135</v>
      </c>
      <c r="O224"/>
      <c r="P224"/>
      <c r="Q224" t="s">
        <v>291</v>
      </c>
      <c r="R224"/>
      <c r="S224"/>
      <c r="T224" t="s">
        <v>169</v>
      </c>
      <c r="U224" t="s">
        <v>137</v>
      </c>
      <c r="V224" t="s">
        <v>658</v>
      </c>
      <c r="W224"/>
      <c r="X224" t="s">
        <v>94</v>
      </c>
      <c r="Y224"/>
      <c r="Z224"/>
      <c r="AA224" t="s">
        <v>292</v>
      </c>
      <c r="AB224" t="s">
        <v>1</v>
      </c>
      <c r="AC224" t="s">
        <v>138</v>
      </c>
      <c r="AD224" t="s">
        <v>129</v>
      </c>
      <c r="AE224" s="97"/>
    </row>
    <row r="225" spans="1:31" ht="14.4" customHeight="1" x14ac:dyDescent="0.3">
      <c r="A225" t="s">
        <v>691</v>
      </c>
      <c r="B225" t="s">
        <v>692</v>
      </c>
      <c r="C225"/>
      <c r="D225"/>
      <c r="E225"/>
      <c r="F225"/>
      <c r="G225" t="s">
        <v>290</v>
      </c>
      <c r="H225" t="s">
        <v>132</v>
      </c>
      <c r="I225" t="s">
        <v>1</v>
      </c>
      <c r="J225" t="s">
        <v>133</v>
      </c>
      <c r="K225" t="s">
        <v>51</v>
      </c>
      <c r="L225" t="s">
        <v>693</v>
      </c>
      <c r="M225" t="s">
        <v>134</v>
      </c>
      <c r="N225" t="s">
        <v>135</v>
      </c>
      <c r="O225"/>
      <c r="P225"/>
      <c r="Q225" t="s">
        <v>291</v>
      </c>
      <c r="R225"/>
      <c r="S225"/>
      <c r="T225" t="s">
        <v>169</v>
      </c>
      <c r="U225" t="s">
        <v>137</v>
      </c>
      <c r="V225" t="s">
        <v>664</v>
      </c>
      <c r="W225"/>
      <c r="X225" t="s">
        <v>103</v>
      </c>
      <c r="Y225"/>
      <c r="Z225"/>
      <c r="AA225" t="s">
        <v>292</v>
      </c>
      <c r="AB225" t="s">
        <v>1</v>
      </c>
      <c r="AC225" t="s">
        <v>138</v>
      </c>
      <c r="AD225" t="s">
        <v>129</v>
      </c>
      <c r="AE225" s="97"/>
    </row>
    <row r="226" spans="1:31" ht="14.4" customHeight="1" x14ac:dyDescent="0.3">
      <c r="A226" t="s">
        <v>694</v>
      </c>
      <c r="B226" t="s">
        <v>695</v>
      </c>
      <c r="C226"/>
      <c r="D226"/>
      <c r="E226"/>
      <c r="F226"/>
      <c r="G226" t="s">
        <v>290</v>
      </c>
      <c r="H226" t="s">
        <v>132</v>
      </c>
      <c r="I226" t="s">
        <v>1</v>
      </c>
      <c r="J226" t="s">
        <v>133</v>
      </c>
      <c r="K226" t="s">
        <v>51</v>
      </c>
      <c r="L226" t="s">
        <v>696</v>
      </c>
      <c r="M226" t="s">
        <v>134</v>
      </c>
      <c r="N226" t="s">
        <v>135</v>
      </c>
      <c r="O226"/>
      <c r="P226"/>
      <c r="Q226" t="s">
        <v>291</v>
      </c>
      <c r="R226"/>
      <c r="S226"/>
      <c r="T226" t="s">
        <v>169</v>
      </c>
      <c r="U226" t="s">
        <v>137</v>
      </c>
      <c r="V226" t="s">
        <v>670</v>
      </c>
      <c r="W226"/>
      <c r="X226" t="s">
        <v>110</v>
      </c>
      <c r="Y226"/>
      <c r="Z226"/>
      <c r="AA226" t="s">
        <v>292</v>
      </c>
      <c r="AB226" t="s">
        <v>1</v>
      </c>
      <c r="AC226" t="s">
        <v>138</v>
      </c>
      <c r="AD226" t="s">
        <v>129</v>
      </c>
      <c r="AE226" s="97"/>
    </row>
    <row r="227" spans="1:31" ht="14.4" customHeight="1" x14ac:dyDescent="0.3">
      <c r="A227" t="s">
        <v>697</v>
      </c>
      <c r="B227" t="s">
        <v>698</v>
      </c>
      <c r="C227"/>
      <c r="D227"/>
      <c r="E227"/>
      <c r="F227"/>
      <c r="G227" t="s">
        <v>290</v>
      </c>
      <c r="H227" t="s">
        <v>132</v>
      </c>
      <c r="I227" t="s">
        <v>1</v>
      </c>
      <c r="J227" t="s">
        <v>133</v>
      </c>
      <c r="K227" t="s">
        <v>51</v>
      </c>
      <c r="L227" t="s">
        <v>699</v>
      </c>
      <c r="M227" t="s">
        <v>134</v>
      </c>
      <c r="N227" t="s">
        <v>135</v>
      </c>
      <c r="O227"/>
      <c r="P227"/>
      <c r="Q227" t="s">
        <v>291</v>
      </c>
      <c r="R227"/>
      <c r="S227"/>
      <c r="T227" t="s">
        <v>169</v>
      </c>
      <c r="U227" t="s">
        <v>137</v>
      </c>
      <c r="V227" t="s">
        <v>676</v>
      </c>
      <c r="W227"/>
      <c r="X227" t="s">
        <v>119</v>
      </c>
      <c r="Y227"/>
      <c r="Z227"/>
      <c r="AA227" t="s">
        <v>292</v>
      </c>
      <c r="AB227" t="s">
        <v>1</v>
      </c>
      <c r="AC227" t="s">
        <v>138</v>
      </c>
      <c r="AD227" t="s">
        <v>130</v>
      </c>
      <c r="AE227" s="97"/>
    </row>
    <row r="228" spans="1:31" ht="14.4" customHeight="1" x14ac:dyDescent="0.3">
      <c r="A228" t="s">
        <v>700</v>
      </c>
      <c r="B228" t="s">
        <v>701</v>
      </c>
      <c r="C228"/>
      <c r="D228"/>
      <c r="E228"/>
      <c r="F228"/>
      <c r="G228" t="s">
        <v>290</v>
      </c>
      <c r="H228" t="s">
        <v>132</v>
      </c>
      <c r="I228" t="s">
        <v>1</v>
      </c>
      <c r="J228" t="s">
        <v>133</v>
      </c>
      <c r="K228" t="s">
        <v>51</v>
      </c>
      <c r="L228" t="s">
        <v>702</v>
      </c>
      <c r="M228" t="s">
        <v>134</v>
      </c>
      <c r="N228" t="s">
        <v>135</v>
      </c>
      <c r="O228"/>
      <c r="P228"/>
      <c r="Q228" t="s">
        <v>291</v>
      </c>
      <c r="R228"/>
      <c r="S228"/>
      <c r="T228" t="s">
        <v>169</v>
      </c>
      <c r="U228" t="s">
        <v>137</v>
      </c>
      <c r="V228" t="s">
        <v>703</v>
      </c>
      <c r="W228"/>
      <c r="X228" t="s">
        <v>62</v>
      </c>
      <c r="Y228"/>
      <c r="Z228"/>
      <c r="AA228" t="s">
        <v>292</v>
      </c>
      <c r="AB228" t="s">
        <v>1</v>
      </c>
      <c r="AC228" t="s">
        <v>138</v>
      </c>
      <c r="AD228" t="s">
        <v>128</v>
      </c>
      <c r="AE228" s="97"/>
    </row>
    <row r="229" spans="1:31" ht="14.4" customHeight="1" x14ac:dyDescent="0.3">
      <c r="A229" t="s">
        <v>704</v>
      </c>
      <c r="B229" t="s">
        <v>705</v>
      </c>
      <c r="C229"/>
      <c r="D229"/>
      <c r="E229"/>
      <c r="F229"/>
      <c r="G229" t="s">
        <v>290</v>
      </c>
      <c r="H229" t="s">
        <v>132</v>
      </c>
      <c r="I229" t="s">
        <v>1</v>
      </c>
      <c r="J229" t="s">
        <v>133</v>
      </c>
      <c r="K229" t="s">
        <v>51</v>
      </c>
      <c r="L229" t="s">
        <v>702</v>
      </c>
      <c r="M229" t="s">
        <v>134</v>
      </c>
      <c r="N229" t="s">
        <v>135</v>
      </c>
      <c r="O229"/>
      <c r="P229"/>
      <c r="Q229" t="s">
        <v>291</v>
      </c>
      <c r="R229"/>
      <c r="S229"/>
      <c r="T229" t="s">
        <v>169</v>
      </c>
      <c r="U229" t="s">
        <v>137</v>
      </c>
      <c r="V229" t="s">
        <v>703</v>
      </c>
      <c r="W229"/>
      <c r="X229" t="s">
        <v>62</v>
      </c>
      <c r="Y229"/>
      <c r="Z229"/>
      <c r="AA229" t="s">
        <v>292</v>
      </c>
      <c r="AB229" t="s">
        <v>1</v>
      </c>
      <c r="AC229" t="s">
        <v>138</v>
      </c>
      <c r="AD229" t="s">
        <v>128</v>
      </c>
      <c r="AE229" s="97"/>
    </row>
    <row r="230" spans="1:31" ht="14.4" customHeight="1" x14ac:dyDescent="0.3">
      <c r="A230" t="s">
        <v>706</v>
      </c>
      <c r="B230" t="s">
        <v>707</v>
      </c>
      <c r="C230"/>
      <c r="D230"/>
      <c r="E230"/>
      <c r="F230"/>
      <c r="G230" t="s">
        <v>290</v>
      </c>
      <c r="H230" t="s">
        <v>132</v>
      </c>
      <c r="I230" t="s">
        <v>1</v>
      </c>
      <c r="J230" t="s">
        <v>133</v>
      </c>
      <c r="K230" t="s">
        <v>51</v>
      </c>
      <c r="L230" t="s">
        <v>708</v>
      </c>
      <c r="M230" t="s">
        <v>134</v>
      </c>
      <c r="N230" t="s">
        <v>135</v>
      </c>
      <c r="O230"/>
      <c r="P230"/>
      <c r="Q230" t="s">
        <v>291</v>
      </c>
      <c r="R230"/>
      <c r="S230"/>
      <c r="T230" t="s">
        <v>169</v>
      </c>
      <c r="U230" t="s">
        <v>137</v>
      </c>
      <c r="V230" t="s">
        <v>709</v>
      </c>
      <c r="W230"/>
      <c r="X230" t="s">
        <v>73</v>
      </c>
      <c r="Y230"/>
      <c r="Z230"/>
      <c r="AA230" t="s">
        <v>292</v>
      </c>
      <c r="AB230" t="s">
        <v>1</v>
      </c>
      <c r="AC230" t="s">
        <v>138</v>
      </c>
      <c r="AD230" t="s">
        <v>128</v>
      </c>
      <c r="AE230" s="97"/>
    </row>
    <row r="231" spans="1:31" ht="14.4" customHeight="1" x14ac:dyDescent="0.3">
      <c r="A231" t="s">
        <v>710</v>
      </c>
      <c r="B231" t="s">
        <v>711</v>
      </c>
      <c r="C231"/>
      <c r="D231"/>
      <c r="E231"/>
      <c r="F231"/>
      <c r="G231" t="s">
        <v>290</v>
      </c>
      <c r="H231" t="s">
        <v>132</v>
      </c>
      <c r="I231" t="s">
        <v>1</v>
      </c>
      <c r="J231" t="s">
        <v>133</v>
      </c>
      <c r="K231" t="s">
        <v>51</v>
      </c>
      <c r="L231" t="s">
        <v>708</v>
      </c>
      <c r="M231" t="s">
        <v>134</v>
      </c>
      <c r="N231" t="s">
        <v>135</v>
      </c>
      <c r="O231"/>
      <c r="P231"/>
      <c r="Q231" t="s">
        <v>291</v>
      </c>
      <c r="R231"/>
      <c r="S231"/>
      <c r="T231" t="s">
        <v>169</v>
      </c>
      <c r="U231" t="s">
        <v>137</v>
      </c>
      <c r="V231" t="s">
        <v>709</v>
      </c>
      <c r="W231"/>
      <c r="X231" t="s">
        <v>73</v>
      </c>
      <c r="Y231"/>
      <c r="Z231"/>
      <c r="AA231" t="s">
        <v>292</v>
      </c>
      <c r="AB231" t="s">
        <v>1</v>
      </c>
      <c r="AC231" t="s">
        <v>138</v>
      </c>
      <c r="AD231" t="s">
        <v>128</v>
      </c>
      <c r="AE231" s="97"/>
    </row>
    <row r="232" spans="1:31" ht="14.4" customHeight="1" x14ac:dyDescent="0.3">
      <c r="A232" t="s">
        <v>712</v>
      </c>
      <c r="B232" t="s">
        <v>713</v>
      </c>
      <c r="C232"/>
      <c r="D232"/>
      <c r="E232"/>
      <c r="F232"/>
      <c r="G232" t="s">
        <v>290</v>
      </c>
      <c r="H232" t="s">
        <v>132</v>
      </c>
      <c r="I232" t="s">
        <v>1</v>
      </c>
      <c r="J232" t="s">
        <v>133</v>
      </c>
      <c r="K232" t="s">
        <v>51</v>
      </c>
      <c r="L232" t="s">
        <v>714</v>
      </c>
      <c r="M232" t="s">
        <v>134</v>
      </c>
      <c r="N232" t="s">
        <v>135</v>
      </c>
      <c r="O232"/>
      <c r="P232"/>
      <c r="Q232" t="s">
        <v>291</v>
      </c>
      <c r="R232"/>
      <c r="S232"/>
      <c r="T232" t="s">
        <v>169</v>
      </c>
      <c r="U232" t="s">
        <v>137</v>
      </c>
      <c r="V232" t="s">
        <v>715</v>
      </c>
      <c r="W232"/>
      <c r="X232" t="s">
        <v>82</v>
      </c>
      <c r="Y232"/>
      <c r="Z232"/>
      <c r="AA232" t="s">
        <v>292</v>
      </c>
      <c r="AB232" t="s">
        <v>1</v>
      </c>
      <c r="AC232" t="s">
        <v>138</v>
      </c>
      <c r="AD232" t="s">
        <v>129</v>
      </c>
      <c r="AE232" s="97"/>
    </row>
    <row r="233" spans="1:31" ht="14.4" customHeight="1" x14ac:dyDescent="0.3">
      <c r="A233" t="s">
        <v>716</v>
      </c>
      <c r="B233" t="s">
        <v>717</v>
      </c>
      <c r="C233"/>
      <c r="D233"/>
      <c r="E233"/>
      <c r="F233"/>
      <c r="G233" t="s">
        <v>290</v>
      </c>
      <c r="H233" t="s">
        <v>132</v>
      </c>
      <c r="I233" t="s">
        <v>1</v>
      </c>
      <c r="J233" t="s">
        <v>133</v>
      </c>
      <c r="K233" t="s">
        <v>51</v>
      </c>
      <c r="L233" t="s">
        <v>714</v>
      </c>
      <c r="M233" t="s">
        <v>134</v>
      </c>
      <c r="N233" t="s">
        <v>135</v>
      </c>
      <c r="O233"/>
      <c r="P233"/>
      <c r="Q233" t="s">
        <v>291</v>
      </c>
      <c r="R233"/>
      <c r="S233"/>
      <c r="T233" t="s">
        <v>169</v>
      </c>
      <c r="U233" t="s">
        <v>137</v>
      </c>
      <c r="V233" t="s">
        <v>715</v>
      </c>
      <c r="W233"/>
      <c r="X233" t="s">
        <v>82</v>
      </c>
      <c r="Y233"/>
      <c r="Z233"/>
      <c r="AA233" t="s">
        <v>292</v>
      </c>
      <c r="AB233" t="s">
        <v>1</v>
      </c>
      <c r="AC233" t="s">
        <v>138</v>
      </c>
      <c r="AD233" t="s">
        <v>129</v>
      </c>
      <c r="AE233" s="97"/>
    </row>
    <row r="234" spans="1:31" ht="14.4" customHeight="1" x14ac:dyDescent="0.3">
      <c r="A234" t="s">
        <v>718</v>
      </c>
      <c r="B234" t="s">
        <v>719</v>
      </c>
      <c r="C234"/>
      <c r="D234"/>
      <c r="E234"/>
      <c r="F234"/>
      <c r="G234" t="s">
        <v>290</v>
      </c>
      <c r="H234" t="s">
        <v>132</v>
      </c>
      <c r="I234" t="s">
        <v>1</v>
      </c>
      <c r="J234" t="s">
        <v>133</v>
      </c>
      <c r="K234" t="s">
        <v>51</v>
      </c>
      <c r="L234" t="s">
        <v>720</v>
      </c>
      <c r="M234" t="s">
        <v>134</v>
      </c>
      <c r="N234" t="s">
        <v>135</v>
      </c>
      <c r="O234"/>
      <c r="P234"/>
      <c r="Q234" t="s">
        <v>291</v>
      </c>
      <c r="R234"/>
      <c r="S234"/>
      <c r="T234" t="s">
        <v>169</v>
      </c>
      <c r="U234" t="s">
        <v>137</v>
      </c>
      <c r="V234" t="s">
        <v>721</v>
      </c>
      <c r="W234"/>
      <c r="X234" t="s">
        <v>91</v>
      </c>
      <c r="Y234"/>
      <c r="Z234"/>
      <c r="AA234" t="s">
        <v>292</v>
      </c>
      <c r="AB234" t="s">
        <v>1</v>
      </c>
      <c r="AC234" t="s">
        <v>138</v>
      </c>
      <c r="AD234" t="s">
        <v>129</v>
      </c>
      <c r="AE234" s="97"/>
    </row>
    <row r="235" spans="1:31" ht="14.4" customHeight="1" x14ac:dyDescent="0.3">
      <c r="A235" t="s">
        <v>722</v>
      </c>
      <c r="B235" t="s">
        <v>723</v>
      </c>
      <c r="C235"/>
      <c r="D235"/>
      <c r="E235"/>
      <c r="F235"/>
      <c r="G235" t="s">
        <v>290</v>
      </c>
      <c r="H235" t="s">
        <v>132</v>
      </c>
      <c r="I235" t="s">
        <v>1</v>
      </c>
      <c r="J235" t="s">
        <v>133</v>
      </c>
      <c r="K235" t="s">
        <v>51</v>
      </c>
      <c r="L235" t="s">
        <v>720</v>
      </c>
      <c r="M235" t="s">
        <v>134</v>
      </c>
      <c r="N235" t="s">
        <v>135</v>
      </c>
      <c r="O235"/>
      <c r="P235"/>
      <c r="Q235" t="s">
        <v>291</v>
      </c>
      <c r="R235"/>
      <c r="S235"/>
      <c r="T235" t="s">
        <v>169</v>
      </c>
      <c r="U235" t="s">
        <v>137</v>
      </c>
      <c r="V235" t="s">
        <v>721</v>
      </c>
      <c r="W235"/>
      <c r="X235" t="s">
        <v>91</v>
      </c>
      <c r="Y235"/>
      <c r="Z235"/>
      <c r="AA235" t="s">
        <v>292</v>
      </c>
      <c r="AB235" t="s">
        <v>1</v>
      </c>
      <c r="AC235" t="s">
        <v>138</v>
      </c>
      <c r="AD235" t="s">
        <v>129</v>
      </c>
      <c r="AE235" s="97"/>
    </row>
    <row r="236" spans="1:31" ht="14.4" customHeight="1" x14ac:dyDescent="0.3">
      <c r="A236" t="s">
        <v>724</v>
      </c>
      <c r="B236" t="s">
        <v>725</v>
      </c>
      <c r="C236"/>
      <c r="D236"/>
      <c r="E236"/>
      <c r="F236"/>
      <c r="G236" t="s">
        <v>290</v>
      </c>
      <c r="H236" t="s">
        <v>132</v>
      </c>
      <c r="I236" t="s">
        <v>1</v>
      </c>
      <c r="J236" t="s">
        <v>133</v>
      </c>
      <c r="K236" t="s">
        <v>51</v>
      </c>
      <c r="L236" t="s">
        <v>726</v>
      </c>
      <c r="M236" t="s">
        <v>134</v>
      </c>
      <c r="N236" t="s">
        <v>135</v>
      </c>
      <c r="O236"/>
      <c r="P236"/>
      <c r="Q236" t="s">
        <v>291</v>
      </c>
      <c r="R236"/>
      <c r="S236"/>
      <c r="T236" t="s">
        <v>169</v>
      </c>
      <c r="U236" t="s">
        <v>137</v>
      </c>
      <c r="V236" t="s">
        <v>727</v>
      </c>
      <c r="W236"/>
      <c r="X236" t="s">
        <v>100</v>
      </c>
      <c r="Y236"/>
      <c r="Z236"/>
      <c r="AA236" t="s">
        <v>292</v>
      </c>
      <c r="AB236" t="s">
        <v>1</v>
      </c>
      <c r="AC236" t="s">
        <v>138</v>
      </c>
      <c r="AD236" t="s">
        <v>129</v>
      </c>
      <c r="AE236" s="97"/>
    </row>
    <row r="237" spans="1:31" ht="14.4" customHeight="1" x14ac:dyDescent="0.3">
      <c r="A237" t="s">
        <v>728</v>
      </c>
      <c r="B237" t="s">
        <v>729</v>
      </c>
      <c r="C237"/>
      <c r="D237"/>
      <c r="E237"/>
      <c r="F237"/>
      <c r="G237" t="s">
        <v>290</v>
      </c>
      <c r="H237" t="s">
        <v>132</v>
      </c>
      <c r="I237" t="s">
        <v>1</v>
      </c>
      <c r="J237" t="s">
        <v>133</v>
      </c>
      <c r="K237" t="s">
        <v>51</v>
      </c>
      <c r="L237" t="s">
        <v>726</v>
      </c>
      <c r="M237" t="s">
        <v>134</v>
      </c>
      <c r="N237" t="s">
        <v>135</v>
      </c>
      <c r="O237"/>
      <c r="P237"/>
      <c r="Q237" t="s">
        <v>291</v>
      </c>
      <c r="R237"/>
      <c r="S237"/>
      <c r="T237" t="s">
        <v>169</v>
      </c>
      <c r="U237" t="s">
        <v>137</v>
      </c>
      <c r="V237" t="s">
        <v>727</v>
      </c>
      <c r="W237"/>
      <c r="X237" t="s">
        <v>100</v>
      </c>
      <c r="Y237"/>
      <c r="Z237"/>
      <c r="AA237" t="s">
        <v>292</v>
      </c>
      <c r="AB237" t="s">
        <v>1</v>
      </c>
      <c r="AC237" t="s">
        <v>138</v>
      </c>
      <c r="AD237" t="s">
        <v>129</v>
      </c>
      <c r="AE237" s="97"/>
    </row>
    <row r="238" spans="1:31" ht="14.4" customHeight="1" x14ac:dyDescent="0.3">
      <c r="A238" t="s">
        <v>730</v>
      </c>
      <c r="B238" t="s">
        <v>731</v>
      </c>
      <c r="C238"/>
      <c r="D238"/>
      <c r="E238"/>
      <c r="F238"/>
      <c r="G238" t="s">
        <v>290</v>
      </c>
      <c r="H238" t="s">
        <v>132</v>
      </c>
      <c r="I238" t="s">
        <v>1</v>
      </c>
      <c r="J238" t="s">
        <v>133</v>
      </c>
      <c r="K238" t="s">
        <v>51</v>
      </c>
      <c r="L238" t="s">
        <v>732</v>
      </c>
      <c r="M238" t="s">
        <v>134</v>
      </c>
      <c r="N238" t="s">
        <v>135</v>
      </c>
      <c r="O238"/>
      <c r="P238"/>
      <c r="Q238" t="s">
        <v>291</v>
      </c>
      <c r="R238"/>
      <c r="S238"/>
      <c r="T238" t="s">
        <v>169</v>
      </c>
      <c r="U238" t="s">
        <v>137</v>
      </c>
      <c r="V238" t="s">
        <v>733</v>
      </c>
      <c r="W238"/>
      <c r="X238" t="s">
        <v>109</v>
      </c>
      <c r="Y238"/>
      <c r="Z238"/>
      <c r="AA238" t="s">
        <v>292</v>
      </c>
      <c r="AB238" t="s">
        <v>1</v>
      </c>
      <c r="AC238" t="s">
        <v>138</v>
      </c>
      <c r="AD238" t="s">
        <v>129</v>
      </c>
      <c r="AE238" s="97"/>
    </row>
    <row r="239" spans="1:31" ht="14.4" customHeight="1" x14ac:dyDescent="0.3">
      <c r="A239" t="s">
        <v>734</v>
      </c>
      <c r="B239" t="s">
        <v>735</v>
      </c>
      <c r="C239"/>
      <c r="D239"/>
      <c r="E239"/>
      <c r="F239"/>
      <c r="G239" t="s">
        <v>290</v>
      </c>
      <c r="H239" t="s">
        <v>132</v>
      </c>
      <c r="I239" t="s">
        <v>1</v>
      </c>
      <c r="J239" t="s">
        <v>133</v>
      </c>
      <c r="K239" t="s">
        <v>51</v>
      </c>
      <c r="L239" t="s">
        <v>732</v>
      </c>
      <c r="M239" t="s">
        <v>134</v>
      </c>
      <c r="N239" t="s">
        <v>135</v>
      </c>
      <c r="O239"/>
      <c r="P239"/>
      <c r="Q239" t="s">
        <v>291</v>
      </c>
      <c r="R239"/>
      <c r="S239"/>
      <c r="T239" t="s">
        <v>169</v>
      </c>
      <c r="U239" t="s">
        <v>137</v>
      </c>
      <c r="V239" t="s">
        <v>733</v>
      </c>
      <c r="W239"/>
      <c r="X239" t="s">
        <v>109</v>
      </c>
      <c r="Y239"/>
      <c r="Z239"/>
      <c r="AA239" t="s">
        <v>292</v>
      </c>
      <c r="AB239" t="s">
        <v>1</v>
      </c>
      <c r="AC239" t="s">
        <v>138</v>
      </c>
      <c r="AD239" t="s">
        <v>129</v>
      </c>
      <c r="AE239" s="97"/>
    </row>
    <row r="240" spans="1:31" ht="14.4" customHeight="1" x14ac:dyDescent="0.3">
      <c r="A240" t="s">
        <v>736</v>
      </c>
      <c r="B240" t="s">
        <v>737</v>
      </c>
      <c r="C240"/>
      <c r="D240"/>
      <c r="E240"/>
      <c r="F240"/>
      <c r="G240" t="s">
        <v>290</v>
      </c>
      <c r="H240" t="s">
        <v>132</v>
      </c>
      <c r="I240" t="s">
        <v>1</v>
      </c>
      <c r="J240" t="s">
        <v>133</v>
      </c>
      <c r="K240" t="s">
        <v>51</v>
      </c>
      <c r="L240" t="s">
        <v>738</v>
      </c>
      <c r="M240" t="s">
        <v>134</v>
      </c>
      <c r="N240" t="s">
        <v>135</v>
      </c>
      <c r="O240"/>
      <c r="P240"/>
      <c r="Q240" t="s">
        <v>291</v>
      </c>
      <c r="R240"/>
      <c r="S240"/>
      <c r="T240" t="s">
        <v>169</v>
      </c>
      <c r="U240" t="s">
        <v>137</v>
      </c>
      <c r="V240" t="s">
        <v>739</v>
      </c>
      <c r="W240"/>
      <c r="X240" t="s">
        <v>118</v>
      </c>
      <c r="Y240"/>
      <c r="Z240"/>
      <c r="AA240" t="s">
        <v>292</v>
      </c>
      <c r="AB240" t="s">
        <v>1</v>
      </c>
      <c r="AC240" t="s">
        <v>138</v>
      </c>
      <c r="AD240" t="s">
        <v>130</v>
      </c>
      <c r="AE240" s="97"/>
    </row>
    <row r="241" spans="1:31" ht="14.4" customHeight="1" x14ac:dyDescent="0.3">
      <c r="A241" t="s">
        <v>740</v>
      </c>
      <c r="B241" t="s">
        <v>741</v>
      </c>
      <c r="C241"/>
      <c r="D241"/>
      <c r="E241"/>
      <c r="F241"/>
      <c r="G241" t="s">
        <v>290</v>
      </c>
      <c r="H241" t="s">
        <v>132</v>
      </c>
      <c r="I241" t="s">
        <v>1</v>
      </c>
      <c r="J241" t="s">
        <v>133</v>
      </c>
      <c r="K241" t="s">
        <v>51</v>
      </c>
      <c r="L241" t="s">
        <v>738</v>
      </c>
      <c r="M241" t="s">
        <v>134</v>
      </c>
      <c r="N241" t="s">
        <v>135</v>
      </c>
      <c r="O241"/>
      <c r="P241"/>
      <c r="Q241" t="s">
        <v>291</v>
      </c>
      <c r="R241"/>
      <c r="S241"/>
      <c r="T241" t="s">
        <v>169</v>
      </c>
      <c r="U241" t="s">
        <v>137</v>
      </c>
      <c r="V241" t="s">
        <v>739</v>
      </c>
      <c r="W241"/>
      <c r="X241" t="s">
        <v>118</v>
      </c>
      <c r="Y241"/>
      <c r="Z241"/>
      <c r="AA241" t="s">
        <v>292</v>
      </c>
      <c r="AB241" t="s">
        <v>1</v>
      </c>
      <c r="AC241" t="s">
        <v>138</v>
      </c>
      <c r="AD241" t="s">
        <v>130</v>
      </c>
      <c r="AE241" s="97"/>
    </row>
    <row r="242" spans="1:31" ht="14.4" customHeight="1" x14ac:dyDescent="0.3">
      <c r="A242" t="s">
        <v>742</v>
      </c>
      <c r="B242" t="s">
        <v>743</v>
      </c>
      <c r="C242"/>
      <c r="D242"/>
      <c r="E242"/>
      <c r="F242"/>
      <c r="G242" t="s">
        <v>290</v>
      </c>
      <c r="H242" t="s">
        <v>132</v>
      </c>
      <c r="I242" t="s">
        <v>1</v>
      </c>
      <c r="J242" t="s">
        <v>133</v>
      </c>
      <c r="K242" t="s">
        <v>51</v>
      </c>
      <c r="L242" t="s">
        <v>744</v>
      </c>
      <c r="M242" t="s">
        <v>134</v>
      </c>
      <c r="N242" t="s">
        <v>135</v>
      </c>
      <c r="O242"/>
      <c r="P242"/>
      <c r="Q242" t="s">
        <v>291</v>
      </c>
      <c r="R242"/>
      <c r="S242"/>
      <c r="T242" t="s">
        <v>169</v>
      </c>
      <c r="U242" t="s">
        <v>137</v>
      </c>
      <c r="V242" t="s">
        <v>147</v>
      </c>
      <c r="W242"/>
      <c r="X242" t="s">
        <v>70</v>
      </c>
      <c r="Y242"/>
      <c r="Z242"/>
      <c r="AA242" t="s">
        <v>292</v>
      </c>
      <c r="AB242" t="s">
        <v>1</v>
      </c>
      <c r="AC242" t="s">
        <v>138</v>
      </c>
      <c r="AD242" t="s">
        <v>128</v>
      </c>
      <c r="AE242" s="97"/>
    </row>
    <row r="243" spans="1:31" ht="14.4" customHeight="1" x14ac:dyDescent="0.3">
      <c r="A243" t="s">
        <v>745</v>
      </c>
      <c r="B243" t="s">
        <v>746</v>
      </c>
      <c r="C243"/>
      <c r="D243"/>
      <c r="E243"/>
      <c r="F243"/>
      <c r="G243" t="s">
        <v>290</v>
      </c>
      <c r="H243" t="s">
        <v>132</v>
      </c>
      <c r="I243" t="s">
        <v>1</v>
      </c>
      <c r="J243" t="s">
        <v>133</v>
      </c>
      <c r="K243" t="s">
        <v>51</v>
      </c>
      <c r="L243" t="s">
        <v>747</v>
      </c>
      <c r="M243" t="s">
        <v>134</v>
      </c>
      <c r="N243" t="s">
        <v>135</v>
      </c>
      <c r="O243"/>
      <c r="P243"/>
      <c r="Q243" t="s">
        <v>291</v>
      </c>
      <c r="R243"/>
      <c r="S243"/>
      <c r="T243" t="s">
        <v>169</v>
      </c>
      <c r="U243" t="s">
        <v>137</v>
      </c>
      <c r="V243" t="s">
        <v>150</v>
      </c>
      <c r="W243"/>
      <c r="X243" t="s">
        <v>76</v>
      </c>
      <c r="Y243"/>
      <c r="Z243"/>
      <c r="AA243" t="s">
        <v>292</v>
      </c>
      <c r="AB243" t="s">
        <v>1</v>
      </c>
      <c r="AC243" t="s">
        <v>138</v>
      </c>
      <c r="AD243" t="s">
        <v>128</v>
      </c>
      <c r="AE243" s="97"/>
    </row>
    <row r="244" spans="1:31" ht="14.4" customHeight="1" x14ac:dyDescent="0.3">
      <c r="A244" t="s">
        <v>748</v>
      </c>
      <c r="B244" t="s">
        <v>749</v>
      </c>
      <c r="C244"/>
      <c r="D244"/>
      <c r="E244"/>
      <c r="F244"/>
      <c r="G244" t="s">
        <v>290</v>
      </c>
      <c r="H244" t="s">
        <v>132</v>
      </c>
      <c r="I244" t="s">
        <v>1</v>
      </c>
      <c r="J244" t="s">
        <v>133</v>
      </c>
      <c r="K244" t="s">
        <v>51</v>
      </c>
      <c r="L244" t="s">
        <v>750</v>
      </c>
      <c r="M244" t="s">
        <v>134</v>
      </c>
      <c r="N244" t="s">
        <v>135</v>
      </c>
      <c r="O244"/>
      <c r="P244"/>
      <c r="Q244" t="s">
        <v>291</v>
      </c>
      <c r="R244"/>
      <c r="S244"/>
      <c r="T244" t="s">
        <v>169</v>
      </c>
      <c r="U244" t="s">
        <v>137</v>
      </c>
      <c r="V244" t="s">
        <v>153</v>
      </c>
      <c r="W244"/>
      <c r="X244" t="s">
        <v>88</v>
      </c>
      <c r="Y244"/>
      <c r="Z244"/>
      <c r="AA244" t="s">
        <v>292</v>
      </c>
      <c r="AB244" t="s">
        <v>1</v>
      </c>
      <c r="AC244" t="s">
        <v>138</v>
      </c>
      <c r="AD244" t="s">
        <v>129</v>
      </c>
      <c r="AE244" s="97"/>
    </row>
    <row r="245" spans="1:31" ht="14.4" customHeight="1" x14ac:dyDescent="0.3">
      <c r="A245" t="s">
        <v>751</v>
      </c>
      <c r="B245" t="s">
        <v>752</v>
      </c>
      <c r="C245"/>
      <c r="D245"/>
      <c r="E245"/>
      <c r="F245"/>
      <c r="G245" t="s">
        <v>290</v>
      </c>
      <c r="H245" t="s">
        <v>132</v>
      </c>
      <c r="I245" t="s">
        <v>1</v>
      </c>
      <c r="J245" t="s">
        <v>133</v>
      </c>
      <c r="K245" t="s">
        <v>51</v>
      </c>
      <c r="L245" t="s">
        <v>753</v>
      </c>
      <c r="M245" t="s">
        <v>134</v>
      </c>
      <c r="N245" t="s">
        <v>135</v>
      </c>
      <c r="O245"/>
      <c r="P245"/>
      <c r="Q245" t="s">
        <v>291</v>
      </c>
      <c r="R245"/>
      <c r="S245"/>
      <c r="T245" t="s">
        <v>169</v>
      </c>
      <c r="U245" t="s">
        <v>137</v>
      </c>
      <c r="V245" t="s">
        <v>156</v>
      </c>
      <c r="W245"/>
      <c r="X245" t="s">
        <v>97</v>
      </c>
      <c r="Y245"/>
      <c r="Z245"/>
      <c r="AA245" t="s">
        <v>292</v>
      </c>
      <c r="AB245" t="s">
        <v>1</v>
      </c>
      <c r="AC245" t="s">
        <v>138</v>
      </c>
      <c r="AD245" t="s">
        <v>129</v>
      </c>
      <c r="AE245" s="97"/>
    </row>
    <row r="246" spans="1:31" ht="14.4" customHeight="1" x14ac:dyDescent="0.3">
      <c r="A246" t="s">
        <v>754</v>
      </c>
      <c r="B246" t="s">
        <v>755</v>
      </c>
      <c r="C246"/>
      <c r="D246"/>
      <c r="E246"/>
      <c r="F246"/>
      <c r="G246" t="s">
        <v>290</v>
      </c>
      <c r="H246" t="s">
        <v>132</v>
      </c>
      <c r="I246" t="s">
        <v>1</v>
      </c>
      <c r="J246" t="s">
        <v>133</v>
      </c>
      <c r="K246" t="s">
        <v>51</v>
      </c>
      <c r="L246" t="s">
        <v>756</v>
      </c>
      <c r="M246" t="s">
        <v>134</v>
      </c>
      <c r="N246" t="s">
        <v>135</v>
      </c>
      <c r="O246"/>
      <c r="P246"/>
      <c r="Q246" t="s">
        <v>291</v>
      </c>
      <c r="R246"/>
      <c r="S246"/>
      <c r="T246" t="s">
        <v>169</v>
      </c>
      <c r="U246" t="s">
        <v>137</v>
      </c>
      <c r="V246" t="s">
        <v>159</v>
      </c>
      <c r="W246"/>
      <c r="X246" t="s">
        <v>106</v>
      </c>
      <c r="Y246"/>
      <c r="Z246"/>
      <c r="AA246" t="s">
        <v>292</v>
      </c>
      <c r="AB246" t="s">
        <v>1</v>
      </c>
      <c r="AC246" t="s">
        <v>138</v>
      </c>
      <c r="AD246" t="s">
        <v>129</v>
      </c>
      <c r="AE246" s="97"/>
    </row>
    <row r="247" spans="1:31" ht="14.4" customHeight="1" x14ac:dyDescent="0.3">
      <c r="A247" t="s">
        <v>757</v>
      </c>
      <c r="B247" t="s">
        <v>758</v>
      </c>
      <c r="C247"/>
      <c r="D247"/>
      <c r="E247"/>
      <c r="F247"/>
      <c r="G247" t="s">
        <v>290</v>
      </c>
      <c r="H247" t="s">
        <v>132</v>
      </c>
      <c r="I247" t="s">
        <v>1</v>
      </c>
      <c r="J247" t="s">
        <v>133</v>
      </c>
      <c r="K247" t="s">
        <v>51</v>
      </c>
      <c r="L247" t="s">
        <v>759</v>
      </c>
      <c r="M247" t="s">
        <v>134</v>
      </c>
      <c r="N247" t="s">
        <v>135</v>
      </c>
      <c r="O247"/>
      <c r="P247"/>
      <c r="Q247" t="s">
        <v>291</v>
      </c>
      <c r="R247"/>
      <c r="S247"/>
      <c r="T247" t="s">
        <v>169</v>
      </c>
      <c r="U247" t="s">
        <v>137</v>
      </c>
      <c r="V247" t="s">
        <v>162</v>
      </c>
      <c r="W247"/>
      <c r="X247" t="s">
        <v>113</v>
      </c>
      <c r="Y247"/>
      <c r="Z247"/>
      <c r="AA247" t="s">
        <v>292</v>
      </c>
      <c r="AB247" t="s">
        <v>1</v>
      </c>
      <c r="AC247" t="s">
        <v>138</v>
      </c>
      <c r="AD247" t="s">
        <v>129</v>
      </c>
      <c r="AE247" s="97"/>
    </row>
    <row r="248" spans="1:31" ht="14.4" customHeight="1" x14ac:dyDescent="0.3">
      <c r="A248" t="s">
        <v>760</v>
      </c>
      <c r="B248" t="s">
        <v>761</v>
      </c>
      <c r="C248"/>
      <c r="D248"/>
      <c r="E248"/>
      <c r="F248"/>
      <c r="G248" t="s">
        <v>290</v>
      </c>
      <c r="H248" t="s">
        <v>132</v>
      </c>
      <c r="I248" t="s">
        <v>1</v>
      </c>
      <c r="J248" t="s">
        <v>133</v>
      </c>
      <c r="K248" t="s">
        <v>51</v>
      </c>
      <c r="L248" t="s">
        <v>762</v>
      </c>
      <c r="M248" t="s">
        <v>134</v>
      </c>
      <c r="N248" t="s">
        <v>135</v>
      </c>
      <c r="O248"/>
      <c r="P248"/>
      <c r="Q248" t="s">
        <v>291</v>
      </c>
      <c r="R248"/>
      <c r="S248"/>
      <c r="T248" t="s">
        <v>169</v>
      </c>
      <c r="U248" t="s">
        <v>137</v>
      </c>
      <c r="V248" t="s">
        <v>165</v>
      </c>
      <c r="W248"/>
      <c r="X248" t="s">
        <v>122</v>
      </c>
      <c r="Y248"/>
      <c r="Z248"/>
      <c r="AA248" t="s">
        <v>292</v>
      </c>
      <c r="AB248" t="s">
        <v>1</v>
      </c>
      <c r="AC248" t="s">
        <v>138</v>
      </c>
      <c r="AD248" t="s">
        <v>130</v>
      </c>
      <c r="AE248" s="97"/>
    </row>
    <row r="249" spans="1:31" ht="14.4" customHeight="1" x14ac:dyDescent="0.3">
      <c r="A249" t="s">
        <v>763</v>
      </c>
      <c r="B249" t="s">
        <v>764</v>
      </c>
      <c r="C249"/>
      <c r="D249"/>
      <c r="E249"/>
      <c r="F249"/>
      <c r="G249" t="s">
        <v>290</v>
      </c>
      <c r="H249" t="s">
        <v>132</v>
      </c>
      <c r="I249" t="s">
        <v>1</v>
      </c>
      <c r="J249" t="s">
        <v>133</v>
      </c>
      <c r="K249" t="s">
        <v>51</v>
      </c>
      <c r="L249" t="s">
        <v>765</v>
      </c>
      <c r="M249" t="s">
        <v>134</v>
      </c>
      <c r="N249" t="s">
        <v>135</v>
      </c>
      <c r="O249"/>
      <c r="P249"/>
      <c r="Q249" t="s">
        <v>291</v>
      </c>
      <c r="R249"/>
      <c r="S249"/>
      <c r="T249" t="s">
        <v>169</v>
      </c>
      <c r="U249" t="s">
        <v>137</v>
      </c>
      <c r="V249" t="s">
        <v>147</v>
      </c>
      <c r="W249"/>
      <c r="X249" t="s">
        <v>70</v>
      </c>
      <c r="Y249"/>
      <c r="Z249"/>
      <c r="AA249" t="s">
        <v>292</v>
      </c>
      <c r="AB249" t="s">
        <v>1</v>
      </c>
      <c r="AC249" t="s">
        <v>138</v>
      </c>
      <c r="AD249" t="s">
        <v>128</v>
      </c>
      <c r="AE249" s="97"/>
    </row>
    <row r="250" spans="1:31" ht="14.4" customHeight="1" x14ac:dyDescent="0.3">
      <c r="A250" t="s">
        <v>766</v>
      </c>
      <c r="B250" t="s">
        <v>767</v>
      </c>
      <c r="C250"/>
      <c r="D250"/>
      <c r="E250"/>
      <c r="F250"/>
      <c r="G250" t="s">
        <v>290</v>
      </c>
      <c r="H250" t="s">
        <v>132</v>
      </c>
      <c r="I250" t="s">
        <v>1</v>
      </c>
      <c r="J250" t="s">
        <v>133</v>
      </c>
      <c r="K250" t="s">
        <v>51</v>
      </c>
      <c r="L250" t="s">
        <v>765</v>
      </c>
      <c r="M250" t="s">
        <v>134</v>
      </c>
      <c r="N250" t="s">
        <v>135</v>
      </c>
      <c r="O250"/>
      <c r="P250"/>
      <c r="Q250" t="s">
        <v>291</v>
      </c>
      <c r="R250"/>
      <c r="S250"/>
      <c r="T250" t="s">
        <v>169</v>
      </c>
      <c r="U250" t="s">
        <v>137</v>
      </c>
      <c r="V250" t="s">
        <v>147</v>
      </c>
      <c r="W250"/>
      <c r="X250" t="s">
        <v>70</v>
      </c>
      <c r="Y250"/>
      <c r="Z250"/>
      <c r="AA250" t="s">
        <v>292</v>
      </c>
      <c r="AB250" t="s">
        <v>1</v>
      </c>
      <c r="AC250" t="s">
        <v>138</v>
      </c>
      <c r="AD250" t="s">
        <v>128</v>
      </c>
      <c r="AE250" s="97"/>
    </row>
    <row r="251" spans="1:31" ht="14.4" customHeight="1" x14ac:dyDescent="0.3">
      <c r="A251" t="s">
        <v>768</v>
      </c>
      <c r="B251" t="s">
        <v>769</v>
      </c>
      <c r="C251"/>
      <c r="D251"/>
      <c r="E251"/>
      <c r="F251"/>
      <c r="G251" t="s">
        <v>290</v>
      </c>
      <c r="H251" t="s">
        <v>132</v>
      </c>
      <c r="I251" t="s">
        <v>1</v>
      </c>
      <c r="J251" t="s">
        <v>133</v>
      </c>
      <c r="K251" t="s">
        <v>51</v>
      </c>
      <c r="L251" t="s">
        <v>765</v>
      </c>
      <c r="M251" t="s">
        <v>134</v>
      </c>
      <c r="N251" t="s">
        <v>135</v>
      </c>
      <c r="O251"/>
      <c r="P251"/>
      <c r="Q251" t="s">
        <v>291</v>
      </c>
      <c r="R251"/>
      <c r="S251"/>
      <c r="T251" t="s">
        <v>169</v>
      </c>
      <c r="U251" t="s">
        <v>137</v>
      </c>
      <c r="V251" t="s">
        <v>147</v>
      </c>
      <c r="W251"/>
      <c r="X251" t="s">
        <v>70</v>
      </c>
      <c r="Y251"/>
      <c r="Z251"/>
      <c r="AA251" t="s">
        <v>292</v>
      </c>
      <c r="AB251" t="s">
        <v>1</v>
      </c>
      <c r="AC251" t="s">
        <v>138</v>
      </c>
      <c r="AD251" t="s">
        <v>128</v>
      </c>
      <c r="AE251" s="97"/>
    </row>
    <row r="252" spans="1:31" ht="14.4" customHeight="1" x14ac:dyDescent="0.3">
      <c r="A252" t="s">
        <v>770</v>
      </c>
      <c r="B252" t="s">
        <v>771</v>
      </c>
      <c r="C252"/>
      <c r="D252"/>
      <c r="E252"/>
      <c r="F252"/>
      <c r="G252" t="s">
        <v>290</v>
      </c>
      <c r="H252" t="s">
        <v>132</v>
      </c>
      <c r="I252" t="s">
        <v>1</v>
      </c>
      <c r="J252" t="s">
        <v>133</v>
      </c>
      <c r="K252" t="s">
        <v>51</v>
      </c>
      <c r="L252" t="s">
        <v>772</v>
      </c>
      <c r="M252" t="s">
        <v>134</v>
      </c>
      <c r="N252" t="s">
        <v>135</v>
      </c>
      <c r="O252"/>
      <c r="P252"/>
      <c r="Q252" t="s">
        <v>291</v>
      </c>
      <c r="R252"/>
      <c r="S252"/>
      <c r="T252" t="s">
        <v>169</v>
      </c>
      <c r="U252" t="s">
        <v>137</v>
      </c>
      <c r="V252" t="s">
        <v>150</v>
      </c>
      <c r="W252"/>
      <c r="X252" t="s">
        <v>76</v>
      </c>
      <c r="Y252"/>
      <c r="Z252"/>
      <c r="AA252" t="s">
        <v>292</v>
      </c>
      <c r="AB252" t="s">
        <v>1</v>
      </c>
      <c r="AC252" t="s">
        <v>138</v>
      </c>
      <c r="AD252" t="s">
        <v>128</v>
      </c>
      <c r="AE252" s="97"/>
    </row>
    <row r="253" spans="1:31" ht="14.4" customHeight="1" x14ac:dyDescent="0.3">
      <c r="A253" t="s">
        <v>773</v>
      </c>
      <c r="B253" t="s">
        <v>774</v>
      </c>
      <c r="C253"/>
      <c r="D253"/>
      <c r="E253"/>
      <c r="F253"/>
      <c r="G253" t="s">
        <v>290</v>
      </c>
      <c r="H253" t="s">
        <v>132</v>
      </c>
      <c r="I253" t="s">
        <v>1</v>
      </c>
      <c r="J253" t="s">
        <v>133</v>
      </c>
      <c r="K253" t="s">
        <v>51</v>
      </c>
      <c r="L253" t="s">
        <v>772</v>
      </c>
      <c r="M253" t="s">
        <v>134</v>
      </c>
      <c r="N253" t="s">
        <v>135</v>
      </c>
      <c r="O253"/>
      <c r="P253"/>
      <c r="Q253" t="s">
        <v>291</v>
      </c>
      <c r="R253"/>
      <c r="S253"/>
      <c r="T253" t="s">
        <v>169</v>
      </c>
      <c r="U253" t="s">
        <v>137</v>
      </c>
      <c r="V253" t="s">
        <v>150</v>
      </c>
      <c r="W253"/>
      <c r="X253" t="s">
        <v>76</v>
      </c>
      <c r="Y253"/>
      <c r="Z253"/>
      <c r="AA253" t="s">
        <v>292</v>
      </c>
      <c r="AB253" t="s">
        <v>1</v>
      </c>
      <c r="AC253" t="s">
        <v>138</v>
      </c>
      <c r="AD253" t="s">
        <v>128</v>
      </c>
      <c r="AE253" s="97"/>
    </row>
    <row r="254" spans="1:31" ht="14.4" customHeight="1" x14ac:dyDescent="0.3">
      <c r="A254" t="s">
        <v>775</v>
      </c>
      <c r="B254" t="s">
        <v>776</v>
      </c>
      <c r="C254"/>
      <c r="D254"/>
      <c r="E254"/>
      <c r="F254"/>
      <c r="G254" t="s">
        <v>290</v>
      </c>
      <c r="H254" t="s">
        <v>132</v>
      </c>
      <c r="I254" t="s">
        <v>1</v>
      </c>
      <c r="J254" t="s">
        <v>133</v>
      </c>
      <c r="K254" t="s">
        <v>51</v>
      </c>
      <c r="L254" t="s">
        <v>772</v>
      </c>
      <c r="M254" t="s">
        <v>134</v>
      </c>
      <c r="N254" t="s">
        <v>135</v>
      </c>
      <c r="O254"/>
      <c r="P254"/>
      <c r="Q254" t="s">
        <v>291</v>
      </c>
      <c r="R254"/>
      <c r="S254"/>
      <c r="T254" t="s">
        <v>169</v>
      </c>
      <c r="U254" t="s">
        <v>137</v>
      </c>
      <c r="V254" t="s">
        <v>150</v>
      </c>
      <c r="W254"/>
      <c r="X254" t="s">
        <v>76</v>
      </c>
      <c r="Y254"/>
      <c r="Z254"/>
      <c r="AA254" t="s">
        <v>292</v>
      </c>
      <c r="AB254" t="s">
        <v>1</v>
      </c>
      <c r="AC254" t="s">
        <v>138</v>
      </c>
      <c r="AD254" t="s">
        <v>128</v>
      </c>
      <c r="AE254" s="97"/>
    </row>
    <row r="255" spans="1:31" ht="14.4" customHeight="1" x14ac:dyDescent="0.3">
      <c r="A255" t="s">
        <v>777</v>
      </c>
      <c r="B255" t="s">
        <v>778</v>
      </c>
      <c r="C255"/>
      <c r="D255"/>
      <c r="E255"/>
      <c r="F255"/>
      <c r="G255" t="s">
        <v>290</v>
      </c>
      <c r="H255" t="s">
        <v>132</v>
      </c>
      <c r="I255" t="s">
        <v>1</v>
      </c>
      <c r="J255" t="s">
        <v>133</v>
      </c>
      <c r="K255" t="s">
        <v>51</v>
      </c>
      <c r="L255" t="s">
        <v>779</v>
      </c>
      <c r="M255" t="s">
        <v>134</v>
      </c>
      <c r="N255" t="s">
        <v>135</v>
      </c>
      <c r="O255"/>
      <c r="P255"/>
      <c r="Q255" t="s">
        <v>291</v>
      </c>
      <c r="R255"/>
      <c r="S255"/>
      <c r="T255" t="s">
        <v>169</v>
      </c>
      <c r="U255" t="s">
        <v>137</v>
      </c>
      <c r="V255" t="s">
        <v>153</v>
      </c>
      <c r="W255"/>
      <c r="X255" t="s">
        <v>88</v>
      </c>
      <c r="Y255"/>
      <c r="Z255"/>
      <c r="AA255" t="s">
        <v>292</v>
      </c>
      <c r="AB255" t="s">
        <v>1</v>
      </c>
      <c r="AC255" t="s">
        <v>138</v>
      </c>
      <c r="AD255" t="s">
        <v>129</v>
      </c>
      <c r="AE255" s="97"/>
    </row>
    <row r="256" spans="1:31" ht="14.4" customHeight="1" x14ac:dyDescent="0.3">
      <c r="A256" t="s">
        <v>780</v>
      </c>
      <c r="B256" t="s">
        <v>781</v>
      </c>
      <c r="C256"/>
      <c r="D256"/>
      <c r="E256"/>
      <c r="F256"/>
      <c r="G256" t="s">
        <v>290</v>
      </c>
      <c r="H256" t="s">
        <v>132</v>
      </c>
      <c r="I256" t="s">
        <v>1</v>
      </c>
      <c r="J256" t="s">
        <v>133</v>
      </c>
      <c r="K256" t="s">
        <v>51</v>
      </c>
      <c r="L256" t="s">
        <v>779</v>
      </c>
      <c r="M256" t="s">
        <v>134</v>
      </c>
      <c r="N256" t="s">
        <v>135</v>
      </c>
      <c r="O256"/>
      <c r="P256"/>
      <c r="Q256" t="s">
        <v>291</v>
      </c>
      <c r="R256"/>
      <c r="S256"/>
      <c r="T256" t="s">
        <v>169</v>
      </c>
      <c r="U256" t="s">
        <v>137</v>
      </c>
      <c r="V256" t="s">
        <v>153</v>
      </c>
      <c r="W256"/>
      <c r="X256" t="s">
        <v>88</v>
      </c>
      <c r="Y256"/>
      <c r="Z256"/>
      <c r="AA256" t="s">
        <v>292</v>
      </c>
      <c r="AB256" t="s">
        <v>1</v>
      </c>
      <c r="AC256" t="s">
        <v>138</v>
      </c>
      <c r="AD256" t="s">
        <v>129</v>
      </c>
      <c r="AE256" s="97"/>
    </row>
    <row r="257" spans="1:31" ht="14.4" customHeight="1" x14ac:dyDescent="0.3">
      <c r="A257" t="s">
        <v>782</v>
      </c>
      <c r="B257" t="s">
        <v>783</v>
      </c>
      <c r="C257"/>
      <c r="D257"/>
      <c r="E257"/>
      <c r="F257"/>
      <c r="G257" t="s">
        <v>290</v>
      </c>
      <c r="H257" t="s">
        <v>132</v>
      </c>
      <c r="I257" t="s">
        <v>1</v>
      </c>
      <c r="J257" t="s">
        <v>133</v>
      </c>
      <c r="K257" t="s">
        <v>51</v>
      </c>
      <c r="L257" t="s">
        <v>779</v>
      </c>
      <c r="M257" t="s">
        <v>134</v>
      </c>
      <c r="N257" t="s">
        <v>135</v>
      </c>
      <c r="O257"/>
      <c r="P257"/>
      <c r="Q257" t="s">
        <v>291</v>
      </c>
      <c r="R257"/>
      <c r="S257"/>
      <c r="T257" t="s">
        <v>169</v>
      </c>
      <c r="U257" t="s">
        <v>137</v>
      </c>
      <c r="V257" t="s">
        <v>153</v>
      </c>
      <c r="W257"/>
      <c r="X257" t="s">
        <v>88</v>
      </c>
      <c r="Y257"/>
      <c r="Z257"/>
      <c r="AA257" t="s">
        <v>292</v>
      </c>
      <c r="AB257" t="s">
        <v>1</v>
      </c>
      <c r="AC257" t="s">
        <v>138</v>
      </c>
      <c r="AD257" t="s">
        <v>129</v>
      </c>
      <c r="AE257" s="97"/>
    </row>
    <row r="258" spans="1:31" ht="14.4" customHeight="1" x14ac:dyDescent="0.3">
      <c r="A258" t="s">
        <v>784</v>
      </c>
      <c r="B258" t="s">
        <v>785</v>
      </c>
      <c r="C258"/>
      <c r="D258"/>
      <c r="E258"/>
      <c r="F258"/>
      <c r="G258" t="s">
        <v>290</v>
      </c>
      <c r="H258" t="s">
        <v>132</v>
      </c>
      <c r="I258" t="s">
        <v>1</v>
      </c>
      <c r="J258" t="s">
        <v>133</v>
      </c>
      <c r="K258" t="s">
        <v>51</v>
      </c>
      <c r="L258" t="s">
        <v>786</v>
      </c>
      <c r="M258" t="s">
        <v>134</v>
      </c>
      <c r="N258" t="s">
        <v>135</v>
      </c>
      <c r="O258"/>
      <c r="P258"/>
      <c r="Q258" t="s">
        <v>291</v>
      </c>
      <c r="R258"/>
      <c r="S258"/>
      <c r="T258" t="s">
        <v>169</v>
      </c>
      <c r="U258" t="s">
        <v>137</v>
      </c>
      <c r="V258" t="s">
        <v>156</v>
      </c>
      <c r="W258"/>
      <c r="X258" t="s">
        <v>97</v>
      </c>
      <c r="Y258"/>
      <c r="Z258"/>
      <c r="AA258" t="s">
        <v>292</v>
      </c>
      <c r="AB258" t="s">
        <v>1</v>
      </c>
      <c r="AC258" t="s">
        <v>138</v>
      </c>
      <c r="AD258" t="s">
        <v>129</v>
      </c>
      <c r="AE258" s="97"/>
    </row>
    <row r="259" spans="1:31" ht="14.4" customHeight="1" x14ac:dyDescent="0.3">
      <c r="A259" t="s">
        <v>787</v>
      </c>
      <c r="B259" t="s">
        <v>788</v>
      </c>
      <c r="C259"/>
      <c r="D259"/>
      <c r="E259"/>
      <c r="F259"/>
      <c r="G259" t="s">
        <v>290</v>
      </c>
      <c r="H259" t="s">
        <v>132</v>
      </c>
      <c r="I259" t="s">
        <v>1</v>
      </c>
      <c r="J259" t="s">
        <v>133</v>
      </c>
      <c r="K259" t="s">
        <v>51</v>
      </c>
      <c r="L259" t="s">
        <v>786</v>
      </c>
      <c r="M259" t="s">
        <v>134</v>
      </c>
      <c r="N259" t="s">
        <v>135</v>
      </c>
      <c r="O259"/>
      <c r="P259"/>
      <c r="Q259" t="s">
        <v>291</v>
      </c>
      <c r="R259"/>
      <c r="S259"/>
      <c r="T259" t="s">
        <v>169</v>
      </c>
      <c r="U259" t="s">
        <v>137</v>
      </c>
      <c r="V259" t="s">
        <v>156</v>
      </c>
      <c r="W259"/>
      <c r="X259" t="s">
        <v>97</v>
      </c>
      <c r="Y259"/>
      <c r="Z259"/>
      <c r="AA259" t="s">
        <v>292</v>
      </c>
      <c r="AB259" t="s">
        <v>1</v>
      </c>
      <c r="AC259" t="s">
        <v>138</v>
      </c>
      <c r="AD259" t="s">
        <v>129</v>
      </c>
      <c r="AE259" s="97"/>
    </row>
    <row r="260" spans="1:31" ht="14.4" customHeight="1" x14ac:dyDescent="0.3">
      <c r="A260" t="s">
        <v>789</v>
      </c>
      <c r="B260" t="s">
        <v>790</v>
      </c>
      <c r="C260"/>
      <c r="D260"/>
      <c r="E260"/>
      <c r="F260"/>
      <c r="G260" t="s">
        <v>290</v>
      </c>
      <c r="H260" t="s">
        <v>132</v>
      </c>
      <c r="I260" t="s">
        <v>1</v>
      </c>
      <c r="J260" t="s">
        <v>133</v>
      </c>
      <c r="K260" t="s">
        <v>51</v>
      </c>
      <c r="L260" t="s">
        <v>786</v>
      </c>
      <c r="M260" t="s">
        <v>134</v>
      </c>
      <c r="N260" t="s">
        <v>135</v>
      </c>
      <c r="O260"/>
      <c r="P260"/>
      <c r="Q260" t="s">
        <v>291</v>
      </c>
      <c r="R260"/>
      <c r="S260"/>
      <c r="T260" t="s">
        <v>169</v>
      </c>
      <c r="U260" t="s">
        <v>137</v>
      </c>
      <c r="V260" t="s">
        <v>156</v>
      </c>
      <c r="W260"/>
      <c r="X260" t="s">
        <v>97</v>
      </c>
      <c r="Y260"/>
      <c r="Z260"/>
      <c r="AA260" t="s">
        <v>292</v>
      </c>
      <c r="AB260" t="s">
        <v>1</v>
      </c>
      <c r="AC260" t="s">
        <v>138</v>
      </c>
      <c r="AD260" t="s">
        <v>129</v>
      </c>
      <c r="AE260" s="97"/>
    </row>
    <row r="261" spans="1:31" ht="14.4" customHeight="1" x14ac:dyDescent="0.3">
      <c r="A261" t="s">
        <v>791</v>
      </c>
      <c r="B261" t="s">
        <v>792</v>
      </c>
      <c r="C261"/>
      <c r="D261"/>
      <c r="E261"/>
      <c r="F261"/>
      <c r="G261" t="s">
        <v>290</v>
      </c>
      <c r="H261" t="s">
        <v>132</v>
      </c>
      <c r="I261" t="s">
        <v>1</v>
      </c>
      <c r="J261" t="s">
        <v>133</v>
      </c>
      <c r="K261" t="s">
        <v>51</v>
      </c>
      <c r="L261" t="s">
        <v>793</v>
      </c>
      <c r="M261" t="s">
        <v>134</v>
      </c>
      <c r="N261" t="s">
        <v>135</v>
      </c>
      <c r="O261"/>
      <c r="P261"/>
      <c r="Q261" t="s">
        <v>291</v>
      </c>
      <c r="R261"/>
      <c r="S261"/>
      <c r="T261" t="s">
        <v>169</v>
      </c>
      <c r="U261" t="s">
        <v>137</v>
      </c>
      <c r="V261" t="s">
        <v>159</v>
      </c>
      <c r="W261"/>
      <c r="X261" t="s">
        <v>106</v>
      </c>
      <c r="Y261"/>
      <c r="Z261"/>
      <c r="AA261" t="s">
        <v>292</v>
      </c>
      <c r="AB261" t="s">
        <v>1</v>
      </c>
      <c r="AC261" t="s">
        <v>138</v>
      </c>
      <c r="AD261" t="s">
        <v>129</v>
      </c>
      <c r="AE261" s="97"/>
    </row>
    <row r="262" spans="1:31" ht="14.4" customHeight="1" x14ac:dyDescent="0.3">
      <c r="A262" t="s">
        <v>794</v>
      </c>
      <c r="B262" t="s">
        <v>795</v>
      </c>
      <c r="C262"/>
      <c r="D262"/>
      <c r="E262"/>
      <c r="F262"/>
      <c r="G262" t="s">
        <v>290</v>
      </c>
      <c r="H262" t="s">
        <v>132</v>
      </c>
      <c r="I262" t="s">
        <v>1</v>
      </c>
      <c r="J262" t="s">
        <v>133</v>
      </c>
      <c r="K262" t="s">
        <v>51</v>
      </c>
      <c r="L262" t="s">
        <v>793</v>
      </c>
      <c r="M262" t="s">
        <v>134</v>
      </c>
      <c r="N262" t="s">
        <v>135</v>
      </c>
      <c r="O262"/>
      <c r="P262"/>
      <c r="Q262" t="s">
        <v>291</v>
      </c>
      <c r="R262"/>
      <c r="S262"/>
      <c r="T262" t="s">
        <v>169</v>
      </c>
      <c r="U262" t="s">
        <v>137</v>
      </c>
      <c r="V262" t="s">
        <v>159</v>
      </c>
      <c r="W262"/>
      <c r="X262" t="s">
        <v>106</v>
      </c>
      <c r="Y262"/>
      <c r="Z262"/>
      <c r="AA262" t="s">
        <v>292</v>
      </c>
      <c r="AB262" t="s">
        <v>1</v>
      </c>
      <c r="AC262" t="s">
        <v>138</v>
      </c>
      <c r="AD262" t="s">
        <v>129</v>
      </c>
      <c r="AE262" s="97"/>
    </row>
    <row r="263" spans="1:31" ht="14.4" customHeight="1" x14ac:dyDescent="0.3">
      <c r="A263" t="s">
        <v>796</v>
      </c>
      <c r="B263" t="s">
        <v>797</v>
      </c>
      <c r="C263"/>
      <c r="D263"/>
      <c r="E263"/>
      <c r="F263"/>
      <c r="G263" t="s">
        <v>290</v>
      </c>
      <c r="H263" t="s">
        <v>132</v>
      </c>
      <c r="I263" t="s">
        <v>1</v>
      </c>
      <c r="J263" t="s">
        <v>133</v>
      </c>
      <c r="K263" t="s">
        <v>51</v>
      </c>
      <c r="L263" t="s">
        <v>793</v>
      </c>
      <c r="M263" t="s">
        <v>134</v>
      </c>
      <c r="N263" t="s">
        <v>135</v>
      </c>
      <c r="O263"/>
      <c r="P263"/>
      <c r="Q263" t="s">
        <v>291</v>
      </c>
      <c r="R263"/>
      <c r="S263"/>
      <c r="T263" t="s">
        <v>169</v>
      </c>
      <c r="U263" t="s">
        <v>137</v>
      </c>
      <c r="V263" t="s">
        <v>159</v>
      </c>
      <c r="W263"/>
      <c r="X263" t="s">
        <v>106</v>
      </c>
      <c r="Y263"/>
      <c r="Z263"/>
      <c r="AA263" t="s">
        <v>292</v>
      </c>
      <c r="AB263" t="s">
        <v>1</v>
      </c>
      <c r="AC263" t="s">
        <v>138</v>
      </c>
      <c r="AD263" t="s">
        <v>129</v>
      </c>
      <c r="AE263" s="97"/>
    </row>
    <row r="264" spans="1:31" ht="14.4" customHeight="1" x14ac:dyDescent="0.3">
      <c r="A264" t="s">
        <v>798</v>
      </c>
      <c r="B264" t="s">
        <v>799</v>
      </c>
      <c r="C264"/>
      <c r="D264"/>
      <c r="E264"/>
      <c r="F264"/>
      <c r="G264" t="s">
        <v>290</v>
      </c>
      <c r="H264" t="s">
        <v>132</v>
      </c>
      <c r="I264" t="s">
        <v>1</v>
      </c>
      <c r="J264" t="s">
        <v>133</v>
      </c>
      <c r="K264" t="s">
        <v>51</v>
      </c>
      <c r="L264" t="s">
        <v>800</v>
      </c>
      <c r="M264" t="s">
        <v>134</v>
      </c>
      <c r="N264" t="s">
        <v>135</v>
      </c>
      <c r="O264"/>
      <c r="P264"/>
      <c r="Q264" t="s">
        <v>291</v>
      </c>
      <c r="R264"/>
      <c r="S264"/>
      <c r="T264" t="s">
        <v>169</v>
      </c>
      <c r="U264" t="s">
        <v>137</v>
      </c>
      <c r="V264" t="s">
        <v>162</v>
      </c>
      <c r="W264"/>
      <c r="X264" t="s">
        <v>113</v>
      </c>
      <c r="Y264"/>
      <c r="Z264"/>
      <c r="AA264" t="s">
        <v>292</v>
      </c>
      <c r="AB264" t="s">
        <v>1</v>
      </c>
      <c r="AC264" t="s">
        <v>138</v>
      </c>
      <c r="AD264" t="s">
        <v>129</v>
      </c>
      <c r="AE264" s="97"/>
    </row>
    <row r="265" spans="1:31" ht="14.4" customHeight="1" x14ac:dyDescent="0.3">
      <c r="A265" t="s">
        <v>801</v>
      </c>
      <c r="B265" t="s">
        <v>802</v>
      </c>
      <c r="C265"/>
      <c r="D265"/>
      <c r="E265"/>
      <c r="F265"/>
      <c r="G265" t="s">
        <v>290</v>
      </c>
      <c r="H265" t="s">
        <v>132</v>
      </c>
      <c r="I265" t="s">
        <v>1</v>
      </c>
      <c r="J265" t="s">
        <v>133</v>
      </c>
      <c r="K265" t="s">
        <v>51</v>
      </c>
      <c r="L265" t="s">
        <v>800</v>
      </c>
      <c r="M265" t="s">
        <v>134</v>
      </c>
      <c r="N265" t="s">
        <v>135</v>
      </c>
      <c r="O265"/>
      <c r="P265"/>
      <c r="Q265" t="s">
        <v>291</v>
      </c>
      <c r="R265"/>
      <c r="S265"/>
      <c r="T265" t="s">
        <v>169</v>
      </c>
      <c r="U265" t="s">
        <v>137</v>
      </c>
      <c r="V265" t="s">
        <v>162</v>
      </c>
      <c r="W265"/>
      <c r="X265" t="s">
        <v>113</v>
      </c>
      <c r="Y265"/>
      <c r="Z265"/>
      <c r="AA265" t="s">
        <v>292</v>
      </c>
      <c r="AB265" t="s">
        <v>1</v>
      </c>
      <c r="AC265" t="s">
        <v>138</v>
      </c>
      <c r="AD265" t="s">
        <v>129</v>
      </c>
      <c r="AE265" s="97"/>
    </row>
    <row r="266" spans="1:31" ht="14.4" customHeight="1" x14ac:dyDescent="0.3">
      <c r="A266" t="s">
        <v>803</v>
      </c>
      <c r="B266" t="s">
        <v>804</v>
      </c>
      <c r="C266"/>
      <c r="D266"/>
      <c r="E266"/>
      <c r="F266"/>
      <c r="G266" t="s">
        <v>290</v>
      </c>
      <c r="H266" t="s">
        <v>132</v>
      </c>
      <c r="I266" t="s">
        <v>1</v>
      </c>
      <c r="J266" t="s">
        <v>133</v>
      </c>
      <c r="K266" t="s">
        <v>51</v>
      </c>
      <c r="L266" t="s">
        <v>800</v>
      </c>
      <c r="M266" t="s">
        <v>134</v>
      </c>
      <c r="N266" t="s">
        <v>135</v>
      </c>
      <c r="O266"/>
      <c r="P266"/>
      <c r="Q266" t="s">
        <v>291</v>
      </c>
      <c r="R266"/>
      <c r="S266"/>
      <c r="T266" t="s">
        <v>169</v>
      </c>
      <c r="U266" t="s">
        <v>137</v>
      </c>
      <c r="V266" t="s">
        <v>162</v>
      </c>
      <c r="W266"/>
      <c r="X266" t="s">
        <v>113</v>
      </c>
      <c r="Y266"/>
      <c r="Z266"/>
      <c r="AA266" t="s">
        <v>292</v>
      </c>
      <c r="AB266" t="s">
        <v>1</v>
      </c>
      <c r="AC266" t="s">
        <v>138</v>
      </c>
      <c r="AD266" t="s">
        <v>129</v>
      </c>
      <c r="AE266" s="97"/>
    </row>
    <row r="267" spans="1:31" ht="14.4" customHeight="1" x14ac:dyDescent="0.3">
      <c r="A267" t="s">
        <v>805</v>
      </c>
      <c r="B267" t="s">
        <v>806</v>
      </c>
      <c r="C267"/>
      <c r="D267"/>
      <c r="E267"/>
      <c r="F267"/>
      <c r="G267" t="s">
        <v>290</v>
      </c>
      <c r="H267" t="s">
        <v>132</v>
      </c>
      <c r="I267" t="s">
        <v>1</v>
      </c>
      <c r="J267" t="s">
        <v>133</v>
      </c>
      <c r="K267" t="s">
        <v>51</v>
      </c>
      <c r="L267" t="s">
        <v>807</v>
      </c>
      <c r="M267" t="s">
        <v>134</v>
      </c>
      <c r="N267" t="s">
        <v>135</v>
      </c>
      <c r="O267"/>
      <c r="P267"/>
      <c r="Q267" t="s">
        <v>291</v>
      </c>
      <c r="R267"/>
      <c r="S267"/>
      <c r="T267" t="s">
        <v>169</v>
      </c>
      <c r="U267" t="s">
        <v>137</v>
      </c>
      <c r="V267" t="s">
        <v>165</v>
      </c>
      <c r="W267"/>
      <c r="X267" t="s">
        <v>122</v>
      </c>
      <c r="Y267"/>
      <c r="Z267"/>
      <c r="AA267" t="s">
        <v>292</v>
      </c>
      <c r="AB267" t="s">
        <v>1</v>
      </c>
      <c r="AC267" t="s">
        <v>138</v>
      </c>
      <c r="AD267" t="s">
        <v>130</v>
      </c>
      <c r="AE267" s="97"/>
    </row>
    <row r="268" spans="1:31" ht="14.4" customHeight="1" x14ac:dyDescent="0.3">
      <c r="A268" t="s">
        <v>808</v>
      </c>
      <c r="B268" t="s">
        <v>809</v>
      </c>
      <c r="C268"/>
      <c r="D268"/>
      <c r="E268"/>
      <c r="F268"/>
      <c r="G268" t="s">
        <v>290</v>
      </c>
      <c r="H268" t="s">
        <v>132</v>
      </c>
      <c r="I268" t="s">
        <v>1</v>
      </c>
      <c r="J268" t="s">
        <v>133</v>
      </c>
      <c r="K268" t="s">
        <v>51</v>
      </c>
      <c r="L268" t="s">
        <v>807</v>
      </c>
      <c r="M268" t="s">
        <v>134</v>
      </c>
      <c r="N268" t="s">
        <v>135</v>
      </c>
      <c r="O268"/>
      <c r="P268"/>
      <c r="Q268" t="s">
        <v>291</v>
      </c>
      <c r="R268"/>
      <c r="S268"/>
      <c r="T268" t="s">
        <v>169</v>
      </c>
      <c r="U268" t="s">
        <v>137</v>
      </c>
      <c r="V268" t="s">
        <v>165</v>
      </c>
      <c r="W268"/>
      <c r="X268" t="s">
        <v>122</v>
      </c>
      <c r="Y268"/>
      <c r="Z268"/>
      <c r="AA268" t="s">
        <v>292</v>
      </c>
      <c r="AB268" t="s">
        <v>1</v>
      </c>
      <c r="AC268" t="s">
        <v>138</v>
      </c>
      <c r="AD268" t="s">
        <v>130</v>
      </c>
      <c r="AE268" s="97"/>
    </row>
    <row r="269" spans="1:31" ht="14.4" customHeight="1" x14ac:dyDescent="0.3">
      <c r="A269" t="s">
        <v>810</v>
      </c>
      <c r="B269" t="s">
        <v>811</v>
      </c>
      <c r="C269"/>
      <c r="D269"/>
      <c r="E269"/>
      <c r="F269"/>
      <c r="G269" t="s">
        <v>290</v>
      </c>
      <c r="H269" t="s">
        <v>132</v>
      </c>
      <c r="I269" t="s">
        <v>1</v>
      </c>
      <c r="J269" t="s">
        <v>133</v>
      </c>
      <c r="K269" t="s">
        <v>51</v>
      </c>
      <c r="L269" t="s">
        <v>807</v>
      </c>
      <c r="M269" t="s">
        <v>134</v>
      </c>
      <c r="N269" t="s">
        <v>135</v>
      </c>
      <c r="O269"/>
      <c r="P269"/>
      <c r="Q269" t="s">
        <v>291</v>
      </c>
      <c r="R269"/>
      <c r="S269"/>
      <c r="T269" t="s">
        <v>169</v>
      </c>
      <c r="U269" t="s">
        <v>137</v>
      </c>
      <c r="V269" t="s">
        <v>165</v>
      </c>
      <c r="W269"/>
      <c r="X269" t="s">
        <v>122</v>
      </c>
      <c r="Y269"/>
      <c r="Z269"/>
      <c r="AA269" t="s">
        <v>292</v>
      </c>
      <c r="AB269" t="s">
        <v>1</v>
      </c>
      <c r="AC269" t="s">
        <v>138</v>
      </c>
      <c r="AD269" t="s">
        <v>130</v>
      </c>
      <c r="AE269" s="97"/>
    </row>
    <row r="270" spans="1:31" ht="14.4" customHeight="1" x14ac:dyDescent="0.3">
      <c r="A270" t="s">
        <v>812</v>
      </c>
      <c r="B270" t="s">
        <v>813</v>
      </c>
      <c r="C270"/>
      <c r="D270"/>
      <c r="E270"/>
      <c r="F270"/>
      <c r="G270" t="s">
        <v>290</v>
      </c>
      <c r="H270" t="s">
        <v>132</v>
      </c>
      <c r="I270" t="s">
        <v>1</v>
      </c>
      <c r="J270" t="s">
        <v>133</v>
      </c>
      <c r="K270" t="s">
        <v>51</v>
      </c>
      <c r="L270" t="s">
        <v>814</v>
      </c>
      <c r="M270" t="s">
        <v>134</v>
      </c>
      <c r="N270" t="s">
        <v>135</v>
      </c>
      <c r="O270"/>
      <c r="P270"/>
      <c r="Q270" t="s">
        <v>291</v>
      </c>
      <c r="R270"/>
      <c r="S270"/>
      <c r="T270" t="s">
        <v>169</v>
      </c>
      <c r="U270" t="s">
        <v>137</v>
      </c>
      <c r="V270" t="s">
        <v>147</v>
      </c>
      <c r="W270"/>
      <c r="X270" t="s">
        <v>70</v>
      </c>
      <c r="Y270"/>
      <c r="Z270"/>
      <c r="AA270" t="s">
        <v>292</v>
      </c>
      <c r="AB270" t="s">
        <v>1</v>
      </c>
      <c r="AC270" t="s">
        <v>138</v>
      </c>
      <c r="AD270" t="s">
        <v>128</v>
      </c>
      <c r="AE270" s="97"/>
    </row>
    <row r="271" spans="1:31" ht="14.4" customHeight="1" x14ac:dyDescent="0.3">
      <c r="A271" t="s">
        <v>815</v>
      </c>
      <c r="B271" t="s">
        <v>816</v>
      </c>
      <c r="C271"/>
      <c r="D271"/>
      <c r="E271"/>
      <c r="F271"/>
      <c r="G271" t="s">
        <v>290</v>
      </c>
      <c r="H271" t="s">
        <v>132</v>
      </c>
      <c r="I271" t="s">
        <v>1</v>
      </c>
      <c r="J271" t="s">
        <v>133</v>
      </c>
      <c r="K271" t="s">
        <v>51</v>
      </c>
      <c r="L271" t="s">
        <v>817</v>
      </c>
      <c r="M271" t="s">
        <v>134</v>
      </c>
      <c r="N271" t="s">
        <v>135</v>
      </c>
      <c r="O271"/>
      <c r="P271"/>
      <c r="Q271" t="s">
        <v>291</v>
      </c>
      <c r="R271"/>
      <c r="S271"/>
      <c r="T271" t="s">
        <v>169</v>
      </c>
      <c r="U271" t="s">
        <v>137</v>
      </c>
      <c r="V271" t="s">
        <v>153</v>
      </c>
      <c r="W271"/>
      <c r="X271" t="s">
        <v>88</v>
      </c>
      <c r="Y271"/>
      <c r="Z271"/>
      <c r="AA271" t="s">
        <v>292</v>
      </c>
      <c r="AB271" t="s">
        <v>1</v>
      </c>
      <c r="AC271" t="s">
        <v>138</v>
      </c>
      <c r="AD271" t="s">
        <v>129</v>
      </c>
      <c r="AE271" s="97"/>
    </row>
    <row r="272" spans="1:31" ht="14.4" customHeight="1" x14ac:dyDescent="0.3">
      <c r="A272" t="s">
        <v>818</v>
      </c>
      <c r="B272" t="s">
        <v>819</v>
      </c>
      <c r="C272"/>
      <c r="D272"/>
      <c r="E272"/>
      <c r="F272"/>
      <c r="G272" t="s">
        <v>290</v>
      </c>
      <c r="H272" t="s">
        <v>132</v>
      </c>
      <c r="I272" t="s">
        <v>1</v>
      </c>
      <c r="J272" t="s">
        <v>133</v>
      </c>
      <c r="K272" t="s">
        <v>51</v>
      </c>
      <c r="L272" t="s">
        <v>820</v>
      </c>
      <c r="M272" t="s">
        <v>134</v>
      </c>
      <c r="N272" t="s">
        <v>135</v>
      </c>
      <c r="O272"/>
      <c r="P272"/>
      <c r="Q272" t="s">
        <v>291</v>
      </c>
      <c r="R272"/>
      <c r="S272"/>
      <c r="T272" t="s">
        <v>169</v>
      </c>
      <c r="U272" t="s">
        <v>137</v>
      </c>
      <c r="V272" t="s">
        <v>159</v>
      </c>
      <c r="W272"/>
      <c r="X272" t="s">
        <v>106</v>
      </c>
      <c r="Y272"/>
      <c r="Z272"/>
      <c r="AA272" t="s">
        <v>292</v>
      </c>
      <c r="AB272" t="s">
        <v>1</v>
      </c>
      <c r="AC272" t="s">
        <v>138</v>
      </c>
      <c r="AD272" t="s">
        <v>129</v>
      </c>
      <c r="AE272" s="97"/>
    </row>
    <row r="273" spans="1:31" ht="14.4" customHeight="1" x14ac:dyDescent="0.3">
      <c r="A273" t="s">
        <v>821</v>
      </c>
      <c r="B273" t="s">
        <v>822</v>
      </c>
      <c r="C273"/>
      <c r="D273"/>
      <c r="E273"/>
      <c r="F273"/>
      <c r="G273" t="s">
        <v>290</v>
      </c>
      <c r="H273" t="s">
        <v>132</v>
      </c>
      <c r="I273" t="s">
        <v>1</v>
      </c>
      <c r="J273" t="s">
        <v>133</v>
      </c>
      <c r="K273" t="s">
        <v>51</v>
      </c>
      <c r="L273" t="s">
        <v>823</v>
      </c>
      <c r="M273" t="s">
        <v>134</v>
      </c>
      <c r="N273" t="s">
        <v>135</v>
      </c>
      <c r="O273"/>
      <c r="P273"/>
      <c r="Q273" t="s">
        <v>291</v>
      </c>
      <c r="R273"/>
      <c r="S273"/>
      <c r="T273" t="s">
        <v>169</v>
      </c>
      <c r="U273" t="s">
        <v>137</v>
      </c>
      <c r="V273" t="s">
        <v>165</v>
      </c>
      <c r="W273"/>
      <c r="X273" t="s">
        <v>122</v>
      </c>
      <c r="Y273"/>
      <c r="Z273"/>
      <c r="AA273" t="s">
        <v>292</v>
      </c>
      <c r="AB273" t="s">
        <v>1</v>
      </c>
      <c r="AC273" t="s">
        <v>138</v>
      </c>
      <c r="AD273" t="s">
        <v>130</v>
      </c>
      <c r="AE273" s="97"/>
    </row>
    <row r="274" spans="1:31" ht="14.4" customHeight="1" x14ac:dyDescent="0.3">
      <c r="A274" t="s">
        <v>824</v>
      </c>
      <c r="B274" t="s">
        <v>825</v>
      </c>
      <c r="C274"/>
      <c r="D274"/>
      <c r="E274"/>
      <c r="F274"/>
      <c r="G274" t="s">
        <v>290</v>
      </c>
      <c r="H274" t="s">
        <v>132</v>
      </c>
      <c r="I274" t="s">
        <v>1</v>
      </c>
      <c r="J274" t="s">
        <v>133</v>
      </c>
      <c r="K274" t="s">
        <v>51</v>
      </c>
      <c r="L274" t="s">
        <v>826</v>
      </c>
      <c r="M274" t="s">
        <v>134</v>
      </c>
      <c r="N274" t="s">
        <v>135</v>
      </c>
      <c r="O274"/>
      <c r="P274"/>
      <c r="Q274" t="s">
        <v>291</v>
      </c>
      <c r="R274"/>
      <c r="S274"/>
      <c r="T274" t="s">
        <v>169</v>
      </c>
      <c r="U274" t="s">
        <v>137</v>
      </c>
      <c r="V274" t="s">
        <v>147</v>
      </c>
      <c r="W274"/>
      <c r="X274" t="s">
        <v>70</v>
      </c>
      <c r="Y274"/>
      <c r="Z274"/>
      <c r="AA274" t="s">
        <v>292</v>
      </c>
      <c r="AB274" t="s">
        <v>1</v>
      </c>
      <c r="AC274" t="s">
        <v>138</v>
      </c>
      <c r="AD274" t="s">
        <v>128</v>
      </c>
      <c r="AE274" s="97"/>
    </row>
    <row r="275" spans="1:31" ht="14.4" customHeight="1" x14ac:dyDescent="0.3">
      <c r="A275" t="s">
        <v>827</v>
      </c>
      <c r="B275" t="s">
        <v>828</v>
      </c>
      <c r="C275"/>
      <c r="D275"/>
      <c r="E275"/>
      <c r="F275"/>
      <c r="G275" t="s">
        <v>290</v>
      </c>
      <c r="H275" t="s">
        <v>132</v>
      </c>
      <c r="I275" t="s">
        <v>1</v>
      </c>
      <c r="J275" t="s">
        <v>133</v>
      </c>
      <c r="K275" t="s">
        <v>51</v>
      </c>
      <c r="L275" t="s">
        <v>829</v>
      </c>
      <c r="M275" t="s">
        <v>134</v>
      </c>
      <c r="N275" t="s">
        <v>135</v>
      </c>
      <c r="O275"/>
      <c r="P275"/>
      <c r="Q275" t="s">
        <v>291</v>
      </c>
      <c r="R275"/>
      <c r="S275"/>
      <c r="T275" t="s">
        <v>169</v>
      </c>
      <c r="U275" t="s">
        <v>137</v>
      </c>
      <c r="V275" t="s">
        <v>147</v>
      </c>
      <c r="W275"/>
      <c r="X275" t="s">
        <v>70</v>
      </c>
      <c r="Y275"/>
      <c r="Z275"/>
      <c r="AA275" t="s">
        <v>292</v>
      </c>
      <c r="AB275" t="s">
        <v>1</v>
      </c>
      <c r="AC275" t="s">
        <v>138</v>
      </c>
      <c r="AD275" t="s">
        <v>128</v>
      </c>
      <c r="AE275" s="97"/>
    </row>
    <row r="276" spans="1:31" ht="14.4" customHeight="1" x14ac:dyDescent="0.3">
      <c r="A276" t="s">
        <v>830</v>
      </c>
      <c r="B276" t="s">
        <v>831</v>
      </c>
      <c r="C276"/>
      <c r="D276"/>
      <c r="E276"/>
      <c r="F276"/>
      <c r="G276" t="s">
        <v>290</v>
      </c>
      <c r="H276" t="s">
        <v>132</v>
      </c>
      <c r="I276" t="s">
        <v>1</v>
      </c>
      <c r="J276" t="s">
        <v>133</v>
      </c>
      <c r="K276" t="s">
        <v>51</v>
      </c>
      <c r="L276" t="s">
        <v>832</v>
      </c>
      <c r="M276" t="s">
        <v>134</v>
      </c>
      <c r="N276" t="s">
        <v>135</v>
      </c>
      <c r="O276"/>
      <c r="P276"/>
      <c r="Q276" t="s">
        <v>291</v>
      </c>
      <c r="R276"/>
      <c r="S276"/>
      <c r="T276" t="s">
        <v>169</v>
      </c>
      <c r="U276" t="s">
        <v>137</v>
      </c>
      <c r="V276" t="s">
        <v>147</v>
      </c>
      <c r="W276"/>
      <c r="X276" t="s">
        <v>70</v>
      </c>
      <c r="Y276"/>
      <c r="Z276"/>
      <c r="AA276" t="s">
        <v>292</v>
      </c>
      <c r="AB276" t="s">
        <v>1</v>
      </c>
      <c r="AC276" t="s">
        <v>138</v>
      </c>
      <c r="AD276" t="s">
        <v>128</v>
      </c>
      <c r="AE276" s="97"/>
    </row>
    <row r="277" spans="1:31" ht="14.4" customHeight="1" x14ac:dyDescent="0.3">
      <c r="A277" t="s">
        <v>833</v>
      </c>
      <c r="B277" t="s">
        <v>834</v>
      </c>
      <c r="C277"/>
      <c r="D277"/>
      <c r="E277"/>
      <c r="F277"/>
      <c r="G277" t="s">
        <v>290</v>
      </c>
      <c r="H277" t="s">
        <v>132</v>
      </c>
      <c r="I277" t="s">
        <v>1</v>
      </c>
      <c r="J277" t="s">
        <v>133</v>
      </c>
      <c r="K277" t="s">
        <v>51</v>
      </c>
      <c r="L277" t="s">
        <v>835</v>
      </c>
      <c r="M277" t="s">
        <v>134</v>
      </c>
      <c r="N277" t="s">
        <v>135</v>
      </c>
      <c r="O277"/>
      <c r="P277"/>
      <c r="Q277" t="s">
        <v>291</v>
      </c>
      <c r="R277"/>
      <c r="S277"/>
      <c r="T277" t="s">
        <v>169</v>
      </c>
      <c r="U277" t="s">
        <v>137</v>
      </c>
      <c r="V277" t="s">
        <v>150</v>
      </c>
      <c r="W277"/>
      <c r="X277" t="s">
        <v>76</v>
      </c>
      <c r="Y277"/>
      <c r="Z277"/>
      <c r="AA277" t="s">
        <v>292</v>
      </c>
      <c r="AB277" t="s">
        <v>1</v>
      </c>
      <c r="AC277" t="s">
        <v>138</v>
      </c>
      <c r="AD277" t="s">
        <v>128</v>
      </c>
      <c r="AE277" s="97"/>
    </row>
    <row r="278" spans="1:31" ht="14.4" customHeight="1" x14ac:dyDescent="0.3">
      <c r="A278" t="s">
        <v>836</v>
      </c>
      <c r="B278" t="s">
        <v>837</v>
      </c>
      <c r="C278"/>
      <c r="D278"/>
      <c r="E278"/>
      <c r="F278"/>
      <c r="G278" t="s">
        <v>290</v>
      </c>
      <c r="H278" t="s">
        <v>132</v>
      </c>
      <c r="I278" t="s">
        <v>1</v>
      </c>
      <c r="J278" t="s">
        <v>133</v>
      </c>
      <c r="K278" t="s">
        <v>51</v>
      </c>
      <c r="L278" t="s">
        <v>838</v>
      </c>
      <c r="M278" t="s">
        <v>134</v>
      </c>
      <c r="N278" t="s">
        <v>135</v>
      </c>
      <c r="O278"/>
      <c r="P278"/>
      <c r="Q278" t="s">
        <v>291</v>
      </c>
      <c r="R278"/>
      <c r="S278"/>
      <c r="T278" t="s">
        <v>169</v>
      </c>
      <c r="U278" t="s">
        <v>137</v>
      </c>
      <c r="V278" t="s">
        <v>150</v>
      </c>
      <c r="W278"/>
      <c r="X278" t="s">
        <v>76</v>
      </c>
      <c r="Y278"/>
      <c r="Z278"/>
      <c r="AA278" t="s">
        <v>292</v>
      </c>
      <c r="AB278" t="s">
        <v>1</v>
      </c>
      <c r="AC278" t="s">
        <v>138</v>
      </c>
      <c r="AD278" t="s">
        <v>128</v>
      </c>
      <c r="AE278" s="97"/>
    </row>
    <row r="279" spans="1:31" ht="14.4" customHeight="1" x14ac:dyDescent="0.3">
      <c r="A279" t="s">
        <v>839</v>
      </c>
      <c r="B279" t="s">
        <v>840</v>
      </c>
      <c r="C279"/>
      <c r="D279"/>
      <c r="E279"/>
      <c r="F279"/>
      <c r="G279" t="s">
        <v>290</v>
      </c>
      <c r="H279" t="s">
        <v>132</v>
      </c>
      <c r="I279" t="s">
        <v>1</v>
      </c>
      <c r="J279" t="s">
        <v>133</v>
      </c>
      <c r="K279" t="s">
        <v>51</v>
      </c>
      <c r="L279" t="s">
        <v>841</v>
      </c>
      <c r="M279" t="s">
        <v>134</v>
      </c>
      <c r="N279" t="s">
        <v>135</v>
      </c>
      <c r="O279"/>
      <c r="P279"/>
      <c r="Q279" t="s">
        <v>291</v>
      </c>
      <c r="R279"/>
      <c r="S279"/>
      <c r="T279" t="s">
        <v>169</v>
      </c>
      <c r="U279" t="s">
        <v>137</v>
      </c>
      <c r="V279" t="s">
        <v>150</v>
      </c>
      <c r="W279"/>
      <c r="X279" t="s">
        <v>76</v>
      </c>
      <c r="Y279"/>
      <c r="Z279"/>
      <c r="AA279" t="s">
        <v>292</v>
      </c>
      <c r="AB279" t="s">
        <v>1</v>
      </c>
      <c r="AC279" t="s">
        <v>138</v>
      </c>
      <c r="AD279" t="s">
        <v>128</v>
      </c>
      <c r="AE279" s="97"/>
    </row>
    <row r="280" spans="1:31" ht="14.4" customHeight="1" x14ac:dyDescent="0.3">
      <c r="A280" t="s">
        <v>842</v>
      </c>
      <c r="B280" t="s">
        <v>843</v>
      </c>
      <c r="C280"/>
      <c r="D280"/>
      <c r="E280"/>
      <c r="F280"/>
      <c r="G280" t="s">
        <v>290</v>
      </c>
      <c r="H280" t="s">
        <v>132</v>
      </c>
      <c r="I280" t="s">
        <v>1</v>
      </c>
      <c r="J280" t="s">
        <v>133</v>
      </c>
      <c r="K280" t="s">
        <v>51</v>
      </c>
      <c r="L280" t="s">
        <v>844</v>
      </c>
      <c r="M280" t="s">
        <v>134</v>
      </c>
      <c r="N280" t="s">
        <v>135</v>
      </c>
      <c r="O280"/>
      <c r="P280"/>
      <c r="Q280" t="s">
        <v>291</v>
      </c>
      <c r="R280"/>
      <c r="S280"/>
      <c r="T280" t="s">
        <v>169</v>
      </c>
      <c r="U280" t="s">
        <v>137</v>
      </c>
      <c r="V280" t="s">
        <v>153</v>
      </c>
      <c r="W280"/>
      <c r="X280" t="s">
        <v>88</v>
      </c>
      <c r="Y280"/>
      <c r="Z280"/>
      <c r="AA280" t="s">
        <v>292</v>
      </c>
      <c r="AB280" t="s">
        <v>1</v>
      </c>
      <c r="AC280" t="s">
        <v>138</v>
      </c>
      <c r="AD280" t="s">
        <v>129</v>
      </c>
      <c r="AE280" s="97"/>
    </row>
    <row r="281" spans="1:31" ht="14.4" customHeight="1" x14ac:dyDescent="0.3">
      <c r="A281" t="s">
        <v>845</v>
      </c>
      <c r="B281" t="s">
        <v>846</v>
      </c>
      <c r="C281"/>
      <c r="D281"/>
      <c r="E281"/>
      <c r="F281"/>
      <c r="G281" t="s">
        <v>290</v>
      </c>
      <c r="H281" t="s">
        <v>132</v>
      </c>
      <c r="I281" t="s">
        <v>1</v>
      </c>
      <c r="J281" t="s">
        <v>133</v>
      </c>
      <c r="K281" t="s">
        <v>51</v>
      </c>
      <c r="L281" t="s">
        <v>847</v>
      </c>
      <c r="M281" t="s">
        <v>134</v>
      </c>
      <c r="N281" t="s">
        <v>135</v>
      </c>
      <c r="O281"/>
      <c r="P281"/>
      <c r="Q281" t="s">
        <v>291</v>
      </c>
      <c r="R281"/>
      <c r="S281"/>
      <c r="T281" t="s">
        <v>169</v>
      </c>
      <c r="U281" t="s">
        <v>137</v>
      </c>
      <c r="V281" t="s">
        <v>153</v>
      </c>
      <c r="W281"/>
      <c r="X281" t="s">
        <v>88</v>
      </c>
      <c r="Y281"/>
      <c r="Z281"/>
      <c r="AA281" t="s">
        <v>292</v>
      </c>
      <c r="AB281" t="s">
        <v>1</v>
      </c>
      <c r="AC281" t="s">
        <v>138</v>
      </c>
      <c r="AD281" t="s">
        <v>129</v>
      </c>
      <c r="AE281" s="97"/>
    </row>
    <row r="282" spans="1:31" ht="14.4" customHeight="1" x14ac:dyDescent="0.3">
      <c r="A282" t="s">
        <v>848</v>
      </c>
      <c r="B282" t="s">
        <v>849</v>
      </c>
      <c r="C282"/>
      <c r="D282"/>
      <c r="E282"/>
      <c r="F282"/>
      <c r="G282" t="s">
        <v>290</v>
      </c>
      <c r="H282" t="s">
        <v>132</v>
      </c>
      <c r="I282" t="s">
        <v>1</v>
      </c>
      <c r="J282" t="s">
        <v>133</v>
      </c>
      <c r="K282" t="s">
        <v>51</v>
      </c>
      <c r="L282" t="s">
        <v>850</v>
      </c>
      <c r="M282" t="s">
        <v>134</v>
      </c>
      <c r="N282" t="s">
        <v>135</v>
      </c>
      <c r="O282"/>
      <c r="P282"/>
      <c r="Q282" t="s">
        <v>291</v>
      </c>
      <c r="R282"/>
      <c r="S282"/>
      <c r="T282" t="s">
        <v>169</v>
      </c>
      <c r="U282" t="s">
        <v>137</v>
      </c>
      <c r="V282" t="s">
        <v>153</v>
      </c>
      <c r="W282"/>
      <c r="X282" t="s">
        <v>88</v>
      </c>
      <c r="Y282"/>
      <c r="Z282"/>
      <c r="AA282" t="s">
        <v>292</v>
      </c>
      <c r="AB282" t="s">
        <v>1</v>
      </c>
      <c r="AC282" t="s">
        <v>138</v>
      </c>
      <c r="AD282" t="s">
        <v>129</v>
      </c>
      <c r="AE282" s="97"/>
    </row>
    <row r="283" spans="1:31" ht="14.4" customHeight="1" x14ac:dyDescent="0.3">
      <c r="A283" t="s">
        <v>851</v>
      </c>
      <c r="B283" t="s">
        <v>852</v>
      </c>
      <c r="C283"/>
      <c r="D283"/>
      <c r="E283"/>
      <c r="F283"/>
      <c r="G283" t="s">
        <v>290</v>
      </c>
      <c r="H283" t="s">
        <v>132</v>
      </c>
      <c r="I283" t="s">
        <v>1</v>
      </c>
      <c r="J283" t="s">
        <v>133</v>
      </c>
      <c r="K283" t="s">
        <v>51</v>
      </c>
      <c r="L283" t="s">
        <v>853</v>
      </c>
      <c r="M283" t="s">
        <v>134</v>
      </c>
      <c r="N283" t="s">
        <v>135</v>
      </c>
      <c r="O283"/>
      <c r="P283"/>
      <c r="Q283" t="s">
        <v>291</v>
      </c>
      <c r="R283"/>
      <c r="S283"/>
      <c r="T283" t="s">
        <v>169</v>
      </c>
      <c r="U283" t="s">
        <v>137</v>
      </c>
      <c r="V283" t="s">
        <v>156</v>
      </c>
      <c r="W283"/>
      <c r="X283" t="s">
        <v>97</v>
      </c>
      <c r="Y283"/>
      <c r="Z283"/>
      <c r="AA283" t="s">
        <v>292</v>
      </c>
      <c r="AB283" t="s">
        <v>1</v>
      </c>
      <c r="AC283" t="s">
        <v>138</v>
      </c>
      <c r="AD283" t="s">
        <v>129</v>
      </c>
      <c r="AE283" s="97"/>
    </row>
    <row r="284" spans="1:31" ht="14.4" customHeight="1" x14ac:dyDescent="0.3">
      <c r="A284" t="s">
        <v>854</v>
      </c>
      <c r="B284" t="s">
        <v>855</v>
      </c>
      <c r="C284"/>
      <c r="D284"/>
      <c r="E284"/>
      <c r="F284"/>
      <c r="G284" t="s">
        <v>290</v>
      </c>
      <c r="H284" t="s">
        <v>132</v>
      </c>
      <c r="I284" t="s">
        <v>1</v>
      </c>
      <c r="J284" t="s">
        <v>133</v>
      </c>
      <c r="K284" t="s">
        <v>51</v>
      </c>
      <c r="L284" t="s">
        <v>856</v>
      </c>
      <c r="M284" t="s">
        <v>134</v>
      </c>
      <c r="N284" t="s">
        <v>135</v>
      </c>
      <c r="O284"/>
      <c r="P284"/>
      <c r="Q284" t="s">
        <v>291</v>
      </c>
      <c r="R284"/>
      <c r="S284"/>
      <c r="T284" t="s">
        <v>169</v>
      </c>
      <c r="U284" t="s">
        <v>137</v>
      </c>
      <c r="V284" t="s">
        <v>156</v>
      </c>
      <c r="W284"/>
      <c r="X284" t="s">
        <v>97</v>
      </c>
      <c r="Y284"/>
      <c r="Z284"/>
      <c r="AA284" t="s">
        <v>292</v>
      </c>
      <c r="AB284" t="s">
        <v>1</v>
      </c>
      <c r="AC284" t="s">
        <v>138</v>
      </c>
      <c r="AD284" t="s">
        <v>129</v>
      </c>
      <c r="AE284" s="97"/>
    </row>
    <row r="285" spans="1:31" ht="14.4" customHeight="1" x14ac:dyDescent="0.3">
      <c r="A285" t="s">
        <v>857</v>
      </c>
      <c r="B285" t="s">
        <v>858</v>
      </c>
      <c r="C285"/>
      <c r="D285"/>
      <c r="E285"/>
      <c r="F285"/>
      <c r="G285" t="s">
        <v>290</v>
      </c>
      <c r="H285" t="s">
        <v>132</v>
      </c>
      <c r="I285" t="s">
        <v>1</v>
      </c>
      <c r="J285" t="s">
        <v>133</v>
      </c>
      <c r="K285" t="s">
        <v>51</v>
      </c>
      <c r="L285" t="s">
        <v>859</v>
      </c>
      <c r="M285" t="s">
        <v>134</v>
      </c>
      <c r="N285" t="s">
        <v>135</v>
      </c>
      <c r="O285"/>
      <c r="P285"/>
      <c r="Q285" t="s">
        <v>291</v>
      </c>
      <c r="R285"/>
      <c r="S285"/>
      <c r="T285" t="s">
        <v>169</v>
      </c>
      <c r="U285" t="s">
        <v>137</v>
      </c>
      <c r="V285" t="s">
        <v>156</v>
      </c>
      <c r="W285"/>
      <c r="X285" t="s">
        <v>97</v>
      </c>
      <c r="Y285"/>
      <c r="Z285"/>
      <c r="AA285" t="s">
        <v>292</v>
      </c>
      <c r="AB285" t="s">
        <v>1</v>
      </c>
      <c r="AC285" t="s">
        <v>138</v>
      </c>
      <c r="AD285" t="s">
        <v>129</v>
      </c>
      <c r="AE285" s="97"/>
    </row>
    <row r="286" spans="1:31" ht="14.4" customHeight="1" x14ac:dyDescent="0.3">
      <c r="A286" t="s">
        <v>860</v>
      </c>
      <c r="B286" t="s">
        <v>861</v>
      </c>
      <c r="C286"/>
      <c r="D286"/>
      <c r="E286"/>
      <c r="F286"/>
      <c r="G286" t="s">
        <v>290</v>
      </c>
      <c r="H286" t="s">
        <v>132</v>
      </c>
      <c r="I286" t="s">
        <v>1</v>
      </c>
      <c r="J286" t="s">
        <v>133</v>
      </c>
      <c r="K286" t="s">
        <v>51</v>
      </c>
      <c r="L286" t="s">
        <v>862</v>
      </c>
      <c r="M286" t="s">
        <v>134</v>
      </c>
      <c r="N286" t="s">
        <v>135</v>
      </c>
      <c r="O286"/>
      <c r="P286"/>
      <c r="Q286" t="s">
        <v>291</v>
      </c>
      <c r="R286"/>
      <c r="S286"/>
      <c r="T286" t="s">
        <v>169</v>
      </c>
      <c r="U286" t="s">
        <v>137</v>
      </c>
      <c r="V286" t="s">
        <v>159</v>
      </c>
      <c r="W286"/>
      <c r="X286" t="s">
        <v>106</v>
      </c>
      <c r="Y286"/>
      <c r="Z286"/>
      <c r="AA286" t="s">
        <v>292</v>
      </c>
      <c r="AB286" t="s">
        <v>1</v>
      </c>
      <c r="AC286" t="s">
        <v>138</v>
      </c>
      <c r="AD286" t="s">
        <v>129</v>
      </c>
      <c r="AE286" s="97"/>
    </row>
    <row r="287" spans="1:31" ht="14.4" customHeight="1" x14ac:dyDescent="0.3">
      <c r="A287" t="s">
        <v>863</v>
      </c>
      <c r="B287" t="s">
        <v>864</v>
      </c>
      <c r="C287"/>
      <c r="D287"/>
      <c r="E287"/>
      <c r="F287"/>
      <c r="G287" t="s">
        <v>290</v>
      </c>
      <c r="H287" t="s">
        <v>132</v>
      </c>
      <c r="I287" t="s">
        <v>1</v>
      </c>
      <c r="J287" t="s">
        <v>133</v>
      </c>
      <c r="K287" t="s">
        <v>51</v>
      </c>
      <c r="L287" t="s">
        <v>865</v>
      </c>
      <c r="M287" t="s">
        <v>134</v>
      </c>
      <c r="N287" t="s">
        <v>135</v>
      </c>
      <c r="O287"/>
      <c r="P287"/>
      <c r="Q287" t="s">
        <v>291</v>
      </c>
      <c r="R287"/>
      <c r="S287"/>
      <c r="T287" t="s">
        <v>169</v>
      </c>
      <c r="U287" t="s">
        <v>137</v>
      </c>
      <c r="V287" t="s">
        <v>159</v>
      </c>
      <c r="W287"/>
      <c r="X287" t="s">
        <v>106</v>
      </c>
      <c r="Y287"/>
      <c r="Z287"/>
      <c r="AA287" t="s">
        <v>292</v>
      </c>
      <c r="AB287" t="s">
        <v>1</v>
      </c>
      <c r="AC287" t="s">
        <v>138</v>
      </c>
      <c r="AD287" t="s">
        <v>129</v>
      </c>
      <c r="AE287" s="97"/>
    </row>
    <row r="288" spans="1:31" ht="14.4" customHeight="1" x14ac:dyDescent="0.3">
      <c r="A288" t="s">
        <v>866</v>
      </c>
      <c r="B288" t="s">
        <v>867</v>
      </c>
      <c r="C288"/>
      <c r="D288"/>
      <c r="E288"/>
      <c r="F288"/>
      <c r="G288" t="s">
        <v>290</v>
      </c>
      <c r="H288" t="s">
        <v>132</v>
      </c>
      <c r="I288" t="s">
        <v>1</v>
      </c>
      <c r="J288" t="s">
        <v>133</v>
      </c>
      <c r="K288" t="s">
        <v>51</v>
      </c>
      <c r="L288" t="s">
        <v>868</v>
      </c>
      <c r="M288" t="s">
        <v>134</v>
      </c>
      <c r="N288" t="s">
        <v>135</v>
      </c>
      <c r="O288"/>
      <c r="P288"/>
      <c r="Q288" t="s">
        <v>291</v>
      </c>
      <c r="R288"/>
      <c r="S288"/>
      <c r="T288" t="s">
        <v>169</v>
      </c>
      <c r="U288" t="s">
        <v>137</v>
      </c>
      <c r="V288" t="s">
        <v>159</v>
      </c>
      <c r="W288"/>
      <c r="X288" t="s">
        <v>106</v>
      </c>
      <c r="Y288"/>
      <c r="Z288"/>
      <c r="AA288" t="s">
        <v>292</v>
      </c>
      <c r="AB288" t="s">
        <v>1</v>
      </c>
      <c r="AC288" t="s">
        <v>138</v>
      </c>
      <c r="AD288" t="s">
        <v>129</v>
      </c>
      <c r="AE288" s="97"/>
    </row>
    <row r="289" spans="1:31" ht="14.4" customHeight="1" x14ac:dyDescent="0.3">
      <c r="A289" t="s">
        <v>869</v>
      </c>
      <c r="B289" t="s">
        <v>870</v>
      </c>
      <c r="C289"/>
      <c r="D289"/>
      <c r="E289"/>
      <c r="F289"/>
      <c r="G289" t="s">
        <v>290</v>
      </c>
      <c r="H289" t="s">
        <v>132</v>
      </c>
      <c r="I289" t="s">
        <v>1</v>
      </c>
      <c r="J289" t="s">
        <v>133</v>
      </c>
      <c r="K289" t="s">
        <v>51</v>
      </c>
      <c r="L289" t="s">
        <v>871</v>
      </c>
      <c r="M289" t="s">
        <v>134</v>
      </c>
      <c r="N289" t="s">
        <v>135</v>
      </c>
      <c r="O289"/>
      <c r="P289"/>
      <c r="Q289" t="s">
        <v>291</v>
      </c>
      <c r="R289"/>
      <c r="S289"/>
      <c r="T289" t="s">
        <v>169</v>
      </c>
      <c r="U289" t="s">
        <v>137</v>
      </c>
      <c r="V289" t="s">
        <v>162</v>
      </c>
      <c r="W289"/>
      <c r="X289" t="s">
        <v>113</v>
      </c>
      <c r="Y289"/>
      <c r="Z289"/>
      <c r="AA289" t="s">
        <v>292</v>
      </c>
      <c r="AB289" t="s">
        <v>1</v>
      </c>
      <c r="AC289" t="s">
        <v>138</v>
      </c>
      <c r="AD289" t="s">
        <v>129</v>
      </c>
      <c r="AE289" s="97"/>
    </row>
    <row r="290" spans="1:31" ht="14.4" customHeight="1" x14ac:dyDescent="0.3">
      <c r="A290" t="s">
        <v>872</v>
      </c>
      <c r="B290" t="s">
        <v>873</v>
      </c>
      <c r="C290"/>
      <c r="D290"/>
      <c r="E290"/>
      <c r="F290"/>
      <c r="G290" t="s">
        <v>290</v>
      </c>
      <c r="H290" t="s">
        <v>132</v>
      </c>
      <c r="I290" t="s">
        <v>1</v>
      </c>
      <c r="J290" t="s">
        <v>133</v>
      </c>
      <c r="K290" t="s">
        <v>51</v>
      </c>
      <c r="L290" t="s">
        <v>874</v>
      </c>
      <c r="M290" t="s">
        <v>134</v>
      </c>
      <c r="N290" t="s">
        <v>135</v>
      </c>
      <c r="O290"/>
      <c r="P290"/>
      <c r="Q290" t="s">
        <v>291</v>
      </c>
      <c r="R290"/>
      <c r="S290"/>
      <c r="T290" t="s">
        <v>169</v>
      </c>
      <c r="U290" t="s">
        <v>137</v>
      </c>
      <c r="V290" t="s">
        <v>162</v>
      </c>
      <c r="W290"/>
      <c r="X290" t="s">
        <v>113</v>
      </c>
      <c r="Y290"/>
      <c r="Z290"/>
      <c r="AA290" t="s">
        <v>292</v>
      </c>
      <c r="AB290" t="s">
        <v>1</v>
      </c>
      <c r="AC290" t="s">
        <v>138</v>
      </c>
      <c r="AD290" t="s">
        <v>129</v>
      </c>
      <c r="AE290" s="97"/>
    </row>
    <row r="291" spans="1:31" ht="14.4" customHeight="1" x14ac:dyDescent="0.3">
      <c r="A291" t="s">
        <v>875</v>
      </c>
      <c r="B291" t="s">
        <v>876</v>
      </c>
      <c r="C291"/>
      <c r="D291"/>
      <c r="E291"/>
      <c r="F291"/>
      <c r="G291" t="s">
        <v>290</v>
      </c>
      <c r="H291" t="s">
        <v>132</v>
      </c>
      <c r="I291" t="s">
        <v>1</v>
      </c>
      <c r="J291" t="s">
        <v>133</v>
      </c>
      <c r="K291" t="s">
        <v>51</v>
      </c>
      <c r="L291" t="s">
        <v>877</v>
      </c>
      <c r="M291" t="s">
        <v>134</v>
      </c>
      <c r="N291" t="s">
        <v>135</v>
      </c>
      <c r="O291"/>
      <c r="P291"/>
      <c r="Q291" t="s">
        <v>291</v>
      </c>
      <c r="R291"/>
      <c r="S291"/>
      <c r="T291" t="s">
        <v>169</v>
      </c>
      <c r="U291" t="s">
        <v>137</v>
      </c>
      <c r="V291" t="s">
        <v>162</v>
      </c>
      <c r="W291"/>
      <c r="X291" t="s">
        <v>113</v>
      </c>
      <c r="Y291"/>
      <c r="Z291"/>
      <c r="AA291" t="s">
        <v>292</v>
      </c>
      <c r="AB291" t="s">
        <v>1</v>
      </c>
      <c r="AC291" t="s">
        <v>138</v>
      </c>
      <c r="AD291" t="s">
        <v>129</v>
      </c>
      <c r="AE291" s="97"/>
    </row>
    <row r="292" spans="1:31" ht="14.4" customHeight="1" x14ac:dyDescent="0.3">
      <c r="A292" t="s">
        <v>878</v>
      </c>
      <c r="B292" t="s">
        <v>879</v>
      </c>
      <c r="C292"/>
      <c r="D292"/>
      <c r="E292"/>
      <c r="F292"/>
      <c r="G292" t="s">
        <v>290</v>
      </c>
      <c r="H292" t="s">
        <v>132</v>
      </c>
      <c r="I292" t="s">
        <v>1</v>
      </c>
      <c r="J292" t="s">
        <v>133</v>
      </c>
      <c r="K292" t="s">
        <v>51</v>
      </c>
      <c r="L292" t="s">
        <v>880</v>
      </c>
      <c r="M292" t="s">
        <v>134</v>
      </c>
      <c r="N292" t="s">
        <v>135</v>
      </c>
      <c r="O292"/>
      <c r="P292"/>
      <c r="Q292" t="s">
        <v>291</v>
      </c>
      <c r="R292"/>
      <c r="S292"/>
      <c r="T292" t="s">
        <v>169</v>
      </c>
      <c r="U292" t="s">
        <v>137</v>
      </c>
      <c r="V292" t="s">
        <v>165</v>
      </c>
      <c r="W292"/>
      <c r="X292" t="s">
        <v>122</v>
      </c>
      <c r="Y292"/>
      <c r="Z292"/>
      <c r="AA292" t="s">
        <v>292</v>
      </c>
      <c r="AB292" t="s">
        <v>1</v>
      </c>
      <c r="AC292" t="s">
        <v>138</v>
      </c>
      <c r="AD292" t="s">
        <v>130</v>
      </c>
      <c r="AE292" s="97"/>
    </row>
    <row r="293" spans="1:31" ht="14.4" customHeight="1" x14ac:dyDescent="0.3">
      <c r="A293" t="s">
        <v>881</v>
      </c>
      <c r="B293" t="s">
        <v>882</v>
      </c>
      <c r="C293"/>
      <c r="D293"/>
      <c r="E293"/>
      <c r="F293"/>
      <c r="G293" t="s">
        <v>290</v>
      </c>
      <c r="H293" t="s">
        <v>132</v>
      </c>
      <c r="I293" t="s">
        <v>1</v>
      </c>
      <c r="J293" t="s">
        <v>133</v>
      </c>
      <c r="K293" t="s">
        <v>51</v>
      </c>
      <c r="L293" t="s">
        <v>883</v>
      </c>
      <c r="M293" t="s">
        <v>134</v>
      </c>
      <c r="N293" t="s">
        <v>135</v>
      </c>
      <c r="O293"/>
      <c r="P293"/>
      <c r="Q293" t="s">
        <v>291</v>
      </c>
      <c r="R293"/>
      <c r="S293"/>
      <c r="T293" t="s">
        <v>169</v>
      </c>
      <c r="U293" t="s">
        <v>137</v>
      </c>
      <c r="V293" t="s">
        <v>165</v>
      </c>
      <c r="W293"/>
      <c r="X293" t="s">
        <v>122</v>
      </c>
      <c r="Y293"/>
      <c r="Z293"/>
      <c r="AA293" t="s">
        <v>292</v>
      </c>
      <c r="AB293" t="s">
        <v>1</v>
      </c>
      <c r="AC293" t="s">
        <v>138</v>
      </c>
      <c r="AD293" t="s">
        <v>130</v>
      </c>
      <c r="AE293" s="97"/>
    </row>
    <row r="294" spans="1:31" ht="14.4" customHeight="1" x14ac:dyDescent="0.3">
      <c r="A294" t="s">
        <v>884</v>
      </c>
      <c r="B294" t="s">
        <v>885</v>
      </c>
      <c r="C294"/>
      <c r="D294"/>
      <c r="E294"/>
      <c r="F294"/>
      <c r="G294" t="s">
        <v>290</v>
      </c>
      <c r="H294" t="s">
        <v>132</v>
      </c>
      <c r="I294" t="s">
        <v>1</v>
      </c>
      <c r="J294" t="s">
        <v>133</v>
      </c>
      <c r="K294" t="s">
        <v>51</v>
      </c>
      <c r="L294" t="s">
        <v>886</v>
      </c>
      <c r="M294" t="s">
        <v>134</v>
      </c>
      <c r="N294" t="s">
        <v>135</v>
      </c>
      <c r="O294"/>
      <c r="P294"/>
      <c r="Q294" t="s">
        <v>291</v>
      </c>
      <c r="R294"/>
      <c r="S294"/>
      <c r="T294" t="s">
        <v>169</v>
      </c>
      <c r="U294" t="s">
        <v>137</v>
      </c>
      <c r="V294" t="s">
        <v>165</v>
      </c>
      <c r="W294"/>
      <c r="X294" t="s">
        <v>122</v>
      </c>
      <c r="Y294"/>
      <c r="Z294"/>
      <c r="AA294" t="s">
        <v>292</v>
      </c>
      <c r="AB294" t="s">
        <v>1</v>
      </c>
      <c r="AC294" t="s">
        <v>138</v>
      </c>
      <c r="AD294" t="s">
        <v>130</v>
      </c>
      <c r="AE294" s="97"/>
    </row>
    <row r="295" spans="1:31" ht="14.4" customHeight="1" x14ac:dyDescent="0.3">
      <c r="A295" t="s">
        <v>887</v>
      </c>
      <c r="B295" t="s">
        <v>888</v>
      </c>
      <c r="C295"/>
      <c r="D295"/>
      <c r="E295"/>
      <c r="F295"/>
      <c r="G295" t="s">
        <v>290</v>
      </c>
      <c r="H295" t="s">
        <v>132</v>
      </c>
      <c r="I295" t="s">
        <v>1</v>
      </c>
      <c r="J295" t="s">
        <v>133</v>
      </c>
      <c r="K295" t="s">
        <v>51</v>
      </c>
      <c r="L295" t="s">
        <v>889</v>
      </c>
      <c r="M295" t="s">
        <v>134</v>
      </c>
      <c r="N295" t="s">
        <v>135</v>
      </c>
      <c r="O295"/>
      <c r="P295"/>
      <c r="Q295" t="s">
        <v>291</v>
      </c>
      <c r="R295"/>
      <c r="S295"/>
      <c r="T295" t="s">
        <v>169</v>
      </c>
      <c r="U295" t="s">
        <v>137</v>
      </c>
      <c r="V295" t="s">
        <v>890</v>
      </c>
      <c r="W295"/>
      <c r="X295" t="s">
        <v>59</v>
      </c>
      <c r="Y295"/>
      <c r="Z295"/>
      <c r="AA295" t="s">
        <v>292</v>
      </c>
      <c r="AB295" t="s">
        <v>1</v>
      </c>
      <c r="AC295" t="s">
        <v>138</v>
      </c>
      <c r="AD295" t="s">
        <v>128</v>
      </c>
      <c r="AE295" s="97"/>
    </row>
    <row r="296" spans="1:31" ht="14.4" customHeight="1" x14ac:dyDescent="0.3">
      <c r="A296" t="s">
        <v>891</v>
      </c>
      <c r="B296" t="s">
        <v>892</v>
      </c>
      <c r="C296"/>
      <c r="D296"/>
      <c r="E296"/>
      <c r="F296"/>
      <c r="G296" t="s">
        <v>290</v>
      </c>
      <c r="H296" t="s">
        <v>132</v>
      </c>
      <c r="I296" t="s">
        <v>1</v>
      </c>
      <c r="J296" t="s">
        <v>133</v>
      </c>
      <c r="K296" t="s">
        <v>51</v>
      </c>
      <c r="L296" t="s">
        <v>893</v>
      </c>
      <c r="M296" t="s">
        <v>134</v>
      </c>
      <c r="N296" t="s">
        <v>135</v>
      </c>
      <c r="O296"/>
      <c r="P296"/>
      <c r="Q296" t="s">
        <v>291</v>
      </c>
      <c r="R296"/>
      <c r="S296"/>
      <c r="T296" t="s">
        <v>169</v>
      </c>
      <c r="U296" t="s">
        <v>137</v>
      </c>
      <c r="V296" t="s">
        <v>890</v>
      </c>
      <c r="W296"/>
      <c r="X296" t="s">
        <v>59</v>
      </c>
      <c r="Y296"/>
      <c r="Z296"/>
      <c r="AA296" t="s">
        <v>292</v>
      </c>
      <c r="AB296" t="s">
        <v>1</v>
      </c>
      <c r="AC296" t="s">
        <v>138</v>
      </c>
      <c r="AD296" t="s">
        <v>128</v>
      </c>
      <c r="AE296" s="97"/>
    </row>
    <row r="297" spans="1:31" ht="14.4" customHeight="1" x14ac:dyDescent="0.3">
      <c r="A297" t="s">
        <v>894</v>
      </c>
      <c r="B297" t="s">
        <v>895</v>
      </c>
      <c r="C297"/>
      <c r="D297"/>
      <c r="E297"/>
      <c r="F297"/>
      <c r="G297" t="s">
        <v>290</v>
      </c>
      <c r="H297" t="s">
        <v>132</v>
      </c>
      <c r="I297" t="s">
        <v>1</v>
      </c>
      <c r="J297" t="s">
        <v>133</v>
      </c>
      <c r="K297" t="s">
        <v>51</v>
      </c>
      <c r="L297" t="s">
        <v>896</v>
      </c>
      <c r="M297" t="s">
        <v>134</v>
      </c>
      <c r="N297" t="s">
        <v>135</v>
      </c>
      <c r="O297"/>
      <c r="P297"/>
      <c r="Q297" t="s">
        <v>291</v>
      </c>
      <c r="R297"/>
      <c r="S297"/>
      <c r="T297" t="s">
        <v>169</v>
      </c>
      <c r="U297" t="s">
        <v>137</v>
      </c>
      <c r="V297" t="s">
        <v>897</v>
      </c>
      <c r="W297"/>
      <c r="X297" t="s">
        <v>64</v>
      </c>
      <c r="Y297"/>
      <c r="Z297"/>
      <c r="AA297" t="s">
        <v>292</v>
      </c>
      <c r="AB297" t="s">
        <v>1</v>
      </c>
      <c r="AC297" t="s">
        <v>138</v>
      </c>
      <c r="AD297" t="s">
        <v>128</v>
      </c>
      <c r="AE297" s="97"/>
    </row>
    <row r="298" spans="1:31" ht="14.4" customHeight="1" x14ac:dyDescent="0.3">
      <c r="A298" t="s">
        <v>898</v>
      </c>
      <c r="B298" t="s">
        <v>899</v>
      </c>
      <c r="C298"/>
      <c r="D298"/>
      <c r="E298"/>
      <c r="F298"/>
      <c r="G298" t="s">
        <v>290</v>
      </c>
      <c r="H298" t="s">
        <v>132</v>
      </c>
      <c r="I298" t="s">
        <v>1</v>
      </c>
      <c r="J298" t="s">
        <v>133</v>
      </c>
      <c r="K298" t="s">
        <v>51</v>
      </c>
      <c r="L298" t="s">
        <v>900</v>
      </c>
      <c r="M298" t="s">
        <v>134</v>
      </c>
      <c r="N298" t="s">
        <v>135</v>
      </c>
      <c r="O298"/>
      <c r="P298"/>
      <c r="Q298" t="s">
        <v>291</v>
      </c>
      <c r="R298"/>
      <c r="S298"/>
      <c r="T298" t="s">
        <v>169</v>
      </c>
      <c r="U298" t="s">
        <v>137</v>
      </c>
      <c r="V298" t="s">
        <v>897</v>
      </c>
      <c r="W298"/>
      <c r="X298" t="s">
        <v>64</v>
      </c>
      <c r="Y298"/>
      <c r="Z298"/>
      <c r="AA298" t="s">
        <v>292</v>
      </c>
      <c r="AB298" t="s">
        <v>1</v>
      </c>
      <c r="AC298" t="s">
        <v>138</v>
      </c>
      <c r="AD298" t="s">
        <v>128</v>
      </c>
      <c r="AE298" s="97"/>
    </row>
    <row r="299" spans="1:31" ht="14.4" customHeight="1" x14ac:dyDescent="0.3">
      <c r="A299" t="s">
        <v>901</v>
      </c>
      <c r="B299" t="s">
        <v>902</v>
      </c>
      <c r="C299"/>
      <c r="D299"/>
      <c r="E299"/>
      <c r="F299"/>
      <c r="G299" t="s">
        <v>290</v>
      </c>
      <c r="H299" t="s">
        <v>132</v>
      </c>
      <c r="I299" t="s">
        <v>1</v>
      </c>
      <c r="J299" t="s">
        <v>133</v>
      </c>
      <c r="K299" t="s">
        <v>51</v>
      </c>
      <c r="L299" t="s">
        <v>903</v>
      </c>
      <c r="M299" t="s">
        <v>134</v>
      </c>
      <c r="N299" t="s">
        <v>135</v>
      </c>
      <c r="O299"/>
      <c r="P299"/>
      <c r="Q299" t="s">
        <v>291</v>
      </c>
      <c r="R299"/>
      <c r="S299"/>
      <c r="T299" t="s">
        <v>169</v>
      </c>
      <c r="U299" t="s">
        <v>137</v>
      </c>
      <c r="V299" t="s">
        <v>904</v>
      </c>
      <c r="W299"/>
      <c r="X299" t="s">
        <v>79</v>
      </c>
      <c r="Y299"/>
      <c r="Z299"/>
      <c r="AA299" t="s">
        <v>292</v>
      </c>
      <c r="AB299" t="s">
        <v>1</v>
      </c>
      <c r="AC299" t="s">
        <v>138</v>
      </c>
      <c r="AD299" t="s">
        <v>129</v>
      </c>
      <c r="AE299" s="97"/>
    </row>
    <row r="300" spans="1:31" ht="14.4" customHeight="1" x14ac:dyDescent="0.3">
      <c r="A300" t="s">
        <v>905</v>
      </c>
      <c r="B300" t="s">
        <v>906</v>
      </c>
      <c r="C300"/>
      <c r="D300"/>
      <c r="E300"/>
      <c r="F300"/>
      <c r="G300" t="s">
        <v>290</v>
      </c>
      <c r="H300" t="s">
        <v>132</v>
      </c>
      <c r="I300" t="s">
        <v>1</v>
      </c>
      <c r="J300" t="s">
        <v>133</v>
      </c>
      <c r="K300" t="s">
        <v>51</v>
      </c>
      <c r="L300" t="s">
        <v>907</v>
      </c>
      <c r="M300" t="s">
        <v>134</v>
      </c>
      <c r="N300" t="s">
        <v>135</v>
      </c>
      <c r="O300"/>
      <c r="P300"/>
      <c r="Q300" t="s">
        <v>291</v>
      </c>
      <c r="R300"/>
      <c r="S300"/>
      <c r="T300" t="s">
        <v>169</v>
      </c>
      <c r="U300" t="s">
        <v>137</v>
      </c>
      <c r="V300" t="s">
        <v>904</v>
      </c>
      <c r="W300"/>
      <c r="X300" t="s">
        <v>79</v>
      </c>
      <c r="Y300"/>
      <c r="Z300"/>
      <c r="AA300" t="s">
        <v>292</v>
      </c>
      <c r="AB300" t="s">
        <v>1</v>
      </c>
      <c r="AC300" t="s">
        <v>138</v>
      </c>
      <c r="AD300" t="s">
        <v>129</v>
      </c>
      <c r="AE300" s="97"/>
    </row>
    <row r="301" spans="1:31" ht="14.4" customHeight="1" x14ac:dyDescent="0.3">
      <c r="A301" t="s">
        <v>908</v>
      </c>
      <c r="B301" t="s">
        <v>909</v>
      </c>
      <c r="C301"/>
      <c r="D301"/>
      <c r="E301"/>
      <c r="F301"/>
      <c r="G301" t="s">
        <v>290</v>
      </c>
      <c r="H301" t="s">
        <v>132</v>
      </c>
      <c r="I301" t="s">
        <v>1</v>
      </c>
      <c r="J301" t="s">
        <v>133</v>
      </c>
      <c r="K301" t="s">
        <v>51</v>
      </c>
      <c r="L301" t="s">
        <v>910</v>
      </c>
      <c r="M301" t="s">
        <v>134</v>
      </c>
      <c r="N301" t="s">
        <v>135</v>
      </c>
      <c r="O301"/>
      <c r="P301"/>
      <c r="Q301" t="s">
        <v>291</v>
      </c>
      <c r="R301"/>
      <c r="S301"/>
      <c r="T301" t="s">
        <v>169</v>
      </c>
      <c r="U301" t="s">
        <v>137</v>
      </c>
      <c r="V301" t="s">
        <v>911</v>
      </c>
      <c r="W301"/>
      <c r="X301" t="s">
        <v>83</v>
      </c>
      <c r="Y301"/>
      <c r="Z301"/>
      <c r="AA301" t="s">
        <v>292</v>
      </c>
      <c r="AB301" t="s">
        <v>1</v>
      </c>
      <c r="AC301" t="s">
        <v>138</v>
      </c>
      <c r="AD301" t="s">
        <v>129</v>
      </c>
      <c r="AE301" s="97"/>
    </row>
    <row r="302" spans="1:31" ht="14.4" customHeight="1" x14ac:dyDescent="0.3">
      <c r="A302" t="s">
        <v>912</v>
      </c>
      <c r="B302" t="s">
        <v>913</v>
      </c>
      <c r="C302"/>
      <c r="D302"/>
      <c r="E302"/>
      <c r="F302"/>
      <c r="G302" t="s">
        <v>290</v>
      </c>
      <c r="H302" t="s">
        <v>132</v>
      </c>
      <c r="I302" t="s">
        <v>1</v>
      </c>
      <c r="J302" t="s">
        <v>133</v>
      </c>
      <c r="K302" t="s">
        <v>51</v>
      </c>
      <c r="L302" t="s">
        <v>914</v>
      </c>
      <c r="M302" t="s">
        <v>134</v>
      </c>
      <c r="N302" t="s">
        <v>135</v>
      </c>
      <c r="O302"/>
      <c r="P302"/>
      <c r="Q302" t="s">
        <v>291</v>
      </c>
      <c r="R302"/>
      <c r="S302"/>
      <c r="T302" t="s">
        <v>169</v>
      </c>
      <c r="U302" t="s">
        <v>137</v>
      </c>
      <c r="V302" t="s">
        <v>911</v>
      </c>
      <c r="W302"/>
      <c r="X302" t="s">
        <v>83</v>
      </c>
      <c r="Y302"/>
      <c r="Z302"/>
      <c r="AA302" t="s">
        <v>292</v>
      </c>
      <c r="AB302" t="s">
        <v>1</v>
      </c>
      <c r="AC302" t="s">
        <v>138</v>
      </c>
      <c r="AD302" t="s">
        <v>129</v>
      </c>
      <c r="AE302" s="97"/>
    </row>
    <row r="303" spans="1:31" ht="14.4" customHeight="1" x14ac:dyDescent="0.3">
      <c r="A303" t="s">
        <v>915</v>
      </c>
      <c r="B303" t="s">
        <v>916</v>
      </c>
      <c r="C303"/>
      <c r="D303"/>
      <c r="E303"/>
      <c r="F303"/>
      <c r="G303" t="s">
        <v>290</v>
      </c>
      <c r="H303" t="s">
        <v>132</v>
      </c>
      <c r="I303" t="s">
        <v>1</v>
      </c>
      <c r="J303" t="s">
        <v>133</v>
      </c>
      <c r="K303" t="s">
        <v>51</v>
      </c>
      <c r="L303" t="s">
        <v>917</v>
      </c>
      <c r="M303" t="s">
        <v>134</v>
      </c>
      <c r="N303" t="s">
        <v>135</v>
      </c>
      <c r="O303"/>
      <c r="P303"/>
      <c r="Q303" t="s">
        <v>291</v>
      </c>
      <c r="R303"/>
      <c r="S303"/>
      <c r="T303" t="s">
        <v>169</v>
      </c>
      <c r="U303" t="s">
        <v>137</v>
      </c>
      <c r="V303" t="s">
        <v>918</v>
      </c>
      <c r="W303"/>
      <c r="X303" t="s">
        <v>92</v>
      </c>
      <c r="Y303"/>
      <c r="Z303"/>
      <c r="AA303" t="s">
        <v>292</v>
      </c>
      <c r="AB303" t="s">
        <v>1</v>
      </c>
      <c r="AC303" t="s">
        <v>138</v>
      </c>
      <c r="AD303" t="s">
        <v>129</v>
      </c>
      <c r="AE303" s="97"/>
    </row>
    <row r="304" spans="1:31" ht="14.4" customHeight="1" x14ac:dyDescent="0.3">
      <c r="A304" t="s">
        <v>919</v>
      </c>
      <c r="B304" t="s">
        <v>920</v>
      </c>
      <c r="C304"/>
      <c r="D304"/>
      <c r="E304"/>
      <c r="F304"/>
      <c r="G304" t="s">
        <v>290</v>
      </c>
      <c r="H304" t="s">
        <v>132</v>
      </c>
      <c r="I304" t="s">
        <v>1</v>
      </c>
      <c r="J304" t="s">
        <v>133</v>
      </c>
      <c r="K304" t="s">
        <v>51</v>
      </c>
      <c r="L304" t="s">
        <v>921</v>
      </c>
      <c r="M304" t="s">
        <v>134</v>
      </c>
      <c r="N304" t="s">
        <v>135</v>
      </c>
      <c r="O304"/>
      <c r="P304"/>
      <c r="Q304" t="s">
        <v>291</v>
      </c>
      <c r="R304"/>
      <c r="S304"/>
      <c r="T304" t="s">
        <v>169</v>
      </c>
      <c r="U304" t="s">
        <v>137</v>
      </c>
      <c r="V304" t="s">
        <v>918</v>
      </c>
      <c r="W304"/>
      <c r="X304" t="s">
        <v>92</v>
      </c>
      <c r="Y304"/>
      <c r="Z304"/>
      <c r="AA304" t="s">
        <v>292</v>
      </c>
      <c r="AB304" t="s">
        <v>1</v>
      </c>
      <c r="AC304" t="s">
        <v>138</v>
      </c>
      <c r="AD304" t="s">
        <v>129</v>
      </c>
      <c r="AE304" s="97"/>
    </row>
    <row r="305" spans="1:31" ht="14.4" customHeight="1" x14ac:dyDescent="0.3">
      <c r="A305" t="s">
        <v>922</v>
      </c>
      <c r="B305" t="s">
        <v>923</v>
      </c>
      <c r="C305"/>
      <c r="D305"/>
      <c r="E305"/>
      <c r="F305"/>
      <c r="G305" t="s">
        <v>290</v>
      </c>
      <c r="H305" t="s">
        <v>132</v>
      </c>
      <c r="I305" t="s">
        <v>1</v>
      </c>
      <c r="J305" t="s">
        <v>133</v>
      </c>
      <c r="K305" t="s">
        <v>51</v>
      </c>
      <c r="L305" t="s">
        <v>924</v>
      </c>
      <c r="M305" t="s">
        <v>134</v>
      </c>
      <c r="N305" t="s">
        <v>135</v>
      </c>
      <c r="O305"/>
      <c r="P305"/>
      <c r="Q305" t="s">
        <v>291</v>
      </c>
      <c r="R305"/>
      <c r="S305"/>
      <c r="T305" t="s">
        <v>169</v>
      </c>
      <c r="U305" t="s">
        <v>137</v>
      </c>
      <c r="V305" t="s">
        <v>925</v>
      </c>
      <c r="W305"/>
      <c r="X305" t="s">
        <v>101</v>
      </c>
      <c r="Y305"/>
      <c r="Z305"/>
      <c r="AA305" t="s">
        <v>292</v>
      </c>
      <c r="AB305" t="s">
        <v>1</v>
      </c>
      <c r="AC305" t="s">
        <v>138</v>
      </c>
      <c r="AD305" t="s">
        <v>129</v>
      </c>
      <c r="AE305" s="97"/>
    </row>
    <row r="306" spans="1:31" ht="14.4" customHeight="1" x14ac:dyDescent="0.3">
      <c r="A306" t="s">
        <v>926</v>
      </c>
      <c r="B306" t="s">
        <v>927</v>
      </c>
      <c r="C306"/>
      <c r="D306"/>
      <c r="E306"/>
      <c r="F306"/>
      <c r="G306" t="s">
        <v>290</v>
      </c>
      <c r="H306" t="s">
        <v>132</v>
      </c>
      <c r="I306" t="s">
        <v>1</v>
      </c>
      <c r="J306" t="s">
        <v>133</v>
      </c>
      <c r="K306" t="s">
        <v>51</v>
      </c>
      <c r="L306" t="s">
        <v>928</v>
      </c>
      <c r="M306" t="s">
        <v>134</v>
      </c>
      <c r="N306" t="s">
        <v>135</v>
      </c>
      <c r="O306"/>
      <c r="P306"/>
      <c r="Q306" t="s">
        <v>291</v>
      </c>
      <c r="R306"/>
      <c r="S306"/>
      <c r="T306" t="s">
        <v>169</v>
      </c>
      <c r="U306" t="s">
        <v>137</v>
      </c>
      <c r="V306" t="s">
        <v>925</v>
      </c>
      <c r="W306"/>
      <c r="X306" t="s">
        <v>101</v>
      </c>
      <c r="Y306"/>
      <c r="Z306"/>
      <c r="AA306" t="s">
        <v>292</v>
      </c>
      <c r="AB306" t="s">
        <v>1</v>
      </c>
      <c r="AC306" t="s">
        <v>138</v>
      </c>
      <c r="AD306" t="s">
        <v>129</v>
      </c>
      <c r="AE306" s="97"/>
    </row>
    <row r="307" spans="1:31" ht="14.4" customHeight="1" x14ac:dyDescent="0.3">
      <c r="A307" t="s">
        <v>929</v>
      </c>
      <c r="B307" t="s">
        <v>930</v>
      </c>
      <c r="C307"/>
      <c r="D307"/>
      <c r="E307"/>
      <c r="F307"/>
      <c r="G307" t="s">
        <v>290</v>
      </c>
      <c r="H307" t="s">
        <v>132</v>
      </c>
      <c r="I307" t="s">
        <v>1</v>
      </c>
      <c r="J307" t="s">
        <v>133</v>
      </c>
      <c r="K307" t="s">
        <v>51</v>
      </c>
      <c r="L307" t="s">
        <v>931</v>
      </c>
      <c r="M307" t="s">
        <v>134</v>
      </c>
      <c r="N307" t="s">
        <v>135</v>
      </c>
      <c r="O307"/>
      <c r="P307"/>
      <c r="Q307" t="s">
        <v>291</v>
      </c>
      <c r="R307"/>
      <c r="S307"/>
      <c r="T307" t="s">
        <v>169</v>
      </c>
      <c r="U307" t="s">
        <v>137</v>
      </c>
      <c r="V307" t="s">
        <v>932</v>
      </c>
      <c r="W307"/>
      <c r="X307" t="s">
        <v>115</v>
      </c>
      <c r="Y307"/>
      <c r="Z307"/>
      <c r="AA307" t="s">
        <v>292</v>
      </c>
      <c r="AB307" t="s">
        <v>1</v>
      </c>
      <c r="AC307" t="s">
        <v>138</v>
      </c>
      <c r="AD307" t="s">
        <v>130</v>
      </c>
      <c r="AE307" s="97"/>
    </row>
    <row r="308" spans="1:31" ht="14.4" customHeight="1" x14ac:dyDescent="0.3">
      <c r="A308" t="s">
        <v>933</v>
      </c>
      <c r="B308" t="s">
        <v>934</v>
      </c>
      <c r="C308"/>
      <c r="D308"/>
      <c r="E308"/>
      <c r="F308"/>
      <c r="G308" t="s">
        <v>290</v>
      </c>
      <c r="H308" t="s">
        <v>132</v>
      </c>
      <c r="I308" t="s">
        <v>1</v>
      </c>
      <c r="J308" t="s">
        <v>133</v>
      </c>
      <c r="K308" t="s">
        <v>51</v>
      </c>
      <c r="L308" t="s">
        <v>935</v>
      </c>
      <c r="M308" t="s">
        <v>134</v>
      </c>
      <c r="N308" t="s">
        <v>135</v>
      </c>
      <c r="O308"/>
      <c r="P308"/>
      <c r="Q308" t="s">
        <v>291</v>
      </c>
      <c r="R308"/>
      <c r="S308"/>
      <c r="T308" t="s">
        <v>169</v>
      </c>
      <c r="U308" t="s">
        <v>137</v>
      </c>
      <c r="V308" t="s">
        <v>932</v>
      </c>
      <c r="W308"/>
      <c r="X308" t="s">
        <v>115</v>
      </c>
      <c r="Y308"/>
      <c r="Z308"/>
      <c r="AA308" t="s">
        <v>292</v>
      </c>
      <c r="AB308" t="s">
        <v>1</v>
      </c>
      <c r="AC308" t="s">
        <v>138</v>
      </c>
      <c r="AD308" t="s">
        <v>130</v>
      </c>
      <c r="AE308" s="97"/>
    </row>
    <row r="309" spans="1:31" ht="14.4" customHeight="1" x14ac:dyDescent="0.3">
      <c r="A309" t="s">
        <v>936</v>
      </c>
      <c r="B309" t="s">
        <v>937</v>
      </c>
      <c r="C309"/>
      <c r="D309"/>
      <c r="E309"/>
      <c r="F309"/>
      <c r="G309" t="s">
        <v>290</v>
      </c>
      <c r="H309" t="s">
        <v>132</v>
      </c>
      <c r="I309" t="s">
        <v>1</v>
      </c>
      <c r="J309" t="s">
        <v>133</v>
      </c>
      <c r="K309" t="s">
        <v>51</v>
      </c>
      <c r="L309" t="s">
        <v>938</v>
      </c>
      <c r="M309" t="s">
        <v>134</v>
      </c>
      <c r="N309" t="s">
        <v>135</v>
      </c>
      <c r="O309"/>
      <c r="P309"/>
      <c r="Q309" t="s">
        <v>291</v>
      </c>
      <c r="R309"/>
      <c r="S309"/>
      <c r="T309" t="s">
        <v>169</v>
      </c>
      <c r="U309" t="s">
        <v>137</v>
      </c>
      <c r="V309" t="s">
        <v>352</v>
      </c>
      <c r="W309"/>
      <c r="X309" t="s">
        <v>56</v>
      </c>
      <c r="Y309"/>
      <c r="Z309"/>
      <c r="AA309" t="s">
        <v>292</v>
      </c>
      <c r="AB309" t="s">
        <v>1</v>
      </c>
      <c r="AC309" t="s">
        <v>138</v>
      </c>
      <c r="AD309" t="s">
        <v>128</v>
      </c>
      <c r="AE309" s="97"/>
    </row>
    <row r="310" spans="1:31" ht="14.4" customHeight="1" x14ac:dyDescent="0.3">
      <c r="A310" t="s">
        <v>939</v>
      </c>
      <c r="B310" t="s">
        <v>940</v>
      </c>
      <c r="C310"/>
      <c r="D310"/>
      <c r="E310"/>
      <c r="F310"/>
      <c r="G310" t="s">
        <v>290</v>
      </c>
      <c r="H310" t="s">
        <v>132</v>
      </c>
      <c r="I310" t="s">
        <v>1</v>
      </c>
      <c r="J310" t="s">
        <v>133</v>
      </c>
      <c r="K310" t="s">
        <v>51</v>
      </c>
      <c r="L310" t="s">
        <v>941</v>
      </c>
      <c r="M310" t="s">
        <v>134</v>
      </c>
      <c r="N310" t="s">
        <v>135</v>
      </c>
      <c r="O310"/>
      <c r="P310"/>
      <c r="Q310" t="s">
        <v>291</v>
      </c>
      <c r="R310"/>
      <c r="S310"/>
      <c r="T310" t="s">
        <v>169</v>
      </c>
      <c r="U310" t="s">
        <v>137</v>
      </c>
      <c r="V310" t="s">
        <v>352</v>
      </c>
      <c r="W310"/>
      <c r="X310" t="s">
        <v>56</v>
      </c>
      <c r="Y310"/>
      <c r="Z310"/>
      <c r="AA310" t="s">
        <v>292</v>
      </c>
      <c r="AB310" t="s">
        <v>1</v>
      </c>
      <c r="AC310" t="s">
        <v>138</v>
      </c>
      <c r="AD310" t="s">
        <v>128</v>
      </c>
      <c r="AE310" s="97"/>
    </row>
    <row r="311" spans="1:31" ht="14.4" customHeight="1" x14ac:dyDescent="0.3">
      <c r="A311" t="s">
        <v>942</v>
      </c>
      <c r="B311" t="s">
        <v>943</v>
      </c>
      <c r="C311"/>
      <c r="D311"/>
      <c r="E311"/>
      <c r="F311"/>
      <c r="G311" t="s">
        <v>290</v>
      </c>
      <c r="H311" t="s">
        <v>132</v>
      </c>
      <c r="I311" t="s">
        <v>1</v>
      </c>
      <c r="J311" t="s">
        <v>133</v>
      </c>
      <c r="K311" t="s">
        <v>51</v>
      </c>
      <c r="L311" t="s">
        <v>323</v>
      </c>
      <c r="M311" t="s">
        <v>134</v>
      </c>
      <c r="N311" t="s">
        <v>135</v>
      </c>
      <c r="O311"/>
      <c r="P311"/>
      <c r="Q311" t="s">
        <v>291</v>
      </c>
      <c r="R311"/>
      <c r="S311"/>
      <c r="T311" t="s">
        <v>169</v>
      </c>
      <c r="U311" t="s">
        <v>137</v>
      </c>
      <c r="V311" t="s">
        <v>324</v>
      </c>
      <c r="W311"/>
      <c r="X311" t="s">
        <v>60</v>
      </c>
      <c r="Y311"/>
      <c r="Z311"/>
      <c r="AA311" t="s">
        <v>292</v>
      </c>
      <c r="AB311" t="s">
        <v>1</v>
      </c>
      <c r="AC311" t="s">
        <v>138</v>
      </c>
      <c r="AD311" t="s">
        <v>128</v>
      </c>
      <c r="AE311" s="97"/>
    </row>
    <row r="312" spans="1:31" ht="14.4" customHeight="1" x14ac:dyDescent="0.3">
      <c r="A312" t="s">
        <v>944</v>
      </c>
      <c r="B312" t="s">
        <v>945</v>
      </c>
      <c r="C312"/>
      <c r="D312"/>
      <c r="E312"/>
      <c r="F312"/>
      <c r="G312" t="s">
        <v>290</v>
      </c>
      <c r="H312" t="s">
        <v>132</v>
      </c>
      <c r="I312" t="s">
        <v>1</v>
      </c>
      <c r="J312" t="s">
        <v>133</v>
      </c>
      <c r="K312" t="s">
        <v>51</v>
      </c>
      <c r="L312" t="s">
        <v>323</v>
      </c>
      <c r="M312" t="s">
        <v>134</v>
      </c>
      <c r="N312" t="s">
        <v>135</v>
      </c>
      <c r="O312"/>
      <c r="P312"/>
      <c r="Q312" t="s">
        <v>291</v>
      </c>
      <c r="R312"/>
      <c r="S312"/>
      <c r="T312" t="s">
        <v>169</v>
      </c>
      <c r="U312" t="s">
        <v>137</v>
      </c>
      <c r="V312" t="s">
        <v>324</v>
      </c>
      <c r="W312"/>
      <c r="X312" t="s">
        <v>60</v>
      </c>
      <c r="Y312"/>
      <c r="Z312"/>
      <c r="AA312" t="s">
        <v>292</v>
      </c>
      <c r="AB312" t="s">
        <v>1</v>
      </c>
      <c r="AC312" t="s">
        <v>138</v>
      </c>
      <c r="AD312" t="s">
        <v>128</v>
      </c>
      <c r="AE312" s="97"/>
    </row>
    <row r="313" spans="1:31" ht="14.4" customHeight="1" x14ac:dyDescent="0.3">
      <c r="A313" t="s">
        <v>946</v>
      </c>
      <c r="B313" t="s">
        <v>947</v>
      </c>
      <c r="C313"/>
      <c r="D313"/>
      <c r="E313"/>
      <c r="F313"/>
      <c r="G313" t="s">
        <v>290</v>
      </c>
      <c r="H313" t="s">
        <v>132</v>
      </c>
      <c r="I313" t="s">
        <v>1</v>
      </c>
      <c r="J313" t="s">
        <v>133</v>
      </c>
      <c r="K313" t="s">
        <v>51</v>
      </c>
      <c r="L313" t="s">
        <v>323</v>
      </c>
      <c r="M313" t="s">
        <v>134</v>
      </c>
      <c r="N313" t="s">
        <v>135</v>
      </c>
      <c r="O313"/>
      <c r="P313"/>
      <c r="Q313" t="s">
        <v>291</v>
      </c>
      <c r="R313"/>
      <c r="S313"/>
      <c r="T313" t="s">
        <v>169</v>
      </c>
      <c r="U313" t="s">
        <v>137</v>
      </c>
      <c r="V313" t="s">
        <v>324</v>
      </c>
      <c r="W313"/>
      <c r="X313" t="s">
        <v>60</v>
      </c>
      <c r="Y313"/>
      <c r="Z313"/>
      <c r="AA313" t="s">
        <v>292</v>
      </c>
      <c r="AB313" t="s">
        <v>1</v>
      </c>
      <c r="AC313" t="s">
        <v>138</v>
      </c>
      <c r="AD313" t="s">
        <v>128</v>
      </c>
      <c r="AE313" s="97"/>
    </row>
    <row r="314" spans="1:31" ht="14.4" customHeight="1" x14ac:dyDescent="0.3">
      <c r="A314" t="s">
        <v>948</v>
      </c>
      <c r="B314" t="s">
        <v>949</v>
      </c>
      <c r="C314"/>
      <c r="D314"/>
      <c r="E314"/>
      <c r="F314"/>
      <c r="G314" t="s">
        <v>290</v>
      </c>
      <c r="H314" t="s">
        <v>132</v>
      </c>
      <c r="I314" t="s">
        <v>1</v>
      </c>
      <c r="J314" t="s">
        <v>133</v>
      </c>
      <c r="K314" t="s">
        <v>51</v>
      </c>
      <c r="L314" t="s">
        <v>323</v>
      </c>
      <c r="M314" t="s">
        <v>134</v>
      </c>
      <c r="N314" t="s">
        <v>135</v>
      </c>
      <c r="O314"/>
      <c r="P314"/>
      <c r="Q314" t="s">
        <v>291</v>
      </c>
      <c r="R314"/>
      <c r="S314"/>
      <c r="T314" t="s">
        <v>169</v>
      </c>
      <c r="U314" t="s">
        <v>137</v>
      </c>
      <c r="V314" t="s">
        <v>324</v>
      </c>
      <c r="W314"/>
      <c r="X314" t="s">
        <v>60</v>
      </c>
      <c r="Y314"/>
      <c r="Z314"/>
      <c r="AA314" t="s">
        <v>292</v>
      </c>
      <c r="AB314" t="s">
        <v>1</v>
      </c>
      <c r="AC314" t="s">
        <v>138</v>
      </c>
      <c r="AD314" t="s">
        <v>128</v>
      </c>
      <c r="AE314" s="97"/>
    </row>
    <row r="315" spans="1:31" ht="14.4" customHeight="1" x14ac:dyDescent="0.3">
      <c r="A315" t="s">
        <v>950</v>
      </c>
      <c r="B315" t="s">
        <v>951</v>
      </c>
      <c r="C315"/>
      <c r="D315"/>
      <c r="E315"/>
      <c r="F315"/>
      <c r="G315" t="s">
        <v>290</v>
      </c>
      <c r="H315" t="s">
        <v>132</v>
      </c>
      <c r="I315" t="s">
        <v>1</v>
      </c>
      <c r="J315" t="s">
        <v>133</v>
      </c>
      <c r="K315" t="s">
        <v>51</v>
      </c>
      <c r="L315" t="s">
        <v>952</v>
      </c>
      <c r="M315" t="s">
        <v>134</v>
      </c>
      <c r="N315" t="s">
        <v>135</v>
      </c>
      <c r="O315"/>
      <c r="P315"/>
      <c r="Q315" t="s">
        <v>291</v>
      </c>
      <c r="R315"/>
      <c r="S315"/>
      <c r="T315" t="s">
        <v>169</v>
      </c>
      <c r="U315" t="s">
        <v>137</v>
      </c>
      <c r="V315" t="s">
        <v>324</v>
      </c>
      <c r="W315"/>
      <c r="X315" t="s">
        <v>60</v>
      </c>
      <c r="Y315"/>
      <c r="Z315"/>
      <c r="AA315" t="s">
        <v>292</v>
      </c>
      <c r="AB315" t="s">
        <v>1</v>
      </c>
      <c r="AC315" t="s">
        <v>138</v>
      </c>
      <c r="AD315" t="s">
        <v>128</v>
      </c>
      <c r="AE315" s="97"/>
    </row>
    <row r="316" spans="1:31" ht="14.4" customHeight="1" x14ac:dyDescent="0.3">
      <c r="A316" t="s">
        <v>953</v>
      </c>
      <c r="B316" t="s">
        <v>954</v>
      </c>
      <c r="C316"/>
      <c r="D316"/>
      <c r="E316"/>
      <c r="F316"/>
      <c r="G316" t="s">
        <v>290</v>
      </c>
      <c r="H316" t="s">
        <v>132</v>
      </c>
      <c r="I316" t="s">
        <v>1</v>
      </c>
      <c r="J316" t="s">
        <v>133</v>
      </c>
      <c r="K316" t="s">
        <v>51</v>
      </c>
      <c r="L316" t="s">
        <v>955</v>
      </c>
      <c r="M316" t="s">
        <v>134</v>
      </c>
      <c r="N316" t="s">
        <v>135</v>
      </c>
      <c r="O316"/>
      <c r="P316"/>
      <c r="Q316" t="s">
        <v>291</v>
      </c>
      <c r="R316"/>
      <c r="S316"/>
      <c r="T316" t="s">
        <v>169</v>
      </c>
      <c r="U316" t="s">
        <v>137</v>
      </c>
      <c r="V316" t="s">
        <v>324</v>
      </c>
      <c r="W316"/>
      <c r="X316" t="s">
        <v>60</v>
      </c>
      <c r="Y316"/>
      <c r="Z316"/>
      <c r="AA316" t="s">
        <v>292</v>
      </c>
      <c r="AB316" t="s">
        <v>1</v>
      </c>
      <c r="AC316" t="s">
        <v>138</v>
      </c>
      <c r="AD316" t="s">
        <v>128</v>
      </c>
      <c r="AE316" s="97"/>
    </row>
    <row r="317" spans="1:31" ht="14.4" customHeight="1" x14ac:dyDescent="0.3">
      <c r="A317" t="s">
        <v>956</v>
      </c>
      <c r="B317" t="s">
        <v>957</v>
      </c>
      <c r="C317"/>
      <c r="D317"/>
      <c r="E317"/>
      <c r="F317"/>
      <c r="G317" t="s">
        <v>290</v>
      </c>
      <c r="H317" t="s">
        <v>132</v>
      </c>
      <c r="I317" t="s">
        <v>1</v>
      </c>
      <c r="J317" t="s">
        <v>133</v>
      </c>
      <c r="K317" t="s">
        <v>51</v>
      </c>
      <c r="L317" t="s">
        <v>327</v>
      </c>
      <c r="M317" t="s">
        <v>134</v>
      </c>
      <c r="N317" t="s">
        <v>135</v>
      </c>
      <c r="O317"/>
      <c r="P317"/>
      <c r="Q317" t="s">
        <v>291</v>
      </c>
      <c r="R317"/>
      <c r="S317"/>
      <c r="T317" t="s">
        <v>169</v>
      </c>
      <c r="U317" t="s">
        <v>137</v>
      </c>
      <c r="V317" t="s">
        <v>328</v>
      </c>
      <c r="W317"/>
      <c r="X317" t="s">
        <v>65</v>
      </c>
      <c r="Y317"/>
      <c r="Z317"/>
      <c r="AA317" t="s">
        <v>292</v>
      </c>
      <c r="AB317" t="s">
        <v>1</v>
      </c>
      <c r="AC317" t="s">
        <v>138</v>
      </c>
      <c r="AD317" t="s">
        <v>128</v>
      </c>
      <c r="AE317" s="97"/>
    </row>
    <row r="318" spans="1:31" ht="14.4" customHeight="1" x14ac:dyDescent="0.3">
      <c r="A318" t="s">
        <v>958</v>
      </c>
      <c r="B318" t="s">
        <v>959</v>
      </c>
      <c r="C318"/>
      <c r="D318"/>
      <c r="E318"/>
      <c r="F318"/>
      <c r="G318" t="s">
        <v>290</v>
      </c>
      <c r="H318" t="s">
        <v>132</v>
      </c>
      <c r="I318" t="s">
        <v>1</v>
      </c>
      <c r="J318" t="s">
        <v>133</v>
      </c>
      <c r="K318" t="s">
        <v>51</v>
      </c>
      <c r="L318" t="s">
        <v>327</v>
      </c>
      <c r="M318" t="s">
        <v>134</v>
      </c>
      <c r="N318" t="s">
        <v>135</v>
      </c>
      <c r="O318"/>
      <c r="P318"/>
      <c r="Q318" t="s">
        <v>291</v>
      </c>
      <c r="R318"/>
      <c r="S318"/>
      <c r="T318" t="s">
        <v>169</v>
      </c>
      <c r="U318" t="s">
        <v>137</v>
      </c>
      <c r="V318" t="s">
        <v>328</v>
      </c>
      <c r="W318"/>
      <c r="X318" t="s">
        <v>65</v>
      </c>
      <c r="Y318"/>
      <c r="Z318"/>
      <c r="AA318" t="s">
        <v>292</v>
      </c>
      <c r="AB318" t="s">
        <v>1</v>
      </c>
      <c r="AC318" t="s">
        <v>138</v>
      </c>
      <c r="AD318" t="s">
        <v>128</v>
      </c>
      <c r="AE318" s="97"/>
    </row>
    <row r="319" spans="1:31" ht="14.4" customHeight="1" x14ac:dyDescent="0.3">
      <c r="A319" t="s">
        <v>960</v>
      </c>
      <c r="B319" t="s">
        <v>961</v>
      </c>
      <c r="C319"/>
      <c r="D319"/>
      <c r="E319"/>
      <c r="F319"/>
      <c r="G319" t="s">
        <v>290</v>
      </c>
      <c r="H319" t="s">
        <v>132</v>
      </c>
      <c r="I319" t="s">
        <v>1</v>
      </c>
      <c r="J319" t="s">
        <v>133</v>
      </c>
      <c r="K319" t="s">
        <v>51</v>
      </c>
      <c r="L319" t="s">
        <v>327</v>
      </c>
      <c r="M319" t="s">
        <v>134</v>
      </c>
      <c r="N319" t="s">
        <v>135</v>
      </c>
      <c r="O319"/>
      <c r="P319"/>
      <c r="Q319" t="s">
        <v>291</v>
      </c>
      <c r="R319"/>
      <c r="S319"/>
      <c r="T319" t="s">
        <v>169</v>
      </c>
      <c r="U319" t="s">
        <v>137</v>
      </c>
      <c r="V319" t="s">
        <v>328</v>
      </c>
      <c r="W319"/>
      <c r="X319" t="s">
        <v>65</v>
      </c>
      <c r="Y319"/>
      <c r="Z319"/>
      <c r="AA319" t="s">
        <v>292</v>
      </c>
      <c r="AB319" t="s">
        <v>1</v>
      </c>
      <c r="AC319" t="s">
        <v>138</v>
      </c>
      <c r="AD319" t="s">
        <v>128</v>
      </c>
      <c r="AE319" s="97"/>
    </row>
    <row r="320" spans="1:31" ht="14.4" customHeight="1" x14ac:dyDescent="0.3">
      <c r="A320" t="s">
        <v>962</v>
      </c>
      <c r="B320" t="s">
        <v>963</v>
      </c>
      <c r="C320"/>
      <c r="D320"/>
      <c r="E320"/>
      <c r="F320"/>
      <c r="G320" t="s">
        <v>290</v>
      </c>
      <c r="H320" t="s">
        <v>132</v>
      </c>
      <c r="I320" t="s">
        <v>1</v>
      </c>
      <c r="J320" t="s">
        <v>133</v>
      </c>
      <c r="K320" t="s">
        <v>51</v>
      </c>
      <c r="L320" t="s">
        <v>327</v>
      </c>
      <c r="M320" t="s">
        <v>134</v>
      </c>
      <c r="N320" t="s">
        <v>135</v>
      </c>
      <c r="O320"/>
      <c r="P320"/>
      <c r="Q320" t="s">
        <v>291</v>
      </c>
      <c r="R320"/>
      <c r="S320"/>
      <c r="T320" t="s">
        <v>169</v>
      </c>
      <c r="U320" t="s">
        <v>137</v>
      </c>
      <c r="V320" t="s">
        <v>328</v>
      </c>
      <c r="W320"/>
      <c r="X320" t="s">
        <v>65</v>
      </c>
      <c r="Y320"/>
      <c r="Z320"/>
      <c r="AA320" t="s">
        <v>292</v>
      </c>
      <c r="AB320" t="s">
        <v>1</v>
      </c>
      <c r="AC320" t="s">
        <v>138</v>
      </c>
      <c r="AD320" t="s">
        <v>128</v>
      </c>
      <c r="AE320" s="97"/>
    </row>
    <row r="321" spans="1:31" ht="14.4" customHeight="1" x14ac:dyDescent="0.3">
      <c r="A321" t="s">
        <v>964</v>
      </c>
      <c r="B321" t="s">
        <v>965</v>
      </c>
      <c r="C321"/>
      <c r="D321"/>
      <c r="E321"/>
      <c r="F321"/>
      <c r="G321" t="s">
        <v>290</v>
      </c>
      <c r="H321" t="s">
        <v>132</v>
      </c>
      <c r="I321" t="s">
        <v>1</v>
      </c>
      <c r="J321" t="s">
        <v>133</v>
      </c>
      <c r="K321" t="s">
        <v>51</v>
      </c>
      <c r="L321" t="s">
        <v>966</v>
      </c>
      <c r="M321" t="s">
        <v>134</v>
      </c>
      <c r="N321" t="s">
        <v>135</v>
      </c>
      <c r="O321"/>
      <c r="P321"/>
      <c r="Q321" t="s">
        <v>291</v>
      </c>
      <c r="R321"/>
      <c r="S321"/>
      <c r="T321" t="s">
        <v>169</v>
      </c>
      <c r="U321" t="s">
        <v>137</v>
      </c>
      <c r="V321" t="s">
        <v>328</v>
      </c>
      <c r="W321"/>
      <c r="X321" t="s">
        <v>65</v>
      </c>
      <c r="Y321"/>
      <c r="Z321"/>
      <c r="AA321" t="s">
        <v>292</v>
      </c>
      <c r="AB321" t="s">
        <v>1</v>
      </c>
      <c r="AC321" t="s">
        <v>138</v>
      </c>
      <c r="AD321" t="s">
        <v>128</v>
      </c>
      <c r="AE321" s="97"/>
    </row>
    <row r="322" spans="1:31" ht="14.4" customHeight="1" x14ac:dyDescent="0.3">
      <c r="A322" t="s">
        <v>967</v>
      </c>
      <c r="B322" t="s">
        <v>968</v>
      </c>
      <c r="C322"/>
      <c r="D322"/>
      <c r="E322"/>
      <c r="F322"/>
      <c r="G322" t="s">
        <v>290</v>
      </c>
      <c r="H322" t="s">
        <v>132</v>
      </c>
      <c r="I322" t="s">
        <v>1</v>
      </c>
      <c r="J322" t="s">
        <v>133</v>
      </c>
      <c r="K322" t="s">
        <v>51</v>
      </c>
      <c r="L322" t="s">
        <v>969</v>
      </c>
      <c r="M322" t="s">
        <v>134</v>
      </c>
      <c r="N322" t="s">
        <v>135</v>
      </c>
      <c r="O322"/>
      <c r="P322"/>
      <c r="Q322" t="s">
        <v>291</v>
      </c>
      <c r="R322"/>
      <c r="S322"/>
      <c r="T322" t="s">
        <v>169</v>
      </c>
      <c r="U322" t="s">
        <v>137</v>
      </c>
      <c r="V322" t="s">
        <v>328</v>
      </c>
      <c r="W322"/>
      <c r="X322" t="s">
        <v>65</v>
      </c>
      <c r="Y322"/>
      <c r="Z322"/>
      <c r="AA322" t="s">
        <v>292</v>
      </c>
      <c r="AB322" t="s">
        <v>1</v>
      </c>
      <c r="AC322" t="s">
        <v>138</v>
      </c>
      <c r="AD322" t="s">
        <v>128</v>
      </c>
      <c r="AE322" s="97"/>
    </row>
    <row r="323" spans="1:31" ht="14.4" customHeight="1" x14ac:dyDescent="0.3">
      <c r="A323" t="s">
        <v>970</v>
      </c>
      <c r="B323" t="s">
        <v>971</v>
      </c>
      <c r="C323"/>
      <c r="D323"/>
      <c r="E323"/>
      <c r="F323"/>
      <c r="G323" t="s">
        <v>290</v>
      </c>
      <c r="H323" t="s">
        <v>132</v>
      </c>
      <c r="I323" t="s">
        <v>1</v>
      </c>
      <c r="J323" t="s">
        <v>133</v>
      </c>
      <c r="K323" t="s">
        <v>51</v>
      </c>
      <c r="L323" t="s">
        <v>331</v>
      </c>
      <c r="M323" t="s">
        <v>134</v>
      </c>
      <c r="N323" t="s">
        <v>135</v>
      </c>
      <c r="O323"/>
      <c r="P323"/>
      <c r="Q323" t="s">
        <v>291</v>
      </c>
      <c r="R323"/>
      <c r="S323"/>
      <c r="T323" t="s">
        <v>169</v>
      </c>
      <c r="U323" t="s">
        <v>137</v>
      </c>
      <c r="V323" t="s">
        <v>332</v>
      </c>
      <c r="W323"/>
      <c r="X323" t="s">
        <v>80</v>
      </c>
      <c r="Y323"/>
      <c r="Z323"/>
      <c r="AA323" t="s">
        <v>292</v>
      </c>
      <c r="AB323" t="s">
        <v>1</v>
      </c>
      <c r="AC323" t="s">
        <v>138</v>
      </c>
      <c r="AD323" t="s">
        <v>129</v>
      </c>
      <c r="AE323" s="97"/>
    </row>
    <row r="324" spans="1:31" ht="14.4" customHeight="1" x14ac:dyDescent="0.3">
      <c r="A324" t="s">
        <v>972</v>
      </c>
      <c r="B324" t="s">
        <v>973</v>
      </c>
      <c r="C324"/>
      <c r="D324"/>
      <c r="E324"/>
      <c r="F324"/>
      <c r="G324" t="s">
        <v>290</v>
      </c>
      <c r="H324" t="s">
        <v>132</v>
      </c>
      <c r="I324" t="s">
        <v>1</v>
      </c>
      <c r="J324" t="s">
        <v>133</v>
      </c>
      <c r="K324" t="s">
        <v>51</v>
      </c>
      <c r="L324" t="s">
        <v>331</v>
      </c>
      <c r="M324" t="s">
        <v>134</v>
      </c>
      <c r="N324" t="s">
        <v>135</v>
      </c>
      <c r="O324"/>
      <c r="P324"/>
      <c r="Q324" t="s">
        <v>291</v>
      </c>
      <c r="R324"/>
      <c r="S324"/>
      <c r="T324" t="s">
        <v>169</v>
      </c>
      <c r="U324" t="s">
        <v>137</v>
      </c>
      <c r="V324" t="s">
        <v>332</v>
      </c>
      <c r="W324"/>
      <c r="X324" t="s">
        <v>80</v>
      </c>
      <c r="Y324"/>
      <c r="Z324"/>
      <c r="AA324" t="s">
        <v>292</v>
      </c>
      <c r="AB324" t="s">
        <v>1</v>
      </c>
      <c r="AC324" t="s">
        <v>138</v>
      </c>
      <c r="AD324" t="s">
        <v>129</v>
      </c>
      <c r="AE324" s="97"/>
    </row>
    <row r="325" spans="1:31" ht="14.4" customHeight="1" x14ac:dyDescent="0.3">
      <c r="A325" t="s">
        <v>974</v>
      </c>
      <c r="B325" t="s">
        <v>975</v>
      </c>
      <c r="C325"/>
      <c r="D325"/>
      <c r="E325"/>
      <c r="F325"/>
      <c r="G325" t="s">
        <v>290</v>
      </c>
      <c r="H325" t="s">
        <v>132</v>
      </c>
      <c r="I325" t="s">
        <v>1</v>
      </c>
      <c r="J325" t="s">
        <v>133</v>
      </c>
      <c r="K325" t="s">
        <v>51</v>
      </c>
      <c r="L325" t="s">
        <v>331</v>
      </c>
      <c r="M325" t="s">
        <v>134</v>
      </c>
      <c r="N325" t="s">
        <v>135</v>
      </c>
      <c r="O325"/>
      <c r="P325"/>
      <c r="Q325" t="s">
        <v>291</v>
      </c>
      <c r="R325"/>
      <c r="S325"/>
      <c r="T325" t="s">
        <v>169</v>
      </c>
      <c r="U325" t="s">
        <v>137</v>
      </c>
      <c r="V325" t="s">
        <v>332</v>
      </c>
      <c r="W325"/>
      <c r="X325" t="s">
        <v>80</v>
      </c>
      <c r="Y325"/>
      <c r="Z325"/>
      <c r="AA325" t="s">
        <v>292</v>
      </c>
      <c r="AB325" t="s">
        <v>1</v>
      </c>
      <c r="AC325" t="s">
        <v>138</v>
      </c>
      <c r="AD325" t="s">
        <v>129</v>
      </c>
      <c r="AE325" s="97"/>
    </row>
    <row r="326" spans="1:31" ht="14.4" customHeight="1" x14ac:dyDescent="0.3">
      <c r="A326" t="s">
        <v>976</v>
      </c>
      <c r="B326" t="s">
        <v>977</v>
      </c>
      <c r="C326"/>
      <c r="D326"/>
      <c r="E326"/>
      <c r="F326"/>
      <c r="G326" t="s">
        <v>290</v>
      </c>
      <c r="H326" t="s">
        <v>132</v>
      </c>
      <c r="I326" t="s">
        <v>1</v>
      </c>
      <c r="J326" t="s">
        <v>133</v>
      </c>
      <c r="K326" t="s">
        <v>51</v>
      </c>
      <c r="L326" t="s">
        <v>331</v>
      </c>
      <c r="M326" t="s">
        <v>134</v>
      </c>
      <c r="N326" t="s">
        <v>135</v>
      </c>
      <c r="O326"/>
      <c r="P326"/>
      <c r="Q326" t="s">
        <v>291</v>
      </c>
      <c r="R326"/>
      <c r="S326"/>
      <c r="T326" t="s">
        <v>169</v>
      </c>
      <c r="U326" t="s">
        <v>137</v>
      </c>
      <c r="V326" t="s">
        <v>332</v>
      </c>
      <c r="W326"/>
      <c r="X326" t="s">
        <v>80</v>
      </c>
      <c r="Y326"/>
      <c r="Z326"/>
      <c r="AA326" t="s">
        <v>292</v>
      </c>
      <c r="AB326" t="s">
        <v>1</v>
      </c>
      <c r="AC326" t="s">
        <v>138</v>
      </c>
      <c r="AD326" t="s">
        <v>129</v>
      </c>
      <c r="AE326" s="97"/>
    </row>
    <row r="327" spans="1:31" ht="14.4" customHeight="1" x14ac:dyDescent="0.3">
      <c r="A327" t="s">
        <v>978</v>
      </c>
      <c r="B327" t="s">
        <v>979</v>
      </c>
      <c r="C327"/>
      <c r="D327"/>
      <c r="E327"/>
      <c r="F327"/>
      <c r="G327" t="s">
        <v>290</v>
      </c>
      <c r="H327" t="s">
        <v>132</v>
      </c>
      <c r="I327" t="s">
        <v>1</v>
      </c>
      <c r="J327" t="s">
        <v>133</v>
      </c>
      <c r="K327" t="s">
        <v>51</v>
      </c>
      <c r="L327" t="s">
        <v>980</v>
      </c>
      <c r="M327" t="s">
        <v>134</v>
      </c>
      <c r="N327" t="s">
        <v>135</v>
      </c>
      <c r="O327"/>
      <c r="P327"/>
      <c r="Q327" t="s">
        <v>291</v>
      </c>
      <c r="R327"/>
      <c r="S327"/>
      <c r="T327" t="s">
        <v>169</v>
      </c>
      <c r="U327" t="s">
        <v>137</v>
      </c>
      <c r="V327" t="s">
        <v>332</v>
      </c>
      <c r="W327"/>
      <c r="X327" t="s">
        <v>80</v>
      </c>
      <c r="Y327"/>
      <c r="Z327"/>
      <c r="AA327" t="s">
        <v>292</v>
      </c>
      <c r="AB327" t="s">
        <v>1</v>
      </c>
      <c r="AC327" t="s">
        <v>138</v>
      </c>
      <c r="AD327" t="s">
        <v>129</v>
      </c>
      <c r="AE327" s="97"/>
    </row>
    <row r="328" spans="1:31" ht="14.4" customHeight="1" x14ac:dyDescent="0.3">
      <c r="A328" t="s">
        <v>981</v>
      </c>
      <c r="B328" t="s">
        <v>982</v>
      </c>
      <c r="C328"/>
      <c r="D328"/>
      <c r="E328"/>
      <c r="F328"/>
      <c r="G328" t="s">
        <v>290</v>
      </c>
      <c r="H328" t="s">
        <v>132</v>
      </c>
      <c r="I328" t="s">
        <v>1</v>
      </c>
      <c r="J328" t="s">
        <v>133</v>
      </c>
      <c r="K328" t="s">
        <v>51</v>
      </c>
      <c r="L328" t="s">
        <v>983</v>
      </c>
      <c r="M328" t="s">
        <v>134</v>
      </c>
      <c r="N328" t="s">
        <v>135</v>
      </c>
      <c r="O328"/>
      <c r="P328"/>
      <c r="Q328" t="s">
        <v>291</v>
      </c>
      <c r="R328"/>
      <c r="S328"/>
      <c r="T328" t="s">
        <v>169</v>
      </c>
      <c r="U328" t="s">
        <v>137</v>
      </c>
      <c r="V328" t="s">
        <v>332</v>
      </c>
      <c r="W328"/>
      <c r="X328" t="s">
        <v>80</v>
      </c>
      <c r="Y328"/>
      <c r="Z328"/>
      <c r="AA328" t="s">
        <v>292</v>
      </c>
      <c r="AB328" t="s">
        <v>1</v>
      </c>
      <c r="AC328" t="s">
        <v>138</v>
      </c>
      <c r="AD328" t="s">
        <v>129</v>
      </c>
      <c r="AE328" s="97"/>
    </row>
    <row r="329" spans="1:31" ht="14.4" customHeight="1" x14ac:dyDescent="0.3">
      <c r="A329" t="s">
        <v>984</v>
      </c>
      <c r="B329" t="s">
        <v>985</v>
      </c>
      <c r="C329"/>
      <c r="D329"/>
      <c r="E329"/>
      <c r="F329"/>
      <c r="G329" t="s">
        <v>290</v>
      </c>
      <c r="H329" t="s">
        <v>132</v>
      </c>
      <c r="I329" t="s">
        <v>1</v>
      </c>
      <c r="J329" t="s">
        <v>133</v>
      </c>
      <c r="K329" t="s">
        <v>51</v>
      </c>
      <c r="L329" t="s">
        <v>335</v>
      </c>
      <c r="M329" t="s">
        <v>134</v>
      </c>
      <c r="N329" t="s">
        <v>135</v>
      </c>
      <c r="O329"/>
      <c r="P329"/>
      <c r="Q329" t="s">
        <v>291</v>
      </c>
      <c r="R329"/>
      <c r="S329"/>
      <c r="T329" t="s">
        <v>169</v>
      </c>
      <c r="U329" t="s">
        <v>137</v>
      </c>
      <c r="V329" t="s">
        <v>336</v>
      </c>
      <c r="W329"/>
      <c r="X329" t="s">
        <v>84</v>
      </c>
      <c r="Y329"/>
      <c r="Z329"/>
      <c r="AA329" t="s">
        <v>292</v>
      </c>
      <c r="AB329" t="s">
        <v>1</v>
      </c>
      <c r="AC329" t="s">
        <v>138</v>
      </c>
      <c r="AD329" t="s">
        <v>129</v>
      </c>
      <c r="AE329" s="97"/>
    </row>
    <row r="330" spans="1:31" ht="14.4" customHeight="1" x14ac:dyDescent="0.3">
      <c r="A330" t="s">
        <v>986</v>
      </c>
      <c r="B330" t="s">
        <v>987</v>
      </c>
      <c r="C330"/>
      <c r="D330"/>
      <c r="E330"/>
      <c r="F330"/>
      <c r="G330" t="s">
        <v>290</v>
      </c>
      <c r="H330" t="s">
        <v>132</v>
      </c>
      <c r="I330" t="s">
        <v>1</v>
      </c>
      <c r="J330" t="s">
        <v>133</v>
      </c>
      <c r="K330" t="s">
        <v>51</v>
      </c>
      <c r="L330" t="s">
        <v>335</v>
      </c>
      <c r="M330" t="s">
        <v>134</v>
      </c>
      <c r="N330" t="s">
        <v>135</v>
      </c>
      <c r="O330"/>
      <c r="P330"/>
      <c r="Q330" t="s">
        <v>291</v>
      </c>
      <c r="R330"/>
      <c r="S330"/>
      <c r="T330" t="s">
        <v>169</v>
      </c>
      <c r="U330" t="s">
        <v>137</v>
      </c>
      <c r="V330" t="s">
        <v>336</v>
      </c>
      <c r="W330"/>
      <c r="X330" t="s">
        <v>84</v>
      </c>
      <c r="Y330"/>
      <c r="Z330"/>
      <c r="AA330" t="s">
        <v>292</v>
      </c>
      <c r="AB330" t="s">
        <v>1</v>
      </c>
      <c r="AC330" t="s">
        <v>138</v>
      </c>
      <c r="AD330" t="s">
        <v>129</v>
      </c>
      <c r="AE330" s="97"/>
    </row>
    <row r="331" spans="1:31" ht="14.4" customHeight="1" x14ac:dyDescent="0.3">
      <c r="A331" t="s">
        <v>988</v>
      </c>
      <c r="B331" t="s">
        <v>989</v>
      </c>
      <c r="C331"/>
      <c r="D331"/>
      <c r="E331"/>
      <c r="F331"/>
      <c r="G331" t="s">
        <v>290</v>
      </c>
      <c r="H331" t="s">
        <v>132</v>
      </c>
      <c r="I331" t="s">
        <v>1</v>
      </c>
      <c r="J331" t="s">
        <v>133</v>
      </c>
      <c r="K331" t="s">
        <v>51</v>
      </c>
      <c r="L331" t="s">
        <v>335</v>
      </c>
      <c r="M331" t="s">
        <v>134</v>
      </c>
      <c r="N331" t="s">
        <v>135</v>
      </c>
      <c r="O331"/>
      <c r="P331"/>
      <c r="Q331" t="s">
        <v>291</v>
      </c>
      <c r="R331"/>
      <c r="S331"/>
      <c r="T331" t="s">
        <v>169</v>
      </c>
      <c r="U331" t="s">
        <v>137</v>
      </c>
      <c r="V331" t="s">
        <v>336</v>
      </c>
      <c r="W331"/>
      <c r="X331" t="s">
        <v>84</v>
      </c>
      <c r="Y331"/>
      <c r="Z331"/>
      <c r="AA331" t="s">
        <v>292</v>
      </c>
      <c r="AB331" t="s">
        <v>1</v>
      </c>
      <c r="AC331" t="s">
        <v>138</v>
      </c>
      <c r="AD331" t="s">
        <v>129</v>
      </c>
      <c r="AE331" s="97"/>
    </row>
    <row r="332" spans="1:31" ht="14.4" customHeight="1" x14ac:dyDescent="0.3">
      <c r="A332" t="s">
        <v>990</v>
      </c>
      <c r="B332" t="s">
        <v>991</v>
      </c>
      <c r="C332"/>
      <c r="D332"/>
      <c r="E332"/>
      <c r="F332"/>
      <c r="G332" t="s">
        <v>290</v>
      </c>
      <c r="H332" t="s">
        <v>132</v>
      </c>
      <c r="I332" t="s">
        <v>1</v>
      </c>
      <c r="J332" t="s">
        <v>133</v>
      </c>
      <c r="K332" t="s">
        <v>51</v>
      </c>
      <c r="L332" t="s">
        <v>335</v>
      </c>
      <c r="M332" t="s">
        <v>134</v>
      </c>
      <c r="N332" t="s">
        <v>135</v>
      </c>
      <c r="O332"/>
      <c r="P332"/>
      <c r="Q332" t="s">
        <v>291</v>
      </c>
      <c r="R332"/>
      <c r="S332"/>
      <c r="T332" t="s">
        <v>169</v>
      </c>
      <c r="U332" t="s">
        <v>137</v>
      </c>
      <c r="V332" t="s">
        <v>336</v>
      </c>
      <c r="W332"/>
      <c r="X332" t="s">
        <v>84</v>
      </c>
      <c r="Y332"/>
      <c r="Z332"/>
      <c r="AA332" t="s">
        <v>292</v>
      </c>
      <c r="AB332" t="s">
        <v>1</v>
      </c>
      <c r="AC332" t="s">
        <v>138</v>
      </c>
      <c r="AD332" t="s">
        <v>129</v>
      </c>
      <c r="AE332" s="97"/>
    </row>
    <row r="333" spans="1:31" ht="14.4" customHeight="1" x14ac:dyDescent="0.3">
      <c r="A333" t="s">
        <v>992</v>
      </c>
      <c r="B333" t="s">
        <v>993</v>
      </c>
      <c r="C333"/>
      <c r="D333"/>
      <c r="E333"/>
      <c r="F333"/>
      <c r="G333" t="s">
        <v>290</v>
      </c>
      <c r="H333" t="s">
        <v>132</v>
      </c>
      <c r="I333" t="s">
        <v>1</v>
      </c>
      <c r="J333" t="s">
        <v>133</v>
      </c>
      <c r="K333" t="s">
        <v>51</v>
      </c>
      <c r="L333" t="s">
        <v>994</v>
      </c>
      <c r="M333" t="s">
        <v>134</v>
      </c>
      <c r="N333" t="s">
        <v>135</v>
      </c>
      <c r="O333"/>
      <c r="P333"/>
      <c r="Q333" t="s">
        <v>291</v>
      </c>
      <c r="R333"/>
      <c r="S333"/>
      <c r="T333" t="s">
        <v>169</v>
      </c>
      <c r="U333" t="s">
        <v>137</v>
      </c>
      <c r="V333" t="s">
        <v>336</v>
      </c>
      <c r="W333"/>
      <c r="X333" t="s">
        <v>84</v>
      </c>
      <c r="Y333"/>
      <c r="Z333"/>
      <c r="AA333" t="s">
        <v>292</v>
      </c>
      <c r="AB333" t="s">
        <v>1</v>
      </c>
      <c r="AC333" t="s">
        <v>138</v>
      </c>
      <c r="AD333" t="s">
        <v>129</v>
      </c>
      <c r="AE333" s="97"/>
    </row>
    <row r="334" spans="1:31" ht="14.4" customHeight="1" x14ac:dyDescent="0.3">
      <c r="A334" t="s">
        <v>995</v>
      </c>
      <c r="B334" t="s">
        <v>996</v>
      </c>
      <c r="C334"/>
      <c r="D334"/>
      <c r="E334"/>
      <c r="F334"/>
      <c r="G334" t="s">
        <v>290</v>
      </c>
      <c r="H334" t="s">
        <v>132</v>
      </c>
      <c r="I334" t="s">
        <v>1</v>
      </c>
      <c r="J334" t="s">
        <v>133</v>
      </c>
      <c r="K334" t="s">
        <v>51</v>
      </c>
      <c r="L334" t="s">
        <v>997</v>
      </c>
      <c r="M334" t="s">
        <v>134</v>
      </c>
      <c r="N334" t="s">
        <v>135</v>
      </c>
      <c r="O334"/>
      <c r="P334"/>
      <c r="Q334" t="s">
        <v>291</v>
      </c>
      <c r="R334"/>
      <c r="S334"/>
      <c r="T334" t="s">
        <v>169</v>
      </c>
      <c r="U334" t="s">
        <v>137</v>
      </c>
      <c r="V334" t="s">
        <v>336</v>
      </c>
      <c r="W334"/>
      <c r="X334" t="s">
        <v>84</v>
      </c>
      <c r="Y334"/>
      <c r="Z334"/>
      <c r="AA334" t="s">
        <v>292</v>
      </c>
      <c r="AB334" t="s">
        <v>1</v>
      </c>
      <c r="AC334" t="s">
        <v>138</v>
      </c>
      <c r="AD334" t="s">
        <v>129</v>
      </c>
      <c r="AE334" s="97"/>
    </row>
    <row r="335" spans="1:31" ht="14.4" customHeight="1" x14ac:dyDescent="0.3">
      <c r="A335" t="s">
        <v>998</v>
      </c>
      <c r="B335" t="s">
        <v>999</v>
      </c>
      <c r="C335"/>
      <c r="D335"/>
      <c r="E335"/>
      <c r="F335"/>
      <c r="G335" t="s">
        <v>290</v>
      </c>
      <c r="H335" t="s">
        <v>132</v>
      </c>
      <c r="I335" t="s">
        <v>1</v>
      </c>
      <c r="J335" t="s">
        <v>133</v>
      </c>
      <c r="K335" t="s">
        <v>51</v>
      </c>
      <c r="L335" t="s">
        <v>339</v>
      </c>
      <c r="M335" t="s">
        <v>134</v>
      </c>
      <c r="N335" t="s">
        <v>135</v>
      </c>
      <c r="O335"/>
      <c r="P335"/>
      <c r="Q335" t="s">
        <v>291</v>
      </c>
      <c r="R335"/>
      <c r="S335"/>
      <c r="T335" t="s">
        <v>169</v>
      </c>
      <c r="U335" t="s">
        <v>137</v>
      </c>
      <c r="V335" t="s">
        <v>340</v>
      </c>
      <c r="W335"/>
      <c r="X335" t="s">
        <v>93</v>
      </c>
      <c r="Y335"/>
      <c r="Z335"/>
      <c r="AA335" t="s">
        <v>292</v>
      </c>
      <c r="AB335" t="s">
        <v>1</v>
      </c>
      <c r="AC335" t="s">
        <v>138</v>
      </c>
      <c r="AD335" t="s">
        <v>129</v>
      </c>
      <c r="AE335" s="97"/>
    </row>
    <row r="336" spans="1:31" ht="14.4" customHeight="1" x14ac:dyDescent="0.3">
      <c r="A336" t="s">
        <v>1000</v>
      </c>
      <c r="B336" t="s">
        <v>1001</v>
      </c>
      <c r="C336"/>
      <c r="D336"/>
      <c r="E336"/>
      <c r="F336"/>
      <c r="G336" t="s">
        <v>290</v>
      </c>
      <c r="H336" t="s">
        <v>132</v>
      </c>
      <c r="I336" t="s">
        <v>1</v>
      </c>
      <c r="J336" t="s">
        <v>133</v>
      </c>
      <c r="K336" t="s">
        <v>51</v>
      </c>
      <c r="L336" t="s">
        <v>339</v>
      </c>
      <c r="M336" t="s">
        <v>134</v>
      </c>
      <c r="N336" t="s">
        <v>135</v>
      </c>
      <c r="O336"/>
      <c r="P336"/>
      <c r="Q336" t="s">
        <v>291</v>
      </c>
      <c r="R336"/>
      <c r="S336"/>
      <c r="T336" t="s">
        <v>169</v>
      </c>
      <c r="U336" t="s">
        <v>137</v>
      </c>
      <c r="V336" t="s">
        <v>340</v>
      </c>
      <c r="W336"/>
      <c r="X336" t="s">
        <v>93</v>
      </c>
      <c r="Y336"/>
      <c r="Z336"/>
      <c r="AA336" t="s">
        <v>292</v>
      </c>
      <c r="AB336" t="s">
        <v>1</v>
      </c>
      <c r="AC336" t="s">
        <v>138</v>
      </c>
      <c r="AD336" t="s">
        <v>129</v>
      </c>
      <c r="AE336" s="97"/>
    </row>
    <row r="337" spans="1:31" ht="14.4" customHeight="1" x14ac:dyDescent="0.3">
      <c r="A337" t="s">
        <v>1002</v>
      </c>
      <c r="B337" t="s">
        <v>1003</v>
      </c>
      <c r="C337"/>
      <c r="D337"/>
      <c r="E337"/>
      <c r="F337"/>
      <c r="G337" t="s">
        <v>290</v>
      </c>
      <c r="H337" t="s">
        <v>132</v>
      </c>
      <c r="I337" t="s">
        <v>1</v>
      </c>
      <c r="J337" t="s">
        <v>133</v>
      </c>
      <c r="K337" t="s">
        <v>51</v>
      </c>
      <c r="L337" t="s">
        <v>339</v>
      </c>
      <c r="M337" t="s">
        <v>134</v>
      </c>
      <c r="N337" t="s">
        <v>135</v>
      </c>
      <c r="O337"/>
      <c r="P337"/>
      <c r="Q337" t="s">
        <v>291</v>
      </c>
      <c r="R337"/>
      <c r="S337"/>
      <c r="T337" t="s">
        <v>169</v>
      </c>
      <c r="U337" t="s">
        <v>137</v>
      </c>
      <c r="V337" t="s">
        <v>340</v>
      </c>
      <c r="W337"/>
      <c r="X337" t="s">
        <v>93</v>
      </c>
      <c r="Y337"/>
      <c r="Z337"/>
      <c r="AA337" t="s">
        <v>292</v>
      </c>
      <c r="AB337" t="s">
        <v>1</v>
      </c>
      <c r="AC337" t="s">
        <v>138</v>
      </c>
      <c r="AD337" t="s">
        <v>129</v>
      </c>
      <c r="AE337" s="97"/>
    </row>
    <row r="338" spans="1:31" ht="14.4" customHeight="1" x14ac:dyDescent="0.3">
      <c r="A338" t="s">
        <v>1004</v>
      </c>
      <c r="B338" t="s">
        <v>1005</v>
      </c>
      <c r="C338"/>
      <c r="D338"/>
      <c r="E338"/>
      <c r="F338"/>
      <c r="G338" t="s">
        <v>290</v>
      </c>
      <c r="H338" t="s">
        <v>132</v>
      </c>
      <c r="I338" t="s">
        <v>1</v>
      </c>
      <c r="J338" t="s">
        <v>133</v>
      </c>
      <c r="K338" t="s">
        <v>51</v>
      </c>
      <c r="L338" t="s">
        <v>339</v>
      </c>
      <c r="M338" t="s">
        <v>134</v>
      </c>
      <c r="N338" t="s">
        <v>135</v>
      </c>
      <c r="O338"/>
      <c r="P338"/>
      <c r="Q338" t="s">
        <v>291</v>
      </c>
      <c r="R338"/>
      <c r="S338"/>
      <c r="T338" t="s">
        <v>169</v>
      </c>
      <c r="U338" t="s">
        <v>137</v>
      </c>
      <c r="V338" t="s">
        <v>340</v>
      </c>
      <c r="W338"/>
      <c r="X338" t="s">
        <v>93</v>
      </c>
      <c r="Y338"/>
      <c r="Z338"/>
      <c r="AA338" t="s">
        <v>292</v>
      </c>
      <c r="AB338" t="s">
        <v>1</v>
      </c>
      <c r="AC338" t="s">
        <v>138</v>
      </c>
      <c r="AD338" t="s">
        <v>129</v>
      </c>
      <c r="AE338" s="97"/>
    </row>
    <row r="339" spans="1:31" ht="14.4" customHeight="1" x14ac:dyDescent="0.3">
      <c r="A339" t="s">
        <v>1006</v>
      </c>
      <c r="B339" t="s">
        <v>1007</v>
      </c>
      <c r="C339"/>
      <c r="D339"/>
      <c r="E339"/>
      <c r="F339"/>
      <c r="G339" t="s">
        <v>290</v>
      </c>
      <c r="H339" t="s">
        <v>132</v>
      </c>
      <c r="I339" t="s">
        <v>1</v>
      </c>
      <c r="J339" t="s">
        <v>133</v>
      </c>
      <c r="K339" t="s">
        <v>51</v>
      </c>
      <c r="L339" t="s">
        <v>1008</v>
      </c>
      <c r="M339" t="s">
        <v>134</v>
      </c>
      <c r="N339" t="s">
        <v>135</v>
      </c>
      <c r="O339"/>
      <c r="P339"/>
      <c r="Q339" t="s">
        <v>291</v>
      </c>
      <c r="R339"/>
      <c r="S339"/>
      <c r="T339" t="s">
        <v>169</v>
      </c>
      <c r="U339" t="s">
        <v>137</v>
      </c>
      <c r="V339" t="s">
        <v>340</v>
      </c>
      <c r="W339"/>
      <c r="X339" t="s">
        <v>93</v>
      </c>
      <c r="Y339"/>
      <c r="Z339"/>
      <c r="AA339" t="s">
        <v>292</v>
      </c>
      <c r="AB339" t="s">
        <v>1</v>
      </c>
      <c r="AC339" t="s">
        <v>138</v>
      </c>
      <c r="AD339" t="s">
        <v>129</v>
      </c>
      <c r="AE339" s="97"/>
    </row>
    <row r="340" spans="1:31" ht="14.4" customHeight="1" x14ac:dyDescent="0.3">
      <c r="A340" t="s">
        <v>1009</v>
      </c>
      <c r="B340" t="s">
        <v>1010</v>
      </c>
      <c r="C340"/>
      <c r="D340"/>
      <c r="E340"/>
      <c r="F340"/>
      <c r="G340" t="s">
        <v>290</v>
      </c>
      <c r="H340" t="s">
        <v>132</v>
      </c>
      <c r="I340" t="s">
        <v>1</v>
      </c>
      <c r="J340" t="s">
        <v>133</v>
      </c>
      <c r="K340" t="s">
        <v>51</v>
      </c>
      <c r="L340" t="s">
        <v>1011</v>
      </c>
      <c r="M340" t="s">
        <v>134</v>
      </c>
      <c r="N340" t="s">
        <v>135</v>
      </c>
      <c r="O340"/>
      <c r="P340"/>
      <c r="Q340" t="s">
        <v>291</v>
      </c>
      <c r="R340"/>
      <c r="S340"/>
      <c r="T340" t="s">
        <v>169</v>
      </c>
      <c r="U340" t="s">
        <v>137</v>
      </c>
      <c r="V340" t="s">
        <v>340</v>
      </c>
      <c r="W340"/>
      <c r="X340" t="s">
        <v>93</v>
      </c>
      <c r="Y340"/>
      <c r="Z340"/>
      <c r="AA340" t="s">
        <v>292</v>
      </c>
      <c r="AB340" t="s">
        <v>1</v>
      </c>
      <c r="AC340" t="s">
        <v>138</v>
      </c>
      <c r="AD340" t="s">
        <v>129</v>
      </c>
      <c r="AE340" s="97"/>
    </row>
    <row r="341" spans="1:31" ht="14.4" customHeight="1" x14ac:dyDescent="0.3">
      <c r="A341" t="s">
        <v>1012</v>
      </c>
      <c r="B341" t="s">
        <v>1013</v>
      </c>
      <c r="C341"/>
      <c r="D341"/>
      <c r="E341"/>
      <c r="F341"/>
      <c r="G341" t="s">
        <v>290</v>
      </c>
      <c r="H341" t="s">
        <v>132</v>
      </c>
      <c r="I341" t="s">
        <v>1</v>
      </c>
      <c r="J341" t="s">
        <v>133</v>
      </c>
      <c r="K341" t="s">
        <v>51</v>
      </c>
      <c r="L341" t="s">
        <v>343</v>
      </c>
      <c r="M341" t="s">
        <v>134</v>
      </c>
      <c r="N341" t="s">
        <v>135</v>
      </c>
      <c r="O341"/>
      <c r="P341"/>
      <c r="Q341" t="s">
        <v>291</v>
      </c>
      <c r="R341"/>
      <c r="S341"/>
      <c r="T341" t="s">
        <v>169</v>
      </c>
      <c r="U341" t="s">
        <v>137</v>
      </c>
      <c r="V341" t="s">
        <v>344</v>
      </c>
      <c r="W341"/>
      <c r="X341" t="s">
        <v>102</v>
      </c>
      <c r="Y341"/>
      <c r="Z341"/>
      <c r="AA341" t="s">
        <v>292</v>
      </c>
      <c r="AB341" t="s">
        <v>1</v>
      </c>
      <c r="AC341" t="s">
        <v>138</v>
      </c>
      <c r="AD341" t="s">
        <v>129</v>
      </c>
      <c r="AE341" s="97"/>
    </row>
    <row r="342" spans="1:31" ht="14.4" customHeight="1" x14ac:dyDescent="0.3">
      <c r="A342" t="s">
        <v>1014</v>
      </c>
      <c r="B342" t="s">
        <v>1015</v>
      </c>
      <c r="C342"/>
      <c r="D342"/>
      <c r="E342"/>
      <c r="F342"/>
      <c r="G342" t="s">
        <v>290</v>
      </c>
      <c r="H342" t="s">
        <v>132</v>
      </c>
      <c r="I342" t="s">
        <v>1</v>
      </c>
      <c r="J342" t="s">
        <v>133</v>
      </c>
      <c r="K342" t="s">
        <v>51</v>
      </c>
      <c r="L342" t="s">
        <v>343</v>
      </c>
      <c r="M342" t="s">
        <v>134</v>
      </c>
      <c r="N342" t="s">
        <v>135</v>
      </c>
      <c r="O342"/>
      <c r="P342"/>
      <c r="Q342" t="s">
        <v>291</v>
      </c>
      <c r="R342"/>
      <c r="S342"/>
      <c r="T342" t="s">
        <v>169</v>
      </c>
      <c r="U342" t="s">
        <v>137</v>
      </c>
      <c r="V342" t="s">
        <v>344</v>
      </c>
      <c r="W342"/>
      <c r="X342" t="s">
        <v>102</v>
      </c>
      <c r="Y342"/>
      <c r="Z342"/>
      <c r="AA342" t="s">
        <v>292</v>
      </c>
      <c r="AB342" t="s">
        <v>1</v>
      </c>
      <c r="AC342" t="s">
        <v>138</v>
      </c>
      <c r="AD342" t="s">
        <v>129</v>
      </c>
      <c r="AE342" s="97"/>
    </row>
    <row r="343" spans="1:31" ht="14.4" customHeight="1" x14ac:dyDescent="0.3">
      <c r="A343" t="s">
        <v>1016</v>
      </c>
      <c r="B343" t="s">
        <v>1017</v>
      </c>
      <c r="C343"/>
      <c r="D343"/>
      <c r="E343"/>
      <c r="F343"/>
      <c r="G343" t="s">
        <v>290</v>
      </c>
      <c r="H343" t="s">
        <v>132</v>
      </c>
      <c r="I343" t="s">
        <v>1</v>
      </c>
      <c r="J343" t="s">
        <v>133</v>
      </c>
      <c r="K343" t="s">
        <v>51</v>
      </c>
      <c r="L343" t="s">
        <v>343</v>
      </c>
      <c r="M343" t="s">
        <v>134</v>
      </c>
      <c r="N343" t="s">
        <v>135</v>
      </c>
      <c r="O343"/>
      <c r="P343"/>
      <c r="Q343" t="s">
        <v>291</v>
      </c>
      <c r="R343"/>
      <c r="S343"/>
      <c r="T343" t="s">
        <v>169</v>
      </c>
      <c r="U343" t="s">
        <v>137</v>
      </c>
      <c r="V343" t="s">
        <v>344</v>
      </c>
      <c r="W343"/>
      <c r="X343" t="s">
        <v>102</v>
      </c>
      <c r="Y343"/>
      <c r="Z343"/>
      <c r="AA343" t="s">
        <v>292</v>
      </c>
      <c r="AB343" t="s">
        <v>1</v>
      </c>
      <c r="AC343" t="s">
        <v>138</v>
      </c>
      <c r="AD343" t="s">
        <v>129</v>
      </c>
      <c r="AE343" s="97"/>
    </row>
    <row r="344" spans="1:31" ht="14.4" customHeight="1" x14ac:dyDescent="0.3">
      <c r="A344" t="s">
        <v>1018</v>
      </c>
      <c r="B344" t="s">
        <v>1019</v>
      </c>
      <c r="C344"/>
      <c r="D344"/>
      <c r="E344"/>
      <c r="F344"/>
      <c r="G344" t="s">
        <v>290</v>
      </c>
      <c r="H344" t="s">
        <v>132</v>
      </c>
      <c r="I344" t="s">
        <v>1</v>
      </c>
      <c r="J344" t="s">
        <v>133</v>
      </c>
      <c r="K344" t="s">
        <v>51</v>
      </c>
      <c r="L344" t="s">
        <v>343</v>
      </c>
      <c r="M344" t="s">
        <v>134</v>
      </c>
      <c r="N344" t="s">
        <v>135</v>
      </c>
      <c r="O344"/>
      <c r="P344"/>
      <c r="Q344" t="s">
        <v>291</v>
      </c>
      <c r="R344"/>
      <c r="S344"/>
      <c r="T344" t="s">
        <v>169</v>
      </c>
      <c r="U344" t="s">
        <v>137</v>
      </c>
      <c r="V344" t="s">
        <v>344</v>
      </c>
      <c r="W344"/>
      <c r="X344" t="s">
        <v>102</v>
      </c>
      <c r="Y344"/>
      <c r="Z344"/>
      <c r="AA344" t="s">
        <v>292</v>
      </c>
      <c r="AB344" t="s">
        <v>1</v>
      </c>
      <c r="AC344" t="s">
        <v>138</v>
      </c>
      <c r="AD344" t="s">
        <v>129</v>
      </c>
      <c r="AE344" s="97"/>
    </row>
    <row r="345" spans="1:31" ht="14.4" customHeight="1" x14ac:dyDescent="0.3">
      <c r="A345" t="s">
        <v>1020</v>
      </c>
      <c r="B345" t="s">
        <v>1021</v>
      </c>
      <c r="C345"/>
      <c r="D345"/>
      <c r="E345"/>
      <c r="F345"/>
      <c r="G345" t="s">
        <v>290</v>
      </c>
      <c r="H345" t="s">
        <v>132</v>
      </c>
      <c r="I345" t="s">
        <v>1</v>
      </c>
      <c r="J345" t="s">
        <v>133</v>
      </c>
      <c r="K345" t="s">
        <v>51</v>
      </c>
      <c r="L345" t="s">
        <v>1022</v>
      </c>
      <c r="M345" t="s">
        <v>134</v>
      </c>
      <c r="N345" t="s">
        <v>135</v>
      </c>
      <c r="O345"/>
      <c r="P345"/>
      <c r="Q345" t="s">
        <v>291</v>
      </c>
      <c r="R345"/>
      <c r="S345"/>
      <c r="T345" t="s">
        <v>169</v>
      </c>
      <c r="U345" t="s">
        <v>137</v>
      </c>
      <c r="V345" t="s">
        <v>344</v>
      </c>
      <c r="W345"/>
      <c r="X345" t="s">
        <v>102</v>
      </c>
      <c r="Y345"/>
      <c r="Z345"/>
      <c r="AA345" t="s">
        <v>292</v>
      </c>
      <c r="AB345" t="s">
        <v>1</v>
      </c>
      <c r="AC345" t="s">
        <v>138</v>
      </c>
      <c r="AD345" t="s">
        <v>129</v>
      </c>
      <c r="AE345" s="97"/>
    </row>
    <row r="346" spans="1:31" ht="14.4" customHeight="1" x14ac:dyDescent="0.3">
      <c r="A346" t="s">
        <v>1023</v>
      </c>
      <c r="B346" t="s">
        <v>1024</v>
      </c>
      <c r="C346"/>
      <c r="D346"/>
      <c r="E346"/>
      <c r="F346"/>
      <c r="G346" t="s">
        <v>290</v>
      </c>
      <c r="H346" t="s">
        <v>132</v>
      </c>
      <c r="I346" t="s">
        <v>1</v>
      </c>
      <c r="J346" t="s">
        <v>133</v>
      </c>
      <c r="K346" t="s">
        <v>51</v>
      </c>
      <c r="L346" t="s">
        <v>1025</v>
      </c>
      <c r="M346" t="s">
        <v>134</v>
      </c>
      <c r="N346" t="s">
        <v>135</v>
      </c>
      <c r="O346"/>
      <c r="P346"/>
      <c r="Q346" t="s">
        <v>291</v>
      </c>
      <c r="R346"/>
      <c r="S346"/>
      <c r="T346" t="s">
        <v>169</v>
      </c>
      <c r="U346" t="s">
        <v>137</v>
      </c>
      <c r="V346" t="s">
        <v>344</v>
      </c>
      <c r="W346"/>
      <c r="X346" t="s">
        <v>102</v>
      </c>
      <c r="Y346"/>
      <c r="Z346"/>
      <c r="AA346" t="s">
        <v>292</v>
      </c>
      <c r="AB346" t="s">
        <v>1</v>
      </c>
      <c r="AC346" t="s">
        <v>138</v>
      </c>
      <c r="AD346" t="s">
        <v>129</v>
      </c>
      <c r="AE346" s="97"/>
    </row>
    <row r="347" spans="1:31" ht="14.4" customHeight="1" x14ac:dyDescent="0.3">
      <c r="A347" t="s">
        <v>1026</v>
      </c>
      <c r="B347" t="s">
        <v>1027</v>
      </c>
      <c r="C347"/>
      <c r="D347"/>
      <c r="E347"/>
      <c r="F347"/>
      <c r="G347" t="s">
        <v>290</v>
      </c>
      <c r="H347" t="s">
        <v>132</v>
      </c>
      <c r="I347" t="s">
        <v>1</v>
      </c>
      <c r="J347" t="s">
        <v>133</v>
      </c>
      <c r="K347" t="s">
        <v>51</v>
      </c>
      <c r="L347" t="s">
        <v>347</v>
      </c>
      <c r="M347" t="s">
        <v>134</v>
      </c>
      <c r="N347" t="s">
        <v>135</v>
      </c>
      <c r="O347"/>
      <c r="P347"/>
      <c r="Q347" t="s">
        <v>291</v>
      </c>
      <c r="R347"/>
      <c r="S347"/>
      <c r="T347" t="s">
        <v>169</v>
      </c>
      <c r="U347" t="s">
        <v>137</v>
      </c>
      <c r="V347" t="s">
        <v>348</v>
      </c>
      <c r="W347"/>
      <c r="X347" t="s">
        <v>116</v>
      </c>
      <c r="Y347"/>
      <c r="Z347"/>
      <c r="AA347" t="s">
        <v>292</v>
      </c>
      <c r="AB347" t="s">
        <v>1</v>
      </c>
      <c r="AC347" t="s">
        <v>138</v>
      </c>
      <c r="AD347" t="s">
        <v>130</v>
      </c>
      <c r="AE347" s="97"/>
    </row>
    <row r="348" spans="1:31" ht="14.4" customHeight="1" x14ac:dyDescent="0.3">
      <c r="A348" t="s">
        <v>1028</v>
      </c>
      <c r="B348" t="s">
        <v>1029</v>
      </c>
      <c r="C348"/>
      <c r="D348"/>
      <c r="E348"/>
      <c r="F348"/>
      <c r="G348" t="s">
        <v>290</v>
      </c>
      <c r="H348" t="s">
        <v>132</v>
      </c>
      <c r="I348" t="s">
        <v>1</v>
      </c>
      <c r="J348" t="s">
        <v>133</v>
      </c>
      <c r="K348" t="s">
        <v>51</v>
      </c>
      <c r="L348" t="s">
        <v>347</v>
      </c>
      <c r="M348" t="s">
        <v>134</v>
      </c>
      <c r="N348" t="s">
        <v>135</v>
      </c>
      <c r="O348"/>
      <c r="P348"/>
      <c r="Q348" t="s">
        <v>291</v>
      </c>
      <c r="R348"/>
      <c r="S348"/>
      <c r="T348" t="s">
        <v>169</v>
      </c>
      <c r="U348" t="s">
        <v>137</v>
      </c>
      <c r="V348" t="s">
        <v>348</v>
      </c>
      <c r="W348"/>
      <c r="X348" t="s">
        <v>116</v>
      </c>
      <c r="Y348"/>
      <c r="Z348"/>
      <c r="AA348" t="s">
        <v>292</v>
      </c>
      <c r="AB348" t="s">
        <v>1</v>
      </c>
      <c r="AC348" t="s">
        <v>138</v>
      </c>
      <c r="AD348" t="s">
        <v>130</v>
      </c>
      <c r="AE348" s="97"/>
    </row>
    <row r="349" spans="1:31" ht="14.4" customHeight="1" x14ac:dyDescent="0.3">
      <c r="A349" t="s">
        <v>1030</v>
      </c>
      <c r="B349" t="s">
        <v>1031</v>
      </c>
      <c r="C349"/>
      <c r="D349"/>
      <c r="E349"/>
      <c r="F349"/>
      <c r="G349" t="s">
        <v>290</v>
      </c>
      <c r="H349" t="s">
        <v>132</v>
      </c>
      <c r="I349" t="s">
        <v>1</v>
      </c>
      <c r="J349" t="s">
        <v>133</v>
      </c>
      <c r="K349" t="s">
        <v>51</v>
      </c>
      <c r="L349" t="s">
        <v>347</v>
      </c>
      <c r="M349" t="s">
        <v>134</v>
      </c>
      <c r="N349" t="s">
        <v>135</v>
      </c>
      <c r="O349"/>
      <c r="P349"/>
      <c r="Q349" t="s">
        <v>291</v>
      </c>
      <c r="R349"/>
      <c r="S349"/>
      <c r="T349" t="s">
        <v>169</v>
      </c>
      <c r="U349" t="s">
        <v>137</v>
      </c>
      <c r="V349" t="s">
        <v>348</v>
      </c>
      <c r="W349"/>
      <c r="X349" t="s">
        <v>116</v>
      </c>
      <c r="Y349"/>
      <c r="Z349"/>
      <c r="AA349" t="s">
        <v>292</v>
      </c>
      <c r="AB349" t="s">
        <v>1</v>
      </c>
      <c r="AC349" t="s">
        <v>138</v>
      </c>
      <c r="AD349" t="s">
        <v>130</v>
      </c>
      <c r="AE349" s="97"/>
    </row>
    <row r="350" spans="1:31" ht="14.4" customHeight="1" x14ac:dyDescent="0.3">
      <c r="A350" t="s">
        <v>1032</v>
      </c>
      <c r="B350" t="s">
        <v>1033</v>
      </c>
      <c r="C350"/>
      <c r="D350"/>
      <c r="E350"/>
      <c r="F350"/>
      <c r="G350" t="s">
        <v>290</v>
      </c>
      <c r="H350" t="s">
        <v>132</v>
      </c>
      <c r="I350" t="s">
        <v>1</v>
      </c>
      <c r="J350" t="s">
        <v>133</v>
      </c>
      <c r="K350" t="s">
        <v>51</v>
      </c>
      <c r="L350" t="s">
        <v>347</v>
      </c>
      <c r="M350" t="s">
        <v>134</v>
      </c>
      <c r="N350" t="s">
        <v>135</v>
      </c>
      <c r="O350"/>
      <c r="P350"/>
      <c r="Q350" t="s">
        <v>291</v>
      </c>
      <c r="R350"/>
      <c r="S350"/>
      <c r="T350" t="s">
        <v>169</v>
      </c>
      <c r="U350" t="s">
        <v>137</v>
      </c>
      <c r="V350" t="s">
        <v>348</v>
      </c>
      <c r="W350"/>
      <c r="X350" t="s">
        <v>116</v>
      </c>
      <c r="Y350"/>
      <c r="Z350"/>
      <c r="AA350" t="s">
        <v>292</v>
      </c>
      <c r="AB350" t="s">
        <v>1</v>
      </c>
      <c r="AC350" t="s">
        <v>138</v>
      </c>
      <c r="AD350" t="s">
        <v>130</v>
      </c>
      <c r="AE350" s="97"/>
    </row>
    <row r="351" spans="1:31" ht="14.4" customHeight="1" x14ac:dyDescent="0.3">
      <c r="A351" t="s">
        <v>1034</v>
      </c>
      <c r="B351" t="s">
        <v>1035</v>
      </c>
      <c r="C351"/>
      <c r="D351"/>
      <c r="E351"/>
      <c r="F351"/>
      <c r="G351" t="s">
        <v>290</v>
      </c>
      <c r="H351" t="s">
        <v>132</v>
      </c>
      <c r="I351" t="s">
        <v>1</v>
      </c>
      <c r="J351" t="s">
        <v>133</v>
      </c>
      <c r="K351" t="s">
        <v>51</v>
      </c>
      <c r="L351" t="s">
        <v>1036</v>
      </c>
      <c r="M351" t="s">
        <v>134</v>
      </c>
      <c r="N351" t="s">
        <v>135</v>
      </c>
      <c r="O351"/>
      <c r="P351"/>
      <c r="Q351" t="s">
        <v>291</v>
      </c>
      <c r="R351"/>
      <c r="S351"/>
      <c r="T351" t="s">
        <v>169</v>
      </c>
      <c r="U351" t="s">
        <v>137</v>
      </c>
      <c r="V351" t="s">
        <v>348</v>
      </c>
      <c r="W351"/>
      <c r="X351" t="s">
        <v>116</v>
      </c>
      <c r="Y351"/>
      <c r="Z351"/>
      <c r="AA351" t="s">
        <v>292</v>
      </c>
      <c r="AB351" t="s">
        <v>1</v>
      </c>
      <c r="AC351" t="s">
        <v>138</v>
      </c>
      <c r="AD351" t="s">
        <v>130</v>
      </c>
      <c r="AE351" s="97"/>
    </row>
    <row r="352" spans="1:31" ht="14.4" customHeight="1" x14ac:dyDescent="0.3">
      <c r="A352" t="s">
        <v>1037</v>
      </c>
      <c r="B352" t="s">
        <v>1038</v>
      </c>
      <c r="C352"/>
      <c r="D352"/>
      <c r="E352"/>
      <c r="F352"/>
      <c r="G352" t="s">
        <v>290</v>
      </c>
      <c r="H352" t="s">
        <v>132</v>
      </c>
      <c r="I352" t="s">
        <v>1</v>
      </c>
      <c r="J352" t="s">
        <v>133</v>
      </c>
      <c r="K352" t="s">
        <v>51</v>
      </c>
      <c r="L352" t="s">
        <v>1039</v>
      </c>
      <c r="M352" t="s">
        <v>134</v>
      </c>
      <c r="N352" t="s">
        <v>135</v>
      </c>
      <c r="O352"/>
      <c r="P352"/>
      <c r="Q352" t="s">
        <v>291</v>
      </c>
      <c r="R352"/>
      <c r="S352"/>
      <c r="T352" t="s">
        <v>169</v>
      </c>
      <c r="U352" t="s">
        <v>137</v>
      </c>
      <c r="V352" t="s">
        <v>348</v>
      </c>
      <c r="W352"/>
      <c r="X352" t="s">
        <v>116</v>
      </c>
      <c r="Y352"/>
      <c r="Z352"/>
      <c r="AA352" t="s">
        <v>292</v>
      </c>
      <c r="AB352" t="s">
        <v>1</v>
      </c>
      <c r="AC352" t="s">
        <v>138</v>
      </c>
      <c r="AD352" t="s">
        <v>130</v>
      </c>
      <c r="AE352" s="97"/>
    </row>
    <row r="353" spans="1:31" ht="14.4" customHeight="1" x14ac:dyDescent="0.3">
      <c r="A353" t="s">
        <v>1040</v>
      </c>
      <c r="B353" t="s">
        <v>1041</v>
      </c>
      <c r="C353"/>
      <c r="D353"/>
      <c r="E353"/>
      <c r="F353"/>
      <c r="G353" t="s">
        <v>290</v>
      </c>
      <c r="H353" t="s">
        <v>132</v>
      </c>
      <c r="I353" t="s">
        <v>1</v>
      </c>
      <c r="J353" t="s">
        <v>133</v>
      </c>
      <c r="K353" t="s">
        <v>51</v>
      </c>
      <c r="L353" t="s">
        <v>1042</v>
      </c>
      <c r="M353" t="s">
        <v>134</v>
      </c>
      <c r="N353" t="s">
        <v>135</v>
      </c>
      <c r="O353"/>
      <c r="P353"/>
      <c r="Q353" t="s">
        <v>291</v>
      </c>
      <c r="R353"/>
      <c r="S353"/>
      <c r="T353" t="s">
        <v>169</v>
      </c>
      <c r="U353" t="s">
        <v>137</v>
      </c>
      <c r="V353" t="s">
        <v>352</v>
      </c>
      <c r="W353"/>
      <c r="X353" t="s">
        <v>56</v>
      </c>
      <c r="Y353"/>
      <c r="Z353"/>
      <c r="AA353" t="s">
        <v>292</v>
      </c>
      <c r="AB353" t="s">
        <v>1</v>
      </c>
      <c r="AC353" t="s">
        <v>138</v>
      </c>
      <c r="AD353" t="s">
        <v>128</v>
      </c>
      <c r="AE353" s="97"/>
    </row>
    <row r="354" spans="1:31" ht="14.4" customHeight="1" x14ac:dyDescent="0.3">
      <c r="A354" t="s">
        <v>1043</v>
      </c>
      <c r="B354" t="s">
        <v>1044</v>
      </c>
      <c r="C354"/>
      <c r="D354"/>
      <c r="E354"/>
      <c r="F354"/>
      <c r="G354" t="s">
        <v>290</v>
      </c>
      <c r="H354" t="s">
        <v>132</v>
      </c>
      <c r="I354" t="s">
        <v>1</v>
      </c>
      <c r="J354" t="s">
        <v>133</v>
      </c>
      <c r="K354" t="s">
        <v>51</v>
      </c>
      <c r="L354" t="s">
        <v>1045</v>
      </c>
      <c r="M354" t="s">
        <v>134</v>
      </c>
      <c r="N354" t="s">
        <v>135</v>
      </c>
      <c r="O354"/>
      <c r="P354"/>
      <c r="Q354" t="s">
        <v>291</v>
      </c>
      <c r="R354"/>
      <c r="S354"/>
      <c r="T354" t="s">
        <v>169</v>
      </c>
      <c r="U354" t="s">
        <v>137</v>
      </c>
      <c r="V354" t="s">
        <v>352</v>
      </c>
      <c r="W354"/>
      <c r="X354" t="s">
        <v>56</v>
      </c>
      <c r="Y354"/>
      <c r="Z354"/>
      <c r="AA354" t="s">
        <v>292</v>
      </c>
      <c r="AB354" t="s">
        <v>1</v>
      </c>
      <c r="AC354" t="s">
        <v>138</v>
      </c>
      <c r="AD354" t="s">
        <v>128</v>
      </c>
      <c r="AE354" s="97"/>
    </row>
    <row r="355" spans="1:31" ht="14.4" customHeight="1" x14ac:dyDescent="0.3">
      <c r="A355" t="s">
        <v>1046</v>
      </c>
      <c r="B355" t="s">
        <v>1047</v>
      </c>
      <c r="C355"/>
      <c r="D355"/>
      <c r="E355"/>
      <c r="F355"/>
      <c r="G355" t="s">
        <v>290</v>
      </c>
      <c r="H355" t="s">
        <v>132</v>
      </c>
      <c r="I355" t="s">
        <v>1</v>
      </c>
      <c r="J355" t="s">
        <v>133</v>
      </c>
      <c r="K355" t="s">
        <v>51</v>
      </c>
      <c r="L355" t="s">
        <v>351</v>
      </c>
      <c r="M355" t="s">
        <v>134</v>
      </c>
      <c r="N355" t="s">
        <v>135</v>
      </c>
      <c r="O355"/>
      <c r="P355"/>
      <c r="Q355" t="s">
        <v>291</v>
      </c>
      <c r="R355"/>
      <c r="S355"/>
      <c r="T355" t="s">
        <v>169</v>
      </c>
      <c r="U355" t="s">
        <v>137</v>
      </c>
      <c r="V355" t="s">
        <v>352</v>
      </c>
      <c r="W355"/>
      <c r="X355" t="s">
        <v>56</v>
      </c>
      <c r="Y355"/>
      <c r="Z355"/>
      <c r="AA355" t="s">
        <v>292</v>
      </c>
      <c r="AB355" t="s">
        <v>1</v>
      </c>
      <c r="AC355" t="s">
        <v>138</v>
      </c>
      <c r="AD355" t="s">
        <v>128</v>
      </c>
      <c r="AE355" s="97"/>
    </row>
    <row r="356" spans="1:31" ht="14.4" customHeight="1" x14ac:dyDescent="0.3">
      <c r="A356" t="s">
        <v>1048</v>
      </c>
      <c r="B356" t="s">
        <v>1049</v>
      </c>
      <c r="C356"/>
      <c r="D356"/>
      <c r="E356"/>
      <c r="F356"/>
      <c r="G356" t="s">
        <v>290</v>
      </c>
      <c r="H356" t="s">
        <v>132</v>
      </c>
      <c r="I356" t="s">
        <v>1</v>
      </c>
      <c r="J356" t="s">
        <v>133</v>
      </c>
      <c r="K356" t="s">
        <v>51</v>
      </c>
      <c r="L356" t="s">
        <v>351</v>
      </c>
      <c r="M356" t="s">
        <v>134</v>
      </c>
      <c r="N356" t="s">
        <v>135</v>
      </c>
      <c r="O356"/>
      <c r="P356"/>
      <c r="Q356" t="s">
        <v>291</v>
      </c>
      <c r="R356"/>
      <c r="S356"/>
      <c r="T356" t="s">
        <v>169</v>
      </c>
      <c r="U356" t="s">
        <v>137</v>
      </c>
      <c r="V356" t="s">
        <v>352</v>
      </c>
      <c r="W356"/>
      <c r="X356" t="s">
        <v>56</v>
      </c>
      <c r="Y356"/>
      <c r="Z356"/>
      <c r="AA356" t="s">
        <v>292</v>
      </c>
      <c r="AB356" t="s">
        <v>1</v>
      </c>
      <c r="AC356" t="s">
        <v>138</v>
      </c>
      <c r="AD356" t="s">
        <v>128</v>
      </c>
      <c r="AE356" s="97"/>
    </row>
    <row r="357" spans="1:31" ht="14.4" customHeight="1" x14ac:dyDescent="0.3">
      <c r="A357" t="s">
        <v>1050</v>
      </c>
      <c r="B357" t="s">
        <v>1051</v>
      </c>
      <c r="C357"/>
      <c r="D357"/>
      <c r="E357"/>
      <c r="F357"/>
      <c r="G357" t="s">
        <v>290</v>
      </c>
      <c r="H357" t="s">
        <v>132</v>
      </c>
      <c r="I357" t="s">
        <v>1</v>
      </c>
      <c r="J357" t="s">
        <v>133</v>
      </c>
      <c r="K357" t="s">
        <v>51</v>
      </c>
      <c r="L357" t="s">
        <v>351</v>
      </c>
      <c r="M357" t="s">
        <v>134</v>
      </c>
      <c r="N357" t="s">
        <v>135</v>
      </c>
      <c r="O357"/>
      <c r="P357"/>
      <c r="Q357" t="s">
        <v>291</v>
      </c>
      <c r="R357"/>
      <c r="S357"/>
      <c r="T357" t="s">
        <v>169</v>
      </c>
      <c r="U357" t="s">
        <v>137</v>
      </c>
      <c r="V357" t="s">
        <v>352</v>
      </c>
      <c r="W357"/>
      <c r="X357" t="s">
        <v>56</v>
      </c>
      <c r="Y357"/>
      <c r="Z357"/>
      <c r="AA357" t="s">
        <v>292</v>
      </c>
      <c r="AB357" t="s">
        <v>1</v>
      </c>
      <c r="AC357" t="s">
        <v>138</v>
      </c>
      <c r="AD357" t="s">
        <v>128</v>
      </c>
      <c r="AE357" s="97"/>
    </row>
    <row r="358" spans="1:31" ht="14.4" customHeight="1" x14ac:dyDescent="0.3">
      <c r="A358" t="s">
        <v>1052</v>
      </c>
      <c r="B358" t="s">
        <v>1053</v>
      </c>
      <c r="C358"/>
      <c r="D358"/>
      <c r="E358"/>
      <c r="F358"/>
      <c r="G358" t="s">
        <v>290</v>
      </c>
      <c r="H358" t="s">
        <v>132</v>
      </c>
      <c r="I358" t="s">
        <v>1</v>
      </c>
      <c r="J358" t="s">
        <v>133</v>
      </c>
      <c r="K358" t="s">
        <v>51</v>
      </c>
      <c r="L358" t="s">
        <v>351</v>
      </c>
      <c r="M358" t="s">
        <v>134</v>
      </c>
      <c r="N358" t="s">
        <v>135</v>
      </c>
      <c r="O358"/>
      <c r="P358"/>
      <c r="Q358" t="s">
        <v>291</v>
      </c>
      <c r="R358"/>
      <c r="S358"/>
      <c r="T358" t="s">
        <v>169</v>
      </c>
      <c r="U358" t="s">
        <v>137</v>
      </c>
      <c r="V358" t="s">
        <v>352</v>
      </c>
      <c r="W358"/>
      <c r="X358" t="s">
        <v>56</v>
      </c>
      <c r="Y358"/>
      <c r="Z358"/>
      <c r="AA358" t="s">
        <v>292</v>
      </c>
      <c r="AB358" t="s">
        <v>1</v>
      </c>
      <c r="AC358" t="s">
        <v>138</v>
      </c>
      <c r="AD358" t="s">
        <v>128</v>
      </c>
      <c r="AE358" s="97"/>
    </row>
    <row r="359" spans="1:31" ht="14.4" customHeight="1" x14ac:dyDescent="0.3">
      <c r="A359" t="s">
        <v>1054</v>
      </c>
      <c r="B359" t="s">
        <v>1055</v>
      </c>
      <c r="C359"/>
      <c r="D359"/>
      <c r="E359"/>
      <c r="F359"/>
      <c r="G359" t="s">
        <v>290</v>
      </c>
      <c r="H359" t="s">
        <v>132</v>
      </c>
      <c r="I359" t="s">
        <v>1</v>
      </c>
      <c r="J359" t="s">
        <v>133</v>
      </c>
      <c r="K359" t="s">
        <v>51</v>
      </c>
      <c r="L359" t="s">
        <v>351</v>
      </c>
      <c r="M359" t="s">
        <v>134</v>
      </c>
      <c r="N359" t="s">
        <v>135</v>
      </c>
      <c r="O359"/>
      <c r="P359"/>
      <c r="Q359" t="s">
        <v>291</v>
      </c>
      <c r="R359"/>
      <c r="S359"/>
      <c r="T359" t="s">
        <v>169</v>
      </c>
      <c r="U359" t="s">
        <v>137</v>
      </c>
      <c r="V359" t="s">
        <v>352</v>
      </c>
      <c r="W359"/>
      <c r="X359" t="s">
        <v>56</v>
      </c>
      <c r="Y359"/>
      <c r="Z359"/>
      <c r="AA359" t="s">
        <v>292</v>
      </c>
      <c r="AB359" t="s">
        <v>1</v>
      </c>
      <c r="AC359" t="s">
        <v>138</v>
      </c>
      <c r="AD359" t="s">
        <v>128</v>
      </c>
      <c r="AE359" s="97"/>
    </row>
    <row r="360" spans="1:31" ht="14.4" customHeight="1" x14ac:dyDescent="0.3">
      <c r="A360" t="s">
        <v>1056</v>
      </c>
      <c r="B360" t="s">
        <v>1057</v>
      </c>
      <c r="C360"/>
      <c r="D360"/>
      <c r="E360"/>
      <c r="F360"/>
      <c r="G360" t="s">
        <v>290</v>
      </c>
      <c r="H360" t="s">
        <v>132</v>
      </c>
      <c r="I360" t="s">
        <v>1</v>
      </c>
      <c r="J360" t="s">
        <v>133</v>
      </c>
      <c r="K360" t="s">
        <v>51</v>
      </c>
      <c r="L360" t="s">
        <v>351</v>
      </c>
      <c r="M360" t="s">
        <v>134</v>
      </c>
      <c r="N360" t="s">
        <v>135</v>
      </c>
      <c r="O360"/>
      <c r="P360"/>
      <c r="Q360" t="s">
        <v>291</v>
      </c>
      <c r="R360"/>
      <c r="S360"/>
      <c r="T360" t="s">
        <v>169</v>
      </c>
      <c r="U360" t="s">
        <v>137</v>
      </c>
      <c r="V360" t="s">
        <v>352</v>
      </c>
      <c r="W360"/>
      <c r="X360" t="s">
        <v>56</v>
      </c>
      <c r="Y360"/>
      <c r="Z360"/>
      <c r="AA360" t="s">
        <v>292</v>
      </c>
      <c r="AB360" t="s">
        <v>1</v>
      </c>
      <c r="AC360" t="s">
        <v>138</v>
      </c>
      <c r="AD360" t="s">
        <v>128</v>
      </c>
      <c r="AE360" s="97"/>
    </row>
    <row r="361" spans="1:31" ht="14.4" customHeight="1" x14ac:dyDescent="0.3">
      <c r="A361" t="s">
        <v>1058</v>
      </c>
      <c r="B361" t="s">
        <v>1059</v>
      </c>
      <c r="C361"/>
      <c r="D361"/>
      <c r="E361"/>
      <c r="F361"/>
      <c r="G361" t="s">
        <v>290</v>
      </c>
      <c r="H361" t="s">
        <v>132</v>
      </c>
      <c r="I361" t="s">
        <v>1</v>
      </c>
      <c r="J361" t="s">
        <v>133</v>
      </c>
      <c r="K361" t="s">
        <v>51</v>
      </c>
      <c r="L361" t="s">
        <v>351</v>
      </c>
      <c r="M361" t="s">
        <v>134</v>
      </c>
      <c r="N361" t="s">
        <v>135</v>
      </c>
      <c r="O361"/>
      <c r="P361"/>
      <c r="Q361" t="s">
        <v>291</v>
      </c>
      <c r="R361"/>
      <c r="S361"/>
      <c r="T361" t="s">
        <v>169</v>
      </c>
      <c r="U361" t="s">
        <v>137</v>
      </c>
      <c r="V361" t="s">
        <v>352</v>
      </c>
      <c r="W361"/>
      <c r="X361" t="s">
        <v>56</v>
      </c>
      <c r="Y361"/>
      <c r="Z361"/>
      <c r="AA361" t="s">
        <v>292</v>
      </c>
      <c r="AB361" t="s">
        <v>1</v>
      </c>
      <c r="AC361" t="s">
        <v>138</v>
      </c>
      <c r="AD361" t="s">
        <v>128</v>
      </c>
      <c r="AE361" s="97"/>
    </row>
    <row r="362" spans="1:31" ht="14.4" customHeight="1" x14ac:dyDescent="0.3">
      <c r="A362" t="s">
        <v>1060</v>
      </c>
      <c r="B362" t="s">
        <v>1061</v>
      </c>
      <c r="C362"/>
      <c r="D362"/>
      <c r="E362"/>
      <c r="F362"/>
      <c r="G362" t="s">
        <v>290</v>
      </c>
      <c r="H362" t="s">
        <v>132</v>
      </c>
      <c r="I362" t="s">
        <v>1</v>
      </c>
      <c r="J362" t="s">
        <v>133</v>
      </c>
      <c r="K362" t="s">
        <v>51</v>
      </c>
      <c r="L362" t="s">
        <v>351</v>
      </c>
      <c r="M362" t="s">
        <v>134</v>
      </c>
      <c r="N362" t="s">
        <v>135</v>
      </c>
      <c r="O362"/>
      <c r="P362"/>
      <c r="Q362" t="s">
        <v>291</v>
      </c>
      <c r="R362"/>
      <c r="S362"/>
      <c r="T362" t="s">
        <v>169</v>
      </c>
      <c r="U362" t="s">
        <v>137</v>
      </c>
      <c r="V362" t="s">
        <v>352</v>
      </c>
      <c r="W362"/>
      <c r="X362" t="s">
        <v>56</v>
      </c>
      <c r="Y362"/>
      <c r="Z362"/>
      <c r="AA362" t="s">
        <v>292</v>
      </c>
      <c r="AB362" t="s">
        <v>1</v>
      </c>
      <c r="AC362" t="s">
        <v>138</v>
      </c>
      <c r="AD362" t="s">
        <v>128</v>
      </c>
      <c r="AE362" s="97"/>
    </row>
    <row r="363" spans="1:31" ht="14.4" customHeight="1" x14ac:dyDescent="0.3">
      <c r="A363" t="s">
        <v>1062</v>
      </c>
      <c r="B363" t="s">
        <v>1063</v>
      </c>
      <c r="C363"/>
      <c r="D363"/>
      <c r="E363"/>
      <c r="F363"/>
      <c r="G363" t="s">
        <v>290</v>
      </c>
      <c r="H363" t="s">
        <v>132</v>
      </c>
      <c r="I363" t="s">
        <v>1</v>
      </c>
      <c r="J363" t="s">
        <v>133</v>
      </c>
      <c r="K363" t="s">
        <v>51</v>
      </c>
      <c r="L363" t="s">
        <v>1064</v>
      </c>
      <c r="M363" t="s">
        <v>134</v>
      </c>
      <c r="N363" t="s">
        <v>135</v>
      </c>
      <c r="O363"/>
      <c r="P363"/>
      <c r="Q363" t="s">
        <v>291</v>
      </c>
      <c r="R363"/>
      <c r="S363"/>
      <c r="T363" t="s">
        <v>169</v>
      </c>
      <c r="U363" t="s">
        <v>137</v>
      </c>
      <c r="V363" t="s">
        <v>403</v>
      </c>
      <c r="W363"/>
      <c r="X363" t="s">
        <v>68</v>
      </c>
      <c r="Y363"/>
      <c r="Z363"/>
      <c r="AA363" t="s">
        <v>292</v>
      </c>
      <c r="AB363" t="s">
        <v>1</v>
      </c>
      <c r="AC363" t="s">
        <v>138</v>
      </c>
      <c r="AD363" t="s">
        <v>128</v>
      </c>
      <c r="AE363" s="97"/>
    </row>
    <row r="364" spans="1:31" ht="14.4" customHeight="1" x14ac:dyDescent="0.3">
      <c r="A364" t="s">
        <v>1065</v>
      </c>
      <c r="B364" t="s">
        <v>1066</v>
      </c>
      <c r="C364"/>
      <c r="D364"/>
      <c r="E364"/>
      <c r="F364"/>
      <c r="G364" t="s">
        <v>290</v>
      </c>
      <c r="H364" t="s">
        <v>132</v>
      </c>
      <c r="I364" t="s">
        <v>1</v>
      </c>
      <c r="J364" t="s">
        <v>133</v>
      </c>
      <c r="K364" t="s">
        <v>51</v>
      </c>
      <c r="L364" t="s">
        <v>1067</v>
      </c>
      <c r="M364" t="s">
        <v>134</v>
      </c>
      <c r="N364" t="s">
        <v>135</v>
      </c>
      <c r="O364"/>
      <c r="P364"/>
      <c r="Q364" t="s">
        <v>291</v>
      </c>
      <c r="R364"/>
      <c r="S364"/>
      <c r="T364" t="s">
        <v>169</v>
      </c>
      <c r="U364" t="s">
        <v>137</v>
      </c>
      <c r="V364" t="s">
        <v>407</v>
      </c>
      <c r="W364"/>
      <c r="X364" t="s">
        <v>77</v>
      </c>
      <c r="Y364"/>
      <c r="Z364"/>
      <c r="AA364" t="s">
        <v>292</v>
      </c>
      <c r="AB364" t="s">
        <v>1</v>
      </c>
      <c r="AC364" t="s">
        <v>138</v>
      </c>
      <c r="AD364" t="s">
        <v>128</v>
      </c>
      <c r="AE364" s="97"/>
    </row>
    <row r="365" spans="1:31" ht="14.4" customHeight="1" x14ac:dyDescent="0.3">
      <c r="A365" t="s">
        <v>1068</v>
      </c>
      <c r="B365" t="s">
        <v>1069</v>
      </c>
      <c r="C365"/>
      <c r="D365"/>
      <c r="E365"/>
      <c r="F365"/>
      <c r="G365" t="s">
        <v>290</v>
      </c>
      <c r="H365" t="s">
        <v>132</v>
      </c>
      <c r="I365" t="s">
        <v>1</v>
      </c>
      <c r="J365" t="s">
        <v>133</v>
      </c>
      <c r="K365" t="s">
        <v>51</v>
      </c>
      <c r="L365" t="s">
        <v>1070</v>
      </c>
      <c r="M365" t="s">
        <v>134</v>
      </c>
      <c r="N365" t="s">
        <v>135</v>
      </c>
      <c r="O365"/>
      <c r="P365"/>
      <c r="Q365" t="s">
        <v>291</v>
      </c>
      <c r="R365"/>
      <c r="S365"/>
      <c r="T365" t="s">
        <v>169</v>
      </c>
      <c r="U365" t="s">
        <v>137</v>
      </c>
      <c r="V365" t="s">
        <v>411</v>
      </c>
      <c r="W365"/>
      <c r="X365" t="s">
        <v>87</v>
      </c>
      <c r="Y365"/>
      <c r="Z365"/>
      <c r="AA365" t="s">
        <v>292</v>
      </c>
      <c r="AB365" t="s">
        <v>1</v>
      </c>
      <c r="AC365" t="s">
        <v>138</v>
      </c>
      <c r="AD365" t="s">
        <v>129</v>
      </c>
      <c r="AE365" s="97"/>
    </row>
    <row r="366" spans="1:31" ht="14.4" customHeight="1" x14ac:dyDescent="0.3">
      <c r="A366" t="s">
        <v>1071</v>
      </c>
      <c r="B366" t="s">
        <v>1072</v>
      </c>
      <c r="C366"/>
      <c r="D366"/>
      <c r="E366"/>
      <c r="F366"/>
      <c r="G366" t="s">
        <v>290</v>
      </c>
      <c r="H366" t="s">
        <v>132</v>
      </c>
      <c r="I366" t="s">
        <v>1</v>
      </c>
      <c r="J366" t="s">
        <v>133</v>
      </c>
      <c r="K366" t="s">
        <v>51</v>
      </c>
      <c r="L366" t="s">
        <v>1073</v>
      </c>
      <c r="M366" t="s">
        <v>134</v>
      </c>
      <c r="N366" t="s">
        <v>135</v>
      </c>
      <c r="O366"/>
      <c r="P366"/>
      <c r="Q366" t="s">
        <v>291</v>
      </c>
      <c r="R366"/>
      <c r="S366"/>
      <c r="T366" t="s">
        <v>169</v>
      </c>
      <c r="U366" t="s">
        <v>137</v>
      </c>
      <c r="V366" t="s">
        <v>415</v>
      </c>
      <c r="W366"/>
      <c r="X366" t="s">
        <v>96</v>
      </c>
      <c r="Y366"/>
      <c r="Z366"/>
      <c r="AA366" t="s">
        <v>292</v>
      </c>
      <c r="AB366" t="s">
        <v>1</v>
      </c>
      <c r="AC366" t="s">
        <v>138</v>
      </c>
      <c r="AD366" t="s">
        <v>129</v>
      </c>
      <c r="AE366" s="97"/>
    </row>
    <row r="367" spans="1:31" ht="14.4" customHeight="1" x14ac:dyDescent="0.3">
      <c r="A367" t="s">
        <v>1074</v>
      </c>
      <c r="B367" t="s">
        <v>1075</v>
      </c>
      <c r="C367"/>
      <c r="D367"/>
      <c r="E367"/>
      <c r="F367"/>
      <c r="G367" t="s">
        <v>290</v>
      </c>
      <c r="H367" t="s">
        <v>132</v>
      </c>
      <c r="I367" t="s">
        <v>1</v>
      </c>
      <c r="J367" t="s">
        <v>133</v>
      </c>
      <c r="K367" t="s">
        <v>51</v>
      </c>
      <c r="L367" t="s">
        <v>1076</v>
      </c>
      <c r="M367" t="s">
        <v>134</v>
      </c>
      <c r="N367" t="s">
        <v>135</v>
      </c>
      <c r="O367"/>
      <c r="P367"/>
      <c r="Q367" t="s">
        <v>291</v>
      </c>
      <c r="R367"/>
      <c r="S367"/>
      <c r="T367" t="s">
        <v>169</v>
      </c>
      <c r="U367" t="s">
        <v>137</v>
      </c>
      <c r="V367" t="s">
        <v>419</v>
      </c>
      <c r="W367"/>
      <c r="X367" t="s">
        <v>105</v>
      </c>
      <c r="Y367"/>
      <c r="Z367"/>
      <c r="AA367" t="s">
        <v>292</v>
      </c>
      <c r="AB367" t="s">
        <v>1</v>
      </c>
      <c r="AC367" t="s">
        <v>138</v>
      </c>
      <c r="AD367" t="s">
        <v>129</v>
      </c>
      <c r="AE367" s="97"/>
    </row>
    <row r="368" spans="1:31" ht="14.4" customHeight="1" x14ac:dyDescent="0.3">
      <c r="A368" t="s">
        <v>1077</v>
      </c>
      <c r="B368" t="s">
        <v>1078</v>
      </c>
      <c r="C368"/>
      <c r="D368"/>
      <c r="E368"/>
      <c r="F368"/>
      <c r="G368" t="s">
        <v>290</v>
      </c>
      <c r="H368" t="s">
        <v>132</v>
      </c>
      <c r="I368" t="s">
        <v>1</v>
      </c>
      <c r="J368" t="s">
        <v>133</v>
      </c>
      <c r="K368" t="s">
        <v>51</v>
      </c>
      <c r="L368" t="s">
        <v>1079</v>
      </c>
      <c r="M368" t="s">
        <v>134</v>
      </c>
      <c r="N368" t="s">
        <v>135</v>
      </c>
      <c r="O368"/>
      <c r="P368"/>
      <c r="Q368" t="s">
        <v>291</v>
      </c>
      <c r="R368"/>
      <c r="S368"/>
      <c r="T368" t="s">
        <v>169</v>
      </c>
      <c r="U368" t="s">
        <v>137</v>
      </c>
      <c r="V368" t="s">
        <v>423</v>
      </c>
      <c r="W368"/>
      <c r="X368" t="s">
        <v>112</v>
      </c>
      <c r="Y368"/>
      <c r="Z368"/>
      <c r="AA368" t="s">
        <v>292</v>
      </c>
      <c r="AB368" t="s">
        <v>1</v>
      </c>
      <c r="AC368" t="s">
        <v>138</v>
      </c>
      <c r="AD368" t="s">
        <v>129</v>
      </c>
      <c r="AE368" s="97"/>
    </row>
    <row r="369" spans="1:31" ht="14.4" customHeight="1" x14ac:dyDescent="0.3">
      <c r="A369" t="s">
        <v>1080</v>
      </c>
      <c r="B369" t="s">
        <v>1081</v>
      </c>
      <c r="C369"/>
      <c r="D369"/>
      <c r="E369"/>
      <c r="F369"/>
      <c r="G369" t="s">
        <v>290</v>
      </c>
      <c r="H369" t="s">
        <v>132</v>
      </c>
      <c r="I369" t="s">
        <v>1</v>
      </c>
      <c r="J369" t="s">
        <v>133</v>
      </c>
      <c r="K369" t="s">
        <v>51</v>
      </c>
      <c r="L369" t="s">
        <v>1082</v>
      </c>
      <c r="M369" t="s">
        <v>134</v>
      </c>
      <c r="N369" t="s">
        <v>135</v>
      </c>
      <c r="O369"/>
      <c r="P369"/>
      <c r="Q369" t="s">
        <v>291</v>
      </c>
      <c r="R369"/>
      <c r="S369"/>
      <c r="T369" t="s">
        <v>169</v>
      </c>
      <c r="U369" t="s">
        <v>137</v>
      </c>
      <c r="V369" t="s">
        <v>427</v>
      </c>
      <c r="W369"/>
      <c r="X369" t="s">
        <v>121</v>
      </c>
      <c r="Y369"/>
      <c r="Z369"/>
      <c r="AA369" t="s">
        <v>292</v>
      </c>
      <c r="AB369" t="s">
        <v>1</v>
      </c>
      <c r="AC369" t="s">
        <v>138</v>
      </c>
      <c r="AD369" t="s">
        <v>130</v>
      </c>
      <c r="AE369" s="97"/>
    </row>
    <row r="370" spans="1:31" ht="14.4" customHeight="1" x14ac:dyDescent="0.3">
      <c r="A370" t="s">
        <v>1083</v>
      </c>
      <c r="B370" t="s">
        <v>1084</v>
      </c>
      <c r="C370"/>
      <c r="D370"/>
      <c r="E370"/>
      <c r="F370"/>
      <c r="G370" t="s">
        <v>290</v>
      </c>
      <c r="H370" t="s">
        <v>132</v>
      </c>
      <c r="I370" t="s">
        <v>1</v>
      </c>
      <c r="J370" t="s">
        <v>133</v>
      </c>
      <c r="K370" t="s">
        <v>51</v>
      </c>
      <c r="L370" t="s">
        <v>295</v>
      </c>
      <c r="M370" t="s">
        <v>134</v>
      </c>
      <c r="N370" t="s">
        <v>135</v>
      </c>
      <c r="O370"/>
      <c r="P370"/>
      <c r="Q370" t="s">
        <v>291</v>
      </c>
      <c r="R370"/>
      <c r="S370"/>
      <c r="T370" t="s">
        <v>169</v>
      </c>
      <c r="U370" t="s">
        <v>137</v>
      </c>
      <c r="V370" t="s">
        <v>296</v>
      </c>
      <c r="W370"/>
      <c r="X370" t="s">
        <v>63</v>
      </c>
      <c r="Y370"/>
      <c r="Z370"/>
      <c r="AA370" t="s">
        <v>292</v>
      </c>
      <c r="AB370" t="s">
        <v>1</v>
      </c>
      <c r="AC370" t="s">
        <v>138</v>
      </c>
      <c r="AD370" t="s">
        <v>128</v>
      </c>
      <c r="AE370" s="97"/>
    </row>
    <row r="371" spans="1:31" ht="14.4" customHeight="1" x14ac:dyDescent="0.3">
      <c r="A371" t="s">
        <v>1085</v>
      </c>
      <c r="B371" t="s">
        <v>1086</v>
      </c>
      <c r="C371"/>
      <c r="D371"/>
      <c r="E371"/>
      <c r="F371"/>
      <c r="G371" t="s">
        <v>290</v>
      </c>
      <c r="H371" t="s">
        <v>132</v>
      </c>
      <c r="I371" t="s">
        <v>1</v>
      </c>
      <c r="J371" t="s">
        <v>133</v>
      </c>
      <c r="K371" t="s">
        <v>51</v>
      </c>
      <c r="L371" t="s">
        <v>1087</v>
      </c>
      <c r="M371" t="s">
        <v>134</v>
      </c>
      <c r="N371" t="s">
        <v>135</v>
      </c>
      <c r="O371"/>
      <c r="P371"/>
      <c r="Q371" t="s">
        <v>291</v>
      </c>
      <c r="R371"/>
      <c r="S371"/>
      <c r="T371" t="s">
        <v>169</v>
      </c>
      <c r="U371" t="s">
        <v>137</v>
      </c>
      <c r="V371" t="s">
        <v>296</v>
      </c>
      <c r="W371"/>
      <c r="X371" t="s">
        <v>63</v>
      </c>
      <c r="Y371"/>
      <c r="Z371"/>
      <c r="AA371" t="s">
        <v>292</v>
      </c>
      <c r="AB371" t="s">
        <v>1</v>
      </c>
      <c r="AC371" t="s">
        <v>138</v>
      </c>
      <c r="AD371" t="s">
        <v>128</v>
      </c>
      <c r="AE371" s="97"/>
    </row>
    <row r="372" spans="1:31" ht="14.4" customHeight="1" x14ac:dyDescent="0.3">
      <c r="A372" t="s">
        <v>1088</v>
      </c>
      <c r="B372" t="s">
        <v>1089</v>
      </c>
      <c r="C372"/>
      <c r="D372"/>
      <c r="E372"/>
      <c r="F372"/>
      <c r="G372" t="s">
        <v>290</v>
      </c>
      <c r="H372" t="s">
        <v>132</v>
      </c>
      <c r="I372" t="s">
        <v>1</v>
      </c>
      <c r="J372" t="s">
        <v>133</v>
      </c>
      <c r="K372" t="s">
        <v>51</v>
      </c>
      <c r="L372" t="s">
        <v>1090</v>
      </c>
      <c r="M372" t="s">
        <v>134</v>
      </c>
      <c r="N372" t="s">
        <v>135</v>
      </c>
      <c r="O372"/>
      <c r="P372"/>
      <c r="Q372" t="s">
        <v>291</v>
      </c>
      <c r="R372"/>
      <c r="S372"/>
      <c r="T372" t="s">
        <v>169</v>
      </c>
      <c r="U372" t="s">
        <v>137</v>
      </c>
      <c r="V372" t="s">
        <v>296</v>
      </c>
      <c r="W372"/>
      <c r="X372" t="s">
        <v>63</v>
      </c>
      <c r="Y372"/>
      <c r="Z372"/>
      <c r="AA372" t="s">
        <v>292</v>
      </c>
      <c r="AB372" t="s">
        <v>1</v>
      </c>
      <c r="AC372" t="s">
        <v>138</v>
      </c>
      <c r="AD372" t="s">
        <v>128</v>
      </c>
      <c r="AE372" s="97"/>
    </row>
    <row r="373" spans="1:31" ht="14.4" customHeight="1" x14ac:dyDescent="0.3">
      <c r="A373" t="s">
        <v>1091</v>
      </c>
      <c r="B373" t="s">
        <v>1092</v>
      </c>
      <c r="C373"/>
      <c r="D373"/>
      <c r="E373"/>
      <c r="F373"/>
      <c r="G373" t="s">
        <v>290</v>
      </c>
      <c r="H373" t="s">
        <v>132</v>
      </c>
      <c r="I373" t="s">
        <v>1</v>
      </c>
      <c r="J373" t="s">
        <v>133</v>
      </c>
      <c r="K373" t="s">
        <v>51</v>
      </c>
      <c r="L373" t="s">
        <v>299</v>
      </c>
      <c r="M373" t="s">
        <v>134</v>
      </c>
      <c r="N373" t="s">
        <v>135</v>
      </c>
      <c r="O373"/>
      <c r="P373"/>
      <c r="Q373" t="s">
        <v>291</v>
      </c>
      <c r="R373"/>
      <c r="S373"/>
      <c r="T373" t="s">
        <v>169</v>
      </c>
      <c r="U373" t="s">
        <v>137</v>
      </c>
      <c r="V373" t="s">
        <v>300</v>
      </c>
      <c r="W373"/>
      <c r="X373" t="s">
        <v>72</v>
      </c>
      <c r="Y373"/>
      <c r="Z373"/>
      <c r="AA373" t="s">
        <v>292</v>
      </c>
      <c r="AB373" t="s">
        <v>1</v>
      </c>
      <c r="AC373" t="s">
        <v>138</v>
      </c>
      <c r="AD373" t="s">
        <v>128</v>
      </c>
      <c r="AE373" s="97"/>
    </row>
    <row r="374" spans="1:31" ht="14.4" customHeight="1" x14ac:dyDescent="0.3">
      <c r="A374" t="s">
        <v>1093</v>
      </c>
      <c r="B374" t="s">
        <v>1094</v>
      </c>
      <c r="C374"/>
      <c r="D374"/>
      <c r="E374"/>
      <c r="F374"/>
      <c r="G374" t="s">
        <v>290</v>
      </c>
      <c r="H374" t="s">
        <v>132</v>
      </c>
      <c r="I374" t="s">
        <v>1</v>
      </c>
      <c r="J374" t="s">
        <v>133</v>
      </c>
      <c r="K374" t="s">
        <v>51</v>
      </c>
      <c r="L374" t="s">
        <v>1095</v>
      </c>
      <c r="M374" t="s">
        <v>134</v>
      </c>
      <c r="N374" t="s">
        <v>135</v>
      </c>
      <c r="O374"/>
      <c r="P374"/>
      <c r="Q374" t="s">
        <v>291</v>
      </c>
      <c r="R374"/>
      <c r="S374"/>
      <c r="T374" t="s">
        <v>169</v>
      </c>
      <c r="U374" t="s">
        <v>137</v>
      </c>
      <c r="V374" t="s">
        <v>300</v>
      </c>
      <c r="W374"/>
      <c r="X374" t="s">
        <v>72</v>
      </c>
      <c r="Y374"/>
      <c r="Z374"/>
      <c r="AA374" t="s">
        <v>292</v>
      </c>
      <c r="AB374" t="s">
        <v>1</v>
      </c>
      <c r="AC374" t="s">
        <v>138</v>
      </c>
      <c r="AD374" t="s">
        <v>128</v>
      </c>
      <c r="AE374" s="97"/>
    </row>
    <row r="375" spans="1:31" ht="14.4" customHeight="1" x14ac:dyDescent="0.3">
      <c r="A375" t="s">
        <v>1096</v>
      </c>
      <c r="B375" t="s">
        <v>1097</v>
      </c>
      <c r="C375"/>
      <c r="D375"/>
      <c r="E375"/>
      <c r="F375"/>
      <c r="G375" t="s">
        <v>290</v>
      </c>
      <c r="H375" t="s">
        <v>132</v>
      </c>
      <c r="I375" t="s">
        <v>1</v>
      </c>
      <c r="J375" t="s">
        <v>133</v>
      </c>
      <c r="K375" t="s">
        <v>51</v>
      </c>
      <c r="L375" t="s">
        <v>1098</v>
      </c>
      <c r="M375" t="s">
        <v>134</v>
      </c>
      <c r="N375" t="s">
        <v>135</v>
      </c>
      <c r="O375"/>
      <c r="P375"/>
      <c r="Q375" t="s">
        <v>291</v>
      </c>
      <c r="R375"/>
      <c r="S375"/>
      <c r="T375" t="s">
        <v>169</v>
      </c>
      <c r="U375" t="s">
        <v>137</v>
      </c>
      <c r="V375" t="s">
        <v>300</v>
      </c>
      <c r="W375"/>
      <c r="X375" t="s">
        <v>72</v>
      </c>
      <c r="Y375"/>
      <c r="Z375"/>
      <c r="AA375" t="s">
        <v>292</v>
      </c>
      <c r="AB375" t="s">
        <v>1</v>
      </c>
      <c r="AC375" t="s">
        <v>138</v>
      </c>
      <c r="AD375" t="s">
        <v>128</v>
      </c>
      <c r="AE375" s="97"/>
    </row>
    <row r="376" spans="1:31" ht="14.4" customHeight="1" x14ac:dyDescent="0.3">
      <c r="A376" t="s">
        <v>1099</v>
      </c>
      <c r="B376" t="s">
        <v>1100</v>
      </c>
      <c r="C376"/>
      <c r="D376"/>
      <c r="E376"/>
      <c r="F376"/>
      <c r="G376" t="s">
        <v>290</v>
      </c>
      <c r="H376" t="s">
        <v>132</v>
      </c>
      <c r="I376" t="s">
        <v>1</v>
      </c>
      <c r="J376" t="s">
        <v>133</v>
      </c>
      <c r="K376" t="s">
        <v>51</v>
      </c>
      <c r="L376" t="s">
        <v>303</v>
      </c>
      <c r="M376" t="s">
        <v>134</v>
      </c>
      <c r="N376" t="s">
        <v>135</v>
      </c>
      <c r="O376"/>
      <c r="P376"/>
      <c r="Q376" t="s">
        <v>291</v>
      </c>
      <c r="R376"/>
      <c r="S376"/>
      <c r="T376" t="s">
        <v>169</v>
      </c>
      <c r="U376" t="s">
        <v>137</v>
      </c>
      <c r="V376" t="s">
        <v>304</v>
      </c>
      <c r="W376"/>
      <c r="X376" t="s">
        <v>81</v>
      </c>
      <c r="Y376"/>
      <c r="Z376"/>
      <c r="AA376" t="s">
        <v>292</v>
      </c>
      <c r="AB376" t="s">
        <v>1</v>
      </c>
      <c r="AC376" t="s">
        <v>138</v>
      </c>
      <c r="AD376" t="s">
        <v>129</v>
      </c>
      <c r="AE376" s="97"/>
    </row>
    <row r="377" spans="1:31" ht="14.4" customHeight="1" x14ac:dyDescent="0.3">
      <c r="A377" t="s">
        <v>1101</v>
      </c>
      <c r="B377" t="s">
        <v>1102</v>
      </c>
      <c r="C377"/>
      <c r="D377"/>
      <c r="E377"/>
      <c r="F377"/>
      <c r="G377" t="s">
        <v>290</v>
      </c>
      <c r="H377" t="s">
        <v>132</v>
      </c>
      <c r="I377" t="s">
        <v>1</v>
      </c>
      <c r="J377" t="s">
        <v>133</v>
      </c>
      <c r="K377" t="s">
        <v>51</v>
      </c>
      <c r="L377" t="s">
        <v>1103</v>
      </c>
      <c r="M377" t="s">
        <v>134</v>
      </c>
      <c r="N377" t="s">
        <v>135</v>
      </c>
      <c r="O377"/>
      <c r="P377"/>
      <c r="Q377" t="s">
        <v>291</v>
      </c>
      <c r="R377"/>
      <c r="S377"/>
      <c r="T377" t="s">
        <v>169</v>
      </c>
      <c r="U377" t="s">
        <v>137</v>
      </c>
      <c r="V377" t="s">
        <v>304</v>
      </c>
      <c r="W377"/>
      <c r="X377" t="s">
        <v>81</v>
      </c>
      <c r="Y377"/>
      <c r="Z377"/>
      <c r="AA377" t="s">
        <v>292</v>
      </c>
      <c r="AB377" t="s">
        <v>1</v>
      </c>
      <c r="AC377" t="s">
        <v>138</v>
      </c>
      <c r="AD377" t="s">
        <v>129</v>
      </c>
      <c r="AE377" s="97"/>
    </row>
    <row r="378" spans="1:31" ht="14.4" customHeight="1" x14ac:dyDescent="0.3">
      <c r="A378" t="s">
        <v>1104</v>
      </c>
      <c r="B378" t="s">
        <v>1105</v>
      </c>
      <c r="C378"/>
      <c r="D378"/>
      <c r="E378"/>
      <c r="F378"/>
      <c r="G378" t="s">
        <v>290</v>
      </c>
      <c r="H378" t="s">
        <v>132</v>
      </c>
      <c r="I378" t="s">
        <v>1</v>
      </c>
      <c r="J378" t="s">
        <v>133</v>
      </c>
      <c r="K378" t="s">
        <v>51</v>
      </c>
      <c r="L378" t="s">
        <v>1106</v>
      </c>
      <c r="M378" t="s">
        <v>134</v>
      </c>
      <c r="N378" t="s">
        <v>135</v>
      </c>
      <c r="O378"/>
      <c r="P378"/>
      <c r="Q378" t="s">
        <v>291</v>
      </c>
      <c r="R378"/>
      <c r="S378"/>
      <c r="T378" t="s">
        <v>169</v>
      </c>
      <c r="U378" t="s">
        <v>137</v>
      </c>
      <c r="V378" t="s">
        <v>304</v>
      </c>
      <c r="W378"/>
      <c r="X378" t="s">
        <v>81</v>
      </c>
      <c r="Y378"/>
      <c r="Z378"/>
      <c r="AA378" t="s">
        <v>292</v>
      </c>
      <c r="AB378" t="s">
        <v>1</v>
      </c>
      <c r="AC378" t="s">
        <v>138</v>
      </c>
      <c r="AD378" t="s">
        <v>129</v>
      </c>
      <c r="AE378" s="97"/>
    </row>
    <row r="379" spans="1:31" ht="14.4" customHeight="1" x14ac:dyDescent="0.3">
      <c r="A379" t="s">
        <v>1107</v>
      </c>
      <c r="B379" t="s">
        <v>1108</v>
      </c>
      <c r="C379"/>
      <c r="D379"/>
      <c r="E379"/>
      <c r="F379"/>
      <c r="G379" t="s">
        <v>290</v>
      </c>
      <c r="H379" t="s">
        <v>132</v>
      </c>
      <c r="I379" t="s">
        <v>1</v>
      </c>
      <c r="J379" t="s">
        <v>133</v>
      </c>
      <c r="K379" t="s">
        <v>51</v>
      </c>
      <c r="L379" t="s">
        <v>307</v>
      </c>
      <c r="M379" t="s">
        <v>134</v>
      </c>
      <c r="N379" t="s">
        <v>135</v>
      </c>
      <c r="O379"/>
      <c r="P379"/>
      <c r="Q379" t="s">
        <v>291</v>
      </c>
      <c r="R379"/>
      <c r="S379"/>
      <c r="T379" t="s">
        <v>169</v>
      </c>
      <c r="U379" t="s">
        <v>137</v>
      </c>
      <c r="V379" t="s">
        <v>308</v>
      </c>
      <c r="W379"/>
      <c r="X379" t="s">
        <v>90</v>
      </c>
      <c r="Y379"/>
      <c r="Z379"/>
      <c r="AA379" t="s">
        <v>292</v>
      </c>
      <c r="AB379" t="s">
        <v>1</v>
      </c>
      <c r="AC379" t="s">
        <v>138</v>
      </c>
      <c r="AD379" t="s">
        <v>129</v>
      </c>
      <c r="AE379" s="97"/>
    </row>
    <row r="380" spans="1:31" ht="14.4" customHeight="1" x14ac:dyDescent="0.3">
      <c r="A380" t="s">
        <v>1109</v>
      </c>
      <c r="B380" t="s">
        <v>1110</v>
      </c>
      <c r="C380"/>
      <c r="D380"/>
      <c r="E380"/>
      <c r="F380"/>
      <c r="G380" t="s">
        <v>290</v>
      </c>
      <c r="H380" t="s">
        <v>132</v>
      </c>
      <c r="I380" t="s">
        <v>1</v>
      </c>
      <c r="J380" t="s">
        <v>133</v>
      </c>
      <c r="K380" t="s">
        <v>51</v>
      </c>
      <c r="L380" t="s">
        <v>1111</v>
      </c>
      <c r="M380" t="s">
        <v>134</v>
      </c>
      <c r="N380" t="s">
        <v>135</v>
      </c>
      <c r="O380"/>
      <c r="P380"/>
      <c r="Q380" t="s">
        <v>291</v>
      </c>
      <c r="R380"/>
      <c r="S380"/>
      <c r="T380" t="s">
        <v>169</v>
      </c>
      <c r="U380" t="s">
        <v>137</v>
      </c>
      <c r="V380" t="s">
        <v>308</v>
      </c>
      <c r="W380"/>
      <c r="X380" t="s">
        <v>90</v>
      </c>
      <c r="Y380"/>
      <c r="Z380"/>
      <c r="AA380" t="s">
        <v>292</v>
      </c>
      <c r="AB380" t="s">
        <v>1</v>
      </c>
      <c r="AC380" t="s">
        <v>138</v>
      </c>
      <c r="AD380" t="s">
        <v>129</v>
      </c>
      <c r="AE380" s="97"/>
    </row>
    <row r="381" spans="1:31" ht="14.4" customHeight="1" x14ac:dyDescent="0.3">
      <c r="A381" t="s">
        <v>1112</v>
      </c>
      <c r="B381" t="s">
        <v>1113</v>
      </c>
      <c r="C381"/>
      <c r="D381"/>
      <c r="E381"/>
      <c r="F381"/>
      <c r="G381" t="s">
        <v>290</v>
      </c>
      <c r="H381" t="s">
        <v>132</v>
      </c>
      <c r="I381" t="s">
        <v>1</v>
      </c>
      <c r="J381" t="s">
        <v>133</v>
      </c>
      <c r="K381" t="s">
        <v>51</v>
      </c>
      <c r="L381" t="s">
        <v>1114</v>
      </c>
      <c r="M381" t="s">
        <v>134</v>
      </c>
      <c r="N381" t="s">
        <v>135</v>
      </c>
      <c r="O381"/>
      <c r="P381"/>
      <c r="Q381" t="s">
        <v>291</v>
      </c>
      <c r="R381"/>
      <c r="S381"/>
      <c r="T381" t="s">
        <v>169</v>
      </c>
      <c r="U381" t="s">
        <v>137</v>
      </c>
      <c r="V381" t="s">
        <v>308</v>
      </c>
      <c r="W381"/>
      <c r="X381" t="s">
        <v>90</v>
      </c>
      <c r="Y381"/>
      <c r="Z381"/>
      <c r="AA381" t="s">
        <v>292</v>
      </c>
      <c r="AB381" t="s">
        <v>1</v>
      </c>
      <c r="AC381" t="s">
        <v>138</v>
      </c>
      <c r="AD381" t="s">
        <v>129</v>
      </c>
      <c r="AE381" s="97"/>
    </row>
    <row r="382" spans="1:31" ht="14.4" customHeight="1" x14ac:dyDescent="0.3">
      <c r="A382" t="s">
        <v>1115</v>
      </c>
      <c r="B382" t="s">
        <v>1116</v>
      </c>
      <c r="C382"/>
      <c r="D382"/>
      <c r="E382"/>
      <c r="F382"/>
      <c r="G382" t="s">
        <v>290</v>
      </c>
      <c r="H382" t="s">
        <v>132</v>
      </c>
      <c r="I382" t="s">
        <v>1</v>
      </c>
      <c r="J382" t="s">
        <v>133</v>
      </c>
      <c r="K382" t="s">
        <v>51</v>
      </c>
      <c r="L382" t="s">
        <v>311</v>
      </c>
      <c r="M382" t="s">
        <v>134</v>
      </c>
      <c r="N382" t="s">
        <v>135</v>
      </c>
      <c r="O382"/>
      <c r="P382"/>
      <c r="Q382" t="s">
        <v>291</v>
      </c>
      <c r="R382"/>
      <c r="S382"/>
      <c r="T382" t="s">
        <v>169</v>
      </c>
      <c r="U382" t="s">
        <v>137</v>
      </c>
      <c r="V382" t="s">
        <v>312</v>
      </c>
      <c r="W382"/>
      <c r="X382" t="s">
        <v>99</v>
      </c>
      <c r="Y382"/>
      <c r="Z382"/>
      <c r="AA382" t="s">
        <v>292</v>
      </c>
      <c r="AB382" t="s">
        <v>1</v>
      </c>
      <c r="AC382" t="s">
        <v>138</v>
      </c>
      <c r="AD382" t="s">
        <v>129</v>
      </c>
      <c r="AE382" s="97"/>
    </row>
    <row r="383" spans="1:31" ht="14.4" customHeight="1" x14ac:dyDescent="0.3">
      <c r="A383" t="s">
        <v>1117</v>
      </c>
      <c r="B383" t="s">
        <v>1118</v>
      </c>
      <c r="C383"/>
      <c r="D383"/>
      <c r="E383"/>
      <c r="F383"/>
      <c r="G383" t="s">
        <v>290</v>
      </c>
      <c r="H383" t="s">
        <v>132</v>
      </c>
      <c r="I383" t="s">
        <v>1</v>
      </c>
      <c r="J383" t="s">
        <v>133</v>
      </c>
      <c r="K383" t="s">
        <v>51</v>
      </c>
      <c r="L383" t="s">
        <v>1119</v>
      </c>
      <c r="M383" t="s">
        <v>134</v>
      </c>
      <c r="N383" t="s">
        <v>135</v>
      </c>
      <c r="O383"/>
      <c r="P383"/>
      <c r="Q383" t="s">
        <v>291</v>
      </c>
      <c r="R383"/>
      <c r="S383"/>
      <c r="T383" t="s">
        <v>169</v>
      </c>
      <c r="U383" t="s">
        <v>137</v>
      </c>
      <c r="V383" t="s">
        <v>312</v>
      </c>
      <c r="W383"/>
      <c r="X383" t="s">
        <v>99</v>
      </c>
      <c r="Y383"/>
      <c r="Z383"/>
      <c r="AA383" t="s">
        <v>292</v>
      </c>
      <c r="AB383" t="s">
        <v>1</v>
      </c>
      <c r="AC383" t="s">
        <v>138</v>
      </c>
      <c r="AD383" t="s">
        <v>129</v>
      </c>
      <c r="AE383" s="97"/>
    </row>
    <row r="384" spans="1:31" ht="14.4" customHeight="1" x14ac:dyDescent="0.3">
      <c r="A384" t="s">
        <v>1120</v>
      </c>
      <c r="B384" t="s">
        <v>1121</v>
      </c>
      <c r="C384"/>
      <c r="D384"/>
      <c r="E384"/>
      <c r="F384"/>
      <c r="G384" t="s">
        <v>290</v>
      </c>
      <c r="H384" t="s">
        <v>132</v>
      </c>
      <c r="I384" t="s">
        <v>1</v>
      </c>
      <c r="J384" t="s">
        <v>133</v>
      </c>
      <c r="K384" t="s">
        <v>51</v>
      </c>
      <c r="L384" t="s">
        <v>1122</v>
      </c>
      <c r="M384" t="s">
        <v>134</v>
      </c>
      <c r="N384" t="s">
        <v>135</v>
      </c>
      <c r="O384"/>
      <c r="P384"/>
      <c r="Q384" t="s">
        <v>291</v>
      </c>
      <c r="R384"/>
      <c r="S384"/>
      <c r="T384" t="s">
        <v>169</v>
      </c>
      <c r="U384" t="s">
        <v>137</v>
      </c>
      <c r="V384" t="s">
        <v>312</v>
      </c>
      <c r="W384"/>
      <c r="X384" t="s">
        <v>99</v>
      </c>
      <c r="Y384"/>
      <c r="Z384"/>
      <c r="AA384" t="s">
        <v>292</v>
      </c>
      <c r="AB384" t="s">
        <v>1</v>
      </c>
      <c r="AC384" t="s">
        <v>138</v>
      </c>
      <c r="AD384" t="s">
        <v>129</v>
      </c>
      <c r="AE384" s="97"/>
    </row>
    <row r="385" spans="1:31" ht="14.4" customHeight="1" x14ac:dyDescent="0.3">
      <c r="A385" t="s">
        <v>1123</v>
      </c>
      <c r="B385" t="s">
        <v>1124</v>
      </c>
      <c r="C385"/>
      <c r="D385"/>
      <c r="E385"/>
      <c r="F385"/>
      <c r="G385" t="s">
        <v>290</v>
      </c>
      <c r="H385" t="s">
        <v>132</v>
      </c>
      <c r="I385" t="s">
        <v>1</v>
      </c>
      <c r="J385" t="s">
        <v>133</v>
      </c>
      <c r="K385" t="s">
        <v>51</v>
      </c>
      <c r="L385" t="s">
        <v>315</v>
      </c>
      <c r="M385" t="s">
        <v>134</v>
      </c>
      <c r="N385" t="s">
        <v>135</v>
      </c>
      <c r="O385"/>
      <c r="P385"/>
      <c r="Q385" t="s">
        <v>291</v>
      </c>
      <c r="R385"/>
      <c r="S385"/>
      <c r="T385" t="s">
        <v>169</v>
      </c>
      <c r="U385" t="s">
        <v>137</v>
      </c>
      <c r="V385" t="s">
        <v>316</v>
      </c>
      <c r="W385"/>
      <c r="X385" t="s">
        <v>108</v>
      </c>
      <c r="Y385"/>
      <c r="Z385"/>
      <c r="AA385" t="s">
        <v>292</v>
      </c>
      <c r="AB385" t="s">
        <v>1</v>
      </c>
      <c r="AC385" t="s">
        <v>138</v>
      </c>
      <c r="AD385" t="s">
        <v>129</v>
      </c>
      <c r="AE385" s="97"/>
    </row>
    <row r="386" spans="1:31" ht="14.4" customHeight="1" x14ac:dyDescent="0.3">
      <c r="A386" t="s">
        <v>1125</v>
      </c>
      <c r="B386" t="s">
        <v>1126</v>
      </c>
      <c r="C386"/>
      <c r="D386"/>
      <c r="E386"/>
      <c r="F386"/>
      <c r="G386" t="s">
        <v>290</v>
      </c>
      <c r="H386" t="s">
        <v>132</v>
      </c>
      <c r="I386" t="s">
        <v>1</v>
      </c>
      <c r="J386" t="s">
        <v>133</v>
      </c>
      <c r="K386" t="s">
        <v>51</v>
      </c>
      <c r="L386" t="s">
        <v>1127</v>
      </c>
      <c r="M386" t="s">
        <v>134</v>
      </c>
      <c r="N386" t="s">
        <v>135</v>
      </c>
      <c r="O386"/>
      <c r="P386"/>
      <c r="Q386" t="s">
        <v>291</v>
      </c>
      <c r="R386"/>
      <c r="S386"/>
      <c r="T386" t="s">
        <v>169</v>
      </c>
      <c r="U386" t="s">
        <v>137</v>
      </c>
      <c r="V386" t="s">
        <v>316</v>
      </c>
      <c r="W386"/>
      <c r="X386" t="s">
        <v>108</v>
      </c>
      <c r="Y386"/>
      <c r="Z386"/>
      <c r="AA386" t="s">
        <v>292</v>
      </c>
      <c r="AB386" t="s">
        <v>1</v>
      </c>
      <c r="AC386" t="s">
        <v>138</v>
      </c>
      <c r="AD386" t="s">
        <v>129</v>
      </c>
      <c r="AE386" s="97"/>
    </row>
    <row r="387" spans="1:31" ht="14.4" customHeight="1" x14ac:dyDescent="0.3">
      <c r="A387" t="s">
        <v>1128</v>
      </c>
      <c r="B387" t="s">
        <v>1129</v>
      </c>
      <c r="C387"/>
      <c r="D387"/>
      <c r="E387"/>
      <c r="F387"/>
      <c r="G387" t="s">
        <v>290</v>
      </c>
      <c r="H387" t="s">
        <v>132</v>
      </c>
      <c r="I387" t="s">
        <v>1</v>
      </c>
      <c r="J387" t="s">
        <v>133</v>
      </c>
      <c r="K387" t="s">
        <v>51</v>
      </c>
      <c r="L387" t="s">
        <v>1130</v>
      </c>
      <c r="M387" t="s">
        <v>134</v>
      </c>
      <c r="N387" t="s">
        <v>135</v>
      </c>
      <c r="O387"/>
      <c r="P387"/>
      <c r="Q387" t="s">
        <v>291</v>
      </c>
      <c r="R387"/>
      <c r="S387"/>
      <c r="T387" t="s">
        <v>169</v>
      </c>
      <c r="U387" t="s">
        <v>137</v>
      </c>
      <c r="V387" t="s">
        <v>316</v>
      </c>
      <c r="W387"/>
      <c r="X387" t="s">
        <v>108</v>
      </c>
      <c r="Y387"/>
      <c r="Z387"/>
      <c r="AA387" t="s">
        <v>292</v>
      </c>
      <c r="AB387" t="s">
        <v>1</v>
      </c>
      <c r="AC387" t="s">
        <v>138</v>
      </c>
      <c r="AD387" t="s">
        <v>129</v>
      </c>
      <c r="AE387" s="97"/>
    </row>
    <row r="388" spans="1:31" ht="14.4" customHeight="1" x14ac:dyDescent="0.3">
      <c r="A388" t="s">
        <v>1131</v>
      </c>
      <c r="B388" t="s">
        <v>1132</v>
      </c>
      <c r="C388"/>
      <c r="D388"/>
      <c r="E388"/>
      <c r="F388"/>
      <c r="G388" t="s">
        <v>290</v>
      </c>
      <c r="H388" t="s">
        <v>132</v>
      </c>
      <c r="I388" t="s">
        <v>1</v>
      </c>
      <c r="J388" t="s">
        <v>133</v>
      </c>
      <c r="K388" t="s">
        <v>51</v>
      </c>
      <c r="L388" t="s">
        <v>319</v>
      </c>
      <c r="M388" t="s">
        <v>134</v>
      </c>
      <c r="N388" t="s">
        <v>135</v>
      </c>
      <c r="O388"/>
      <c r="P388"/>
      <c r="Q388" t="s">
        <v>291</v>
      </c>
      <c r="R388"/>
      <c r="S388"/>
      <c r="T388" t="s">
        <v>169</v>
      </c>
      <c r="U388" t="s">
        <v>137</v>
      </c>
      <c r="V388" t="s">
        <v>320</v>
      </c>
      <c r="W388"/>
      <c r="X388" t="s">
        <v>117</v>
      </c>
      <c r="Y388"/>
      <c r="Z388"/>
      <c r="AA388" t="s">
        <v>292</v>
      </c>
      <c r="AB388" t="s">
        <v>1</v>
      </c>
      <c r="AC388" t="s">
        <v>138</v>
      </c>
      <c r="AD388" t="s">
        <v>130</v>
      </c>
      <c r="AE388" s="97"/>
    </row>
    <row r="389" spans="1:31" ht="14.4" customHeight="1" x14ac:dyDescent="0.3">
      <c r="A389" t="s">
        <v>1133</v>
      </c>
      <c r="B389" t="s">
        <v>1134</v>
      </c>
      <c r="C389"/>
      <c r="D389"/>
      <c r="E389"/>
      <c r="F389"/>
      <c r="G389" t="s">
        <v>290</v>
      </c>
      <c r="H389" t="s">
        <v>132</v>
      </c>
      <c r="I389" t="s">
        <v>1</v>
      </c>
      <c r="J389" t="s">
        <v>133</v>
      </c>
      <c r="K389" t="s">
        <v>51</v>
      </c>
      <c r="L389" t="s">
        <v>1135</v>
      </c>
      <c r="M389" t="s">
        <v>134</v>
      </c>
      <c r="N389" t="s">
        <v>135</v>
      </c>
      <c r="O389"/>
      <c r="P389"/>
      <c r="Q389" t="s">
        <v>291</v>
      </c>
      <c r="R389"/>
      <c r="S389"/>
      <c r="T389" t="s">
        <v>169</v>
      </c>
      <c r="U389" t="s">
        <v>137</v>
      </c>
      <c r="V389" t="s">
        <v>320</v>
      </c>
      <c r="W389"/>
      <c r="X389" t="s">
        <v>117</v>
      </c>
      <c r="Y389"/>
      <c r="Z389"/>
      <c r="AA389" t="s">
        <v>292</v>
      </c>
      <c r="AB389" t="s">
        <v>1</v>
      </c>
      <c r="AC389" t="s">
        <v>138</v>
      </c>
      <c r="AD389" t="s">
        <v>130</v>
      </c>
      <c r="AE389" s="97"/>
    </row>
    <row r="390" spans="1:31" ht="14.4" customHeight="1" x14ac:dyDescent="0.3">
      <c r="A390" t="s">
        <v>1136</v>
      </c>
      <c r="B390" t="s">
        <v>1137</v>
      </c>
      <c r="C390"/>
      <c r="D390"/>
      <c r="E390"/>
      <c r="F390"/>
      <c r="G390" t="s">
        <v>290</v>
      </c>
      <c r="H390" t="s">
        <v>132</v>
      </c>
      <c r="I390" t="s">
        <v>1</v>
      </c>
      <c r="J390" t="s">
        <v>133</v>
      </c>
      <c r="K390" t="s">
        <v>51</v>
      </c>
      <c r="L390" t="s">
        <v>1138</v>
      </c>
      <c r="M390" t="s">
        <v>134</v>
      </c>
      <c r="N390" t="s">
        <v>135</v>
      </c>
      <c r="O390"/>
      <c r="P390"/>
      <c r="Q390" t="s">
        <v>291</v>
      </c>
      <c r="R390"/>
      <c r="S390"/>
      <c r="T390" t="s">
        <v>169</v>
      </c>
      <c r="U390" t="s">
        <v>137</v>
      </c>
      <c r="V390" t="s">
        <v>320</v>
      </c>
      <c r="W390"/>
      <c r="X390" t="s">
        <v>117</v>
      </c>
      <c r="Y390"/>
      <c r="Z390"/>
      <c r="AA390" t="s">
        <v>292</v>
      </c>
      <c r="AB390" t="s">
        <v>1</v>
      </c>
      <c r="AC390" t="s">
        <v>138</v>
      </c>
      <c r="AD390" t="s">
        <v>130</v>
      </c>
      <c r="AE390" s="97"/>
    </row>
    <row r="391" spans="1:31" ht="14.4" customHeight="1" x14ac:dyDescent="0.3">
      <c r="A391" t="s">
        <v>1139</v>
      </c>
      <c r="B391" t="s">
        <v>1140</v>
      </c>
      <c r="C391"/>
      <c r="D391"/>
      <c r="E391"/>
      <c r="F391"/>
      <c r="G391" t="s">
        <v>290</v>
      </c>
      <c r="H391" t="s">
        <v>132</v>
      </c>
      <c r="I391" t="s">
        <v>1</v>
      </c>
      <c r="J391" t="s">
        <v>133</v>
      </c>
      <c r="K391" t="s">
        <v>51</v>
      </c>
      <c r="L391" t="s">
        <v>1141</v>
      </c>
      <c r="M391" t="s">
        <v>134</v>
      </c>
      <c r="N391" t="s">
        <v>135</v>
      </c>
      <c r="O391"/>
      <c r="P391"/>
      <c r="Q391" t="s">
        <v>291</v>
      </c>
      <c r="R391"/>
      <c r="S391"/>
      <c r="T391" t="s">
        <v>169</v>
      </c>
      <c r="U391" t="s">
        <v>137</v>
      </c>
      <c r="V391" t="s">
        <v>352</v>
      </c>
      <c r="W391"/>
      <c r="X391" t="s">
        <v>56</v>
      </c>
      <c r="Y391"/>
      <c r="Z391"/>
      <c r="AA391" t="s">
        <v>292</v>
      </c>
      <c r="AB391" t="s">
        <v>1</v>
      </c>
      <c r="AC391" t="s">
        <v>138</v>
      </c>
      <c r="AD391" t="s">
        <v>128</v>
      </c>
      <c r="AE391" s="97"/>
    </row>
    <row r="392" spans="1:31" ht="14.4" customHeight="1" x14ac:dyDescent="0.3">
      <c r="A392" t="s">
        <v>1142</v>
      </c>
      <c r="B392" t="s">
        <v>1143</v>
      </c>
      <c r="C392"/>
      <c r="D392"/>
      <c r="E392"/>
      <c r="F392"/>
      <c r="G392" t="s">
        <v>290</v>
      </c>
      <c r="H392" t="s">
        <v>132</v>
      </c>
      <c r="I392" t="s">
        <v>1</v>
      </c>
      <c r="J392" t="s">
        <v>133</v>
      </c>
      <c r="K392" t="s">
        <v>51</v>
      </c>
      <c r="L392" t="s">
        <v>1144</v>
      </c>
      <c r="M392" t="s">
        <v>134</v>
      </c>
      <c r="N392" t="s">
        <v>135</v>
      </c>
      <c r="O392"/>
      <c r="P392"/>
      <c r="Q392" t="s">
        <v>291</v>
      </c>
      <c r="R392"/>
      <c r="S392"/>
      <c r="T392" t="s">
        <v>169</v>
      </c>
      <c r="U392" t="s">
        <v>137</v>
      </c>
      <c r="V392" t="s">
        <v>352</v>
      </c>
      <c r="W392"/>
      <c r="X392" t="s">
        <v>56</v>
      </c>
      <c r="Y392"/>
      <c r="Z392"/>
      <c r="AA392" t="s">
        <v>292</v>
      </c>
      <c r="AB392" t="s">
        <v>1</v>
      </c>
      <c r="AC392" t="s">
        <v>138</v>
      </c>
      <c r="AD392" t="s">
        <v>128</v>
      </c>
      <c r="AE392" s="97"/>
    </row>
    <row r="393" spans="1:31" ht="14.4" customHeight="1" x14ac:dyDescent="0.3">
      <c r="A393" t="s">
        <v>1145</v>
      </c>
      <c r="B393" t="s">
        <v>1146</v>
      </c>
      <c r="C393"/>
      <c r="D393"/>
      <c r="E393"/>
      <c r="F393"/>
      <c r="G393" t="s">
        <v>290</v>
      </c>
      <c r="H393" t="s">
        <v>132</v>
      </c>
      <c r="I393" t="s">
        <v>1</v>
      </c>
      <c r="J393" t="s">
        <v>133</v>
      </c>
      <c r="K393" t="s">
        <v>51</v>
      </c>
      <c r="L393" t="s">
        <v>1147</v>
      </c>
      <c r="M393" t="s">
        <v>134</v>
      </c>
      <c r="N393" t="s">
        <v>135</v>
      </c>
      <c r="O393"/>
      <c r="P393"/>
      <c r="Q393" t="s">
        <v>291</v>
      </c>
      <c r="R393"/>
      <c r="S393"/>
      <c r="T393" t="s">
        <v>169</v>
      </c>
      <c r="U393" t="s">
        <v>137</v>
      </c>
      <c r="V393" t="s">
        <v>352</v>
      </c>
      <c r="W393"/>
      <c r="X393" t="s">
        <v>56</v>
      </c>
      <c r="Y393"/>
      <c r="Z393"/>
      <c r="AA393" t="s">
        <v>292</v>
      </c>
      <c r="AB393" t="s">
        <v>1</v>
      </c>
      <c r="AC393" t="s">
        <v>138</v>
      </c>
      <c r="AD393" t="s">
        <v>128</v>
      </c>
      <c r="AE393" s="97"/>
    </row>
    <row r="394" spans="1:31" ht="14.4" customHeight="1" x14ac:dyDescent="0.3">
      <c r="A394" t="s">
        <v>1148</v>
      </c>
      <c r="B394" t="s">
        <v>1149</v>
      </c>
      <c r="C394"/>
      <c r="D394"/>
      <c r="E394"/>
      <c r="F394"/>
      <c r="G394" t="s">
        <v>290</v>
      </c>
      <c r="H394" t="s">
        <v>132</v>
      </c>
      <c r="I394" t="s">
        <v>1</v>
      </c>
      <c r="J394" t="s">
        <v>133</v>
      </c>
      <c r="K394" t="s">
        <v>51</v>
      </c>
      <c r="L394" t="s">
        <v>1150</v>
      </c>
      <c r="M394" t="s">
        <v>134</v>
      </c>
      <c r="N394" t="s">
        <v>135</v>
      </c>
      <c r="O394"/>
      <c r="P394"/>
      <c r="Q394" t="s">
        <v>291</v>
      </c>
      <c r="R394"/>
      <c r="S394"/>
      <c r="T394" t="s">
        <v>169</v>
      </c>
      <c r="U394" t="s">
        <v>137</v>
      </c>
      <c r="V394" t="s">
        <v>352</v>
      </c>
      <c r="W394"/>
      <c r="X394" t="s">
        <v>56</v>
      </c>
      <c r="Y394"/>
      <c r="Z394"/>
      <c r="AA394" t="s">
        <v>292</v>
      </c>
      <c r="AB394" t="s">
        <v>1</v>
      </c>
      <c r="AC394" t="s">
        <v>138</v>
      </c>
      <c r="AD394" t="s">
        <v>128</v>
      </c>
      <c r="AE394" s="97"/>
    </row>
    <row r="395" spans="1:31" ht="14.4" customHeight="1" x14ac:dyDescent="0.3">
      <c r="A395" t="s">
        <v>1151</v>
      </c>
      <c r="B395" t="s">
        <v>1152</v>
      </c>
      <c r="C395"/>
      <c r="D395"/>
      <c r="E395"/>
      <c r="F395"/>
      <c r="G395" t="s">
        <v>290</v>
      </c>
      <c r="H395" t="s">
        <v>132</v>
      </c>
      <c r="I395" t="s">
        <v>1</v>
      </c>
      <c r="J395" t="s">
        <v>133</v>
      </c>
      <c r="K395" t="s">
        <v>51</v>
      </c>
      <c r="L395" t="s">
        <v>1153</v>
      </c>
      <c r="M395" t="s">
        <v>134</v>
      </c>
      <c r="N395" t="s">
        <v>135</v>
      </c>
      <c r="O395"/>
      <c r="P395"/>
      <c r="Q395" t="s">
        <v>291</v>
      </c>
      <c r="R395"/>
      <c r="S395"/>
      <c r="T395" t="s">
        <v>169</v>
      </c>
      <c r="U395" t="s">
        <v>137</v>
      </c>
      <c r="V395" t="s">
        <v>352</v>
      </c>
      <c r="W395"/>
      <c r="X395" t="s">
        <v>56</v>
      </c>
      <c r="Y395"/>
      <c r="Z395"/>
      <c r="AA395" t="s">
        <v>292</v>
      </c>
      <c r="AB395" t="s">
        <v>1</v>
      </c>
      <c r="AC395" t="s">
        <v>138</v>
      </c>
      <c r="AD395" t="s">
        <v>128</v>
      </c>
      <c r="AE395" s="97"/>
    </row>
    <row r="396" spans="1:31" ht="14.4" customHeight="1" x14ac:dyDescent="0.3">
      <c r="A396" t="s">
        <v>1154</v>
      </c>
      <c r="B396" t="s">
        <v>1155</v>
      </c>
      <c r="C396"/>
      <c r="D396"/>
      <c r="E396"/>
      <c r="F396"/>
      <c r="G396" t="s">
        <v>290</v>
      </c>
      <c r="H396" t="s">
        <v>132</v>
      </c>
      <c r="I396" t="s">
        <v>1</v>
      </c>
      <c r="J396" t="s">
        <v>133</v>
      </c>
      <c r="K396" t="s">
        <v>51</v>
      </c>
      <c r="L396" t="s">
        <v>1156</v>
      </c>
      <c r="M396" t="s">
        <v>134</v>
      </c>
      <c r="N396" t="s">
        <v>135</v>
      </c>
      <c r="O396"/>
      <c r="P396"/>
      <c r="Q396" t="s">
        <v>291</v>
      </c>
      <c r="R396"/>
      <c r="S396"/>
      <c r="T396" t="s">
        <v>169</v>
      </c>
      <c r="U396" t="s">
        <v>137</v>
      </c>
      <c r="V396" t="s">
        <v>352</v>
      </c>
      <c r="W396"/>
      <c r="X396" t="s">
        <v>56</v>
      </c>
      <c r="Y396"/>
      <c r="Z396"/>
      <c r="AA396" t="s">
        <v>292</v>
      </c>
      <c r="AB396" t="s">
        <v>1</v>
      </c>
      <c r="AC396" t="s">
        <v>138</v>
      </c>
      <c r="AD396" t="s">
        <v>128</v>
      </c>
      <c r="AE396" s="97"/>
    </row>
    <row r="397" spans="1:31" ht="14.4" customHeight="1" x14ac:dyDescent="0.3">
      <c r="A397" t="s">
        <v>1157</v>
      </c>
      <c r="B397" t="s">
        <v>1158</v>
      </c>
      <c r="C397"/>
      <c r="D397"/>
      <c r="E397"/>
      <c r="F397"/>
      <c r="G397" t="s">
        <v>290</v>
      </c>
      <c r="H397" t="s">
        <v>132</v>
      </c>
      <c r="I397" t="s">
        <v>1</v>
      </c>
      <c r="J397" t="s">
        <v>133</v>
      </c>
      <c r="K397" t="s">
        <v>51</v>
      </c>
      <c r="L397" t="s">
        <v>1159</v>
      </c>
      <c r="M397" t="s">
        <v>134</v>
      </c>
      <c r="N397" t="s">
        <v>135</v>
      </c>
      <c r="O397"/>
      <c r="P397"/>
      <c r="Q397" t="s">
        <v>291</v>
      </c>
      <c r="R397"/>
      <c r="S397"/>
      <c r="T397" t="s">
        <v>169</v>
      </c>
      <c r="U397" t="s">
        <v>137</v>
      </c>
      <c r="V397" t="s">
        <v>147</v>
      </c>
      <c r="W397"/>
      <c r="X397" t="s">
        <v>70</v>
      </c>
      <c r="Y397"/>
      <c r="Z397"/>
      <c r="AA397" t="s">
        <v>292</v>
      </c>
      <c r="AB397" t="s">
        <v>1</v>
      </c>
      <c r="AC397" t="s">
        <v>138</v>
      </c>
      <c r="AD397" t="s">
        <v>128</v>
      </c>
      <c r="AE397" s="97"/>
    </row>
    <row r="398" spans="1:31" ht="14.4" customHeight="1" x14ac:dyDescent="0.3">
      <c r="A398" t="s">
        <v>1160</v>
      </c>
      <c r="B398" t="s">
        <v>1161</v>
      </c>
      <c r="C398"/>
      <c r="D398"/>
      <c r="E398"/>
      <c r="F398"/>
      <c r="G398" t="s">
        <v>290</v>
      </c>
      <c r="H398" t="s">
        <v>132</v>
      </c>
      <c r="I398" t="s">
        <v>1</v>
      </c>
      <c r="J398" t="s">
        <v>133</v>
      </c>
      <c r="K398" t="s">
        <v>51</v>
      </c>
      <c r="L398" t="s">
        <v>1162</v>
      </c>
      <c r="M398" t="s">
        <v>134</v>
      </c>
      <c r="N398" t="s">
        <v>135</v>
      </c>
      <c r="O398"/>
      <c r="P398"/>
      <c r="Q398" t="s">
        <v>291</v>
      </c>
      <c r="R398"/>
      <c r="S398"/>
      <c r="T398" t="s">
        <v>169</v>
      </c>
      <c r="U398" t="s">
        <v>137</v>
      </c>
      <c r="V398" t="s">
        <v>147</v>
      </c>
      <c r="W398"/>
      <c r="X398" t="s">
        <v>70</v>
      </c>
      <c r="Y398"/>
      <c r="Z398"/>
      <c r="AA398" t="s">
        <v>292</v>
      </c>
      <c r="AB398" t="s">
        <v>1</v>
      </c>
      <c r="AC398" t="s">
        <v>138</v>
      </c>
      <c r="AD398" t="s">
        <v>128</v>
      </c>
      <c r="AE398" s="97"/>
    </row>
    <row r="399" spans="1:31" ht="14.4" customHeight="1" x14ac:dyDescent="0.3">
      <c r="A399" t="s">
        <v>1163</v>
      </c>
      <c r="B399" t="s">
        <v>1164</v>
      </c>
      <c r="C399"/>
      <c r="D399"/>
      <c r="E399"/>
      <c r="F399"/>
      <c r="G399" t="s">
        <v>290</v>
      </c>
      <c r="H399" t="s">
        <v>132</v>
      </c>
      <c r="I399" t="s">
        <v>1</v>
      </c>
      <c r="J399" t="s">
        <v>133</v>
      </c>
      <c r="K399" t="s">
        <v>51</v>
      </c>
      <c r="L399" t="s">
        <v>1165</v>
      </c>
      <c r="M399" t="s">
        <v>134</v>
      </c>
      <c r="N399" t="s">
        <v>135</v>
      </c>
      <c r="O399"/>
      <c r="P399"/>
      <c r="Q399" t="s">
        <v>291</v>
      </c>
      <c r="R399"/>
      <c r="S399"/>
      <c r="T399" t="s">
        <v>169</v>
      </c>
      <c r="U399" t="s">
        <v>137</v>
      </c>
      <c r="V399" t="s">
        <v>156</v>
      </c>
      <c r="W399"/>
      <c r="X399" t="s">
        <v>97</v>
      </c>
      <c r="Y399"/>
      <c r="Z399"/>
      <c r="AA399" t="s">
        <v>292</v>
      </c>
      <c r="AB399" t="s">
        <v>1</v>
      </c>
      <c r="AC399" t="s">
        <v>138</v>
      </c>
      <c r="AD399" t="s">
        <v>129</v>
      </c>
      <c r="AE399" s="97"/>
    </row>
    <row r="400" spans="1:31" ht="14.4" customHeight="1" x14ac:dyDescent="0.3">
      <c r="A400" t="s">
        <v>1166</v>
      </c>
      <c r="B400" t="s">
        <v>1167</v>
      </c>
      <c r="C400"/>
      <c r="D400"/>
      <c r="E400"/>
      <c r="F400"/>
      <c r="G400" t="s">
        <v>290</v>
      </c>
      <c r="H400" t="s">
        <v>132</v>
      </c>
      <c r="I400" t="s">
        <v>1</v>
      </c>
      <c r="J400" t="s">
        <v>133</v>
      </c>
      <c r="K400" t="s">
        <v>51</v>
      </c>
      <c r="L400" t="s">
        <v>1168</v>
      </c>
      <c r="M400" t="s">
        <v>134</v>
      </c>
      <c r="N400" t="s">
        <v>135</v>
      </c>
      <c r="O400"/>
      <c r="P400"/>
      <c r="Q400" t="s">
        <v>291</v>
      </c>
      <c r="R400"/>
      <c r="S400"/>
      <c r="T400" t="s">
        <v>169</v>
      </c>
      <c r="U400" t="s">
        <v>137</v>
      </c>
      <c r="V400" t="s">
        <v>156</v>
      </c>
      <c r="W400"/>
      <c r="X400" t="s">
        <v>97</v>
      </c>
      <c r="Y400"/>
      <c r="Z400"/>
      <c r="AA400" t="s">
        <v>292</v>
      </c>
      <c r="AB400" t="s">
        <v>1</v>
      </c>
      <c r="AC400" t="s">
        <v>138</v>
      </c>
      <c r="AD400" t="s">
        <v>129</v>
      </c>
      <c r="AE400" s="97"/>
    </row>
    <row r="401" spans="1:31" ht="14.4" customHeight="1" x14ac:dyDescent="0.3">
      <c r="A401" t="s">
        <v>1169</v>
      </c>
      <c r="B401" t="s">
        <v>1170</v>
      </c>
      <c r="C401"/>
      <c r="D401"/>
      <c r="E401"/>
      <c r="F401"/>
      <c r="G401" t="s">
        <v>290</v>
      </c>
      <c r="H401" t="s">
        <v>132</v>
      </c>
      <c r="I401" t="s">
        <v>1</v>
      </c>
      <c r="J401" t="s">
        <v>133</v>
      </c>
      <c r="K401" t="s">
        <v>51</v>
      </c>
      <c r="L401" t="s">
        <v>1171</v>
      </c>
      <c r="M401" t="s">
        <v>134</v>
      </c>
      <c r="N401" t="s">
        <v>135</v>
      </c>
      <c r="O401"/>
      <c r="P401"/>
      <c r="Q401" t="s">
        <v>291</v>
      </c>
      <c r="R401"/>
      <c r="S401"/>
      <c r="T401" t="s">
        <v>169</v>
      </c>
      <c r="U401" t="s">
        <v>137</v>
      </c>
      <c r="V401" t="s">
        <v>162</v>
      </c>
      <c r="W401"/>
      <c r="X401" t="s">
        <v>113</v>
      </c>
      <c r="Y401"/>
      <c r="Z401"/>
      <c r="AA401" t="s">
        <v>292</v>
      </c>
      <c r="AB401" t="s">
        <v>1</v>
      </c>
      <c r="AC401" t="s">
        <v>138</v>
      </c>
      <c r="AD401" t="s">
        <v>129</v>
      </c>
      <c r="AE401" s="97"/>
    </row>
    <row r="402" spans="1:31" ht="14.4" customHeight="1" x14ac:dyDescent="0.3">
      <c r="A402" t="s">
        <v>1172</v>
      </c>
      <c r="B402" t="s">
        <v>1173</v>
      </c>
      <c r="C402"/>
      <c r="D402"/>
      <c r="E402"/>
      <c r="F402"/>
      <c r="G402" t="s">
        <v>290</v>
      </c>
      <c r="H402" t="s">
        <v>132</v>
      </c>
      <c r="I402" t="s">
        <v>1</v>
      </c>
      <c r="J402" t="s">
        <v>133</v>
      </c>
      <c r="K402" t="s">
        <v>51</v>
      </c>
      <c r="L402" t="s">
        <v>1174</v>
      </c>
      <c r="M402" t="s">
        <v>134</v>
      </c>
      <c r="N402" t="s">
        <v>135</v>
      </c>
      <c r="O402"/>
      <c r="P402"/>
      <c r="Q402" t="s">
        <v>291</v>
      </c>
      <c r="R402"/>
      <c r="S402"/>
      <c r="T402" t="s">
        <v>169</v>
      </c>
      <c r="U402" t="s">
        <v>137</v>
      </c>
      <c r="V402" t="s">
        <v>162</v>
      </c>
      <c r="W402"/>
      <c r="X402" t="s">
        <v>113</v>
      </c>
      <c r="Y402"/>
      <c r="Z402"/>
      <c r="AA402" t="s">
        <v>292</v>
      </c>
      <c r="AB402" t="s">
        <v>1</v>
      </c>
      <c r="AC402" t="s">
        <v>138</v>
      </c>
      <c r="AD402" t="s">
        <v>129</v>
      </c>
      <c r="AE402" s="97"/>
    </row>
    <row r="403" spans="1:31" ht="14.4" customHeight="1" x14ac:dyDescent="0.3">
      <c r="A403" t="s">
        <v>1175</v>
      </c>
      <c r="B403" t="s">
        <v>1176</v>
      </c>
      <c r="C403"/>
      <c r="D403"/>
      <c r="E403"/>
      <c r="F403"/>
      <c r="G403" t="s">
        <v>290</v>
      </c>
      <c r="H403" t="s">
        <v>132</v>
      </c>
      <c r="I403" t="s">
        <v>1</v>
      </c>
      <c r="J403" t="s">
        <v>133</v>
      </c>
      <c r="K403" t="s">
        <v>51</v>
      </c>
      <c r="L403" t="s">
        <v>1177</v>
      </c>
      <c r="M403" t="s">
        <v>134</v>
      </c>
      <c r="N403" t="s">
        <v>135</v>
      </c>
      <c r="O403"/>
      <c r="P403"/>
      <c r="Q403" t="s">
        <v>291</v>
      </c>
      <c r="R403"/>
      <c r="S403"/>
      <c r="T403" t="s">
        <v>169</v>
      </c>
      <c r="U403" t="s">
        <v>137</v>
      </c>
      <c r="V403" t="s">
        <v>352</v>
      </c>
      <c r="W403"/>
      <c r="X403" t="s">
        <v>56</v>
      </c>
      <c r="Y403"/>
      <c r="Z403"/>
      <c r="AA403" t="s">
        <v>292</v>
      </c>
      <c r="AB403" t="s">
        <v>1</v>
      </c>
      <c r="AC403" t="s">
        <v>138</v>
      </c>
      <c r="AD403" t="s">
        <v>128</v>
      </c>
      <c r="AE403" s="97"/>
    </row>
    <row r="404" spans="1:31" ht="14.4" customHeight="1" x14ac:dyDescent="0.3">
      <c r="A404" t="s">
        <v>1178</v>
      </c>
      <c r="B404" t="s">
        <v>1179</v>
      </c>
      <c r="C404"/>
      <c r="D404"/>
      <c r="E404"/>
      <c r="F404"/>
      <c r="G404" t="s">
        <v>290</v>
      </c>
      <c r="H404" t="s">
        <v>132</v>
      </c>
      <c r="I404" t="s">
        <v>1</v>
      </c>
      <c r="J404" t="s">
        <v>133</v>
      </c>
      <c r="K404" t="s">
        <v>51</v>
      </c>
      <c r="L404" t="s">
        <v>1180</v>
      </c>
      <c r="M404" t="s">
        <v>134</v>
      </c>
      <c r="N404" t="s">
        <v>135</v>
      </c>
      <c r="O404"/>
      <c r="P404"/>
      <c r="Q404" t="s">
        <v>291</v>
      </c>
      <c r="R404"/>
      <c r="S404"/>
      <c r="T404" t="s">
        <v>169</v>
      </c>
      <c r="U404" t="s">
        <v>137</v>
      </c>
      <c r="V404" t="s">
        <v>352</v>
      </c>
      <c r="W404"/>
      <c r="X404" t="s">
        <v>56</v>
      </c>
      <c r="Y404"/>
      <c r="Z404"/>
      <c r="AA404" t="s">
        <v>292</v>
      </c>
      <c r="AB404" t="s">
        <v>1</v>
      </c>
      <c r="AC404" t="s">
        <v>138</v>
      </c>
      <c r="AD404" t="s">
        <v>128</v>
      </c>
      <c r="AE404" s="97"/>
    </row>
    <row r="405" spans="1:31" ht="14.4" customHeight="1" x14ac:dyDescent="0.3">
      <c r="A405" t="s">
        <v>1181</v>
      </c>
      <c r="B405" t="s">
        <v>1182</v>
      </c>
      <c r="C405"/>
      <c r="D405"/>
      <c r="E405"/>
      <c r="F405"/>
      <c r="G405" t="s">
        <v>290</v>
      </c>
      <c r="H405" t="s">
        <v>132</v>
      </c>
      <c r="I405" t="s">
        <v>1</v>
      </c>
      <c r="J405" t="s">
        <v>133</v>
      </c>
      <c r="K405" t="s">
        <v>51</v>
      </c>
      <c r="L405" t="s">
        <v>1183</v>
      </c>
      <c r="M405" t="s">
        <v>134</v>
      </c>
      <c r="N405" t="s">
        <v>135</v>
      </c>
      <c r="O405"/>
      <c r="P405"/>
      <c r="Q405" t="s">
        <v>291</v>
      </c>
      <c r="R405"/>
      <c r="S405"/>
      <c r="T405" t="s">
        <v>169</v>
      </c>
      <c r="U405" t="s">
        <v>137</v>
      </c>
      <c r="V405" t="s">
        <v>358</v>
      </c>
      <c r="W405"/>
      <c r="X405" t="s">
        <v>124</v>
      </c>
      <c r="Y405"/>
      <c r="Z405"/>
      <c r="AA405" t="s">
        <v>292</v>
      </c>
      <c r="AB405" t="s">
        <v>1</v>
      </c>
      <c r="AC405" t="s">
        <v>138</v>
      </c>
      <c r="AD405" t="s">
        <v>130</v>
      </c>
      <c r="AE405" s="97"/>
    </row>
    <row r="406" spans="1:31" ht="14.4" customHeight="1" x14ac:dyDescent="0.3">
      <c r="A406" t="s">
        <v>1184</v>
      </c>
      <c r="B406" t="s">
        <v>1185</v>
      </c>
      <c r="C406"/>
      <c r="D406"/>
      <c r="E406"/>
      <c r="F406"/>
      <c r="G406" t="s">
        <v>290</v>
      </c>
      <c r="H406" t="s">
        <v>132</v>
      </c>
      <c r="I406" t="s">
        <v>1</v>
      </c>
      <c r="J406" t="s">
        <v>133</v>
      </c>
      <c r="K406" t="s">
        <v>51</v>
      </c>
      <c r="L406" t="s">
        <v>1186</v>
      </c>
      <c r="M406" t="s">
        <v>134</v>
      </c>
      <c r="N406" t="s">
        <v>135</v>
      </c>
      <c r="O406"/>
      <c r="P406"/>
      <c r="Q406" t="s">
        <v>291</v>
      </c>
      <c r="R406"/>
      <c r="S406"/>
      <c r="T406" t="s">
        <v>169</v>
      </c>
      <c r="U406" t="s">
        <v>137</v>
      </c>
      <c r="V406" t="s">
        <v>358</v>
      </c>
      <c r="W406"/>
      <c r="X406" t="s">
        <v>124</v>
      </c>
      <c r="Y406"/>
      <c r="Z406"/>
      <c r="AA406" t="s">
        <v>292</v>
      </c>
      <c r="AB406" t="s">
        <v>1</v>
      </c>
      <c r="AC406" t="s">
        <v>138</v>
      </c>
      <c r="AD406" t="s">
        <v>130</v>
      </c>
      <c r="AE406" s="97"/>
    </row>
    <row r="407" spans="1:31" ht="14.4" customHeight="1" x14ac:dyDescent="0.3">
      <c r="A407" t="s">
        <v>1187</v>
      </c>
      <c r="B407" t="s">
        <v>1188</v>
      </c>
      <c r="C407"/>
      <c r="D407"/>
      <c r="E407"/>
      <c r="F407"/>
      <c r="G407" t="s">
        <v>290</v>
      </c>
      <c r="H407" t="s">
        <v>132</v>
      </c>
      <c r="I407" t="s">
        <v>1</v>
      </c>
      <c r="J407" t="s">
        <v>133</v>
      </c>
      <c r="K407" t="s">
        <v>51</v>
      </c>
      <c r="L407" t="s">
        <v>1189</v>
      </c>
      <c r="M407" t="s">
        <v>134</v>
      </c>
      <c r="N407" t="s">
        <v>135</v>
      </c>
      <c r="O407"/>
      <c r="P407"/>
      <c r="Q407" t="s">
        <v>291</v>
      </c>
      <c r="R407"/>
      <c r="S407"/>
      <c r="T407" t="s">
        <v>169</v>
      </c>
      <c r="U407" t="s">
        <v>137</v>
      </c>
      <c r="V407" t="s">
        <v>1190</v>
      </c>
      <c r="W407"/>
      <c r="X407" t="s">
        <v>67</v>
      </c>
      <c r="Y407"/>
      <c r="Z407"/>
      <c r="AA407" t="s">
        <v>292</v>
      </c>
      <c r="AB407" t="s">
        <v>1</v>
      </c>
      <c r="AC407" t="s">
        <v>138</v>
      </c>
      <c r="AD407" t="s">
        <v>128</v>
      </c>
      <c r="AE407" s="97"/>
    </row>
    <row r="408" spans="1:31" ht="14.4" customHeight="1" x14ac:dyDescent="0.3">
      <c r="A408" t="s">
        <v>1191</v>
      </c>
      <c r="B408" t="s">
        <v>1192</v>
      </c>
      <c r="C408"/>
      <c r="D408"/>
      <c r="E408"/>
      <c r="F408"/>
      <c r="G408" t="s">
        <v>290</v>
      </c>
      <c r="H408" t="s">
        <v>132</v>
      </c>
      <c r="I408" t="s">
        <v>1</v>
      </c>
      <c r="J408" t="s">
        <v>133</v>
      </c>
      <c r="K408" t="s">
        <v>51</v>
      </c>
      <c r="L408" t="s">
        <v>1193</v>
      </c>
      <c r="M408" t="s">
        <v>134</v>
      </c>
      <c r="N408" t="s">
        <v>135</v>
      </c>
      <c r="O408"/>
      <c r="P408"/>
      <c r="Q408" t="s">
        <v>291</v>
      </c>
      <c r="R408"/>
      <c r="S408"/>
      <c r="T408" t="s">
        <v>169</v>
      </c>
      <c r="U408" t="s">
        <v>137</v>
      </c>
      <c r="V408" t="s">
        <v>1194</v>
      </c>
      <c r="W408"/>
      <c r="X408" t="s">
        <v>75</v>
      </c>
      <c r="Y408"/>
      <c r="Z408"/>
      <c r="AA408" t="s">
        <v>292</v>
      </c>
      <c r="AB408" t="s">
        <v>1</v>
      </c>
      <c r="AC408" t="s">
        <v>138</v>
      </c>
      <c r="AD408" t="s">
        <v>128</v>
      </c>
      <c r="AE408" s="97"/>
    </row>
    <row r="409" spans="1:31" ht="14.4" customHeight="1" x14ac:dyDescent="0.3">
      <c r="A409" t="s">
        <v>1195</v>
      </c>
      <c r="B409" t="s">
        <v>1196</v>
      </c>
      <c r="C409"/>
      <c r="D409"/>
      <c r="E409"/>
      <c r="F409"/>
      <c r="G409" t="s">
        <v>290</v>
      </c>
      <c r="H409" t="s">
        <v>132</v>
      </c>
      <c r="I409" t="s">
        <v>1</v>
      </c>
      <c r="J409" t="s">
        <v>133</v>
      </c>
      <c r="K409" t="s">
        <v>51</v>
      </c>
      <c r="L409" t="s">
        <v>1197</v>
      </c>
      <c r="M409" t="s">
        <v>134</v>
      </c>
      <c r="N409" t="s">
        <v>135</v>
      </c>
      <c r="O409"/>
      <c r="P409"/>
      <c r="Q409" t="s">
        <v>291</v>
      </c>
      <c r="R409"/>
      <c r="S409"/>
      <c r="T409" t="s">
        <v>169</v>
      </c>
      <c r="U409" t="s">
        <v>137</v>
      </c>
      <c r="V409" t="s">
        <v>1198</v>
      </c>
      <c r="W409"/>
      <c r="X409" t="s">
        <v>86</v>
      </c>
      <c r="Y409"/>
      <c r="Z409"/>
      <c r="AA409" t="s">
        <v>292</v>
      </c>
      <c r="AB409" t="s">
        <v>1</v>
      </c>
      <c r="AC409" t="s">
        <v>138</v>
      </c>
      <c r="AD409" t="s">
        <v>129</v>
      </c>
      <c r="AE409" s="97"/>
    </row>
    <row r="410" spans="1:31" ht="14.4" customHeight="1" x14ac:dyDescent="0.3">
      <c r="A410" t="s">
        <v>1199</v>
      </c>
      <c r="B410" t="s">
        <v>1200</v>
      </c>
      <c r="C410"/>
      <c r="D410"/>
      <c r="E410"/>
      <c r="F410"/>
      <c r="G410" t="s">
        <v>290</v>
      </c>
      <c r="H410" t="s">
        <v>132</v>
      </c>
      <c r="I410" t="s">
        <v>1</v>
      </c>
      <c r="J410" t="s">
        <v>133</v>
      </c>
      <c r="K410" t="s">
        <v>51</v>
      </c>
      <c r="L410" t="s">
        <v>1201</v>
      </c>
      <c r="M410" t="s">
        <v>134</v>
      </c>
      <c r="N410" t="s">
        <v>135</v>
      </c>
      <c r="O410"/>
      <c r="P410"/>
      <c r="Q410" t="s">
        <v>291</v>
      </c>
      <c r="R410"/>
      <c r="S410"/>
      <c r="T410" t="s">
        <v>169</v>
      </c>
      <c r="U410" t="s">
        <v>137</v>
      </c>
      <c r="V410" t="s">
        <v>1202</v>
      </c>
      <c r="W410"/>
      <c r="X410" t="s">
        <v>95</v>
      </c>
      <c r="Y410"/>
      <c r="Z410"/>
      <c r="AA410" t="s">
        <v>292</v>
      </c>
      <c r="AB410" t="s">
        <v>1</v>
      </c>
      <c r="AC410" t="s">
        <v>138</v>
      </c>
      <c r="AD410" t="s">
        <v>129</v>
      </c>
      <c r="AE410" s="97"/>
    </row>
    <row r="411" spans="1:31" ht="14.4" customHeight="1" x14ac:dyDescent="0.3">
      <c r="A411" t="s">
        <v>1203</v>
      </c>
      <c r="B411" t="s">
        <v>1204</v>
      </c>
      <c r="C411"/>
      <c r="D411"/>
      <c r="E411"/>
      <c r="F411"/>
      <c r="G411" t="s">
        <v>290</v>
      </c>
      <c r="H411" t="s">
        <v>132</v>
      </c>
      <c r="I411" t="s">
        <v>1</v>
      </c>
      <c r="J411" t="s">
        <v>133</v>
      </c>
      <c r="K411" t="s">
        <v>51</v>
      </c>
      <c r="L411" t="s">
        <v>1205</v>
      </c>
      <c r="M411" t="s">
        <v>134</v>
      </c>
      <c r="N411" t="s">
        <v>135</v>
      </c>
      <c r="O411"/>
      <c r="P411"/>
      <c r="Q411" t="s">
        <v>291</v>
      </c>
      <c r="R411"/>
      <c r="S411"/>
      <c r="T411" t="s">
        <v>169</v>
      </c>
      <c r="U411" t="s">
        <v>137</v>
      </c>
      <c r="V411" t="s">
        <v>1206</v>
      </c>
      <c r="W411"/>
      <c r="X411" t="s">
        <v>104</v>
      </c>
      <c r="Y411"/>
      <c r="Z411"/>
      <c r="AA411" t="s">
        <v>292</v>
      </c>
      <c r="AB411" t="s">
        <v>1</v>
      </c>
      <c r="AC411" t="s">
        <v>138</v>
      </c>
      <c r="AD411" t="s">
        <v>129</v>
      </c>
      <c r="AE411" s="97"/>
    </row>
    <row r="412" spans="1:31" ht="14.4" customHeight="1" x14ac:dyDescent="0.3">
      <c r="A412" t="s">
        <v>1207</v>
      </c>
      <c r="B412" t="s">
        <v>1208</v>
      </c>
      <c r="C412"/>
      <c r="D412"/>
      <c r="E412"/>
      <c r="F412"/>
      <c r="G412" t="s">
        <v>290</v>
      </c>
      <c r="H412" t="s">
        <v>132</v>
      </c>
      <c r="I412" t="s">
        <v>1</v>
      </c>
      <c r="J412" t="s">
        <v>133</v>
      </c>
      <c r="K412" t="s">
        <v>51</v>
      </c>
      <c r="L412" t="s">
        <v>1209</v>
      </c>
      <c r="M412" t="s">
        <v>134</v>
      </c>
      <c r="N412" t="s">
        <v>135</v>
      </c>
      <c r="O412"/>
      <c r="P412"/>
      <c r="Q412" t="s">
        <v>291</v>
      </c>
      <c r="R412"/>
      <c r="S412"/>
      <c r="T412" t="s">
        <v>169</v>
      </c>
      <c r="U412" t="s">
        <v>137</v>
      </c>
      <c r="V412" t="s">
        <v>1210</v>
      </c>
      <c r="W412"/>
      <c r="X412" t="s">
        <v>111</v>
      </c>
      <c r="Y412"/>
      <c r="Z412"/>
      <c r="AA412" t="s">
        <v>292</v>
      </c>
      <c r="AB412" t="s">
        <v>1</v>
      </c>
      <c r="AC412" t="s">
        <v>138</v>
      </c>
      <c r="AD412" t="s">
        <v>129</v>
      </c>
      <c r="AE412" s="97"/>
    </row>
    <row r="413" spans="1:31" ht="14.4" customHeight="1" x14ac:dyDescent="0.3">
      <c r="A413" t="s">
        <v>1211</v>
      </c>
      <c r="B413" t="s">
        <v>1212</v>
      </c>
      <c r="C413"/>
      <c r="D413"/>
      <c r="E413"/>
      <c r="F413"/>
      <c r="G413" t="s">
        <v>290</v>
      </c>
      <c r="H413" t="s">
        <v>132</v>
      </c>
      <c r="I413" t="s">
        <v>1</v>
      </c>
      <c r="J413" t="s">
        <v>133</v>
      </c>
      <c r="K413" t="s">
        <v>51</v>
      </c>
      <c r="L413" t="s">
        <v>1213</v>
      </c>
      <c r="M413" t="s">
        <v>134</v>
      </c>
      <c r="N413" t="s">
        <v>135</v>
      </c>
      <c r="O413"/>
      <c r="P413"/>
      <c r="Q413" t="s">
        <v>291</v>
      </c>
      <c r="R413"/>
      <c r="S413"/>
      <c r="T413" t="s">
        <v>169</v>
      </c>
      <c r="U413" t="s">
        <v>137</v>
      </c>
      <c r="V413" t="s">
        <v>1214</v>
      </c>
      <c r="W413"/>
      <c r="X413" t="s">
        <v>120</v>
      </c>
      <c r="Y413"/>
      <c r="Z413"/>
      <c r="AA413" t="s">
        <v>292</v>
      </c>
      <c r="AB413" t="s">
        <v>1</v>
      </c>
      <c r="AC413" t="s">
        <v>138</v>
      </c>
      <c r="AD413" t="s">
        <v>130</v>
      </c>
      <c r="AE413" s="97"/>
    </row>
    <row r="414" spans="1:31" ht="14.4" customHeight="1" x14ac:dyDescent="0.3">
      <c r="A414" t="s">
        <v>1215</v>
      </c>
      <c r="B414" t="s">
        <v>1216</v>
      </c>
      <c r="C414"/>
      <c r="D414"/>
      <c r="E414"/>
      <c r="F414"/>
      <c r="G414" t="s">
        <v>290</v>
      </c>
      <c r="H414" t="s">
        <v>132</v>
      </c>
      <c r="I414" t="s">
        <v>1</v>
      </c>
      <c r="J414" t="s">
        <v>133</v>
      </c>
      <c r="K414" t="s">
        <v>51</v>
      </c>
      <c r="L414" t="s">
        <v>1217</v>
      </c>
      <c r="M414" t="s">
        <v>134</v>
      </c>
      <c r="N414" t="s">
        <v>135</v>
      </c>
      <c r="O414"/>
      <c r="P414"/>
      <c r="Q414" t="s">
        <v>291</v>
      </c>
      <c r="R414"/>
      <c r="S414"/>
      <c r="T414" t="s">
        <v>169</v>
      </c>
      <c r="U414" t="s">
        <v>137</v>
      </c>
      <c r="V414" t="s">
        <v>147</v>
      </c>
      <c r="W414"/>
      <c r="X414" t="s">
        <v>70</v>
      </c>
      <c r="Y414"/>
      <c r="Z414"/>
      <c r="AA414" t="s">
        <v>292</v>
      </c>
      <c r="AB414" t="s">
        <v>1</v>
      </c>
      <c r="AC414" t="s">
        <v>138</v>
      </c>
      <c r="AD414" t="s">
        <v>128</v>
      </c>
      <c r="AE414" s="97"/>
    </row>
    <row r="415" spans="1:31" ht="14.4" customHeight="1" x14ac:dyDescent="0.3">
      <c r="A415" t="s">
        <v>1218</v>
      </c>
      <c r="B415" t="s">
        <v>1219</v>
      </c>
      <c r="C415"/>
      <c r="D415"/>
      <c r="E415"/>
      <c r="F415"/>
      <c r="G415" t="s">
        <v>290</v>
      </c>
      <c r="H415" t="s">
        <v>132</v>
      </c>
      <c r="I415" t="s">
        <v>1</v>
      </c>
      <c r="J415" t="s">
        <v>133</v>
      </c>
      <c r="K415" t="s">
        <v>51</v>
      </c>
      <c r="L415" t="s">
        <v>1220</v>
      </c>
      <c r="M415" t="s">
        <v>134</v>
      </c>
      <c r="N415" t="s">
        <v>135</v>
      </c>
      <c r="O415"/>
      <c r="P415"/>
      <c r="Q415" t="s">
        <v>291</v>
      </c>
      <c r="R415"/>
      <c r="S415"/>
      <c r="T415" t="s">
        <v>169</v>
      </c>
      <c r="U415" t="s">
        <v>137</v>
      </c>
      <c r="V415" t="s">
        <v>150</v>
      </c>
      <c r="W415"/>
      <c r="X415" t="s">
        <v>76</v>
      </c>
      <c r="Y415"/>
      <c r="Z415"/>
      <c r="AA415" t="s">
        <v>292</v>
      </c>
      <c r="AB415" t="s">
        <v>1</v>
      </c>
      <c r="AC415" t="s">
        <v>138</v>
      </c>
      <c r="AD415" t="s">
        <v>128</v>
      </c>
      <c r="AE415" s="97"/>
    </row>
    <row r="416" spans="1:31" ht="14.4" customHeight="1" x14ac:dyDescent="0.3">
      <c r="A416" t="s">
        <v>1221</v>
      </c>
      <c r="B416" t="s">
        <v>1222</v>
      </c>
      <c r="C416"/>
      <c r="D416"/>
      <c r="E416"/>
      <c r="F416"/>
      <c r="G416" t="s">
        <v>290</v>
      </c>
      <c r="H416" t="s">
        <v>132</v>
      </c>
      <c r="I416" t="s">
        <v>1</v>
      </c>
      <c r="J416" t="s">
        <v>133</v>
      </c>
      <c r="K416" t="s">
        <v>51</v>
      </c>
      <c r="L416" t="s">
        <v>1223</v>
      </c>
      <c r="M416" t="s">
        <v>134</v>
      </c>
      <c r="N416" t="s">
        <v>135</v>
      </c>
      <c r="O416"/>
      <c r="P416"/>
      <c r="Q416" t="s">
        <v>291</v>
      </c>
      <c r="R416"/>
      <c r="S416"/>
      <c r="T416" t="s">
        <v>169</v>
      </c>
      <c r="U416" t="s">
        <v>137</v>
      </c>
      <c r="V416" t="s">
        <v>153</v>
      </c>
      <c r="W416"/>
      <c r="X416" t="s">
        <v>88</v>
      </c>
      <c r="Y416"/>
      <c r="Z416"/>
      <c r="AA416" t="s">
        <v>292</v>
      </c>
      <c r="AB416" t="s">
        <v>1</v>
      </c>
      <c r="AC416" t="s">
        <v>138</v>
      </c>
      <c r="AD416" t="s">
        <v>129</v>
      </c>
      <c r="AE416" s="97"/>
    </row>
    <row r="417" spans="1:31" ht="14.4" customHeight="1" x14ac:dyDescent="0.3">
      <c r="A417" t="s">
        <v>1224</v>
      </c>
      <c r="B417" t="s">
        <v>1225</v>
      </c>
      <c r="C417"/>
      <c r="D417"/>
      <c r="E417"/>
      <c r="F417"/>
      <c r="G417" t="s">
        <v>290</v>
      </c>
      <c r="H417" t="s">
        <v>132</v>
      </c>
      <c r="I417" t="s">
        <v>1</v>
      </c>
      <c r="J417" t="s">
        <v>133</v>
      </c>
      <c r="K417" t="s">
        <v>51</v>
      </c>
      <c r="L417" t="s">
        <v>1226</v>
      </c>
      <c r="M417" t="s">
        <v>134</v>
      </c>
      <c r="N417" t="s">
        <v>135</v>
      </c>
      <c r="O417"/>
      <c r="P417"/>
      <c r="Q417" t="s">
        <v>291</v>
      </c>
      <c r="R417"/>
      <c r="S417"/>
      <c r="T417" t="s">
        <v>169</v>
      </c>
      <c r="U417" t="s">
        <v>137</v>
      </c>
      <c r="V417" t="s">
        <v>156</v>
      </c>
      <c r="W417"/>
      <c r="X417" t="s">
        <v>97</v>
      </c>
      <c r="Y417"/>
      <c r="Z417"/>
      <c r="AA417" t="s">
        <v>292</v>
      </c>
      <c r="AB417" t="s">
        <v>1</v>
      </c>
      <c r="AC417" t="s">
        <v>138</v>
      </c>
      <c r="AD417" t="s">
        <v>129</v>
      </c>
      <c r="AE417" s="97"/>
    </row>
    <row r="418" spans="1:31" ht="14.4" customHeight="1" x14ac:dyDescent="0.3">
      <c r="A418" t="s">
        <v>1227</v>
      </c>
      <c r="B418" t="s">
        <v>1228</v>
      </c>
      <c r="C418"/>
      <c r="D418"/>
      <c r="E418"/>
      <c r="F418"/>
      <c r="G418" t="s">
        <v>290</v>
      </c>
      <c r="H418" t="s">
        <v>132</v>
      </c>
      <c r="I418" t="s">
        <v>1</v>
      </c>
      <c r="J418" t="s">
        <v>133</v>
      </c>
      <c r="K418" t="s">
        <v>51</v>
      </c>
      <c r="L418" t="s">
        <v>1229</v>
      </c>
      <c r="M418" t="s">
        <v>134</v>
      </c>
      <c r="N418" t="s">
        <v>135</v>
      </c>
      <c r="O418"/>
      <c r="P418"/>
      <c r="Q418" t="s">
        <v>291</v>
      </c>
      <c r="R418"/>
      <c r="S418"/>
      <c r="T418" t="s">
        <v>169</v>
      </c>
      <c r="U418" t="s">
        <v>137</v>
      </c>
      <c r="V418" t="s">
        <v>159</v>
      </c>
      <c r="W418"/>
      <c r="X418" t="s">
        <v>106</v>
      </c>
      <c r="Y418"/>
      <c r="Z418"/>
      <c r="AA418" t="s">
        <v>292</v>
      </c>
      <c r="AB418" t="s">
        <v>1</v>
      </c>
      <c r="AC418" t="s">
        <v>138</v>
      </c>
      <c r="AD418" t="s">
        <v>129</v>
      </c>
      <c r="AE418" s="97"/>
    </row>
    <row r="419" spans="1:31" ht="14.4" customHeight="1" x14ac:dyDescent="0.3">
      <c r="A419" t="s">
        <v>1230</v>
      </c>
      <c r="B419" t="s">
        <v>1231</v>
      </c>
      <c r="C419"/>
      <c r="D419"/>
      <c r="E419"/>
      <c r="F419"/>
      <c r="G419" t="s">
        <v>290</v>
      </c>
      <c r="H419" t="s">
        <v>132</v>
      </c>
      <c r="I419" t="s">
        <v>1</v>
      </c>
      <c r="J419" t="s">
        <v>133</v>
      </c>
      <c r="K419" t="s">
        <v>51</v>
      </c>
      <c r="L419" t="s">
        <v>1232</v>
      </c>
      <c r="M419" t="s">
        <v>134</v>
      </c>
      <c r="N419" t="s">
        <v>135</v>
      </c>
      <c r="O419"/>
      <c r="P419"/>
      <c r="Q419" t="s">
        <v>291</v>
      </c>
      <c r="R419"/>
      <c r="S419"/>
      <c r="T419" t="s">
        <v>169</v>
      </c>
      <c r="U419" t="s">
        <v>137</v>
      </c>
      <c r="V419" t="s">
        <v>162</v>
      </c>
      <c r="W419"/>
      <c r="X419" t="s">
        <v>113</v>
      </c>
      <c r="Y419"/>
      <c r="Z419"/>
      <c r="AA419" t="s">
        <v>292</v>
      </c>
      <c r="AB419" t="s">
        <v>1</v>
      </c>
      <c r="AC419" t="s">
        <v>138</v>
      </c>
      <c r="AD419" t="s">
        <v>129</v>
      </c>
      <c r="AE419" s="97"/>
    </row>
    <row r="420" spans="1:31" ht="14.4" customHeight="1" x14ac:dyDescent="0.3">
      <c r="A420" t="s">
        <v>1233</v>
      </c>
      <c r="B420" t="s">
        <v>1234</v>
      </c>
      <c r="C420"/>
      <c r="D420"/>
      <c r="E420"/>
      <c r="F420"/>
      <c r="G420" t="s">
        <v>290</v>
      </c>
      <c r="H420" t="s">
        <v>132</v>
      </c>
      <c r="I420" t="s">
        <v>1</v>
      </c>
      <c r="J420" t="s">
        <v>133</v>
      </c>
      <c r="K420" t="s">
        <v>51</v>
      </c>
      <c r="L420" t="s">
        <v>1235</v>
      </c>
      <c r="M420" t="s">
        <v>134</v>
      </c>
      <c r="N420" t="s">
        <v>135</v>
      </c>
      <c r="O420"/>
      <c r="P420"/>
      <c r="Q420" t="s">
        <v>291</v>
      </c>
      <c r="R420"/>
      <c r="S420"/>
      <c r="T420" t="s">
        <v>169</v>
      </c>
      <c r="U420" t="s">
        <v>137</v>
      </c>
      <c r="V420" t="s">
        <v>165</v>
      </c>
      <c r="W420"/>
      <c r="X420" t="s">
        <v>122</v>
      </c>
      <c r="Y420"/>
      <c r="Z420"/>
      <c r="AA420" t="s">
        <v>292</v>
      </c>
      <c r="AB420" t="s">
        <v>1</v>
      </c>
      <c r="AC420" t="s">
        <v>138</v>
      </c>
      <c r="AD420" t="s">
        <v>130</v>
      </c>
      <c r="AE420" s="97"/>
    </row>
    <row r="421" spans="1:31" ht="14.4" customHeight="1" x14ac:dyDescent="0.3">
      <c r="A421" t="s">
        <v>1236</v>
      </c>
      <c r="B421" t="s">
        <v>1237</v>
      </c>
      <c r="C421"/>
      <c r="D421"/>
      <c r="E421"/>
      <c r="F421"/>
      <c r="G421" t="s">
        <v>290</v>
      </c>
      <c r="H421" t="s">
        <v>132</v>
      </c>
      <c r="I421" t="s">
        <v>1</v>
      </c>
      <c r="J421" t="s">
        <v>133</v>
      </c>
      <c r="K421" t="s">
        <v>51</v>
      </c>
      <c r="L421" t="s">
        <v>1238</v>
      </c>
      <c r="M421" t="s">
        <v>134</v>
      </c>
      <c r="N421" t="s">
        <v>135</v>
      </c>
      <c r="O421"/>
      <c r="P421"/>
      <c r="Q421" t="s">
        <v>291</v>
      </c>
      <c r="R421"/>
      <c r="S421"/>
      <c r="T421" t="s">
        <v>169</v>
      </c>
      <c r="U421" t="s">
        <v>137</v>
      </c>
      <c r="V421" t="s">
        <v>1239</v>
      </c>
      <c r="W421"/>
      <c r="X421" t="s">
        <v>127</v>
      </c>
      <c r="Y421"/>
      <c r="Z421"/>
      <c r="AA421" t="s">
        <v>292</v>
      </c>
      <c r="AB421" t="s">
        <v>1</v>
      </c>
      <c r="AC421" t="s">
        <v>138</v>
      </c>
      <c r="AD421" t="s">
        <v>131</v>
      </c>
      <c r="AE421" s="97"/>
    </row>
    <row r="422" spans="1:31" ht="14.4" customHeight="1" x14ac:dyDescent="0.3">
      <c r="A422" t="s">
        <v>1240</v>
      </c>
      <c r="B422" t="s">
        <v>1241</v>
      </c>
      <c r="C422"/>
      <c r="D422"/>
      <c r="E422"/>
      <c r="F422"/>
      <c r="G422" t="s">
        <v>290</v>
      </c>
      <c r="H422" t="s">
        <v>132</v>
      </c>
      <c r="I422" t="s">
        <v>1</v>
      </c>
      <c r="J422" t="s">
        <v>133</v>
      </c>
      <c r="K422" t="s">
        <v>51</v>
      </c>
      <c r="L422" t="s">
        <v>1242</v>
      </c>
      <c r="M422" t="s">
        <v>134</v>
      </c>
      <c r="N422" t="s">
        <v>135</v>
      </c>
      <c r="O422"/>
      <c r="P422"/>
      <c r="Q422" t="s">
        <v>291</v>
      </c>
      <c r="R422"/>
      <c r="S422"/>
      <c r="T422" t="s">
        <v>169</v>
      </c>
      <c r="U422" t="s">
        <v>137</v>
      </c>
      <c r="V422" t="s">
        <v>1239</v>
      </c>
      <c r="W422"/>
      <c r="X422" t="s">
        <v>127</v>
      </c>
      <c r="Y422"/>
      <c r="Z422"/>
      <c r="AA422" t="s">
        <v>292</v>
      </c>
      <c r="AB422" t="s">
        <v>1</v>
      </c>
      <c r="AC422" t="s">
        <v>138</v>
      </c>
      <c r="AD422" t="s">
        <v>131</v>
      </c>
      <c r="AE422" s="97"/>
    </row>
    <row r="423" spans="1:31" ht="14.4" customHeight="1" x14ac:dyDescent="0.3">
      <c r="A423" t="s">
        <v>1243</v>
      </c>
      <c r="B423" t="s">
        <v>1244</v>
      </c>
      <c r="C423"/>
      <c r="D423"/>
      <c r="E423"/>
      <c r="F423"/>
      <c r="G423" t="s">
        <v>290</v>
      </c>
      <c r="H423" t="s">
        <v>132</v>
      </c>
      <c r="I423" t="s">
        <v>1</v>
      </c>
      <c r="J423" t="s">
        <v>133</v>
      </c>
      <c r="K423" t="s">
        <v>51</v>
      </c>
      <c r="L423" t="s">
        <v>1245</v>
      </c>
      <c r="M423" t="s">
        <v>134</v>
      </c>
      <c r="N423" t="s">
        <v>135</v>
      </c>
      <c r="O423"/>
      <c r="P423"/>
      <c r="Q423" t="s">
        <v>291</v>
      </c>
      <c r="R423"/>
      <c r="S423"/>
      <c r="T423" t="s">
        <v>169</v>
      </c>
      <c r="U423" t="s">
        <v>137</v>
      </c>
      <c r="V423" t="s">
        <v>1239</v>
      </c>
      <c r="W423"/>
      <c r="X423" t="s">
        <v>127</v>
      </c>
      <c r="Y423"/>
      <c r="Z423"/>
      <c r="AA423" t="s">
        <v>292</v>
      </c>
      <c r="AB423" t="s">
        <v>1</v>
      </c>
      <c r="AC423" t="s">
        <v>138</v>
      </c>
      <c r="AD423" t="s">
        <v>131</v>
      </c>
      <c r="AE423" s="97"/>
    </row>
    <row r="424" spans="1:31" ht="14.4" customHeight="1" x14ac:dyDescent="0.3">
      <c r="A424" t="s">
        <v>1246</v>
      </c>
      <c r="B424" t="s">
        <v>1247</v>
      </c>
      <c r="C424"/>
      <c r="D424"/>
      <c r="E424"/>
      <c r="F424"/>
      <c r="G424" t="s">
        <v>290</v>
      </c>
      <c r="H424" t="s">
        <v>132</v>
      </c>
      <c r="I424" t="s">
        <v>1</v>
      </c>
      <c r="J424" t="s">
        <v>133</v>
      </c>
      <c r="K424" t="s">
        <v>51</v>
      </c>
      <c r="L424" t="s">
        <v>1248</v>
      </c>
      <c r="M424" t="s">
        <v>134</v>
      </c>
      <c r="N424" t="s">
        <v>135</v>
      </c>
      <c r="O424"/>
      <c r="P424"/>
      <c r="Q424" t="s">
        <v>291</v>
      </c>
      <c r="R424"/>
      <c r="S424"/>
      <c r="T424" t="s">
        <v>169</v>
      </c>
      <c r="U424" t="s">
        <v>137</v>
      </c>
      <c r="V424" t="s">
        <v>1249</v>
      </c>
      <c r="W424"/>
      <c r="X424" t="s">
        <v>61</v>
      </c>
      <c r="Y424"/>
      <c r="Z424"/>
      <c r="AA424" t="s">
        <v>292</v>
      </c>
      <c r="AB424" t="s">
        <v>1</v>
      </c>
      <c r="AC424" t="s">
        <v>138</v>
      </c>
      <c r="AD424" t="s">
        <v>128</v>
      </c>
      <c r="AE424" s="97"/>
    </row>
    <row r="425" spans="1:31" ht="14.4" customHeight="1" x14ac:dyDescent="0.3">
      <c r="A425" t="s">
        <v>1250</v>
      </c>
      <c r="B425" t="s">
        <v>1251</v>
      </c>
      <c r="C425"/>
      <c r="D425"/>
      <c r="E425"/>
      <c r="F425"/>
      <c r="G425" t="s">
        <v>290</v>
      </c>
      <c r="H425" t="s">
        <v>132</v>
      </c>
      <c r="I425" t="s">
        <v>1</v>
      </c>
      <c r="J425" t="s">
        <v>133</v>
      </c>
      <c r="K425" t="s">
        <v>51</v>
      </c>
      <c r="L425" t="s">
        <v>1252</v>
      </c>
      <c r="M425" t="s">
        <v>134</v>
      </c>
      <c r="N425" t="s">
        <v>135</v>
      </c>
      <c r="O425"/>
      <c r="P425"/>
      <c r="Q425" t="s">
        <v>291</v>
      </c>
      <c r="R425"/>
      <c r="S425"/>
      <c r="T425" t="s">
        <v>169</v>
      </c>
      <c r="U425" t="s">
        <v>137</v>
      </c>
      <c r="V425" t="s">
        <v>1249</v>
      </c>
      <c r="W425"/>
      <c r="X425" t="s">
        <v>61</v>
      </c>
      <c r="Y425"/>
      <c r="Z425"/>
      <c r="AA425" t="s">
        <v>292</v>
      </c>
      <c r="AB425" t="s">
        <v>1</v>
      </c>
      <c r="AC425" t="s">
        <v>138</v>
      </c>
      <c r="AD425" t="s">
        <v>128</v>
      </c>
      <c r="AE425" s="97"/>
    </row>
    <row r="426" spans="1:31" ht="14.4" customHeight="1" x14ac:dyDescent="0.3">
      <c r="A426" t="s">
        <v>1253</v>
      </c>
      <c r="B426" t="s">
        <v>1254</v>
      </c>
      <c r="C426"/>
      <c r="D426"/>
      <c r="E426"/>
      <c r="F426"/>
      <c r="G426" t="s">
        <v>290</v>
      </c>
      <c r="H426" t="s">
        <v>132</v>
      </c>
      <c r="I426" t="s">
        <v>1</v>
      </c>
      <c r="J426" t="s">
        <v>133</v>
      </c>
      <c r="K426" t="s">
        <v>51</v>
      </c>
      <c r="L426" t="s">
        <v>1255</v>
      </c>
      <c r="M426" t="s">
        <v>134</v>
      </c>
      <c r="N426" t="s">
        <v>135</v>
      </c>
      <c r="O426"/>
      <c r="P426"/>
      <c r="Q426" t="s">
        <v>291</v>
      </c>
      <c r="R426"/>
      <c r="S426"/>
      <c r="T426" t="s">
        <v>169</v>
      </c>
      <c r="U426" t="s">
        <v>137</v>
      </c>
      <c r="V426" t="s">
        <v>1249</v>
      </c>
      <c r="W426"/>
      <c r="X426" t="s">
        <v>61</v>
      </c>
      <c r="Y426"/>
      <c r="Z426"/>
      <c r="AA426" t="s">
        <v>292</v>
      </c>
      <c r="AB426" t="s">
        <v>1</v>
      </c>
      <c r="AC426" t="s">
        <v>138</v>
      </c>
      <c r="AD426" t="s">
        <v>128</v>
      </c>
      <c r="AE426" s="97"/>
    </row>
    <row r="427" spans="1:31" ht="14.4" customHeight="1" x14ac:dyDescent="0.3">
      <c r="A427" t="s">
        <v>1256</v>
      </c>
      <c r="B427" t="s">
        <v>1257</v>
      </c>
      <c r="C427"/>
      <c r="D427"/>
      <c r="E427"/>
      <c r="F427"/>
      <c r="G427" t="s">
        <v>290</v>
      </c>
      <c r="H427" t="s">
        <v>132</v>
      </c>
      <c r="I427" t="s">
        <v>1</v>
      </c>
      <c r="J427" t="s">
        <v>133</v>
      </c>
      <c r="K427" t="s">
        <v>51</v>
      </c>
      <c r="L427" t="s">
        <v>1258</v>
      </c>
      <c r="M427" t="s">
        <v>134</v>
      </c>
      <c r="N427" t="s">
        <v>135</v>
      </c>
      <c r="O427"/>
      <c r="P427"/>
      <c r="Q427" t="s">
        <v>291</v>
      </c>
      <c r="R427"/>
      <c r="S427"/>
      <c r="T427" t="s">
        <v>169</v>
      </c>
      <c r="U427" t="s">
        <v>137</v>
      </c>
      <c r="V427" t="s">
        <v>1259</v>
      </c>
      <c r="W427"/>
      <c r="X427" t="s">
        <v>126</v>
      </c>
      <c r="Y427"/>
      <c r="Z427"/>
      <c r="AA427" t="s">
        <v>292</v>
      </c>
      <c r="AB427" t="s">
        <v>1</v>
      </c>
      <c r="AC427" t="s">
        <v>138</v>
      </c>
      <c r="AD427" t="s">
        <v>131</v>
      </c>
      <c r="AE427" s="97"/>
    </row>
    <row r="428" spans="1:31" ht="14.4" customHeight="1" x14ac:dyDescent="0.3">
      <c r="A428" t="s">
        <v>1260</v>
      </c>
      <c r="B428" t="s">
        <v>1261</v>
      </c>
      <c r="C428"/>
      <c r="D428"/>
      <c r="E428"/>
      <c r="F428"/>
      <c r="G428" t="s">
        <v>290</v>
      </c>
      <c r="H428" t="s">
        <v>132</v>
      </c>
      <c r="I428" t="s">
        <v>1</v>
      </c>
      <c r="J428" t="s">
        <v>133</v>
      </c>
      <c r="K428" t="s">
        <v>51</v>
      </c>
      <c r="L428" t="s">
        <v>1262</v>
      </c>
      <c r="M428" t="s">
        <v>134</v>
      </c>
      <c r="N428" t="s">
        <v>135</v>
      </c>
      <c r="O428"/>
      <c r="P428"/>
      <c r="Q428" t="s">
        <v>291</v>
      </c>
      <c r="R428"/>
      <c r="S428"/>
      <c r="T428" t="s">
        <v>169</v>
      </c>
      <c r="U428" t="s">
        <v>137</v>
      </c>
      <c r="V428" t="s">
        <v>1263</v>
      </c>
      <c r="W428"/>
      <c r="X428" t="s">
        <v>69</v>
      </c>
      <c r="Y428"/>
      <c r="Z428"/>
      <c r="AA428" t="s">
        <v>292</v>
      </c>
      <c r="AB428" t="s">
        <v>1</v>
      </c>
      <c r="AC428" t="s">
        <v>138</v>
      </c>
      <c r="AD428" t="s">
        <v>128</v>
      </c>
      <c r="AE428" s="97"/>
    </row>
    <row r="429" spans="1:31" ht="14.4" customHeight="1" x14ac:dyDescent="0.3">
      <c r="A429" t="s">
        <v>1264</v>
      </c>
      <c r="B429" t="s">
        <v>1265</v>
      </c>
      <c r="C429"/>
      <c r="D429"/>
      <c r="E429"/>
      <c r="F429"/>
      <c r="G429" t="s">
        <v>290</v>
      </c>
      <c r="H429" t="s">
        <v>132</v>
      </c>
      <c r="I429" t="s">
        <v>1</v>
      </c>
      <c r="J429" t="s">
        <v>133</v>
      </c>
      <c r="K429" t="s">
        <v>51</v>
      </c>
      <c r="L429" t="s">
        <v>1266</v>
      </c>
      <c r="M429" t="s">
        <v>134</v>
      </c>
      <c r="N429" t="s">
        <v>135</v>
      </c>
      <c r="O429"/>
      <c r="P429"/>
      <c r="Q429" t="s">
        <v>291</v>
      </c>
      <c r="R429"/>
      <c r="S429"/>
      <c r="T429" t="s">
        <v>169</v>
      </c>
      <c r="U429" t="s">
        <v>137</v>
      </c>
      <c r="V429" t="s">
        <v>1259</v>
      </c>
      <c r="W429"/>
      <c r="X429" t="s">
        <v>126</v>
      </c>
      <c r="Y429"/>
      <c r="Z429"/>
      <c r="AA429" t="s">
        <v>292</v>
      </c>
      <c r="AB429" t="s">
        <v>1</v>
      </c>
      <c r="AC429" t="s">
        <v>138</v>
      </c>
      <c r="AD429" t="s">
        <v>131</v>
      </c>
      <c r="AE429" s="97"/>
    </row>
    <row r="430" spans="1:31" ht="14.4" customHeight="1" x14ac:dyDescent="0.3">
      <c r="A430" t="s">
        <v>1267</v>
      </c>
      <c r="B430" t="s">
        <v>1268</v>
      </c>
      <c r="C430"/>
      <c r="D430"/>
      <c r="E430"/>
      <c r="F430"/>
      <c r="G430" t="s">
        <v>290</v>
      </c>
      <c r="H430" t="s">
        <v>132</v>
      </c>
      <c r="I430" t="s">
        <v>1</v>
      </c>
      <c r="J430" t="s">
        <v>133</v>
      </c>
      <c r="K430" t="s">
        <v>51</v>
      </c>
      <c r="L430" t="s">
        <v>1269</v>
      </c>
      <c r="M430" t="s">
        <v>134</v>
      </c>
      <c r="N430" t="s">
        <v>135</v>
      </c>
      <c r="O430"/>
      <c r="P430"/>
      <c r="Q430" t="s">
        <v>291</v>
      </c>
      <c r="R430"/>
      <c r="S430"/>
      <c r="T430" t="s">
        <v>169</v>
      </c>
      <c r="U430" t="s">
        <v>137</v>
      </c>
      <c r="V430" t="s">
        <v>1263</v>
      </c>
      <c r="W430"/>
      <c r="X430" t="s">
        <v>69</v>
      </c>
      <c r="Y430"/>
      <c r="Z430"/>
      <c r="AA430" t="s">
        <v>292</v>
      </c>
      <c r="AB430" t="s">
        <v>1</v>
      </c>
      <c r="AC430" t="s">
        <v>138</v>
      </c>
      <c r="AD430" t="s">
        <v>128</v>
      </c>
      <c r="AE430" s="97"/>
    </row>
    <row r="431" spans="1:31" ht="14.4" customHeight="1" x14ac:dyDescent="0.3">
      <c r="A431" t="s">
        <v>1270</v>
      </c>
      <c r="B431" t="s">
        <v>1271</v>
      </c>
      <c r="C431"/>
      <c r="D431"/>
      <c r="E431"/>
      <c r="F431"/>
      <c r="G431" t="s">
        <v>290</v>
      </c>
      <c r="H431" t="s">
        <v>132</v>
      </c>
      <c r="I431" t="s">
        <v>1</v>
      </c>
      <c r="J431" t="s">
        <v>133</v>
      </c>
      <c r="K431" t="s">
        <v>51</v>
      </c>
      <c r="L431" t="s">
        <v>1272</v>
      </c>
      <c r="M431" t="s">
        <v>134</v>
      </c>
      <c r="N431" t="s">
        <v>135</v>
      </c>
      <c r="O431"/>
      <c r="P431"/>
      <c r="Q431" t="s">
        <v>291</v>
      </c>
      <c r="R431"/>
      <c r="S431"/>
      <c r="T431" t="s">
        <v>169</v>
      </c>
      <c r="U431" t="s">
        <v>137</v>
      </c>
      <c r="V431" t="s">
        <v>1259</v>
      </c>
      <c r="W431"/>
      <c r="X431" t="s">
        <v>126</v>
      </c>
      <c r="Y431"/>
      <c r="Z431"/>
      <c r="AA431" t="s">
        <v>292</v>
      </c>
      <c r="AB431" t="s">
        <v>1</v>
      </c>
      <c r="AC431" t="s">
        <v>138</v>
      </c>
      <c r="AD431" t="s">
        <v>131</v>
      </c>
      <c r="AE431" s="97"/>
    </row>
    <row r="432" spans="1:31" ht="14.4" customHeight="1" x14ac:dyDescent="0.3">
      <c r="A432" t="s">
        <v>1273</v>
      </c>
      <c r="B432" t="s">
        <v>1274</v>
      </c>
      <c r="C432"/>
      <c r="D432"/>
      <c r="E432"/>
      <c r="F432"/>
      <c r="G432" t="s">
        <v>290</v>
      </c>
      <c r="H432" t="s">
        <v>132</v>
      </c>
      <c r="I432" t="s">
        <v>1</v>
      </c>
      <c r="J432" t="s">
        <v>133</v>
      </c>
      <c r="K432" t="s">
        <v>51</v>
      </c>
      <c r="L432" t="s">
        <v>1275</v>
      </c>
      <c r="M432" t="s">
        <v>134</v>
      </c>
      <c r="N432" t="s">
        <v>135</v>
      </c>
      <c r="O432"/>
      <c r="P432"/>
      <c r="Q432" t="s">
        <v>291</v>
      </c>
      <c r="R432"/>
      <c r="S432"/>
      <c r="T432" t="s">
        <v>169</v>
      </c>
      <c r="U432" t="s">
        <v>137</v>
      </c>
      <c r="V432" t="s">
        <v>1259</v>
      </c>
      <c r="W432"/>
      <c r="X432" t="s">
        <v>126</v>
      </c>
      <c r="Y432"/>
      <c r="Z432"/>
      <c r="AA432" t="s">
        <v>292</v>
      </c>
      <c r="AB432" t="s">
        <v>1</v>
      </c>
      <c r="AC432" t="s">
        <v>138</v>
      </c>
      <c r="AD432" t="s">
        <v>131</v>
      </c>
      <c r="AE432" s="97"/>
    </row>
    <row r="433" spans="1:31" ht="14.4" customHeight="1" x14ac:dyDescent="0.3">
      <c r="A433" t="s">
        <v>1276</v>
      </c>
      <c r="B433" t="s">
        <v>1277</v>
      </c>
      <c r="C433"/>
      <c r="D433"/>
      <c r="E433"/>
      <c r="F433"/>
      <c r="G433" t="s">
        <v>290</v>
      </c>
      <c r="H433" t="s">
        <v>132</v>
      </c>
      <c r="I433" t="s">
        <v>1</v>
      </c>
      <c r="J433" t="s">
        <v>133</v>
      </c>
      <c r="K433" t="s">
        <v>51</v>
      </c>
      <c r="L433" t="s">
        <v>1278</v>
      </c>
      <c r="M433" t="s">
        <v>134</v>
      </c>
      <c r="N433" t="s">
        <v>135</v>
      </c>
      <c r="O433"/>
      <c r="P433"/>
      <c r="Q433" t="s">
        <v>291</v>
      </c>
      <c r="R433"/>
      <c r="S433"/>
      <c r="T433"/>
      <c r="U433" t="s">
        <v>137</v>
      </c>
      <c r="V433" t="s">
        <v>1279</v>
      </c>
      <c r="W433"/>
      <c r="X433" t="s">
        <v>71</v>
      </c>
      <c r="Y433"/>
      <c r="Z433"/>
      <c r="AA433" t="s">
        <v>292</v>
      </c>
      <c r="AB433" t="s">
        <v>1</v>
      </c>
      <c r="AC433" t="s">
        <v>138</v>
      </c>
      <c r="AD433" t="s">
        <v>128</v>
      </c>
      <c r="AE433" s="97"/>
    </row>
    <row r="434" spans="1:31" ht="14.4" customHeight="1" x14ac:dyDescent="0.3">
      <c r="A434" t="s">
        <v>1280</v>
      </c>
      <c r="B434" t="s">
        <v>1281</v>
      </c>
      <c r="C434"/>
      <c r="D434"/>
      <c r="E434"/>
      <c r="F434"/>
      <c r="G434" t="s">
        <v>290</v>
      </c>
      <c r="H434" t="s">
        <v>132</v>
      </c>
      <c r="I434" t="s">
        <v>1</v>
      </c>
      <c r="J434" t="s">
        <v>133</v>
      </c>
      <c r="K434" t="s">
        <v>51</v>
      </c>
      <c r="L434" t="s">
        <v>1282</v>
      </c>
      <c r="M434" t="s">
        <v>134</v>
      </c>
      <c r="N434" t="s">
        <v>135</v>
      </c>
      <c r="O434"/>
      <c r="P434"/>
      <c r="Q434" t="s">
        <v>291</v>
      </c>
      <c r="R434"/>
      <c r="S434"/>
      <c r="T434"/>
      <c r="U434" t="s">
        <v>137</v>
      </c>
      <c r="V434" t="s">
        <v>1283</v>
      </c>
      <c r="W434"/>
      <c r="X434" t="s">
        <v>78</v>
      </c>
      <c r="Y434"/>
      <c r="Z434"/>
      <c r="AA434" t="s">
        <v>292</v>
      </c>
      <c r="AB434" t="s">
        <v>1</v>
      </c>
      <c r="AC434" t="s">
        <v>138</v>
      </c>
      <c r="AD434" t="s">
        <v>128</v>
      </c>
      <c r="AE434" s="97"/>
    </row>
    <row r="435" spans="1:31" ht="14.4" customHeight="1" x14ac:dyDescent="0.3">
      <c r="A435" t="s">
        <v>1284</v>
      </c>
      <c r="B435" t="s">
        <v>1285</v>
      </c>
      <c r="C435"/>
      <c r="D435"/>
      <c r="E435"/>
      <c r="F435"/>
      <c r="G435" t="s">
        <v>290</v>
      </c>
      <c r="H435" t="s">
        <v>132</v>
      </c>
      <c r="I435" t="s">
        <v>1</v>
      </c>
      <c r="J435" t="s">
        <v>133</v>
      </c>
      <c r="K435" t="s">
        <v>51</v>
      </c>
      <c r="L435" t="s">
        <v>1286</v>
      </c>
      <c r="M435" t="s">
        <v>134</v>
      </c>
      <c r="N435" t="s">
        <v>135</v>
      </c>
      <c r="O435"/>
      <c r="P435"/>
      <c r="Q435" t="s">
        <v>291</v>
      </c>
      <c r="R435"/>
      <c r="S435"/>
      <c r="T435"/>
      <c r="U435" t="s">
        <v>137</v>
      </c>
      <c r="V435" t="s">
        <v>1287</v>
      </c>
      <c r="W435"/>
      <c r="X435" t="s">
        <v>89</v>
      </c>
      <c r="Y435"/>
      <c r="Z435"/>
      <c r="AA435" t="s">
        <v>292</v>
      </c>
      <c r="AB435" t="s">
        <v>1</v>
      </c>
      <c r="AC435" t="s">
        <v>138</v>
      </c>
      <c r="AD435" t="s">
        <v>129</v>
      </c>
      <c r="AE435" s="97"/>
    </row>
    <row r="436" spans="1:31" ht="14.4" customHeight="1" x14ac:dyDescent="0.3">
      <c r="A436" t="s">
        <v>1288</v>
      </c>
      <c r="B436" t="s">
        <v>1289</v>
      </c>
      <c r="C436"/>
      <c r="D436"/>
      <c r="E436"/>
      <c r="F436"/>
      <c r="G436" t="s">
        <v>290</v>
      </c>
      <c r="H436" t="s">
        <v>132</v>
      </c>
      <c r="I436" t="s">
        <v>1</v>
      </c>
      <c r="J436" t="s">
        <v>133</v>
      </c>
      <c r="K436" t="s">
        <v>51</v>
      </c>
      <c r="L436" t="s">
        <v>1290</v>
      </c>
      <c r="M436" t="s">
        <v>134</v>
      </c>
      <c r="N436" t="s">
        <v>135</v>
      </c>
      <c r="O436"/>
      <c r="P436"/>
      <c r="Q436" t="s">
        <v>291</v>
      </c>
      <c r="R436"/>
      <c r="S436"/>
      <c r="T436"/>
      <c r="U436" t="s">
        <v>137</v>
      </c>
      <c r="V436" t="s">
        <v>1291</v>
      </c>
      <c r="W436"/>
      <c r="X436" t="s">
        <v>98</v>
      </c>
      <c r="Y436"/>
      <c r="Z436"/>
      <c r="AA436" t="s">
        <v>292</v>
      </c>
      <c r="AB436" t="s">
        <v>1</v>
      </c>
      <c r="AC436" t="s">
        <v>138</v>
      </c>
      <c r="AD436" t="s">
        <v>129</v>
      </c>
      <c r="AE436" s="97"/>
    </row>
    <row r="437" spans="1:31" ht="14.4" customHeight="1" x14ac:dyDescent="0.3">
      <c r="A437" t="s">
        <v>1292</v>
      </c>
      <c r="B437" t="s">
        <v>1293</v>
      </c>
      <c r="C437"/>
      <c r="D437"/>
      <c r="E437"/>
      <c r="F437"/>
      <c r="G437" t="s">
        <v>290</v>
      </c>
      <c r="H437" t="s">
        <v>132</v>
      </c>
      <c r="I437" t="s">
        <v>1</v>
      </c>
      <c r="J437" t="s">
        <v>133</v>
      </c>
      <c r="K437" t="s">
        <v>51</v>
      </c>
      <c r="L437" t="s">
        <v>1294</v>
      </c>
      <c r="M437" t="s">
        <v>134</v>
      </c>
      <c r="N437" t="s">
        <v>135</v>
      </c>
      <c r="O437"/>
      <c r="P437"/>
      <c r="Q437" t="s">
        <v>291</v>
      </c>
      <c r="R437"/>
      <c r="S437"/>
      <c r="T437"/>
      <c r="U437" t="s">
        <v>137</v>
      </c>
      <c r="V437" t="s">
        <v>1295</v>
      </c>
      <c r="W437"/>
      <c r="X437" t="s">
        <v>107</v>
      </c>
      <c r="Y437"/>
      <c r="Z437"/>
      <c r="AA437" t="s">
        <v>292</v>
      </c>
      <c r="AB437" t="s">
        <v>1</v>
      </c>
      <c r="AC437" t="s">
        <v>138</v>
      </c>
      <c r="AD437" t="s">
        <v>129</v>
      </c>
      <c r="AE437" s="97"/>
    </row>
    <row r="438" spans="1:31" ht="14.4" customHeight="1" x14ac:dyDescent="0.3">
      <c r="A438" t="s">
        <v>1296</v>
      </c>
      <c r="B438" t="s">
        <v>1297</v>
      </c>
      <c r="C438"/>
      <c r="D438"/>
      <c r="E438"/>
      <c r="F438"/>
      <c r="G438" t="s">
        <v>290</v>
      </c>
      <c r="H438" t="s">
        <v>132</v>
      </c>
      <c r="I438" t="s">
        <v>1</v>
      </c>
      <c r="J438" t="s">
        <v>133</v>
      </c>
      <c r="K438" t="s">
        <v>51</v>
      </c>
      <c r="L438" t="s">
        <v>1298</v>
      </c>
      <c r="M438" t="s">
        <v>134</v>
      </c>
      <c r="N438" t="s">
        <v>135</v>
      </c>
      <c r="O438"/>
      <c r="P438"/>
      <c r="Q438" t="s">
        <v>291</v>
      </c>
      <c r="R438"/>
      <c r="S438"/>
      <c r="T438"/>
      <c r="U438" t="s">
        <v>137</v>
      </c>
      <c r="V438" t="s">
        <v>1299</v>
      </c>
      <c r="W438"/>
      <c r="X438" t="s">
        <v>114</v>
      </c>
      <c r="Y438"/>
      <c r="Z438"/>
      <c r="AA438" t="s">
        <v>292</v>
      </c>
      <c r="AB438" t="s">
        <v>1</v>
      </c>
      <c r="AC438" t="s">
        <v>138</v>
      </c>
      <c r="AD438" t="s">
        <v>129</v>
      </c>
      <c r="AE438" s="97"/>
    </row>
    <row r="439" spans="1:31" ht="14.4" customHeight="1" x14ac:dyDescent="0.3">
      <c r="A439" t="s">
        <v>1300</v>
      </c>
      <c r="B439" t="s">
        <v>1301</v>
      </c>
      <c r="C439"/>
      <c r="D439"/>
      <c r="E439"/>
      <c r="F439"/>
      <c r="G439" t="s">
        <v>290</v>
      </c>
      <c r="H439" t="s">
        <v>132</v>
      </c>
      <c r="I439" t="s">
        <v>1</v>
      </c>
      <c r="J439" t="s">
        <v>133</v>
      </c>
      <c r="K439" t="s">
        <v>51</v>
      </c>
      <c r="L439" t="s">
        <v>1302</v>
      </c>
      <c r="M439" t="s">
        <v>134</v>
      </c>
      <c r="N439" t="s">
        <v>135</v>
      </c>
      <c r="O439"/>
      <c r="P439"/>
      <c r="Q439" t="s">
        <v>291</v>
      </c>
      <c r="R439"/>
      <c r="S439"/>
      <c r="T439"/>
      <c r="U439" t="s">
        <v>137</v>
      </c>
      <c r="V439" t="s">
        <v>1303</v>
      </c>
      <c r="W439"/>
      <c r="X439" t="s">
        <v>123</v>
      </c>
      <c r="Y439"/>
      <c r="Z439"/>
      <c r="AA439" t="s">
        <v>292</v>
      </c>
      <c r="AB439" t="s">
        <v>1</v>
      </c>
      <c r="AC439" t="s">
        <v>138</v>
      </c>
      <c r="AD439" t="s">
        <v>130</v>
      </c>
      <c r="AE439" s="97"/>
    </row>
    <row r="440" spans="1:31" ht="14.4" customHeight="1" x14ac:dyDescent="0.3">
      <c r="A440" t="s">
        <v>1304</v>
      </c>
      <c r="B440" t="s">
        <v>1305</v>
      </c>
      <c r="C440"/>
      <c r="D440"/>
      <c r="E440"/>
      <c r="F440"/>
      <c r="G440" t="s">
        <v>290</v>
      </c>
      <c r="H440" t="s">
        <v>132</v>
      </c>
      <c r="I440" t="s">
        <v>1</v>
      </c>
      <c r="J440" t="s">
        <v>133</v>
      </c>
      <c r="K440" t="s">
        <v>51</v>
      </c>
      <c r="L440" t="s">
        <v>1306</v>
      </c>
      <c r="M440" t="s">
        <v>134</v>
      </c>
      <c r="N440" t="s">
        <v>135</v>
      </c>
      <c r="O440"/>
      <c r="P440"/>
      <c r="Q440" t="s">
        <v>291</v>
      </c>
      <c r="R440"/>
      <c r="S440"/>
      <c r="T440"/>
      <c r="U440" t="s">
        <v>137</v>
      </c>
      <c r="V440" t="s">
        <v>1279</v>
      </c>
      <c r="W440"/>
      <c r="X440" t="s">
        <v>71</v>
      </c>
      <c r="Y440"/>
      <c r="Z440"/>
      <c r="AA440" t="s">
        <v>292</v>
      </c>
      <c r="AB440" t="s">
        <v>1</v>
      </c>
      <c r="AC440" t="s">
        <v>138</v>
      </c>
      <c r="AD440" t="s">
        <v>128</v>
      </c>
      <c r="AE440" s="97"/>
    </row>
    <row r="441" spans="1:31" ht="14.4" customHeight="1" x14ac:dyDescent="0.3">
      <c r="A441" t="s">
        <v>1307</v>
      </c>
      <c r="B441" t="s">
        <v>1308</v>
      </c>
      <c r="C441"/>
      <c r="D441"/>
      <c r="E441"/>
      <c r="F441"/>
      <c r="G441" t="s">
        <v>290</v>
      </c>
      <c r="H441" t="s">
        <v>132</v>
      </c>
      <c r="I441" t="s">
        <v>1</v>
      </c>
      <c r="J441" t="s">
        <v>133</v>
      </c>
      <c r="K441" t="s">
        <v>51</v>
      </c>
      <c r="L441" t="s">
        <v>1309</v>
      </c>
      <c r="M441" t="s">
        <v>134</v>
      </c>
      <c r="N441" t="s">
        <v>135</v>
      </c>
      <c r="O441"/>
      <c r="P441"/>
      <c r="Q441" t="s">
        <v>291</v>
      </c>
      <c r="R441"/>
      <c r="S441"/>
      <c r="T441"/>
      <c r="U441" t="s">
        <v>137</v>
      </c>
      <c r="V441" t="s">
        <v>1283</v>
      </c>
      <c r="W441"/>
      <c r="X441" t="s">
        <v>78</v>
      </c>
      <c r="Y441"/>
      <c r="Z441"/>
      <c r="AA441" t="s">
        <v>292</v>
      </c>
      <c r="AB441" t="s">
        <v>1</v>
      </c>
      <c r="AC441" t="s">
        <v>138</v>
      </c>
      <c r="AD441" t="s">
        <v>128</v>
      </c>
      <c r="AE441" s="97"/>
    </row>
    <row r="442" spans="1:31" ht="14.4" customHeight="1" x14ac:dyDescent="0.3">
      <c r="A442" t="s">
        <v>1310</v>
      </c>
      <c r="B442" t="s">
        <v>1311</v>
      </c>
      <c r="C442"/>
      <c r="D442"/>
      <c r="E442"/>
      <c r="F442"/>
      <c r="G442" t="s">
        <v>290</v>
      </c>
      <c r="H442" t="s">
        <v>132</v>
      </c>
      <c r="I442" t="s">
        <v>1</v>
      </c>
      <c r="J442" t="s">
        <v>133</v>
      </c>
      <c r="K442" t="s">
        <v>51</v>
      </c>
      <c r="L442" t="s">
        <v>1312</v>
      </c>
      <c r="M442" t="s">
        <v>134</v>
      </c>
      <c r="N442" t="s">
        <v>135</v>
      </c>
      <c r="O442"/>
      <c r="P442"/>
      <c r="Q442" t="s">
        <v>291</v>
      </c>
      <c r="R442"/>
      <c r="S442"/>
      <c r="T442"/>
      <c r="U442" t="s">
        <v>137</v>
      </c>
      <c r="V442" t="s">
        <v>1287</v>
      </c>
      <c r="W442"/>
      <c r="X442" t="s">
        <v>89</v>
      </c>
      <c r="Y442"/>
      <c r="Z442"/>
      <c r="AA442" t="s">
        <v>292</v>
      </c>
      <c r="AB442" t="s">
        <v>1</v>
      </c>
      <c r="AC442" t="s">
        <v>138</v>
      </c>
      <c r="AD442" t="s">
        <v>129</v>
      </c>
      <c r="AE442" s="97"/>
    </row>
    <row r="443" spans="1:31" ht="14.4" customHeight="1" x14ac:dyDescent="0.3">
      <c r="A443" t="s">
        <v>1313</v>
      </c>
      <c r="B443" t="s">
        <v>1314</v>
      </c>
      <c r="C443"/>
      <c r="D443"/>
      <c r="E443"/>
      <c r="F443"/>
      <c r="G443" t="s">
        <v>290</v>
      </c>
      <c r="H443" t="s">
        <v>132</v>
      </c>
      <c r="I443" t="s">
        <v>1</v>
      </c>
      <c r="J443" t="s">
        <v>133</v>
      </c>
      <c r="K443" t="s">
        <v>51</v>
      </c>
      <c r="L443" t="s">
        <v>1315</v>
      </c>
      <c r="M443" t="s">
        <v>134</v>
      </c>
      <c r="N443" t="s">
        <v>135</v>
      </c>
      <c r="O443"/>
      <c r="P443"/>
      <c r="Q443" t="s">
        <v>291</v>
      </c>
      <c r="R443"/>
      <c r="S443"/>
      <c r="T443"/>
      <c r="U443" t="s">
        <v>137</v>
      </c>
      <c r="V443" t="s">
        <v>1291</v>
      </c>
      <c r="W443"/>
      <c r="X443" t="s">
        <v>98</v>
      </c>
      <c r="Y443"/>
      <c r="Z443"/>
      <c r="AA443" t="s">
        <v>292</v>
      </c>
      <c r="AB443" t="s">
        <v>1</v>
      </c>
      <c r="AC443" t="s">
        <v>138</v>
      </c>
      <c r="AD443" t="s">
        <v>129</v>
      </c>
      <c r="AE443" s="97"/>
    </row>
    <row r="444" spans="1:31" ht="14.4" customHeight="1" x14ac:dyDescent="0.3">
      <c r="A444" t="s">
        <v>1316</v>
      </c>
      <c r="B444" t="s">
        <v>1317</v>
      </c>
      <c r="C444"/>
      <c r="D444"/>
      <c r="E444"/>
      <c r="F444"/>
      <c r="G444" t="s">
        <v>290</v>
      </c>
      <c r="H444" t="s">
        <v>132</v>
      </c>
      <c r="I444" t="s">
        <v>1</v>
      </c>
      <c r="J444" t="s">
        <v>133</v>
      </c>
      <c r="K444" t="s">
        <v>51</v>
      </c>
      <c r="L444" t="s">
        <v>1318</v>
      </c>
      <c r="M444" t="s">
        <v>134</v>
      </c>
      <c r="N444" t="s">
        <v>135</v>
      </c>
      <c r="O444"/>
      <c r="P444"/>
      <c r="Q444" t="s">
        <v>291</v>
      </c>
      <c r="R444"/>
      <c r="S444"/>
      <c r="T444"/>
      <c r="U444" t="s">
        <v>137</v>
      </c>
      <c r="V444" t="s">
        <v>1295</v>
      </c>
      <c r="W444"/>
      <c r="X444" t="s">
        <v>107</v>
      </c>
      <c r="Y444"/>
      <c r="Z444"/>
      <c r="AA444" t="s">
        <v>292</v>
      </c>
      <c r="AB444" t="s">
        <v>1</v>
      </c>
      <c r="AC444" t="s">
        <v>138</v>
      </c>
      <c r="AD444" t="s">
        <v>129</v>
      </c>
      <c r="AE444" s="97"/>
    </row>
    <row r="445" spans="1:31" ht="14.4" customHeight="1" x14ac:dyDescent="0.3">
      <c r="A445" t="s">
        <v>1319</v>
      </c>
      <c r="B445" t="s">
        <v>1320</v>
      </c>
      <c r="C445"/>
      <c r="D445"/>
      <c r="E445"/>
      <c r="F445"/>
      <c r="G445" t="s">
        <v>290</v>
      </c>
      <c r="H445" t="s">
        <v>132</v>
      </c>
      <c r="I445" t="s">
        <v>1</v>
      </c>
      <c r="J445" t="s">
        <v>133</v>
      </c>
      <c r="K445" t="s">
        <v>51</v>
      </c>
      <c r="L445" t="s">
        <v>1321</v>
      </c>
      <c r="M445" t="s">
        <v>134</v>
      </c>
      <c r="N445" t="s">
        <v>135</v>
      </c>
      <c r="O445"/>
      <c r="P445"/>
      <c r="Q445" t="s">
        <v>291</v>
      </c>
      <c r="R445"/>
      <c r="S445"/>
      <c r="T445"/>
      <c r="U445" t="s">
        <v>137</v>
      </c>
      <c r="V445" t="s">
        <v>1299</v>
      </c>
      <c r="W445"/>
      <c r="X445" t="s">
        <v>114</v>
      </c>
      <c r="Y445"/>
      <c r="Z445"/>
      <c r="AA445" t="s">
        <v>292</v>
      </c>
      <c r="AB445" t="s">
        <v>1</v>
      </c>
      <c r="AC445" t="s">
        <v>138</v>
      </c>
      <c r="AD445" t="s">
        <v>129</v>
      </c>
      <c r="AE445" s="97"/>
    </row>
    <row r="446" spans="1:31" ht="14.4" customHeight="1" x14ac:dyDescent="0.3">
      <c r="A446" t="s">
        <v>1322</v>
      </c>
      <c r="B446" t="s">
        <v>1323</v>
      </c>
      <c r="C446"/>
      <c r="D446"/>
      <c r="E446"/>
      <c r="F446"/>
      <c r="G446" t="s">
        <v>290</v>
      </c>
      <c r="H446" t="s">
        <v>132</v>
      </c>
      <c r="I446" t="s">
        <v>1</v>
      </c>
      <c r="J446" t="s">
        <v>133</v>
      </c>
      <c r="K446" t="s">
        <v>51</v>
      </c>
      <c r="L446" t="s">
        <v>1324</v>
      </c>
      <c r="M446" t="s">
        <v>134</v>
      </c>
      <c r="N446" t="s">
        <v>135</v>
      </c>
      <c r="O446"/>
      <c r="P446"/>
      <c r="Q446" t="s">
        <v>291</v>
      </c>
      <c r="R446"/>
      <c r="S446"/>
      <c r="T446"/>
      <c r="U446" t="s">
        <v>137</v>
      </c>
      <c r="V446" t="s">
        <v>1303</v>
      </c>
      <c r="W446"/>
      <c r="X446" t="s">
        <v>123</v>
      </c>
      <c r="Y446"/>
      <c r="Z446"/>
      <c r="AA446" t="s">
        <v>292</v>
      </c>
      <c r="AB446" t="s">
        <v>1</v>
      </c>
      <c r="AC446" t="s">
        <v>138</v>
      </c>
      <c r="AD446" t="s">
        <v>130</v>
      </c>
      <c r="AE446" s="97"/>
    </row>
    <row r="447" spans="1:31" ht="14.4" customHeight="1" x14ac:dyDescent="0.3">
      <c r="A447" t="s">
        <v>1325</v>
      </c>
      <c r="B447" t="s">
        <v>1326</v>
      </c>
      <c r="C447"/>
      <c r="D447"/>
      <c r="E447"/>
      <c r="F447"/>
      <c r="G447" t="s">
        <v>290</v>
      </c>
      <c r="H447" t="s">
        <v>132</v>
      </c>
      <c r="I447" t="s">
        <v>1</v>
      </c>
      <c r="J447" t="s">
        <v>133</v>
      </c>
      <c r="K447" t="s">
        <v>51</v>
      </c>
      <c r="L447" t="s">
        <v>1327</v>
      </c>
      <c r="M447" t="s">
        <v>134</v>
      </c>
      <c r="N447" t="s">
        <v>135</v>
      </c>
      <c r="O447"/>
      <c r="P447"/>
      <c r="Q447" t="s">
        <v>291</v>
      </c>
      <c r="R447"/>
      <c r="S447"/>
      <c r="T447"/>
      <c r="U447" t="s">
        <v>137</v>
      </c>
      <c r="V447" t="s">
        <v>1279</v>
      </c>
      <c r="W447"/>
      <c r="X447" t="s">
        <v>71</v>
      </c>
      <c r="Y447"/>
      <c r="Z447"/>
      <c r="AA447" t="s">
        <v>292</v>
      </c>
      <c r="AB447" t="s">
        <v>1</v>
      </c>
      <c r="AC447" t="s">
        <v>138</v>
      </c>
      <c r="AD447" t="s">
        <v>128</v>
      </c>
      <c r="AE447" s="97"/>
    </row>
    <row r="448" spans="1:31" ht="14.4" customHeight="1" x14ac:dyDescent="0.3">
      <c r="A448" t="s">
        <v>1328</v>
      </c>
      <c r="B448" t="s">
        <v>1329</v>
      </c>
      <c r="C448"/>
      <c r="D448"/>
      <c r="E448"/>
      <c r="F448"/>
      <c r="G448" t="s">
        <v>290</v>
      </c>
      <c r="H448" t="s">
        <v>132</v>
      </c>
      <c r="I448" t="s">
        <v>1</v>
      </c>
      <c r="J448" t="s">
        <v>133</v>
      </c>
      <c r="K448" t="s">
        <v>51</v>
      </c>
      <c r="L448" t="s">
        <v>1330</v>
      </c>
      <c r="M448" t="s">
        <v>134</v>
      </c>
      <c r="N448" t="s">
        <v>135</v>
      </c>
      <c r="O448"/>
      <c r="P448"/>
      <c r="Q448" t="s">
        <v>291</v>
      </c>
      <c r="R448"/>
      <c r="S448"/>
      <c r="T448"/>
      <c r="U448" t="s">
        <v>137</v>
      </c>
      <c r="V448" t="s">
        <v>1283</v>
      </c>
      <c r="W448"/>
      <c r="X448" t="s">
        <v>78</v>
      </c>
      <c r="Y448"/>
      <c r="Z448"/>
      <c r="AA448" t="s">
        <v>292</v>
      </c>
      <c r="AB448" t="s">
        <v>1</v>
      </c>
      <c r="AC448" t="s">
        <v>138</v>
      </c>
      <c r="AD448" t="s">
        <v>128</v>
      </c>
      <c r="AE448" s="97"/>
    </row>
    <row r="449" spans="1:31" ht="14.4" customHeight="1" x14ac:dyDescent="0.3">
      <c r="A449" t="s">
        <v>1331</v>
      </c>
      <c r="B449" t="s">
        <v>1332</v>
      </c>
      <c r="C449"/>
      <c r="D449"/>
      <c r="E449"/>
      <c r="F449"/>
      <c r="G449" t="s">
        <v>290</v>
      </c>
      <c r="H449" t="s">
        <v>132</v>
      </c>
      <c r="I449" t="s">
        <v>1</v>
      </c>
      <c r="J449" t="s">
        <v>133</v>
      </c>
      <c r="K449" t="s">
        <v>51</v>
      </c>
      <c r="L449" t="s">
        <v>1333</v>
      </c>
      <c r="M449" t="s">
        <v>134</v>
      </c>
      <c r="N449" t="s">
        <v>135</v>
      </c>
      <c r="O449"/>
      <c r="P449"/>
      <c r="Q449" t="s">
        <v>291</v>
      </c>
      <c r="R449"/>
      <c r="S449"/>
      <c r="T449"/>
      <c r="U449" t="s">
        <v>137</v>
      </c>
      <c r="V449" t="s">
        <v>1287</v>
      </c>
      <c r="W449"/>
      <c r="X449" t="s">
        <v>89</v>
      </c>
      <c r="Y449"/>
      <c r="Z449"/>
      <c r="AA449" t="s">
        <v>292</v>
      </c>
      <c r="AB449" t="s">
        <v>1</v>
      </c>
      <c r="AC449" t="s">
        <v>138</v>
      </c>
      <c r="AD449" t="s">
        <v>129</v>
      </c>
      <c r="AE449" s="97"/>
    </row>
    <row r="450" spans="1:31" ht="14.4" customHeight="1" x14ac:dyDescent="0.3">
      <c r="A450" t="s">
        <v>1334</v>
      </c>
      <c r="B450" t="s">
        <v>1335</v>
      </c>
      <c r="C450"/>
      <c r="D450"/>
      <c r="E450"/>
      <c r="F450"/>
      <c r="G450" t="s">
        <v>290</v>
      </c>
      <c r="H450" t="s">
        <v>132</v>
      </c>
      <c r="I450" t="s">
        <v>1</v>
      </c>
      <c r="J450" t="s">
        <v>133</v>
      </c>
      <c r="K450" t="s">
        <v>51</v>
      </c>
      <c r="L450" t="s">
        <v>1336</v>
      </c>
      <c r="M450" t="s">
        <v>134</v>
      </c>
      <c r="N450" t="s">
        <v>135</v>
      </c>
      <c r="O450"/>
      <c r="P450"/>
      <c r="Q450" t="s">
        <v>291</v>
      </c>
      <c r="R450"/>
      <c r="S450"/>
      <c r="T450"/>
      <c r="U450" t="s">
        <v>137</v>
      </c>
      <c r="V450" t="s">
        <v>1291</v>
      </c>
      <c r="W450"/>
      <c r="X450" t="s">
        <v>98</v>
      </c>
      <c r="Y450"/>
      <c r="Z450"/>
      <c r="AA450" t="s">
        <v>292</v>
      </c>
      <c r="AB450" t="s">
        <v>1</v>
      </c>
      <c r="AC450" t="s">
        <v>138</v>
      </c>
      <c r="AD450" t="s">
        <v>129</v>
      </c>
      <c r="AE450" s="97"/>
    </row>
    <row r="451" spans="1:31" ht="14.4" customHeight="1" x14ac:dyDescent="0.3">
      <c r="A451" t="s">
        <v>1337</v>
      </c>
      <c r="B451" t="s">
        <v>1338</v>
      </c>
      <c r="C451"/>
      <c r="D451"/>
      <c r="E451"/>
      <c r="F451"/>
      <c r="G451" t="s">
        <v>290</v>
      </c>
      <c r="H451" t="s">
        <v>132</v>
      </c>
      <c r="I451" t="s">
        <v>1</v>
      </c>
      <c r="J451" t="s">
        <v>133</v>
      </c>
      <c r="K451" t="s">
        <v>51</v>
      </c>
      <c r="L451" t="s">
        <v>1339</v>
      </c>
      <c r="M451" t="s">
        <v>134</v>
      </c>
      <c r="N451" t="s">
        <v>135</v>
      </c>
      <c r="O451"/>
      <c r="P451"/>
      <c r="Q451" t="s">
        <v>291</v>
      </c>
      <c r="R451"/>
      <c r="S451"/>
      <c r="T451"/>
      <c r="U451" t="s">
        <v>137</v>
      </c>
      <c r="V451" t="s">
        <v>1295</v>
      </c>
      <c r="W451"/>
      <c r="X451" t="s">
        <v>107</v>
      </c>
      <c r="Y451"/>
      <c r="Z451"/>
      <c r="AA451" t="s">
        <v>292</v>
      </c>
      <c r="AB451" t="s">
        <v>1</v>
      </c>
      <c r="AC451" t="s">
        <v>138</v>
      </c>
      <c r="AD451" t="s">
        <v>129</v>
      </c>
      <c r="AE451" s="97"/>
    </row>
    <row r="452" spans="1:31" ht="14.4" customHeight="1" x14ac:dyDescent="0.3">
      <c r="A452" t="s">
        <v>1340</v>
      </c>
      <c r="B452" t="s">
        <v>1341</v>
      </c>
      <c r="C452"/>
      <c r="D452"/>
      <c r="E452"/>
      <c r="F452"/>
      <c r="G452" t="s">
        <v>290</v>
      </c>
      <c r="H452" t="s">
        <v>132</v>
      </c>
      <c r="I452" t="s">
        <v>1</v>
      </c>
      <c r="J452" t="s">
        <v>133</v>
      </c>
      <c r="K452" t="s">
        <v>51</v>
      </c>
      <c r="L452" t="s">
        <v>1342</v>
      </c>
      <c r="M452" t="s">
        <v>134</v>
      </c>
      <c r="N452" t="s">
        <v>135</v>
      </c>
      <c r="O452"/>
      <c r="P452"/>
      <c r="Q452" t="s">
        <v>291</v>
      </c>
      <c r="R452"/>
      <c r="S452"/>
      <c r="T452"/>
      <c r="U452" t="s">
        <v>137</v>
      </c>
      <c r="V452" t="s">
        <v>1299</v>
      </c>
      <c r="W452"/>
      <c r="X452" t="s">
        <v>114</v>
      </c>
      <c r="Y452"/>
      <c r="Z452"/>
      <c r="AA452" t="s">
        <v>292</v>
      </c>
      <c r="AB452" t="s">
        <v>1</v>
      </c>
      <c r="AC452" t="s">
        <v>138</v>
      </c>
      <c r="AD452" t="s">
        <v>129</v>
      </c>
      <c r="AE452" s="97"/>
    </row>
    <row r="453" spans="1:31" ht="14.4" customHeight="1" x14ac:dyDescent="0.3">
      <c r="A453" t="s">
        <v>1343</v>
      </c>
      <c r="B453" t="s">
        <v>1344</v>
      </c>
      <c r="C453"/>
      <c r="D453"/>
      <c r="E453"/>
      <c r="F453"/>
      <c r="G453" t="s">
        <v>290</v>
      </c>
      <c r="H453" t="s">
        <v>132</v>
      </c>
      <c r="I453" t="s">
        <v>1</v>
      </c>
      <c r="J453" t="s">
        <v>133</v>
      </c>
      <c r="K453" t="s">
        <v>51</v>
      </c>
      <c r="L453" t="s">
        <v>1345</v>
      </c>
      <c r="M453" t="s">
        <v>134</v>
      </c>
      <c r="N453" t="s">
        <v>135</v>
      </c>
      <c r="O453"/>
      <c r="P453"/>
      <c r="Q453" t="s">
        <v>291</v>
      </c>
      <c r="R453"/>
      <c r="S453"/>
      <c r="T453"/>
      <c r="U453" t="s">
        <v>137</v>
      </c>
      <c r="V453" t="s">
        <v>1303</v>
      </c>
      <c r="W453"/>
      <c r="X453" t="s">
        <v>123</v>
      </c>
      <c r="Y453"/>
      <c r="Z453"/>
      <c r="AA453" t="s">
        <v>292</v>
      </c>
      <c r="AB453" t="s">
        <v>1</v>
      </c>
      <c r="AC453" t="s">
        <v>138</v>
      </c>
      <c r="AD453" t="s">
        <v>130</v>
      </c>
      <c r="AE453" s="97"/>
    </row>
    <row r="454" spans="1:31" ht="14.4" customHeight="1" x14ac:dyDescent="0.3">
      <c r="A454" t="s">
        <v>1346</v>
      </c>
      <c r="B454" t="s">
        <v>1347</v>
      </c>
      <c r="C454"/>
      <c r="D454"/>
      <c r="E454"/>
      <c r="F454"/>
      <c r="G454" t="s">
        <v>290</v>
      </c>
      <c r="H454" t="s">
        <v>132</v>
      </c>
      <c r="I454" t="s">
        <v>1</v>
      </c>
      <c r="J454" t="s">
        <v>133</v>
      </c>
      <c r="K454" t="s">
        <v>51</v>
      </c>
      <c r="L454" t="s">
        <v>1348</v>
      </c>
      <c r="M454" t="s">
        <v>134</v>
      </c>
      <c r="N454" t="s">
        <v>135</v>
      </c>
      <c r="O454"/>
      <c r="P454"/>
      <c r="Q454" t="s">
        <v>291</v>
      </c>
      <c r="R454"/>
      <c r="S454"/>
      <c r="T454"/>
      <c r="U454" t="s">
        <v>137</v>
      </c>
      <c r="V454" t="s">
        <v>1279</v>
      </c>
      <c r="W454"/>
      <c r="X454" t="s">
        <v>71</v>
      </c>
      <c r="Y454"/>
      <c r="Z454"/>
      <c r="AA454" t="s">
        <v>292</v>
      </c>
      <c r="AB454" t="s">
        <v>1</v>
      </c>
      <c r="AC454" t="s">
        <v>138</v>
      </c>
      <c r="AD454" t="s">
        <v>128</v>
      </c>
      <c r="AE454" s="97"/>
    </row>
    <row r="455" spans="1:31" ht="14.4" customHeight="1" x14ac:dyDescent="0.3">
      <c r="A455" t="s">
        <v>1349</v>
      </c>
      <c r="B455" t="s">
        <v>1350</v>
      </c>
      <c r="C455"/>
      <c r="D455"/>
      <c r="E455"/>
      <c r="F455"/>
      <c r="G455" t="s">
        <v>290</v>
      </c>
      <c r="H455" t="s">
        <v>132</v>
      </c>
      <c r="I455" t="s">
        <v>1</v>
      </c>
      <c r="J455" t="s">
        <v>133</v>
      </c>
      <c r="K455" t="s">
        <v>51</v>
      </c>
      <c r="L455" t="s">
        <v>1348</v>
      </c>
      <c r="M455" t="s">
        <v>134</v>
      </c>
      <c r="N455" t="s">
        <v>135</v>
      </c>
      <c r="O455"/>
      <c r="P455"/>
      <c r="Q455" t="s">
        <v>291</v>
      </c>
      <c r="R455"/>
      <c r="S455"/>
      <c r="T455"/>
      <c r="U455" t="s">
        <v>137</v>
      </c>
      <c r="V455" t="s">
        <v>1279</v>
      </c>
      <c r="W455"/>
      <c r="X455" t="s">
        <v>71</v>
      </c>
      <c r="Y455"/>
      <c r="Z455"/>
      <c r="AA455" t="s">
        <v>292</v>
      </c>
      <c r="AB455" t="s">
        <v>1</v>
      </c>
      <c r="AC455" t="s">
        <v>138</v>
      </c>
      <c r="AD455" t="s">
        <v>128</v>
      </c>
      <c r="AE455" s="97"/>
    </row>
    <row r="456" spans="1:31" ht="14.4" customHeight="1" x14ac:dyDescent="0.3">
      <c r="A456" t="s">
        <v>1351</v>
      </c>
      <c r="B456" t="s">
        <v>1352</v>
      </c>
      <c r="C456"/>
      <c r="D456"/>
      <c r="E456"/>
      <c r="F456"/>
      <c r="G456" t="s">
        <v>290</v>
      </c>
      <c r="H456" t="s">
        <v>132</v>
      </c>
      <c r="I456" t="s">
        <v>1</v>
      </c>
      <c r="J456" t="s">
        <v>133</v>
      </c>
      <c r="K456" t="s">
        <v>51</v>
      </c>
      <c r="L456" t="s">
        <v>1348</v>
      </c>
      <c r="M456" t="s">
        <v>134</v>
      </c>
      <c r="N456" t="s">
        <v>135</v>
      </c>
      <c r="O456"/>
      <c r="P456"/>
      <c r="Q456" t="s">
        <v>291</v>
      </c>
      <c r="R456"/>
      <c r="S456"/>
      <c r="T456"/>
      <c r="U456" t="s">
        <v>137</v>
      </c>
      <c r="V456" t="s">
        <v>1279</v>
      </c>
      <c r="W456"/>
      <c r="X456" t="s">
        <v>71</v>
      </c>
      <c r="Y456"/>
      <c r="Z456"/>
      <c r="AA456" t="s">
        <v>292</v>
      </c>
      <c r="AB456" t="s">
        <v>1</v>
      </c>
      <c r="AC456" t="s">
        <v>138</v>
      </c>
      <c r="AD456" t="s">
        <v>128</v>
      </c>
      <c r="AE456" s="97"/>
    </row>
    <row r="457" spans="1:31" ht="14.4" customHeight="1" x14ac:dyDescent="0.3">
      <c r="A457" t="s">
        <v>1353</v>
      </c>
      <c r="B457" t="s">
        <v>1354</v>
      </c>
      <c r="C457"/>
      <c r="D457"/>
      <c r="E457"/>
      <c r="F457"/>
      <c r="G457" t="s">
        <v>290</v>
      </c>
      <c r="H457" t="s">
        <v>132</v>
      </c>
      <c r="I457" t="s">
        <v>1</v>
      </c>
      <c r="J457" t="s">
        <v>133</v>
      </c>
      <c r="K457" t="s">
        <v>51</v>
      </c>
      <c r="L457" t="s">
        <v>1348</v>
      </c>
      <c r="M457" t="s">
        <v>134</v>
      </c>
      <c r="N457" t="s">
        <v>135</v>
      </c>
      <c r="O457"/>
      <c r="P457"/>
      <c r="Q457" t="s">
        <v>291</v>
      </c>
      <c r="R457"/>
      <c r="S457"/>
      <c r="T457"/>
      <c r="U457" t="s">
        <v>137</v>
      </c>
      <c r="V457" t="s">
        <v>1279</v>
      </c>
      <c r="W457"/>
      <c r="X457" t="s">
        <v>71</v>
      </c>
      <c r="Y457"/>
      <c r="Z457"/>
      <c r="AA457" t="s">
        <v>292</v>
      </c>
      <c r="AB457" t="s">
        <v>1</v>
      </c>
      <c r="AC457" t="s">
        <v>138</v>
      </c>
      <c r="AD457" t="s">
        <v>128</v>
      </c>
      <c r="AE457" s="97"/>
    </row>
    <row r="458" spans="1:31" ht="14.4" customHeight="1" x14ac:dyDescent="0.3">
      <c r="A458" t="s">
        <v>1355</v>
      </c>
      <c r="B458" t="s">
        <v>1356</v>
      </c>
      <c r="C458"/>
      <c r="D458"/>
      <c r="E458"/>
      <c r="F458"/>
      <c r="G458" t="s">
        <v>290</v>
      </c>
      <c r="H458" t="s">
        <v>132</v>
      </c>
      <c r="I458" t="s">
        <v>1</v>
      </c>
      <c r="J458" t="s">
        <v>133</v>
      </c>
      <c r="K458" t="s">
        <v>51</v>
      </c>
      <c r="L458" t="s">
        <v>1348</v>
      </c>
      <c r="M458" t="s">
        <v>134</v>
      </c>
      <c r="N458" t="s">
        <v>135</v>
      </c>
      <c r="O458"/>
      <c r="P458"/>
      <c r="Q458" t="s">
        <v>291</v>
      </c>
      <c r="R458"/>
      <c r="S458"/>
      <c r="T458"/>
      <c r="U458" t="s">
        <v>137</v>
      </c>
      <c r="V458" t="s">
        <v>1279</v>
      </c>
      <c r="W458"/>
      <c r="X458" t="s">
        <v>71</v>
      </c>
      <c r="Y458"/>
      <c r="Z458"/>
      <c r="AA458" t="s">
        <v>292</v>
      </c>
      <c r="AB458" t="s">
        <v>1</v>
      </c>
      <c r="AC458" t="s">
        <v>138</v>
      </c>
      <c r="AD458" t="s">
        <v>128</v>
      </c>
      <c r="AE458" s="97"/>
    </row>
    <row r="459" spans="1:31" ht="14.4" customHeight="1" x14ac:dyDescent="0.3">
      <c r="A459" t="s">
        <v>1357</v>
      </c>
      <c r="B459" t="s">
        <v>1358</v>
      </c>
      <c r="C459"/>
      <c r="D459"/>
      <c r="E459"/>
      <c r="F459"/>
      <c r="G459" t="s">
        <v>290</v>
      </c>
      <c r="H459" t="s">
        <v>132</v>
      </c>
      <c r="I459" t="s">
        <v>1</v>
      </c>
      <c r="J459" t="s">
        <v>133</v>
      </c>
      <c r="K459" t="s">
        <v>51</v>
      </c>
      <c r="L459" t="s">
        <v>1348</v>
      </c>
      <c r="M459" t="s">
        <v>134</v>
      </c>
      <c r="N459" t="s">
        <v>135</v>
      </c>
      <c r="O459"/>
      <c r="P459"/>
      <c r="Q459" t="s">
        <v>291</v>
      </c>
      <c r="R459"/>
      <c r="S459"/>
      <c r="T459"/>
      <c r="U459" t="s">
        <v>137</v>
      </c>
      <c r="V459" t="s">
        <v>1279</v>
      </c>
      <c r="W459"/>
      <c r="X459" t="s">
        <v>71</v>
      </c>
      <c r="Y459"/>
      <c r="Z459"/>
      <c r="AA459" t="s">
        <v>292</v>
      </c>
      <c r="AB459" t="s">
        <v>1</v>
      </c>
      <c r="AC459" t="s">
        <v>138</v>
      </c>
      <c r="AD459" t="s">
        <v>128</v>
      </c>
      <c r="AE459" s="97"/>
    </row>
    <row r="460" spans="1:31" ht="14.4" customHeight="1" x14ac:dyDescent="0.3">
      <c r="A460" t="s">
        <v>1359</v>
      </c>
      <c r="B460" t="s">
        <v>1360</v>
      </c>
      <c r="C460"/>
      <c r="D460"/>
      <c r="E460"/>
      <c r="F460"/>
      <c r="G460" t="s">
        <v>290</v>
      </c>
      <c r="H460" t="s">
        <v>132</v>
      </c>
      <c r="I460" t="s">
        <v>1</v>
      </c>
      <c r="J460" t="s">
        <v>133</v>
      </c>
      <c r="K460" t="s">
        <v>51</v>
      </c>
      <c r="L460" t="s">
        <v>1348</v>
      </c>
      <c r="M460" t="s">
        <v>134</v>
      </c>
      <c r="N460" t="s">
        <v>135</v>
      </c>
      <c r="O460"/>
      <c r="P460"/>
      <c r="Q460" t="s">
        <v>291</v>
      </c>
      <c r="R460"/>
      <c r="S460"/>
      <c r="T460"/>
      <c r="U460" t="s">
        <v>137</v>
      </c>
      <c r="V460" t="s">
        <v>1279</v>
      </c>
      <c r="W460"/>
      <c r="X460" t="s">
        <v>71</v>
      </c>
      <c r="Y460"/>
      <c r="Z460"/>
      <c r="AA460" t="s">
        <v>292</v>
      </c>
      <c r="AB460" t="s">
        <v>1</v>
      </c>
      <c r="AC460" t="s">
        <v>138</v>
      </c>
      <c r="AD460" t="s">
        <v>128</v>
      </c>
      <c r="AE460" s="97"/>
    </row>
    <row r="461" spans="1:31" ht="14.4" customHeight="1" x14ac:dyDescent="0.3">
      <c r="A461" t="s">
        <v>1361</v>
      </c>
      <c r="B461" t="s">
        <v>1362</v>
      </c>
      <c r="C461"/>
      <c r="D461"/>
      <c r="E461"/>
      <c r="F461"/>
      <c r="G461" t="s">
        <v>290</v>
      </c>
      <c r="H461" t="s">
        <v>132</v>
      </c>
      <c r="I461" t="s">
        <v>1</v>
      </c>
      <c r="J461" t="s">
        <v>133</v>
      </c>
      <c r="K461" t="s">
        <v>51</v>
      </c>
      <c r="L461" t="s">
        <v>1348</v>
      </c>
      <c r="M461" t="s">
        <v>134</v>
      </c>
      <c r="N461" t="s">
        <v>135</v>
      </c>
      <c r="O461"/>
      <c r="P461"/>
      <c r="Q461" t="s">
        <v>291</v>
      </c>
      <c r="R461"/>
      <c r="S461"/>
      <c r="T461"/>
      <c r="U461" t="s">
        <v>137</v>
      </c>
      <c r="V461" t="s">
        <v>1279</v>
      </c>
      <c r="W461"/>
      <c r="X461" t="s">
        <v>71</v>
      </c>
      <c r="Y461"/>
      <c r="Z461"/>
      <c r="AA461" t="s">
        <v>292</v>
      </c>
      <c r="AB461" t="s">
        <v>1</v>
      </c>
      <c r="AC461" t="s">
        <v>138</v>
      </c>
      <c r="AD461" t="s">
        <v>128</v>
      </c>
      <c r="AE461" s="97"/>
    </row>
    <row r="462" spans="1:31" ht="14.4" customHeight="1" x14ac:dyDescent="0.3">
      <c r="A462" t="s">
        <v>1363</v>
      </c>
      <c r="B462" t="s">
        <v>1364</v>
      </c>
      <c r="C462"/>
      <c r="D462"/>
      <c r="E462"/>
      <c r="F462"/>
      <c r="G462" t="s">
        <v>290</v>
      </c>
      <c r="H462" t="s">
        <v>132</v>
      </c>
      <c r="I462" t="s">
        <v>1</v>
      </c>
      <c r="J462" t="s">
        <v>133</v>
      </c>
      <c r="K462" t="s">
        <v>51</v>
      </c>
      <c r="L462" t="s">
        <v>1348</v>
      </c>
      <c r="M462" t="s">
        <v>134</v>
      </c>
      <c r="N462" t="s">
        <v>135</v>
      </c>
      <c r="O462"/>
      <c r="P462"/>
      <c r="Q462" t="s">
        <v>291</v>
      </c>
      <c r="R462"/>
      <c r="S462"/>
      <c r="T462"/>
      <c r="U462" t="s">
        <v>137</v>
      </c>
      <c r="V462" t="s">
        <v>1279</v>
      </c>
      <c r="W462"/>
      <c r="X462" t="s">
        <v>71</v>
      </c>
      <c r="Y462"/>
      <c r="Z462"/>
      <c r="AA462" t="s">
        <v>292</v>
      </c>
      <c r="AB462" t="s">
        <v>1</v>
      </c>
      <c r="AC462" t="s">
        <v>138</v>
      </c>
      <c r="AD462" t="s">
        <v>128</v>
      </c>
      <c r="AE462" s="97"/>
    </row>
    <row r="463" spans="1:31" ht="14.4" customHeight="1" x14ac:dyDescent="0.3">
      <c r="A463" t="s">
        <v>1365</v>
      </c>
      <c r="B463" t="s">
        <v>1366</v>
      </c>
      <c r="C463"/>
      <c r="D463"/>
      <c r="E463"/>
      <c r="F463"/>
      <c r="G463" t="s">
        <v>290</v>
      </c>
      <c r="H463" t="s">
        <v>132</v>
      </c>
      <c r="I463" t="s">
        <v>1</v>
      </c>
      <c r="J463" t="s">
        <v>133</v>
      </c>
      <c r="K463" t="s">
        <v>51</v>
      </c>
      <c r="L463" t="s">
        <v>1348</v>
      </c>
      <c r="M463" t="s">
        <v>134</v>
      </c>
      <c r="N463" t="s">
        <v>135</v>
      </c>
      <c r="O463"/>
      <c r="P463"/>
      <c r="Q463" t="s">
        <v>291</v>
      </c>
      <c r="R463"/>
      <c r="S463"/>
      <c r="T463"/>
      <c r="U463" t="s">
        <v>137</v>
      </c>
      <c r="V463" t="s">
        <v>1279</v>
      </c>
      <c r="W463"/>
      <c r="X463" t="s">
        <v>71</v>
      </c>
      <c r="Y463"/>
      <c r="Z463"/>
      <c r="AA463" t="s">
        <v>292</v>
      </c>
      <c r="AB463" t="s">
        <v>1</v>
      </c>
      <c r="AC463" t="s">
        <v>138</v>
      </c>
      <c r="AD463" t="s">
        <v>128</v>
      </c>
      <c r="AE463" s="97"/>
    </row>
    <row r="464" spans="1:31" ht="14.4" customHeight="1" x14ac:dyDescent="0.3">
      <c r="A464" t="s">
        <v>1367</v>
      </c>
      <c r="B464" t="s">
        <v>1368</v>
      </c>
      <c r="C464"/>
      <c r="D464"/>
      <c r="E464"/>
      <c r="F464"/>
      <c r="G464" t="s">
        <v>290</v>
      </c>
      <c r="H464" t="s">
        <v>132</v>
      </c>
      <c r="I464" t="s">
        <v>1</v>
      </c>
      <c r="J464" t="s">
        <v>133</v>
      </c>
      <c r="K464" t="s">
        <v>51</v>
      </c>
      <c r="L464" t="s">
        <v>1348</v>
      </c>
      <c r="M464" t="s">
        <v>134</v>
      </c>
      <c r="N464" t="s">
        <v>135</v>
      </c>
      <c r="O464"/>
      <c r="P464"/>
      <c r="Q464" t="s">
        <v>291</v>
      </c>
      <c r="R464"/>
      <c r="S464"/>
      <c r="T464"/>
      <c r="U464" t="s">
        <v>137</v>
      </c>
      <c r="V464" t="s">
        <v>1279</v>
      </c>
      <c r="W464"/>
      <c r="X464" t="s">
        <v>71</v>
      </c>
      <c r="Y464"/>
      <c r="Z464"/>
      <c r="AA464" t="s">
        <v>292</v>
      </c>
      <c r="AB464" t="s">
        <v>1</v>
      </c>
      <c r="AC464" t="s">
        <v>138</v>
      </c>
      <c r="AD464" t="s">
        <v>128</v>
      </c>
      <c r="AE464" s="97"/>
    </row>
    <row r="465" spans="1:31" ht="14.4" customHeight="1" x14ac:dyDescent="0.3">
      <c r="A465" t="s">
        <v>1369</v>
      </c>
      <c r="B465" t="s">
        <v>1370</v>
      </c>
      <c r="C465"/>
      <c r="D465"/>
      <c r="E465"/>
      <c r="F465"/>
      <c r="G465" t="s">
        <v>290</v>
      </c>
      <c r="H465" t="s">
        <v>132</v>
      </c>
      <c r="I465" t="s">
        <v>1</v>
      </c>
      <c r="J465" t="s">
        <v>133</v>
      </c>
      <c r="K465" t="s">
        <v>51</v>
      </c>
      <c r="L465" t="s">
        <v>1371</v>
      </c>
      <c r="M465" t="s">
        <v>134</v>
      </c>
      <c r="N465" t="s">
        <v>135</v>
      </c>
      <c r="O465"/>
      <c r="P465"/>
      <c r="Q465" t="s">
        <v>291</v>
      </c>
      <c r="R465"/>
      <c r="S465"/>
      <c r="T465"/>
      <c r="U465" t="s">
        <v>137</v>
      </c>
      <c r="V465" t="s">
        <v>1283</v>
      </c>
      <c r="W465"/>
      <c r="X465" t="s">
        <v>78</v>
      </c>
      <c r="Y465"/>
      <c r="Z465"/>
      <c r="AA465" t="s">
        <v>292</v>
      </c>
      <c r="AB465" t="s">
        <v>1</v>
      </c>
      <c r="AC465" t="s">
        <v>138</v>
      </c>
      <c r="AD465" t="s">
        <v>128</v>
      </c>
      <c r="AE465" s="97"/>
    </row>
    <row r="466" spans="1:31" ht="14.4" customHeight="1" x14ac:dyDescent="0.3">
      <c r="A466" t="s">
        <v>1372</v>
      </c>
      <c r="B466" t="s">
        <v>1373</v>
      </c>
      <c r="C466"/>
      <c r="D466"/>
      <c r="E466"/>
      <c r="F466"/>
      <c r="G466" t="s">
        <v>290</v>
      </c>
      <c r="H466" t="s">
        <v>132</v>
      </c>
      <c r="I466" t="s">
        <v>1</v>
      </c>
      <c r="J466" t="s">
        <v>133</v>
      </c>
      <c r="K466" t="s">
        <v>51</v>
      </c>
      <c r="L466" t="s">
        <v>1371</v>
      </c>
      <c r="M466" t="s">
        <v>134</v>
      </c>
      <c r="N466" t="s">
        <v>135</v>
      </c>
      <c r="O466"/>
      <c r="P466"/>
      <c r="Q466" t="s">
        <v>291</v>
      </c>
      <c r="R466"/>
      <c r="S466"/>
      <c r="T466"/>
      <c r="U466" t="s">
        <v>137</v>
      </c>
      <c r="V466" t="s">
        <v>1283</v>
      </c>
      <c r="W466"/>
      <c r="X466" t="s">
        <v>78</v>
      </c>
      <c r="Y466"/>
      <c r="Z466"/>
      <c r="AA466" t="s">
        <v>292</v>
      </c>
      <c r="AB466" t="s">
        <v>1</v>
      </c>
      <c r="AC466" t="s">
        <v>138</v>
      </c>
      <c r="AD466" t="s">
        <v>128</v>
      </c>
      <c r="AE466" s="97"/>
    </row>
    <row r="467" spans="1:31" ht="14.4" customHeight="1" x14ac:dyDescent="0.3">
      <c r="A467" t="s">
        <v>1374</v>
      </c>
      <c r="B467" t="s">
        <v>1375</v>
      </c>
      <c r="C467"/>
      <c r="D467"/>
      <c r="E467"/>
      <c r="F467"/>
      <c r="G467" t="s">
        <v>290</v>
      </c>
      <c r="H467" t="s">
        <v>132</v>
      </c>
      <c r="I467" t="s">
        <v>1</v>
      </c>
      <c r="J467" t="s">
        <v>133</v>
      </c>
      <c r="K467" t="s">
        <v>51</v>
      </c>
      <c r="L467" t="s">
        <v>1371</v>
      </c>
      <c r="M467" t="s">
        <v>134</v>
      </c>
      <c r="N467" t="s">
        <v>135</v>
      </c>
      <c r="O467"/>
      <c r="P467"/>
      <c r="Q467" t="s">
        <v>291</v>
      </c>
      <c r="R467"/>
      <c r="S467"/>
      <c r="T467"/>
      <c r="U467" t="s">
        <v>137</v>
      </c>
      <c r="V467" t="s">
        <v>1283</v>
      </c>
      <c r="W467"/>
      <c r="X467" t="s">
        <v>78</v>
      </c>
      <c r="Y467"/>
      <c r="Z467"/>
      <c r="AA467" t="s">
        <v>292</v>
      </c>
      <c r="AB467" t="s">
        <v>1</v>
      </c>
      <c r="AC467" t="s">
        <v>138</v>
      </c>
      <c r="AD467" t="s">
        <v>128</v>
      </c>
      <c r="AE467" s="97"/>
    </row>
    <row r="468" spans="1:31" ht="14.4" customHeight="1" x14ac:dyDescent="0.3">
      <c r="A468" t="s">
        <v>1376</v>
      </c>
      <c r="B468" t="s">
        <v>1377</v>
      </c>
      <c r="C468"/>
      <c r="D468"/>
      <c r="E468"/>
      <c r="F468"/>
      <c r="G468" t="s">
        <v>290</v>
      </c>
      <c r="H468" t="s">
        <v>132</v>
      </c>
      <c r="I468" t="s">
        <v>1</v>
      </c>
      <c r="J468" t="s">
        <v>133</v>
      </c>
      <c r="K468" t="s">
        <v>51</v>
      </c>
      <c r="L468" t="s">
        <v>1371</v>
      </c>
      <c r="M468" t="s">
        <v>134</v>
      </c>
      <c r="N468" t="s">
        <v>135</v>
      </c>
      <c r="O468"/>
      <c r="P468"/>
      <c r="Q468" t="s">
        <v>291</v>
      </c>
      <c r="R468"/>
      <c r="S468"/>
      <c r="T468"/>
      <c r="U468" t="s">
        <v>137</v>
      </c>
      <c r="V468" t="s">
        <v>1283</v>
      </c>
      <c r="W468"/>
      <c r="X468" t="s">
        <v>78</v>
      </c>
      <c r="Y468"/>
      <c r="Z468"/>
      <c r="AA468" t="s">
        <v>292</v>
      </c>
      <c r="AB468" t="s">
        <v>1</v>
      </c>
      <c r="AC468" t="s">
        <v>138</v>
      </c>
      <c r="AD468" t="s">
        <v>128</v>
      </c>
      <c r="AE468" s="97"/>
    </row>
    <row r="469" spans="1:31" ht="14.4" customHeight="1" x14ac:dyDescent="0.3">
      <c r="A469" t="s">
        <v>1378</v>
      </c>
      <c r="B469" t="s">
        <v>1379</v>
      </c>
      <c r="C469"/>
      <c r="D469"/>
      <c r="E469"/>
      <c r="F469"/>
      <c r="G469" t="s">
        <v>290</v>
      </c>
      <c r="H469" t="s">
        <v>132</v>
      </c>
      <c r="I469" t="s">
        <v>1</v>
      </c>
      <c r="J469" t="s">
        <v>133</v>
      </c>
      <c r="K469" t="s">
        <v>51</v>
      </c>
      <c r="L469" t="s">
        <v>1371</v>
      </c>
      <c r="M469" t="s">
        <v>134</v>
      </c>
      <c r="N469" t="s">
        <v>135</v>
      </c>
      <c r="O469"/>
      <c r="P469"/>
      <c r="Q469" t="s">
        <v>291</v>
      </c>
      <c r="R469"/>
      <c r="S469"/>
      <c r="T469"/>
      <c r="U469" t="s">
        <v>137</v>
      </c>
      <c r="V469" t="s">
        <v>1283</v>
      </c>
      <c r="W469"/>
      <c r="X469" t="s">
        <v>78</v>
      </c>
      <c r="Y469"/>
      <c r="Z469"/>
      <c r="AA469" t="s">
        <v>292</v>
      </c>
      <c r="AB469" t="s">
        <v>1</v>
      </c>
      <c r="AC469" t="s">
        <v>138</v>
      </c>
      <c r="AD469" t="s">
        <v>128</v>
      </c>
      <c r="AE469" s="97"/>
    </row>
    <row r="470" spans="1:31" ht="14.4" customHeight="1" x14ac:dyDescent="0.3">
      <c r="A470" t="s">
        <v>1380</v>
      </c>
      <c r="B470" t="s">
        <v>1381</v>
      </c>
      <c r="C470"/>
      <c r="D470"/>
      <c r="E470"/>
      <c r="F470"/>
      <c r="G470" t="s">
        <v>290</v>
      </c>
      <c r="H470" t="s">
        <v>132</v>
      </c>
      <c r="I470" t="s">
        <v>1</v>
      </c>
      <c r="J470" t="s">
        <v>133</v>
      </c>
      <c r="K470" t="s">
        <v>51</v>
      </c>
      <c r="L470" t="s">
        <v>1371</v>
      </c>
      <c r="M470" t="s">
        <v>134</v>
      </c>
      <c r="N470" t="s">
        <v>135</v>
      </c>
      <c r="O470"/>
      <c r="P470"/>
      <c r="Q470" t="s">
        <v>291</v>
      </c>
      <c r="R470"/>
      <c r="S470"/>
      <c r="T470"/>
      <c r="U470" t="s">
        <v>137</v>
      </c>
      <c r="V470" t="s">
        <v>1283</v>
      </c>
      <c r="W470"/>
      <c r="X470" t="s">
        <v>78</v>
      </c>
      <c r="Y470"/>
      <c r="Z470"/>
      <c r="AA470" t="s">
        <v>292</v>
      </c>
      <c r="AB470" t="s">
        <v>1</v>
      </c>
      <c r="AC470" t="s">
        <v>138</v>
      </c>
      <c r="AD470" t="s">
        <v>128</v>
      </c>
      <c r="AE470" s="97"/>
    </row>
    <row r="471" spans="1:31" ht="14.4" customHeight="1" x14ac:dyDescent="0.3">
      <c r="A471" t="s">
        <v>1382</v>
      </c>
      <c r="B471" t="s">
        <v>1383</v>
      </c>
      <c r="C471"/>
      <c r="D471"/>
      <c r="E471"/>
      <c r="F471"/>
      <c r="G471" t="s">
        <v>290</v>
      </c>
      <c r="H471" t="s">
        <v>132</v>
      </c>
      <c r="I471" t="s">
        <v>1</v>
      </c>
      <c r="J471" t="s">
        <v>133</v>
      </c>
      <c r="K471" t="s">
        <v>51</v>
      </c>
      <c r="L471" t="s">
        <v>1371</v>
      </c>
      <c r="M471" t="s">
        <v>134</v>
      </c>
      <c r="N471" t="s">
        <v>135</v>
      </c>
      <c r="O471"/>
      <c r="P471"/>
      <c r="Q471" t="s">
        <v>291</v>
      </c>
      <c r="R471"/>
      <c r="S471"/>
      <c r="T471"/>
      <c r="U471" t="s">
        <v>137</v>
      </c>
      <c r="V471" t="s">
        <v>1283</v>
      </c>
      <c r="W471"/>
      <c r="X471" t="s">
        <v>78</v>
      </c>
      <c r="Y471"/>
      <c r="Z471"/>
      <c r="AA471" t="s">
        <v>292</v>
      </c>
      <c r="AB471" t="s">
        <v>1</v>
      </c>
      <c r="AC471" t="s">
        <v>138</v>
      </c>
      <c r="AD471" t="s">
        <v>128</v>
      </c>
      <c r="AE471" s="97"/>
    </row>
    <row r="472" spans="1:31" ht="14.4" customHeight="1" x14ac:dyDescent="0.3">
      <c r="A472" t="s">
        <v>1384</v>
      </c>
      <c r="B472" t="s">
        <v>1385</v>
      </c>
      <c r="C472"/>
      <c r="D472"/>
      <c r="E472"/>
      <c r="F472"/>
      <c r="G472" t="s">
        <v>290</v>
      </c>
      <c r="H472" t="s">
        <v>132</v>
      </c>
      <c r="I472" t="s">
        <v>1</v>
      </c>
      <c r="J472" t="s">
        <v>133</v>
      </c>
      <c r="K472" t="s">
        <v>51</v>
      </c>
      <c r="L472" t="s">
        <v>1371</v>
      </c>
      <c r="M472" t="s">
        <v>134</v>
      </c>
      <c r="N472" t="s">
        <v>135</v>
      </c>
      <c r="O472"/>
      <c r="P472"/>
      <c r="Q472" t="s">
        <v>291</v>
      </c>
      <c r="R472"/>
      <c r="S472"/>
      <c r="T472"/>
      <c r="U472" t="s">
        <v>137</v>
      </c>
      <c r="V472" t="s">
        <v>1283</v>
      </c>
      <c r="W472"/>
      <c r="X472" t="s">
        <v>78</v>
      </c>
      <c r="Y472"/>
      <c r="Z472"/>
      <c r="AA472" t="s">
        <v>292</v>
      </c>
      <c r="AB472" t="s">
        <v>1</v>
      </c>
      <c r="AC472" t="s">
        <v>138</v>
      </c>
      <c r="AD472" t="s">
        <v>128</v>
      </c>
      <c r="AE472" s="97"/>
    </row>
    <row r="473" spans="1:31" ht="14.4" customHeight="1" x14ac:dyDescent="0.3">
      <c r="A473" t="s">
        <v>1386</v>
      </c>
      <c r="B473" t="s">
        <v>1387</v>
      </c>
      <c r="C473"/>
      <c r="D473"/>
      <c r="E473"/>
      <c r="F473"/>
      <c r="G473" t="s">
        <v>290</v>
      </c>
      <c r="H473" t="s">
        <v>132</v>
      </c>
      <c r="I473" t="s">
        <v>1</v>
      </c>
      <c r="J473" t="s">
        <v>133</v>
      </c>
      <c r="K473" t="s">
        <v>51</v>
      </c>
      <c r="L473" t="s">
        <v>1371</v>
      </c>
      <c r="M473" t="s">
        <v>134</v>
      </c>
      <c r="N473" t="s">
        <v>135</v>
      </c>
      <c r="O473"/>
      <c r="P473"/>
      <c r="Q473" t="s">
        <v>291</v>
      </c>
      <c r="R473"/>
      <c r="S473"/>
      <c r="T473"/>
      <c r="U473" t="s">
        <v>137</v>
      </c>
      <c r="V473" t="s">
        <v>1283</v>
      </c>
      <c r="W473"/>
      <c r="X473" t="s">
        <v>78</v>
      </c>
      <c r="Y473"/>
      <c r="Z473"/>
      <c r="AA473" t="s">
        <v>292</v>
      </c>
      <c r="AB473" t="s">
        <v>1</v>
      </c>
      <c r="AC473" t="s">
        <v>138</v>
      </c>
      <c r="AD473" t="s">
        <v>128</v>
      </c>
      <c r="AE473" s="97"/>
    </row>
    <row r="474" spans="1:31" ht="14.4" customHeight="1" x14ac:dyDescent="0.3">
      <c r="A474" t="s">
        <v>1388</v>
      </c>
      <c r="B474" t="s">
        <v>1389</v>
      </c>
      <c r="C474"/>
      <c r="D474"/>
      <c r="E474"/>
      <c r="F474"/>
      <c r="G474" t="s">
        <v>290</v>
      </c>
      <c r="H474" t="s">
        <v>132</v>
      </c>
      <c r="I474" t="s">
        <v>1</v>
      </c>
      <c r="J474" t="s">
        <v>133</v>
      </c>
      <c r="K474" t="s">
        <v>51</v>
      </c>
      <c r="L474" t="s">
        <v>1371</v>
      </c>
      <c r="M474" t="s">
        <v>134</v>
      </c>
      <c r="N474" t="s">
        <v>135</v>
      </c>
      <c r="O474"/>
      <c r="P474"/>
      <c r="Q474" t="s">
        <v>291</v>
      </c>
      <c r="R474"/>
      <c r="S474"/>
      <c r="T474"/>
      <c r="U474" t="s">
        <v>137</v>
      </c>
      <c r="V474" t="s">
        <v>1283</v>
      </c>
      <c r="W474"/>
      <c r="X474" t="s">
        <v>78</v>
      </c>
      <c r="Y474"/>
      <c r="Z474"/>
      <c r="AA474" t="s">
        <v>292</v>
      </c>
      <c r="AB474" t="s">
        <v>1</v>
      </c>
      <c r="AC474" t="s">
        <v>138</v>
      </c>
      <c r="AD474" t="s">
        <v>128</v>
      </c>
      <c r="AE474" s="97"/>
    </row>
    <row r="475" spans="1:31" ht="14.4" customHeight="1" x14ac:dyDescent="0.3">
      <c r="A475" t="s">
        <v>1390</v>
      </c>
      <c r="B475" t="s">
        <v>1391</v>
      </c>
      <c r="C475"/>
      <c r="D475"/>
      <c r="E475"/>
      <c r="F475"/>
      <c r="G475" t="s">
        <v>290</v>
      </c>
      <c r="H475" t="s">
        <v>132</v>
      </c>
      <c r="I475" t="s">
        <v>1</v>
      </c>
      <c r="J475" t="s">
        <v>133</v>
      </c>
      <c r="K475" t="s">
        <v>51</v>
      </c>
      <c r="L475" t="s">
        <v>1371</v>
      </c>
      <c r="M475" t="s">
        <v>134</v>
      </c>
      <c r="N475" t="s">
        <v>135</v>
      </c>
      <c r="O475"/>
      <c r="P475"/>
      <c r="Q475" t="s">
        <v>291</v>
      </c>
      <c r="R475"/>
      <c r="S475"/>
      <c r="T475"/>
      <c r="U475" t="s">
        <v>137</v>
      </c>
      <c r="V475" t="s">
        <v>1283</v>
      </c>
      <c r="W475"/>
      <c r="X475" t="s">
        <v>78</v>
      </c>
      <c r="Y475"/>
      <c r="Z475"/>
      <c r="AA475" t="s">
        <v>292</v>
      </c>
      <c r="AB475" t="s">
        <v>1</v>
      </c>
      <c r="AC475" t="s">
        <v>138</v>
      </c>
      <c r="AD475" t="s">
        <v>128</v>
      </c>
      <c r="AE475" s="97"/>
    </row>
    <row r="476" spans="1:31" ht="14.4" customHeight="1" x14ac:dyDescent="0.3">
      <c r="A476" t="s">
        <v>1392</v>
      </c>
      <c r="B476" t="s">
        <v>1393</v>
      </c>
      <c r="C476"/>
      <c r="D476"/>
      <c r="E476"/>
      <c r="F476"/>
      <c r="G476" t="s">
        <v>290</v>
      </c>
      <c r="H476" t="s">
        <v>132</v>
      </c>
      <c r="I476" t="s">
        <v>1</v>
      </c>
      <c r="J476" t="s">
        <v>133</v>
      </c>
      <c r="K476" t="s">
        <v>51</v>
      </c>
      <c r="L476" t="s">
        <v>1394</v>
      </c>
      <c r="M476" t="s">
        <v>134</v>
      </c>
      <c r="N476" t="s">
        <v>135</v>
      </c>
      <c r="O476"/>
      <c r="P476"/>
      <c r="Q476" t="s">
        <v>291</v>
      </c>
      <c r="R476"/>
      <c r="S476"/>
      <c r="T476"/>
      <c r="U476" t="s">
        <v>137</v>
      </c>
      <c r="V476" t="s">
        <v>1287</v>
      </c>
      <c r="W476"/>
      <c r="X476" t="s">
        <v>89</v>
      </c>
      <c r="Y476"/>
      <c r="Z476"/>
      <c r="AA476" t="s">
        <v>292</v>
      </c>
      <c r="AB476" t="s">
        <v>1</v>
      </c>
      <c r="AC476" t="s">
        <v>138</v>
      </c>
      <c r="AD476" t="s">
        <v>129</v>
      </c>
      <c r="AE476" s="97"/>
    </row>
    <row r="477" spans="1:31" ht="14.4" customHeight="1" x14ac:dyDescent="0.3">
      <c r="A477" t="s">
        <v>1395</v>
      </c>
      <c r="B477" t="s">
        <v>1396</v>
      </c>
      <c r="C477"/>
      <c r="D477"/>
      <c r="E477"/>
      <c r="F477"/>
      <c r="G477" t="s">
        <v>290</v>
      </c>
      <c r="H477" t="s">
        <v>132</v>
      </c>
      <c r="I477" t="s">
        <v>1</v>
      </c>
      <c r="J477" t="s">
        <v>133</v>
      </c>
      <c r="K477" t="s">
        <v>51</v>
      </c>
      <c r="L477" t="s">
        <v>1394</v>
      </c>
      <c r="M477" t="s">
        <v>134</v>
      </c>
      <c r="N477" t="s">
        <v>135</v>
      </c>
      <c r="O477"/>
      <c r="P477"/>
      <c r="Q477" t="s">
        <v>291</v>
      </c>
      <c r="R477"/>
      <c r="S477"/>
      <c r="T477"/>
      <c r="U477" t="s">
        <v>137</v>
      </c>
      <c r="V477" t="s">
        <v>1287</v>
      </c>
      <c r="W477"/>
      <c r="X477" t="s">
        <v>89</v>
      </c>
      <c r="Y477"/>
      <c r="Z477"/>
      <c r="AA477" t="s">
        <v>292</v>
      </c>
      <c r="AB477" t="s">
        <v>1</v>
      </c>
      <c r="AC477" t="s">
        <v>138</v>
      </c>
      <c r="AD477" t="s">
        <v>129</v>
      </c>
      <c r="AE477" s="97"/>
    </row>
    <row r="478" spans="1:31" ht="14.4" customHeight="1" x14ac:dyDescent="0.3">
      <c r="A478" t="s">
        <v>1397</v>
      </c>
      <c r="B478" t="s">
        <v>1398</v>
      </c>
      <c r="C478"/>
      <c r="D478"/>
      <c r="E478"/>
      <c r="F478"/>
      <c r="G478" t="s">
        <v>290</v>
      </c>
      <c r="H478" t="s">
        <v>132</v>
      </c>
      <c r="I478" t="s">
        <v>1</v>
      </c>
      <c r="J478" t="s">
        <v>133</v>
      </c>
      <c r="K478" t="s">
        <v>51</v>
      </c>
      <c r="L478" t="s">
        <v>1394</v>
      </c>
      <c r="M478" t="s">
        <v>134</v>
      </c>
      <c r="N478" t="s">
        <v>135</v>
      </c>
      <c r="O478"/>
      <c r="P478"/>
      <c r="Q478" t="s">
        <v>291</v>
      </c>
      <c r="R478"/>
      <c r="S478"/>
      <c r="T478"/>
      <c r="U478" t="s">
        <v>137</v>
      </c>
      <c r="V478" t="s">
        <v>1287</v>
      </c>
      <c r="W478"/>
      <c r="X478" t="s">
        <v>89</v>
      </c>
      <c r="Y478"/>
      <c r="Z478"/>
      <c r="AA478" t="s">
        <v>292</v>
      </c>
      <c r="AB478" t="s">
        <v>1</v>
      </c>
      <c r="AC478" t="s">
        <v>138</v>
      </c>
      <c r="AD478" t="s">
        <v>129</v>
      </c>
      <c r="AE478" s="97"/>
    </row>
    <row r="479" spans="1:31" ht="14.4" customHeight="1" x14ac:dyDescent="0.3">
      <c r="A479" t="s">
        <v>1399</v>
      </c>
      <c r="B479" t="s">
        <v>1400</v>
      </c>
      <c r="C479"/>
      <c r="D479"/>
      <c r="E479"/>
      <c r="F479"/>
      <c r="G479" t="s">
        <v>290</v>
      </c>
      <c r="H479" t="s">
        <v>132</v>
      </c>
      <c r="I479" t="s">
        <v>1</v>
      </c>
      <c r="J479" t="s">
        <v>133</v>
      </c>
      <c r="K479" t="s">
        <v>51</v>
      </c>
      <c r="L479" t="s">
        <v>1394</v>
      </c>
      <c r="M479" t="s">
        <v>134</v>
      </c>
      <c r="N479" t="s">
        <v>135</v>
      </c>
      <c r="O479"/>
      <c r="P479"/>
      <c r="Q479" t="s">
        <v>291</v>
      </c>
      <c r="R479"/>
      <c r="S479"/>
      <c r="T479"/>
      <c r="U479" t="s">
        <v>137</v>
      </c>
      <c r="V479" t="s">
        <v>1287</v>
      </c>
      <c r="W479"/>
      <c r="X479" t="s">
        <v>89</v>
      </c>
      <c r="Y479"/>
      <c r="Z479"/>
      <c r="AA479" t="s">
        <v>292</v>
      </c>
      <c r="AB479" t="s">
        <v>1</v>
      </c>
      <c r="AC479" t="s">
        <v>138</v>
      </c>
      <c r="AD479" t="s">
        <v>129</v>
      </c>
      <c r="AE479" s="97"/>
    </row>
    <row r="480" spans="1:31" ht="14.4" customHeight="1" x14ac:dyDescent="0.3">
      <c r="A480" t="s">
        <v>1401</v>
      </c>
      <c r="B480" t="s">
        <v>1402</v>
      </c>
      <c r="C480"/>
      <c r="D480"/>
      <c r="E480"/>
      <c r="F480"/>
      <c r="G480" t="s">
        <v>290</v>
      </c>
      <c r="H480" t="s">
        <v>132</v>
      </c>
      <c r="I480" t="s">
        <v>1</v>
      </c>
      <c r="J480" t="s">
        <v>133</v>
      </c>
      <c r="K480" t="s">
        <v>51</v>
      </c>
      <c r="L480" t="s">
        <v>1394</v>
      </c>
      <c r="M480" t="s">
        <v>134</v>
      </c>
      <c r="N480" t="s">
        <v>135</v>
      </c>
      <c r="O480"/>
      <c r="P480"/>
      <c r="Q480" t="s">
        <v>291</v>
      </c>
      <c r="R480"/>
      <c r="S480"/>
      <c r="T480"/>
      <c r="U480" t="s">
        <v>137</v>
      </c>
      <c r="V480" t="s">
        <v>1287</v>
      </c>
      <c r="W480"/>
      <c r="X480" t="s">
        <v>89</v>
      </c>
      <c r="Y480"/>
      <c r="Z480"/>
      <c r="AA480" t="s">
        <v>292</v>
      </c>
      <c r="AB480" t="s">
        <v>1</v>
      </c>
      <c r="AC480" t="s">
        <v>138</v>
      </c>
      <c r="AD480" t="s">
        <v>129</v>
      </c>
      <c r="AE480" s="97"/>
    </row>
    <row r="481" spans="1:31" ht="14.4" customHeight="1" x14ac:dyDescent="0.3">
      <c r="A481" t="s">
        <v>1403</v>
      </c>
      <c r="B481" t="s">
        <v>1404</v>
      </c>
      <c r="C481"/>
      <c r="D481"/>
      <c r="E481"/>
      <c r="F481"/>
      <c r="G481" t="s">
        <v>290</v>
      </c>
      <c r="H481" t="s">
        <v>132</v>
      </c>
      <c r="I481" t="s">
        <v>1</v>
      </c>
      <c r="J481" t="s">
        <v>133</v>
      </c>
      <c r="K481" t="s">
        <v>51</v>
      </c>
      <c r="L481" t="s">
        <v>1394</v>
      </c>
      <c r="M481" t="s">
        <v>134</v>
      </c>
      <c r="N481" t="s">
        <v>135</v>
      </c>
      <c r="O481"/>
      <c r="P481"/>
      <c r="Q481" t="s">
        <v>291</v>
      </c>
      <c r="R481"/>
      <c r="S481"/>
      <c r="T481"/>
      <c r="U481" t="s">
        <v>137</v>
      </c>
      <c r="V481" t="s">
        <v>1287</v>
      </c>
      <c r="W481"/>
      <c r="X481" t="s">
        <v>89</v>
      </c>
      <c r="Y481"/>
      <c r="Z481"/>
      <c r="AA481" t="s">
        <v>292</v>
      </c>
      <c r="AB481" t="s">
        <v>1</v>
      </c>
      <c r="AC481" t="s">
        <v>138</v>
      </c>
      <c r="AD481" t="s">
        <v>129</v>
      </c>
      <c r="AE481" s="97"/>
    </row>
    <row r="482" spans="1:31" ht="14.4" customHeight="1" x14ac:dyDescent="0.3">
      <c r="A482" t="s">
        <v>1405</v>
      </c>
      <c r="B482" t="s">
        <v>1406</v>
      </c>
      <c r="C482"/>
      <c r="D482"/>
      <c r="E482"/>
      <c r="F482"/>
      <c r="G482" t="s">
        <v>290</v>
      </c>
      <c r="H482" t="s">
        <v>132</v>
      </c>
      <c r="I482" t="s">
        <v>1</v>
      </c>
      <c r="J482" t="s">
        <v>133</v>
      </c>
      <c r="K482" t="s">
        <v>51</v>
      </c>
      <c r="L482" t="s">
        <v>1394</v>
      </c>
      <c r="M482" t="s">
        <v>134</v>
      </c>
      <c r="N482" t="s">
        <v>135</v>
      </c>
      <c r="O482"/>
      <c r="P482"/>
      <c r="Q482" t="s">
        <v>291</v>
      </c>
      <c r="R482"/>
      <c r="S482"/>
      <c r="T482"/>
      <c r="U482" t="s">
        <v>137</v>
      </c>
      <c r="V482" t="s">
        <v>1287</v>
      </c>
      <c r="W482"/>
      <c r="X482" t="s">
        <v>89</v>
      </c>
      <c r="Y482"/>
      <c r="Z482"/>
      <c r="AA482" t="s">
        <v>292</v>
      </c>
      <c r="AB482" t="s">
        <v>1</v>
      </c>
      <c r="AC482" t="s">
        <v>138</v>
      </c>
      <c r="AD482" t="s">
        <v>129</v>
      </c>
      <c r="AE482" s="97"/>
    </row>
    <row r="483" spans="1:31" ht="14.4" customHeight="1" x14ac:dyDescent="0.3">
      <c r="A483" t="s">
        <v>1407</v>
      </c>
      <c r="B483" t="s">
        <v>1408</v>
      </c>
      <c r="C483"/>
      <c r="D483"/>
      <c r="E483"/>
      <c r="F483"/>
      <c r="G483" t="s">
        <v>290</v>
      </c>
      <c r="H483" t="s">
        <v>132</v>
      </c>
      <c r="I483" t="s">
        <v>1</v>
      </c>
      <c r="J483" t="s">
        <v>133</v>
      </c>
      <c r="K483" t="s">
        <v>51</v>
      </c>
      <c r="L483" t="s">
        <v>1394</v>
      </c>
      <c r="M483" t="s">
        <v>134</v>
      </c>
      <c r="N483" t="s">
        <v>135</v>
      </c>
      <c r="O483"/>
      <c r="P483"/>
      <c r="Q483" t="s">
        <v>291</v>
      </c>
      <c r="R483"/>
      <c r="S483"/>
      <c r="T483"/>
      <c r="U483" t="s">
        <v>137</v>
      </c>
      <c r="V483" t="s">
        <v>1287</v>
      </c>
      <c r="W483"/>
      <c r="X483" t="s">
        <v>89</v>
      </c>
      <c r="Y483"/>
      <c r="Z483"/>
      <c r="AA483" t="s">
        <v>292</v>
      </c>
      <c r="AB483" t="s">
        <v>1</v>
      </c>
      <c r="AC483" t="s">
        <v>138</v>
      </c>
      <c r="AD483" t="s">
        <v>129</v>
      </c>
      <c r="AE483" s="97"/>
    </row>
    <row r="484" spans="1:31" ht="14.4" customHeight="1" x14ac:dyDescent="0.3">
      <c r="A484" t="s">
        <v>1409</v>
      </c>
      <c r="B484" t="s">
        <v>1410</v>
      </c>
      <c r="C484"/>
      <c r="D484"/>
      <c r="E484"/>
      <c r="F484"/>
      <c r="G484" t="s">
        <v>290</v>
      </c>
      <c r="H484" t="s">
        <v>132</v>
      </c>
      <c r="I484" t="s">
        <v>1</v>
      </c>
      <c r="J484" t="s">
        <v>133</v>
      </c>
      <c r="K484" t="s">
        <v>51</v>
      </c>
      <c r="L484" t="s">
        <v>1394</v>
      </c>
      <c r="M484" t="s">
        <v>134</v>
      </c>
      <c r="N484" t="s">
        <v>135</v>
      </c>
      <c r="O484"/>
      <c r="P484"/>
      <c r="Q484" t="s">
        <v>291</v>
      </c>
      <c r="R484"/>
      <c r="S484"/>
      <c r="T484"/>
      <c r="U484" t="s">
        <v>137</v>
      </c>
      <c r="V484" t="s">
        <v>1287</v>
      </c>
      <c r="W484"/>
      <c r="X484" t="s">
        <v>89</v>
      </c>
      <c r="Y484"/>
      <c r="Z484"/>
      <c r="AA484" t="s">
        <v>292</v>
      </c>
      <c r="AB484" t="s">
        <v>1</v>
      </c>
      <c r="AC484" t="s">
        <v>138</v>
      </c>
      <c r="AD484" t="s">
        <v>129</v>
      </c>
      <c r="AE484" s="97"/>
    </row>
    <row r="485" spans="1:31" ht="14.4" customHeight="1" x14ac:dyDescent="0.3">
      <c r="A485" t="s">
        <v>1411</v>
      </c>
      <c r="B485" t="s">
        <v>1412</v>
      </c>
      <c r="C485"/>
      <c r="D485"/>
      <c r="E485"/>
      <c r="F485"/>
      <c r="G485" t="s">
        <v>290</v>
      </c>
      <c r="H485" t="s">
        <v>132</v>
      </c>
      <c r="I485" t="s">
        <v>1</v>
      </c>
      <c r="J485" t="s">
        <v>133</v>
      </c>
      <c r="K485" t="s">
        <v>51</v>
      </c>
      <c r="L485" t="s">
        <v>1394</v>
      </c>
      <c r="M485" t="s">
        <v>134</v>
      </c>
      <c r="N485" t="s">
        <v>135</v>
      </c>
      <c r="O485"/>
      <c r="P485"/>
      <c r="Q485" t="s">
        <v>291</v>
      </c>
      <c r="R485"/>
      <c r="S485"/>
      <c r="T485"/>
      <c r="U485" t="s">
        <v>137</v>
      </c>
      <c r="V485" t="s">
        <v>1287</v>
      </c>
      <c r="W485"/>
      <c r="X485" t="s">
        <v>89</v>
      </c>
      <c r="Y485"/>
      <c r="Z485"/>
      <c r="AA485" t="s">
        <v>292</v>
      </c>
      <c r="AB485" t="s">
        <v>1</v>
      </c>
      <c r="AC485" t="s">
        <v>138</v>
      </c>
      <c r="AD485" t="s">
        <v>129</v>
      </c>
      <c r="AE485" s="97"/>
    </row>
    <row r="486" spans="1:31" ht="14.4" customHeight="1" x14ac:dyDescent="0.3">
      <c r="A486" t="s">
        <v>1413</v>
      </c>
      <c r="B486" t="s">
        <v>1414</v>
      </c>
      <c r="C486"/>
      <c r="D486"/>
      <c r="E486"/>
      <c r="F486"/>
      <c r="G486" t="s">
        <v>290</v>
      </c>
      <c r="H486" t="s">
        <v>132</v>
      </c>
      <c r="I486" t="s">
        <v>1</v>
      </c>
      <c r="J486" t="s">
        <v>133</v>
      </c>
      <c r="K486" t="s">
        <v>51</v>
      </c>
      <c r="L486" t="s">
        <v>1394</v>
      </c>
      <c r="M486" t="s">
        <v>134</v>
      </c>
      <c r="N486" t="s">
        <v>135</v>
      </c>
      <c r="O486"/>
      <c r="P486"/>
      <c r="Q486" t="s">
        <v>291</v>
      </c>
      <c r="R486"/>
      <c r="S486"/>
      <c r="T486"/>
      <c r="U486" t="s">
        <v>137</v>
      </c>
      <c r="V486" t="s">
        <v>1287</v>
      </c>
      <c r="W486"/>
      <c r="X486" t="s">
        <v>89</v>
      </c>
      <c r="Y486"/>
      <c r="Z486"/>
      <c r="AA486" t="s">
        <v>292</v>
      </c>
      <c r="AB486" t="s">
        <v>1</v>
      </c>
      <c r="AC486" t="s">
        <v>138</v>
      </c>
      <c r="AD486" t="s">
        <v>129</v>
      </c>
      <c r="AE486" s="97"/>
    </row>
    <row r="487" spans="1:31" ht="14.4" customHeight="1" x14ac:dyDescent="0.3">
      <c r="A487" t="s">
        <v>1415</v>
      </c>
      <c r="B487" t="s">
        <v>1416</v>
      </c>
      <c r="C487"/>
      <c r="D487"/>
      <c r="E487"/>
      <c r="F487"/>
      <c r="G487" t="s">
        <v>290</v>
      </c>
      <c r="H487" t="s">
        <v>132</v>
      </c>
      <c r="I487" t="s">
        <v>1</v>
      </c>
      <c r="J487" t="s">
        <v>133</v>
      </c>
      <c r="K487" t="s">
        <v>51</v>
      </c>
      <c r="L487" t="s">
        <v>1417</v>
      </c>
      <c r="M487" t="s">
        <v>134</v>
      </c>
      <c r="N487" t="s">
        <v>135</v>
      </c>
      <c r="O487"/>
      <c r="P487"/>
      <c r="Q487" t="s">
        <v>291</v>
      </c>
      <c r="R487"/>
      <c r="S487"/>
      <c r="T487"/>
      <c r="U487" t="s">
        <v>137</v>
      </c>
      <c r="V487" t="s">
        <v>1291</v>
      </c>
      <c r="W487"/>
      <c r="X487" t="s">
        <v>98</v>
      </c>
      <c r="Y487"/>
      <c r="Z487"/>
      <c r="AA487" t="s">
        <v>292</v>
      </c>
      <c r="AB487" t="s">
        <v>1</v>
      </c>
      <c r="AC487" t="s">
        <v>138</v>
      </c>
      <c r="AD487" t="s">
        <v>129</v>
      </c>
      <c r="AE487" s="97"/>
    </row>
    <row r="488" spans="1:31" ht="14.4" customHeight="1" x14ac:dyDescent="0.3">
      <c r="A488" t="s">
        <v>1418</v>
      </c>
      <c r="B488" t="s">
        <v>1419</v>
      </c>
      <c r="C488"/>
      <c r="D488"/>
      <c r="E488"/>
      <c r="F488"/>
      <c r="G488" t="s">
        <v>290</v>
      </c>
      <c r="H488" t="s">
        <v>132</v>
      </c>
      <c r="I488" t="s">
        <v>1</v>
      </c>
      <c r="J488" t="s">
        <v>133</v>
      </c>
      <c r="K488" t="s">
        <v>51</v>
      </c>
      <c r="L488" t="s">
        <v>1417</v>
      </c>
      <c r="M488" t="s">
        <v>134</v>
      </c>
      <c r="N488" t="s">
        <v>135</v>
      </c>
      <c r="O488"/>
      <c r="P488"/>
      <c r="Q488" t="s">
        <v>291</v>
      </c>
      <c r="R488"/>
      <c r="S488"/>
      <c r="T488"/>
      <c r="U488" t="s">
        <v>137</v>
      </c>
      <c r="V488" t="s">
        <v>1291</v>
      </c>
      <c r="W488"/>
      <c r="X488" t="s">
        <v>98</v>
      </c>
      <c r="Y488"/>
      <c r="Z488"/>
      <c r="AA488" t="s">
        <v>292</v>
      </c>
      <c r="AB488" t="s">
        <v>1</v>
      </c>
      <c r="AC488" t="s">
        <v>138</v>
      </c>
      <c r="AD488" t="s">
        <v>129</v>
      </c>
      <c r="AE488" s="97"/>
    </row>
    <row r="489" spans="1:31" ht="14.4" customHeight="1" x14ac:dyDescent="0.3">
      <c r="A489" t="s">
        <v>1420</v>
      </c>
      <c r="B489" t="s">
        <v>1421</v>
      </c>
      <c r="C489"/>
      <c r="D489"/>
      <c r="E489"/>
      <c r="F489"/>
      <c r="G489" t="s">
        <v>290</v>
      </c>
      <c r="H489" t="s">
        <v>132</v>
      </c>
      <c r="I489" t="s">
        <v>1</v>
      </c>
      <c r="J489" t="s">
        <v>133</v>
      </c>
      <c r="K489" t="s">
        <v>51</v>
      </c>
      <c r="L489" t="s">
        <v>1417</v>
      </c>
      <c r="M489" t="s">
        <v>134</v>
      </c>
      <c r="N489" t="s">
        <v>135</v>
      </c>
      <c r="O489"/>
      <c r="P489"/>
      <c r="Q489" t="s">
        <v>291</v>
      </c>
      <c r="R489"/>
      <c r="S489"/>
      <c r="T489"/>
      <c r="U489" t="s">
        <v>137</v>
      </c>
      <c r="V489" t="s">
        <v>1291</v>
      </c>
      <c r="W489"/>
      <c r="X489" t="s">
        <v>98</v>
      </c>
      <c r="Y489"/>
      <c r="Z489"/>
      <c r="AA489" t="s">
        <v>292</v>
      </c>
      <c r="AB489" t="s">
        <v>1</v>
      </c>
      <c r="AC489" t="s">
        <v>138</v>
      </c>
      <c r="AD489" t="s">
        <v>129</v>
      </c>
      <c r="AE489" s="97"/>
    </row>
    <row r="490" spans="1:31" ht="14.4" customHeight="1" x14ac:dyDescent="0.3">
      <c r="A490" t="s">
        <v>1422</v>
      </c>
      <c r="B490" t="s">
        <v>1423</v>
      </c>
      <c r="C490"/>
      <c r="D490"/>
      <c r="E490"/>
      <c r="F490"/>
      <c r="G490" t="s">
        <v>290</v>
      </c>
      <c r="H490" t="s">
        <v>132</v>
      </c>
      <c r="I490" t="s">
        <v>1</v>
      </c>
      <c r="J490" t="s">
        <v>133</v>
      </c>
      <c r="K490" t="s">
        <v>51</v>
      </c>
      <c r="L490" t="s">
        <v>1417</v>
      </c>
      <c r="M490" t="s">
        <v>134</v>
      </c>
      <c r="N490" t="s">
        <v>135</v>
      </c>
      <c r="O490"/>
      <c r="P490"/>
      <c r="Q490" t="s">
        <v>291</v>
      </c>
      <c r="R490"/>
      <c r="S490"/>
      <c r="T490"/>
      <c r="U490" t="s">
        <v>137</v>
      </c>
      <c r="V490" t="s">
        <v>1291</v>
      </c>
      <c r="W490"/>
      <c r="X490" t="s">
        <v>98</v>
      </c>
      <c r="Y490"/>
      <c r="Z490"/>
      <c r="AA490" t="s">
        <v>292</v>
      </c>
      <c r="AB490" t="s">
        <v>1</v>
      </c>
      <c r="AC490" t="s">
        <v>138</v>
      </c>
      <c r="AD490" t="s">
        <v>129</v>
      </c>
      <c r="AE490" s="97"/>
    </row>
    <row r="491" spans="1:31" ht="14.4" customHeight="1" x14ac:dyDescent="0.3">
      <c r="A491" t="s">
        <v>1424</v>
      </c>
      <c r="B491" t="s">
        <v>1425</v>
      </c>
      <c r="C491"/>
      <c r="D491"/>
      <c r="E491"/>
      <c r="F491"/>
      <c r="G491" t="s">
        <v>290</v>
      </c>
      <c r="H491" t="s">
        <v>132</v>
      </c>
      <c r="I491" t="s">
        <v>1</v>
      </c>
      <c r="J491" t="s">
        <v>133</v>
      </c>
      <c r="K491" t="s">
        <v>51</v>
      </c>
      <c r="L491" t="s">
        <v>1417</v>
      </c>
      <c r="M491" t="s">
        <v>134</v>
      </c>
      <c r="N491" t="s">
        <v>135</v>
      </c>
      <c r="O491"/>
      <c r="P491"/>
      <c r="Q491" t="s">
        <v>291</v>
      </c>
      <c r="R491"/>
      <c r="S491"/>
      <c r="T491"/>
      <c r="U491" t="s">
        <v>137</v>
      </c>
      <c r="V491" t="s">
        <v>1291</v>
      </c>
      <c r="W491"/>
      <c r="X491" t="s">
        <v>98</v>
      </c>
      <c r="Y491"/>
      <c r="Z491"/>
      <c r="AA491" t="s">
        <v>292</v>
      </c>
      <c r="AB491" t="s">
        <v>1</v>
      </c>
      <c r="AC491" t="s">
        <v>138</v>
      </c>
      <c r="AD491" t="s">
        <v>129</v>
      </c>
      <c r="AE491" s="97"/>
    </row>
    <row r="492" spans="1:31" ht="14.4" customHeight="1" x14ac:dyDescent="0.3">
      <c r="A492" t="s">
        <v>1426</v>
      </c>
      <c r="B492" t="s">
        <v>1427</v>
      </c>
      <c r="C492"/>
      <c r="D492"/>
      <c r="E492"/>
      <c r="F492"/>
      <c r="G492" t="s">
        <v>290</v>
      </c>
      <c r="H492" t="s">
        <v>132</v>
      </c>
      <c r="I492" t="s">
        <v>1</v>
      </c>
      <c r="J492" t="s">
        <v>133</v>
      </c>
      <c r="K492" t="s">
        <v>51</v>
      </c>
      <c r="L492" t="s">
        <v>1417</v>
      </c>
      <c r="M492" t="s">
        <v>134</v>
      </c>
      <c r="N492" t="s">
        <v>135</v>
      </c>
      <c r="O492"/>
      <c r="P492"/>
      <c r="Q492" t="s">
        <v>291</v>
      </c>
      <c r="R492"/>
      <c r="S492"/>
      <c r="T492"/>
      <c r="U492" t="s">
        <v>137</v>
      </c>
      <c r="V492" t="s">
        <v>1291</v>
      </c>
      <c r="W492"/>
      <c r="X492" t="s">
        <v>98</v>
      </c>
      <c r="Y492"/>
      <c r="Z492"/>
      <c r="AA492" t="s">
        <v>292</v>
      </c>
      <c r="AB492" t="s">
        <v>1</v>
      </c>
      <c r="AC492" t="s">
        <v>138</v>
      </c>
      <c r="AD492" t="s">
        <v>129</v>
      </c>
      <c r="AE492" s="97"/>
    </row>
    <row r="493" spans="1:31" ht="14.4" customHeight="1" x14ac:dyDescent="0.3">
      <c r="A493" t="s">
        <v>1428</v>
      </c>
      <c r="B493" t="s">
        <v>1429</v>
      </c>
      <c r="C493"/>
      <c r="D493"/>
      <c r="E493"/>
      <c r="F493"/>
      <c r="G493" t="s">
        <v>290</v>
      </c>
      <c r="H493" t="s">
        <v>132</v>
      </c>
      <c r="I493" t="s">
        <v>1</v>
      </c>
      <c r="J493" t="s">
        <v>133</v>
      </c>
      <c r="K493" t="s">
        <v>51</v>
      </c>
      <c r="L493" t="s">
        <v>1417</v>
      </c>
      <c r="M493" t="s">
        <v>134</v>
      </c>
      <c r="N493" t="s">
        <v>135</v>
      </c>
      <c r="O493"/>
      <c r="P493"/>
      <c r="Q493" t="s">
        <v>291</v>
      </c>
      <c r="R493"/>
      <c r="S493"/>
      <c r="T493"/>
      <c r="U493" t="s">
        <v>137</v>
      </c>
      <c r="V493" t="s">
        <v>1291</v>
      </c>
      <c r="W493"/>
      <c r="X493" t="s">
        <v>98</v>
      </c>
      <c r="Y493"/>
      <c r="Z493"/>
      <c r="AA493" t="s">
        <v>292</v>
      </c>
      <c r="AB493" t="s">
        <v>1</v>
      </c>
      <c r="AC493" t="s">
        <v>138</v>
      </c>
      <c r="AD493" t="s">
        <v>129</v>
      </c>
      <c r="AE493" s="97"/>
    </row>
    <row r="494" spans="1:31" ht="14.4" customHeight="1" x14ac:dyDescent="0.3">
      <c r="A494" t="s">
        <v>1430</v>
      </c>
      <c r="B494" t="s">
        <v>1431</v>
      </c>
      <c r="C494"/>
      <c r="D494"/>
      <c r="E494"/>
      <c r="F494"/>
      <c r="G494" t="s">
        <v>290</v>
      </c>
      <c r="H494" t="s">
        <v>132</v>
      </c>
      <c r="I494" t="s">
        <v>1</v>
      </c>
      <c r="J494" t="s">
        <v>133</v>
      </c>
      <c r="K494" t="s">
        <v>51</v>
      </c>
      <c r="L494" t="s">
        <v>1417</v>
      </c>
      <c r="M494" t="s">
        <v>134</v>
      </c>
      <c r="N494" t="s">
        <v>135</v>
      </c>
      <c r="O494"/>
      <c r="P494"/>
      <c r="Q494" t="s">
        <v>291</v>
      </c>
      <c r="R494"/>
      <c r="S494"/>
      <c r="T494"/>
      <c r="U494" t="s">
        <v>137</v>
      </c>
      <c r="V494" t="s">
        <v>1291</v>
      </c>
      <c r="W494"/>
      <c r="X494" t="s">
        <v>98</v>
      </c>
      <c r="Y494"/>
      <c r="Z494"/>
      <c r="AA494" t="s">
        <v>292</v>
      </c>
      <c r="AB494" t="s">
        <v>1</v>
      </c>
      <c r="AC494" t="s">
        <v>138</v>
      </c>
      <c r="AD494" t="s">
        <v>129</v>
      </c>
      <c r="AE494" s="97"/>
    </row>
    <row r="495" spans="1:31" ht="14.4" customHeight="1" x14ac:dyDescent="0.3">
      <c r="A495" t="s">
        <v>1432</v>
      </c>
      <c r="B495" t="s">
        <v>1433</v>
      </c>
      <c r="C495"/>
      <c r="D495"/>
      <c r="E495"/>
      <c r="F495"/>
      <c r="G495" t="s">
        <v>290</v>
      </c>
      <c r="H495" t="s">
        <v>132</v>
      </c>
      <c r="I495" t="s">
        <v>1</v>
      </c>
      <c r="J495" t="s">
        <v>133</v>
      </c>
      <c r="K495" t="s">
        <v>51</v>
      </c>
      <c r="L495" t="s">
        <v>1417</v>
      </c>
      <c r="M495" t="s">
        <v>134</v>
      </c>
      <c r="N495" t="s">
        <v>135</v>
      </c>
      <c r="O495"/>
      <c r="P495"/>
      <c r="Q495" t="s">
        <v>291</v>
      </c>
      <c r="R495"/>
      <c r="S495"/>
      <c r="T495"/>
      <c r="U495" t="s">
        <v>137</v>
      </c>
      <c r="V495" t="s">
        <v>1291</v>
      </c>
      <c r="W495"/>
      <c r="X495" t="s">
        <v>98</v>
      </c>
      <c r="Y495"/>
      <c r="Z495"/>
      <c r="AA495" t="s">
        <v>292</v>
      </c>
      <c r="AB495" t="s">
        <v>1</v>
      </c>
      <c r="AC495" t="s">
        <v>138</v>
      </c>
      <c r="AD495" t="s">
        <v>129</v>
      </c>
      <c r="AE495" s="97"/>
    </row>
    <row r="496" spans="1:31" ht="14.4" customHeight="1" x14ac:dyDescent="0.3">
      <c r="A496" t="s">
        <v>1434</v>
      </c>
      <c r="B496" t="s">
        <v>1435</v>
      </c>
      <c r="C496"/>
      <c r="D496"/>
      <c r="E496"/>
      <c r="F496"/>
      <c r="G496" t="s">
        <v>290</v>
      </c>
      <c r="H496" t="s">
        <v>132</v>
      </c>
      <c r="I496" t="s">
        <v>1</v>
      </c>
      <c r="J496" t="s">
        <v>133</v>
      </c>
      <c r="K496" t="s">
        <v>51</v>
      </c>
      <c r="L496" t="s">
        <v>1417</v>
      </c>
      <c r="M496" t="s">
        <v>134</v>
      </c>
      <c r="N496" t="s">
        <v>135</v>
      </c>
      <c r="O496"/>
      <c r="P496"/>
      <c r="Q496" t="s">
        <v>291</v>
      </c>
      <c r="R496"/>
      <c r="S496"/>
      <c r="T496"/>
      <c r="U496" t="s">
        <v>137</v>
      </c>
      <c r="V496" t="s">
        <v>1291</v>
      </c>
      <c r="W496"/>
      <c r="X496" t="s">
        <v>98</v>
      </c>
      <c r="Y496"/>
      <c r="Z496"/>
      <c r="AA496" t="s">
        <v>292</v>
      </c>
      <c r="AB496" t="s">
        <v>1</v>
      </c>
      <c r="AC496" t="s">
        <v>138</v>
      </c>
      <c r="AD496" t="s">
        <v>129</v>
      </c>
      <c r="AE496" s="97"/>
    </row>
    <row r="497" spans="1:31" ht="14.4" customHeight="1" x14ac:dyDescent="0.3">
      <c r="A497" t="s">
        <v>1436</v>
      </c>
      <c r="B497" t="s">
        <v>1437</v>
      </c>
      <c r="C497"/>
      <c r="D497"/>
      <c r="E497"/>
      <c r="F497"/>
      <c r="G497" t="s">
        <v>290</v>
      </c>
      <c r="H497" t="s">
        <v>132</v>
      </c>
      <c r="I497" t="s">
        <v>1</v>
      </c>
      <c r="J497" t="s">
        <v>133</v>
      </c>
      <c r="K497" t="s">
        <v>51</v>
      </c>
      <c r="L497" t="s">
        <v>1417</v>
      </c>
      <c r="M497" t="s">
        <v>134</v>
      </c>
      <c r="N497" t="s">
        <v>135</v>
      </c>
      <c r="O497"/>
      <c r="P497"/>
      <c r="Q497" t="s">
        <v>291</v>
      </c>
      <c r="R497"/>
      <c r="S497"/>
      <c r="T497"/>
      <c r="U497" t="s">
        <v>137</v>
      </c>
      <c r="V497" t="s">
        <v>1291</v>
      </c>
      <c r="W497"/>
      <c r="X497" t="s">
        <v>98</v>
      </c>
      <c r="Y497"/>
      <c r="Z497"/>
      <c r="AA497" t="s">
        <v>292</v>
      </c>
      <c r="AB497" t="s">
        <v>1</v>
      </c>
      <c r="AC497" t="s">
        <v>138</v>
      </c>
      <c r="AD497" t="s">
        <v>129</v>
      </c>
      <c r="AE497" s="97"/>
    </row>
    <row r="498" spans="1:31" ht="14.4" customHeight="1" x14ac:dyDescent="0.3">
      <c r="A498" t="s">
        <v>1438</v>
      </c>
      <c r="B498" t="s">
        <v>1439</v>
      </c>
      <c r="C498"/>
      <c r="D498"/>
      <c r="E498"/>
      <c r="F498"/>
      <c r="G498" t="s">
        <v>290</v>
      </c>
      <c r="H498" t="s">
        <v>132</v>
      </c>
      <c r="I498" t="s">
        <v>1</v>
      </c>
      <c r="J498" t="s">
        <v>133</v>
      </c>
      <c r="K498" t="s">
        <v>51</v>
      </c>
      <c r="L498" t="s">
        <v>1440</v>
      </c>
      <c r="M498" t="s">
        <v>134</v>
      </c>
      <c r="N498" t="s">
        <v>135</v>
      </c>
      <c r="O498"/>
      <c r="P498"/>
      <c r="Q498" t="s">
        <v>291</v>
      </c>
      <c r="R498"/>
      <c r="S498"/>
      <c r="T498"/>
      <c r="U498" t="s">
        <v>137</v>
      </c>
      <c r="V498" t="s">
        <v>1295</v>
      </c>
      <c r="W498"/>
      <c r="X498" t="s">
        <v>107</v>
      </c>
      <c r="Y498"/>
      <c r="Z498"/>
      <c r="AA498" t="s">
        <v>292</v>
      </c>
      <c r="AB498" t="s">
        <v>1</v>
      </c>
      <c r="AC498" t="s">
        <v>138</v>
      </c>
      <c r="AD498" t="s">
        <v>129</v>
      </c>
      <c r="AE498" s="97"/>
    </row>
    <row r="499" spans="1:31" ht="14.4" customHeight="1" x14ac:dyDescent="0.3">
      <c r="A499" t="s">
        <v>1441</v>
      </c>
      <c r="B499" t="s">
        <v>1442</v>
      </c>
      <c r="C499"/>
      <c r="D499"/>
      <c r="E499"/>
      <c r="F499"/>
      <c r="G499" t="s">
        <v>290</v>
      </c>
      <c r="H499" t="s">
        <v>132</v>
      </c>
      <c r="I499" t="s">
        <v>1</v>
      </c>
      <c r="J499" t="s">
        <v>133</v>
      </c>
      <c r="K499" t="s">
        <v>51</v>
      </c>
      <c r="L499" t="s">
        <v>1440</v>
      </c>
      <c r="M499" t="s">
        <v>134</v>
      </c>
      <c r="N499" t="s">
        <v>135</v>
      </c>
      <c r="O499"/>
      <c r="P499"/>
      <c r="Q499" t="s">
        <v>291</v>
      </c>
      <c r="R499"/>
      <c r="S499"/>
      <c r="T499"/>
      <c r="U499" t="s">
        <v>137</v>
      </c>
      <c r="V499" t="s">
        <v>1295</v>
      </c>
      <c r="W499"/>
      <c r="X499" t="s">
        <v>107</v>
      </c>
      <c r="Y499"/>
      <c r="Z499"/>
      <c r="AA499" t="s">
        <v>292</v>
      </c>
      <c r="AB499" t="s">
        <v>1</v>
      </c>
      <c r="AC499" t="s">
        <v>138</v>
      </c>
      <c r="AD499" t="s">
        <v>129</v>
      </c>
      <c r="AE499" s="97"/>
    </row>
    <row r="500" spans="1:31" ht="14.4" customHeight="1" x14ac:dyDescent="0.3">
      <c r="A500" t="s">
        <v>1443</v>
      </c>
      <c r="B500" t="s">
        <v>1444</v>
      </c>
      <c r="C500"/>
      <c r="D500"/>
      <c r="E500"/>
      <c r="F500"/>
      <c r="G500" t="s">
        <v>290</v>
      </c>
      <c r="H500" t="s">
        <v>132</v>
      </c>
      <c r="I500" t="s">
        <v>1</v>
      </c>
      <c r="J500" t="s">
        <v>133</v>
      </c>
      <c r="K500" t="s">
        <v>51</v>
      </c>
      <c r="L500" t="s">
        <v>1440</v>
      </c>
      <c r="M500" t="s">
        <v>134</v>
      </c>
      <c r="N500" t="s">
        <v>135</v>
      </c>
      <c r="O500"/>
      <c r="P500"/>
      <c r="Q500" t="s">
        <v>291</v>
      </c>
      <c r="R500"/>
      <c r="S500"/>
      <c r="T500"/>
      <c r="U500" t="s">
        <v>137</v>
      </c>
      <c r="V500" t="s">
        <v>1295</v>
      </c>
      <c r="W500"/>
      <c r="X500" t="s">
        <v>107</v>
      </c>
      <c r="Y500"/>
      <c r="Z500"/>
      <c r="AA500" t="s">
        <v>292</v>
      </c>
      <c r="AB500" t="s">
        <v>1</v>
      </c>
      <c r="AC500" t="s">
        <v>138</v>
      </c>
      <c r="AD500" t="s">
        <v>129</v>
      </c>
      <c r="AE500" s="97"/>
    </row>
    <row r="501" spans="1:31" ht="14.4" customHeight="1" x14ac:dyDescent="0.3">
      <c r="A501" t="s">
        <v>1445</v>
      </c>
      <c r="B501" t="s">
        <v>1446</v>
      </c>
      <c r="C501"/>
      <c r="D501"/>
      <c r="E501"/>
      <c r="F501"/>
      <c r="G501" t="s">
        <v>290</v>
      </c>
      <c r="H501" t="s">
        <v>132</v>
      </c>
      <c r="I501" t="s">
        <v>1</v>
      </c>
      <c r="J501" t="s">
        <v>133</v>
      </c>
      <c r="K501" t="s">
        <v>51</v>
      </c>
      <c r="L501" t="s">
        <v>1440</v>
      </c>
      <c r="M501" t="s">
        <v>134</v>
      </c>
      <c r="N501" t="s">
        <v>135</v>
      </c>
      <c r="O501"/>
      <c r="P501"/>
      <c r="Q501" t="s">
        <v>291</v>
      </c>
      <c r="R501"/>
      <c r="S501"/>
      <c r="T501"/>
      <c r="U501" t="s">
        <v>137</v>
      </c>
      <c r="V501" t="s">
        <v>1295</v>
      </c>
      <c r="W501"/>
      <c r="X501" t="s">
        <v>107</v>
      </c>
      <c r="Y501"/>
      <c r="Z501"/>
      <c r="AA501" t="s">
        <v>292</v>
      </c>
      <c r="AB501" t="s">
        <v>1</v>
      </c>
      <c r="AC501" t="s">
        <v>138</v>
      </c>
      <c r="AD501" t="s">
        <v>129</v>
      </c>
      <c r="AE501" s="97"/>
    </row>
    <row r="502" spans="1:31" ht="14.4" customHeight="1" x14ac:dyDescent="0.3">
      <c r="A502" t="s">
        <v>1447</v>
      </c>
      <c r="B502" t="s">
        <v>1448</v>
      </c>
      <c r="C502"/>
      <c r="D502"/>
      <c r="E502"/>
      <c r="F502"/>
      <c r="G502" t="s">
        <v>290</v>
      </c>
      <c r="H502" t="s">
        <v>132</v>
      </c>
      <c r="I502" t="s">
        <v>1</v>
      </c>
      <c r="J502" t="s">
        <v>133</v>
      </c>
      <c r="K502" t="s">
        <v>51</v>
      </c>
      <c r="L502" t="s">
        <v>1440</v>
      </c>
      <c r="M502" t="s">
        <v>134</v>
      </c>
      <c r="N502" t="s">
        <v>135</v>
      </c>
      <c r="O502"/>
      <c r="P502"/>
      <c r="Q502" t="s">
        <v>291</v>
      </c>
      <c r="R502"/>
      <c r="S502"/>
      <c r="T502"/>
      <c r="U502" t="s">
        <v>137</v>
      </c>
      <c r="V502" t="s">
        <v>1295</v>
      </c>
      <c r="W502"/>
      <c r="X502" t="s">
        <v>107</v>
      </c>
      <c r="Y502"/>
      <c r="Z502"/>
      <c r="AA502" t="s">
        <v>292</v>
      </c>
      <c r="AB502" t="s">
        <v>1</v>
      </c>
      <c r="AC502" t="s">
        <v>138</v>
      </c>
      <c r="AD502" t="s">
        <v>129</v>
      </c>
      <c r="AE502" s="97"/>
    </row>
    <row r="503" spans="1:31" ht="14.4" customHeight="1" x14ac:dyDescent="0.3">
      <c r="A503" t="s">
        <v>1449</v>
      </c>
      <c r="B503" t="s">
        <v>1450</v>
      </c>
      <c r="C503"/>
      <c r="D503"/>
      <c r="E503"/>
      <c r="F503"/>
      <c r="G503" t="s">
        <v>290</v>
      </c>
      <c r="H503" t="s">
        <v>132</v>
      </c>
      <c r="I503" t="s">
        <v>1</v>
      </c>
      <c r="J503" t="s">
        <v>133</v>
      </c>
      <c r="K503" t="s">
        <v>51</v>
      </c>
      <c r="L503" t="s">
        <v>1440</v>
      </c>
      <c r="M503" t="s">
        <v>134</v>
      </c>
      <c r="N503" t="s">
        <v>135</v>
      </c>
      <c r="O503"/>
      <c r="P503"/>
      <c r="Q503" t="s">
        <v>291</v>
      </c>
      <c r="R503"/>
      <c r="S503"/>
      <c r="T503"/>
      <c r="U503" t="s">
        <v>137</v>
      </c>
      <c r="V503" t="s">
        <v>1295</v>
      </c>
      <c r="W503"/>
      <c r="X503" t="s">
        <v>107</v>
      </c>
      <c r="Y503"/>
      <c r="Z503"/>
      <c r="AA503" t="s">
        <v>292</v>
      </c>
      <c r="AB503" t="s">
        <v>1</v>
      </c>
      <c r="AC503" t="s">
        <v>138</v>
      </c>
      <c r="AD503" t="s">
        <v>129</v>
      </c>
      <c r="AE503" s="97"/>
    </row>
    <row r="504" spans="1:31" ht="14.4" customHeight="1" x14ac:dyDescent="0.3">
      <c r="A504" t="s">
        <v>1451</v>
      </c>
      <c r="B504" t="s">
        <v>1452</v>
      </c>
      <c r="C504"/>
      <c r="D504"/>
      <c r="E504"/>
      <c r="F504"/>
      <c r="G504" t="s">
        <v>290</v>
      </c>
      <c r="H504" t="s">
        <v>132</v>
      </c>
      <c r="I504" t="s">
        <v>1</v>
      </c>
      <c r="J504" t="s">
        <v>133</v>
      </c>
      <c r="K504" t="s">
        <v>51</v>
      </c>
      <c r="L504" t="s">
        <v>1440</v>
      </c>
      <c r="M504" t="s">
        <v>134</v>
      </c>
      <c r="N504" t="s">
        <v>135</v>
      </c>
      <c r="O504"/>
      <c r="P504"/>
      <c r="Q504" t="s">
        <v>291</v>
      </c>
      <c r="R504"/>
      <c r="S504"/>
      <c r="T504"/>
      <c r="U504" t="s">
        <v>137</v>
      </c>
      <c r="V504" t="s">
        <v>1295</v>
      </c>
      <c r="W504"/>
      <c r="X504" t="s">
        <v>107</v>
      </c>
      <c r="Y504"/>
      <c r="Z504"/>
      <c r="AA504" t="s">
        <v>292</v>
      </c>
      <c r="AB504" t="s">
        <v>1</v>
      </c>
      <c r="AC504" t="s">
        <v>138</v>
      </c>
      <c r="AD504" t="s">
        <v>129</v>
      </c>
      <c r="AE504" s="97"/>
    </row>
    <row r="505" spans="1:31" ht="14.4" customHeight="1" x14ac:dyDescent="0.3">
      <c r="A505" t="s">
        <v>1453</v>
      </c>
      <c r="B505" t="s">
        <v>1454</v>
      </c>
      <c r="C505"/>
      <c r="D505"/>
      <c r="E505"/>
      <c r="F505"/>
      <c r="G505" t="s">
        <v>290</v>
      </c>
      <c r="H505" t="s">
        <v>132</v>
      </c>
      <c r="I505" t="s">
        <v>1</v>
      </c>
      <c r="J505" t="s">
        <v>133</v>
      </c>
      <c r="K505" t="s">
        <v>51</v>
      </c>
      <c r="L505" t="s">
        <v>1440</v>
      </c>
      <c r="M505" t="s">
        <v>134</v>
      </c>
      <c r="N505" t="s">
        <v>135</v>
      </c>
      <c r="O505"/>
      <c r="P505"/>
      <c r="Q505" t="s">
        <v>291</v>
      </c>
      <c r="R505"/>
      <c r="S505"/>
      <c r="T505"/>
      <c r="U505" t="s">
        <v>137</v>
      </c>
      <c r="V505" t="s">
        <v>1295</v>
      </c>
      <c r="W505"/>
      <c r="X505" t="s">
        <v>107</v>
      </c>
      <c r="Y505"/>
      <c r="Z505"/>
      <c r="AA505" t="s">
        <v>292</v>
      </c>
      <c r="AB505" t="s">
        <v>1</v>
      </c>
      <c r="AC505" t="s">
        <v>138</v>
      </c>
      <c r="AD505" t="s">
        <v>129</v>
      </c>
      <c r="AE505" s="97"/>
    </row>
    <row r="506" spans="1:31" ht="14.4" customHeight="1" x14ac:dyDescent="0.3">
      <c r="A506" t="s">
        <v>1455</v>
      </c>
      <c r="B506" t="s">
        <v>1456</v>
      </c>
      <c r="C506"/>
      <c r="D506"/>
      <c r="E506"/>
      <c r="F506"/>
      <c r="G506" t="s">
        <v>290</v>
      </c>
      <c r="H506" t="s">
        <v>132</v>
      </c>
      <c r="I506" t="s">
        <v>1</v>
      </c>
      <c r="J506" t="s">
        <v>133</v>
      </c>
      <c r="K506" t="s">
        <v>51</v>
      </c>
      <c r="L506" t="s">
        <v>1440</v>
      </c>
      <c r="M506" t="s">
        <v>134</v>
      </c>
      <c r="N506" t="s">
        <v>135</v>
      </c>
      <c r="O506"/>
      <c r="P506"/>
      <c r="Q506" t="s">
        <v>291</v>
      </c>
      <c r="R506"/>
      <c r="S506"/>
      <c r="T506"/>
      <c r="U506" t="s">
        <v>137</v>
      </c>
      <c r="V506" t="s">
        <v>1295</v>
      </c>
      <c r="W506"/>
      <c r="X506" t="s">
        <v>107</v>
      </c>
      <c r="Y506"/>
      <c r="Z506"/>
      <c r="AA506" t="s">
        <v>292</v>
      </c>
      <c r="AB506" t="s">
        <v>1</v>
      </c>
      <c r="AC506" t="s">
        <v>138</v>
      </c>
      <c r="AD506" t="s">
        <v>129</v>
      </c>
      <c r="AE506" s="97"/>
    </row>
    <row r="507" spans="1:31" ht="14.4" customHeight="1" x14ac:dyDescent="0.3">
      <c r="A507" t="s">
        <v>1457</v>
      </c>
      <c r="B507" t="s">
        <v>1458</v>
      </c>
      <c r="C507"/>
      <c r="D507"/>
      <c r="E507"/>
      <c r="F507"/>
      <c r="G507" t="s">
        <v>290</v>
      </c>
      <c r="H507" t="s">
        <v>132</v>
      </c>
      <c r="I507" t="s">
        <v>1</v>
      </c>
      <c r="J507" t="s">
        <v>133</v>
      </c>
      <c r="K507" t="s">
        <v>51</v>
      </c>
      <c r="L507" t="s">
        <v>1440</v>
      </c>
      <c r="M507" t="s">
        <v>134</v>
      </c>
      <c r="N507" t="s">
        <v>135</v>
      </c>
      <c r="O507"/>
      <c r="P507"/>
      <c r="Q507" t="s">
        <v>291</v>
      </c>
      <c r="R507"/>
      <c r="S507"/>
      <c r="T507"/>
      <c r="U507" t="s">
        <v>137</v>
      </c>
      <c r="V507" t="s">
        <v>1295</v>
      </c>
      <c r="W507"/>
      <c r="X507" t="s">
        <v>107</v>
      </c>
      <c r="Y507"/>
      <c r="Z507"/>
      <c r="AA507" t="s">
        <v>292</v>
      </c>
      <c r="AB507" t="s">
        <v>1</v>
      </c>
      <c r="AC507" t="s">
        <v>138</v>
      </c>
      <c r="AD507" t="s">
        <v>129</v>
      </c>
      <c r="AE507" s="97"/>
    </row>
    <row r="508" spans="1:31" ht="14.4" customHeight="1" x14ac:dyDescent="0.3">
      <c r="A508" t="s">
        <v>1459</v>
      </c>
      <c r="B508" t="s">
        <v>1460</v>
      </c>
      <c r="C508"/>
      <c r="D508"/>
      <c r="E508"/>
      <c r="F508"/>
      <c r="G508" t="s">
        <v>290</v>
      </c>
      <c r="H508" t="s">
        <v>132</v>
      </c>
      <c r="I508" t="s">
        <v>1</v>
      </c>
      <c r="J508" t="s">
        <v>133</v>
      </c>
      <c r="K508" t="s">
        <v>51</v>
      </c>
      <c r="L508" t="s">
        <v>1440</v>
      </c>
      <c r="M508" t="s">
        <v>134</v>
      </c>
      <c r="N508" t="s">
        <v>135</v>
      </c>
      <c r="O508"/>
      <c r="P508"/>
      <c r="Q508" t="s">
        <v>291</v>
      </c>
      <c r="R508"/>
      <c r="S508"/>
      <c r="T508"/>
      <c r="U508" t="s">
        <v>137</v>
      </c>
      <c r="V508" t="s">
        <v>1295</v>
      </c>
      <c r="W508"/>
      <c r="X508" t="s">
        <v>107</v>
      </c>
      <c r="Y508"/>
      <c r="Z508"/>
      <c r="AA508" t="s">
        <v>292</v>
      </c>
      <c r="AB508" t="s">
        <v>1</v>
      </c>
      <c r="AC508" t="s">
        <v>138</v>
      </c>
      <c r="AD508" t="s">
        <v>129</v>
      </c>
      <c r="AE508" s="97"/>
    </row>
    <row r="509" spans="1:31" ht="14.4" customHeight="1" x14ac:dyDescent="0.3">
      <c r="A509" t="s">
        <v>1461</v>
      </c>
      <c r="B509" t="s">
        <v>1462</v>
      </c>
      <c r="C509"/>
      <c r="D509"/>
      <c r="E509"/>
      <c r="F509"/>
      <c r="G509" t="s">
        <v>290</v>
      </c>
      <c r="H509" t="s">
        <v>132</v>
      </c>
      <c r="I509" t="s">
        <v>1</v>
      </c>
      <c r="J509" t="s">
        <v>133</v>
      </c>
      <c r="K509" t="s">
        <v>51</v>
      </c>
      <c r="L509" t="s">
        <v>1463</v>
      </c>
      <c r="M509" t="s">
        <v>134</v>
      </c>
      <c r="N509" t="s">
        <v>135</v>
      </c>
      <c r="O509"/>
      <c r="P509"/>
      <c r="Q509" t="s">
        <v>291</v>
      </c>
      <c r="R509"/>
      <c r="S509"/>
      <c r="T509"/>
      <c r="U509" t="s">
        <v>137</v>
      </c>
      <c r="V509" t="s">
        <v>1299</v>
      </c>
      <c r="W509"/>
      <c r="X509" t="s">
        <v>114</v>
      </c>
      <c r="Y509"/>
      <c r="Z509"/>
      <c r="AA509" t="s">
        <v>292</v>
      </c>
      <c r="AB509" t="s">
        <v>1</v>
      </c>
      <c r="AC509" t="s">
        <v>138</v>
      </c>
      <c r="AD509" t="s">
        <v>129</v>
      </c>
      <c r="AE509" s="97"/>
    </row>
    <row r="510" spans="1:31" ht="14.4" customHeight="1" x14ac:dyDescent="0.3">
      <c r="A510" t="s">
        <v>1464</v>
      </c>
      <c r="B510" t="s">
        <v>1465</v>
      </c>
      <c r="C510"/>
      <c r="D510"/>
      <c r="E510"/>
      <c r="F510"/>
      <c r="G510" t="s">
        <v>290</v>
      </c>
      <c r="H510" t="s">
        <v>132</v>
      </c>
      <c r="I510" t="s">
        <v>1</v>
      </c>
      <c r="J510" t="s">
        <v>133</v>
      </c>
      <c r="K510" t="s">
        <v>51</v>
      </c>
      <c r="L510" t="s">
        <v>1463</v>
      </c>
      <c r="M510" t="s">
        <v>134</v>
      </c>
      <c r="N510" t="s">
        <v>135</v>
      </c>
      <c r="O510"/>
      <c r="P510"/>
      <c r="Q510" t="s">
        <v>291</v>
      </c>
      <c r="R510"/>
      <c r="S510"/>
      <c r="T510"/>
      <c r="U510" t="s">
        <v>137</v>
      </c>
      <c r="V510" t="s">
        <v>1299</v>
      </c>
      <c r="W510"/>
      <c r="X510" t="s">
        <v>114</v>
      </c>
      <c r="Y510"/>
      <c r="Z510"/>
      <c r="AA510" t="s">
        <v>292</v>
      </c>
      <c r="AB510" t="s">
        <v>1</v>
      </c>
      <c r="AC510" t="s">
        <v>138</v>
      </c>
      <c r="AD510" t="s">
        <v>129</v>
      </c>
      <c r="AE510" s="97"/>
    </row>
    <row r="511" spans="1:31" ht="14.4" customHeight="1" x14ac:dyDescent="0.3">
      <c r="A511" t="s">
        <v>1466</v>
      </c>
      <c r="B511" t="s">
        <v>1467</v>
      </c>
      <c r="C511"/>
      <c r="D511"/>
      <c r="E511"/>
      <c r="F511"/>
      <c r="G511" t="s">
        <v>290</v>
      </c>
      <c r="H511" t="s">
        <v>132</v>
      </c>
      <c r="I511" t="s">
        <v>1</v>
      </c>
      <c r="J511" t="s">
        <v>133</v>
      </c>
      <c r="K511" t="s">
        <v>51</v>
      </c>
      <c r="L511" t="s">
        <v>1463</v>
      </c>
      <c r="M511" t="s">
        <v>134</v>
      </c>
      <c r="N511" t="s">
        <v>135</v>
      </c>
      <c r="O511"/>
      <c r="P511"/>
      <c r="Q511" t="s">
        <v>291</v>
      </c>
      <c r="R511"/>
      <c r="S511"/>
      <c r="T511"/>
      <c r="U511" t="s">
        <v>137</v>
      </c>
      <c r="V511" t="s">
        <v>1299</v>
      </c>
      <c r="W511"/>
      <c r="X511" t="s">
        <v>114</v>
      </c>
      <c r="Y511"/>
      <c r="Z511"/>
      <c r="AA511" t="s">
        <v>292</v>
      </c>
      <c r="AB511" t="s">
        <v>1</v>
      </c>
      <c r="AC511" t="s">
        <v>138</v>
      </c>
      <c r="AD511" t="s">
        <v>129</v>
      </c>
      <c r="AE511" s="97"/>
    </row>
    <row r="512" spans="1:31" ht="14.4" customHeight="1" x14ac:dyDescent="0.3">
      <c r="A512" t="s">
        <v>1468</v>
      </c>
      <c r="B512" t="s">
        <v>1469</v>
      </c>
      <c r="C512"/>
      <c r="D512"/>
      <c r="E512"/>
      <c r="F512"/>
      <c r="G512" t="s">
        <v>290</v>
      </c>
      <c r="H512" t="s">
        <v>132</v>
      </c>
      <c r="I512" t="s">
        <v>1</v>
      </c>
      <c r="J512" t="s">
        <v>133</v>
      </c>
      <c r="K512" t="s">
        <v>51</v>
      </c>
      <c r="L512" t="s">
        <v>1463</v>
      </c>
      <c r="M512" t="s">
        <v>134</v>
      </c>
      <c r="N512" t="s">
        <v>135</v>
      </c>
      <c r="O512"/>
      <c r="P512"/>
      <c r="Q512" t="s">
        <v>291</v>
      </c>
      <c r="R512"/>
      <c r="S512"/>
      <c r="T512"/>
      <c r="U512" t="s">
        <v>137</v>
      </c>
      <c r="V512" t="s">
        <v>1299</v>
      </c>
      <c r="W512"/>
      <c r="X512" t="s">
        <v>114</v>
      </c>
      <c r="Y512"/>
      <c r="Z512"/>
      <c r="AA512" t="s">
        <v>292</v>
      </c>
      <c r="AB512" t="s">
        <v>1</v>
      </c>
      <c r="AC512" t="s">
        <v>138</v>
      </c>
      <c r="AD512" t="s">
        <v>129</v>
      </c>
      <c r="AE512" s="97"/>
    </row>
    <row r="513" spans="1:31" ht="14.4" customHeight="1" x14ac:dyDescent="0.3">
      <c r="A513" t="s">
        <v>1470</v>
      </c>
      <c r="B513" t="s">
        <v>1471</v>
      </c>
      <c r="C513"/>
      <c r="D513"/>
      <c r="E513"/>
      <c r="F513"/>
      <c r="G513" t="s">
        <v>290</v>
      </c>
      <c r="H513" t="s">
        <v>132</v>
      </c>
      <c r="I513" t="s">
        <v>1</v>
      </c>
      <c r="J513" t="s">
        <v>133</v>
      </c>
      <c r="K513" t="s">
        <v>51</v>
      </c>
      <c r="L513" t="s">
        <v>1463</v>
      </c>
      <c r="M513" t="s">
        <v>134</v>
      </c>
      <c r="N513" t="s">
        <v>135</v>
      </c>
      <c r="O513"/>
      <c r="P513"/>
      <c r="Q513" t="s">
        <v>291</v>
      </c>
      <c r="R513"/>
      <c r="S513"/>
      <c r="T513"/>
      <c r="U513" t="s">
        <v>137</v>
      </c>
      <c r="V513" t="s">
        <v>1299</v>
      </c>
      <c r="W513"/>
      <c r="X513" t="s">
        <v>114</v>
      </c>
      <c r="Y513"/>
      <c r="Z513"/>
      <c r="AA513" t="s">
        <v>292</v>
      </c>
      <c r="AB513" t="s">
        <v>1</v>
      </c>
      <c r="AC513" t="s">
        <v>138</v>
      </c>
      <c r="AD513" t="s">
        <v>129</v>
      </c>
      <c r="AE513" s="97"/>
    </row>
    <row r="514" spans="1:31" ht="14.4" customHeight="1" x14ac:dyDescent="0.3">
      <c r="A514" t="s">
        <v>1472</v>
      </c>
      <c r="B514" t="s">
        <v>1473</v>
      </c>
      <c r="C514"/>
      <c r="D514"/>
      <c r="E514"/>
      <c r="F514"/>
      <c r="G514" t="s">
        <v>290</v>
      </c>
      <c r="H514" t="s">
        <v>132</v>
      </c>
      <c r="I514" t="s">
        <v>1</v>
      </c>
      <c r="J514" t="s">
        <v>133</v>
      </c>
      <c r="K514" t="s">
        <v>51</v>
      </c>
      <c r="L514" t="s">
        <v>1463</v>
      </c>
      <c r="M514" t="s">
        <v>134</v>
      </c>
      <c r="N514" t="s">
        <v>135</v>
      </c>
      <c r="O514"/>
      <c r="P514"/>
      <c r="Q514" t="s">
        <v>291</v>
      </c>
      <c r="R514"/>
      <c r="S514"/>
      <c r="T514"/>
      <c r="U514" t="s">
        <v>137</v>
      </c>
      <c r="V514" t="s">
        <v>1299</v>
      </c>
      <c r="W514"/>
      <c r="X514" t="s">
        <v>114</v>
      </c>
      <c r="Y514"/>
      <c r="Z514"/>
      <c r="AA514" t="s">
        <v>292</v>
      </c>
      <c r="AB514" t="s">
        <v>1</v>
      </c>
      <c r="AC514" t="s">
        <v>138</v>
      </c>
      <c r="AD514" t="s">
        <v>129</v>
      </c>
      <c r="AE514" s="97"/>
    </row>
    <row r="515" spans="1:31" ht="14.4" customHeight="1" x14ac:dyDescent="0.3">
      <c r="A515" t="s">
        <v>1474</v>
      </c>
      <c r="B515" t="s">
        <v>1475</v>
      </c>
      <c r="C515"/>
      <c r="D515"/>
      <c r="E515"/>
      <c r="F515"/>
      <c r="G515" t="s">
        <v>290</v>
      </c>
      <c r="H515" t="s">
        <v>132</v>
      </c>
      <c r="I515" t="s">
        <v>1</v>
      </c>
      <c r="J515" t="s">
        <v>133</v>
      </c>
      <c r="K515" t="s">
        <v>51</v>
      </c>
      <c r="L515" t="s">
        <v>1463</v>
      </c>
      <c r="M515" t="s">
        <v>134</v>
      </c>
      <c r="N515" t="s">
        <v>135</v>
      </c>
      <c r="O515"/>
      <c r="P515"/>
      <c r="Q515" t="s">
        <v>291</v>
      </c>
      <c r="R515"/>
      <c r="S515"/>
      <c r="T515"/>
      <c r="U515" t="s">
        <v>137</v>
      </c>
      <c r="V515" t="s">
        <v>1299</v>
      </c>
      <c r="W515"/>
      <c r="X515" t="s">
        <v>114</v>
      </c>
      <c r="Y515"/>
      <c r="Z515"/>
      <c r="AA515" t="s">
        <v>292</v>
      </c>
      <c r="AB515" t="s">
        <v>1</v>
      </c>
      <c r="AC515" t="s">
        <v>138</v>
      </c>
      <c r="AD515" t="s">
        <v>129</v>
      </c>
      <c r="AE515" s="97"/>
    </row>
    <row r="516" spans="1:31" ht="14.4" customHeight="1" x14ac:dyDescent="0.3">
      <c r="A516" t="s">
        <v>1476</v>
      </c>
      <c r="B516" t="s">
        <v>1477</v>
      </c>
      <c r="C516"/>
      <c r="D516"/>
      <c r="E516"/>
      <c r="F516"/>
      <c r="G516" t="s">
        <v>290</v>
      </c>
      <c r="H516" t="s">
        <v>132</v>
      </c>
      <c r="I516" t="s">
        <v>1</v>
      </c>
      <c r="J516" t="s">
        <v>133</v>
      </c>
      <c r="K516" t="s">
        <v>51</v>
      </c>
      <c r="L516" t="s">
        <v>1463</v>
      </c>
      <c r="M516" t="s">
        <v>134</v>
      </c>
      <c r="N516" t="s">
        <v>135</v>
      </c>
      <c r="O516"/>
      <c r="P516"/>
      <c r="Q516" t="s">
        <v>291</v>
      </c>
      <c r="R516"/>
      <c r="S516"/>
      <c r="T516"/>
      <c r="U516" t="s">
        <v>137</v>
      </c>
      <c r="V516" t="s">
        <v>1299</v>
      </c>
      <c r="W516"/>
      <c r="X516" t="s">
        <v>114</v>
      </c>
      <c r="Y516"/>
      <c r="Z516"/>
      <c r="AA516" t="s">
        <v>292</v>
      </c>
      <c r="AB516" t="s">
        <v>1</v>
      </c>
      <c r="AC516" t="s">
        <v>138</v>
      </c>
      <c r="AD516" t="s">
        <v>129</v>
      </c>
      <c r="AE516" s="97"/>
    </row>
    <row r="517" spans="1:31" ht="14.4" customHeight="1" x14ac:dyDescent="0.3">
      <c r="A517" t="s">
        <v>1478</v>
      </c>
      <c r="B517" t="s">
        <v>1479</v>
      </c>
      <c r="C517"/>
      <c r="D517"/>
      <c r="E517"/>
      <c r="F517"/>
      <c r="G517" t="s">
        <v>290</v>
      </c>
      <c r="H517" t="s">
        <v>132</v>
      </c>
      <c r="I517" t="s">
        <v>1</v>
      </c>
      <c r="J517" t="s">
        <v>133</v>
      </c>
      <c r="K517" t="s">
        <v>51</v>
      </c>
      <c r="L517" t="s">
        <v>1463</v>
      </c>
      <c r="M517" t="s">
        <v>134</v>
      </c>
      <c r="N517" t="s">
        <v>135</v>
      </c>
      <c r="O517"/>
      <c r="P517"/>
      <c r="Q517" t="s">
        <v>291</v>
      </c>
      <c r="R517"/>
      <c r="S517"/>
      <c r="T517"/>
      <c r="U517" t="s">
        <v>137</v>
      </c>
      <c r="V517" t="s">
        <v>1299</v>
      </c>
      <c r="W517"/>
      <c r="X517" t="s">
        <v>114</v>
      </c>
      <c r="Y517"/>
      <c r="Z517"/>
      <c r="AA517" t="s">
        <v>292</v>
      </c>
      <c r="AB517" t="s">
        <v>1</v>
      </c>
      <c r="AC517" t="s">
        <v>138</v>
      </c>
      <c r="AD517" t="s">
        <v>129</v>
      </c>
      <c r="AE517" s="97"/>
    </row>
    <row r="518" spans="1:31" ht="14.4" customHeight="1" x14ac:dyDescent="0.3">
      <c r="A518" t="s">
        <v>1480</v>
      </c>
      <c r="B518" t="s">
        <v>1481</v>
      </c>
      <c r="C518"/>
      <c r="D518"/>
      <c r="E518"/>
      <c r="F518"/>
      <c r="G518" t="s">
        <v>290</v>
      </c>
      <c r="H518" t="s">
        <v>132</v>
      </c>
      <c r="I518" t="s">
        <v>1</v>
      </c>
      <c r="J518" t="s">
        <v>133</v>
      </c>
      <c r="K518" t="s">
        <v>51</v>
      </c>
      <c r="L518" t="s">
        <v>1463</v>
      </c>
      <c r="M518" t="s">
        <v>134</v>
      </c>
      <c r="N518" t="s">
        <v>135</v>
      </c>
      <c r="O518"/>
      <c r="P518"/>
      <c r="Q518" t="s">
        <v>291</v>
      </c>
      <c r="R518"/>
      <c r="S518"/>
      <c r="T518"/>
      <c r="U518" t="s">
        <v>137</v>
      </c>
      <c r="V518" t="s">
        <v>1299</v>
      </c>
      <c r="W518"/>
      <c r="X518" t="s">
        <v>114</v>
      </c>
      <c r="Y518"/>
      <c r="Z518"/>
      <c r="AA518" t="s">
        <v>292</v>
      </c>
      <c r="AB518" t="s">
        <v>1</v>
      </c>
      <c r="AC518" t="s">
        <v>138</v>
      </c>
      <c r="AD518" t="s">
        <v>129</v>
      </c>
      <c r="AE518" s="97"/>
    </row>
    <row r="519" spans="1:31" ht="14.4" customHeight="1" x14ac:dyDescent="0.3">
      <c r="A519" t="s">
        <v>1482</v>
      </c>
      <c r="B519" t="s">
        <v>1483</v>
      </c>
      <c r="C519"/>
      <c r="D519"/>
      <c r="E519"/>
      <c r="F519"/>
      <c r="G519" t="s">
        <v>290</v>
      </c>
      <c r="H519" t="s">
        <v>132</v>
      </c>
      <c r="I519" t="s">
        <v>1</v>
      </c>
      <c r="J519" t="s">
        <v>133</v>
      </c>
      <c r="K519" t="s">
        <v>51</v>
      </c>
      <c r="L519" t="s">
        <v>1463</v>
      </c>
      <c r="M519" t="s">
        <v>134</v>
      </c>
      <c r="N519" t="s">
        <v>135</v>
      </c>
      <c r="O519"/>
      <c r="P519"/>
      <c r="Q519" t="s">
        <v>291</v>
      </c>
      <c r="R519"/>
      <c r="S519"/>
      <c r="T519"/>
      <c r="U519" t="s">
        <v>137</v>
      </c>
      <c r="V519" t="s">
        <v>1299</v>
      </c>
      <c r="W519"/>
      <c r="X519" t="s">
        <v>114</v>
      </c>
      <c r="Y519"/>
      <c r="Z519"/>
      <c r="AA519" t="s">
        <v>292</v>
      </c>
      <c r="AB519" t="s">
        <v>1</v>
      </c>
      <c r="AC519" t="s">
        <v>138</v>
      </c>
      <c r="AD519" t="s">
        <v>129</v>
      </c>
      <c r="AE519" s="97"/>
    </row>
    <row r="520" spans="1:31" ht="14.4" customHeight="1" x14ac:dyDescent="0.3">
      <c r="A520" t="s">
        <v>1484</v>
      </c>
      <c r="B520" t="s">
        <v>1485</v>
      </c>
      <c r="C520"/>
      <c r="D520"/>
      <c r="E520"/>
      <c r="F520"/>
      <c r="G520" t="s">
        <v>290</v>
      </c>
      <c r="H520" t="s">
        <v>132</v>
      </c>
      <c r="I520" t="s">
        <v>1</v>
      </c>
      <c r="J520" t="s">
        <v>133</v>
      </c>
      <c r="K520" t="s">
        <v>51</v>
      </c>
      <c r="L520" t="s">
        <v>1486</v>
      </c>
      <c r="M520" t="s">
        <v>134</v>
      </c>
      <c r="N520" t="s">
        <v>135</v>
      </c>
      <c r="O520"/>
      <c r="P520"/>
      <c r="Q520" t="s">
        <v>291</v>
      </c>
      <c r="R520"/>
      <c r="S520"/>
      <c r="T520"/>
      <c r="U520" t="s">
        <v>137</v>
      </c>
      <c r="V520" t="s">
        <v>1303</v>
      </c>
      <c r="W520"/>
      <c r="X520" t="s">
        <v>123</v>
      </c>
      <c r="Y520"/>
      <c r="Z520"/>
      <c r="AA520" t="s">
        <v>292</v>
      </c>
      <c r="AB520" t="s">
        <v>1</v>
      </c>
      <c r="AC520" t="s">
        <v>138</v>
      </c>
      <c r="AD520" t="s">
        <v>130</v>
      </c>
      <c r="AE520" s="97"/>
    </row>
    <row r="521" spans="1:31" ht="14.4" customHeight="1" x14ac:dyDescent="0.3">
      <c r="A521" t="s">
        <v>1487</v>
      </c>
      <c r="B521" t="s">
        <v>1488</v>
      </c>
      <c r="C521"/>
      <c r="D521"/>
      <c r="E521"/>
      <c r="F521"/>
      <c r="G521" t="s">
        <v>290</v>
      </c>
      <c r="H521" t="s">
        <v>132</v>
      </c>
      <c r="I521" t="s">
        <v>1</v>
      </c>
      <c r="J521" t="s">
        <v>133</v>
      </c>
      <c r="K521" t="s">
        <v>51</v>
      </c>
      <c r="L521" t="s">
        <v>1486</v>
      </c>
      <c r="M521" t="s">
        <v>134</v>
      </c>
      <c r="N521" t="s">
        <v>135</v>
      </c>
      <c r="O521"/>
      <c r="P521"/>
      <c r="Q521" t="s">
        <v>291</v>
      </c>
      <c r="R521"/>
      <c r="S521"/>
      <c r="T521"/>
      <c r="U521" t="s">
        <v>137</v>
      </c>
      <c r="V521" t="s">
        <v>1303</v>
      </c>
      <c r="W521"/>
      <c r="X521" t="s">
        <v>123</v>
      </c>
      <c r="Y521"/>
      <c r="Z521"/>
      <c r="AA521" t="s">
        <v>292</v>
      </c>
      <c r="AB521" t="s">
        <v>1</v>
      </c>
      <c r="AC521" t="s">
        <v>138</v>
      </c>
      <c r="AD521" t="s">
        <v>130</v>
      </c>
      <c r="AE521" s="97"/>
    </row>
    <row r="522" spans="1:31" ht="14.4" customHeight="1" x14ac:dyDescent="0.3">
      <c r="A522" t="s">
        <v>1489</v>
      </c>
      <c r="B522" t="s">
        <v>1490</v>
      </c>
      <c r="C522"/>
      <c r="D522"/>
      <c r="E522"/>
      <c r="F522"/>
      <c r="G522" t="s">
        <v>290</v>
      </c>
      <c r="H522" t="s">
        <v>132</v>
      </c>
      <c r="I522" t="s">
        <v>1</v>
      </c>
      <c r="J522" t="s">
        <v>133</v>
      </c>
      <c r="K522" t="s">
        <v>51</v>
      </c>
      <c r="L522" t="s">
        <v>1486</v>
      </c>
      <c r="M522" t="s">
        <v>134</v>
      </c>
      <c r="N522" t="s">
        <v>135</v>
      </c>
      <c r="O522"/>
      <c r="P522"/>
      <c r="Q522" t="s">
        <v>291</v>
      </c>
      <c r="R522"/>
      <c r="S522"/>
      <c r="T522"/>
      <c r="U522" t="s">
        <v>137</v>
      </c>
      <c r="V522" t="s">
        <v>1303</v>
      </c>
      <c r="W522"/>
      <c r="X522" t="s">
        <v>123</v>
      </c>
      <c r="Y522"/>
      <c r="Z522"/>
      <c r="AA522" t="s">
        <v>292</v>
      </c>
      <c r="AB522" t="s">
        <v>1</v>
      </c>
      <c r="AC522" t="s">
        <v>138</v>
      </c>
      <c r="AD522" t="s">
        <v>130</v>
      </c>
      <c r="AE522" s="97"/>
    </row>
    <row r="523" spans="1:31" ht="14.4" customHeight="1" x14ac:dyDescent="0.3">
      <c r="A523" t="s">
        <v>1491</v>
      </c>
      <c r="B523" t="s">
        <v>1492</v>
      </c>
      <c r="C523"/>
      <c r="D523"/>
      <c r="E523"/>
      <c r="F523"/>
      <c r="G523" t="s">
        <v>290</v>
      </c>
      <c r="H523" t="s">
        <v>132</v>
      </c>
      <c r="I523" t="s">
        <v>1</v>
      </c>
      <c r="J523" t="s">
        <v>133</v>
      </c>
      <c r="K523" t="s">
        <v>51</v>
      </c>
      <c r="L523" t="s">
        <v>1486</v>
      </c>
      <c r="M523" t="s">
        <v>134</v>
      </c>
      <c r="N523" t="s">
        <v>135</v>
      </c>
      <c r="O523"/>
      <c r="P523"/>
      <c r="Q523" t="s">
        <v>291</v>
      </c>
      <c r="R523"/>
      <c r="S523"/>
      <c r="T523"/>
      <c r="U523" t="s">
        <v>137</v>
      </c>
      <c r="V523" t="s">
        <v>1303</v>
      </c>
      <c r="W523"/>
      <c r="X523" t="s">
        <v>123</v>
      </c>
      <c r="Y523"/>
      <c r="Z523"/>
      <c r="AA523" t="s">
        <v>292</v>
      </c>
      <c r="AB523" t="s">
        <v>1</v>
      </c>
      <c r="AC523" t="s">
        <v>138</v>
      </c>
      <c r="AD523" t="s">
        <v>130</v>
      </c>
      <c r="AE523" s="97"/>
    </row>
    <row r="524" spans="1:31" ht="14.4" customHeight="1" x14ac:dyDescent="0.3">
      <c r="A524" t="s">
        <v>1493</v>
      </c>
      <c r="B524" t="s">
        <v>1494</v>
      </c>
      <c r="C524"/>
      <c r="D524"/>
      <c r="E524"/>
      <c r="F524"/>
      <c r="G524" t="s">
        <v>290</v>
      </c>
      <c r="H524" t="s">
        <v>132</v>
      </c>
      <c r="I524" t="s">
        <v>1</v>
      </c>
      <c r="J524" t="s">
        <v>133</v>
      </c>
      <c r="K524" t="s">
        <v>51</v>
      </c>
      <c r="L524" t="s">
        <v>1486</v>
      </c>
      <c r="M524" t="s">
        <v>134</v>
      </c>
      <c r="N524" t="s">
        <v>135</v>
      </c>
      <c r="O524"/>
      <c r="P524"/>
      <c r="Q524" t="s">
        <v>291</v>
      </c>
      <c r="R524"/>
      <c r="S524"/>
      <c r="T524"/>
      <c r="U524" t="s">
        <v>137</v>
      </c>
      <c r="V524" t="s">
        <v>1303</v>
      </c>
      <c r="W524"/>
      <c r="X524" t="s">
        <v>123</v>
      </c>
      <c r="Y524"/>
      <c r="Z524"/>
      <c r="AA524" t="s">
        <v>292</v>
      </c>
      <c r="AB524" t="s">
        <v>1</v>
      </c>
      <c r="AC524" t="s">
        <v>138</v>
      </c>
      <c r="AD524" t="s">
        <v>130</v>
      </c>
      <c r="AE524" s="97"/>
    </row>
    <row r="525" spans="1:31" ht="14.4" customHeight="1" x14ac:dyDescent="0.3">
      <c r="A525" t="s">
        <v>1495</v>
      </c>
      <c r="B525" t="s">
        <v>1496</v>
      </c>
      <c r="C525"/>
      <c r="D525"/>
      <c r="E525"/>
      <c r="F525"/>
      <c r="G525" t="s">
        <v>290</v>
      </c>
      <c r="H525" t="s">
        <v>132</v>
      </c>
      <c r="I525" t="s">
        <v>1</v>
      </c>
      <c r="J525" t="s">
        <v>133</v>
      </c>
      <c r="K525" t="s">
        <v>51</v>
      </c>
      <c r="L525" t="s">
        <v>1486</v>
      </c>
      <c r="M525" t="s">
        <v>134</v>
      </c>
      <c r="N525" t="s">
        <v>135</v>
      </c>
      <c r="O525"/>
      <c r="P525"/>
      <c r="Q525" t="s">
        <v>291</v>
      </c>
      <c r="R525"/>
      <c r="S525"/>
      <c r="T525"/>
      <c r="U525" t="s">
        <v>137</v>
      </c>
      <c r="V525" t="s">
        <v>1303</v>
      </c>
      <c r="W525"/>
      <c r="X525" t="s">
        <v>123</v>
      </c>
      <c r="Y525"/>
      <c r="Z525"/>
      <c r="AA525" t="s">
        <v>292</v>
      </c>
      <c r="AB525" t="s">
        <v>1</v>
      </c>
      <c r="AC525" t="s">
        <v>138</v>
      </c>
      <c r="AD525" t="s">
        <v>130</v>
      </c>
      <c r="AE525" s="97"/>
    </row>
    <row r="526" spans="1:31" ht="14.4" customHeight="1" x14ac:dyDescent="0.3">
      <c r="A526" t="s">
        <v>1497</v>
      </c>
      <c r="B526" t="s">
        <v>1498</v>
      </c>
      <c r="C526"/>
      <c r="D526"/>
      <c r="E526"/>
      <c r="F526"/>
      <c r="G526" t="s">
        <v>290</v>
      </c>
      <c r="H526" t="s">
        <v>132</v>
      </c>
      <c r="I526" t="s">
        <v>1</v>
      </c>
      <c r="J526" t="s">
        <v>133</v>
      </c>
      <c r="K526" t="s">
        <v>51</v>
      </c>
      <c r="L526" t="s">
        <v>1486</v>
      </c>
      <c r="M526" t="s">
        <v>134</v>
      </c>
      <c r="N526" t="s">
        <v>135</v>
      </c>
      <c r="O526"/>
      <c r="P526"/>
      <c r="Q526" t="s">
        <v>291</v>
      </c>
      <c r="R526"/>
      <c r="S526"/>
      <c r="T526"/>
      <c r="U526" t="s">
        <v>137</v>
      </c>
      <c r="V526" t="s">
        <v>1303</v>
      </c>
      <c r="W526"/>
      <c r="X526" t="s">
        <v>123</v>
      </c>
      <c r="Y526"/>
      <c r="Z526"/>
      <c r="AA526" t="s">
        <v>292</v>
      </c>
      <c r="AB526" t="s">
        <v>1</v>
      </c>
      <c r="AC526" t="s">
        <v>138</v>
      </c>
      <c r="AD526" t="s">
        <v>130</v>
      </c>
      <c r="AE526" s="97"/>
    </row>
    <row r="527" spans="1:31" ht="14.4" customHeight="1" x14ac:dyDescent="0.3">
      <c r="A527" t="s">
        <v>1499</v>
      </c>
      <c r="B527" t="s">
        <v>1500</v>
      </c>
      <c r="C527"/>
      <c r="D527"/>
      <c r="E527"/>
      <c r="F527"/>
      <c r="G527" t="s">
        <v>290</v>
      </c>
      <c r="H527" t="s">
        <v>132</v>
      </c>
      <c r="I527" t="s">
        <v>1</v>
      </c>
      <c r="J527" t="s">
        <v>133</v>
      </c>
      <c r="K527" t="s">
        <v>51</v>
      </c>
      <c r="L527" t="s">
        <v>1486</v>
      </c>
      <c r="M527" t="s">
        <v>134</v>
      </c>
      <c r="N527" t="s">
        <v>135</v>
      </c>
      <c r="O527"/>
      <c r="P527"/>
      <c r="Q527" t="s">
        <v>291</v>
      </c>
      <c r="R527"/>
      <c r="S527"/>
      <c r="T527"/>
      <c r="U527" t="s">
        <v>137</v>
      </c>
      <c r="V527" t="s">
        <v>1303</v>
      </c>
      <c r="W527"/>
      <c r="X527" t="s">
        <v>123</v>
      </c>
      <c r="Y527"/>
      <c r="Z527"/>
      <c r="AA527" t="s">
        <v>292</v>
      </c>
      <c r="AB527" t="s">
        <v>1</v>
      </c>
      <c r="AC527" t="s">
        <v>138</v>
      </c>
      <c r="AD527" t="s">
        <v>130</v>
      </c>
      <c r="AE527" s="97"/>
    </row>
    <row r="528" spans="1:31" ht="14.4" customHeight="1" x14ac:dyDescent="0.3">
      <c r="A528" t="s">
        <v>1501</v>
      </c>
      <c r="B528" t="s">
        <v>1502</v>
      </c>
      <c r="C528"/>
      <c r="D528"/>
      <c r="E528"/>
      <c r="F528"/>
      <c r="G528" t="s">
        <v>290</v>
      </c>
      <c r="H528" t="s">
        <v>132</v>
      </c>
      <c r="I528" t="s">
        <v>1</v>
      </c>
      <c r="J528" t="s">
        <v>133</v>
      </c>
      <c r="K528" t="s">
        <v>51</v>
      </c>
      <c r="L528" t="s">
        <v>1486</v>
      </c>
      <c r="M528" t="s">
        <v>134</v>
      </c>
      <c r="N528" t="s">
        <v>135</v>
      </c>
      <c r="O528"/>
      <c r="P528"/>
      <c r="Q528" t="s">
        <v>291</v>
      </c>
      <c r="R528"/>
      <c r="S528"/>
      <c r="T528"/>
      <c r="U528" t="s">
        <v>137</v>
      </c>
      <c r="V528" t="s">
        <v>1303</v>
      </c>
      <c r="W528"/>
      <c r="X528" t="s">
        <v>123</v>
      </c>
      <c r="Y528"/>
      <c r="Z528"/>
      <c r="AA528" t="s">
        <v>292</v>
      </c>
      <c r="AB528" t="s">
        <v>1</v>
      </c>
      <c r="AC528" t="s">
        <v>138</v>
      </c>
      <c r="AD528" t="s">
        <v>130</v>
      </c>
      <c r="AE528" s="97"/>
    </row>
    <row r="529" spans="1:31" ht="14.4" customHeight="1" x14ac:dyDescent="0.3">
      <c r="A529" t="s">
        <v>1503</v>
      </c>
      <c r="B529" t="s">
        <v>1504</v>
      </c>
      <c r="C529"/>
      <c r="D529"/>
      <c r="E529"/>
      <c r="F529"/>
      <c r="G529" t="s">
        <v>290</v>
      </c>
      <c r="H529" t="s">
        <v>132</v>
      </c>
      <c r="I529" t="s">
        <v>1</v>
      </c>
      <c r="J529" t="s">
        <v>133</v>
      </c>
      <c r="K529" t="s">
        <v>51</v>
      </c>
      <c r="L529" t="s">
        <v>1486</v>
      </c>
      <c r="M529" t="s">
        <v>134</v>
      </c>
      <c r="N529" t="s">
        <v>135</v>
      </c>
      <c r="O529"/>
      <c r="P529"/>
      <c r="Q529" t="s">
        <v>291</v>
      </c>
      <c r="R529"/>
      <c r="S529"/>
      <c r="T529"/>
      <c r="U529" t="s">
        <v>137</v>
      </c>
      <c r="V529" t="s">
        <v>1303</v>
      </c>
      <c r="W529"/>
      <c r="X529" t="s">
        <v>123</v>
      </c>
      <c r="Y529"/>
      <c r="Z529"/>
      <c r="AA529" t="s">
        <v>292</v>
      </c>
      <c r="AB529" t="s">
        <v>1</v>
      </c>
      <c r="AC529" t="s">
        <v>138</v>
      </c>
      <c r="AD529" t="s">
        <v>130</v>
      </c>
      <c r="AE529" s="97"/>
    </row>
    <row r="530" spans="1:31" ht="14.4" customHeight="1" x14ac:dyDescent="0.3">
      <c r="A530" t="s">
        <v>1505</v>
      </c>
      <c r="B530" t="s">
        <v>1506</v>
      </c>
      <c r="C530"/>
      <c r="D530"/>
      <c r="E530"/>
      <c r="F530"/>
      <c r="G530" t="s">
        <v>290</v>
      </c>
      <c r="H530" t="s">
        <v>132</v>
      </c>
      <c r="I530" t="s">
        <v>1</v>
      </c>
      <c r="J530" t="s">
        <v>133</v>
      </c>
      <c r="K530" t="s">
        <v>51</v>
      </c>
      <c r="L530" t="s">
        <v>1486</v>
      </c>
      <c r="M530" t="s">
        <v>134</v>
      </c>
      <c r="N530" t="s">
        <v>135</v>
      </c>
      <c r="O530"/>
      <c r="P530"/>
      <c r="Q530" t="s">
        <v>291</v>
      </c>
      <c r="R530"/>
      <c r="S530"/>
      <c r="T530"/>
      <c r="U530" t="s">
        <v>137</v>
      </c>
      <c r="V530" t="s">
        <v>1303</v>
      </c>
      <c r="W530"/>
      <c r="X530" t="s">
        <v>123</v>
      </c>
      <c r="Y530"/>
      <c r="Z530"/>
      <c r="AA530" t="s">
        <v>292</v>
      </c>
      <c r="AB530" t="s">
        <v>1</v>
      </c>
      <c r="AC530" t="s">
        <v>138</v>
      </c>
      <c r="AD530" t="s">
        <v>130</v>
      </c>
      <c r="AE530" s="97"/>
    </row>
    <row r="531" spans="1:31" ht="14.4" customHeight="1" x14ac:dyDescent="0.3">
      <c r="A531" t="s">
        <v>1507</v>
      </c>
      <c r="B531" t="s">
        <v>1508</v>
      </c>
      <c r="C531"/>
      <c r="D531"/>
      <c r="E531"/>
      <c r="F531"/>
      <c r="G531" t="s">
        <v>290</v>
      </c>
      <c r="H531" t="s">
        <v>132</v>
      </c>
      <c r="I531" t="s">
        <v>1</v>
      </c>
      <c r="J531" t="s">
        <v>133</v>
      </c>
      <c r="K531" t="s">
        <v>51</v>
      </c>
      <c r="L531" t="s">
        <v>1509</v>
      </c>
      <c r="M531" t="s">
        <v>134</v>
      </c>
      <c r="N531" t="s">
        <v>135</v>
      </c>
      <c r="O531"/>
      <c r="P531"/>
      <c r="Q531" t="s">
        <v>291</v>
      </c>
      <c r="R531"/>
      <c r="S531"/>
      <c r="T531"/>
      <c r="U531" t="s">
        <v>137</v>
      </c>
      <c r="V531" t="s">
        <v>1279</v>
      </c>
      <c r="W531"/>
      <c r="X531" t="s">
        <v>71</v>
      </c>
      <c r="Y531"/>
      <c r="Z531"/>
      <c r="AA531" t="s">
        <v>292</v>
      </c>
      <c r="AB531" t="s">
        <v>1</v>
      </c>
      <c r="AC531" t="s">
        <v>138</v>
      </c>
      <c r="AD531" t="s">
        <v>128</v>
      </c>
      <c r="AE531" s="97"/>
    </row>
    <row r="532" spans="1:31" ht="14.4" customHeight="1" x14ac:dyDescent="0.3">
      <c r="A532" t="s">
        <v>1510</v>
      </c>
      <c r="B532" t="s">
        <v>1511</v>
      </c>
      <c r="C532"/>
      <c r="D532"/>
      <c r="E532"/>
      <c r="F532"/>
      <c r="G532" t="s">
        <v>290</v>
      </c>
      <c r="H532" t="s">
        <v>132</v>
      </c>
      <c r="I532" t="s">
        <v>1</v>
      </c>
      <c r="J532" t="s">
        <v>133</v>
      </c>
      <c r="K532" t="s">
        <v>51</v>
      </c>
      <c r="L532" t="s">
        <v>1512</v>
      </c>
      <c r="M532" t="s">
        <v>134</v>
      </c>
      <c r="N532" t="s">
        <v>135</v>
      </c>
      <c r="O532"/>
      <c r="P532"/>
      <c r="Q532" t="s">
        <v>291</v>
      </c>
      <c r="R532"/>
      <c r="S532"/>
      <c r="T532"/>
      <c r="U532" t="s">
        <v>137</v>
      </c>
      <c r="V532" t="s">
        <v>1283</v>
      </c>
      <c r="W532"/>
      <c r="X532" t="s">
        <v>78</v>
      </c>
      <c r="Y532"/>
      <c r="Z532"/>
      <c r="AA532" t="s">
        <v>292</v>
      </c>
      <c r="AB532" t="s">
        <v>1</v>
      </c>
      <c r="AC532" t="s">
        <v>138</v>
      </c>
      <c r="AD532" t="s">
        <v>128</v>
      </c>
      <c r="AE532" s="97"/>
    </row>
    <row r="533" spans="1:31" ht="14.4" customHeight="1" x14ac:dyDescent="0.3">
      <c r="A533" t="s">
        <v>1513</v>
      </c>
      <c r="B533" t="s">
        <v>1514</v>
      </c>
      <c r="C533"/>
      <c r="D533"/>
      <c r="E533"/>
      <c r="F533"/>
      <c r="G533" t="s">
        <v>290</v>
      </c>
      <c r="H533" t="s">
        <v>132</v>
      </c>
      <c r="I533" t="s">
        <v>1</v>
      </c>
      <c r="J533" t="s">
        <v>133</v>
      </c>
      <c r="K533" t="s">
        <v>51</v>
      </c>
      <c r="L533" t="s">
        <v>1515</v>
      </c>
      <c r="M533" t="s">
        <v>134</v>
      </c>
      <c r="N533" t="s">
        <v>135</v>
      </c>
      <c r="O533"/>
      <c r="P533"/>
      <c r="Q533" t="s">
        <v>291</v>
      </c>
      <c r="R533"/>
      <c r="S533"/>
      <c r="T533"/>
      <c r="U533" t="s">
        <v>137</v>
      </c>
      <c r="V533" t="s">
        <v>1287</v>
      </c>
      <c r="W533"/>
      <c r="X533" t="s">
        <v>89</v>
      </c>
      <c r="Y533"/>
      <c r="Z533"/>
      <c r="AA533" t="s">
        <v>292</v>
      </c>
      <c r="AB533" t="s">
        <v>1</v>
      </c>
      <c r="AC533" t="s">
        <v>138</v>
      </c>
      <c r="AD533" t="s">
        <v>129</v>
      </c>
      <c r="AE533" s="97"/>
    </row>
    <row r="534" spans="1:31" ht="14.4" customHeight="1" x14ac:dyDescent="0.3">
      <c r="A534" t="s">
        <v>1516</v>
      </c>
      <c r="B534" t="s">
        <v>1517</v>
      </c>
      <c r="C534"/>
      <c r="D534"/>
      <c r="E534"/>
      <c r="F534"/>
      <c r="G534" t="s">
        <v>290</v>
      </c>
      <c r="H534" t="s">
        <v>132</v>
      </c>
      <c r="I534" t="s">
        <v>1</v>
      </c>
      <c r="J534" t="s">
        <v>133</v>
      </c>
      <c r="K534" t="s">
        <v>51</v>
      </c>
      <c r="L534" t="s">
        <v>1518</v>
      </c>
      <c r="M534" t="s">
        <v>134</v>
      </c>
      <c r="N534" t="s">
        <v>135</v>
      </c>
      <c r="O534"/>
      <c r="P534"/>
      <c r="Q534" t="s">
        <v>291</v>
      </c>
      <c r="R534"/>
      <c r="S534"/>
      <c r="T534"/>
      <c r="U534" t="s">
        <v>137</v>
      </c>
      <c r="V534" t="s">
        <v>1291</v>
      </c>
      <c r="W534"/>
      <c r="X534" t="s">
        <v>98</v>
      </c>
      <c r="Y534"/>
      <c r="Z534"/>
      <c r="AA534" t="s">
        <v>292</v>
      </c>
      <c r="AB534" t="s">
        <v>1</v>
      </c>
      <c r="AC534" t="s">
        <v>138</v>
      </c>
      <c r="AD534" t="s">
        <v>129</v>
      </c>
      <c r="AE534" s="97"/>
    </row>
    <row r="535" spans="1:31" ht="14.4" customHeight="1" x14ac:dyDescent="0.3">
      <c r="A535" t="s">
        <v>1519</v>
      </c>
      <c r="B535" t="s">
        <v>1520</v>
      </c>
      <c r="C535"/>
      <c r="D535"/>
      <c r="E535"/>
      <c r="F535"/>
      <c r="G535" t="s">
        <v>290</v>
      </c>
      <c r="H535" t="s">
        <v>132</v>
      </c>
      <c r="I535" t="s">
        <v>1</v>
      </c>
      <c r="J535" t="s">
        <v>133</v>
      </c>
      <c r="K535" t="s">
        <v>51</v>
      </c>
      <c r="L535" t="s">
        <v>1521</v>
      </c>
      <c r="M535" t="s">
        <v>134</v>
      </c>
      <c r="N535" t="s">
        <v>135</v>
      </c>
      <c r="O535"/>
      <c r="P535"/>
      <c r="Q535" t="s">
        <v>291</v>
      </c>
      <c r="R535"/>
      <c r="S535"/>
      <c r="T535"/>
      <c r="U535" t="s">
        <v>137</v>
      </c>
      <c r="V535" t="s">
        <v>1295</v>
      </c>
      <c r="W535"/>
      <c r="X535" t="s">
        <v>107</v>
      </c>
      <c r="Y535"/>
      <c r="Z535"/>
      <c r="AA535" t="s">
        <v>292</v>
      </c>
      <c r="AB535" t="s">
        <v>1</v>
      </c>
      <c r="AC535" t="s">
        <v>138</v>
      </c>
      <c r="AD535" t="s">
        <v>129</v>
      </c>
      <c r="AE535" s="97"/>
    </row>
    <row r="536" spans="1:31" ht="14.4" customHeight="1" x14ac:dyDescent="0.3">
      <c r="A536" t="s">
        <v>1522</v>
      </c>
      <c r="B536" t="s">
        <v>1523</v>
      </c>
      <c r="C536"/>
      <c r="D536"/>
      <c r="E536"/>
      <c r="F536"/>
      <c r="G536" t="s">
        <v>290</v>
      </c>
      <c r="H536" t="s">
        <v>132</v>
      </c>
      <c r="I536" t="s">
        <v>1</v>
      </c>
      <c r="J536" t="s">
        <v>133</v>
      </c>
      <c r="K536" t="s">
        <v>51</v>
      </c>
      <c r="L536" t="s">
        <v>1524</v>
      </c>
      <c r="M536" t="s">
        <v>134</v>
      </c>
      <c r="N536" t="s">
        <v>135</v>
      </c>
      <c r="O536"/>
      <c r="P536"/>
      <c r="Q536" t="s">
        <v>291</v>
      </c>
      <c r="R536"/>
      <c r="S536"/>
      <c r="T536"/>
      <c r="U536" t="s">
        <v>137</v>
      </c>
      <c r="V536" t="s">
        <v>1299</v>
      </c>
      <c r="W536"/>
      <c r="X536" t="s">
        <v>114</v>
      </c>
      <c r="Y536"/>
      <c r="Z536"/>
      <c r="AA536" t="s">
        <v>292</v>
      </c>
      <c r="AB536" t="s">
        <v>1</v>
      </c>
      <c r="AC536" t="s">
        <v>138</v>
      </c>
      <c r="AD536" t="s">
        <v>129</v>
      </c>
      <c r="AE536" s="97"/>
    </row>
    <row r="537" spans="1:31" ht="14.4" customHeight="1" x14ac:dyDescent="0.3">
      <c r="A537" t="s">
        <v>1525</v>
      </c>
      <c r="B537" t="s">
        <v>1526</v>
      </c>
      <c r="C537"/>
      <c r="D537"/>
      <c r="E537"/>
      <c r="F537"/>
      <c r="G537" t="s">
        <v>290</v>
      </c>
      <c r="H537" t="s">
        <v>132</v>
      </c>
      <c r="I537" t="s">
        <v>1</v>
      </c>
      <c r="J537" t="s">
        <v>133</v>
      </c>
      <c r="K537" t="s">
        <v>51</v>
      </c>
      <c r="L537" t="s">
        <v>1527</v>
      </c>
      <c r="M537" t="s">
        <v>134</v>
      </c>
      <c r="N537" t="s">
        <v>135</v>
      </c>
      <c r="O537"/>
      <c r="P537"/>
      <c r="Q537" t="s">
        <v>291</v>
      </c>
      <c r="R537"/>
      <c r="S537"/>
      <c r="T537"/>
      <c r="U537" t="s">
        <v>137</v>
      </c>
      <c r="V537" t="s">
        <v>1303</v>
      </c>
      <c r="W537"/>
      <c r="X537" t="s">
        <v>123</v>
      </c>
      <c r="Y537"/>
      <c r="Z537"/>
      <c r="AA537" t="s">
        <v>292</v>
      </c>
      <c r="AB537" t="s">
        <v>1</v>
      </c>
      <c r="AC537" t="s">
        <v>138</v>
      </c>
      <c r="AD537" t="s">
        <v>130</v>
      </c>
      <c r="AE537" s="97"/>
    </row>
    <row r="538" spans="1:31" ht="14.4" customHeight="1" x14ac:dyDescent="0.3">
      <c r="A538" t="s">
        <v>1528</v>
      </c>
      <c r="B538" t="s">
        <v>1529</v>
      </c>
      <c r="C538"/>
      <c r="D538"/>
      <c r="E538"/>
      <c r="F538"/>
      <c r="G538" t="s">
        <v>290</v>
      </c>
      <c r="H538" t="s">
        <v>132</v>
      </c>
      <c r="I538" t="s">
        <v>1</v>
      </c>
      <c r="J538" t="s">
        <v>133</v>
      </c>
      <c r="K538" t="s">
        <v>51</v>
      </c>
      <c r="L538" t="s">
        <v>1530</v>
      </c>
      <c r="M538" t="s">
        <v>134</v>
      </c>
      <c r="N538" t="s">
        <v>135</v>
      </c>
      <c r="O538"/>
      <c r="P538"/>
      <c r="Q538" t="s">
        <v>291</v>
      </c>
      <c r="R538"/>
      <c r="S538"/>
      <c r="T538"/>
      <c r="U538" t="s">
        <v>137</v>
      </c>
      <c r="V538" t="s">
        <v>1279</v>
      </c>
      <c r="W538"/>
      <c r="X538" t="s">
        <v>71</v>
      </c>
      <c r="Y538"/>
      <c r="Z538"/>
      <c r="AA538" t="s">
        <v>292</v>
      </c>
      <c r="AB538" t="s">
        <v>1</v>
      </c>
      <c r="AC538" t="s">
        <v>138</v>
      </c>
      <c r="AD538" t="s">
        <v>128</v>
      </c>
      <c r="AE538" s="97"/>
    </row>
    <row r="539" spans="1:31" ht="14.4" customHeight="1" x14ac:dyDescent="0.3">
      <c r="A539" t="s">
        <v>1531</v>
      </c>
      <c r="B539" t="s">
        <v>1532</v>
      </c>
      <c r="C539"/>
      <c r="D539"/>
      <c r="E539"/>
      <c r="F539"/>
      <c r="G539" t="s">
        <v>290</v>
      </c>
      <c r="H539" t="s">
        <v>132</v>
      </c>
      <c r="I539" t="s">
        <v>1</v>
      </c>
      <c r="J539" t="s">
        <v>133</v>
      </c>
      <c r="K539" t="s">
        <v>51</v>
      </c>
      <c r="L539" t="s">
        <v>1533</v>
      </c>
      <c r="M539" t="s">
        <v>134</v>
      </c>
      <c r="N539" t="s">
        <v>135</v>
      </c>
      <c r="O539"/>
      <c r="P539"/>
      <c r="Q539" t="s">
        <v>291</v>
      </c>
      <c r="R539"/>
      <c r="S539"/>
      <c r="T539"/>
      <c r="U539" t="s">
        <v>137</v>
      </c>
      <c r="V539" t="s">
        <v>1283</v>
      </c>
      <c r="W539"/>
      <c r="X539" t="s">
        <v>78</v>
      </c>
      <c r="Y539"/>
      <c r="Z539"/>
      <c r="AA539" t="s">
        <v>292</v>
      </c>
      <c r="AB539" t="s">
        <v>1</v>
      </c>
      <c r="AC539" t="s">
        <v>138</v>
      </c>
      <c r="AD539" t="s">
        <v>128</v>
      </c>
      <c r="AE539" s="97"/>
    </row>
    <row r="540" spans="1:31" ht="14.4" customHeight="1" x14ac:dyDescent="0.3">
      <c r="A540" t="s">
        <v>1534</v>
      </c>
      <c r="B540" t="s">
        <v>1535</v>
      </c>
      <c r="C540"/>
      <c r="D540"/>
      <c r="E540"/>
      <c r="F540"/>
      <c r="G540" t="s">
        <v>290</v>
      </c>
      <c r="H540" t="s">
        <v>132</v>
      </c>
      <c r="I540" t="s">
        <v>1</v>
      </c>
      <c r="J540" t="s">
        <v>133</v>
      </c>
      <c r="K540" t="s">
        <v>51</v>
      </c>
      <c r="L540" t="s">
        <v>1536</v>
      </c>
      <c r="M540" t="s">
        <v>134</v>
      </c>
      <c r="N540" t="s">
        <v>135</v>
      </c>
      <c r="O540"/>
      <c r="P540"/>
      <c r="Q540" t="s">
        <v>291</v>
      </c>
      <c r="R540"/>
      <c r="S540"/>
      <c r="T540"/>
      <c r="U540" t="s">
        <v>137</v>
      </c>
      <c r="V540" t="s">
        <v>1287</v>
      </c>
      <c r="W540"/>
      <c r="X540" t="s">
        <v>89</v>
      </c>
      <c r="Y540"/>
      <c r="Z540"/>
      <c r="AA540" t="s">
        <v>292</v>
      </c>
      <c r="AB540" t="s">
        <v>1</v>
      </c>
      <c r="AC540" t="s">
        <v>138</v>
      </c>
      <c r="AD540" t="s">
        <v>129</v>
      </c>
      <c r="AE540" s="97"/>
    </row>
    <row r="541" spans="1:31" ht="14.4" customHeight="1" x14ac:dyDescent="0.3">
      <c r="A541" t="s">
        <v>1537</v>
      </c>
      <c r="B541" t="s">
        <v>1538</v>
      </c>
      <c r="C541"/>
      <c r="D541"/>
      <c r="E541"/>
      <c r="F541"/>
      <c r="G541" t="s">
        <v>290</v>
      </c>
      <c r="H541" t="s">
        <v>132</v>
      </c>
      <c r="I541" t="s">
        <v>1</v>
      </c>
      <c r="J541" t="s">
        <v>133</v>
      </c>
      <c r="K541" t="s">
        <v>51</v>
      </c>
      <c r="L541" t="s">
        <v>1539</v>
      </c>
      <c r="M541" t="s">
        <v>134</v>
      </c>
      <c r="N541" t="s">
        <v>135</v>
      </c>
      <c r="O541"/>
      <c r="P541"/>
      <c r="Q541" t="s">
        <v>291</v>
      </c>
      <c r="R541"/>
      <c r="S541"/>
      <c r="T541"/>
      <c r="U541" t="s">
        <v>137</v>
      </c>
      <c r="V541" t="s">
        <v>1291</v>
      </c>
      <c r="W541"/>
      <c r="X541" t="s">
        <v>98</v>
      </c>
      <c r="Y541"/>
      <c r="Z541"/>
      <c r="AA541" t="s">
        <v>292</v>
      </c>
      <c r="AB541" t="s">
        <v>1</v>
      </c>
      <c r="AC541" t="s">
        <v>138</v>
      </c>
      <c r="AD541" t="s">
        <v>129</v>
      </c>
      <c r="AE541" s="97"/>
    </row>
    <row r="542" spans="1:31" ht="14.4" customHeight="1" x14ac:dyDescent="0.3">
      <c r="A542" t="s">
        <v>1540</v>
      </c>
      <c r="B542" t="s">
        <v>1541</v>
      </c>
      <c r="C542"/>
      <c r="D542"/>
      <c r="E542"/>
      <c r="F542"/>
      <c r="G542" t="s">
        <v>290</v>
      </c>
      <c r="H542" t="s">
        <v>132</v>
      </c>
      <c r="I542" t="s">
        <v>1</v>
      </c>
      <c r="J542" t="s">
        <v>133</v>
      </c>
      <c r="K542" t="s">
        <v>51</v>
      </c>
      <c r="L542" t="s">
        <v>1542</v>
      </c>
      <c r="M542" t="s">
        <v>134</v>
      </c>
      <c r="N542" t="s">
        <v>135</v>
      </c>
      <c r="O542"/>
      <c r="P542"/>
      <c r="Q542" t="s">
        <v>291</v>
      </c>
      <c r="R542"/>
      <c r="S542"/>
      <c r="T542"/>
      <c r="U542" t="s">
        <v>137</v>
      </c>
      <c r="V542" t="s">
        <v>1295</v>
      </c>
      <c r="W542"/>
      <c r="X542" t="s">
        <v>107</v>
      </c>
      <c r="Y542"/>
      <c r="Z542"/>
      <c r="AA542" t="s">
        <v>292</v>
      </c>
      <c r="AB542" t="s">
        <v>1</v>
      </c>
      <c r="AC542" t="s">
        <v>138</v>
      </c>
      <c r="AD542" t="s">
        <v>129</v>
      </c>
      <c r="AE542" s="97"/>
    </row>
    <row r="543" spans="1:31" ht="14.4" customHeight="1" x14ac:dyDescent="0.3">
      <c r="A543" t="s">
        <v>1543</v>
      </c>
      <c r="B543" t="s">
        <v>1544</v>
      </c>
      <c r="C543"/>
      <c r="D543"/>
      <c r="E543"/>
      <c r="F543"/>
      <c r="G543" t="s">
        <v>290</v>
      </c>
      <c r="H543" t="s">
        <v>132</v>
      </c>
      <c r="I543" t="s">
        <v>1</v>
      </c>
      <c r="J543" t="s">
        <v>133</v>
      </c>
      <c r="K543" t="s">
        <v>51</v>
      </c>
      <c r="L543" t="s">
        <v>1545</v>
      </c>
      <c r="M543" t="s">
        <v>134</v>
      </c>
      <c r="N543" t="s">
        <v>135</v>
      </c>
      <c r="O543"/>
      <c r="P543"/>
      <c r="Q543" t="s">
        <v>291</v>
      </c>
      <c r="R543"/>
      <c r="S543"/>
      <c r="T543"/>
      <c r="U543" t="s">
        <v>137</v>
      </c>
      <c r="V543" t="s">
        <v>1299</v>
      </c>
      <c r="W543"/>
      <c r="X543" t="s">
        <v>114</v>
      </c>
      <c r="Y543"/>
      <c r="Z543"/>
      <c r="AA543" t="s">
        <v>292</v>
      </c>
      <c r="AB543" t="s">
        <v>1</v>
      </c>
      <c r="AC543" t="s">
        <v>138</v>
      </c>
      <c r="AD543" t="s">
        <v>129</v>
      </c>
      <c r="AE543" s="97"/>
    </row>
    <row r="544" spans="1:31" ht="14.4" customHeight="1" x14ac:dyDescent="0.3">
      <c r="A544" t="s">
        <v>1546</v>
      </c>
      <c r="B544" t="s">
        <v>1547</v>
      </c>
      <c r="C544"/>
      <c r="D544"/>
      <c r="E544"/>
      <c r="F544"/>
      <c r="G544" t="s">
        <v>290</v>
      </c>
      <c r="H544" t="s">
        <v>132</v>
      </c>
      <c r="I544" t="s">
        <v>1</v>
      </c>
      <c r="J544" t="s">
        <v>133</v>
      </c>
      <c r="K544" t="s">
        <v>51</v>
      </c>
      <c r="L544" t="s">
        <v>1548</v>
      </c>
      <c r="M544" t="s">
        <v>134</v>
      </c>
      <c r="N544" t="s">
        <v>135</v>
      </c>
      <c r="O544"/>
      <c r="P544"/>
      <c r="Q544" t="s">
        <v>291</v>
      </c>
      <c r="R544"/>
      <c r="S544"/>
      <c r="T544"/>
      <c r="U544" t="s">
        <v>137</v>
      </c>
      <c r="V544" t="s">
        <v>1303</v>
      </c>
      <c r="W544"/>
      <c r="X544" t="s">
        <v>123</v>
      </c>
      <c r="Y544"/>
      <c r="Z544"/>
      <c r="AA544" t="s">
        <v>292</v>
      </c>
      <c r="AB544" t="s">
        <v>1</v>
      </c>
      <c r="AC544" t="s">
        <v>138</v>
      </c>
      <c r="AD544" t="s">
        <v>130</v>
      </c>
      <c r="AE544" s="97"/>
    </row>
    <row r="545" spans="1:31" ht="14.4" customHeight="1" x14ac:dyDescent="0.3">
      <c r="A545" t="s">
        <v>1549</v>
      </c>
      <c r="B545" t="s">
        <v>1550</v>
      </c>
      <c r="C545"/>
      <c r="D545"/>
      <c r="E545"/>
      <c r="F545"/>
      <c r="G545" t="s">
        <v>290</v>
      </c>
      <c r="H545" t="s">
        <v>132</v>
      </c>
      <c r="I545" t="s">
        <v>1</v>
      </c>
      <c r="J545" t="s">
        <v>133</v>
      </c>
      <c r="K545" t="s">
        <v>51</v>
      </c>
      <c r="L545" t="s">
        <v>1551</v>
      </c>
      <c r="M545" t="s">
        <v>134</v>
      </c>
      <c r="N545" t="s">
        <v>135</v>
      </c>
      <c r="O545"/>
      <c r="P545"/>
      <c r="Q545" t="s">
        <v>291</v>
      </c>
      <c r="R545"/>
      <c r="S545"/>
      <c r="T545"/>
      <c r="U545" t="s">
        <v>137</v>
      </c>
      <c r="V545" t="s">
        <v>1259</v>
      </c>
      <c r="W545"/>
      <c r="X545" t="s">
        <v>126</v>
      </c>
      <c r="Y545"/>
      <c r="Z545"/>
      <c r="AA545" t="s">
        <v>292</v>
      </c>
      <c r="AB545" t="s">
        <v>1</v>
      </c>
      <c r="AC545" t="s">
        <v>138</v>
      </c>
      <c r="AD545" t="s">
        <v>131</v>
      </c>
      <c r="AE545" s="97"/>
    </row>
    <row r="546" spans="1:31" ht="14.4" customHeight="1" x14ac:dyDescent="0.3">
      <c r="A546" t="s">
        <v>1552</v>
      </c>
      <c r="B546" t="s">
        <v>1553</v>
      </c>
      <c r="C546"/>
      <c r="D546"/>
      <c r="E546"/>
      <c r="F546"/>
      <c r="G546" t="s">
        <v>290</v>
      </c>
      <c r="H546" t="s">
        <v>132</v>
      </c>
      <c r="I546" t="s">
        <v>1</v>
      </c>
      <c r="J546" t="s">
        <v>133</v>
      </c>
      <c r="K546" t="s">
        <v>51</v>
      </c>
      <c r="L546" t="s">
        <v>1551</v>
      </c>
      <c r="M546" t="s">
        <v>134</v>
      </c>
      <c r="N546" t="s">
        <v>135</v>
      </c>
      <c r="O546"/>
      <c r="P546"/>
      <c r="Q546" t="s">
        <v>291</v>
      </c>
      <c r="R546"/>
      <c r="S546"/>
      <c r="T546"/>
      <c r="U546" t="s">
        <v>137</v>
      </c>
      <c r="V546" t="s">
        <v>1259</v>
      </c>
      <c r="W546"/>
      <c r="X546" t="s">
        <v>126</v>
      </c>
      <c r="Y546"/>
      <c r="Z546"/>
      <c r="AA546" t="s">
        <v>292</v>
      </c>
      <c r="AB546" t="s">
        <v>1</v>
      </c>
      <c r="AC546" t="s">
        <v>138</v>
      </c>
      <c r="AD546" t="s">
        <v>131</v>
      </c>
      <c r="AE546" s="97"/>
    </row>
    <row r="547" spans="1:31" ht="14.4" customHeight="1" x14ac:dyDescent="0.3">
      <c r="A547" t="s">
        <v>1554</v>
      </c>
      <c r="B547" t="s">
        <v>1555</v>
      </c>
      <c r="C547"/>
      <c r="D547"/>
      <c r="E547"/>
      <c r="F547"/>
      <c r="G547" t="s">
        <v>290</v>
      </c>
      <c r="H547" t="s">
        <v>132</v>
      </c>
      <c r="I547" t="s">
        <v>1</v>
      </c>
      <c r="J547" t="s">
        <v>133</v>
      </c>
      <c r="K547" t="s">
        <v>51</v>
      </c>
      <c r="L547" t="s">
        <v>1551</v>
      </c>
      <c r="M547" t="s">
        <v>134</v>
      </c>
      <c r="N547" t="s">
        <v>135</v>
      </c>
      <c r="O547"/>
      <c r="P547"/>
      <c r="Q547" t="s">
        <v>291</v>
      </c>
      <c r="R547"/>
      <c r="S547"/>
      <c r="T547"/>
      <c r="U547" t="s">
        <v>137</v>
      </c>
      <c r="V547" t="s">
        <v>1259</v>
      </c>
      <c r="W547"/>
      <c r="X547" t="s">
        <v>126</v>
      </c>
      <c r="Y547"/>
      <c r="Z547"/>
      <c r="AA547" t="s">
        <v>292</v>
      </c>
      <c r="AB547" t="s">
        <v>1</v>
      </c>
      <c r="AC547" t="s">
        <v>138</v>
      </c>
      <c r="AD547" t="s">
        <v>131</v>
      </c>
      <c r="AE547" s="97"/>
    </row>
    <row r="548" spans="1:31" ht="14.4" customHeight="1" x14ac:dyDescent="0.3">
      <c r="A548" t="s">
        <v>1556</v>
      </c>
      <c r="B548" t="s">
        <v>1557</v>
      </c>
      <c r="C548"/>
      <c r="D548"/>
      <c r="E548"/>
      <c r="F548"/>
      <c r="G548" t="s">
        <v>290</v>
      </c>
      <c r="H548" t="s">
        <v>132</v>
      </c>
      <c r="I548" t="s">
        <v>1</v>
      </c>
      <c r="J548" t="s">
        <v>133</v>
      </c>
      <c r="K548" t="s">
        <v>51</v>
      </c>
      <c r="L548" t="s">
        <v>1558</v>
      </c>
      <c r="M548" t="s">
        <v>134</v>
      </c>
      <c r="N548" t="s">
        <v>135</v>
      </c>
      <c r="O548"/>
      <c r="P548"/>
      <c r="Q548" t="s">
        <v>291</v>
      </c>
      <c r="R548"/>
      <c r="S548"/>
      <c r="T548"/>
      <c r="U548" t="s">
        <v>137</v>
      </c>
      <c r="V548" t="s">
        <v>1259</v>
      </c>
      <c r="W548"/>
      <c r="X548" t="s">
        <v>126</v>
      </c>
      <c r="Y548"/>
      <c r="Z548"/>
      <c r="AA548" t="s">
        <v>292</v>
      </c>
      <c r="AB548" t="s">
        <v>1</v>
      </c>
      <c r="AC548" t="s">
        <v>138</v>
      </c>
      <c r="AD548" t="s">
        <v>131</v>
      </c>
      <c r="AE548" s="97"/>
    </row>
    <row r="549" spans="1:31" ht="14.4" customHeight="1" x14ac:dyDescent="0.3">
      <c r="A549" t="s">
        <v>1559</v>
      </c>
      <c r="B549" t="s">
        <v>1560</v>
      </c>
      <c r="C549"/>
      <c r="D549"/>
      <c r="E549"/>
      <c r="F549"/>
      <c r="G549" t="s">
        <v>290</v>
      </c>
      <c r="H549" t="s">
        <v>132</v>
      </c>
      <c r="I549" t="s">
        <v>1</v>
      </c>
      <c r="J549" t="s">
        <v>133</v>
      </c>
      <c r="K549" t="s">
        <v>51</v>
      </c>
      <c r="L549" t="s">
        <v>1558</v>
      </c>
      <c r="M549" t="s">
        <v>134</v>
      </c>
      <c r="N549" t="s">
        <v>135</v>
      </c>
      <c r="O549"/>
      <c r="P549"/>
      <c r="Q549" t="s">
        <v>291</v>
      </c>
      <c r="R549"/>
      <c r="S549"/>
      <c r="T549"/>
      <c r="U549" t="s">
        <v>137</v>
      </c>
      <c r="V549" t="s">
        <v>1259</v>
      </c>
      <c r="W549"/>
      <c r="X549" t="s">
        <v>126</v>
      </c>
      <c r="Y549"/>
      <c r="Z549"/>
      <c r="AA549" t="s">
        <v>292</v>
      </c>
      <c r="AB549" t="s">
        <v>1</v>
      </c>
      <c r="AC549" t="s">
        <v>138</v>
      </c>
      <c r="AD549" t="s">
        <v>131</v>
      </c>
      <c r="AE549" s="97"/>
    </row>
    <row r="550" spans="1:31" ht="14.4" customHeight="1" x14ac:dyDescent="0.3">
      <c r="A550" t="s">
        <v>1561</v>
      </c>
      <c r="B550" t="s">
        <v>1562</v>
      </c>
      <c r="C550"/>
      <c r="D550"/>
      <c r="E550"/>
      <c r="F550"/>
      <c r="G550" t="s">
        <v>290</v>
      </c>
      <c r="H550" t="s">
        <v>132</v>
      </c>
      <c r="I550" t="s">
        <v>1</v>
      </c>
      <c r="J550" t="s">
        <v>133</v>
      </c>
      <c r="K550" t="s">
        <v>51</v>
      </c>
      <c r="L550" t="s">
        <v>1558</v>
      </c>
      <c r="M550" t="s">
        <v>134</v>
      </c>
      <c r="N550" t="s">
        <v>135</v>
      </c>
      <c r="O550"/>
      <c r="P550"/>
      <c r="Q550" t="s">
        <v>291</v>
      </c>
      <c r="R550"/>
      <c r="S550"/>
      <c r="T550"/>
      <c r="U550" t="s">
        <v>137</v>
      </c>
      <c r="V550" t="s">
        <v>1259</v>
      </c>
      <c r="W550"/>
      <c r="X550" t="s">
        <v>126</v>
      </c>
      <c r="Y550"/>
      <c r="Z550"/>
      <c r="AA550" t="s">
        <v>292</v>
      </c>
      <c r="AB550" t="s">
        <v>1</v>
      </c>
      <c r="AC550" t="s">
        <v>138</v>
      </c>
      <c r="AD550" t="s">
        <v>131</v>
      </c>
      <c r="AE550" s="97"/>
    </row>
    <row r="551" spans="1:31" ht="14.4" customHeight="1" x14ac:dyDescent="0.3">
      <c r="A551" t="s">
        <v>1563</v>
      </c>
      <c r="B551" t="s">
        <v>1564</v>
      </c>
      <c r="C551"/>
      <c r="D551"/>
      <c r="E551"/>
      <c r="F551"/>
      <c r="G551" t="s">
        <v>290</v>
      </c>
      <c r="H551" t="s">
        <v>132</v>
      </c>
      <c r="I551" t="s">
        <v>1</v>
      </c>
      <c r="J551" t="s">
        <v>133</v>
      </c>
      <c r="K551" t="s">
        <v>51</v>
      </c>
      <c r="L551" t="s">
        <v>1558</v>
      </c>
      <c r="M551" t="s">
        <v>134</v>
      </c>
      <c r="N551" t="s">
        <v>135</v>
      </c>
      <c r="O551"/>
      <c r="P551"/>
      <c r="Q551" t="s">
        <v>291</v>
      </c>
      <c r="R551"/>
      <c r="S551"/>
      <c r="T551"/>
      <c r="U551" t="s">
        <v>137</v>
      </c>
      <c r="V551" t="s">
        <v>1259</v>
      </c>
      <c r="W551"/>
      <c r="X551" t="s">
        <v>126</v>
      </c>
      <c r="Y551"/>
      <c r="Z551"/>
      <c r="AA551" t="s">
        <v>292</v>
      </c>
      <c r="AB551" t="s">
        <v>1</v>
      </c>
      <c r="AC551" t="s">
        <v>138</v>
      </c>
      <c r="AD551" t="s">
        <v>131</v>
      </c>
      <c r="AE551" s="97"/>
    </row>
    <row r="552" spans="1:31" ht="14.4" customHeight="1" x14ac:dyDescent="0.3">
      <c r="A552" t="s">
        <v>1565</v>
      </c>
      <c r="B552" t="s">
        <v>1566</v>
      </c>
      <c r="C552"/>
      <c r="D552"/>
      <c r="E552"/>
      <c r="F552"/>
      <c r="G552" t="s">
        <v>290</v>
      </c>
      <c r="H552" t="s">
        <v>132</v>
      </c>
      <c r="I552" t="s">
        <v>1</v>
      </c>
      <c r="J552" t="s">
        <v>133</v>
      </c>
      <c r="K552" t="s">
        <v>51</v>
      </c>
      <c r="L552" t="s">
        <v>1567</v>
      </c>
      <c r="M552" t="s">
        <v>134</v>
      </c>
      <c r="N552" t="s">
        <v>135</v>
      </c>
      <c r="O552"/>
      <c r="P552"/>
      <c r="Q552" t="s">
        <v>291</v>
      </c>
      <c r="R552"/>
      <c r="S552"/>
      <c r="T552"/>
      <c r="U552" t="s">
        <v>137</v>
      </c>
      <c r="V552" t="s">
        <v>1259</v>
      </c>
      <c r="W552"/>
      <c r="X552" t="s">
        <v>126</v>
      </c>
      <c r="Y552"/>
      <c r="Z552"/>
      <c r="AA552" t="s">
        <v>292</v>
      </c>
      <c r="AB552" t="s">
        <v>1</v>
      </c>
      <c r="AC552" t="s">
        <v>138</v>
      </c>
      <c r="AD552" t="s">
        <v>131</v>
      </c>
      <c r="AE552" s="97"/>
    </row>
    <row r="553" spans="1:31" ht="14.4" customHeight="1" x14ac:dyDescent="0.3">
      <c r="A553" t="s">
        <v>1568</v>
      </c>
      <c r="B553" t="s">
        <v>1569</v>
      </c>
      <c r="C553"/>
      <c r="D553"/>
      <c r="E553"/>
      <c r="F553"/>
      <c r="G553" t="s">
        <v>290</v>
      </c>
      <c r="H553" t="s">
        <v>132</v>
      </c>
      <c r="I553" t="s">
        <v>1</v>
      </c>
      <c r="J553" t="s">
        <v>133</v>
      </c>
      <c r="K553" t="s">
        <v>51</v>
      </c>
      <c r="L553" t="s">
        <v>1570</v>
      </c>
      <c r="M553" t="s">
        <v>134</v>
      </c>
      <c r="N553" t="s">
        <v>135</v>
      </c>
      <c r="O553"/>
      <c r="P553"/>
      <c r="Q553" t="s">
        <v>291</v>
      </c>
      <c r="R553"/>
      <c r="S553"/>
      <c r="T553"/>
      <c r="U553" t="s">
        <v>137</v>
      </c>
      <c r="V553" t="s">
        <v>1263</v>
      </c>
      <c r="W553"/>
      <c r="X553" t="s">
        <v>69</v>
      </c>
      <c r="Y553"/>
      <c r="Z553"/>
      <c r="AA553" t="s">
        <v>292</v>
      </c>
      <c r="AB553" t="s">
        <v>1</v>
      </c>
      <c r="AC553" t="s">
        <v>138</v>
      </c>
      <c r="AD553" t="s">
        <v>128</v>
      </c>
      <c r="AE553" s="97"/>
    </row>
    <row r="554" spans="1:31" ht="14.4" customHeight="1" x14ac:dyDescent="0.3">
      <c r="A554" t="s">
        <v>1571</v>
      </c>
      <c r="B554" t="s">
        <v>1572</v>
      </c>
      <c r="C554"/>
      <c r="D554"/>
      <c r="E554"/>
      <c r="F554"/>
      <c r="G554" t="s">
        <v>290</v>
      </c>
      <c r="H554" t="s">
        <v>132</v>
      </c>
      <c r="I554" t="s">
        <v>1</v>
      </c>
      <c r="J554" t="s">
        <v>133</v>
      </c>
      <c r="K554" t="s">
        <v>51</v>
      </c>
      <c r="L554" t="s">
        <v>1570</v>
      </c>
      <c r="M554" t="s">
        <v>134</v>
      </c>
      <c r="N554" t="s">
        <v>135</v>
      </c>
      <c r="O554"/>
      <c r="P554"/>
      <c r="Q554" t="s">
        <v>291</v>
      </c>
      <c r="R554"/>
      <c r="S554"/>
      <c r="T554"/>
      <c r="U554" t="s">
        <v>137</v>
      </c>
      <c r="V554" t="s">
        <v>1263</v>
      </c>
      <c r="W554"/>
      <c r="X554" t="s">
        <v>69</v>
      </c>
      <c r="Y554"/>
      <c r="Z554"/>
      <c r="AA554" t="s">
        <v>292</v>
      </c>
      <c r="AB554" t="s">
        <v>1</v>
      </c>
      <c r="AC554" t="s">
        <v>138</v>
      </c>
      <c r="AD554" t="s">
        <v>128</v>
      </c>
      <c r="AE554" s="97"/>
    </row>
    <row r="555" spans="1:31" ht="14.4" customHeight="1" x14ac:dyDescent="0.3">
      <c r="A555" t="s">
        <v>1573</v>
      </c>
      <c r="B555" t="s">
        <v>1574</v>
      </c>
      <c r="C555"/>
      <c r="D555"/>
      <c r="E555"/>
      <c r="F555"/>
      <c r="G555" t="s">
        <v>290</v>
      </c>
      <c r="H555" t="s">
        <v>132</v>
      </c>
      <c r="I555" t="s">
        <v>1</v>
      </c>
      <c r="J555" t="s">
        <v>133</v>
      </c>
      <c r="K555" t="s">
        <v>51</v>
      </c>
      <c r="L555" t="s">
        <v>1570</v>
      </c>
      <c r="M555" t="s">
        <v>134</v>
      </c>
      <c r="N555" t="s">
        <v>135</v>
      </c>
      <c r="O555"/>
      <c r="P555"/>
      <c r="Q555" t="s">
        <v>291</v>
      </c>
      <c r="R555"/>
      <c r="S555"/>
      <c r="T555"/>
      <c r="U555" t="s">
        <v>137</v>
      </c>
      <c r="V555" t="s">
        <v>1263</v>
      </c>
      <c r="W555"/>
      <c r="X555" t="s">
        <v>69</v>
      </c>
      <c r="Y555"/>
      <c r="Z555"/>
      <c r="AA555" t="s">
        <v>292</v>
      </c>
      <c r="AB555" t="s">
        <v>1</v>
      </c>
      <c r="AC555" t="s">
        <v>138</v>
      </c>
      <c r="AD555" t="s">
        <v>128</v>
      </c>
      <c r="AE555" s="97"/>
    </row>
    <row r="556" spans="1:31" ht="14.4" customHeight="1" x14ac:dyDescent="0.3">
      <c r="A556" t="s">
        <v>1575</v>
      </c>
      <c r="B556" t="s">
        <v>1576</v>
      </c>
      <c r="C556"/>
      <c r="D556"/>
      <c r="E556"/>
      <c r="F556"/>
      <c r="G556" t="s">
        <v>290</v>
      </c>
      <c r="H556" t="s">
        <v>132</v>
      </c>
      <c r="I556" t="s">
        <v>1</v>
      </c>
      <c r="J556" t="s">
        <v>133</v>
      </c>
      <c r="K556" t="s">
        <v>51</v>
      </c>
      <c r="L556" t="s">
        <v>1577</v>
      </c>
      <c r="M556" t="s">
        <v>134</v>
      </c>
      <c r="N556" t="s">
        <v>135</v>
      </c>
      <c r="O556"/>
      <c r="P556"/>
      <c r="Q556" t="s">
        <v>291</v>
      </c>
      <c r="R556"/>
      <c r="S556"/>
      <c r="T556"/>
      <c r="U556" t="s">
        <v>137</v>
      </c>
      <c r="V556" t="s">
        <v>1263</v>
      </c>
      <c r="W556"/>
      <c r="X556" t="s">
        <v>69</v>
      </c>
      <c r="Y556"/>
      <c r="Z556"/>
      <c r="AA556" t="s">
        <v>292</v>
      </c>
      <c r="AB556" t="s">
        <v>1</v>
      </c>
      <c r="AC556" t="s">
        <v>138</v>
      </c>
      <c r="AD556" t="s">
        <v>128</v>
      </c>
      <c r="AE556" s="97"/>
    </row>
    <row r="557" spans="1:31" ht="14.4" customHeight="1" x14ac:dyDescent="0.3">
      <c r="A557" t="s">
        <v>1580</v>
      </c>
      <c r="B557" t="s">
        <v>1581</v>
      </c>
      <c r="C557"/>
      <c r="D557"/>
      <c r="E557"/>
      <c r="F557"/>
      <c r="G557" t="s">
        <v>1578</v>
      </c>
      <c r="H557" t="s">
        <v>132</v>
      </c>
      <c r="I557" t="s">
        <v>1</v>
      </c>
      <c r="J557" t="s">
        <v>133</v>
      </c>
      <c r="K557" t="s">
        <v>51</v>
      </c>
      <c r="L557" t="s">
        <v>832</v>
      </c>
      <c r="M557" t="s">
        <v>134</v>
      </c>
      <c r="N557" t="s">
        <v>135</v>
      </c>
      <c r="O557"/>
      <c r="P557"/>
      <c r="Q557" t="s">
        <v>168</v>
      </c>
      <c r="R557"/>
      <c r="S557"/>
      <c r="T557" t="s">
        <v>169</v>
      </c>
      <c r="U557" t="s">
        <v>137</v>
      </c>
      <c r="V557" t="s">
        <v>147</v>
      </c>
      <c r="W557"/>
      <c r="X557" t="s">
        <v>70</v>
      </c>
      <c r="Y557"/>
      <c r="Z557"/>
      <c r="AA557" t="s">
        <v>1579</v>
      </c>
      <c r="AB557" t="s">
        <v>1</v>
      </c>
      <c r="AC557" t="s">
        <v>138</v>
      </c>
      <c r="AD557" t="s">
        <v>128</v>
      </c>
      <c r="AE557" s="97"/>
    </row>
    <row r="558" spans="1:31" ht="14.4" customHeight="1" x14ac:dyDescent="0.3">
      <c r="A558" t="s">
        <v>1582</v>
      </c>
      <c r="B558" t="s">
        <v>1583</v>
      </c>
      <c r="C558"/>
      <c r="D558"/>
      <c r="E558"/>
      <c r="F558"/>
      <c r="G558" t="s">
        <v>1578</v>
      </c>
      <c r="H558" t="s">
        <v>132</v>
      </c>
      <c r="I558" t="s">
        <v>1</v>
      </c>
      <c r="J558" t="s">
        <v>133</v>
      </c>
      <c r="K558" t="s">
        <v>51</v>
      </c>
      <c r="L558" t="s">
        <v>832</v>
      </c>
      <c r="M558" t="s">
        <v>134</v>
      </c>
      <c r="N558" t="s">
        <v>135</v>
      </c>
      <c r="O558"/>
      <c r="P558"/>
      <c r="Q558" t="s">
        <v>168</v>
      </c>
      <c r="R558"/>
      <c r="S558"/>
      <c r="T558" t="s">
        <v>169</v>
      </c>
      <c r="U558" t="s">
        <v>137</v>
      </c>
      <c r="V558" t="s">
        <v>147</v>
      </c>
      <c r="W558"/>
      <c r="X558" t="s">
        <v>70</v>
      </c>
      <c r="Y558"/>
      <c r="Z558"/>
      <c r="AA558" t="s">
        <v>1579</v>
      </c>
      <c r="AB558" t="s">
        <v>1</v>
      </c>
      <c r="AC558" t="s">
        <v>138</v>
      </c>
      <c r="AD558" t="s">
        <v>128</v>
      </c>
      <c r="AE558" s="97"/>
    </row>
    <row r="559" spans="1:31" ht="14.4" customHeight="1" x14ac:dyDescent="0.3">
      <c r="A559" t="s">
        <v>1584</v>
      </c>
      <c r="B559" t="s">
        <v>1585</v>
      </c>
      <c r="C559"/>
      <c r="D559"/>
      <c r="E559"/>
      <c r="F559"/>
      <c r="G559" t="s">
        <v>1578</v>
      </c>
      <c r="H559" t="s">
        <v>132</v>
      </c>
      <c r="I559" t="s">
        <v>1</v>
      </c>
      <c r="J559" t="s">
        <v>133</v>
      </c>
      <c r="K559" t="s">
        <v>51</v>
      </c>
      <c r="L559" t="s">
        <v>832</v>
      </c>
      <c r="M559" t="s">
        <v>134</v>
      </c>
      <c r="N559" t="s">
        <v>135</v>
      </c>
      <c r="O559"/>
      <c r="P559"/>
      <c r="Q559" t="s">
        <v>168</v>
      </c>
      <c r="R559"/>
      <c r="S559"/>
      <c r="T559" t="s">
        <v>169</v>
      </c>
      <c r="U559" t="s">
        <v>137</v>
      </c>
      <c r="V559" t="s">
        <v>147</v>
      </c>
      <c r="W559"/>
      <c r="X559" t="s">
        <v>70</v>
      </c>
      <c r="Y559"/>
      <c r="Z559"/>
      <c r="AA559" t="s">
        <v>1579</v>
      </c>
      <c r="AB559" t="s">
        <v>1</v>
      </c>
      <c r="AC559" t="s">
        <v>138</v>
      </c>
      <c r="AD559" t="s">
        <v>128</v>
      </c>
      <c r="AE559" s="97"/>
    </row>
    <row r="560" spans="1:31" ht="14.4" customHeight="1" x14ac:dyDescent="0.3">
      <c r="A560" t="s">
        <v>1586</v>
      </c>
      <c r="B560" t="s">
        <v>1587</v>
      </c>
      <c r="C560"/>
      <c r="D560"/>
      <c r="E560"/>
      <c r="F560"/>
      <c r="G560" t="s">
        <v>1578</v>
      </c>
      <c r="H560" t="s">
        <v>132</v>
      </c>
      <c r="I560" t="s">
        <v>1</v>
      </c>
      <c r="J560" t="s">
        <v>133</v>
      </c>
      <c r="K560" t="s">
        <v>51</v>
      </c>
      <c r="L560" t="s">
        <v>841</v>
      </c>
      <c r="M560" t="s">
        <v>134</v>
      </c>
      <c r="N560" t="s">
        <v>135</v>
      </c>
      <c r="O560"/>
      <c r="P560"/>
      <c r="Q560" t="s">
        <v>168</v>
      </c>
      <c r="R560"/>
      <c r="S560"/>
      <c r="T560" t="s">
        <v>169</v>
      </c>
      <c r="U560" t="s">
        <v>137</v>
      </c>
      <c r="V560" t="s">
        <v>150</v>
      </c>
      <c r="W560"/>
      <c r="X560" t="s">
        <v>76</v>
      </c>
      <c r="Y560"/>
      <c r="Z560"/>
      <c r="AA560" t="s">
        <v>1579</v>
      </c>
      <c r="AB560" t="s">
        <v>1</v>
      </c>
      <c r="AC560" t="s">
        <v>138</v>
      </c>
      <c r="AD560" t="s">
        <v>128</v>
      </c>
      <c r="AE560" s="97"/>
    </row>
    <row r="561" spans="1:31" ht="14.4" customHeight="1" x14ac:dyDescent="0.3">
      <c r="A561" t="s">
        <v>1588</v>
      </c>
      <c r="B561" t="s">
        <v>1589</v>
      </c>
      <c r="C561"/>
      <c r="D561"/>
      <c r="E561"/>
      <c r="F561"/>
      <c r="G561" t="s">
        <v>1578</v>
      </c>
      <c r="H561" t="s">
        <v>132</v>
      </c>
      <c r="I561" t="s">
        <v>1</v>
      </c>
      <c r="J561" t="s">
        <v>133</v>
      </c>
      <c r="K561" t="s">
        <v>51</v>
      </c>
      <c r="L561" t="s">
        <v>841</v>
      </c>
      <c r="M561" t="s">
        <v>134</v>
      </c>
      <c r="N561" t="s">
        <v>135</v>
      </c>
      <c r="O561"/>
      <c r="P561"/>
      <c r="Q561" t="s">
        <v>168</v>
      </c>
      <c r="R561"/>
      <c r="S561"/>
      <c r="T561" t="s">
        <v>169</v>
      </c>
      <c r="U561" t="s">
        <v>137</v>
      </c>
      <c r="V561" t="s">
        <v>150</v>
      </c>
      <c r="W561"/>
      <c r="X561" t="s">
        <v>76</v>
      </c>
      <c r="Y561"/>
      <c r="Z561"/>
      <c r="AA561" t="s">
        <v>1579</v>
      </c>
      <c r="AB561" t="s">
        <v>1</v>
      </c>
      <c r="AC561" t="s">
        <v>138</v>
      </c>
      <c r="AD561" t="s">
        <v>128</v>
      </c>
      <c r="AE561" s="97"/>
    </row>
    <row r="562" spans="1:31" ht="14.4" customHeight="1" x14ac:dyDescent="0.3">
      <c r="A562" t="s">
        <v>1590</v>
      </c>
      <c r="B562" t="s">
        <v>1591</v>
      </c>
      <c r="C562"/>
      <c r="D562"/>
      <c r="E562"/>
      <c r="F562"/>
      <c r="G562" t="s">
        <v>1578</v>
      </c>
      <c r="H562" t="s">
        <v>132</v>
      </c>
      <c r="I562" t="s">
        <v>1</v>
      </c>
      <c r="J562" t="s">
        <v>133</v>
      </c>
      <c r="K562" t="s">
        <v>51</v>
      </c>
      <c r="L562" t="s">
        <v>841</v>
      </c>
      <c r="M562" t="s">
        <v>134</v>
      </c>
      <c r="N562" t="s">
        <v>135</v>
      </c>
      <c r="O562"/>
      <c r="P562"/>
      <c r="Q562" t="s">
        <v>168</v>
      </c>
      <c r="R562"/>
      <c r="S562"/>
      <c r="T562" t="s">
        <v>169</v>
      </c>
      <c r="U562" t="s">
        <v>137</v>
      </c>
      <c r="V562" t="s">
        <v>150</v>
      </c>
      <c r="W562"/>
      <c r="X562" t="s">
        <v>76</v>
      </c>
      <c r="Y562"/>
      <c r="Z562"/>
      <c r="AA562" t="s">
        <v>1579</v>
      </c>
      <c r="AB562" t="s">
        <v>1</v>
      </c>
      <c r="AC562" t="s">
        <v>138</v>
      </c>
      <c r="AD562" t="s">
        <v>128</v>
      </c>
      <c r="AE562" s="97"/>
    </row>
    <row r="563" spans="1:31" ht="14.4" customHeight="1" x14ac:dyDescent="0.3">
      <c r="A563" t="s">
        <v>1592</v>
      </c>
      <c r="B563" t="s">
        <v>1593</v>
      </c>
      <c r="C563"/>
      <c r="D563"/>
      <c r="E563"/>
      <c r="F563"/>
      <c r="G563" t="s">
        <v>1578</v>
      </c>
      <c r="H563" t="s">
        <v>132</v>
      </c>
      <c r="I563" t="s">
        <v>1</v>
      </c>
      <c r="J563" t="s">
        <v>133</v>
      </c>
      <c r="K563" t="s">
        <v>51</v>
      </c>
      <c r="L563" t="s">
        <v>850</v>
      </c>
      <c r="M563" t="s">
        <v>134</v>
      </c>
      <c r="N563" t="s">
        <v>135</v>
      </c>
      <c r="O563"/>
      <c r="P563"/>
      <c r="Q563" t="s">
        <v>168</v>
      </c>
      <c r="R563"/>
      <c r="S563"/>
      <c r="T563" t="s">
        <v>169</v>
      </c>
      <c r="U563" t="s">
        <v>137</v>
      </c>
      <c r="V563" t="s">
        <v>153</v>
      </c>
      <c r="W563"/>
      <c r="X563" t="s">
        <v>88</v>
      </c>
      <c r="Y563"/>
      <c r="Z563"/>
      <c r="AA563" t="s">
        <v>1579</v>
      </c>
      <c r="AB563" t="s">
        <v>1</v>
      </c>
      <c r="AC563" t="s">
        <v>138</v>
      </c>
      <c r="AD563" t="s">
        <v>129</v>
      </c>
      <c r="AE563" s="97"/>
    </row>
    <row r="564" spans="1:31" ht="14.4" customHeight="1" x14ac:dyDescent="0.3">
      <c r="A564" t="s">
        <v>1594</v>
      </c>
      <c r="B564" t="s">
        <v>1595</v>
      </c>
      <c r="C564"/>
      <c r="D564"/>
      <c r="E564"/>
      <c r="F564"/>
      <c r="G564" t="s">
        <v>1578</v>
      </c>
      <c r="H564" t="s">
        <v>132</v>
      </c>
      <c r="I564" t="s">
        <v>1</v>
      </c>
      <c r="J564" t="s">
        <v>133</v>
      </c>
      <c r="K564" t="s">
        <v>51</v>
      </c>
      <c r="L564" t="s">
        <v>850</v>
      </c>
      <c r="M564" t="s">
        <v>134</v>
      </c>
      <c r="N564" t="s">
        <v>135</v>
      </c>
      <c r="O564"/>
      <c r="P564"/>
      <c r="Q564" t="s">
        <v>168</v>
      </c>
      <c r="R564"/>
      <c r="S564"/>
      <c r="T564" t="s">
        <v>169</v>
      </c>
      <c r="U564" t="s">
        <v>137</v>
      </c>
      <c r="V564" t="s">
        <v>153</v>
      </c>
      <c r="W564"/>
      <c r="X564" t="s">
        <v>88</v>
      </c>
      <c r="Y564"/>
      <c r="Z564"/>
      <c r="AA564" t="s">
        <v>1579</v>
      </c>
      <c r="AB564" t="s">
        <v>1</v>
      </c>
      <c r="AC564" t="s">
        <v>138</v>
      </c>
      <c r="AD564" t="s">
        <v>129</v>
      </c>
      <c r="AE564" s="97"/>
    </row>
    <row r="565" spans="1:31" ht="14.4" customHeight="1" x14ac:dyDescent="0.3">
      <c r="A565" t="s">
        <v>1596</v>
      </c>
      <c r="B565" t="s">
        <v>1597</v>
      </c>
      <c r="C565"/>
      <c r="D565"/>
      <c r="E565"/>
      <c r="F565"/>
      <c r="G565" t="s">
        <v>1578</v>
      </c>
      <c r="H565" t="s">
        <v>132</v>
      </c>
      <c r="I565" t="s">
        <v>1</v>
      </c>
      <c r="J565" t="s">
        <v>133</v>
      </c>
      <c r="K565" t="s">
        <v>51</v>
      </c>
      <c r="L565" t="s">
        <v>850</v>
      </c>
      <c r="M565" t="s">
        <v>134</v>
      </c>
      <c r="N565" t="s">
        <v>135</v>
      </c>
      <c r="O565"/>
      <c r="P565"/>
      <c r="Q565" t="s">
        <v>168</v>
      </c>
      <c r="R565"/>
      <c r="S565"/>
      <c r="T565" t="s">
        <v>169</v>
      </c>
      <c r="U565" t="s">
        <v>137</v>
      </c>
      <c r="V565" t="s">
        <v>153</v>
      </c>
      <c r="W565"/>
      <c r="X565" t="s">
        <v>88</v>
      </c>
      <c r="Y565"/>
      <c r="Z565"/>
      <c r="AA565" t="s">
        <v>1579</v>
      </c>
      <c r="AB565" t="s">
        <v>1</v>
      </c>
      <c r="AC565" t="s">
        <v>138</v>
      </c>
      <c r="AD565" t="s">
        <v>129</v>
      </c>
      <c r="AE565" s="97"/>
    </row>
    <row r="566" spans="1:31" ht="14.4" customHeight="1" x14ac:dyDescent="0.3">
      <c r="A566" t="s">
        <v>1598</v>
      </c>
      <c r="B566" t="s">
        <v>1599</v>
      </c>
      <c r="C566"/>
      <c r="D566"/>
      <c r="E566"/>
      <c r="F566"/>
      <c r="G566" t="s">
        <v>1578</v>
      </c>
      <c r="H566" t="s">
        <v>132</v>
      </c>
      <c r="I566" t="s">
        <v>1</v>
      </c>
      <c r="J566" t="s">
        <v>133</v>
      </c>
      <c r="K566" t="s">
        <v>51</v>
      </c>
      <c r="L566" t="s">
        <v>859</v>
      </c>
      <c r="M566" t="s">
        <v>134</v>
      </c>
      <c r="N566" t="s">
        <v>135</v>
      </c>
      <c r="O566"/>
      <c r="P566"/>
      <c r="Q566" t="s">
        <v>168</v>
      </c>
      <c r="R566"/>
      <c r="S566"/>
      <c r="T566" t="s">
        <v>169</v>
      </c>
      <c r="U566" t="s">
        <v>137</v>
      </c>
      <c r="V566" t="s">
        <v>156</v>
      </c>
      <c r="W566"/>
      <c r="X566" t="s">
        <v>97</v>
      </c>
      <c r="Y566"/>
      <c r="Z566"/>
      <c r="AA566" t="s">
        <v>1579</v>
      </c>
      <c r="AB566" t="s">
        <v>1</v>
      </c>
      <c r="AC566" t="s">
        <v>138</v>
      </c>
      <c r="AD566" t="s">
        <v>129</v>
      </c>
      <c r="AE566" s="97"/>
    </row>
    <row r="567" spans="1:31" ht="14.4" customHeight="1" x14ac:dyDescent="0.3">
      <c r="A567" t="s">
        <v>1600</v>
      </c>
      <c r="B567" t="s">
        <v>1601</v>
      </c>
      <c r="C567"/>
      <c r="D567"/>
      <c r="E567"/>
      <c r="F567"/>
      <c r="G567" t="s">
        <v>1578</v>
      </c>
      <c r="H567" t="s">
        <v>132</v>
      </c>
      <c r="I567" t="s">
        <v>1</v>
      </c>
      <c r="J567" t="s">
        <v>133</v>
      </c>
      <c r="K567" t="s">
        <v>51</v>
      </c>
      <c r="L567" t="s">
        <v>859</v>
      </c>
      <c r="M567" t="s">
        <v>134</v>
      </c>
      <c r="N567" t="s">
        <v>135</v>
      </c>
      <c r="O567"/>
      <c r="P567"/>
      <c r="Q567" t="s">
        <v>168</v>
      </c>
      <c r="R567"/>
      <c r="S567"/>
      <c r="T567" t="s">
        <v>169</v>
      </c>
      <c r="U567" t="s">
        <v>137</v>
      </c>
      <c r="V567" t="s">
        <v>156</v>
      </c>
      <c r="W567"/>
      <c r="X567" t="s">
        <v>97</v>
      </c>
      <c r="Y567"/>
      <c r="Z567"/>
      <c r="AA567" t="s">
        <v>1579</v>
      </c>
      <c r="AB567" t="s">
        <v>1</v>
      </c>
      <c r="AC567" t="s">
        <v>138</v>
      </c>
      <c r="AD567" t="s">
        <v>129</v>
      </c>
      <c r="AE567" s="97"/>
    </row>
    <row r="568" spans="1:31" ht="14.4" customHeight="1" x14ac:dyDescent="0.3">
      <c r="A568" t="s">
        <v>1602</v>
      </c>
      <c r="B568" t="s">
        <v>1603</v>
      </c>
      <c r="C568"/>
      <c r="D568"/>
      <c r="E568"/>
      <c r="F568"/>
      <c r="G568" t="s">
        <v>1578</v>
      </c>
      <c r="H568" t="s">
        <v>132</v>
      </c>
      <c r="I568" t="s">
        <v>1</v>
      </c>
      <c r="J568" t="s">
        <v>133</v>
      </c>
      <c r="K568" t="s">
        <v>51</v>
      </c>
      <c r="L568" t="s">
        <v>859</v>
      </c>
      <c r="M568" t="s">
        <v>134</v>
      </c>
      <c r="N568" t="s">
        <v>135</v>
      </c>
      <c r="O568"/>
      <c r="P568"/>
      <c r="Q568" t="s">
        <v>168</v>
      </c>
      <c r="R568"/>
      <c r="S568"/>
      <c r="T568" t="s">
        <v>169</v>
      </c>
      <c r="U568" t="s">
        <v>137</v>
      </c>
      <c r="V568" t="s">
        <v>156</v>
      </c>
      <c r="W568"/>
      <c r="X568" t="s">
        <v>97</v>
      </c>
      <c r="Y568"/>
      <c r="Z568"/>
      <c r="AA568" t="s">
        <v>1579</v>
      </c>
      <c r="AB568" t="s">
        <v>1</v>
      </c>
      <c r="AC568" t="s">
        <v>138</v>
      </c>
      <c r="AD568" t="s">
        <v>129</v>
      </c>
      <c r="AE568" s="97"/>
    </row>
    <row r="569" spans="1:31" ht="14.4" customHeight="1" x14ac:dyDescent="0.3">
      <c r="A569" t="s">
        <v>1604</v>
      </c>
      <c r="B569" t="s">
        <v>1605</v>
      </c>
      <c r="C569"/>
      <c r="D569"/>
      <c r="E569"/>
      <c r="F569"/>
      <c r="G569" t="s">
        <v>1578</v>
      </c>
      <c r="H569" t="s">
        <v>132</v>
      </c>
      <c r="I569" t="s">
        <v>1</v>
      </c>
      <c r="J569" t="s">
        <v>133</v>
      </c>
      <c r="K569" t="s">
        <v>51</v>
      </c>
      <c r="L569" t="s">
        <v>868</v>
      </c>
      <c r="M569" t="s">
        <v>134</v>
      </c>
      <c r="N569" t="s">
        <v>135</v>
      </c>
      <c r="O569"/>
      <c r="P569"/>
      <c r="Q569" t="s">
        <v>168</v>
      </c>
      <c r="R569"/>
      <c r="S569"/>
      <c r="T569" t="s">
        <v>169</v>
      </c>
      <c r="U569" t="s">
        <v>137</v>
      </c>
      <c r="V569" t="s">
        <v>159</v>
      </c>
      <c r="W569"/>
      <c r="X569" t="s">
        <v>106</v>
      </c>
      <c r="Y569"/>
      <c r="Z569"/>
      <c r="AA569" t="s">
        <v>1579</v>
      </c>
      <c r="AB569" t="s">
        <v>1</v>
      </c>
      <c r="AC569" t="s">
        <v>138</v>
      </c>
      <c r="AD569" t="s">
        <v>129</v>
      </c>
      <c r="AE569" s="97"/>
    </row>
    <row r="570" spans="1:31" ht="14.4" customHeight="1" x14ac:dyDescent="0.3">
      <c r="A570" t="s">
        <v>1606</v>
      </c>
      <c r="B570" t="s">
        <v>1607</v>
      </c>
      <c r="C570"/>
      <c r="D570"/>
      <c r="E570"/>
      <c r="F570"/>
      <c r="G570" t="s">
        <v>1578</v>
      </c>
      <c r="H570" t="s">
        <v>132</v>
      </c>
      <c r="I570" t="s">
        <v>1</v>
      </c>
      <c r="J570" t="s">
        <v>133</v>
      </c>
      <c r="K570" t="s">
        <v>51</v>
      </c>
      <c r="L570" t="s">
        <v>868</v>
      </c>
      <c r="M570" t="s">
        <v>134</v>
      </c>
      <c r="N570" t="s">
        <v>135</v>
      </c>
      <c r="O570"/>
      <c r="P570"/>
      <c r="Q570" t="s">
        <v>168</v>
      </c>
      <c r="R570"/>
      <c r="S570"/>
      <c r="T570" t="s">
        <v>169</v>
      </c>
      <c r="U570" t="s">
        <v>137</v>
      </c>
      <c r="V570" t="s">
        <v>159</v>
      </c>
      <c r="W570"/>
      <c r="X570" t="s">
        <v>106</v>
      </c>
      <c r="Y570"/>
      <c r="Z570"/>
      <c r="AA570" t="s">
        <v>1579</v>
      </c>
      <c r="AB570" t="s">
        <v>1</v>
      </c>
      <c r="AC570" t="s">
        <v>138</v>
      </c>
      <c r="AD570" t="s">
        <v>129</v>
      </c>
      <c r="AE570" s="97"/>
    </row>
    <row r="571" spans="1:31" ht="14.4" customHeight="1" x14ac:dyDescent="0.3">
      <c r="A571" t="s">
        <v>1608</v>
      </c>
      <c r="B571" t="s">
        <v>1609</v>
      </c>
      <c r="C571"/>
      <c r="D571"/>
      <c r="E571"/>
      <c r="F571"/>
      <c r="G571" t="s">
        <v>1578</v>
      </c>
      <c r="H571" t="s">
        <v>132</v>
      </c>
      <c r="I571" t="s">
        <v>1</v>
      </c>
      <c r="J571" t="s">
        <v>133</v>
      </c>
      <c r="K571" t="s">
        <v>51</v>
      </c>
      <c r="L571" t="s">
        <v>868</v>
      </c>
      <c r="M571" t="s">
        <v>134</v>
      </c>
      <c r="N571" t="s">
        <v>135</v>
      </c>
      <c r="O571"/>
      <c r="P571"/>
      <c r="Q571" t="s">
        <v>168</v>
      </c>
      <c r="R571"/>
      <c r="S571"/>
      <c r="T571" t="s">
        <v>169</v>
      </c>
      <c r="U571" t="s">
        <v>137</v>
      </c>
      <c r="V571" t="s">
        <v>159</v>
      </c>
      <c r="W571"/>
      <c r="X571" t="s">
        <v>106</v>
      </c>
      <c r="Y571"/>
      <c r="Z571"/>
      <c r="AA571" t="s">
        <v>1579</v>
      </c>
      <c r="AB571" t="s">
        <v>1</v>
      </c>
      <c r="AC571" t="s">
        <v>138</v>
      </c>
      <c r="AD571" t="s">
        <v>129</v>
      </c>
      <c r="AE571" s="97"/>
    </row>
    <row r="572" spans="1:31" ht="14.4" customHeight="1" x14ac:dyDescent="0.3">
      <c r="A572" t="s">
        <v>1610</v>
      </c>
      <c r="B572" t="s">
        <v>1611</v>
      </c>
      <c r="C572"/>
      <c r="D572"/>
      <c r="E572"/>
      <c r="F572"/>
      <c r="G572" t="s">
        <v>1578</v>
      </c>
      <c r="H572" t="s">
        <v>132</v>
      </c>
      <c r="I572" t="s">
        <v>1</v>
      </c>
      <c r="J572" t="s">
        <v>133</v>
      </c>
      <c r="K572" t="s">
        <v>51</v>
      </c>
      <c r="L572" t="s">
        <v>877</v>
      </c>
      <c r="M572" t="s">
        <v>134</v>
      </c>
      <c r="N572" t="s">
        <v>135</v>
      </c>
      <c r="O572"/>
      <c r="P572"/>
      <c r="Q572" t="s">
        <v>168</v>
      </c>
      <c r="R572"/>
      <c r="S572"/>
      <c r="T572" t="s">
        <v>169</v>
      </c>
      <c r="U572" t="s">
        <v>137</v>
      </c>
      <c r="V572" t="s">
        <v>162</v>
      </c>
      <c r="W572"/>
      <c r="X572" t="s">
        <v>113</v>
      </c>
      <c r="Y572"/>
      <c r="Z572"/>
      <c r="AA572" t="s">
        <v>1579</v>
      </c>
      <c r="AB572" t="s">
        <v>1</v>
      </c>
      <c r="AC572" t="s">
        <v>138</v>
      </c>
      <c r="AD572" t="s">
        <v>129</v>
      </c>
      <c r="AE572" s="97"/>
    </row>
    <row r="573" spans="1:31" ht="14.4" customHeight="1" x14ac:dyDescent="0.3">
      <c r="A573" t="s">
        <v>1612</v>
      </c>
      <c r="B573" t="s">
        <v>1613</v>
      </c>
      <c r="C573"/>
      <c r="D573"/>
      <c r="E573"/>
      <c r="F573"/>
      <c r="G573" t="s">
        <v>1578</v>
      </c>
      <c r="H573" t="s">
        <v>132</v>
      </c>
      <c r="I573" t="s">
        <v>1</v>
      </c>
      <c r="J573" t="s">
        <v>133</v>
      </c>
      <c r="K573" t="s">
        <v>51</v>
      </c>
      <c r="L573" t="s">
        <v>877</v>
      </c>
      <c r="M573" t="s">
        <v>134</v>
      </c>
      <c r="N573" t="s">
        <v>135</v>
      </c>
      <c r="O573"/>
      <c r="P573"/>
      <c r="Q573" t="s">
        <v>168</v>
      </c>
      <c r="R573"/>
      <c r="S573"/>
      <c r="T573" t="s">
        <v>169</v>
      </c>
      <c r="U573" t="s">
        <v>137</v>
      </c>
      <c r="V573" t="s">
        <v>162</v>
      </c>
      <c r="W573"/>
      <c r="X573" t="s">
        <v>113</v>
      </c>
      <c r="Y573"/>
      <c r="Z573"/>
      <c r="AA573" t="s">
        <v>1579</v>
      </c>
      <c r="AB573" t="s">
        <v>1</v>
      </c>
      <c r="AC573" t="s">
        <v>138</v>
      </c>
      <c r="AD573" t="s">
        <v>129</v>
      </c>
      <c r="AE573" s="97"/>
    </row>
    <row r="574" spans="1:31" ht="14.4" customHeight="1" x14ac:dyDescent="0.3">
      <c r="A574" t="s">
        <v>1614</v>
      </c>
      <c r="B574" t="s">
        <v>1615</v>
      </c>
      <c r="C574"/>
      <c r="D574"/>
      <c r="E574"/>
      <c r="F574"/>
      <c r="G574" t="s">
        <v>1578</v>
      </c>
      <c r="H574" t="s">
        <v>132</v>
      </c>
      <c r="I574" t="s">
        <v>1</v>
      </c>
      <c r="J574" t="s">
        <v>133</v>
      </c>
      <c r="K574" t="s">
        <v>51</v>
      </c>
      <c r="L574" t="s">
        <v>877</v>
      </c>
      <c r="M574" t="s">
        <v>134</v>
      </c>
      <c r="N574" t="s">
        <v>135</v>
      </c>
      <c r="O574"/>
      <c r="P574"/>
      <c r="Q574" t="s">
        <v>168</v>
      </c>
      <c r="R574"/>
      <c r="S574"/>
      <c r="T574" t="s">
        <v>169</v>
      </c>
      <c r="U574" t="s">
        <v>137</v>
      </c>
      <c r="V574" t="s">
        <v>162</v>
      </c>
      <c r="W574"/>
      <c r="X574" t="s">
        <v>113</v>
      </c>
      <c r="Y574"/>
      <c r="Z574"/>
      <c r="AA574" t="s">
        <v>1579</v>
      </c>
      <c r="AB574" t="s">
        <v>1</v>
      </c>
      <c r="AC574" t="s">
        <v>138</v>
      </c>
      <c r="AD574" t="s">
        <v>129</v>
      </c>
      <c r="AE574" s="97"/>
    </row>
    <row r="575" spans="1:31" ht="14.4" customHeight="1" x14ac:dyDescent="0.3">
      <c r="A575" t="s">
        <v>1616</v>
      </c>
      <c r="B575" t="s">
        <v>1617</v>
      </c>
      <c r="C575"/>
      <c r="D575"/>
      <c r="E575"/>
      <c r="F575"/>
      <c r="G575" t="s">
        <v>1578</v>
      </c>
      <c r="H575" t="s">
        <v>132</v>
      </c>
      <c r="I575" t="s">
        <v>1</v>
      </c>
      <c r="J575" t="s">
        <v>133</v>
      </c>
      <c r="K575" t="s">
        <v>51</v>
      </c>
      <c r="L575" t="s">
        <v>886</v>
      </c>
      <c r="M575" t="s">
        <v>134</v>
      </c>
      <c r="N575" t="s">
        <v>135</v>
      </c>
      <c r="O575"/>
      <c r="P575"/>
      <c r="Q575" t="s">
        <v>168</v>
      </c>
      <c r="R575"/>
      <c r="S575"/>
      <c r="T575" t="s">
        <v>169</v>
      </c>
      <c r="U575" t="s">
        <v>137</v>
      </c>
      <c r="V575" t="s">
        <v>165</v>
      </c>
      <c r="W575"/>
      <c r="X575" t="s">
        <v>122</v>
      </c>
      <c r="Y575"/>
      <c r="Z575"/>
      <c r="AA575" t="s">
        <v>1579</v>
      </c>
      <c r="AB575" t="s">
        <v>1</v>
      </c>
      <c r="AC575" t="s">
        <v>138</v>
      </c>
      <c r="AD575" t="s">
        <v>130</v>
      </c>
      <c r="AE575" s="97"/>
    </row>
    <row r="576" spans="1:31" ht="14.4" customHeight="1" x14ac:dyDescent="0.3">
      <c r="A576" t="s">
        <v>1618</v>
      </c>
      <c r="B576" t="s">
        <v>1619</v>
      </c>
      <c r="C576"/>
      <c r="D576"/>
      <c r="E576"/>
      <c r="F576"/>
      <c r="G576" t="s">
        <v>1578</v>
      </c>
      <c r="H576" t="s">
        <v>132</v>
      </c>
      <c r="I576" t="s">
        <v>1</v>
      </c>
      <c r="J576" t="s">
        <v>133</v>
      </c>
      <c r="K576" t="s">
        <v>51</v>
      </c>
      <c r="L576" t="s">
        <v>886</v>
      </c>
      <c r="M576" t="s">
        <v>134</v>
      </c>
      <c r="N576" t="s">
        <v>135</v>
      </c>
      <c r="O576"/>
      <c r="P576"/>
      <c r="Q576" t="s">
        <v>168</v>
      </c>
      <c r="R576"/>
      <c r="S576"/>
      <c r="T576" t="s">
        <v>169</v>
      </c>
      <c r="U576" t="s">
        <v>137</v>
      </c>
      <c r="V576" t="s">
        <v>165</v>
      </c>
      <c r="W576"/>
      <c r="X576" t="s">
        <v>122</v>
      </c>
      <c r="Y576"/>
      <c r="Z576"/>
      <c r="AA576" t="s">
        <v>1579</v>
      </c>
      <c r="AB576" t="s">
        <v>1</v>
      </c>
      <c r="AC576" t="s">
        <v>138</v>
      </c>
      <c r="AD576" t="s">
        <v>130</v>
      </c>
      <c r="AE576" s="97"/>
    </row>
    <row r="577" spans="1:31" ht="14.4" customHeight="1" x14ac:dyDescent="0.3">
      <c r="A577" t="s">
        <v>1620</v>
      </c>
      <c r="B577" t="s">
        <v>1621</v>
      </c>
      <c r="C577"/>
      <c r="D577"/>
      <c r="E577"/>
      <c r="F577"/>
      <c r="G577" t="s">
        <v>1578</v>
      </c>
      <c r="H577" t="s">
        <v>132</v>
      </c>
      <c r="I577" t="s">
        <v>1</v>
      </c>
      <c r="J577" t="s">
        <v>133</v>
      </c>
      <c r="K577" t="s">
        <v>51</v>
      </c>
      <c r="L577" t="s">
        <v>886</v>
      </c>
      <c r="M577" t="s">
        <v>134</v>
      </c>
      <c r="N577" t="s">
        <v>135</v>
      </c>
      <c r="O577"/>
      <c r="P577"/>
      <c r="Q577" t="s">
        <v>168</v>
      </c>
      <c r="R577"/>
      <c r="S577"/>
      <c r="T577" t="s">
        <v>169</v>
      </c>
      <c r="U577" t="s">
        <v>137</v>
      </c>
      <c r="V577" t="s">
        <v>165</v>
      </c>
      <c r="W577"/>
      <c r="X577" t="s">
        <v>122</v>
      </c>
      <c r="Y577"/>
      <c r="Z577"/>
      <c r="AA577" t="s">
        <v>1579</v>
      </c>
      <c r="AB577" t="s">
        <v>1</v>
      </c>
      <c r="AC577" t="s">
        <v>138</v>
      </c>
      <c r="AD577" t="s">
        <v>130</v>
      </c>
      <c r="AE577" s="97"/>
    </row>
    <row r="578" spans="1:31" ht="14.4" customHeight="1" x14ac:dyDescent="0.3">
      <c r="A578" t="s">
        <v>1622</v>
      </c>
      <c r="B578" t="s">
        <v>1623</v>
      </c>
      <c r="C578"/>
      <c r="D578"/>
      <c r="E578"/>
      <c r="F578"/>
      <c r="G578" t="s">
        <v>1578</v>
      </c>
      <c r="H578" t="s">
        <v>132</v>
      </c>
      <c r="I578" t="s">
        <v>1</v>
      </c>
      <c r="J578" t="s">
        <v>133</v>
      </c>
      <c r="K578" t="s">
        <v>51</v>
      </c>
      <c r="L578" t="s">
        <v>1624</v>
      </c>
      <c r="M578" t="s">
        <v>134</v>
      </c>
      <c r="N578" t="s">
        <v>135</v>
      </c>
      <c r="O578"/>
      <c r="P578"/>
      <c r="Q578" t="s">
        <v>168</v>
      </c>
      <c r="R578"/>
      <c r="S578"/>
      <c r="T578" t="s">
        <v>169</v>
      </c>
      <c r="U578" t="s">
        <v>137</v>
      </c>
      <c r="V578" t="s">
        <v>147</v>
      </c>
      <c r="W578"/>
      <c r="X578" t="s">
        <v>70</v>
      </c>
      <c r="Y578"/>
      <c r="Z578"/>
      <c r="AA578" t="s">
        <v>1579</v>
      </c>
      <c r="AB578" t="s">
        <v>1</v>
      </c>
      <c r="AC578" t="s">
        <v>138</v>
      </c>
      <c r="AD578" t="s">
        <v>128</v>
      </c>
      <c r="AE578" s="97"/>
    </row>
    <row r="579" spans="1:31" ht="14.4" customHeight="1" x14ac:dyDescent="0.3">
      <c r="A579" t="s">
        <v>1625</v>
      </c>
      <c r="B579" t="s">
        <v>1626</v>
      </c>
      <c r="C579"/>
      <c r="D579"/>
      <c r="E579"/>
      <c r="F579"/>
      <c r="G579" t="s">
        <v>1578</v>
      </c>
      <c r="H579" t="s">
        <v>132</v>
      </c>
      <c r="I579" t="s">
        <v>1</v>
      </c>
      <c r="J579" t="s">
        <v>133</v>
      </c>
      <c r="K579" t="s">
        <v>51</v>
      </c>
      <c r="L579" t="s">
        <v>1624</v>
      </c>
      <c r="M579" t="s">
        <v>134</v>
      </c>
      <c r="N579" t="s">
        <v>135</v>
      </c>
      <c r="O579"/>
      <c r="P579"/>
      <c r="Q579" t="s">
        <v>168</v>
      </c>
      <c r="R579"/>
      <c r="S579"/>
      <c r="T579" t="s">
        <v>169</v>
      </c>
      <c r="U579" t="s">
        <v>137</v>
      </c>
      <c r="V579" t="s">
        <v>147</v>
      </c>
      <c r="W579"/>
      <c r="X579" t="s">
        <v>70</v>
      </c>
      <c r="Y579"/>
      <c r="Z579"/>
      <c r="AA579" t="s">
        <v>1579</v>
      </c>
      <c r="AB579" t="s">
        <v>1</v>
      </c>
      <c r="AC579" t="s">
        <v>138</v>
      </c>
      <c r="AD579" t="s">
        <v>128</v>
      </c>
      <c r="AE579" s="97"/>
    </row>
    <row r="580" spans="1:31" ht="14.4" customHeight="1" x14ac:dyDescent="0.3">
      <c r="A580" t="s">
        <v>1627</v>
      </c>
      <c r="B580" t="s">
        <v>1628</v>
      </c>
      <c r="C580"/>
      <c r="D580"/>
      <c r="E580"/>
      <c r="F580"/>
      <c r="G580" t="s">
        <v>1578</v>
      </c>
      <c r="H580" t="s">
        <v>132</v>
      </c>
      <c r="I580" t="s">
        <v>1</v>
      </c>
      <c r="J580" t="s">
        <v>133</v>
      </c>
      <c r="K580" t="s">
        <v>51</v>
      </c>
      <c r="L580" t="s">
        <v>1629</v>
      </c>
      <c r="M580" t="s">
        <v>134</v>
      </c>
      <c r="N580" t="s">
        <v>135</v>
      </c>
      <c r="O580"/>
      <c r="P580"/>
      <c r="Q580" t="s">
        <v>168</v>
      </c>
      <c r="R580"/>
      <c r="S580"/>
      <c r="T580" t="s">
        <v>169</v>
      </c>
      <c r="U580" t="s">
        <v>137</v>
      </c>
      <c r="V580" t="s">
        <v>147</v>
      </c>
      <c r="W580"/>
      <c r="X580" t="s">
        <v>70</v>
      </c>
      <c r="Y580"/>
      <c r="Z580"/>
      <c r="AA580" t="s">
        <v>1579</v>
      </c>
      <c r="AB580" t="s">
        <v>1</v>
      </c>
      <c r="AC580" t="s">
        <v>138</v>
      </c>
      <c r="AD580" t="s">
        <v>128</v>
      </c>
      <c r="AE580" s="97"/>
    </row>
    <row r="581" spans="1:31" ht="14.4" customHeight="1" x14ac:dyDescent="0.3">
      <c r="A581" t="s">
        <v>1630</v>
      </c>
      <c r="B581" t="s">
        <v>1631</v>
      </c>
      <c r="C581"/>
      <c r="D581"/>
      <c r="E581"/>
      <c r="F581"/>
      <c r="G581" t="s">
        <v>1578</v>
      </c>
      <c r="H581" t="s">
        <v>132</v>
      </c>
      <c r="I581" t="s">
        <v>1</v>
      </c>
      <c r="J581" t="s">
        <v>133</v>
      </c>
      <c r="K581" t="s">
        <v>51</v>
      </c>
      <c r="L581" t="s">
        <v>1624</v>
      </c>
      <c r="M581" t="s">
        <v>134</v>
      </c>
      <c r="N581" t="s">
        <v>135</v>
      </c>
      <c r="O581"/>
      <c r="P581"/>
      <c r="Q581" t="s">
        <v>168</v>
      </c>
      <c r="R581"/>
      <c r="S581"/>
      <c r="T581" t="s">
        <v>169</v>
      </c>
      <c r="U581" t="s">
        <v>137</v>
      </c>
      <c r="V581" t="s">
        <v>147</v>
      </c>
      <c r="W581"/>
      <c r="X581" t="s">
        <v>70</v>
      </c>
      <c r="Y581"/>
      <c r="Z581"/>
      <c r="AA581" t="s">
        <v>1579</v>
      </c>
      <c r="AB581" t="s">
        <v>1</v>
      </c>
      <c r="AC581" t="s">
        <v>138</v>
      </c>
      <c r="AD581" t="s">
        <v>128</v>
      </c>
      <c r="AE581" s="97"/>
    </row>
    <row r="582" spans="1:31" ht="14.4" customHeight="1" x14ac:dyDescent="0.3">
      <c r="A582" t="s">
        <v>1636</v>
      </c>
      <c r="B582" t="s">
        <v>1637</v>
      </c>
      <c r="C582"/>
      <c r="D582"/>
      <c r="E582"/>
      <c r="F582"/>
      <c r="G582" t="s">
        <v>1578</v>
      </c>
      <c r="H582" t="s">
        <v>132</v>
      </c>
      <c r="I582" t="s">
        <v>1</v>
      </c>
      <c r="J582" t="s">
        <v>133</v>
      </c>
      <c r="K582" t="s">
        <v>51</v>
      </c>
      <c r="L582" t="s">
        <v>1638</v>
      </c>
      <c r="M582" t="s">
        <v>134</v>
      </c>
      <c r="N582" t="s">
        <v>135</v>
      </c>
      <c r="O582"/>
      <c r="P582"/>
      <c r="Q582" t="s">
        <v>168</v>
      </c>
      <c r="R582"/>
      <c r="S582"/>
      <c r="T582" t="s">
        <v>169</v>
      </c>
      <c r="U582" t="s">
        <v>137</v>
      </c>
      <c r="V582" t="s">
        <v>147</v>
      </c>
      <c r="W582"/>
      <c r="X582" t="s">
        <v>70</v>
      </c>
      <c r="Y582"/>
      <c r="Z582"/>
      <c r="AA582" t="s">
        <v>1579</v>
      </c>
      <c r="AB582" t="s">
        <v>1</v>
      </c>
      <c r="AC582" t="s">
        <v>138</v>
      </c>
      <c r="AD582" t="s">
        <v>128</v>
      </c>
      <c r="AE582" s="97"/>
    </row>
    <row r="583" spans="1:31" ht="14.4" customHeight="1" x14ac:dyDescent="0.3">
      <c r="A583" t="s">
        <v>1639</v>
      </c>
      <c r="B583" t="s">
        <v>1640</v>
      </c>
      <c r="C583"/>
      <c r="D583"/>
      <c r="E583"/>
      <c r="F583"/>
      <c r="G583" t="s">
        <v>1578</v>
      </c>
      <c r="H583" t="s">
        <v>132</v>
      </c>
      <c r="I583" t="s">
        <v>1</v>
      </c>
      <c r="J583" t="s">
        <v>133</v>
      </c>
      <c r="K583" t="s">
        <v>51</v>
      </c>
      <c r="L583" t="s">
        <v>1641</v>
      </c>
      <c r="M583" t="s">
        <v>134</v>
      </c>
      <c r="N583" t="s">
        <v>135</v>
      </c>
      <c r="O583"/>
      <c r="P583"/>
      <c r="Q583" t="s">
        <v>168</v>
      </c>
      <c r="R583"/>
      <c r="S583"/>
      <c r="T583" t="s">
        <v>169</v>
      </c>
      <c r="U583" t="s">
        <v>137</v>
      </c>
      <c r="V583" t="s">
        <v>147</v>
      </c>
      <c r="W583"/>
      <c r="X583" t="s">
        <v>70</v>
      </c>
      <c r="Y583"/>
      <c r="Z583"/>
      <c r="AA583" t="s">
        <v>1579</v>
      </c>
      <c r="AB583" t="s">
        <v>1</v>
      </c>
      <c r="AC583" t="s">
        <v>138</v>
      </c>
      <c r="AD583" t="s">
        <v>128</v>
      </c>
      <c r="AE583" s="97"/>
    </row>
    <row r="584" spans="1:31" ht="14.4" customHeight="1" x14ac:dyDescent="0.3">
      <c r="A584" t="s">
        <v>1642</v>
      </c>
      <c r="B584" t="s">
        <v>1643</v>
      </c>
      <c r="C584"/>
      <c r="D584"/>
      <c r="E584"/>
      <c r="F584"/>
      <c r="G584" t="s">
        <v>1578</v>
      </c>
      <c r="H584" t="s">
        <v>132</v>
      </c>
      <c r="I584" t="s">
        <v>1</v>
      </c>
      <c r="J584" t="s">
        <v>133</v>
      </c>
      <c r="K584" t="s">
        <v>51</v>
      </c>
      <c r="L584" t="s">
        <v>1644</v>
      </c>
      <c r="M584" t="s">
        <v>134</v>
      </c>
      <c r="N584" t="s">
        <v>135</v>
      </c>
      <c r="O584"/>
      <c r="P584"/>
      <c r="Q584" t="s">
        <v>168</v>
      </c>
      <c r="R584"/>
      <c r="S584"/>
      <c r="T584" t="s">
        <v>169</v>
      </c>
      <c r="U584" t="s">
        <v>137</v>
      </c>
      <c r="V584" t="s">
        <v>150</v>
      </c>
      <c r="W584"/>
      <c r="X584" t="s">
        <v>76</v>
      </c>
      <c r="Y584"/>
      <c r="Z584"/>
      <c r="AA584" t="s">
        <v>1579</v>
      </c>
      <c r="AB584" t="s">
        <v>1</v>
      </c>
      <c r="AC584" t="s">
        <v>138</v>
      </c>
      <c r="AD584" t="s">
        <v>128</v>
      </c>
      <c r="AE584" s="97"/>
    </row>
    <row r="585" spans="1:31" ht="14.4" customHeight="1" x14ac:dyDescent="0.3">
      <c r="A585" t="s">
        <v>1645</v>
      </c>
      <c r="B585" t="s">
        <v>1646</v>
      </c>
      <c r="C585"/>
      <c r="D585"/>
      <c r="E585"/>
      <c r="F585"/>
      <c r="G585" t="s">
        <v>1578</v>
      </c>
      <c r="H585" t="s">
        <v>132</v>
      </c>
      <c r="I585" t="s">
        <v>1</v>
      </c>
      <c r="J585" t="s">
        <v>133</v>
      </c>
      <c r="K585" t="s">
        <v>51</v>
      </c>
      <c r="L585" t="s">
        <v>1644</v>
      </c>
      <c r="M585" t="s">
        <v>134</v>
      </c>
      <c r="N585" t="s">
        <v>135</v>
      </c>
      <c r="O585"/>
      <c r="P585"/>
      <c r="Q585" t="s">
        <v>168</v>
      </c>
      <c r="R585"/>
      <c r="S585"/>
      <c r="T585" t="s">
        <v>169</v>
      </c>
      <c r="U585" t="s">
        <v>137</v>
      </c>
      <c r="V585" t="s">
        <v>150</v>
      </c>
      <c r="W585"/>
      <c r="X585" t="s">
        <v>76</v>
      </c>
      <c r="Y585"/>
      <c r="Z585"/>
      <c r="AA585" t="s">
        <v>1579</v>
      </c>
      <c r="AB585" t="s">
        <v>1</v>
      </c>
      <c r="AC585" t="s">
        <v>138</v>
      </c>
      <c r="AD585" t="s">
        <v>128</v>
      </c>
      <c r="AE585" s="97"/>
    </row>
    <row r="586" spans="1:31" ht="14.4" customHeight="1" x14ac:dyDescent="0.3">
      <c r="A586" t="s">
        <v>1647</v>
      </c>
      <c r="B586" t="s">
        <v>1648</v>
      </c>
      <c r="C586"/>
      <c r="D586"/>
      <c r="E586"/>
      <c r="F586"/>
      <c r="G586" t="s">
        <v>1578</v>
      </c>
      <c r="H586" t="s">
        <v>132</v>
      </c>
      <c r="I586" t="s">
        <v>1</v>
      </c>
      <c r="J586" t="s">
        <v>133</v>
      </c>
      <c r="K586" t="s">
        <v>51</v>
      </c>
      <c r="L586" t="s">
        <v>1649</v>
      </c>
      <c r="M586" t="s">
        <v>134</v>
      </c>
      <c r="N586" t="s">
        <v>135</v>
      </c>
      <c r="O586"/>
      <c r="P586"/>
      <c r="Q586" t="s">
        <v>168</v>
      </c>
      <c r="R586"/>
      <c r="S586"/>
      <c r="T586" t="s">
        <v>169</v>
      </c>
      <c r="U586" t="s">
        <v>137</v>
      </c>
      <c r="V586" t="s">
        <v>150</v>
      </c>
      <c r="W586"/>
      <c r="X586" t="s">
        <v>76</v>
      </c>
      <c r="Y586"/>
      <c r="Z586"/>
      <c r="AA586" t="s">
        <v>1579</v>
      </c>
      <c r="AB586" t="s">
        <v>1</v>
      </c>
      <c r="AC586" t="s">
        <v>138</v>
      </c>
      <c r="AD586" t="s">
        <v>128</v>
      </c>
      <c r="AE586" s="97"/>
    </row>
    <row r="587" spans="1:31" ht="14.4" customHeight="1" x14ac:dyDescent="0.3">
      <c r="A587" t="s">
        <v>1650</v>
      </c>
      <c r="B587" t="s">
        <v>1651</v>
      </c>
      <c r="C587"/>
      <c r="D587"/>
      <c r="E587"/>
      <c r="F587"/>
      <c r="G587" t="s">
        <v>1578</v>
      </c>
      <c r="H587" t="s">
        <v>132</v>
      </c>
      <c r="I587" t="s">
        <v>1</v>
      </c>
      <c r="J587" t="s">
        <v>133</v>
      </c>
      <c r="K587" t="s">
        <v>51</v>
      </c>
      <c r="L587" t="s">
        <v>1644</v>
      </c>
      <c r="M587" t="s">
        <v>134</v>
      </c>
      <c r="N587" t="s">
        <v>135</v>
      </c>
      <c r="O587"/>
      <c r="P587"/>
      <c r="Q587" t="s">
        <v>168</v>
      </c>
      <c r="R587"/>
      <c r="S587"/>
      <c r="T587" t="s">
        <v>169</v>
      </c>
      <c r="U587" t="s">
        <v>137</v>
      </c>
      <c r="V587" t="s">
        <v>150</v>
      </c>
      <c r="W587"/>
      <c r="X587" t="s">
        <v>76</v>
      </c>
      <c r="Y587"/>
      <c r="Z587"/>
      <c r="AA587" t="s">
        <v>1579</v>
      </c>
      <c r="AB587" t="s">
        <v>1</v>
      </c>
      <c r="AC587" t="s">
        <v>138</v>
      </c>
      <c r="AD587" t="s">
        <v>128</v>
      </c>
      <c r="AE587" s="97"/>
    </row>
    <row r="588" spans="1:31" ht="14.4" customHeight="1" x14ac:dyDescent="0.3">
      <c r="A588" t="s">
        <v>1656</v>
      </c>
      <c r="B588" t="s">
        <v>1657</v>
      </c>
      <c r="C588"/>
      <c r="D588"/>
      <c r="E588"/>
      <c r="F588"/>
      <c r="G588" t="s">
        <v>1578</v>
      </c>
      <c r="H588" t="s">
        <v>132</v>
      </c>
      <c r="I588" t="s">
        <v>1</v>
      </c>
      <c r="J588" t="s">
        <v>133</v>
      </c>
      <c r="K588" t="s">
        <v>51</v>
      </c>
      <c r="L588" t="s">
        <v>1658</v>
      </c>
      <c r="M588" t="s">
        <v>134</v>
      </c>
      <c r="N588" t="s">
        <v>135</v>
      </c>
      <c r="O588"/>
      <c r="P588"/>
      <c r="Q588" t="s">
        <v>168</v>
      </c>
      <c r="R588"/>
      <c r="S588"/>
      <c r="T588" t="s">
        <v>169</v>
      </c>
      <c r="U588" t="s">
        <v>137</v>
      </c>
      <c r="V588" t="s">
        <v>150</v>
      </c>
      <c r="W588"/>
      <c r="X588" t="s">
        <v>76</v>
      </c>
      <c r="Y588"/>
      <c r="Z588"/>
      <c r="AA588" t="s">
        <v>1579</v>
      </c>
      <c r="AB588" t="s">
        <v>1</v>
      </c>
      <c r="AC588" t="s">
        <v>138</v>
      </c>
      <c r="AD588" t="s">
        <v>128</v>
      </c>
      <c r="AE588" s="97"/>
    </row>
    <row r="589" spans="1:31" ht="14.4" customHeight="1" x14ac:dyDescent="0.3">
      <c r="A589" t="s">
        <v>1659</v>
      </c>
      <c r="B589" t="s">
        <v>1660</v>
      </c>
      <c r="C589"/>
      <c r="D589"/>
      <c r="E589"/>
      <c r="F589"/>
      <c r="G589" t="s">
        <v>1578</v>
      </c>
      <c r="H589" t="s">
        <v>132</v>
      </c>
      <c r="I589" t="s">
        <v>1</v>
      </c>
      <c r="J589" t="s">
        <v>133</v>
      </c>
      <c r="K589" t="s">
        <v>51</v>
      </c>
      <c r="L589" t="s">
        <v>1661</v>
      </c>
      <c r="M589" t="s">
        <v>134</v>
      </c>
      <c r="N589" t="s">
        <v>135</v>
      </c>
      <c r="O589"/>
      <c r="P589"/>
      <c r="Q589" t="s">
        <v>168</v>
      </c>
      <c r="R589"/>
      <c r="S589"/>
      <c r="T589" t="s">
        <v>169</v>
      </c>
      <c r="U589" t="s">
        <v>137</v>
      </c>
      <c r="V589" t="s">
        <v>150</v>
      </c>
      <c r="W589"/>
      <c r="X589" t="s">
        <v>76</v>
      </c>
      <c r="Y589"/>
      <c r="Z589"/>
      <c r="AA589" t="s">
        <v>1579</v>
      </c>
      <c r="AB589" t="s">
        <v>1</v>
      </c>
      <c r="AC589" t="s">
        <v>138</v>
      </c>
      <c r="AD589" t="s">
        <v>128</v>
      </c>
      <c r="AE589" s="97"/>
    </row>
    <row r="590" spans="1:31" ht="14.4" customHeight="1" x14ac:dyDescent="0.3">
      <c r="A590" t="s">
        <v>1662</v>
      </c>
      <c r="B590" t="s">
        <v>1663</v>
      </c>
      <c r="C590"/>
      <c r="D590"/>
      <c r="E590"/>
      <c r="F590"/>
      <c r="G590" t="s">
        <v>1578</v>
      </c>
      <c r="H590" t="s">
        <v>132</v>
      </c>
      <c r="I590" t="s">
        <v>1</v>
      </c>
      <c r="J590" t="s">
        <v>133</v>
      </c>
      <c r="K590" t="s">
        <v>51</v>
      </c>
      <c r="L590" t="s">
        <v>1664</v>
      </c>
      <c r="M590" t="s">
        <v>134</v>
      </c>
      <c r="N590" t="s">
        <v>135</v>
      </c>
      <c r="O590"/>
      <c r="P590"/>
      <c r="Q590" t="s">
        <v>168</v>
      </c>
      <c r="R590"/>
      <c r="S590"/>
      <c r="T590" t="s">
        <v>169</v>
      </c>
      <c r="U590" t="s">
        <v>137</v>
      </c>
      <c r="V590" t="s">
        <v>153</v>
      </c>
      <c r="W590"/>
      <c r="X590" t="s">
        <v>88</v>
      </c>
      <c r="Y590"/>
      <c r="Z590"/>
      <c r="AA590" t="s">
        <v>1579</v>
      </c>
      <c r="AB590" t="s">
        <v>1</v>
      </c>
      <c r="AC590" t="s">
        <v>138</v>
      </c>
      <c r="AD590" t="s">
        <v>129</v>
      </c>
      <c r="AE590" s="97"/>
    </row>
    <row r="591" spans="1:31" ht="14.4" customHeight="1" x14ac:dyDescent="0.3">
      <c r="A591" t="s">
        <v>1665</v>
      </c>
      <c r="B591" t="s">
        <v>1666</v>
      </c>
      <c r="C591"/>
      <c r="D591"/>
      <c r="E591"/>
      <c r="F591"/>
      <c r="G591" t="s">
        <v>1578</v>
      </c>
      <c r="H591" t="s">
        <v>132</v>
      </c>
      <c r="I591" t="s">
        <v>1</v>
      </c>
      <c r="J591" t="s">
        <v>133</v>
      </c>
      <c r="K591" t="s">
        <v>51</v>
      </c>
      <c r="L591" t="s">
        <v>1664</v>
      </c>
      <c r="M591" t="s">
        <v>134</v>
      </c>
      <c r="N591" t="s">
        <v>135</v>
      </c>
      <c r="O591"/>
      <c r="P591"/>
      <c r="Q591" t="s">
        <v>168</v>
      </c>
      <c r="R591"/>
      <c r="S591"/>
      <c r="T591" t="s">
        <v>169</v>
      </c>
      <c r="U591" t="s">
        <v>137</v>
      </c>
      <c r="V591" t="s">
        <v>153</v>
      </c>
      <c r="W591"/>
      <c r="X591" t="s">
        <v>88</v>
      </c>
      <c r="Y591"/>
      <c r="Z591"/>
      <c r="AA591" t="s">
        <v>1579</v>
      </c>
      <c r="AB591" t="s">
        <v>1</v>
      </c>
      <c r="AC591" t="s">
        <v>138</v>
      </c>
      <c r="AD591" t="s">
        <v>129</v>
      </c>
      <c r="AE591" s="97"/>
    </row>
    <row r="592" spans="1:31" ht="14.4" customHeight="1" x14ac:dyDescent="0.3">
      <c r="A592" t="s">
        <v>1667</v>
      </c>
      <c r="B592" t="s">
        <v>1668</v>
      </c>
      <c r="C592"/>
      <c r="D592"/>
      <c r="E592"/>
      <c r="F592"/>
      <c r="G592" t="s">
        <v>1578</v>
      </c>
      <c r="H592" t="s">
        <v>132</v>
      </c>
      <c r="I592" t="s">
        <v>1</v>
      </c>
      <c r="J592" t="s">
        <v>133</v>
      </c>
      <c r="K592" t="s">
        <v>51</v>
      </c>
      <c r="L592" t="s">
        <v>1669</v>
      </c>
      <c r="M592" t="s">
        <v>134</v>
      </c>
      <c r="N592" t="s">
        <v>135</v>
      </c>
      <c r="O592"/>
      <c r="P592"/>
      <c r="Q592" t="s">
        <v>168</v>
      </c>
      <c r="R592"/>
      <c r="S592"/>
      <c r="T592" t="s">
        <v>169</v>
      </c>
      <c r="U592" t="s">
        <v>137</v>
      </c>
      <c r="V592" t="s">
        <v>153</v>
      </c>
      <c r="W592"/>
      <c r="X592" t="s">
        <v>88</v>
      </c>
      <c r="Y592"/>
      <c r="Z592"/>
      <c r="AA592" t="s">
        <v>1579</v>
      </c>
      <c r="AB592" t="s">
        <v>1</v>
      </c>
      <c r="AC592" t="s">
        <v>138</v>
      </c>
      <c r="AD592" t="s">
        <v>129</v>
      </c>
      <c r="AE592" s="97"/>
    </row>
    <row r="593" spans="1:31" ht="14.4" customHeight="1" x14ac:dyDescent="0.3">
      <c r="A593" t="s">
        <v>1670</v>
      </c>
      <c r="B593" t="s">
        <v>1671</v>
      </c>
      <c r="C593"/>
      <c r="D593"/>
      <c r="E593"/>
      <c r="F593"/>
      <c r="G593" t="s">
        <v>1578</v>
      </c>
      <c r="H593" t="s">
        <v>132</v>
      </c>
      <c r="I593" t="s">
        <v>1</v>
      </c>
      <c r="J593" t="s">
        <v>133</v>
      </c>
      <c r="K593" t="s">
        <v>51</v>
      </c>
      <c r="L593" t="s">
        <v>1664</v>
      </c>
      <c r="M593" t="s">
        <v>134</v>
      </c>
      <c r="N593" t="s">
        <v>135</v>
      </c>
      <c r="O593"/>
      <c r="P593"/>
      <c r="Q593" t="s">
        <v>168</v>
      </c>
      <c r="R593"/>
      <c r="S593"/>
      <c r="T593" t="s">
        <v>169</v>
      </c>
      <c r="U593" t="s">
        <v>137</v>
      </c>
      <c r="V593" t="s">
        <v>153</v>
      </c>
      <c r="W593"/>
      <c r="X593" t="s">
        <v>88</v>
      </c>
      <c r="Y593"/>
      <c r="Z593"/>
      <c r="AA593" t="s">
        <v>1579</v>
      </c>
      <c r="AB593" t="s">
        <v>1</v>
      </c>
      <c r="AC593" t="s">
        <v>138</v>
      </c>
      <c r="AD593" t="s">
        <v>129</v>
      </c>
      <c r="AE593" s="97"/>
    </row>
    <row r="594" spans="1:31" ht="14.4" customHeight="1" x14ac:dyDescent="0.3">
      <c r="A594" t="s">
        <v>1676</v>
      </c>
      <c r="B594" t="s">
        <v>1677</v>
      </c>
      <c r="C594"/>
      <c r="D594"/>
      <c r="E594"/>
      <c r="F594"/>
      <c r="G594" t="s">
        <v>1578</v>
      </c>
      <c r="H594" t="s">
        <v>132</v>
      </c>
      <c r="I594" t="s">
        <v>1</v>
      </c>
      <c r="J594" t="s">
        <v>133</v>
      </c>
      <c r="K594" t="s">
        <v>51</v>
      </c>
      <c r="L594" t="s">
        <v>1678</v>
      </c>
      <c r="M594" t="s">
        <v>134</v>
      </c>
      <c r="N594" t="s">
        <v>135</v>
      </c>
      <c r="O594"/>
      <c r="P594"/>
      <c r="Q594" t="s">
        <v>168</v>
      </c>
      <c r="R594"/>
      <c r="S594"/>
      <c r="T594" t="s">
        <v>169</v>
      </c>
      <c r="U594" t="s">
        <v>137</v>
      </c>
      <c r="V594" t="s">
        <v>153</v>
      </c>
      <c r="W594"/>
      <c r="X594" t="s">
        <v>88</v>
      </c>
      <c r="Y594"/>
      <c r="Z594"/>
      <c r="AA594" t="s">
        <v>1579</v>
      </c>
      <c r="AB594" t="s">
        <v>1</v>
      </c>
      <c r="AC594" t="s">
        <v>138</v>
      </c>
      <c r="AD594" t="s">
        <v>129</v>
      </c>
      <c r="AE594" s="97"/>
    </row>
    <row r="595" spans="1:31" ht="14.4" customHeight="1" x14ac:dyDescent="0.3">
      <c r="A595" t="s">
        <v>1679</v>
      </c>
      <c r="B595" t="s">
        <v>1680</v>
      </c>
      <c r="C595"/>
      <c r="D595"/>
      <c r="E595"/>
      <c r="F595"/>
      <c r="G595" t="s">
        <v>1578</v>
      </c>
      <c r="H595" t="s">
        <v>132</v>
      </c>
      <c r="I595" t="s">
        <v>1</v>
      </c>
      <c r="J595" t="s">
        <v>133</v>
      </c>
      <c r="K595" t="s">
        <v>51</v>
      </c>
      <c r="L595" t="s">
        <v>1681</v>
      </c>
      <c r="M595" t="s">
        <v>134</v>
      </c>
      <c r="N595" t="s">
        <v>135</v>
      </c>
      <c r="O595"/>
      <c r="P595"/>
      <c r="Q595" t="s">
        <v>168</v>
      </c>
      <c r="R595"/>
      <c r="S595"/>
      <c r="T595" t="s">
        <v>169</v>
      </c>
      <c r="U595" t="s">
        <v>137</v>
      </c>
      <c r="V595" t="s">
        <v>153</v>
      </c>
      <c r="W595"/>
      <c r="X595" t="s">
        <v>88</v>
      </c>
      <c r="Y595"/>
      <c r="Z595"/>
      <c r="AA595" t="s">
        <v>1579</v>
      </c>
      <c r="AB595" t="s">
        <v>1</v>
      </c>
      <c r="AC595" t="s">
        <v>138</v>
      </c>
      <c r="AD595" t="s">
        <v>129</v>
      </c>
      <c r="AE595" s="97"/>
    </row>
    <row r="596" spans="1:31" ht="14.4" customHeight="1" x14ac:dyDescent="0.3">
      <c r="A596" t="s">
        <v>1682</v>
      </c>
      <c r="B596" t="s">
        <v>1683</v>
      </c>
      <c r="C596"/>
      <c r="D596"/>
      <c r="E596"/>
      <c r="F596"/>
      <c r="G596" t="s">
        <v>1578</v>
      </c>
      <c r="H596" t="s">
        <v>132</v>
      </c>
      <c r="I596" t="s">
        <v>1</v>
      </c>
      <c r="J596" t="s">
        <v>133</v>
      </c>
      <c r="K596" t="s">
        <v>51</v>
      </c>
      <c r="L596" t="s">
        <v>1684</v>
      </c>
      <c r="M596" t="s">
        <v>134</v>
      </c>
      <c r="N596" t="s">
        <v>135</v>
      </c>
      <c r="O596"/>
      <c r="P596"/>
      <c r="Q596" t="s">
        <v>168</v>
      </c>
      <c r="R596"/>
      <c r="S596"/>
      <c r="T596" t="s">
        <v>169</v>
      </c>
      <c r="U596" t="s">
        <v>137</v>
      </c>
      <c r="V596" t="s">
        <v>156</v>
      </c>
      <c r="W596"/>
      <c r="X596" t="s">
        <v>97</v>
      </c>
      <c r="Y596"/>
      <c r="Z596"/>
      <c r="AA596" t="s">
        <v>1579</v>
      </c>
      <c r="AB596" t="s">
        <v>1</v>
      </c>
      <c r="AC596" t="s">
        <v>138</v>
      </c>
      <c r="AD596" t="s">
        <v>129</v>
      </c>
      <c r="AE596" s="97"/>
    </row>
    <row r="597" spans="1:31" ht="14.4" customHeight="1" x14ac:dyDescent="0.3">
      <c r="A597" t="s">
        <v>1685</v>
      </c>
      <c r="B597" t="s">
        <v>1686</v>
      </c>
      <c r="C597"/>
      <c r="D597"/>
      <c r="E597"/>
      <c r="F597"/>
      <c r="G597" t="s">
        <v>1578</v>
      </c>
      <c r="H597" t="s">
        <v>132</v>
      </c>
      <c r="I597" t="s">
        <v>1</v>
      </c>
      <c r="J597" t="s">
        <v>133</v>
      </c>
      <c r="K597" t="s">
        <v>51</v>
      </c>
      <c r="L597" t="s">
        <v>1684</v>
      </c>
      <c r="M597" t="s">
        <v>134</v>
      </c>
      <c r="N597" t="s">
        <v>135</v>
      </c>
      <c r="O597"/>
      <c r="P597"/>
      <c r="Q597" t="s">
        <v>168</v>
      </c>
      <c r="R597"/>
      <c r="S597"/>
      <c r="T597" t="s">
        <v>169</v>
      </c>
      <c r="U597" t="s">
        <v>137</v>
      </c>
      <c r="V597" t="s">
        <v>156</v>
      </c>
      <c r="W597"/>
      <c r="X597" t="s">
        <v>97</v>
      </c>
      <c r="Y597"/>
      <c r="Z597"/>
      <c r="AA597" t="s">
        <v>1579</v>
      </c>
      <c r="AB597" t="s">
        <v>1</v>
      </c>
      <c r="AC597" t="s">
        <v>138</v>
      </c>
      <c r="AD597" t="s">
        <v>129</v>
      </c>
      <c r="AE597" s="97"/>
    </row>
    <row r="598" spans="1:31" ht="14.4" customHeight="1" x14ac:dyDescent="0.3">
      <c r="A598" t="s">
        <v>1687</v>
      </c>
      <c r="B598" t="s">
        <v>1688</v>
      </c>
      <c r="C598"/>
      <c r="D598"/>
      <c r="E598"/>
      <c r="F598"/>
      <c r="G598" t="s">
        <v>1578</v>
      </c>
      <c r="H598" t="s">
        <v>132</v>
      </c>
      <c r="I598" t="s">
        <v>1</v>
      </c>
      <c r="J598" t="s">
        <v>133</v>
      </c>
      <c r="K598" t="s">
        <v>51</v>
      </c>
      <c r="L598" t="s">
        <v>1689</v>
      </c>
      <c r="M598" t="s">
        <v>134</v>
      </c>
      <c r="N598" t="s">
        <v>135</v>
      </c>
      <c r="O598"/>
      <c r="P598"/>
      <c r="Q598" t="s">
        <v>168</v>
      </c>
      <c r="R598"/>
      <c r="S598"/>
      <c r="T598" t="s">
        <v>169</v>
      </c>
      <c r="U598" t="s">
        <v>137</v>
      </c>
      <c r="V598" t="s">
        <v>156</v>
      </c>
      <c r="W598"/>
      <c r="X598" t="s">
        <v>97</v>
      </c>
      <c r="Y598"/>
      <c r="Z598"/>
      <c r="AA598" t="s">
        <v>1579</v>
      </c>
      <c r="AB598" t="s">
        <v>1</v>
      </c>
      <c r="AC598" t="s">
        <v>138</v>
      </c>
      <c r="AD598" t="s">
        <v>129</v>
      </c>
      <c r="AE598" s="97"/>
    </row>
    <row r="599" spans="1:31" ht="14.4" customHeight="1" x14ac:dyDescent="0.3">
      <c r="A599" t="s">
        <v>1690</v>
      </c>
      <c r="B599" t="s">
        <v>1691</v>
      </c>
      <c r="C599"/>
      <c r="D599"/>
      <c r="E599"/>
      <c r="F599"/>
      <c r="G599" t="s">
        <v>1578</v>
      </c>
      <c r="H599" t="s">
        <v>132</v>
      </c>
      <c r="I599" t="s">
        <v>1</v>
      </c>
      <c r="J599" t="s">
        <v>133</v>
      </c>
      <c r="K599" t="s">
        <v>51</v>
      </c>
      <c r="L599" t="s">
        <v>1684</v>
      </c>
      <c r="M599" t="s">
        <v>134</v>
      </c>
      <c r="N599" t="s">
        <v>135</v>
      </c>
      <c r="O599"/>
      <c r="P599"/>
      <c r="Q599" t="s">
        <v>168</v>
      </c>
      <c r="R599"/>
      <c r="S599"/>
      <c r="T599" t="s">
        <v>169</v>
      </c>
      <c r="U599" t="s">
        <v>137</v>
      </c>
      <c r="V599" t="s">
        <v>156</v>
      </c>
      <c r="W599"/>
      <c r="X599" t="s">
        <v>97</v>
      </c>
      <c r="Y599"/>
      <c r="Z599"/>
      <c r="AA599" t="s">
        <v>1579</v>
      </c>
      <c r="AB599" t="s">
        <v>1</v>
      </c>
      <c r="AC599" t="s">
        <v>138</v>
      </c>
      <c r="AD599" t="s">
        <v>129</v>
      </c>
      <c r="AE599" s="97"/>
    </row>
    <row r="600" spans="1:31" ht="14.4" customHeight="1" x14ac:dyDescent="0.3">
      <c r="A600" t="s">
        <v>1696</v>
      </c>
      <c r="B600" t="s">
        <v>1697</v>
      </c>
      <c r="C600"/>
      <c r="D600"/>
      <c r="E600"/>
      <c r="F600"/>
      <c r="G600" t="s">
        <v>1578</v>
      </c>
      <c r="H600" t="s">
        <v>132</v>
      </c>
      <c r="I600" t="s">
        <v>1</v>
      </c>
      <c r="J600" t="s">
        <v>133</v>
      </c>
      <c r="K600" t="s">
        <v>51</v>
      </c>
      <c r="L600" t="s">
        <v>1698</v>
      </c>
      <c r="M600" t="s">
        <v>134</v>
      </c>
      <c r="N600" t="s">
        <v>135</v>
      </c>
      <c r="O600"/>
      <c r="P600"/>
      <c r="Q600" t="s">
        <v>168</v>
      </c>
      <c r="R600"/>
      <c r="S600"/>
      <c r="T600" t="s">
        <v>169</v>
      </c>
      <c r="U600" t="s">
        <v>137</v>
      </c>
      <c r="V600" t="s">
        <v>156</v>
      </c>
      <c r="W600"/>
      <c r="X600" t="s">
        <v>97</v>
      </c>
      <c r="Y600"/>
      <c r="Z600"/>
      <c r="AA600" t="s">
        <v>1579</v>
      </c>
      <c r="AB600" t="s">
        <v>1</v>
      </c>
      <c r="AC600" t="s">
        <v>138</v>
      </c>
      <c r="AD600" t="s">
        <v>129</v>
      </c>
      <c r="AE600" s="97"/>
    </row>
    <row r="601" spans="1:31" ht="14.4" customHeight="1" x14ac:dyDescent="0.3">
      <c r="A601" t="s">
        <v>1699</v>
      </c>
      <c r="B601" t="s">
        <v>1700</v>
      </c>
      <c r="C601"/>
      <c r="D601"/>
      <c r="E601"/>
      <c r="F601"/>
      <c r="G601" t="s">
        <v>1578</v>
      </c>
      <c r="H601" t="s">
        <v>132</v>
      </c>
      <c r="I601" t="s">
        <v>1</v>
      </c>
      <c r="J601" t="s">
        <v>133</v>
      </c>
      <c r="K601" t="s">
        <v>51</v>
      </c>
      <c r="L601" t="s">
        <v>1701</v>
      </c>
      <c r="M601" t="s">
        <v>134</v>
      </c>
      <c r="N601" t="s">
        <v>135</v>
      </c>
      <c r="O601"/>
      <c r="P601"/>
      <c r="Q601" t="s">
        <v>168</v>
      </c>
      <c r="R601"/>
      <c r="S601"/>
      <c r="T601" t="s">
        <v>169</v>
      </c>
      <c r="U601" t="s">
        <v>137</v>
      </c>
      <c r="V601" t="s">
        <v>156</v>
      </c>
      <c r="W601"/>
      <c r="X601" t="s">
        <v>97</v>
      </c>
      <c r="Y601"/>
      <c r="Z601"/>
      <c r="AA601" t="s">
        <v>1579</v>
      </c>
      <c r="AB601" t="s">
        <v>1</v>
      </c>
      <c r="AC601" t="s">
        <v>138</v>
      </c>
      <c r="AD601" t="s">
        <v>129</v>
      </c>
      <c r="AE601" s="97"/>
    </row>
    <row r="602" spans="1:31" ht="14.4" customHeight="1" x14ac:dyDescent="0.3">
      <c r="A602" t="s">
        <v>1702</v>
      </c>
      <c r="B602" t="s">
        <v>1703</v>
      </c>
      <c r="C602"/>
      <c r="D602"/>
      <c r="E602"/>
      <c r="F602"/>
      <c r="G602" t="s">
        <v>1578</v>
      </c>
      <c r="H602" t="s">
        <v>132</v>
      </c>
      <c r="I602" t="s">
        <v>1</v>
      </c>
      <c r="J602" t="s">
        <v>133</v>
      </c>
      <c r="K602" t="s">
        <v>51</v>
      </c>
      <c r="L602" t="s">
        <v>1704</v>
      </c>
      <c r="M602" t="s">
        <v>134</v>
      </c>
      <c r="N602" t="s">
        <v>135</v>
      </c>
      <c r="O602"/>
      <c r="P602"/>
      <c r="Q602" t="s">
        <v>168</v>
      </c>
      <c r="R602"/>
      <c r="S602"/>
      <c r="T602" t="s">
        <v>169</v>
      </c>
      <c r="U602" t="s">
        <v>137</v>
      </c>
      <c r="V602" t="s">
        <v>159</v>
      </c>
      <c r="W602"/>
      <c r="X602" t="s">
        <v>106</v>
      </c>
      <c r="Y602"/>
      <c r="Z602"/>
      <c r="AA602" t="s">
        <v>1579</v>
      </c>
      <c r="AB602" t="s">
        <v>1</v>
      </c>
      <c r="AC602" t="s">
        <v>138</v>
      </c>
      <c r="AD602" t="s">
        <v>129</v>
      </c>
      <c r="AE602" s="97"/>
    </row>
    <row r="603" spans="1:31" ht="14.4" customHeight="1" x14ac:dyDescent="0.3">
      <c r="A603" t="s">
        <v>1705</v>
      </c>
      <c r="B603" t="s">
        <v>1706</v>
      </c>
      <c r="C603"/>
      <c r="D603"/>
      <c r="E603"/>
      <c r="F603"/>
      <c r="G603" t="s">
        <v>1578</v>
      </c>
      <c r="H603" t="s">
        <v>132</v>
      </c>
      <c r="I603" t="s">
        <v>1</v>
      </c>
      <c r="J603" t="s">
        <v>133</v>
      </c>
      <c r="K603" t="s">
        <v>51</v>
      </c>
      <c r="L603" t="s">
        <v>1704</v>
      </c>
      <c r="M603" t="s">
        <v>134</v>
      </c>
      <c r="N603" t="s">
        <v>135</v>
      </c>
      <c r="O603"/>
      <c r="P603"/>
      <c r="Q603" t="s">
        <v>168</v>
      </c>
      <c r="R603"/>
      <c r="S603"/>
      <c r="T603" t="s">
        <v>169</v>
      </c>
      <c r="U603" t="s">
        <v>137</v>
      </c>
      <c r="V603" t="s">
        <v>159</v>
      </c>
      <c r="W603"/>
      <c r="X603" t="s">
        <v>106</v>
      </c>
      <c r="Y603"/>
      <c r="Z603"/>
      <c r="AA603" t="s">
        <v>1579</v>
      </c>
      <c r="AB603" t="s">
        <v>1</v>
      </c>
      <c r="AC603" t="s">
        <v>138</v>
      </c>
      <c r="AD603" t="s">
        <v>129</v>
      </c>
      <c r="AE603" s="97"/>
    </row>
    <row r="604" spans="1:31" ht="14.4" customHeight="1" x14ac:dyDescent="0.3">
      <c r="A604" t="s">
        <v>1707</v>
      </c>
      <c r="B604" t="s">
        <v>1708</v>
      </c>
      <c r="C604"/>
      <c r="D604"/>
      <c r="E604"/>
      <c r="F604"/>
      <c r="G604" t="s">
        <v>1578</v>
      </c>
      <c r="H604" t="s">
        <v>132</v>
      </c>
      <c r="I604" t="s">
        <v>1</v>
      </c>
      <c r="J604" t="s">
        <v>133</v>
      </c>
      <c r="K604" t="s">
        <v>51</v>
      </c>
      <c r="L604" t="s">
        <v>1709</v>
      </c>
      <c r="M604" t="s">
        <v>134</v>
      </c>
      <c r="N604" t="s">
        <v>135</v>
      </c>
      <c r="O604"/>
      <c r="P604"/>
      <c r="Q604" t="s">
        <v>168</v>
      </c>
      <c r="R604"/>
      <c r="S604"/>
      <c r="T604" t="s">
        <v>169</v>
      </c>
      <c r="U604" t="s">
        <v>137</v>
      </c>
      <c r="V604" t="s">
        <v>159</v>
      </c>
      <c r="W604"/>
      <c r="X604" t="s">
        <v>106</v>
      </c>
      <c r="Y604"/>
      <c r="Z604"/>
      <c r="AA604" t="s">
        <v>1579</v>
      </c>
      <c r="AB604" t="s">
        <v>1</v>
      </c>
      <c r="AC604" t="s">
        <v>138</v>
      </c>
      <c r="AD604" t="s">
        <v>129</v>
      </c>
      <c r="AE604" s="97"/>
    </row>
    <row r="605" spans="1:31" ht="14.4" customHeight="1" x14ac:dyDescent="0.3">
      <c r="A605" t="s">
        <v>1710</v>
      </c>
      <c r="B605" t="s">
        <v>1711</v>
      </c>
      <c r="C605"/>
      <c r="D605"/>
      <c r="E605"/>
      <c r="F605"/>
      <c r="G605" t="s">
        <v>1578</v>
      </c>
      <c r="H605" t="s">
        <v>132</v>
      </c>
      <c r="I605" t="s">
        <v>1</v>
      </c>
      <c r="J605" t="s">
        <v>133</v>
      </c>
      <c r="K605" t="s">
        <v>51</v>
      </c>
      <c r="L605" t="s">
        <v>1704</v>
      </c>
      <c r="M605" t="s">
        <v>134</v>
      </c>
      <c r="N605" t="s">
        <v>135</v>
      </c>
      <c r="O605"/>
      <c r="P605"/>
      <c r="Q605" t="s">
        <v>168</v>
      </c>
      <c r="R605"/>
      <c r="S605"/>
      <c r="T605" t="s">
        <v>169</v>
      </c>
      <c r="U605" t="s">
        <v>137</v>
      </c>
      <c r="V605" t="s">
        <v>159</v>
      </c>
      <c r="W605"/>
      <c r="X605" t="s">
        <v>106</v>
      </c>
      <c r="Y605"/>
      <c r="Z605"/>
      <c r="AA605" t="s">
        <v>1579</v>
      </c>
      <c r="AB605" t="s">
        <v>1</v>
      </c>
      <c r="AC605" t="s">
        <v>138</v>
      </c>
      <c r="AD605" t="s">
        <v>129</v>
      </c>
      <c r="AE605" s="97"/>
    </row>
    <row r="606" spans="1:31" ht="14.4" customHeight="1" x14ac:dyDescent="0.3">
      <c r="A606" t="s">
        <v>1716</v>
      </c>
      <c r="B606" t="s">
        <v>1717</v>
      </c>
      <c r="C606"/>
      <c r="D606"/>
      <c r="E606"/>
      <c r="F606"/>
      <c r="G606" t="s">
        <v>1578</v>
      </c>
      <c r="H606" t="s">
        <v>132</v>
      </c>
      <c r="I606" t="s">
        <v>1</v>
      </c>
      <c r="J606" t="s">
        <v>133</v>
      </c>
      <c r="K606" t="s">
        <v>51</v>
      </c>
      <c r="L606" t="s">
        <v>1718</v>
      </c>
      <c r="M606" t="s">
        <v>134</v>
      </c>
      <c r="N606" t="s">
        <v>135</v>
      </c>
      <c r="O606"/>
      <c r="P606"/>
      <c r="Q606" t="s">
        <v>168</v>
      </c>
      <c r="R606"/>
      <c r="S606"/>
      <c r="T606" t="s">
        <v>169</v>
      </c>
      <c r="U606" t="s">
        <v>137</v>
      </c>
      <c r="V606" t="s">
        <v>159</v>
      </c>
      <c r="W606"/>
      <c r="X606" t="s">
        <v>106</v>
      </c>
      <c r="Y606"/>
      <c r="Z606"/>
      <c r="AA606" t="s">
        <v>1579</v>
      </c>
      <c r="AB606" t="s">
        <v>1</v>
      </c>
      <c r="AC606" t="s">
        <v>138</v>
      </c>
      <c r="AD606" t="s">
        <v>129</v>
      </c>
      <c r="AE606" s="97"/>
    </row>
    <row r="607" spans="1:31" ht="14.4" customHeight="1" x14ac:dyDescent="0.3">
      <c r="A607" t="s">
        <v>1719</v>
      </c>
      <c r="B607" t="s">
        <v>1720</v>
      </c>
      <c r="C607"/>
      <c r="D607"/>
      <c r="E607"/>
      <c r="F607"/>
      <c r="G607" t="s">
        <v>1578</v>
      </c>
      <c r="H607" t="s">
        <v>132</v>
      </c>
      <c r="I607" t="s">
        <v>1</v>
      </c>
      <c r="J607" t="s">
        <v>133</v>
      </c>
      <c r="K607" t="s">
        <v>51</v>
      </c>
      <c r="L607" t="s">
        <v>1721</v>
      </c>
      <c r="M607" t="s">
        <v>134</v>
      </c>
      <c r="N607" t="s">
        <v>135</v>
      </c>
      <c r="O607"/>
      <c r="P607"/>
      <c r="Q607" t="s">
        <v>168</v>
      </c>
      <c r="R607"/>
      <c r="S607"/>
      <c r="T607" t="s">
        <v>169</v>
      </c>
      <c r="U607" t="s">
        <v>137</v>
      </c>
      <c r="V607" t="s">
        <v>159</v>
      </c>
      <c r="W607"/>
      <c r="X607" t="s">
        <v>106</v>
      </c>
      <c r="Y607"/>
      <c r="Z607"/>
      <c r="AA607" t="s">
        <v>1579</v>
      </c>
      <c r="AB607" t="s">
        <v>1</v>
      </c>
      <c r="AC607" t="s">
        <v>138</v>
      </c>
      <c r="AD607" t="s">
        <v>129</v>
      </c>
      <c r="AE607" s="97"/>
    </row>
    <row r="608" spans="1:31" ht="14.4" customHeight="1" x14ac:dyDescent="0.3">
      <c r="A608" t="s">
        <v>1722</v>
      </c>
      <c r="B608" t="s">
        <v>1723</v>
      </c>
      <c r="C608"/>
      <c r="D608"/>
      <c r="E608"/>
      <c r="F608"/>
      <c r="G608" t="s">
        <v>1578</v>
      </c>
      <c r="H608" t="s">
        <v>132</v>
      </c>
      <c r="I608" t="s">
        <v>1</v>
      </c>
      <c r="J608" t="s">
        <v>133</v>
      </c>
      <c r="K608" t="s">
        <v>51</v>
      </c>
      <c r="L608" t="s">
        <v>1724</v>
      </c>
      <c r="M608" t="s">
        <v>134</v>
      </c>
      <c r="N608" t="s">
        <v>135</v>
      </c>
      <c r="O608"/>
      <c r="P608"/>
      <c r="Q608" t="s">
        <v>168</v>
      </c>
      <c r="R608"/>
      <c r="S608"/>
      <c r="T608" t="s">
        <v>169</v>
      </c>
      <c r="U608" t="s">
        <v>137</v>
      </c>
      <c r="V608" t="s">
        <v>162</v>
      </c>
      <c r="W608"/>
      <c r="X608" t="s">
        <v>113</v>
      </c>
      <c r="Y608"/>
      <c r="Z608"/>
      <c r="AA608" t="s">
        <v>1579</v>
      </c>
      <c r="AB608" t="s">
        <v>1</v>
      </c>
      <c r="AC608" t="s">
        <v>138</v>
      </c>
      <c r="AD608" t="s">
        <v>129</v>
      </c>
      <c r="AE608" s="97"/>
    </row>
    <row r="609" spans="1:31" ht="14.4" customHeight="1" x14ac:dyDescent="0.3">
      <c r="A609" t="s">
        <v>1725</v>
      </c>
      <c r="B609" t="s">
        <v>1726</v>
      </c>
      <c r="C609"/>
      <c r="D609"/>
      <c r="E609"/>
      <c r="F609"/>
      <c r="G609" t="s">
        <v>1578</v>
      </c>
      <c r="H609" t="s">
        <v>132</v>
      </c>
      <c r="I609" t="s">
        <v>1</v>
      </c>
      <c r="J609" t="s">
        <v>133</v>
      </c>
      <c r="K609" t="s">
        <v>51</v>
      </c>
      <c r="L609" t="s">
        <v>1724</v>
      </c>
      <c r="M609" t="s">
        <v>134</v>
      </c>
      <c r="N609" t="s">
        <v>135</v>
      </c>
      <c r="O609"/>
      <c r="P609"/>
      <c r="Q609" t="s">
        <v>168</v>
      </c>
      <c r="R609"/>
      <c r="S609"/>
      <c r="T609" t="s">
        <v>169</v>
      </c>
      <c r="U609" t="s">
        <v>137</v>
      </c>
      <c r="V609" t="s">
        <v>162</v>
      </c>
      <c r="W609"/>
      <c r="X609" t="s">
        <v>113</v>
      </c>
      <c r="Y609"/>
      <c r="Z609"/>
      <c r="AA609" t="s">
        <v>1579</v>
      </c>
      <c r="AB609" t="s">
        <v>1</v>
      </c>
      <c r="AC609" t="s">
        <v>138</v>
      </c>
      <c r="AD609" t="s">
        <v>129</v>
      </c>
      <c r="AE609" s="97"/>
    </row>
    <row r="610" spans="1:31" ht="14.4" customHeight="1" x14ac:dyDescent="0.3">
      <c r="A610" t="s">
        <v>1727</v>
      </c>
      <c r="B610" t="s">
        <v>1728</v>
      </c>
      <c r="C610"/>
      <c r="D610"/>
      <c r="E610"/>
      <c r="F610"/>
      <c r="G610" t="s">
        <v>1578</v>
      </c>
      <c r="H610" t="s">
        <v>132</v>
      </c>
      <c r="I610" t="s">
        <v>1</v>
      </c>
      <c r="J610" t="s">
        <v>133</v>
      </c>
      <c r="K610" t="s">
        <v>51</v>
      </c>
      <c r="L610" t="s">
        <v>1729</v>
      </c>
      <c r="M610" t="s">
        <v>134</v>
      </c>
      <c r="N610" t="s">
        <v>135</v>
      </c>
      <c r="O610"/>
      <c r="P610"/>
      <c r="Q610" t="s">
        <v>168</v>
      </c>
      <c r="R610"/>
      <c r="S610"/>
      <c r="T610" t="s">
        <v>169</v>
      </c>
      <c r="U610" t="s">
        <v>137</v>
      </c>
      <c r="V610" t="s">
        <v>162</v>
      </c>
      <c r="W610"/>
      <c r="X610" t="s">
        <v>113</v>
      </c>
      <c r="Y610"/>
      <c r="Z610"/>
      <c r="AA610" t="s">
        <v>1579</v>
      </c>
      <c r="AB610" t="s">
        <v>1</v>
      </c>
      <c r="AC610" t="s">
        <v>138</v>
      </c>
      <c r="AD610" t="s">
        <v>129</v>
      </c>
      <c r="AE610" s="97"/>
    </row>
    <row r="611" spans="1:31" ht="14.4" customHeight="1" x14ac:dyDescent="0.3">
      <c r="A611" t="s">
        <v>1730</v>
      </c>
      <c r="B611" t="s">
        <v>1731</v>
      </c>
      <c r="C611"/>
      <c r="D611"/>
      <c r="E611"/>
      <c r="F611"/>
      <c r="G611" t="s">
        <v>1578</v>
      </c>
      <c r="H611" t="s">
        <v>132</v>
      </c>
      <c r="I611" t="s">
        <v>1</v>
      </c>
      <c r="J611" t="s">
        <v>133</v>
      </c>
      <c r="K611" t="s">
        <v>51</v>
      </c>
      <c r="L611" t="s">
        <v>1724</v>
      </c>
      <c r="M611" t="s">
        <v>134</v>
      </c>
      <c r="N611" t="s">
        <v>135</v>
      </c>
      <c r="O611"/>
      <c r="P611"/>
      <c r="Q611" t="s">
        <v>168</v>
      </c>
      <c r="R611"/>
      <c r="S611"/>
      <c r="T611" t="s">
        <v>169</v>
      </c>
      <c r="U611" t="s">
        <v>137</v>
      </c>
      <c r="V611" t="s">
        <v>162</v>
      </c>
      <c r="W611"/>
      <c r="X611" t="s">
        <v>113</v>
      </c>
      <c r="Y611"/>
      <c r="Z611"/>
      <c r="AA611" t="s">
        <v>1579</v>
      </c>
      <c r="AB611" t="s">
        <v>1</v>
      </c>
      <c r="AC611" t="s">
        <v>138</v>
      </c>
      <c r="AD611" t="s">
        <v>129</v>
      </c>
      <c r="AE611" s="97"/>
    </row>
    <row r="612" spans="1:31" ht="14.4" customHeight="1" x14ac:dyDescent="0.3">
      <c r="A612" t="s">
        <v>1736</v>
      </c>
      <c r="B612" t="s">
        <v>1737</v>
      </c>
      <c r="C612"/>
      <c r="D612"/>
      <c r="E612"/>
      <c r="F612"/>
      <c r="G612" t="s">
        <v>1578</v>
      </c>
      <c r="H612" t="s">
        <v>132</v>
      </c>
      <c r="I612" t="s">
        <v>1</v>
      </c>
      <c r="J612" t="s">
        <v>133</v>
      </c>
      <c r="K612" t="s">
        <v>51</v>
      </c>
      <c r="L612" t="s">
        <v>1738</v>
      </c>
      <c r="M612" t="s">
        <v>134</v>
      </c>
      <c r="N612" t="s">
        <v>135</v>
      </c>
      <c r="O612"/>
      <c r="P612"/>
      <c r="Q612" t="s">
        <v>168</v>
      </c>
      <c r="R612"/>
      <c r="S612"/>
      <c r="T612" t="s">
        <v>169</v>
      </c>
      <c r="U612" t="s">
        <v>137</v>
      </c>
      <c r="V612" t="s">
        <v>162</v>
      </c>
      <c r="W612"/>
      <c r="X612" t="s">
        <v>113</v>
      </c>
      <c r="Y612"/>
      <c r="Z612"/>
      <c r="AA612" t="s">
        <v>1579</v>
      </c>
      <c r="AB612" t="s">
        <v>1</v>
      </c>
      <c r="AC612" t="s">
        <v>138</v>
      </c>
      <c r="AD612" t="s">
        <v>129</v>
      </c>
      <c r="AE612" s="97"/>
    </row>
    <row r="613" spans="1:31" ht="14.4" customHeight="1" x14ac:dyDescent="0.3">
      <c r="A613" t="s">
        <v>1739</v>
      </c>
      <c r="B613" t="s">
        <v>1740</v>
      </c>
      <c r="C613"/>
      <c r="D613"/>
      <c r="E613"/>
      <c r="F613"/>
      <c r="G613" t="s">
        <v>1578</v>
      </c>
      <c r="H613" t="s">
        <v>132</v>
      </c>
      <c r="I613" t="s">
        <v>1</v>
      </c>
      <c r="J613" t="s">
        <v>133</v>
      </c>
      <c r="K613" t="s">
        <v>51</v>
      </c>
      <c r="L613" t="s">
        <v>1741</v>
      </c>
      <c r="M613" t="s">
        <v>134</v>
      </c>
      <c r="N613" t="s">
        <v>135</v>
      </c>
      <c r="O613"/>
      <c r="P613"/>
      <c r="Q613" t="s">
        <v>168</v>
      </c>
      <c r="R613"/>
      <c r="S613"/>
      <c r="T613" t="s">
        <v>169</v>
      </c>
      <c r="U613" t="s">
        <v>137</v>
      </c>
      <c r="V613" t="s">
        <v>162</v>
      </c>
      <c r="W613"/>
      <c r="X613" t="s">
        <v>113</v>
      </c>
      <c r="Y613"/>
      <c r="Z613"/>
      <c r="AA613" t="s">
        <v>1579</v>
      </c>
      <c r="AB613" t="s">
        <v>1</v>
      </c>
      <c r="AC613" t="s">
        <v>138</v>
      </c>
      <c r="AD613" t="s">
        <v>129</v>
      </c>
      <c r="AE613" s="97"/>
    </row>
    <row r="614" spans="1:31" ht="14.4" customHeight="1" x14ac:dyDescent="0.3">
      <c r="A614" t="s">
        <v>1742</v>
      </c>
      <c r="B614" t="s">
        <v>1743</v>
      </c>
      <c r="C614"/>
      <c r="D614"/>
      <c r="E614"/>
      <c r="F614"/>
      <c r="G614" t="s">
        <v>1578</v>
      </c>
      <c r="H614" t="s">
        <v>132</v>
      </c>
      <c r="I614" t="s">
        <v>1</v>
      </c>
      <c r="J614" t="s">
        <v>133</v>
      </c>
      <c r="K614" t="s">
        <v>51</v>
      </c>
      <c r="L614" t="s">
        <v>1744</v>
      </c>
      <c r="M614" t="s">
        <v>134</v>
      </c>
      <c r="N614" t="s">
        <v>135</v>
      </c>
      <c r="O614"/>
      <c r="P614"/>
      <c r="Q614" t="s">
        <v>168</v>
      </c>
      <c r="R614"/>
      <c r="S614"/>
      <c r="T614" t="s">
        <v>169</v>
      </c>
      <c r="U614" t="s">
        <v>137</v>
      </c>
      <c r="V614" t="s">
        <v>165</v>
      </c>
      <c r="W614"/>
      <c r="X614" t="s">
        <v>122</v>
      </c>
      <c r="Y614"/>
      <c r="Z614"/>
      <c r="AA614" t="s">
        <v>1579</v>
      </c>
      <c r="AB614" t="s">
        <v>1</v>
      </c>
      <c r="AC614" t="s">
        <v>138</v>
      </c>
      <c r="AD614" t="s">
        <v>130</v>
      </c>
      <c r="AE614" s="97"/>
    </row>
    <row r="615" spans="1:31" ht="14.4" customHeight="1" x14ac:dyDescent="0.3">
      <c r="A615" t="s">
        <v>1745</v>
      </c>
      <c r="B615" t="s">
        <v>1746</v>
      </c>
      <c r="C615"/>
      <c r="D615"/>
      <c r="E615"/>
      <c r="F615"/>
      <c r="G615" t="s">
        <v>1578</v>
      </c>
      <c r="H615" t="s">
        <v>132</v>
      </c>
      <c r="I615" t="s">
        <v>1</v>
      </c>
      <c r="J615" t="s">
        <v>133</v>
      </c>
      <c r="K615" t="s">
        <v>51</v>
      </c>
      <c r="L615" t="s">
        <v>1744</v>
      </c>
      <c r="M615" t="s">
        <v>134</v>
      </c>
      <c r="N615" t="s">
        <v>135</v>
      </c>
      <c r="O615"/>
      <c r="P615"/>
      <c r="Q615" t="s">
        <v>168</v>
      </c>
      <c r="R615"/>
      <c r="S615"/>
      <c r="T615" t="s">
        <v>169</v>
      </c>
      <c r="U615" t="s">
        <v>137</v>
      </c>
      <c r="V615" t="s">
        <v>165</v>
      </c>
      <c r="W615"/>
      <c r="X615" t="s">
        <v>122</v>
      </c>
      <c r="Y615"/>
      <c r="Z615"/>
      <c r="AA615" t="s">
        <v>1579</v>
      </c>
      <c r="AB615" t="s">
        <v>1</v>
      </c>
      <c r="AC615" t="s">
        <v>138</v>
      </c>
      <c r="AD615" t="s">
        <v>130</v>
      </c>
      <c r="AE615" s="97"/>
    </row>
    <row r="616" spans="1:31" ht="14.4" customHeight="1" x14ac:dyDescent="0.3">
      <c r="A616" t="s">
        <v>1747</v>
      </c>
      <c r="B616" t="s">
        <v>1748</v>
      </c>
      <c r="C616"/>
      <c r="D616"/>
      <c r="E616"/>
      <c r="F616"/>
      <c r="G616" t="s">
        <v>1578</v>
      </c>
      <c r="H616" t="s">
        <v>132</v>
      </c>
      <c r="I616" t="s">
        <v>1</v>
      </c>
      <c r="J616" t="s">
        <v>133</v>
      </c>
      <c r="K616" t="s">
        <v>51</v>
      </c>
      <c r="L616" t="s">
        <v>1749</v>
      </c>
      <c r="M616" t="s">
        <v>134</v>
      </c>
      <c r="N616" t="s">
        <v>135</v>
      </c>
      <c r="O616"/>
      <c r="P616"/>
      <c r="Q616" t="s">
        <v>168</v>
      </c>
      <c r="R616"/>
      <c r="S616"/>
      <c r="T616" t="s">
        <v>169</v>
      </c>
      <c r="U616" t="s">
        <v>137</v>
      </c>
      <c r="V616" t="s">
        <v>165</v>
      </c>
      <c r="W616"/>
      <c r="X616" t="s">
        <v>122</v>
      </c>
      <c r="Y616"/>
      <c r="Z616"/>
      <c r="AA616" t="s">
        <v>1579</v>
      </c>
      <c r="AB616" t="s">
        <v>1</v>
      </c>
      <c r="AC616" t="s">
        <v>138</v>
      </c>
      <c r="AD616" t="s">
        <v>130</v>
      </c>
      <c r="AE616" s="97"/>
    </row>
    <row r="617" spans="1:31" ht="14.4" customHeight="1" x14ac:dyDescent="0.3">
      <c r="A617" t="s">
        <v>1750</v>
      </c>
      <c r="B617" t="s">
        <v>1751</v>
      </c>
      <c r="C617"/>
      <c r="D617"/>
      <c r="E617"/>
      <c r="F617"/>
      <c r="G617" t="s">
        <v>1578</v>
      </c>
      <c r="H617" t="s">
        <v>132</v>
      </c>
      <c r="I617" t="s">
        <v>1</v>
      </c>
      <c r="J617" t="s">
        <v>133</v>
      </c>
      <c r="K617" t="s">
        <v>51</v>
      </c>
      <c r="L617" t="s">
        <v>1744</v>
      </c>
      <c r="M617" t="s">
        <v>134</v>
      </c>
      <c r="N617" t="s">
        <v>135</v>
      </c>
      <c r="O617"/>
      <c r="P617"/>
      <c r="Q617" t="s">
        <v>168</v>
      </c>
      <c r="R617"/>
      <c r="S617"/>
      <c r="T617" t="s">
        <v>169</v>
      </c>
      <c r="U617" t="s">
        <v>137</v>
      </c>
      <c r="V617" t="s">
        <v>165</v>
      </c>
      <c r="W617"/>
      <c r="X617" t="s">
        <v>122</v>
      </c>
      <c r="Y617"/>
      <c r="Z617"/>
      <c r="AA617" t="s">
        <v>1579</v>
      </c>
      <c r="AB617" t="s">
        <v>1</v>
      </c>
      <c r="AC617" t="s">
        <v>138</v>
      </c>
      <c r="AD617" t="s">
        <v>130</v>
      </c>
      <c r="AE617" s="97"/>
    </row>
    <row r="618" spans="1:31" ht="14.4" customHeight="1" x14ac:dyDescent="0.3">
      <c r="A618" t="s">
        <v>1756</v>
      </c>
      <c r="B618" t="s">
        <v>1757</v>
      </c>
      <c r="C618"/>
      <c r="D618"/>
      <c r="E618"/>
      <c r="F618"/>
      <c r="G618" t="s">
        <v>1578</v>
      </c>
      <c r="H618" t="s">
        <v>132</v>
      </c>
      <c r="I618" t="s">
        <v>1</v>
      </c>
      <c r="J618" t="s">
        <v>133</v>
      </c>
      <c r="K618" t="s">
        <v>51</v>
      </c>
      <c r="L618" t="s">
        <v>1758</v>
      </c>
      <c r="M618" t="s">
        <v>134</v>
      </c>
      <c r="N618" t="s">
        <v>135</v>
      </c>
      <c r="O618"/>
      <c r="P618"/>
      <c r="Q618" t="s">
        <v>168</v>
      </c>
      <c r="R618"/>
      <c r="S618"/>
      <c r="T618" t="s">
        <v>169</v>
      </c>
      <c r="U618" t="s">
        <v>137</v>
      </c>
      <c r="V618" t="s">
        <v>165</v>
      </c>
      <c r="W618"/>
      <c r="X618" t="s">
        <v>122</v>
      </c>
      <c r="Y618"/>
      <c r="Z618"/>
      <c r="AA618" t="s">
        <v>1579</v>
      </c>
      <c r="AB618" t="s">
        <v>1</v>
      </c>
      <c r="AC618" t="s">
        <v>138</v>
      </c>
      <c r="AD618" t="s">
        <v>130</v>
      </c>
      <c r="AE618" s="97"/>
    </row>
    <row r="619" spans="1:31" ht="14.4" customHeight="1" x14ac:dyDescent="0.3">
      <c r="A619" t="s">
        <v>1759</v>
      </c>
      <c r="B619" t="s">
        <v>1760</v>
      </c>
      <c r="C619"/>
      <c r="D619"/>
      <c r="E619"/>
      <c r="F619"/>
      <c r="G619" t="s">
        <v>1578</v>
      </c>
      <c r="H619" t="s">
        <v>132</v>
      </c>
      <c r="I619" t="s">
        <v>1</v>
      </c>
      <c r="J619" t="s">
        <v>133</v>
      </c>
      <c r="K619" t="s">
        <v>51</v>
      </c>
      <c r="L619" t="s">
        <v>1761</v>
      </c>
      <c r="M619" t="s">
        <v>134</v>
      </c>
      <c r="N619" t="s">
        <v>135</v>
      </c>
      <c r="O619"/>
      <c r="P619"/>
      <c r="Q619" t="s">
        <v>168</v>
      </c>
      <c r="R619"/>
      <c r="S619"/>
      <c r="T619" t="s">
        <v>169</v>
      </c>
      <c r="U619" t="s">
        <v>137</v>
      </c>
      <c r="V619" t="s">
        <v>165</v>
      </c>
      <c r="W619"/>
      <c r="X619" t="s">
        <v>122</v>
      </c>
      <c r="Y619"/>
      <c r="Z619"/>
      <c r="AA619" t="s">
        <v>1579</v>
      </c>
      <c r="AB619" t="s">
        <v>1</v>
      </c>
      <c r="AC619" t="s">
        <v>138</v>
      </c>
      <c r="AD619" t="s">
        <v>130</v>
      </c>
      <c r="AE619" s="97"/>
    </row>
    <row r="620" spans="1:31" ht="14.4" customHeight="1" x14ac:dyDescent="0.3">
      <c r="A620" t="s">
        <v>1769</v>
      </c>
      <c r="B620" t="s">
        <v>1770</v>
      </c>
      <c r="C620"/>
      <c r="D620"/>
      <c r="E620"/>
      <c r="F620"/>
      <c r="G620" t="s">
        <v>1767</v>
      </c>
      <c r="H620" t="s">
        <v>132</v>
      </c>
      <c r="I620" t="s">
        <v>1</v>
      </c>
      <c r="J620" t="s">
        <v>133</v>
      </c>
      <c r="K620" t="s">
        <v>51</v>
      </c>
      <c r="L620" t="s">
        <v>1771</v>
      </c>
      <c r="M620" t="s">
        <v>134</v>
      </c>
      <c r="N620" t="s">
        <v>135</v>
      </c>
      <c r="O620"/>
      <c r="P620"/>
      <c r="Q620" t="s">
        <v>136</v>
      </c>
      <c r="R620"/>
      <c r="S620"/>
      <c r="T620"/>
      <c r="U620" t="s">
        <v>137</v>
      </c>
      <c r="V620" t="s">
        <v>147</v>
      </c>
      <c r="W620"/>
      <c r="X620" t="s">
        <v>70</v>
      </c>
      <c r="Y620"/>
      <c r="Z620"/>
      <c r="AA620" t="s">
        <v>1768</v>
      </c>
      <c r="AB620" t="s">
        <v>1</v>
      </c>
      <c r="AC620" t="s">
        <v>138</v>
      </c>
      <c r="AD620" t="s">
        <v>128</v>
      </c>
      <c r="AE620" s="97"/>
    </row>
    <row r="621" spans="1:31" ht="14.4" customHeight="1" x14ac:dyDescent="0.3">
      <c r="A621" t="s">
        <v>1772</v>
      </c>
      <c r="B621" t="s">
        <v>1773</v>
      </c>
      <c r="C621"/>
      <c r="D621"/>
      <c r="E621"/>
      <c r="F621"/>
      <c r="G621" t="s">
        <v>1767</v>
      </c>
      <c r="H621" t="s">
        <v>132</v>
      </c>
      <c r="I621" t="s">
        <v>1</v>
      </c>
      <c r="J621" t="s">
        <v>133</v>
      </c>
      <c r="K621" t="s">
        <v>51</v>
      </c>
      <c r="L621" t="s">
        <v>1774</v>
      </c>
      <c r="M621" t="s">
        <v>134</v>
      </c>
      <c r="N621" t="s">
        <v>135</v>
      </c>
      <c r="O621"/>
      <c r="P621"/>
      <c r="Q621" t="s">
        <v>136</v>
      </c>
      <c r="R621"/>
      <c r="S621"/>
      <c r="T621"/>
      <c r="U621" t="s">
        <v>137</v>
      </c>
      <c r="V621" t="s">
        <v>150</v>
      </c>
      <c r="W621"/>
      <c r="X621" t="s">
        <v>76</v>
      </c>
      <c r="Y621"/>
      <c r="Z621"/>
      <c r="AA621" t="s">
        <v>1768</v>
      </c>
      <c r="AB621" t="s">
        <v>1</v>
      </c>
      <c r="AC621" t="s">
        <v>138</v>
      </c>
      <c r="AD621" t="s">
        <v>128</v>
      </c>
      <c r="AE621" s="97"/>
    </row>
    <row r="622" spans="1:31" ht="14.4" customHeight="1" x14ac:dyDescent="0.3">
      <c r="A622" t="s">
        <v>1775</v>
      </c>
      <c r="B622" t="s">
        <v>1776</v>
      </c>
      <c r="C622"/>
      <c r="D622"/>
      <c r="E622"/>
      <c r="F622"/>
      <c r="G622" t="s">
        <v>1767</v>
      </c>
      <c r="H622" t="s">
        <v>132</v>
      </c>
      <c r="I622" t="s">
        <v>1</v>
      </c>
      <c r="J622" t="s">
        <v>133</v>
      </c>
      <c r="K622" t="s">
        <v>51</v>
      </c>
      <c r="L622" t="s">
        <v>1777</v>
      </c>
      <c r="M622" t="s">
        <v>134</v>
      </c>
      <c r="N622" t="s">
        <v>135</v>
      </c>
      <c r="O622"/>
      <c r="P622"/>
      <c r="Q622" t="s">
        <v>136</v>
      </c>
      <c r="R622"/>
      <c r="S622"/>
      <c r="T622"/>
      <c r="U622" t="s">
        <v>137</v>
      </c>
      <c r="V622" t="s">
        <v>153</v>
      </c>
      <c r="W622"/>
      <c r="X622" t="s">
        <v>88</v>
      </c>
      <c r="Y622"/>
      <c r="Z622"/>
      <c r="AA622" t="s">
        <v>1768</v>
      </c>
      <c r="AB622" t="s">
        <v>1</v>
      </c>
      <c r="AC622" t="s">
        <v>138</v>
      </c>
      <c r="AD622" t="s">
        <v>129</v>
      </c>
      <c r="AE622" s="97"/>
    </row>
    <row r="623" spans="1:31" ht="14.4" customHeight="1" x14ac:dyDescent="0.3">
      <c r="A623" t="s">
        <v>1778</v>
      </c>
      <c r="B623" t="s">
        <v>1779</v>
      </c>
      <c r="C623"/>
      <c r="D623"/>
      <c r="E623"/>
      <c r="F623"/>
      <c r="G623" t="s">
        <v>1767</v>
      </c>
      <c r="H623" t="s">
        <v>132</v>
      </c>
      <c r="I623" t="s">
        <v>1</v>
      </c>
      <c r="J623" t="s">
        <v>133</v>
      </c>
      <c r="K623" t="s">
        <v>51</v>
      </c>
      <c r="L623" t="s">
        <v>1780</v>
      </c>
      <c r="M623" t="s">
        <v>134</v>
      </c>
      <c r="N623" t="s">
        <v>135</v>
      </c>
      <c r="O623"/>
      <c r="P623"/>
      <c r="Q623" t="s">
        <v>136</v>
      </c>
      <c r="R623"/>
      <c r="S623"/>
      <c r="T623"/>
      <c r="U623" t="s">
        <v>137</v>
      </c>
      <c r="V623" t="s">
        <v>156</v>
      </c>
      <c r="W623"/>
      <c r="X623" t="s">
        <v>97</v>
      </c>
      <c r="Y623"/>
      <c r="Z623"/>
      <c r="AA623" t="s">
        <v>1768</v>
      </c>
      <c r="AB623" t="s">
        <v>1</v>
      </c>
      <c r="AC623" t="s">
        <v>138</v>
      </c>
      <c r="AD623" t="s">
        <v>129</v>
      </c>
      <c r="AE623" s="97"/>
    </row>
    <row r="624" spans="1:31" ht="14.4" customHeight="1" x14ac:dyDescent="0.3">
      <c r="A624" t="s">
        <v>1781</v>
      </c>
      <c r="B624" t="s">
        <v>1782</v>
      </c>
      <c r="C624"/>
      <c r="D624"/>
      <c r="E624"/>
      <c r="F624"/>
      <c r="G624" t="s">
        <v>1767</v>
      </c>
      <c r="H624" t="s">
        <v>132</v>
      </c>
      <c r="I624" t="s">
        <v>1</v>
      </c>
      <c r="J624" t="s">
        <v>133</v>
      </c>
      <c r="K624" t="s">
        <v>51</v>
      </c>
      <c r="L624" t="s">
        <v>1783</v>
      </c>
      <c r="M624" t="s">
        <v>134</v>
      </c>
      <c r="N624" t="s">
        <v>135</v>
      </c>
      <c r="O624"/>
      <c r="P624"/>
      <c r="Q624" t="s">
        <v>136</v>
      </c>
      <c r="R624"/>
      <c r="S624"/>
      <c r="T624"/>
      <c r="U624" t="s">
        <v>137</v>
      </c>
      <c r="V624" t="s">
        <v>159</v>
      </c>
      <c r="W624"/>
      <c r="X624" t="s">
        <v>106</v>
      </c>
      <c r="Y624"/>
      <c r="Z624"/>
      <c r="AA624" t="s">
        <v>1768</v>
      </c>
      <c r="AB624" t="s">
        <v>1</v>
      </c>
      <c r="AC624" t="s">
        <v>138</v>
      </c>
      <c r="AD624" t="s">
        <v>129</v>
      </c>
      <c r="AE624" s="97"/>
    </row>
    <row r="625" spans="1:31" ht="14.4" customHeight="1" x14ac:dyDescent="0.3">
      <c r="A625" t="s">
        <v>1784</v>
      </c>
      <c r="B625" t="s">
        <v>1785</v>
      </c>
      <c r="C625"/>
      <c r="D625"/>
      <c r="E625"/>
      <c r="F625"/>
      <c r="G625" t="s">
        <v>1767</v>
      </c>
      <c r="H625" t="s">
        <v>132</v>
      </c>
      <c r="I625" t="s">
        <v>1</v>
      </c>
      <c r="J625" t="s">
        <v>133</v>
      </c>
      <c r="K625" t="s">
        <v>51</v>
      </c>
      <c r="L625" t="s">
        <v>1786</v>
      </c>
      <c r="M625" t="s">
        <v>134</v>
      </c>
      <c r="N625" t="s">
        <v>135</v>
      </c>
      <c r="O625"/>
      <c r="P625"/>
      <c r="Q625" t="s">
        <v>136</v>
      </c>
      <c r="R625"/>
      <c r="S625"/>
      <c r="T625"/>
      <c r="U625" t="s">
        <v>137</v>
      </c>
      <c r="V625" t="s">
        <v>162</v>
      </c>
      <c r="W625"/>
      <c r="X625" t="s">
        <v>113</v>
      </c>
      <c r="Y625"/>
      <c r="Z625"/>
      <c r="AA625" t="s">
        <v>1768</v>
      </c>
      <c r="AB625" t="s">
        <v>1</v>
      </c>
      <c r="AC625" t="s">
        <v>138</v>
      </c>
      <c r="AD625" t="s">
        <v>129</v>
      </c>
      <c r="AE625" s="97"/>
    </row>
    <row r="626" spans="1:31" ht="14.4" customHeight="1" x14ac:dyDescent="0.3">
      <c r="A626" t="s">
        <v>1787</v>
      </c>
      <c r="B626" t="s">
        <v>1788</v>
      </c>
      <c r="C626"/>
      <c r="D626"/>
      <c r="E626"/>
      <c r="F626"/>
      <c r="G626" t="s">
        <v>1767</v>
      </c>
      <c r="H626" t="s">
        <v>132</v>
      </c>
      <c r="I626" t="s">
        <v>1</v>
      </c>
      <c r="J626" t="s">
        <v>133</v>
      </c>
      <c r="K626" t="s">
        <v>51</v>
      </c>
      <c r="L626" t="s">
        <v>1789</v>
      </c>
      <c r="M626" t="s">
        <v>134</v>
      </c>
      <c r="N626" t="s">
        <v>135</v>
      </c>
      <c r="O626"/>
      <c r="P626"/>
      <c r="Q626" t="s">
        <v>136</v>
      </c>
      <c r="R626"/>
      <c r="S626"/>
      <c r="T626"/>
      <c r="U626" t="s">
        <v>137</v>
      </c>
      <c r="V626" t="s">
        <v>165</v>
      </c>
      <c r="W626"/>
      <c r="X626" t="s">
        <v>122</v>
      </c>
      <c r="Y626"/>
      <c r="Z626"/>
      <c r="AA626" t="s">
        <v>1768</v>
      </c>
      <c r="AB626" t="s">
        <v>1</v>
      </c>
      <c r="AC626" t="s">
        <v>138</v>
      </c>
      <c r="AD626" t="s">
        <v>130</v>
      </c>
      <c r="AE626" s="97"/>
    </row>
    <row r="627" spans="1:31" ht="14.4" customHeight="1" x14ac:dyDescent="0.3">
      <c r="A627" t="s">
        <v>1791</v>
      </c>
      <c r="B627" t="s">
        <v>1792</v>
      </c>
      <c r="C627"/>
      <c r="D627"/>
      <c r="E627"/>
      <c r="F627"/>
      <c r="G627" t="s">
        <v>1793</v>
      </c>
      <c r="H627" t="s">
        <v>132</v>
      </c>
      <c r="I627" t="s">
        <v>1</v>
      </c>
      <c r="J627" t="s">
        <v>133</v>
      </c>
      <c r="K627" t="s">
        <v>51</v>
      </c>
      <c r="L627" t="s">
        <v>1794</v>
      </c>
      <c r="M627" t="s">
        <v>134</v>
      </c>
      <c r="N627" t="s">
        <v>135</v>
      </c>
      <c r="O627"/>
      <c r="P627"/>
      <c r="Q627" t="s">
        <v>1765</v>
      </c>
      <c r="R627"/>
      <c r="S627"/>
      <c r="T627"/>
      <c r="U627" t="s">
        <v>137</v>
      </c>
      <c r="V627" t="s">
        <v>890</v>
      </c>
      <c r="W627"/>
      <c r="X627" t="s">
        <v>59</v>
      </c>
      <c r="Y627"/>
      <c r="Z627"/>
      <c r="AA627" t="s">
        <v>1795</v>
      </c>
      <c r="AB627" t="s">
        <v>1</v>
      </c>
      <c r="AC627" t="s">
        <v>138</v>
      </c>
      <c r="AD627" t="s">
        <v>128</v>
      </c>
      <c r="AE627" s="97"/>
    </row>
    <row r="628" spans="1:31" ht="14.4" customHeight="1" x14ac:dyDescent="0.3">
      <c r="A628" t="s">
        <v>1796</v>
      </c>
      <c r="B628" t="s">
        <v>1797</v>
      </c>
      <c r="C628"/>
      <c r="D628"/>
      <c r="E628"/>
      <c r="F628"/>
      <c r="G628" t="s">
        <v>1793</v>
      </c>
      <c r="H628" t="s">
        <v>132</v>
      </c>
      <c r="I628" t="s">
        <v>1</v>
      </c>
      <c r="J628" t="s">
        <v>133</v>
      </c>
      <c r="K628" t="s">
        <v>51</v>
      </c>
      <c r="L628" t="s">
        <v>1798</v>
      </c>
      <c r="M628" t="s">
        <v>134</v>
      </c>
      <c r="N628" t="s">
        <v>135</v>
      </c>
      <c r="O628"/>
      <c r="P628"/>
      <c r="Q628" t="s">
        <v>1765</v>
      </c>
      <c r="R628"/>
      <c r="S628"/>
      <c r="T628"/>
      <c r="U628" t="s">
        <v>137</v>
      </c>
      <c r="V628" t="s">
        <v>897</v>
      </c>
      <c r="W628"/>
      <c r="X628" t="s">
        <v>64</v>
      </c>
      <c r="Y628"/>
      <c r="Z628"/>
      <c r="AA628" t="s">
        <v>1795</v>
      </c>
      <c r="AB628" t="s">
        <v>1</v>
      </c>
      <c r="AC628" t="s">
        <v>138</v>
      </c>
      <c r="AD628" t="s">
        <v>128</v>
      </c>
      <c r="AE628" s="97"/>
    </row>
    <row r="629" spans="1:31" ht="14.4" customHeight="1" x14ac:dyDescent="0.3">
      <c r="A629" t="s">
        <v>1799</v>
      </c>
      <c r="B629" t="s">
        <v>1800</v>
      </c>
      <c r="C629"/>
      <c r="D629"/>
      <c r="E629"/>
      <c r="F629"/>
      <c r="G629" t="s">
        <v>1793</v>
      </c>
      <c r="H629" t="s">
        <v>132</v>
      </c>
      <c r="I629" t="s">
        <v>1</v>
      </c>
      <c r="J629" t="s">
        <v>133</v>
      </c>
      <c r="K629" t="s">
        <v>51</v>
      </c>
      <c r="L629" t="s">
        <v>1801</v>
      </c>
      <c r="M629" t="s">
        <v>134</v>
      </c>
      <c r="N629" t="s">
        <v>135</v>
      </c>
      <c r="O629"/>
      <c r="P629"/>
      <c r="Q629" t="s">
        <v>1765</v>
      </c>
      <c r="R629"/>
      <c r="S629"/>
      <c r="T629"/>
      <c r="U629" t="s">
        <v>137</v>
      </c>
      <c r="V629" t="s">
        <v>904</v>
      </c>
      <c r="W629"/>
      <c r="X629" t="s">
        <v>79</v>
      </c>
      <c r="Y629"/>
      <c r="Z629"/>
      <c r="AA629" t="s">
        <v>1795</v>
      </c>
      <c r="AB629" t="s">
        <v>1</v>
      </c>
      <c r="AC629" t="s">
        <v>138</v>
      </c>
      <c r="AD629" t="s">
        <v>129</v>
      </c>
      <c r="AE629" s="97"/>
    </row>
    <row r="630" spans="1:31" ht="14.4" customHeight="1" x14ac:dyDescent="0.3">
      <c r="A630" t="s">
        <v>1802</v>
      </c>
      <c r="B630" t="s">
        <v>1803</v>
      </c>
      <c r="C630"/>
      <c r="D630"/>
      <c r="E630"/>
      <c r="F630"/>
      <c r="G630" t="s">
        <v>1793</v>
      </c>
      <c r="H630" t="s">
        <v>132</v>
      </c>
      <c r="I630" t="s">
        <v>1</v>
      </c>
      <c r="J630" t="s">
        <v>133</v>
      </c>
      <c r="K630" t="s">
        <v>51</v>
      </c>
      <c r="L630" t="s">
        <v>1804</v>
      </c>
      <c r="M630" t="s">
        <v>134</v>
      </c>
      <c r="N630" t="s">
        <v>135</v>
      </c>
      <c r="O630"/>
      <c r="P630"/>
      <c r="Q630" t="s">
        <v>1765</v>
      </c>
      <c r="R630"/>
      <c r="S630"/>
      <c r="T630"/>
      <c r="U630" t="s">
        <v>137</v>
      </c>
      <c r="V630" t="s">
        <v>911</v>
      </c>
      <c r="W630"/>
      <c r="X630" t="s">
        <v>83</v>
      </c>
      <c r="Y630"/>
      <c r="Z630"/>
      <c r="AA630" t="s">
        <v>1795</v>
      </c>
      <c r="AB630" t="s">
        <v>1</v>
      </c>
      <c r="AC630" t="s">
        <v>138</v>
      </c>
      <c r="AD630" t="s">
        <v>129</v>
      </c>
      <c r="AE630" s="97"/>
    </row>
    <row r="631" spans="1:31" ht="14.4" customHeight="1" x14ac:dyDescent="0.3">
      <c r="A631" t="s">
        <v>1805</v>
      </c>
      <c r="B631" t="s">
        <v>1806</v>
      </c>
      <c r="C631"/>
      <c r="D631"/>
      <c r="E631"/>
      <c r="F631"/>
      <c r="G631" t="s">
        <v>1793</v>
      </c>
      <c r="H631" t="s">
        <v>132</v>
      </c>
      <c r="I631" t="s">
        <v>1</v>
      </c>
      <c r="J631" t="s">
        <v>133</v>
      </c>
      <c r="K631" t="s">
        <v>51</v>
      </c>
      <c r="L631" t="s">
        <v>1807</v>
      </c>
      <c r="M631" t="s">
        <v>134</v>
      </c>
      <c r="N631" t="s">
        <v>135</v>
      </c>
      <c r="O631"/>
      <c r="P631"/>
      <c r="Q631" t="s">
        <v>1765</v>
      </c>
      <c r="R631"/>
      <c r="S631"/>
      <c r="T631"/>
      <c r="U631" t="s">
        <v>137</v>
      </c>
      <c r="V631" t="s">
        <v>918</v>
      </c>
      <c r="W631"/>
      <c r="X631" t="s">
        <v>92</v>
      </c>
      <c r="Y631"/>
      <c r="Z631"/>
      <c r="AA631" t="s">
        <v>1795</v>
      </c>
      <c r="AB631" t="s">
        <v>1</v>
      </c>
      <c r="AC631" t="s">
        <v>138</v>
      </c>
      <c r="AD631" t="s">
        <v>129</v>
      </c>
      <c r="AE631" s="97"/>
    </row>
    <row r="632" spans="1:31" ht="14.4" customHeight="1" x14ac:dyDescent="0.3">
      <c r="A632" t="s">
        <v>1808</v>
      </c>
      <c r="B632" t="s">
        <v>1809</v>
      </c>
      <c r="C632"/>
      <c r="D632"/>
      <c r="E632"/>
      <c r="F632"/>
      <c r="G632" t="s">
        <v>1793</v>
      </c>
      <c r="H632" t="s">
        <v>132</v>
      </c>
      <c r="I632" t="s">
        <v>1</v>
      </c>
      <c r="J632" t="s">
        <v>133</v>
      </c>
      <c r="K632" t="s">
        <v>51</v>
      </c>
      <c r="L632" t="s">
        <v>1810</v>
      </c>
      <c r="M632" t="s">
        <v>134</v>
      </c>
      <c r="N632" t="s">
        <v>135</v>
      </c>
      <c r="O632"/>
      <c r="P632"/>
      <c r="Q632" t="s">
        <v>1765</v>
      </c>
      <c r="R632"/>
      <c r="S632"/>
      <c r="T632"/>
      <c r="U632" t="s">
        <v>137</v>
      </c>
      <c r="V632" t="s">
        <v>925</v>
      </c>
      <c r="W632"/>
      <c r="X632" t="s">
        <v>101</v>
      </c>
      <c r="Y632"/>
      <c r="Z632"/>
      <c r="AA632" t="s">
        <v>1795</v>
      </c>
      <c r="AB632" t="s">
        <v>1</v>
      </c>
      <c r="AC632" t="s">
        <v>138</v>
      </c>
      <c r="AD632" t="s">
        <v>129</v>
      </c>
      <c r="AE632" s="97"/>
    </row>
    <row r="633" spans="1:31" ht="14.4" customHeight="1" x14ac:dyDescent="0.3">
      <c r="A633" t="s">
        <v>1811</v>
      </c>
      <c r="B633" t="s">
        <v>1812</v>
      </c>
      <c r="C633"/>
      <c r="D633"/>
      <c r="E633"/>
      <c r="F633"/>
      <c r="G633" t="s">
        <v>1793</v>
      </c>
      <c r="H633" t="s">
        <v>132</v>
      </c>
      <c r="I633" t="s">
        <v>1</v>
      </c>
      <c r="J633" t="s">
        <v>133</v>
      </c>
      <c r="K633" t="s">
        <v>51</v>
      </c>
      <c r="L633" t="s">
        <v>1813</v>
      </c>
      <c r="M633" t="s">
        <v>134</v>
      </c>
      <c r="N633" t="s">
        <v>135</v>
      </c>
      <c r="O633"/>
      <c r="P633"/>
      <c r="Q633" t="s">
        <v>1765</v>
      </c>
      <c r="R633"/>
      <c r="S633"/>
      <c r="T633"/>
      <c r="U633" t="s">
        <v>137</v>
      </c>
      <c r="V633" t="s">
        <v>932</v>
      </c>
      <c r="W633"/>
      <c r="X633" t="s">
        <v>115</v>
      </c>
      <c r="Y633"/>
      <c r="Z633"/>
      <c r="AA633" t="s">
        <v>1795</v>
      </c>
      <c r="AB633" t="s">
        <v>1</v>
      </c>
      <c r="AC633" t="s">
        <v>138</v>
      </c>
      <c r="AD633" t="s">
        <v>130</v>
      </c>
      <c r="AE633" s="97"/>
    </row>
    <row r="634" spans="1:31" ht="14.4" customHeight="1" x14ac:dyDescent="0.3">
      <c r="A634" t="s">
        <v>1814</v>
      </c>
      <c r="B634" t="s">
        <v>1815</v>
      </c>
      <c r="C634"/>
      <c r="D634"/>
      <c r="E634"/>
      <c r="F634"/>
      <c r="G634" t="s">
        <v>1793</v>
      </c>
      <c r="H634" t="s">
        <v>132</v>
      </c>
      <c r="I634" t="s">
        <v>1</v>
      </c>
      <c r="J634" t="s">
        <v>133</v>
      </c>
      <c r="K634" t="s">
        <v>51</v>
      </c>
      <c r="L634" t="s">
        <v>1816</v>
      </c>
      <c r="M634" t="s">
        <v>134</v>
      </c>
      <c r="N634" t="s">
        <v>135</v>
      </c>
      <c r="O634"/>
      <c r="P634"/>
      <c r="Q634" t="s">
        <v>1765</v>
      </c>
      <c r="R634"/>
      <c r="S634"/>
      <c r="T634"/>
      <c r="U634" t="s">
        <v>137</v>
      </c>
      <c r="V634" t="s">
        <v>352</v>
      </c>
      <c r="W634"/>
      <c r="X634" t="s">
        <v>56</v>
      </c>
      <c r="Y634"/>
      <c r="Z634"/>
      <c r="AA634" t="s">
        <v>1795</v>
      </c>
      <c r="AB634" t="s">
        <v>1</v>
      </c>
      <c r="AC634" t="s">
        <v>138</v>
      </c>
      <c r="AD634" t="s">
        <v>128</v>
      </c>
      <c r="AE634" s="97"/>
    </row>
    <row r="635" spans="1:31" ht="14.4" customHeight="1" x14ac:dyDescent="0.3">
      <c r="A635" t="s">
        <v>1817</v>
      </c>
      <c r="B635" t="s">
        <v>1818</v>
      </c>
      <c r="C635"/>
      <c r="D635"/>
      <c r="E635"/>
      <c r="F635"/>
      <c r="G635" t="s">
        <v>1793</v>
      </c>
      <c r="H635" t="s">
        <v>132</v>
      </c>
      <c r="I635" t="s">
        <v>1</v>
      </c>
      <c r="J635" t="s">
        <v>133</v>
      </c>
      <c r="K635" t="s">
        <v>51</v>
      </c>
      <c r="L635" t="s">
        <v>1819</v>
      </c>
      <c r="M635" t="s">
        <v>134</v>
      </c>
      <c r="N635" t="s">
        <v>135</v>
      </c>
      <c r="O635"/>
      <c r="P635"/>
      <c r="Q635" t="s">
        <v>1765</v>
      </c>
      <c r="R635"/>
      <c r="S635"/>
      <c r="T635"/>
      <c r="U635" t="s">
        <v>137</v>
      </c>
      <c r="V635" t="s">
        <v>324</v>
      </c>
      <c r="W635"/>
      <c r="X635" t="s">
        <v>60</v>
      </c>
      <c r="Y635"/>
      <c r="Z635"/>
      <c r="AA635" t="s">
        <v>1795</v>
      </c>
      <c r="AB635" t="s">
        <v>1</v>
      </c>
      <c r="AC635" t="s">
        <v>138</v>
      </c>
      <c r="AD635" t="s">
        <v>128</v>
      </c>
      <c r="AE635" s="97"/>
    </row>
    <row r="636" spans="1:31" ht="14.4" customHeight="1" x14ac:dyDescent="0.3">
      <c r="A636" t="s">
        <v>1820</v>
      </c>
      <c r="B636" t="s">
        <v>1821</v>
      </c>
      <c r="C636"/>
      <c r="D636"/>
      <c r="E636"/>
      <c r="F636"/>
      <c r="G636" t="s">
        <v>1793</v>
      </c>
      <c r="H636" t="s">
        <v>132</v>
      </c>
      <c r="I636" t="s">
        <v>1</v>
      </c>
      <c r="J636" t="s">
        <v>133</v>
      </c>
      <c r="K636" t="s">
        <v>51</v>
      </c>
      <c r="L636" t="s">
        <v>1822</v>
      </c>
      <c r="M636" t="s">
        <v>134</v>
      </c>
      <c r="N636" t="s">
        <v>135</v>
      </c>
      <c r="O636"/>
      <c r="P636"/>
      <c r="Q636" t="s">
        <v>1765</v>
      </c>
      <c r="R636"/>
      <c r="S636"/>
      <c r="T636"/>
      <c r="U636" t="s">
        <v>137</v>
      </c>
      <c r="V636" t="s">
        <v>328</v>
      </c>
      <c r="W636"/>
      <c r="X636" t="s">
        <v>65</v>
      </c>
      <c r="Y636"/>
      <c r="Z636"/>
      <c r="AA636" t="s">
        <v>1795</v>
      </c>
      <c r="AB636" t="s">
        <v>1</v>
      </c>
      <c r="AC636" t="s">
        <v>138</v>
      </c>
      <c r="AD636" t="s">
        <v>128</v>
      </c>
      <c r="AE636" s="97"/>
    </row>
    <row r="637" spans="1:31" ht="14.4" customHeight="1" x14ac:dyDescent="0.3">
      <c r="A637" t="s">
        <v>1823</v>
      </c>
      <c r="B637" t="s">
        <v>1824</v>
      </c>
      <c r="C637"/>
      <c r="D637"/>
      <c r="E637"/>
      <c r="F637"/>
      <c r="G637" t="s">
        <v>1793</v>
      </c>
      <c r="H637" t="s">
        <v>132</v>
      </c>
      <c r="I637" t="s">
        <v>1</v>
      </c>
      <c r="J637" t="s">
        <v>133</v>
      </c>
      <c r="K637" t="s">
        <v>51</v>
      </c>
      <c r="L637" t="s">
        <v>1825</v>
      </c>
      <c r="M637" t="s">
        <v>134</v>
      </c>
      <c r="N637" t="s">
        <v>135</v>
      </c>
      <c r="O637"/>
      <c r="P637"/>
      <c r="Q637" t="s">
        <v>1765</v>
      </c>
      <c r="R637"/>
      <c r="S637"/>
      <c r="T637"/>
      <c r="U637" t="s">
        <v>137</v>
      </c>
      <c r="V637" t="s">
        <v>332</v>
      </c>
      <c r="W637"/>
      <c r="X637" t="s">
        <v>80</v>
      </c>
      <c r="Y637"/>
      <c r="Z637"/>
      <c r="AA637" t="s">
        <v>1795</v>
      </c>
      <c r="AB637" t="s">
        <v>1</v>
      </c>
      <c r="AC637" t="s">
        <v>138</v>
      </c>
      <c r="AD637" t="s">
        <v>129</v>
      </c>
      <c r="AE637" s="97"/>
    </row>
    <row r="638" spans="1:31" ht="14.4" customHeight="1" x14ac:dyDescent="0.3">
      <c r="A638" t="s">
        <v>1826</v>
      </c>
      <c r="B638" t="s">
        <v>1827</v>
      </c>
      <c r="C638"/>
      <c r="D638"/>
      <c r="E638"/>
      <c r="F638"/>
      <c r="G638" t="s">
        <v>1793</v>
      </c>
      <c r="H638" t="s">
        <v>132</v>
      </c>
      <c r="I638" t="s">
        <v>1</v>
      </c>
      <c r="J638" t="s">
        <v>133</v>
      </c>
      <c r="K638" t="s">
        <v>51</v>
      </c>
      <c r="L638" t="s">
        <v>1828</v>
      </c>
      <c r="M638" t="s">
        <v>134</v>
      </c>
      <c r="N638" t="s">
        <v>135</v>
      </c>
      <c r="O638"/>
      <c r="P638"/>
      <c r="Q638" t="s">
        <v>1765</v>
      </c>
      <c r="R638"/>
      <c r="S638"/>
      <c r="T638"/>
      <c r="U638" t="s">
        <v>137</v>
      </c>
      <c r="V638" t="s">
        <v>336</v>
      </c>
      <c r="W638"/>
      <c r="X638" t="s">
        <v>84</v>
      </c>
      <c r="Y638"/>
      <c r="Z638"/>
      <c r="AA638" t="s">
        <v>1795</v>
      </c>
      <c r="AB638" t="s">
        <v>1</v>
      </c>
      <c r="AC638" t="s">
        <v>138</v>
      </c>
      <c r="AD638" t="s">
        <v>129</v>
      </c>
      <c r="AE638" s="97"/>
    </row>
    <row r="639" spans="1:31" ht="14.4" customHeight="1" x14ac:dyDescent="0.3">
      <c r="A639" t="s">
        <v>1829</v>
      </c>
      <c r="B639" t="s">
        <v>1830</v>
      </c>
      <c r="C639"/>
      <c r="D639"/>
      <c r="E639"/>
      <c r="F639"/>
      <c r="G639" t="s">
        <v>1793</v>
      </c>
      <c r="H639" t="s">
        <v>132</v>
      </c>
      <c r="I639" t="s">
        <v>1</v>
      </c>
      <c r="J639" t="s">
        <v>133</v>
      </c>
      <c r="K639" t="s">
        <v>51</v>
      </c>
      <c r="L639" t="s">
        <v>1831</v>
      </c>
      <c r="M639" t="s">
        <v>134</v>
      </c>
      <c r="N639" t="s">
        <v>135</v>
      </c>
      <c r="O639"/>
      <c r="P639"/>
      <c r="Q639" t="s">
        <v>1765</v>
      </c>
      <c r="R639"/>
      <c r="S639"/>
      <c r="T639"/>
      <c r="U639" t="s">
        <v>137</v>
      </c>
      <c r="V639" t="s">
        <v>340</v>
      </c>
      <c r="W639"/>
      <c r="X639" t="s">
        <v>93</v>
      </c>
      <c r="Y639"/>
      <c r="Z639"/>
      <c r="AA639" t="s">
        <v>1795</v>
      </c>
      <c r="AB639" t="s">
        <v>1</v>
      </c>
      <c r="AC639" t="s">
        <v>138</v>
      </c>
      <c r="AD639" t="s">
        <v>129</v>
      </c>
      <c r="AE639" s="97"/>
    </row>
    <row r="640" spans="1:31" ht="14.4" customHeight="1" x14ac:dyDescent="0.3">
      <c r="A640" t="s">
        <v>1832</v>
      </c>
      <c r="B640" t="s">
        <v>1833</v>
      </c>
      <c r="C640"/>
      <c r="D640"/>
      <c r="E640"/>
      <c r="F640"/>
      <c r="G640" t="s">
        <v>1793</v>
      </c>
      <c r="H640" t="s">
        <v>132</v>
      </c>
      <c r="I640" t="s">
        <v>1</v>
      </c>
      <c r="J640" t="s">
        <v>133</v>
      </c>
      <c r="K640" t="s">
        <v>51</v>
      </c>
      <c r="L640" t="s">
        <v>1834</v>
      </c>
      <c r="M640" t="s">
        <v>134</v>
      </c>
      <c r="N640" t="s">
        <v>135</v>
      </c>
      <c r="O640"/>
      <c r="P640"/>
      <c r="Q640" t="s">
        <v>1765</v>
      </c>
      <c r="R640"/>
      <c r="S640"/>
      <c r="T640"/>
      <c r="U640" t="s">
        <v>137</v>
      </c>
      <c r="V640" t="s">
        <v>344</v>
      </c>
      <c r="W640"/>
      <c r="X640" t="s">
        <v>102</v>
      </c>
      <c r="Y640"/>
      <c r="Z640"/>
      <c r="AA640" t="s">
        <v>1795</v>
      </c>
      <c r="AB640" t="s">
        <v>1</v>
      </c>
      <c r="AC640" t="s">
        <v>138</v>
      </c>
      <c r="AD640" t="s">
        <v>129</v>
      </c>
      <c r="AE640" s="97"/>
    </row>
    <row r="641" spans="1:31" ht="14.4" customHeight="1" x14ac:dyDescent="0.3">
      <c r="A641" t="s">
        <v>1835</v>
      </c>
      <c r="B641" t="s">
        <v>1836</v>
      </c>
      <c r="C641"/>
      <c r="D641"/>
      <c r="E641"/>
      <c r="F641"/>
      <c r="G641" t="s">
        <v>1793</v>
      </c>
      <c r="H641" t="s">
        <v>132</v>
      </c>
      <c r="I641" t="s">
        <v>1</v>
      </c>
      <c r="J641" t="s">
        <v>133</v>
      </c>
      <c r="K641" t="s">
        <v>51</v>
      </c>
      <c r="L641" t="s">
        <v>1837</v>
      </c>
      <c r="M641" t="s">
        <v>134</v>
      </c>
      <c r="N641" t="s">
        <v>135</v>
      </c>
      <c r="O641"/>
      <c r="P641"/>
      <c r="Q641" t="s">
        <v>1765</v>
      </c>
      <c r="R641"/>
      <c r="S641"/>
      <c r="T641"/>
      <c r="U641" t="s">
        <v>137</v>
      </c>
      <c r="V641" t="s">
        <v>348</v>
      </c>
      <c r="W641"/>
      <c r="X641" t="s">
        <v>116</v>
      </c>
      <c r="Y641"/>
      <c r="Z641"/>
      <c r="AA641" t="s">
        <v>1795</v>
      </c>
      <c r="AB641" t="s">
        <v>1</v>
      </c>
      <c r="AC641" t="s">
        <v>138</v>
      </c>
      <c r="AD641" t="s">
        <v>130</v>
      </c>
      <c r="AE641" s="97"/>
    </row>
    <row r="642" spans="1:31" ht="14.4" customHeight="1" x14ac:dyDescent="0.3">
      <c r="A642" t="s">
        <v>1838</v>
      </c>
      <c r="B642" t="s">
        <v>1839</v>
      </c>
      <c r="C642"/>
      <c r="D642"/>
      <c r="E642"/>
      <c r="F642"/>
      <c r="G642" t="s">
        <v>1793</v>
      </c>
      <c r="H642" t="s">
        <v>132</v>
      </c>
      <c r="I642" t="s">
        <v>1</v>
      </c>
      <c r="J642" t="s">
        <v>133</v>
      </c>
      <c r="K642" t="s">
        <v>51</v>
      </c>
      <c r="L642" t="s">
        <v>1840</v>
      </c>
      <c r="M642" t="s">
        <v>134</v>
      </c>
      <c r="N642" t="s">
        <v>135</v>
      </c>
      <c r="O642"/>
      <c r="P642"/>
      <c r="Q642" t="s">
        <v>1765</v>
      </c>
      <c r="R642"/>
      <c r="S642"/>
      <c r="T642"/>
      <c r="U642" t="s">
        <v>137</v>
      </c>
      <c r="V642" t="s">
        <v>352</v>
      </c>
      <c r="W642"/>
      <c r="X642" t="s">
        <v>56</v>
      </c>
      <c r="Y642"/>
      <c r="Z642"/>
      <c r="AA642" t="s">
        <v>1795</v>
      </c>
      <c r="AB642" t="s">
        <v>1</v>
      </c>
      <c r="AC642" t="s">
        <v>138</v>
      </c>
      <c r="AD642" t="s">
        <v>128</v>
      </c>
      <c r="AE642" s="97"/>
    </row>
    <row r="643" spans="1:31" ht="14.4" customHeight="1" x14ac:dyDescent="0.3">
      <c r="A643" t="s">
        <v>1841</v>
      </c>
      <c r="B643" t="s">
        <v>1842</v>
      </c>
      <c r="C643"/>
      <c r="D643"/>
      <c r="E643"/>
      <c r="F643"/>
      <c r="G643" t="s">
        <v>1793</v>
      </c>
      <c r="H643" t="s">
        <v>132</v>
      </c>
      <c r="I643" t="s">
        <v>1</v>
      </c>
      <c r="J643" t="s">
        <v>133</v>
      </c>
      <c r="K643" t="s">
        <v>51</v>
      </c>
      <c r="L643" t="s">
        <v>1843</v>
      </c>
      <c r="M643" t="s">
        <v>134</v>
      </c>
      <c r="N643" t="s">
        <v>135</v>
      </c>
      <c r="O643"/>
      <c r="P643"/>
      <c r="Q643" t="s">
        <v>1765</v>
      </c>
      <c r="R643"/>
      <c r="S643"/>
      <c r="T643"/>
      <c r="U643" t="s">
        <v>137</v>
      </c>
      <c r="V643" t="s">
        <v>147</v>
      </c>
      <c r="W643"/>
      <c r="X643" t="s">
        <v>70</v>
      </c>
      <c r="Y643"/>
      <c r="Z643"/>
      <c r="AA643" t="s">
        <v>1795</v>
      </c>
      <c r="AB643" t="s">
        <v>1</v>
      </c>
      <c r="AC643" t="s">
        <v>138</v>
      </c>
      <c r="AD643" t="s">
        <v>128</v>
      </c>
      <c r="AE643" s="97"/>
    </row>
    <row r="644" spans="1:31" ht="14.4" customHeight="1" x14ac:dyDescent="0.3">
      <c r="A644" t="s">
        <v>1844</v>
      </c>
      <c r="B644" t="s">
        <v>1845</v>
      </c>
      <c r="C644"/>
      <c r="D644"/>
      <c r="E644"/>
      <c r="F644"/>
      <c r="G644" t="s">
        <v>1793</v>
      </c>
      <c r="H644" t="s">
        <v>132</v>
      </c>
      <c r="I644" t="s">
        <v>1</v>
      </c>
      <c r="J644" t="s">
        <v>133</v>
      </c>
      <c r="K644" t="s">
        <v>51</v>
      </c>
      <c r="L644" t="s">
        <v>1843</v>
      </c>
      <c r="M644" t="s">
        <v>134</v>
      </c>
      <c r="N644" t="s">
        <v>135</v>
      </c>
      <c r="O644"/>
      <c r="P644"/>
      <c r="Q644" t="s">
        <v>1765</v>
      </c>
      <c r="R644"/>
      <c r="S644"/>
      <c r="T644"/>
      <c r="U644" t="s">
        <v>137</v>
      </c>
      <c r="V644" t="s">
        <v>150</v>
      </c>
      <c r="W644"/>
      <c r="X644" t="s">
        <v>76</v>
      </c>
      <c r="Y644"/>
      <c r="Z644"/>
      <c r="AA644" t="s">
        <v>1795</v>
      </c>
      <c r="AB644" t="s">
        <v>1</v>
      </c>
      <c r="AC644" t="s">
        <v>138</v>
      </c>
      <c r="AD644" t="s">
        <v>128</v>
      </c>
      <c r="AE644" s="97"/>
    </row>
    <row r="645" spans="1:31" ht="14.4" customHeight="1" x14ac:dyDescent="0.3">
      <c r="A645" t="s">
        <v>1846</v>
      </c>
      <c r="B645" t="s">
        <v>1847</v>
      </c>
      <c r="C645"/>
      <c r="D645"/>
      <c r="E645"/>
      <c r="F645"/>
      <c r="G645" t="s">
        <v>1793</v>
      </c>
      <c r="H645" t="s">
        <v>132</v>
      </c>
      <c r="I645" t="s">
        <v>1</v>
      </c>
      <c r="J645" t="s">
        <v>133</v>
      </c>
      <c r="K645" t="s">
        <v>51</v>
      </c>
      <c r="L645" t="s">
        <v>1843</v>
      </c>
      <c r="M645" t="s">
        <v>134</v>
      </c>
      <c r="N645" t="s">
        <v>135</v>
      </c>
      <c r="O645"/>
      <c r="P645"/>
      <c r="Q645" t="s">
        <v>1765</v>
      </c>
      <c r="R645"/>
      <c r="S645"/>
      <c r="T645"/>
      <c r="U645" t="s">
        <v>137</v>
      </c>
      <c r="V645" t="s">
        <v>153</v>
      </c>
      <c r="W645"/>
      <c r="X645" t="s">
        <v>88</v>
      </c>
      <c r="Y645"/>
      <c r="Z645"/>
      <c r="AA645" t="s">
        <v>1795</v>
      </c>
      <c r="AB645" t="s">
        <v>1</v>
      </c>
      <c r="AC645" t="s">
        <v>138</v>
      </c>
      <c r="AD645" t="s">
        <v>129</v>
      </c>
      <c r="AE645" s="97"/>
    </row>
    <row r="646" spans="1:31" ht="14.4" customHeight="1" x14ac:dyDescent="0.3">
      <c r="A646" t="s">
        <v>1848</v>
      </c>
      <c r="B646" t="s">
        <v>1849</v>
      </c>
      <c r="C646"/>
      <c r="D646"/>
      <c r="E646"/>
      <c r="F646"/>
      <c r="G646" t="s">
        <v>1793</v>
      </c>
      <c r="H646" t="s">
        <v>132</v>
      </c>
      <c r="I646" t="s">
        <v>1</v>
      </c>
      <c r="J646" t="s">
        <v>133</v>
      </c>
      <c r="K646" t="s">
        <v>51</v>
      </c>
      <c r="L646" t="s">
        <v>1843</v>
      </c>
      <c r="M646" t="s">
        <v>134</v>
      </c>
      <c r="N646" t="s">
        <v>135</v>
      </c>
      <c r="O646"/>
      <c r="P646"/>
      <c r="Q646" t="s">
        <v>1765</v>
      </c>
      <c r="R646"/>
      <c r="S646"/>
      <c r="T646"/>
      <c r="U646" t="s">
        <v>137</v>
      </c>
      <c r="V646" t="s">
        <v>156</v>
      </c>
      <c r="W646"/>
      <c r="X646" t="s">
        <v>97</v>
      </c>
      <c r="Y646"/>
      <c r="Z646"/>
      <c r="AA646" t="s">
        <v>1795</v>
      </c>
      <c r="AB646" t="s">
        <v>1</v>
      </c>
      <c r="AC646" t="s">
        <v>138</v>
      </c>
      <c r="AD646" t="s">
        <v>129</v>
      </c>
      <c r="AE646" s="97"/>
    </row>
    <row r="647" spans="1:31" ht="14.4" customHeight="1" x14ac:dyDescent="0.3">
      <c r="A647" t="s">
        <v>1850</v>
      </c>
      <c r="B647" t="s">
        <v>1851</v>
      </c>
      <c r="C647"/>
      <c r="D647"/>
      <c r="E647"/>
      <c r="F647"/>
      <c r="G647" t="s">
        <v>1793</v>
      </c>
      <c r="H647" t="s">
        <v>132</v>
      </c>
      <c r="I647" t="s">
        <v>1</v>
      </c>
      <c r="J647" t="s">
        <v>133</v>
      </c>
      <c r="K647" t="s">
        <v>51</v>
      </c>
      <c r="L647" t="s">
        <v>1843</v>
      </c>
      <c r="M647" t="s">
        <v>134</v>
      </c>
      <c r="N647" t="s">
        <v>135</v>
      </c>
      <c r="O647"/>
      <c r="P647"/>
      <c r="Q647" t="s">
        <v>1765</v>
      </c>
      <c r="R647"/>
      <c r="S647"/>
      <c r="T647"/>
      <c r="U647" t="s">
        <v>137</v>
      </c>
      <c r="V647" t="s">
        <v>159</v>
      </c>
      <c r="W647"/>
      <c r="X647" t="s">
        <v>106</v>
      </c>
      <c r="Y647"/>
      <c r="Z647"/>
      <c r="AA647" t="s">
        <v>1795</v>
      </c>
      <c r="AB647" t="s">
        <v>1</v>
      </c>
      <c r="AC647" t="s">
        <v>138</v>
      </c>
      <c r="AD647" t="s">
        <v>129</v>
      </c>
      <c r="AE647" s="97"/>
    </row>
    <row r="648" spans="1:31" ht="14.4" customHeight="1" x14ac:dyDescent="0.3">
      <c r="A648" t="s">
        <v>1852</v>
      </c>
      <c r="B648" t="s">
        <v>1853</v>
      </c>
      <c r="C648"/>
      <c r="D648"/>
      <c r="E648"/>
      <c r="F648"/>
      <c r="G648" t="s">
        <v>1793</v>
      </c>
      <c r="H648" t="s">
        <v>132</v>
      </c>
      <c r="I648" t="s">
        <v>1</v>
      </c>
      <c r="J648" t="s">
        <v>133</v>
      </c>
      <c r="K648" t="s">
        <v>51</v>
      </c>
      <c r="L648" t="s">
        <v>1843</v>
      </c>
      <c r="M648" t="s">
        <v>134</v>
      </c>
      <c r="N648" t="s">
        <v>135</v>
      </c>
      <c r="O648"/>
      <c r="P648"/>
      <c r="Q648" t="s">
        <v>1765</v>
      </c>
      <c r="R648"/>
      <c r="S648"/>
      <c r="T648"/>
      <c r="U648" t="s">
        <v>137</v>
      </c>
      <c r="V648" t="s">
        <v>162</v>
      </c>
      <c r="W648"/>
      <c r="X648" t="s">
        <v>113</v>
      </c>
      <c r="Y648"/>
      <c r="Z648"/>
      <c r="AA648" t="s">
        <v>1795</v>
      </c>
      <c r="AB648" t="s">
        <v>1</v>
      </c>
      <c r="AC648" t="s">
        <v>138</v>
      </c>
      <c r="AD648" t="s">
        <v>129</v>
      </c>
      <c r="AE648" s="97"/>
    </row>
    <row r="649" spans="1:31" ht="14.4" customHeight="1" x14ac:dyDescent="0.3">
      <c r="A649" t="s">
        <v>1854</v>
      </c>
      <c r="B649" t="s">
        <v>1855</v>
      </c>
      <c r="C649"/>
      <c r="D649"/>
      <c r="E649"/>
      <c r="F649"/>
      <c r="G649" t="s">
        <v>1793</v>
      </c>
      <c r="H649" t="s">
        <v>132</v>
      </c>
      <c r="I649" t="s">
        <v>1</v>
      </c>
      <c r="J649" t="s">
        <v>133</v>
      </c>
      <c r="K649" t="s">
        <v>51</v>
      </c>
      <c r="L649" t="s">
        <v>1843</v>
      </c>
      <c r="M649" t="s">
        <v>134</v>
      </c>
      <c r="N649" t="s">
        <v>135</v>
      </c>
      <c r="O649"/>
      <c r="P649"/>
      <c r="Q649" t="s">
        <v>1765</v>
      </c>
      <c r="R649"/>
      <c r="S649"/>
      <c r="T649"/>
      <c r="U649" t="s">
        <v>137</v>
      </c>
      <c r="V649" t="s">
        <v>165</v>
      </c>
      <c r="W649"/>
      <c r="X649" t="s">
        <v>122</v>
      </c>
      <c r="Y649"/>
      <c r="Z649"/>
      <c r="AA649" t="s">
        <v>1795</v>
      </c>
      <c r="AB649" t="s">
        <v>1</v>
      </c>
      <c r="AC649" t="s">
        <v>138</v>
      </c>
      <c r="AD649" t="s">
        <v>130</v>
      </c>
      <c r="AE649" s="97"/>
    </row>
    <row r="650" spans="1:31" ht="14.4" customHeight="1" x14ac:dyDescent="0.3">
      <c r="A650" t="s">
        <v>1856</v>
      </c>
      <c r="B650" t="s">
        <v>1857</v>
      </c>
      <c r="C650"/>
      <c r="D650"/>
      <c r="E650"/>
      <c r="F650"/>
      <c r="G650" t="s">
        <v>1793</v>
      </c>
      <c r="H650" t="s">
        <v>132</v>
      </c>
      <c r="I650" t="s">
        <v>1</v>
      </c>
      <c r="J650" t="s">
        <v>133</v>
      </c>
      <c r="K650" t="s">
        <v>51</v>
      </c>
      <c r="L650" t="s">
        <v>1858</v>
      </c>
      <c r="M650" t="s">
        <v>134</v>
      </c>
      <c r="N650" t="s">
        <v>135</v>
      </c>
      <c r="O650"/>
      <c r="P650"/>
      <c r="Q650" t="s">
        <v>1765</v>
      </c>
      <c r="R650"/>
      <c r="S650"/>
      <c r="T650"/>
      <c r="U650" t="s">
        <v>137</v>
      </c>
      <c r="V650" t="s">
        <v>296</v>
      </c>
      <c r="W650"/>
      <c r="X650" t="s">
        <v>63</v>
      </c>
      <c r="Y650"/>
      <c r="Z650"/>
      <c r="AA650" t="s">
        <v>1795</v>
      </c>
      <c r="AB650" t="s">
        <v>1</v>
      </c>
      <c r="AC650" t="s">
        <v>138</v>
      </c>
      <c r="AD650" t="s">
        <v>128</v>
      </c>
      <c r="AE650" s="97"/>
    </row>
    <row r="651" spans="1:31" ht="14.4" customHeight="1" x14ac:dyDescent="0.3">
      <c r="A651" t="s">
        <v>1859</v>
      </c>
      <c r="B651" t="s">
        <v>1860</v>
      </c>
      <c r="C651"/>
      <c r="D651"/>
      <c r="E651"/>
      <c r="F651"/>
      <c r="G651" t="s">
        <v>1793</v>
      </c>
      <c r="H651" t="s">
        <v>132</v>
      </c>
      <c r="I651" t="s">
        <v>1</v>
      </c>
      <c r="J651" t="s">
        <v>133</v>
      </c>
      <c r="K651" t="s">
        <v>51</v>
      </c>
      <c r="L651" t="s">
        <v>1861</v>
      </c>
      <c r="M651" t="s">
        <v>134</v>
      </c>
      <c r="N651" t="s">
        <v>135</v>
      </c>
      <c r="O651"/>
      <c r="P651"/>
      <c r="Q651" t="s">
        <v>1765</v>
      </c>
      <c r="R651"/>
      <c r="S651"/>
      <c r="T651"/>
      <c r="U651" t="s">
        <v>137</v>
      </c>
      <c r="V651" t="s">
        <v>300</v>
      </c>
      <c r="W651"/>
      <c r="X651" t="s">
        <v>72</v>
      </c>
      <c r="Y651"/>
      <c r="Z651"/>
      <c r="AA651" t="s">
        <v>1795</v>
      </c>
      <c r="AB651" t="s">
        <v>1</v>
      </c>
      <c r="AC651" t="s">
        <v>138</v>
      </c>
      <c r="AD651" t="s">
        <v>128</v>
      </c>
      <c r="AE651" s="97"/>
    </row>
    <row r="652" spans="1:31" ht="14.4" customHeight="1" x14ac:dyDescent="0.3">
      <c r="A652" t="s">
        <v>1862</v>
      </c>
      <c r="B652" t="s">
        <v>1863</v>
      </c>
      <c r="C652"/>
      <c r="D652"/>
      <c r="E652"/>
      <c r="F652"/>
      <c r="G652" t="s">
        <v>1793</v>
      </c>
      <c r="H652" t="s">
        <v>132</v>
      </c>
      <c r="I652" t="s">
        <v>1</v>
      </c>
      <c r="J652" t="s">
        <v>133</v>
      </c>
      <c r="K652" t="s">
        <v>51</v>
      </c>
      <c r="L652" t="s">
        <v>1864</v>
      </c>
      <c r="M652" t="s">
        <v>134</v>
      </c>
      <c r="N652" t="s">
        <v>135</v>
      </c>
      <c r="O652"/>
      <c r="P652"/>
      <c r="Q652" t="s">
        <v>1765</v>
      </c>
      <c r="R652"/>
      <c r="S652"/>
      <c r="T652"/>
      <c r="U652" t="s">
        <v>137</v>
      </c>
      <c r="V652" t="s">
        <v>304</v>
      </c>
      <c r="W652"/>
      <c r="X652" t="s">
        <v>81</v>
      </c>
      <c r="Y652"/>
      <c r="Z652"/>
      <c r="AA652" t="s">
        <v>1795</v>
      </c>
      <c r="AB652" t="s">
        <v>1</v>
      </c>
      <c r="AC652" t="s">
        <v>138</v>
      </c>
      <c r="AD652" t="s">
        <v>129</v>
      </c>
      <c r="AE652" s="97"/>
    </row>
    <row r="653" spans="1:31" ht="14.4" customHeight="1" x14ac:dyDescent="0.3">
      <c r="A653" t="s">
        <v>1865</v>
      </c>
      <c r="B653" t="s">
        <v>1866</v>
      </c>
      <c r="C653"/>
      <c r="D653"/>
      <c r="E653"/>
      <c r="F653"/>
      <c r="G653" t="s">
        <v>1793</v>
      </c>
      <c r="H653" t="s">
        <v>132</v>
      </c>
      <c r="I653" t="s">
        <v>1</v>
      </c>
      <c r="J653" t="s">
        <v>133</v>
      </c>
      <c r="K653" t="s">
        <v>51</v>
      </c>
      <c r="L653" t="s">
        <v>1867</v>
      </c>
      <c r="M653" t="s">
        <v>134</v>
      </c>
      <c r="N653" t="s">
        <v>135</v>
      </c>
      <c r="O653"/>
      <c r="P653"/>
      <c r="Q653" t="s">
        <v>1765</v>
      </c>
      <c r="R653"/>
      <c r="S653"/>
      <c r="T653"/>
      <c r="U653" t="s">
        <v>137</v>
      </c>
      <c r="V653" t="s">
        <v>308</v>
      </c>
      <c r="W653"/>
      <c r="X653" t="s">
        <v>90</v>
      </c>
      <c r="Y653"/>
      <c r="Z653"/>
      <c r="AA653" t="s">
        <v>1795</v>
      </c>
      <c r="AB653" t="s">
        <v>1</v>
      </c>
      <c r="AC653" t="s">
        <v>138</v>
      </c>
      <c r="AD653" t="s">
        <v>129</v>
      </c>
      <c r="AE653" s="97"/>
    </row>
    <row r="654" spans="1:31" ht="14.4" customHeight="1" x14ac:dyDescent="0.3">
      <c r="A654" t="s">
        <v>1868</v>
      </c>
      <c r="B654" t="s">
        <v>1869</v>
      </c>
      <c r="C654"/>
      <c r="D654"/>
      <c r="E654"/>
      <c r="F654"/>
      <c r="G654" t="s">
        <v>1793</v>
      </c>
      <c r="H654" t="s">
        <v>132</v>
      </c>
      <c r="I654" t="s">
        <v>1</v>
      </c>
      <c r="J654" t="s">
        <v>133</v>
      </c>
      <c r="K654" t="s">
        <v>51</v>
      </c>
      <c r="L654" t="s">
        <v>1870</v>
      </c>
      <c r="M654" t="s">
        <v>134</v>
      </c>
      <c r="N654" t="s">
        <v>135</v>
      </c>
      <c r="O654"/>
      <c r="P654"/>
      <c r="Q654" t="s">
        <v>1765</v>
      </c>
      <c r="R654"/>
      <c r="S654"/>
      <c r="T654"/>
      <c r="U654" t="s">
        <v>137</v>
      </c>
      <c r="V654" t="s">
        <v>312</v>
      </c>
      <c r="W654"/>
      <c r="X654" t="s">
        <v>99</v>
      </c>
      <c r="Y654"/>
      <c r="Z654"/>
      <c r="AA654" t="s">
        <v>1795</v>
      </c>
      <c r="AB654" t="s">
        <v>1</v>
      </c>
      <c r="AC654" t="s">
        <v>138</v>
      </c>
      <c r="AD654" t="s">
        <v>129</v>
      </c>
      <c r="AE654" s="97"/>
    </row>
    <row r="655" spans="1:31" ht="14.4" customHeight="1" x14ac:dyDescent="0.3">
      <c r="A655" t="s">
        <v>1871</v>
      </c>
      <c r="B655" t="s">
        <v>1872</v>
      </c>
      <c r="C655"/>
      <c r="D655"/>
      <c r="E655"/>
      <c r="F655"/>
      <c r="G655" t="s">
        <v>1793</v>
      </c>
      <c r="H655" t="s">
        <v>132</v>
      </c>
      <c r="I655" t="s">
        <v>1</v>
      </c>
      <c r="J655" t="s">
        <v>133</v>
      </c>
      <c r="K655" t="s">
        <v>51</v>
      </c>
      <c r="L655" t="s">
        <v>1873</v>
      </c>
      <c r="M655" t="s">
        <v>134</v>
      </c>
      <c r="N655" t="s">
        <v>135</v>
      </c>
      <c r="O655"/>
      <c r="P655"/>
      <c r="Q655" t="s">
        <v>1765</v>
      </c>
      <c r="R655"/>
      <c r="S655"/>
      <c r="T655"/>
      <c r="U655" t="s">
        <v>137</v>
      </c>
      <c r="V655" t="s">
        <v>316</v>
      </c>
      <c r="W655"/>
      <c r="X655" t="s">
        <v>108</v>
      </c>
      <c r="Y655"/>
      <c r="Z655"/>
      <c r="AA655" t="s">
        <v>1795</v>
      </c>
      <c r="AB655" t="s">
        <v>1</v>
      </c>
      <c r="AC655" t="s">
        <v>138</v>
      </c>
      <c r="AD655" t="s">
        <v>129</v>
      </c>
      <c r="AE655" s="97"/>
    </row>
    <row r="656" spans="1:31" ht="14.4" customHeight="1" x14ac:dyDescent="0.3">
      <c r="A656" t="s">
        <v>1874</v>
      </c>
      <c r="B656" t="s">
        <v>1875</v>
      </c>
      <c r="C656"/>
      <c r="D656"/>
      <c r="E656"/>
      <c r="F656"/>
      <c r="G656" t="s">
        <v>1793</v>
      </c>
      <c r="H656" t="s">
        <v>132</v>
      </c>
      <c r="I656" t="s">
        <v>1</v>
      </c>
      <c r="J656" t="s">
        <v>133</v>
      </c>
      <c r="K656" t="s">
        <v>51</v>
      </c>
      <c r="L656" t="s">
        <v>1876</v>
      </c>
      <c r="M656" t="s">
        <v>134</v>
      </c>
      <c r="N656" t="s">
        <v>135</v>
      </c>
      <c r="O656"/>
      <c r="P656"/>
      <c r="Q656" t="s">
        <v>1765</v>
      </c>
      <c r="R656"/>
      <c r="S656"/>
      <c r="T656"/>
      <c r="U656" t="s">
        <v>137</v>
      </c>
      <c r="V656" t="s">
        <v>320</v>
      </c>
      <c r="W656"/>
      <c r="X656" t="s">
        <v>117</v>
      </c>
      <c r="Y656"/>
      <c r="Z656"/>
      <c r="AA656" t="s">
        <v>1795</v>
      </c>
      <c r="AB656" t="s">
        <v>1</v>
      </c>
      <c r="AC656" t="s">
        <v>138</v>
      </c>
      <c r="AD656" t="s">
        <v>130</v>
      </c>
      <c r="AE656" s="97"/>
    </row>
    <row r="657" spans="1:31" ht="14.4" customHeight="1" x14ac:dyDescent="0.3">
      <c r="A657" t="s">
        <v>1877</v>
      </c>
      <c r="B657" t="s">
        <v>1878</v>
      </c>
      <c r="C657"/>
      <c r="D657"/>
      <c r="E657"/>
      <c r="F657"/>
      <c r="G657" t="s">
        <v>1793</v>
      </c>
      <c r="H657" t="s">
        <v>132</v>
      </c>
      <c r="I657" t="s">
        <v>1</v>
      </c>
      <c r="J657" t="s">
        <v>133</v>
      </c>
      <c r="K657" t="s">
        <v>51</v>
      </c>
      <c r="L657" t="s">
        <v>1879</v>
      </c>
      <c r="M657" t="s">
        <v>134</v>
      </c>
      <c r="N657" t="s">
        <v>135</v>
      </c>
      <c r="O657"/>
      <c r="P657"/>
      <c r="Q657" t="s">
        <v>1765</v>
      </c>
      <c r="R657"/>
      <c r="S657"/>
      <c r="T657"/>
      <c r="U657" t="s">
        <v>137</v>
      </c>
      <c r="V657" t="s">
        <v>1239</v>
      </c>
      <c r="W657"/>
      <c r="X657" t="s">
        <v>127</v>
      </c>
      <c r="Y657"/>
      <c r="Z657"/>
      <c r="AA657" t="s">
        <v>1795</v>
      </c>
      <c r="AB657" t="s">
        <v>1</v>
      </c>
      <c r="AC657" t="s">
        <v>138</v>
      </c>
      <c r="AD657" t="s">
        <v>131</v>
      </c>
      <c r="AE657" s="97"/>
    </row>
    <row r="658" spans="1:31" ht="14.4" customHeight="1" x14ac:dyDescent="0.3">
      <c r="A658" t="s">
        <v>1880</v>
      </c>
      <c r="B658" t="s">
        <v>1881</v>
      </c>
      <c r="C658"/>
      <c r="D658"/>
      <c r="E658"/>
      <c r="F658"/>
      <c r="G658" t="s">
        <v>1793</v>
      </c>
      <c r="H658" t="s">
        <v>132</v>
      </c>
      <c r="I658" t="s">
        <v>1</v>
      </c>
      <c r="J658" t="s">
        <v>133</v>
      </c>
      <c r="K658" t="s">
        <v>51</v>
      </c>
      <c r="L658" t="s">
        <v>1882</v>
      </c>
      <c r="M658" t="s">
        <v>134</v>
      </c>
      <c r="N658" t="s">
        <v>135</v>
      </c>
      <c r="O658"/>
      <c r="P658"/>
      <c r="Q658" t="s">
        <v>1765</v>
      </c>
      <c r="R658"/>
      <c r="S658"/>
      <c r="T658"/>
      <c r="U658" t="s">
        <v>137</v>
      </c>
      <c r="V658" t="s">
        <v>1249</v>
      </c>
      <c r="W658"/>
      <c r="X658" t="s">
        <v>61</v>
      </c>
      <c r="Y658"/>
      <c r="Z658"/>
      <c r="AA658" t="s">
        <v>1795</v>
      </c>
      <c r="AB658" t="s">
        <v>1</v>
      </c>
      <c r="AC658" t="s">
        <v>138</v>
      </c>
      <c r="AD658" t="s">
        <v>128</v>
      </c>
      <c r="AE658" s="97"/>
    </row>
    <row r="659" spans="1:31" ht="14.4" customHeight="1" x14ac:dyDescent="0.3">
      <c r="A659" t="s">
        <v>1885</v>
      </c>
      <c r="B659" t="s">
        <v>1886</v>
      </c>
      <c r="C659"/>
      <c r="D659"/>
      <c r="E659"/>
      <c r="F659"/>
      <c r="G659" t="s">
        <v>1883</v>
      </c>
      <c r="H659" t="s">
        <v>132</v>
      </c>
      <c r="I659" t="s">
        <v>1</v>
      </c>
      <c r="J659" t="s">
        <v>133</v>
      </c>
      <c r="K659" t="s">
        <v>51</v>
      </c>
      <c r="L659" t="s">
        <v>1887</v>
      </c>
      <c r="M659" t="s">
        <v>134</v>
      </c>
      <c r="N659" t="s">
        <v>135</v>
      </c>
      <c r="O659"/>
      <c r="P659"/>
      <c r="Q659" t="s">
        <v>140</v>
      </c>
      <c r="R659"/>
      <c r="S659"/>
      <c r="T659" t="s">
        <v>1888</v>
      </c>
      <c r="U659" t="s">
        <v>137</v>
      </c>
      <c r="V659" t="s">
        <v>147</v>
      </c>
      <c r="W659"/>
      <c r="X659" t="s">
        <v>70</v>
      </c>
      <c r="Y659"/>
      <c r="Z659"/>
      <c r="AA659" t="s">
        <v>1884</v>
      </c>
      <c r="AB659" t="s">
        <v>3</v>
      </c>
      <c r="AC659" t="s">
        <v>138</v>
      </c>
      <c r="AD659" t="s">
        <v>128</v>
      </c>
      <c r="AE659" s="97"/>
    </row>
    <row r="660" spans="1:31" ht="14.4" customHeight="1" x14ac:dyDescent="0.3">
      <c r="A660" t="s">
        <v>1889</v>
      </c>
      <c r="B660" t="s">
        <v>1890</v>
      </c>
      <c r="C660"/>
      <c r="D660"/>
      <c r="E660"/>
      <c r="F660"/>
      <c r="G660" t="s">
        <v>1883</v>
      </c>
      <c r="H660" t="s">
        <v>132</v>
      </c>
      <c r="I660" t="s">
        <v>1</v>
      </c>
      <c r="J660" t="s">
        <v>133</v>
      </c>
      <c r="K660" t="s">
        <v>51</v>
      </c>
      <c r="L660" t="s">
        <v>1891</v>
      </c>
      <c r="M660" t="s">
        <v>134</v>
      </c>
      <c r="N660" t="s">
        <v>135</v>
      </c>
      <c r="O660"/>
      <c r="P660"/>
      <c r="Q660" t="s">
        <v>140</v>
      </c>
      <c r="R660"/>
      <c r="S660"/>
      <c r="T660" t="s">
        <v>1892</v>
      </c>
      <c r="U660" t="s">
        <v>137</v>
      </c>
      <c r="V660" t="s">
        <v>150</v>
      </c>
      <c r="W660"/>
      <c r="X660" t="s">
        <v>76</v>
      </c>
      <c r="Y660"/>
      <c r="Z660"/>
      <c r="AA660" t="s">
        <v>1884</v>
      </c>
      <c r="AB660" t="s">
        <v>3</v>
      </c>
      <c r="AC660" t="s">
        <v>138</v>
      </c>
      <c r="AD660" t="s">
        <v>128</v>
      </c>
      <c r="AE660" s="97"/>
    </row>
    <row r="661" spans="1:31" ht="14.4" customHeight="1" x14ac:dyDescent="0.3">
      <c r="A661" t="s">
        <v>1893</v>
      </c>
      <c r="B661" t="s">
        <v>1894</v>
      </c>
      <c r="C661"/>
      <c r="D661"/>
      <c r="E661"/>
      <c r="F661"/>
      <c r="G661" t="s">
        <v>1883</v>
      </c>
      <c r="H661" t="s">
        <v>132</v>
      </c>
      <c r="I661" t="s">
        <v>1</v>
      </c>
      <c r="J661" t="s">
        <v>133</v>
      </c>
      <c r="K661" t="s">
        <v>51</v>
      </c>
      <c r="L661" t="s">
        <v>1895</v>
      </c>
      <c r="M661" t="s">
        <v>134</v>
      </c>
      <c r="N661" t="s">
        <v>135</v>
      </c>
      <c r="O661"/>
      <c r="P661"/>
      <c r="Q661" t="s">
        <v>140</v>
      </c>
      <c r="R661"/>
      <c r="S661"/>
      <c r="T661" t="s">
        <v>1896</v>
      </c>
      <c r="U661" t="s">
        <v>137</v>
      </c>
      <c r="V661" t="s">
        <v>153</v>
      </c>
      <c r="W661"/>
      <c r="X661" t="s">
        <v>88</v>
      </c>
      <c r="Y661"/>
      <c r="Z661"/>
      <c r="AA661" t="s">
        <v>1884</v>
      </c>
      <c r="AB661" t="s">
        <v>3</v>
      </c>
      <c r="AC661" t="s">
        <v>138</v>
      </c>
      <c r="AD661" t="s">
        <v>129</v>
      </c>
      <c r="AE661" s="97"/>
    </row>
    <row r="662" spans="1:31" ht="14.4" customHeight="1" x14ac:dyDescent="0.3">
      <c r="A662" t="s">
        <v>1897</v>
      </c>
      <c r="B662" t="s">
        <v>1898</v>
      </c>
      <c r="C662"/>
      <c r="D662"/>
      <c r="E662"/>
      <c r="F662"/>
      <c r="G662" t="s">
        <v>1883</v>
      </c>
      <c r="H662" t="s">
        <v>132</v>
      </c>
      <c r="I662" t="s">
        <v>1</v>
      </c>
      <c r="J662" t="s">
        <v>133</v>
      </c>
      <c r="K662" t="s">
        <v>51</v>
      </c>
      <c r="L662" t="s">
        <v>1899</v>
      </c>
      <c r="M662" t="s">
        <v>134</v>
      </c>
      <c r="N662" t="s">
        <v>135</v>
      </c>
      <c r="O662"/>
      <c r="P662"/>
      <c r="Q662" t="s">
        <v>140</v>
      </c>
      <c r="R662"/>
      <c r="S662"/>
      <c r="T662" t="s">
        <v>1900</v>
      </c>
      <c r="U662" t="s">
        <v>137</v>
      </c>
      <c r="V662" t="s">
        <v>156</v>
      </c>
      <c r="W662"/>
      <c r="X662" t="s">
        <v>97</v>
      </c>
      <c r="Y662"/>
      <c r="Z662"/>
      <c r="AA662" t="s">
        <v>1884</v>
      </c>
      <c r="AB662" t="s">
        <v>3</v>
      </c>
      <c r="AC662" t="s">
        <v>138</v>
      </c>
      <c r="AD662" t="s">
        <v>129</v>
      </c>
      <c r="AE662" s="97"/>
    </row>
    <row r="663" spans="1:31" ht="14.4" customHeight="1" x14ac:dyDescent="0.3">
      <c r="A663" t="s">
        <v>1901</v>
      </c>
      <c r="B663" t="s">
        <v>1902</v>
      </c>
      <c r="C663"/>
      <c r="D663"/>
      <c r="E663"/>
      <c r="F663"/>
      <c r="G663" t="s">
        <v>1883</v>
      </c>
      <c r="H663" t="s">
        <v>132</v>
      </c>
      <c r="I663" t="s">
        <v>1</v>
      </c>
      <c r="J663" t="s">
        <v>133</v>
      </c>
      <c r="K663" t="s">
        <v>51</v>
      </c>
      <c r="L663" t="s">
        <v>1903</v>
      </c>
      <c r="M663" t="s">
        <v>134</v>
      </c>
      <c r="N663" t="s">
        <v>135</v>
      </c>
      <c r="O663"/>
      <c r="P663"/>
      <c r="Q663" t="s">
        <v>140</v>
      </c>
      <c r="R663"/>
      <c r="S663"/>
      <c r="T663" t="s">
        <v>1904</v>
      </c>
      <c r="U663" t="s">
        <v>137</v>
      </c>
      <c r="V663" t="s">
        <v>159</v>
      </c>
      <c r="W663"/>
      <c r="X663" t="s">
        <v>106</v>
      </c>
      <c r="Y663"/>
      <c r="Z663"/>
      <c r="AA663" t="s">
        <v>1884</v>
      </c>
      <c r="AB663" t="s">
        <v>3</v>
      </c>
      <c r="AC663" t="s">
        <v>138</v>
      </c>
      <c r="AD663" t="s">
        <v>129</v>
      </c>
      <c r="AE663" s="97"/>
    </row>
    <row r="664" spans="1:31" ht="14.4" customHeight="1" x14ac:dyDescent="0.3">
      <c r="A664" t="s">
        <v>1905</v>
      </c>
      <c r="B664" t="s">
        <v>1906</v>
      </c>
      <c r="C664"/>
      <c r="D664"/>
      <c r="E664"/>
      <c r="F664"/>
      <c r="G664" t="s">
        <v>1883</v>
      </c>
      <c r="H664" t="s">
        <v>132</v>
      </c>
      <c r="I664" t="s">
        <v>1</v>
      </c>
      <c r="J664" t="s">
        <v>133</v>
      </c>
      <c r="K664" t="s">
        <v>51</v>
      </c>
      <c r="L664" t="s">
        <v>1907</v>
      </c>
      <c r="M664" t="s">
        <v>134</v>
      </c>
      <c r="N664" t="s">
        <v>135</v>
      </c>
      <c r="O664"/>
      <c r="P664"/>
      <c r="Q664" t="s">
        <v>140</v>
      </c>
      <c r="R664"/>
      <c r="S664"/>
      <c r="T664" t="s">
        <v>1908</v>
      </c>
      <c r="U664" t="s">
        <v>137</v>
      </c>
      <c r="V664" t="s">
        <v>162</v>
      </c>
      <c r="W664"/>
      <c r="X664" t="s">
        <v>113</v>
      </c>
      <c r="Y664"/>
      <c r="Z664"/>
      <c r="AA664" t="s">
        <v>1884</v>
      </c>
      <c r="AB664" t="s">
        <v>3</v>
      </c>
      <c r="AC664" t="s">
        <v>138</v>
      </c>
      <c r="AD664" t="s">
        <v>129</v>
      </c>
      <c r="AE664" s="97"/>
    </row>
    <row r="665" spans="1:31" ht="14.4" customHeight="1" x14ac:dyDescent="0.3">
      <c r="A665" t="s">
        <v>1909</v>
      </c>
      <c r="B665" t="s">
        <v>1910</v>
      </c>
      <c r="C665"/>
      <c r="D665"/>
      <c r="E665"/>
      <c r="F665"/>
      <c r="G665" t="s">
        <v>1883</v>
      </c>
      <c r="H665" t="s">
        <v>132</v>
      </c>
      <c r="I665" t="s">
        <v>1</v>
      </c>
      <c r="J665" t="s">
        <v>133</v>
      </c>
      <c r="K665" t="s">
        <v>51</v>
      </c>
      <c r="L665" t="s">
        <v>1911</v>
      </c>
      <c r="M665" t="s">
        <v>134</v>
      </c>
      <c r="N665" t="s">
        <v>135</v>
      </c>
      <c r="O665"/>
      <c r="P665"/>
      <c r="Q665" t="s">
        <v>140</v>
      </c>
      <c r="R665"/>
      <c r="S665"/>
      <c r="T665" t="s">
        <v>1912</v>
      </c>
      <c r="U665" t="s">
        <v>137</v>
      </c>
      <c r="V665" t="s">
        <v>165</v>
      </c>
      <c r="W665"/>
      <c r="X665" t="s">
        <v>122</v>
      </c>
      <c r="Y665"/>
      <c r="Z665"/>
      <c r="AA665" t="s">
        <v>1884</v>
      </c>
      <c r="AB665" t="s">
        <v>3</v>
      </c>
      <c r="AC665" t="s">
        <v>138</v>
      </c>
      <c r="AD665" t="s">
        <v>130</v>
      </c>
      <c r="AE665" s="97"/>
    </row>
    <row r="666" spans="1:31" ht="14.4" customHeight="1" x14ac:dyDescent="0.3">
      <c r="A666" t="s">
        <v>1913</v>
      </c>
      <c r="B666" t="s">
        <v>1914</v>
      </c>
      <c r="C666"/>
      <c r="D666"/>
      <c r="E666"/>
      <c r="F666"/>
      <c r="G666" t="s">
        <v>1883</v>
      </c>
      <c r="H666" t="s">
        <v>132</v>
      </c>
      <c r="I666" t="s">
        <v>1</v>
      </c>
      <c r="J666" t="s">
        <v>133</v>
      </c>
      <c r="K666" t="s">
        <v>51</v>
      </c>
      <c r="L666" t="s">
        <v>1915</v>
      </c>
      <c r="M666" t="s">
        <v>134</v>
      </c>
      <c r="N666" t="s">
        <v>135</v>
      </c>
      <c r="O666"/>
      <c r="P666"/>
      <c r="Q666" t="s">
        <v>140</v>
      </c>
      <c r="R666"/>
      <c r="S666"/>
      <c r="T666" t="s">
        <v>1916</v>
      </c>
      <c r="U666" t="s">
        <v>137</v>
      </c>
      <c r="V666" t="s">
        <v>362</v>
      </c>
      <c r="W666"/>
      <c r="X666" t="s">
        <v>58</v>
      </c>
      <c r="Y666"/>
      <c r="Z666"/>
      <c r="AA666" t="s">
        <v>1884</v>
      </c>
      <c r="AB666" t="s">
        <v>3</v>
      </c>
      <c r="AC666" t="s">
        <v>138</v>
      </c>
      <c r="AD666" t="s">
        <v>128</v>
      </c>
      <c r="AE666" s="97"/>
    </row>
    <row r="667" spans="1:31" ht="14.4" customHeight="1" x14ac:dyDescent="0.3">
      <c r="A667" t="s">
        <v>1917</v>
      </c>
      <c r="B667" t="s">
        <v>1918</v>
      </c>
      <c r="C667"/>
      <c r="D667"/>
      <c r="E667"/>
      <c r="F667"/>
      <c r="G667" t="s">
        <v>1883</v>
      </c>
      <c r="H667" t="s">
        <v>132</v>
      </c>
      <c r="I667" t="s">
        <v>1</v>
      </c>
      <c r="J667" t="s">
        <v>133</v>
      </c>
      <c r="K667" t="s">
        <v>51</v>
      </c>
      <c r="L667" t="s">
        <v>1919</v>
      </c>
      <c r="M667" t="s">
        <v>134</v>
      </c>
      <c r="N667" t="s">
        <v>135</v>
      </c>
      <c r="O667"/>
      <c r="P667"/>
      <c r="Q667" t="s">
        <v>140</v>
      </c>
      <c r="R667"/>
      <c r="S667"/>
      <c r="T667" t="s">
        <v>1920</v>
      </c>
      <c r="U667" t="s">
        <v>137</v>
      </c>
      <c r="V667" t="s">
        <v>403</v>
      </c>
      <c r="W667"/>
      <c r="X667" t="s">
        <v>68</v>
      </c>
      <c r="Y667"/>
      <c r="Z667"/>
      <c r="AA667" t="s">
        <v>1884</v>
      </c>
      <c r="AB667" t="s">
        <v>3</v>
      </c>
      <c r="AC667" t="s">
        <v>138</v>
      </c>
      <c r="AD667" t="s">
        <v>128</v>
      </c>
      <c r="AE667" s="97"/>
    </row>
    <row r="668" spans="1:31" ht="14.4" customHeight="1" x14ac:dyDescent="0.3">
      <c r="A668" t="s">
        <v>1921</v>
      </c>
      <c r="B668" t="s">
        <v>1922</v>
      </c>
      <c r="C668"/>
      <c r="D668"/>
      <c r="E668"/>
      <c r="F668"/>
      <c r="G668" t="s">
        <v>1883</v>
      </c>
      <c r="H668" t="s">
        <v>132</v>
      </c>
      <c r="I668" t="s">
        <v>1</v>
      </c>
      <c r="J668" t="s">
        <v>133</v>
      </c>
      <c r="K668" t="s">
        <v>51</v>
      </c>
      <c r="L668" t="s">
        <v>1919</v>
      </c>
      <c r="M668" t="s">
        <v>134</v>
      </c>
      <c r="N668" t="s">
        <v>135</v>
      </c>
      <c r="O668"/>
      <c r="P668"/>
      <c r="Q668" t="s">
        <v>140</v>
      </c>
      <c r="R668"/>
      <c r="S668"/>
      <c r="T668" t="s">
        <v>1920</v>
      </c>
      <c r="U668" t="s">
        <v>137</v>
      </c>
      <c r="V668" t="s">
        <v>407</v>
      </c>
      <c r="W668"/>
      <c r="X668" t="s">
        <v>77</v>
      </c>
      <c r="Y668"/>
      <c r="Z668"/>
      <c r="AA668" t="s">
        <v>1884</v>
      </c>
      <c r="AB668" t="s">
        <v>3</v>
      </c>
      <c r="AC668" t="s">
        <v>138</v>
      </c>
      <c r="AD668" t="s">
        <v>128</v>
      </c>
      <c r="AE668" s="97"/>
    </row>
    <row r="669" spans="1:31" ht="14.4" customHeight="1" x14ac:dyDescent="0.3">
      <c r="A669" t="s">
        <v>1923</v>
      </c>
      <c r="B669" t="s">
        <v>1924</v>
      </c>
      <c r="C669"/>
      <c r="D669"/>
      <c r="E669"/>
      <c r="F669"/>
      <c r="G669" t="s">
        <v>1883</v>
      </c>
      <c r="H669" t="s">
        <v>132</v>
      </c>
      <c r="I669" t="s">
        <v>1</v>
      </c>
      <c r="J669" t="s">
        <v>133</v>
      </c>
      <c r="K669" t="s">
        <v>51</v>
      </c>
      <c r="L669" t="s">
        <v>1919</v>
      </c>
      <c r="M669" t="s">
        <v>134</v>
      </c>
      <c r="N669" t="s">
        <v>135</v>
      </c>
      <c r="O669"/>
      <c r="P669"/>
      <c r="Q669" t="s">
        <v>140</v>
      </c>
      <c r="R669"/>
      <c r="S669"/>
      <c r="T669" t="s">
        <v>1920</v>
      </c>
      <c r="U669" t="s">
        <v>137</v>
      </c>
      <c r="V669" t="s">
        <v>411</v>
      </c>
      <c r="W669"/>
      <c r="X669" t="s">
        <v>87</v>
      </c>
      <c r="Y669"/>
      <c r="Z669"/>
      <c r="AA669" t="s">
        <v>1884</v>
      </c>
      <c r="AB669" t="s">
        <v>3</v>
      </c>
      <c r="AC669" t="s">
        <v>138</v>
      </c>
      <c r="AD669" t="s">
        <v>129</v>
      </c>
      <c r="AE669" s="97"/>
    </row>
    <row r="670" spans="1:31" ht="14.4" customHeight="1" x14ac:dyDescent="0.3">
      <c r="A670" t="s">
        <v>1925</v>
      </c>
      <c r="B670" t="s">
        <v>1926</v>
      </c>
      <c r="C670"/>
      <c r="D670"/>
      <c r="E670"/>
      <c r="F670"/>
      <c r="G670" t="s">
        <v>1883</v>
      </c>
      <c r="H670" t="s">
        <v>132</v>
      </c>
      <c r="I670" t="s">
        <v>1</v>
      </c>
      <c r="J670" t="s">
        <v>133</v>
      </c>
      <c r="K670" t="s">
        <v>51</v>
      </c>
      <c r="L670" t="s">
        <v>1919</v>
      </c>
      <c r="M670" t="s">
        <v>134</v>
      </c>
      <c r="N670" t="s">
        <v>135</v>
      </c>
      <c r="O670"/>
      <c r="P670"/>
      <c r="Q670" t="s">
        <v>140</v>
      </c>
      <c r="R670"/>
      <c r="S670"/>
      <c r="T670" t="s">
        <v>1920</v>
      </c>
      <c r="U670" t="s">
        <v>137</v>
      </c>
      <c r="V670" t="s">
        <v>415</v>
      </c>
      <c r="W670"/>
      <c r="X670" t="s">
        <v>96</v>
      </c>
      <c r="Y670"/>
      <c r="Z670"/>
      <c r="AA670" t="s">
        <v>1884</v>
      </c>
      <c r="AB670" t="s">
        <v>3</v>
      </c>
      <c r="AC670" t="s">
        <v>138</v>
      </c>
      <c r="AD670" t="s">
        <v>129</v>
      </c>
      <c r="AE670" s="97"/>
    </row>
    <row r="671" spans="1:31" ht="14.4" customHeight="1" x14ac:dyDescent="0.3">
      <c r="A671" t="s">
        <v>1927</v>
      </c>
      <c r="B671" t="s">
        <v>1928</v>
      </c>
      <c r="C671"/>
      <c r="D671"/>
      <c r="E671"/>
      <c r="F671"/>
      <c r="G671" t="s">
        <v>1883</v>
      </c>
      <c r="H671" t="s">
        <v>132</v>
      </c>
      <c r="I671" t="s">
        <v>1</v>
      </c>
      <c r="J671" t="s">
        <v>133</v>
      </c>
      <c r="K671" t="s">
        <v>51</v>
      </c>
      <c r="L671" t="s">
        <v>1919</v>
      </c>
      <c r="M671" t="s">
        <v>134</v>
      </c>
      <c r="N671" t="s">
        <v>135</v>
      </c>
      <c r="O671"/>
      <c r="P671"/>
      <c r="Q671" t="s">
        <v>140</v>
      </c>
      <c r="R671"/>
      <c r="S671"/>
      <c r="T671" t="s">
        <v>1920</v>
      </c>
      <c r="U671" t="s">
        <v>137</v>
      </c>
      <c r="V671" t="s">
        <v>419</v>
      </c>
      <c r="W671"/>
      <c r="X671" t="s">
        <v>105</v>
      </c>
      <c r="Y671"/>
      <c r="Z671"/>
      <c r="AA671" t="s">
        <v>1884</v>
      </c>
      <c r="AB671" t="s">
        <v>3</v>
      </c>
      <c r="AC671" t="s">
        <v>138</v>
      </c>
      <c r="AD671" t="s">
        <v>129</v>
      </c>
      <c r="AE671" s="97"/>
    </row>
    <row r="672" spans="1:31" ht="14.4" customHeight="1" x14ac:dyDescent="0.3">
      <c r="A672" t="s">
        <v>1929</v>
      </c>
      <c r="B672" t="s">
        <v>1930</v>
      </c>
      <c r="C672"/>
      <c r="D672"/>
      <c r="E672"/>
      <c r="F672"/>
      <c r="G672" t="s">
        <v>1883</v>
      </c>
      <c r="H672" t="s">
        <v>132</v>
      </c>
      <c r="I672" t="s">
        <v>1</v>
      </c>
      <c r="J672" t="s">
        <v>133</v>
      </c>
      <c r="K672" t="s">
        <v>51</v>
      </c>
      <c r="L672" t="s">
        <v>1919</v>
      </c>
      <c r="M672" t="s">
        <v>134</v>
      </c>
      <c r="N672" t="s">
        <v>135</v>
      </c>
      <c r="O672"/>
      <c r="P672"/>
      <c r="Q672" t="s">
        <v>140</v>
      </c>
      <c r="R672"/>
      <c r="S672"/>
      <c r="T672" t="s">
        <v>1920</v>
      </c>
      <c r="U672" t="s">
        <v>137</v>
      </c>
      <c r="V672" t="s">
        <v>423</v>
      </c>
      <c r="W672"/>
      <c r="X672" t="s">
        <v>112</v>
      </c>
      <c r="Y672"/>
      <c r="Z672"/>
      <c r="AA672" t="s">
        <v>1884</v>
      </c>
      <c r="AB672" t="s">
        <v>3</v>
      </c>
      <c r="AC672" t="s">
        <v>138</v>
      </c>
      <c r="AD672" t="s">
        <v>129</v>
      </c>
      <c r="AE672" s="97"/>
    </row>
    <row r="673" spans="1:31" ht="14.4" customHeight="1" x14ac:dyDescent="0.3">
      <c r="A673" t="s">
        <v>1931</v>
      </c>
      <c r="B673" t="s">
        <v>1932</v>
      </c>
      <c r="C673"/>
      <c r="D673"/>
      <c r="E673"/>
      <c r="F673"/>
      <c r="G673" t="s">
        <v>1883</v>
      </c>
      <c r="H673" t="s">
        <v>132</v>
      </c>
      <c r="I673" t="s">
        <v>1</v>
      </c>
      <c r="J673" t="s">
        <v>133</v>
      </c>
      <c r="K673" t="s">
        <v>51</v>
      </c>
      <c r="L673" t="s">
        <v>1919</v>
      </c>
      <c r="M673" t="s">
        <v>134</v>
      </c>
      <c r="N673" t="s">
        <v>135</v>
      </c>
      <c r="O673"/>
      <c r="P673"/>
      <c r="Q673" t="s">
        <v>140</v>
      </c>
      <c r="R673"/>
      <c r="S673"/>
      <c r="T673" t="s">
        <v>1920</v>
      </c>
      <c r="U673" t="s">
        <v>137</v>
      </c>
      <c r="V673" t="s">
        <v>427</v>
      </c>
      <c r="W673"/>
      <c r="X673" t="s">
        <v>121</v>
      </c>
      <c r="Y673"/>
      <c r="Z673"/>
      <c r="AA673" t="s">
        <v>1884</v>
      </c>
      <c r="AB673" t="s">
        <v>3</v>
      </c>
      <c r="AC673" t="s">
        <v>138</v>
      </c>
      <c r="AD673" t="s">
        <v>130</v>
      </c>
      <c r="AE673" s="97"/>
    </row>
    <row r="674" spans="1:31" ht="14.4" customHeight="1" x14ac:dyDescent="0.3">
      <c r="A674" t="s">
        <v>1933</v>
      </c>
      <c r="B674" t="s">
        <v>1934</v>
      </c>
      <c r="C674"/>
      <c r="D674"/>
      <c r="E674"/>
      <c r="F674"/>
      <c r="G674" t="s">
        <v>1883</v>
      </c>
      <c r="H674" t="s">
        <v>132</v>
      </c>
      <c r="I674" t="s">
        <v>1</v>
      </c>
      <c r="J674" t="s">
        <v>133</v>
      </c>
      <c r="K674" t="s">
        <v>51</v>
      </c>
      <c r="L674" t="s">
        <v>1935</v>
      </c>
      <c r="M674" t="s">
        <v>134</v>
      </c>
      <c r="N674" t="s">
        <v>135</v>
      </c>
      <c r="O674"/>
      <c r="P674"/>
      <c r="Q674" t="s">
        <v>140</v>
      </c>
      <c r="R674"/>
      <c r="S674"/>
      <c r="T674" t="s">
        <v>1936</v>
      </c>
      <c r="U674" t="s">
        <v>137</v>
      </c>
      <c r="V674" t="s">
        <v>640</v>
      </c>
      <c r="W674"/>
      <c r="X674" t="s">
        <v>66</v>
      </c>
      <c r="Y674"/>
      <c r="Z674"/>
      <c r="AA674" t="s">
        <v>1884</v>
      </c>
      <c r="AB674" t="s">
        <v>3</v>
      </c>
      <c r="AC674" t="s">
        <v>138</v>
      </c>
      <c r="AD674" t="s">
        <v>128</v>
      </c>
      <c r="AE674" s="97"/>
    </row>
    <row r="675" spans="1:31" ht="14.4" customHeight="1" x14ac:dyDescent="0.3">
      <c r="A675" t="s">
        <v>1937</v>
      </c>
      <c r="B675" t="s">
        <v>1938</v>
      </c>
      <c r="C675"/>
      <c r="D675"/>
      <c r="E675"/>
      <c r="F675"/>
      <c r="G675" t="s">
        <v>1883</v>
      </c>
      <c r="H675" t="s">
        <v>132</v>
      </c>
      <c r="I675" t="s">
        <v>1</v>
      </c>
      <c r="J675" t="s">
        <v>133</v>
      </c>
      <c r="K675" t="s">
        <v>51</v>
      </c>
      <c r="L675" t="s">
        <v>1935</v>
      </c>
      <c r="M675" t="s">
        <v>134</v>
      </c>
      <c r="N675" t="s">
        <v>135</v>
      </c>
      <c r="O675"/>
      <c r="P675"/>
      <c r="Q675" t="s">
        <v>140</v>
      </c>
      <c r="R675"/>
      <c r="S675"/>
      <c r="T675" t="s">
        <v>1936</v>
      </c>
      <c r="U675" t="s">
        <v>137</v>
      </c>
      <c r="V675" t="s">
        <v>646</v>
      </c>
      <c r="W675"/>
      <c r="X675" t="s">
        <v>74</v>
      </c>
      <c r="Y675"/>
      <c r="Z675"/>
      <c r="AA675" t="s">
        <v>1884</v>
      </c>
      <c r="AB675" t="s">
        <v>3</v>
      </c>
      <c r="AC675" t="s">
        <v>138</v>
      </c>
      <c r="AD675" t="s">
        <v>128</v>
      </c>
      <c r="AE675" s="97"/>
    </row>
    <row r="676" spans="1:31" ht="14.4" customHeight="1" x14ac:dyDescent="0.3">
      <c r="A676" t="s">
        <v>1939</v>
      </c>
      <c r="B676" t="s">
        <v>1940</v>
      </c>
      <c r="C676"/>
      <c r="D676"/>
      <c r="E676"/>
      <c r="F676"/>
      <c r="G676" t="s">
        <v>1883</v>
      </c>
      <c r="H676" t="s">
        <v>132</v>
      </c>
      <c r="I676" t="s">
        <v>1</v>
      </c>
      <c r="J676" t="s">
        <v>133</v>
      </c>
      <c r="K676" t="s">
        <v>51</v>
      </c>
      <c r="L676" t="s">
        <v>1935</v>
      </c>
      <c r="M676" t="s">
        <v>134</v>
      </c>
      <c r="N676" t="s">
        <v>135</v>
      </c>
      <c r="O676"/>
      <c r="P676"/>
      <c r="Q676" t="s">
        <v>140</v>
      </c>
      <c r="R676"/>
      <c r="S676"/>
      <c r="T676" t="s">
        <v>1936</v>
      </c>
      <c r="U676" t="s">
        <v>137</v>
      </c>
      <c r="V676" t="s">
        <v>652</v>
      </c>
      <c r="W676"/>
      <c r="X676" t="s">
        <v>85</v>
      </c>
      <c r="Y676"/>
      <c r="Z676"/>
      <c r="AA676" t="s">
        <v>1884</v>
      </c>
      <c r="AB676" t="s">
        <v>3</v>
      </c>
      <c r="AC676" t="s">
        <v>138</v>
      </c>
      <c r="AD676" t="s">
        <v>129</v>
      </c>
      <c r="AE676" s="97"/>
    </row>
    <row r="677" spans="1:31" ht="14.4" customHeight="1" x14ac:dyDescent="0.3">
      <c r="A677" t="s">
        <v>1941</v>
      </c>
      <c r="B677" t="s">
        <v>1942</v>
      </c>
      <c r="C677"/>
      <c r="D677"/>
      <c r="E677"/>
      <c r="F677"/>
      <c r="G677" t="s">
        <v>1883</v>
      </c>
      <c r="H677" t="s">
        <v>132</v>
      </c>
      <c r="I677" t="s">
        <v>1</v>
      </c>
      <c r="J677" t="s">
        <v>133</v>
      </c>
      <c r="K677" t="s">
        <v>51</v>
      </c>
      <c r="L677" t="s">
        <v>1935</v>
      </c>
      <c r="M677" t="s">
        <v>134</v>
      </c>
      <c r="N677" t="s">
        <v>135</v>
      </c>
      <c r="O677"/>
      <c r="P677"/>
      <c r="Q677" t="s">
        <v>140</v>
      </c>
      <c r="R677"/>
      <c r="S677"/>
      <c r="T677" t="s">
        <v>1936</v>
      </c>
      <c r="U677" t="s">
        <v>137</v>
      </c>
      <c r="V677" t="s">
        <v>658</v>
      </c>
      <c r="W677"/>
      <c r="X677" t="s">
        <v>94</v>
      </c>
      <c r="Y677"/>
      <c r="Z677"/>
      <c r="AA677" t="s">
        <v>1884</v>
      </c>
      <c r="AB677" t="s">
        <v>3</v>
      </c>
      <c r="AC677" t="s">
        <v>138</v>
      </c>
      <c r="AD677" t="s">
        <v>129</v>
      </c>
      <c r="AE677" s="97"/>
    </row>
    <row r="678" spans="1:31" ht="14.4" customHeight="1" x14ac:dyDescent="0.3">
      <c r="A678" t="s">
        <v>1943</v>
      </c>
      <c r="B678" t="s">
        <v>1944</v>
      </c>
      <c r="C678"/>
      <c r="D678"/>
      <c r="E678"/>
      <c r="F678"/>
      <c r="G678" t="s">
        <v>1883</v>
      </c>
      <c r="H678" t="s">
        <v>132</v>
      </c>
      <c r="I678" t="s">
        <v>1</v>
      </c>
      <c r="J678" t="s">
        <v>133</v>
      </c>
      <c r="K678" t="s">
        <v>51</v>
      </c>
      <c r="L678" t="s">
        <v>1935</v>
      </c>
      <c r="M678" t="s">
        <v>134</v>
      </c>
      <c r="N678" t="s">
        <v>135</v>
      </c>
      <c r="O678"/>
      <c r="P678"/>
      <c r="Q678" t="s">
        <v>140</v>
      </c>
      <c r="R678"/>
      <c r="S678"/>
      <c r="T678" t="s">
        <v>1936</v>
      </c>
      <c r="U678" t="s">
        <v>137</v>
      </c>
      <c r="V678" t="s">
        <v>664</v>
      </c>
      <c r="W678"/>
      <c r="X678" t="s">
        <v>103</v>
      </c>
      <c r="Y678"/>
      <c r="Z678"/>
      <c r="AA678" t="s">
        <v>1884</v>
      </c>
      <c r="AB678" t="s">
        <v>3</v>
      </c>
      <c r="AC678" t="s">
        <v>138</v>
      </c>
      <c r="AD678" t="s">
        <v>129</v>
      </c>
      <c r="AE678" s="97"/>
    </row>
    <row r="679" spans="1:31" ht="14.4" customHeight="1" x14ac:dyDescent="0.3">
      <c r="A679" t="s">
        <v>1945</v>
      </c>
      <c r="B679" t="s">
        <v>1946</v>
      </c>
      <c r="C679"/>
      <c r="D679"/>
      <c r="E679"/>
      <c r="F679"/>
      <c r="G679" t="s">
        <v>1883</v>
      </c>
      <c r="H679" t="s">
        <v>132</v>
      </c>
      <c r="I679" t="s">
        <v>1</v>
      </c>
      <c r="J679" t="s">
        <v>133</v>
      </c>
      <c r="K679" t="s">
        <v>51</v>
      </c>
      <c r="L679" t="s">
        <v>1935</v>
      </c>
      <c r="M679" t="s">
        <v>134</v>
      </c>
      <c r="N679" t="s">
        <v>135</v>
      </c>
      <c r="O679"/>
      <c r="P679"/>
      <c r="Q679" t="s">
        <v>140</v>
      </c>
      <c r="R679"/>
      <c r="S679"/>
      <c r="T679" t="s">
        <v>1936</v>
      </c>
      <c r="U679" t="s">
        <v>137</v>
      </c>
      <c r="V679" t="s">
        <v>670</v>
      </c>
      <c r="W679"/>
      <c r="X679" t="s">
        <v>110</v>
      </c>
      <c r="Y679"/>
      <c r="Z679"/>
      <c r="AA679" t="s">
        <v>1884</v>
      </c>
      <c r="AB679" t="s">
        <v>3</v>
      </c>
      <c r="AC679" t="s">
        <v>138</v>
      </c>
      <c r="AD679" t="s">
        <v>129</v>
      </c>
      <c r="AE679" s="97"/>
    </row>
    <row r="680" spans="1:31" ht="14.4" customHeight="1" x14ac:dyDescent="0.3">
      <c r="A680" t="s">
        <v>1947</v>
      </c>
      <c r="B680" t="s">
        <v>1948</v>
      </c>
      <c r="C680"/>
      <c r="D680"/>
      <c r="E680"/>
      <c r="F680"/>
      <c r="G680" t="s">
        <v>1883</v>
      </c>
      <c r="H680" t="s">
        <v>132</v>
      </c>
      <c r="I680" t="s">
        <v>1</v>
      </c>
      <c r="J680" t="s">
        <v>133</v>
      </c>
      <c r="K680" t="s">
        <v>51</v>
      </c>
      <c r="L680" t="s">
        <v>1949</v>
      </c>
      <c r="M680" t="s">
        <v>134</v>
      </c>
      <c r="N680" t="s">
        <v>135</v>
      </c>
      <c r="O680"/>
      <c r="P680"/>
      <c r="Q680" t="s">
        <v>140</v>
      </c>
      <c r="R680"/>
      <c r="S680"/>
      <c r="T680" t="s">
        <v>1950</v>
      </c>
      <c r="U680" t="s">
        <v>137</v>
      </c>
      <c r="V680" t="s">
        <v>1190</v>
      </c>
      <c r="W680"/>
      <c r="X680" t="s">
        <v>67</v>
      </c>
      <c r="Y680"/>
      <c r="Z680"/>
      <c r="AA680" t="s">
        <v>1884</v>
      </c>
      <c r="AB680" t="s">
        <v>3</v>
      </c>
      <c r="AC680" t="s">
        <v>138</v>
      </c>
      <c r="AD680" t="s">
        <v>128</v>
      </c>
      <c r="AE680" s="97"/>
    </row>
    <row r="681" spans="1:31" ht="14.4" customHeight="1" x14ac:dyDescent="0.3">
      <c r="A681" t="s">
        <v>1951</v>
      </c>
      <c r="B681" t="s">
        <v>1952</v>
      </c>
      <c r="C681"/>
      <c r="D681"/>
      <c r="E681"/>
      <c r="F681"/>
      <c r="G681" t="s">
        <v>1883</v>
      </c>
      <c r="H681" t="s">
        <v>132</v>
      </c>
      <c r="I681" t="s">
        <v>1</v>
      </c>
      <c r="J681" t="s">
        <v>133</v>
      </c>
      <c r="K681" t="s">
        <v>51</v>
      </c>
      <c r="L681" t="s">
        <v>1949</v>
      </c>
      <c r="M681" t="s">
        <v>134</v>
      </c>
      <c r="N681" t="s">
        <v>135</v>
      </c>
      <c r="O681"/>
      <c r="P681"/>
      <c r="Q681" t="s">
        <v>140</v>
      </c>
      <c r="R681"/>
      <c r="S681"/>
      <c r="T681" t="s">
        <v>1950</v>
      </c>
      <c r="U681" t="s">
        <v>137</v>
      </c>
      <c r="V681" t="s">
        <v>1194</v>
      </c>
      <c r="W681"/>
      <c r="X681" t="s">
        <v>75</v>
      </c>
      <c r="Y681"/>
      <c r="Z681"/>
      <c r="AA681" t="s">
        <v>1884</v>
      </c>
      <c r="AB681" t="s">
        <v>3</v>
      </c>
      <c r="AC681" t="s">
        <v>138</v>
      </c>
      <c r="AD681" t="s">
        <v>128</v>
      </c>
      <c r="AE681" s="97"/>
    </row>
    <row r="682" spans="1:31" ht="14.4" customHeight="1" x14ac:dyDescent="0.3">
      <c r="A682" t="s">
        <v>1953</v>
      </c>
      <c r="B682" t="s">
        <v>1954</v>
      </c>
      <c r="C682"/>
      <c r="D682"/>
      <c r="E682"/>
      <c r="F682"/>
      <c r="G682" t="s">
        <v>1883</v>
      </c>
      <c r="H682" t="s">
        <v>132</v>
      </c>
      <c r="I682" t="s">
        <v>1</v>
      </c>
      <c r="J682" t="s">
        <v>133</v>
      </c>
      <c r="K682" t="s">
        <v>51</v>
      </c>
      <c r="L682" t="s">
        <v>1949</v>
      </c>
      <c r="M682" t="s">
        <v>134</v>
      </c>
      <c r="N682" t="s">
        <v>135</v>
      </c>
      <c r="O682"/>
      <c r="P682"/>
      <c r="Q682" t="s">
        <v>140</v>
      </c>
      <c r="R682"/>
      <c r="S682"/>
      <c r="T682" t="s">
        <v>1950</v>
      </c>
      <c r="U682" t="s">
        <v>137</v>
      </c>
      <c r="V682" t="s">
        <v>1198</v>
      </c>
      <c r="W682"/>
      <c r="X682" t="s">
        <v>86</v>
      </c>
      <c r="Y682"/>
      <c r="Z682"/>
      <c r="AA682" t="s">
        <v>1884</v>
      </c>
      <c r="AB682" t="s">
        <v>3</v>
      </c>
      <c r="AC682" t="s">
        <v>138</v>
      </c>
      <c r="AD682" t="s">
        <v>129</v>
      </c>
      <c r="AE682" s="97"/>
    </row>
    <row r="683" spans="1:31" ht="14.4" customHeight="1" x14ac:dyDescent="0.3">
      <c r="A683" t="s">
        <v>1955</v>
      </c>
      <c r="B683" t="s">
        <v>1956</v>
      </c>
      <c r="C683"/>
      <c r="D683"/>
      <c r="E683"/>
      <c r="F683"/>
      <c r="G683" t="s">
        <v>1883</v>
      </c>
      <c r="H683" t="s">
        <v>132</v>
      </c>
      <c r="I683" t="s">
        <v>1</v>
      </c>
      <c r="J683" t="s">
        <v>133</v>
      </c>
      <c r="K683" t="s">
        <v>51</v>
      </c>
      <c r="L683" t="s">
        <v>1949</v>
      </c>
      <c r="M683" t="s">
        <v>134</v>
      </c>
      <c r="N683" t="s">
        <v>135</v>
      </c>
      <c r="O683"/>
      <c r="P683"/>
      <c r="Q683" t="s">
        <v>140</v>
      </c>
      <c r="R683"/>
      <c r="S683"/>
      <c r="T683" t="s">
        <v>1950</v>
      </c>
      <c r="U683" t="s">
        <v>137</v>
      </c>
      <c r="V683" t="s">
        <v>1202</v>
      </c>
      <c r="W683"/>
      <c r="X683" t="s">
        <v>95</v>
      </c>
      <c r="Y683"/>
      <c r="Z683"/>
      <c r="AA683" t="s">
        <v>1884</v>
      </c>
      <c r="AB683" t="s">
        <v>3</v>
      </c>
      <c r="AC683" t="s">
        <v>138</v>
      </c>
      <c r="AD683" t="s">
        <v>129</v>
      </c>
      <c r="AE683" s="97"/>
    </row>
    <row r="684" spans="1:31" ht="14.4" customHeight="1" x14ac:dyDescent="0.3">
      <c r="A684" t="s">
        <v>1957</v>
      </c>
      <c r="B684" t="s">
        <v>1958</v>
      </c>
      <c r="C684"/>
      <c r="D684"/>
      <c r="E684"/>
      <c r="F684"/>
      <c r="G684" t="s">
        <v>1883</v>
      </c>
      <c r="H684" t="s">
        <v>132</v>
      </c>
      <c r="I684" t="s">
        <v>1</v>
      </c>
      <c r="J684" t="s">
        <v>133</v>
      </c>
      <c r="K684" t="s">
        <v>51</v>
      </c>
      <c r="L684" t="s">
        <v>1949</v>
      </c>
      <c r="M684" t="s">
        <v>134</v>
      </c>
      <c r="N684" t="s">
        <v>135</v>
      </c>
      <c r="O684"/>
      <c r="P684"/>
      <c r="Q684" t="s">
        <v>140</v>
      </c>
      <c r="R684"/>
      <c r="S684"/>
      <c r="T684" t="s">
        <v>1950</v>
      </c>
      <c r="U684" t="s">
        <v>137</v>
      </c>
      <c r="V684" t="s">
        <v>1206</v>
      </c>
      <c r="W684"/>
      <c r="X684" t="s">
        <v>104</v>
      </c>
      <c r="Y684"/>
      <c r="Z684"/>
      <c r="AA684" t="s">
        <v>1884</v>
      </c>
      <c r="AB684" t="s">
        <v>3</v>
      </c>
      <c r="AC684" t="s">
        <v>138</v>
      </c>
      <c r="AD684" t="s">
        <v>129</v>
      </c>
      <c r="AE684" s="97"/>
    </row>
    <row r="685" spans="1:31" ht="14.4" customHeight="1" x14ac:dyDescent="0.3">
      <c r="A685" t="s">
        <v>1959</v>
      </c>
      <c r="B685" t="s">
        <v>1960</v>
      </c>
      <c r="C685"/>
      <c r="D685"/>
      <c r="E685"/>
      <c r="F685"/>
      <c r="G685" t="s">
        <v>1883</v>
      </c>
      <c r="H685" t="s">
        <v>132</v>
      </c>
      <c r="I685" t="s">
        <v>1</v>
      </c>
      <c r="J685" t="s">
        <v>133</v>
      </c>
      <c r="K685" t="s">
        <v>51</v>
      </c>
      <c r="L685" t="s">
        <v>1949</v>
      </c>
      <c r="M685" t="s">
        <v>134</v>
      </c>
      <c r="N685" t="s">
        <v>135</v>
      </c>
      <c r="O685"/>
      <c r="P685"/>
      <c r="Q685" t="s">
        <v>140</v>
      </c>
      <c r="R685"/>
      <c r="S685"/>
      <c r="T685" t="s">
        <v>1950</v>
      </c>
      <c r="U685" t="s">
        <v>137</v>
      </c>
      <c r="V685" t="s">
        <v>1210</v>
      </c>
      <c r="W685"/>
      <c r="X685" t="s">
        <v>111</v>
      </c>
      <c r="Y685"/>
      <c r="Z685"/>
      <c r="AA685" t="s">
        <v>1884</v>
      </c>
      <c r="AB685" t="s">
        <v>3</v>
      </c>
      <c r="AC685" t="s">
        <v>138</v>
      </c>
      <c r="AD685" t="s">
        <v>129</v>
      </c>
      <c r="AE685" s="97"/>
    </row>
    <row r="686" spans="1:31" ht="14.4" customHeight="1" x14ac:dyDescent="0.3">
      <c r="A686" t="s">
        <v>1961</v>
      </c>
      <c r="B686" t="s">
        <v>1962</v>
      </c>
      <c r="C686"/>
      <c r="D686"/>
      <c r="E686"/>
      <c r="F686"/>
      <c r="G686" t="s">
        <v>1883</v>
      </c>
      <c r="H686" t="s">
        <v>132</v>
      </c>
      <c r="I686" t="s">
        <v>1</v>
      </c>
      <c r="J686" t="s">
        <v>133</v>
      </c>
      <c r="K686" t="s">
        <v>51</v>
      </c>
      <c r="L686" t="s">
        <v>1949</v>
      </c>
      <c r="M686" t="s">
        <v>134</v>
      </c>
      <c r="N686" t="s">
        <v>135</v>
      </c>
      <c r="O686"/>
      <c r="P686"/>
      <c r="Q686" t="s">
        <v>140</v>
      </c>
      <c r="R686"/>
      <c r="S686"/>
      <c r="T686" t="s">
        <v>1950</v>
      </c>
      <c r="U686" t="s">
        <v>137</v>
      </c>
      <c r="V686" t="s">
        <v>1214</v>
      </c>
      <c r="W686"/>
      <c r="X686" t="s">
        <v>120</v>
      </c>
      <c r="Y686"/>
      <c r="Z686"/>
      <c r="AA686" t="s">
        <v>1884</v>
      </c>
      <c r="AB686" t="s">
        <v>3</v>
      </c>
      <c r="AC686" t="s">
        <v>138</v>
      </c>
      <c r="AD686" t="s">
        <v>130</v>
      </c>
      <c r="AE686" s="97"/>
    </row>
    <row r="687" spans="1:31" ht="14.4" customHeight="1" x14ac:dyDescent="0.3">
      <c r="A687" t="s">
        <v>1963</v>
      </c>
      <c r="B687" t="s">
        <v>1964</v>
      </c>
      <c r="C687"/>
      <c r="D687"/>
      <c r="E687"/>
      <c r="F687"/>
      <c r="G687" t="s">
        <v>1883</v>
      </c>
      <c r="H687" t="s">
        <v>132</v>
      </c>
      <c r="I687" t="s">
        <v>1</v>
      </c>
      <c r="J687" t="s">
        <v>133</v>
      </c>
      <c r="K687" t="s">
        <v>51</v>
      </c>
      <c r="L687" t="s">
        <v>1965</v>
      </c>
      <c r="M687" t="s">
        <v>134</v>
      </c>
      <c r="N687" t="s">
        <v>135</v>
      </c>
      <c r="O687"/>
      <c r="P687"/>
      <c r="Q687" t="s">
        <v>140</v>
      </c>
      <c r="R687"/>
      <c r="S687"/>
      <c r="T687" t="s">
        <v>1966</v>
      </c>
      <c r="U687" t="s">
        <v>137</v>
      </c>
      <c r="V687" t="s">
        <v>1967</v>
      </c>
      <c r="W687"/>
      <c r="X687" t="s">
        <v>125</v>
      </c>
      <c r="Y687"/>
      <c r="Z687"/>
      <c r="AA687" t="s">
        <v>1884</v>
      </c>
      <c r="AB687" t="s">
        <v>3</v>
      </c>
      <c r="AC687" t="s">
        <v>138</v>
      </c>
      <c r="AD687" t="s">
        <v>131</v>
      </c>
      <c r="AE687" s="97"/>
    </row>
    <row r="688" spans="1:31" ht="14.4" customHeight="1" x14ac:dyDescent="0.3">
      <c r="A688" t="s">
        <v>1968</v>
      </c>
      <c r="B688" t="s">
        <v>1969</v>
      </c>
      <c r="C688"/>
      <c r="D688"/>
      <c r="E688"/>
      <c r="F688"/>
      <c r="G688" t="s">
        <v>1883</v>
      </c>
      <c r="H688" t="s">
        <v>132</v>
      </c>
      <c r="I688" t="s">
        <v>1</v>
      </c>
      <c r="J688" t="s">
        <v>133</v>
      </c>
      <c r="K688" t="s">
        <v>51</v>
      </c>
      <c r="L688" t="s">
        <v>1970</v>
      </c>
      <c r="M688" t="s">
        <v>134</v>
      </c>
      <c r="N688" t="s">
        <v>135</v>
      </c>
      <c r="O688"/>
      <c r="P688"/>
      <c r="Q688" t="s">
        <v>140</v>
      </c>
      <c r="R688"/>
      <c r="S688"/>
      <c r="T688" t="s">
        <v>1966</v>
      </c>
      <c r="U688" t="s">
        <v>137</v>
      </c>
      <c r="V688" t="s">
        <v>1967</v>
      </c>
      <c r="W688"/>
      <c r="X688" t="s">
        <v>125</v>
      </c>
      <c r="Y688"/>
      <c r="Z688"/>
      <c r="AA688" t="s">
        <v>1884</v>
      </c>
      <c r="AB688" t="s">
        <v>3</v>
      </c>
      <c r="AC688" t="s">
        <v>138</v>
      </c>
      <c r="AD688" t="s">
        <v>131</v>
      </c>
      <c r="AE688" s="97"/>
    </row>
    <row r="689" spans="1:31" ht="14.4" customHeight="1" x14ac:dyDescent="0.3">
      <c r="A689" t="s">
        <v>1971</v>
      </c>
      <c r="B689" t="s">
        <v>1972</v>
      </c>
      <c r="C689"/>
      <c r="D689"/>
      <c r="E689"/>
      <c r="F689"/>
      <c r="G689" t="s">
        <v>1883</v>
      </c>
      <c r="H689" t="s">
        <v>132</v>
      </c>
      <c r="I689" t="s">
        <v>1</v>
      </c>
      <c r="J689" t="s">
        <v>133</v>
      </c>
      <c r="K689" t="s">
        <v>51</v>
      </c>
      <c r="L689" t="s">
        <v>1973</v>
      </c>
      <c r="M689" t="s">
        <v>134</v>
      </c>
      <c r="N689" t="s">
        <v>135</v>
      </c>
      <c r="O689"/>
      <c r="P689"/>
      <c r="Q689" t="s">
        <v>140</v>
      </c>
      <c r="R689"/>
      <c r="S689"/>
      <c r="T689" t="s">
        <v>1974</v>
      </c>
      <c r="U689" t="s">
        <v>137</v>
      </c>
      <c r="V689" t="s">
        <v>703</v>
      </c>
      <c r="W689"/>
      <c r="X689" t="s">
        <v>62</v>
      </c>
      <c r="Y689"/>
      <c r="Z689"/>
      <c r="AA689" t="s">
        <v>1884</v>
      </c>
      <c r="AB689" t="s">
        <v>3</v>
      </c>
      <c r="AC689" t="s">
        <v>138</v>
      </c>
      <c r="AD689" t="s">
        <v>128</v>
      </c>
      <c r="AE689" s="97"/>
    </row>
    <row r="690" spans="1:31" ht="14.4" customHeight="1" x14ac:dyDescent="0.3">
      <c r="A690" t="s">
        <v>1975</v>
      </c>
      <c r="B690" t="s">
        <v>1976</v>
      </c>
      <c r="C690"/>
      <c r="D690"/>
      <c r="E690"/>
      <c r="F690"/>
      <c r="G690" t="s">
        <v>1883</v>
      </c>
      <c r="H690" t="s">
        <v>132</v>
      </c>
      <c r="I690" t="s">
        <v>1</v>
      </c>
      <c r="J690" t="s">
        <v>133</v>
      </c>
      <c r="K690" t="s">
        <v>51</v>
      </c>
      <c r="L690" t="s">
        <v>1973</v>
      </c>
      <c r="M690" t="s">
        <v>134</v>
      </c>
      <c r="N690" t="s">
        <v>135</v>
      </c>
      <c r="O690"/>
      <c r="P690"/>
      <c r="Q690" t="s">
        <v>140</v>
      </c>
      <c r="R690"/>
      <c r="S690"/>
      <c r="T690" t="s">
        <v>1974</v>
      </c>
      <c r="U690" t="s">
        <v>137</v>
      </c>
      <c r="V690" t="s">
        <v>703</v>
      </c>
      <c r="W690"/>
      <c r="X690" t="s">
        <v>62</v>
      </c>
      <c r="Y690"/>
      <c r="Z690"/>
      <c r="AA690" t="s">
        <v>1884</v>
      </c>
      <c r="AB690" t="s">
        <v>3</v>
      </c>
      <c r="AC690" t="s">
        <v>138</v>
      </c>
      <c r="AD690" t="s">
        <v>128</v>
      </c>
      <c r="AE690" s="97"/>
    </row>
    <row r="691" spans="1:31" ht="14.4" customHeight="1" x14ac:dyDescent="0.3">
      <c r="A691" t="s">
        <v>1977</v>
      </c>
      <c r="B691" t="s">
        <v>1978</v>
      </c>
      <c r="C691"/>
      <c r="D691"/>
      <c r="E691"/>
      <c r="F691"/>
      <c r="G691" t="s">
        <v>1883</v>
      </c>
      <c r="H691" t="s">
        <v>132</v>
      </c>
      <c r="I691" t="s">
        <v>1</v>
      </c>
      <c r="J691" t="s">
        <v>133</v>
      </c>
      <c r="K691" t="s">
        <v>51</v>
      </c>
      <c r="L691" t="s">
        <v>1979</v>
      </c>
      <c r="M691" t="s">
        <v>134</v>
      </c>
      <c r="N691" t="s">
        <v>135</v>
      </c>
      <c r="O691"/>
      <c r="P691"/>
      <c r="Q691" t="s">
        <v>140</v>
      </c>
      <c r="R691"/>
      <c r="S691"/>
      <c r="T691" t="s">
        <v>1888</v>
      </c>
      <c r="U691" t="s">
        <v>137</v>
      </c>
      <c r="V691" t="s">
        <v>147</v>
      </c>
      <c r="W691"/>
      <c r="X691" t="s">
        <v>70</v>
      </c>
      <c r="Y691"/>
      <c r="Z691"/>
      <c r="AA691" t="s">
        <v>1884</v>
      </c>
      <c r="AB691" t="s">
        <v>3</v>
      </c>
      <c r="AC691" t="s">
        <v>138</v>
      </c>
      <c r="AD691" t="s">
        <v>128</v>
      </c>
      <c r="AE691" s="97"/>
    </row>
    <row r="692" spans="1:31" ht="14.4" customHeight="1" x14ac:dyDescent="0.3">
      <c r="A692" t="s">
        <v>1980</v>
      </c>
      <c r="B692" t="s">
        <v>1981</v>
      </c>
      <c r="C692"/>
      <c r="D692"/>
      <c r="E692"/>
      <c r="F692"/>
      <c r="G692" t="s">
        <v>1883</v>
      </c>
      <c r="H692" t="s">
        <v>132</v>
      </c>
      <c r="I692" t="s">
        <v>1</v>
      </c>
      <c r="J692" t="s">
        <v>133</v>
      </c>
      <c r="K692" t="s">
        <v>51</v>
      </c>
      <c r="L692" t="s">
        <v>1979</v>
      </c>
      <c r="M692" t="s">
        <v>134</v>
      </c>
      <c r="N692" t="s">
        <v>135</v>
      </c>
      <c r="O692"/>
      <c r="P692"/>
      <c r="Q692" t="s">
        <v>140</v>
      </c>
      <c r="R692"/>
      <c r="S692"/>
      <c r="T692" t="s">
        <v>1892</v>
      </c>
      <c r="U692" t="s">
        <v>137</v>
      </c>
      <c r="V692" t="s">
        <v>150</v>
      </c>
      <c r="W692"/>
      <c r="X692" t="s">
        <v>76</v>
      </c>
      <c r="Y692"/>
      <c r="Z692"/>
      <c r="AA692" t="s">
        <v>1884</v>
      </c>
      <c r="AB692" t="s">
        <v>3</v>
      </c>
      <c r="AC692" t="s">
        <v>138</v>
      </c>
      <c r="AD692" t="s">
        <v>128</v>
      </c>
      <c r="AE692" s="97"/>
    </row>
    <row r="693" spans="1:31" ht="14.4" customHeight="1" x14ac:dyDescent="0.3">
      <c r="A693" t="s">
        <v>1982</v>
      </c>
      <c r="B693" t="s">
        <v>1983</v>
      </c>
      <c r="C693"/>
      <c r="D693"/>
      <c r="E693"/>
      <c r="F693"/>
      <c r="G693" t="s">
        <v>1883</v>
      </c>
      <c r="H693" t="s">
        <v>132</v>
      </c>
      <c r="I693" t="s">
        <v>1</v>
      </c>
      <c r="J693" t="s">
        <v>133</v>
      </c>
      <c r="K693" t="s">
        <v>51</v>
      </c>
      <c r="L693" t="s">
        <v>1979</v>
      </c>
      <c r="M693" t="s">
        <v>134</v>
      </c>
      <c r="N693" t="s">
        <v>135</v>
      </c>
      <c r="O693"/>
      <c r="P693"/>
      <c r="Q693" t="s">
        <v>140</v>
      </c>
      <c r="R693"/>
      <c r="S693"/>
      <c r="T693" t="s">
        <v>1896</v>
      </c>
      <c r="U693" t="s">
        <v>137</v>
      </c>
      <c r="V693" t="s">
        <v>153</v>
      </c>
      <c r="W693"/>
      <c r="X693" t="s">
        <v>88</v>
      </c>
      <c r="Y693"/>
      <c r="Z693"/>
      <c r="AA693" t="s">
        <v>1884</v>
      </c>
      <c r="AB693" t="s">
        <v>3</v>
      </c>
      <c r="AC693" t="s">
        <v>138</v>
      </c>
      <c r="AD693" t="s">
        <v>129</v>
      </c>
      <c r="AE693" s="97"/>
    </row>
    <row r="694" spans="1:31" ht="14.4" customHeight="1" x14ac:dyDescent="0.3">
      <c r="A694" t="s">
        <v>1984</v>
      </c>
      <c r="B694" t="s">
        <v>1985</v>
      </c>
      <c r="C694"/>
      <c r="D694"/>
      <c r="E694"/>
      <c r="F694"/>
      <c r="G694" t="s">
        <v>1883</v>
      </c>
      <c r="H694" t="s">
        <v>132</v>
      </c>
      <c r="I694" t="s">
        <v>1</v>
      </c>
      <c r="J694" t="s">
        <v>133</v>
      </c>
      <c r="K694" t="s">
        <v>51</v>
      </c>
      <c r="L694" t="s">
        <v>1979</v>
      </c>
      <c r="M694" t="s">
        <v>134</v>
      </c>
      <c r="N694" t="s">
        <v>135</v>
      </c>
      <c r="O694"/>
      <c r="P694"/>
      <c r="Q694" t="s">
        <v>140</v>
      </c>
      <c r="R694"/>
      <c r="S694"/>
      <c r="T694" t="s">
        <v>1900</v>
      </c>
      <c r="U694" t="s">
        <v>137</v>
      </c>
      <c r="V694" t="s">
        <v>156</v>
      </c>
      <c r="W694"/>
      <c r="X694" t="s">
        <v>97</v>
      </c>
      <c r="Y694"/>
      <c r="Z694"/>
      <c r="AA694" t="s">
        <v>1884</v>
      </c>
      <c r="AB694" t="s">
        <v>3</v>
      </c>
      <c r="AC694" t="s">
        <v>138</v>
      </c>
      <c r="AD694" t="s">
        <v>129</v>
      </c>
      <c r="AE694" s="97"/>
    </row>
    <row r="695" spans="1:31" ht="14.4" customHeight="1" x14ac:dyDescent="0.3">
      <c r="A695" t="s">
        <v>1986</v>
      </c>
      <c r="B695" t="s">
        <v>1987</v>
      </c>
      <c r="C695"/>
      <c r="D695"/>
      <c r="E695"/>
      <c r="F695"/>
      <c r="G695" t="s">
        <v>1883</v>
      </c>
      <c r="H695" t="s">
        <v>132</v>
      </c>
      <c r="I695" t="s">
        <v>1</v>
      </c>
      <c r="J695" t="s">
        <v>133</v>
      </c>
      <c r="K695" t="s">
        <v>51</v>
      </c>
      <c r="L695" t="s">
        <v>1979</v>
      </c>
      <c r="M695" t="s">
        <v>134</v>
      </c>
      <c r="N695" t="s">
        <v>135</v>
      </c>
      <c r="O695"/>
      <c r="P695"/>
      <c r="Q695" t="s">
        <v>140</v>
      </c>
      <c r="R695"/>
      <c r="S695"/>
      <c r="T695" t="s">
        <v>1904</v>
      </c>
      <c r="U695" t="s">
        <v>137</v>
      </c>
      <c r="V695" t="s">
        <v>159</v>
      </c>
      <c r="W695"/>
      <c r="X695" t="s">
        <v>106</v>
      </c>
      <c r="Y695"/>
      <c r="Z695"/>
      <c r="AA695" t="s">
        <v>1884</v>
      </c>
      <c r="AB695" t="s">
        <v>3</v>
      </c>
      <c r="AC695" t="s">
        <v>138</v>
      </c>
      <c r="AD695" t="s">
        <v>129</v>
      </c>
      <c r="AE695" s="97"/>
    </row>
    <row r="696" spans="1:31" ht="14.4" customHeight="1" x14ac:dyDescent="0.3">
      <c r="A696" t="s">
        <v>1988</v>
      </c>
      <c r="B696" t="s">
        <v>1989</v>
      </c>
      <c r="C696"/>
      <c r="D696"/>
      <c r="E696"/>
      <c r="F696"/>
      <c r="G696" t="s">
        <v>1883</v>
      </c>
      <c r="H696" t="s">
        <v>132</v>
      </c>
      <c r="I696" t="s">
        <v>1</v>
      </c>
      <c r="J696" t="s">
        <v>133</v>
      </c>
      <c r="K696" t="s">
        <v>51</v>
      </c>
      <c r="L696" t="s">
        <v>1979</v>
      </c>
      <c r="M696" t="s">
        <v>134</v>
      </c>
      <c r="N696" t="s">
        <v>135</v>
      </c>
      <c r="O696"/>
      <c r="P696"/>
      <c r="Q696" t="s">
        <v>140</v>
      </c>
      <c r="R696"/>
      <c r="S696"/>
      <c r="T696" t="s">
        <v>1908</v>
      </c>
      <c r="U696" t="s">
        <v>137</v>
      </c>
      <c r="V696" t="s">
        <v>162</v>
      </c>
      <c r="W696"/>
      <c r="X696" t="s">
        <v>113</v>
      </c>
      <c r="Y696"/>
      <c r="Z696"/>
      <c r="AA696" t="s">
        <v>1884</v>
      </c>
      <c r="AB696" t="s">
        <v>3</v>
      </c>
      <c r="AC696" t="s">
        <v>138</v>
      </c>
      <c r="AD696" t="s">
        <v>129</v>
      </c>
      <c r="AE696" s="97"/>
    </row>
    <row r="697" spans="1:31" ht="14.4" customHeight="1" x14ac:dyDescent="0.3">
      <c r="A697" t="s">
        <v>1990</v>
      </c>
      <c r="B697" t="s">
        <v>1991</v>
      </c>
      <c r="C697"/>
      <c r="D697"/>
      <c r="E697"/>
      <c r="F697"/>
      <c r="G697" t="s">
        <v>1883</v>
      </c>
      <c r="H697" t="s">
        <v>132</v>
      </c>
      <c r="I697" t="s">
        <v>1</v>
      </c>
      <c r="J697" t="s">
        <v>133</v>
      </c>
      <c r="K697" t="s">
        <v>51</v>
      </c>
      <c r="L697" t="s">
        <v>1979</v>
      </c>
      <c r="M697" t="s">
        <v>134</v>
      </c>
      <c r="N697" t="s">
        <v>135</v>
      </c>
      <c r="O697"/>
      <c r="P697"/>
      <c r="Q697" t="s">
        <v>140</v>
      </c>
      <c r="R697"/>
      <c r="S697"/>
      <c r="T697" t="s">
        <v>1912</v>
      </c>
      <c r="U697" t="s">
        <v>137</v>
      </c>
      <c r="V697" t="s">
        <v>165</v>
      </c>
      <c r="W697"/>
      <c r="X697" t="s">
        <v>122</v>
      </c>
      <c r="Y697"/>
      <c r="Z697"/>
      <c r="AA697" t="s">
        <v>1884</v>
      </c>
      <c r="AB697" t="s">
        <v>3</v>
      </c>
      <c r="AC697" t="s">
        <v>138</v>
      </c>
      <c r="AD697" t="s">
        <v>130</v>
      </c>
      <c r="AE697" s="97"/>
    </row>
    <row r="698" spans="1:31" ht="14.4" customHeight="1" x14ac:dyDescent="0.3">
      <c r="A698" t="s">
        <v>1992</v>
      </c>
      <c r="B698" t="s">
        <v>1993</v>
      </c>
      <c r="C698"/>
      <c r="D698"/>
      <c r="E698"/>
      <c r="F698"/>
      <c r="G698" t="s">
        <v>1883</v>
      </c>
      <c r="H698" t="s">
        <v>132</v>
      </c>
      <c r="I698" t="s">
        <v>1</v>
      </c>
      <c r="J698" t="s">
        <v>133</v>
      </c>
      <c r="K698" t="s">
        <v>51</v>
      </c>
      <c r="L698" t="s">
        <v>1979</v>
      </c>
      <c r="M698" t="s">
        <v>134</v>
      </c>
      <c r="N698" t="s">
        <v>135</v>
      </c>
      <c r="O698"/>
      <c r="P698"/>
      <c r="Q698" t="s">
        <v>140</v>
      </c>
      <c r="R698"/>
      <c r="S698"/>
      <c r="T698" t="s">
        <v>1888</v>
      </c>
      <c r="U698" t="s">
        <v>137</v>
      </c>
      <c r="V698" t="s">
        <v>147</v>
      </c>
      <c r="W698"/>
      <c r="X698" t="s">
        <v>70</v>
      </c>
      <c r="Y698"/>
      <c r="Z698"/>
      <c r="AA698" t="s">
        <v>1884</v>
      </c>
      <c r="AB698" t="s">
        <v>3</v>
      </c>
      <c r="AC698" t="s">
        <v>138</v>
      </c>
      <c r="AD698" t="s">
        <v>128</v>
      </c>
      <c r="AE698" s="97"/>
    </row>
    <row r="699" spans="1:31" ht="14.4" customHeight="1" x14ac:dyDescent="0.3">
      <c r="A699" t="s">
        <v>1994</v>
      </c>
      <c r="B699" t="s">
        <v>1995</v>
      </c>
      <c r="C699"/>
      <c r="D699"/>
      <c r="E699"/>
      <c r="F699"/>
      <c r="G699" t="s">
        <v>1883</v>
      </c>
      <c r="H699" t="s">
        <v>132</v>
      </c>
      <c r="I699" t="s">
        <v>1</v>
      </c>
      <c r="J699" t="s">
        <v>133</v>
      </c>
      <c r="K699" t="s">
        <v>51</v>
      </c>
      <c r="L699" t="s">
        <v>1979</v>
      </c>
      <c r="M699" t="s">
        <v>134</v>
      </c>
      <c r="N699" t="s">
        <v>135</v>
      </c>
      <c r="O699"/>
      <c r="P699"/>
      <c r="Q699" t="s">
        <v>140</v>
      </c>
      <c r="R699"/>
      <c r="S699"/>
      <c r="T699" t="s">
        <v>1892</v>
      </c>
      <c r="U699" t="s">
        <v>137</v>
      </c>
      <c r="V699" t="s">
        <v>150</v>
      </c>
      <c r="W699"/>
      <c r="X699" t="s">
        <v>76</v>
      </c>
      <c r="Y699"/>
      <c r="Z699"/>
      <c r="AA699" t="s">
        <v>1884</v>
      </c>
      <c r="AB699" t="s">
        <v>3</v>
      </c>
      <c r="AC699" t="s">
        <v>138</v>
      </c>
      <c r="AD699" t="s">
        <v>128</v>
      </c>
      <c r="AE699" s="97"/>
    </row>
    <row r="700" spans="1:31" ht="14.4" customHeight="1" x14ac:dyDescent="0.3">
      <c r="A700" t="s">
        <v>1996</v>
      </c>
      <c r="B700" t="s">
        <v>1997</v>
      </c>
      <c r="C700"/>
      <c r="D700"/>
      <c r="E700"/>
      <c r="F700"/>
      <c r="G700" t="s">
        <v>1883</v>
      </c>
      <c r="H700" t="s">
        <v>132</v>
      </c>
      <c r="I700" t="s">
        <v>1</v>
      </c>
      <c r="J700" t="s">
        <v>133</v>
      </c>
      <c r="K700" t="s">
        <v>51</v>
      </c>
      <c r="L700" t="s">
        <v>1979</v>
      </c>
      <c r="M700" t="s">
        <v>134</v>
      </c>
      <c r="N700" t="s">
        <v>135</v>
      </c>
      <c r="O700"/>
      <c r="P700"/>
      <c r="Q700" t="s">
        <v>140</v>
      </c>
      <c r="R700"/>
      <c r="S700"/>
      <c r="T700" t="s">
        <v>1896</v>
      </c>
      <c r="U700" t="s">
        <v>137</v>
      </c>
      <c r="V700" t="s">
        <v>153</v>
      </c>
      <c r="W700"/>
      <c r="X700" t="s">
        <v>88</v>
      </c>
      <c r="Y700"/>
      <c r="Z700"/>
      <c r="AA700" t="s">
        <v>1884</v>
      </c>
      <c r="AB700" t="s">
        <v>3</v>
      </c>
      <c r="AC700" t="s">
        <v>138</v>
      </c>
      <c r="AD700" t="s">
        <v>129</v>
      </c>
      <c r="AE700" s="97"/>
    </row>
    <row r="701" spans="1:31" ht="14.4" customHeight="1" x14ac:dyDescent="0.3">
      <c r="A701" t="s">
        <v>1998</v>
      </c>
      <c r="B701" t="s">
        <v>1999</v>
      </c>
      <c r="C701"/>
      <c r="D701"/>
      <c r="E701"/>
      <c r="F701"/>
      <c r="G701" t="s">
        <v>1883</v>
      </c>
      <c r="H701" t="s">
        <v>132</v>
      </c>
      <c r="I701" t="s">
        <v>1</v>
      </c>
      <c r="J701" t="s">
        <v>133</v>
      </c>
      <c r="K701" t="s">
        <v>51</v>
      </c>
      <c r="L701" t="s">
        <v>1979</v>
      </c>
      <c r="M701" t="s">
        <v>134</v>
      </c>
      <c r="N701" t="s">
        <v>135</v>
      </c>
      <c r="O701"/>
      <c r="P701"/>
      <c r="Q701" t="s">
        <v>140</v>
      </c>
      <c r="R701"/>
      <c r="S701"/>
      <c r="T701" t="s">
        <v>1900</v>
      </c>
      <c r="U701" t="s">
        <v>137</v>
      </c>
      <c r="V701" t="s">
        <v>156</v>
      </c>
      <c r="W701"/>
      <c r="X701" t="s">
        <v>97</v>
      </c>
      <c r="Y701"/>
      <c r="Z701"/>
      <c r="AA701" t="s">
        <v>1884</v>
      </c>
      <c r="AB701" t="s">
        <v>3</v>
      </c>
      <c r="AC701" t="s">
        <v>138</v>
      </c>
      <c r="AD701" t="s">
        <v>129</v>
      </c>
      <c r="AE701" s="97"/>
    </row>
    <row r="702" spans="1:31" ht="14.4" customHeight="1" x14ac:dyDescent="0.3">
      <c r="A702" t="s">
        <v>2000</v>
      </c>
      <c r="B702" t="s">
        <v>2001</v>
      </c>
      <c r="C702"/>
      <c r="D702"/>
      <c r="E702"/>
      <c r="F702"/>
      <c r="G702" t="s">
        <v>1883</v>
      </c>
      <c r="H702" t="s">
        <v>132</v>
      </c>
      <c r="I702" t="s">
        <v>1</v>
      </c>
      <c r="J702" t="s">
        <v>133</v>
      </c>
      <c r="K702" t="s">
        <v>51</v>
      </c>
      <c r="L702" t="s">
        <v>1979</v>
      </c>
      <c r="M702" t="s">
        <v>134</v>
      </c>
      <c r="N702" t="s">
        <v>135</v>
      </c>
      <c r="O702"/>
      <c r="P702"/>
      <c r="Q702" t="s">
        <v>140</v>
      </c>
      <c r="R702"/>
      <c r="S702"/>
      <c r="T702" t="s">
        <v>1904</v>
      </c>
      <c r="U702" t="s">
        <v>137</v>
      </c>
      <c r="V702" t="s">
        <v>159</v>
      </c>
      <c r="W702"/>
      <c r="X702" t="s">
        <v>106</v>
      </c>
      <c r="Y702"/>
      <c r="Z702"/>
      <c r="AA702" t="s">
        <v>1884</v>
      </c>
      <c r="AB702" t="s">
        <v>3</v>
      </c>
      <c r="AC702" t="s">
        <v>138</v>
      </c>
      <c r="AD702" t="s">
        <v>129</v>
      </c>
      <c r="AE702" s="97"/>
    </row>
    <row r="703" spans="1:31" ht="14.4" customHeight="1" x14ac:dyDescent="0.3">
      <c r="A703" t="s">
        <v>2002</v>
      </c>
      <c r="B703" t="s">
        <v>2003</v>
      </c>
      <c r="C703"/>
      <c r="D703"/>
      <c r="E703"/>
      <c r="F703"/>
      <c r="G703" t="s">
        <v>1883</v>
      </c>
      <c r="H703" t="s">
        <v>132</v>
      </c>
      <c r="I703" t="s">
        <v>1</v>
      </c>
      <c r="J703" t="s">
        <v>133</v>
      </c>
      <c r="K703" t="s">
        <v>51</v>
      </c>
      <c r="L703" t="s">
        <v>1979</v>
      </c>
      <c r="M703" t="s">
        <v>134</v>
      </c>
      <c r="N703" t="s">
        <v>135</v>
      </c>
      <c r="O703"/>
      <c r="P703"/>
      <c r="Q703" t="s">
        <v>140</v>
      </c>
      <c r="R703"/>
      <c r="S703"/>
      <c r="T703" t="s">
        <v>1908</v>
      </c>
      <c r="U703" t="s">
        <v>137</v>
      </c>
      <c r="V703" t="s">
        <v>162</v>
      </c>
      <c r="W703"/>
      <c r="X703" t="s">
        <v>113</v>
      </c>
      <c r="Y703"/>
      <c r="Z703"/>
      <c r="AA703" t="s">
        <v>1884</v>
      </c>
      <c r="AB703" t="s">
        <v>3</v>
      </c>
      <c r="AC703" t="s">
        <v>138</v>
      </c>
      <c r="AD703" t="s">
        <v>129</v>
      </c>
      <c r="AE703" s="97"/>
    </row>
    <row r="704" spans="1:31" ht="14.4" customHeight="1" x14ac:dyDescent="0.3">
      <c r="A704" t="s">
        <v>2004</v>
      </c>
      <c r="B704" t="s">
        <v>2005</v>
      </c>
      <c r="C704"/>
      <c r="D704"/>
      <c r="E704"/>
      <c r="F704"/>
      <c r="G704" t="s">
        <v>1883</v>
      </c>
      <c r="H704" t="s">
        <v>132</v>
      </c>
      <c r="I704" t="s">
        <v>1</v>
      </c>
      <c r="J704" t="s">
        <v>133</v>
      </c>
      <c r="K704" t="s">
        <v>51</v>
      </c>
      <c r="L704" t="s">
        <v>1979</v>
      </c>
      <c r="M704" t="s">
        <v>134</v>
      </c>
      <c r="N704" t="s">
        <v>135</v>
      </c>
      <c r="O704"/>
      <c r="P704"/>
      <c r="Q704" t="s">
        <v>140</v>
      </c>
      <c r="R704"/>
      <c r="S704"/>
      <c r="T704" t="s">
        <v>1912</v>
      </c>
      <c r="U704" t="s">
        <v>137</v>
      </c>
      <c r="V704" t="s">
        <v>165</v>
      </c>
      <c r="W704"/>
      <c r="X704" t="s">
        <v>122</v>
      </c>
      <c r="Y704"/>
      <c r="Z704"/>
      <c r="AA704" t="s">
        <v>1884</v>
      </c>
      <c r="AB704" t="s">
        <v>3</v>
      </c>
      <c r="AC704" t="s">
        <v>138</v>
      </c>
      <c r="AD704" t="s">
        <v>130</v>
      </c>
      <c r="AE704" s="97"/>
    </row>
    <row r="705" spans="1:31" ht="14.4" customHeight="1" x14ac:dyDescent="0.3">
      <c r="A705" t="s">
        <v>2006</v>
      </c>
      <c r="B705" t="s">
        <v>2007</v>
      </c>
      <c r="C705"/>
      <c r="D705"/>
      <c r="E705"/>
      <c r="F705"/>
      <c r="G705" t="s">
        <v>1883</v>
      </c>
      <c r="H705" t="s">
        <v>132</v>
      </c>
      <c r="I705" t="s">
        <v>1</v>
      </c>
      <c r="J705" t="s">
        <v>133</v>
      </c>
      <c r="K705" t="s">
        <v>51</v>
      </c>
      <c r="L705" t="s">
        <v>1973</v>
      </c>
      <c r="M705" t="s">
        <v>134</v>
      </c>
      <c r="N705" t="s">
        <v>135</v>
      </c>
      <c r="O705"/>
      <c r="P705"/>
      <c r="Q705" t="s">
        <v>140</v>
      </c>
      <c r="R705"/>
      <c r="S705"/>
      <c r="T705" t="s">
        <v>1974</v>
      </c>
      <c r="U705" t="s">
        <v>137</v>
      </c>
      <c r="V705" t="s">
        <v>709</v>
      </c>
      <c r="W705"/>
      <c r="X705" t="s">
        <v>73</v>
      </c>
      <c r="Y705"/>
      <c r="Z705"/>
      <c r="AA705" t="s">
        <v>1884</v>
      </c>
      <c r="AB705" t="s">
        <v>3</v>
      </c>
      <c r="AC705" t="s">
        <v>138</v>
      </c>
      <c r="AD705" t="s">
        <v>128</v>
      </c>
      <c r="AE705" s="97"/>
    </row>
    <row r="706" spans="1:31" ht="14.4" customHeight="1" x14ac:dyDescent="0.3">
      <c r="A706" t="s">
        <v>2008</v>
      </c>
      <c r="B706" t="s">
        <v>2009</v>
      </c>
      <c r="C706"/>
      <c r="D706"/>
      <c r="E706"/>
      <c r="F706"/>
      <c r="G706" t="s">
        <v>1883</v>
      </c>
      <c r="H706" t="s">
        <v>132</v>
      </c>
      <c r="I706" t="s">
        <v>1</v>
      </c>
      <c r="J706" t="s">
        <v>133</v>
      </c>
      <c r="K706" t="s">
        <v>51</v>
      </c>
      <c r="L706" t="s">
        <v>1973</v>
      </c>
      <c r="M706" t="s">
        <v>134</v>
      </c>
      <c r="N706" t="s">
        <v>135</v>
      </c>
      <c r="O706"/>
      <c r="P706"/>
      <c r="Q706" t="s">
        <v>140</v>
      </c>
      <c r="R706"/>
      <c r="S706"/>
      <c r="T706" t="s">
        <v>1974</v>
      </c>
      <c r="U706" t="s">
        <v>137</v>
      </c>
      <c r="V706" t="s">
        <v>709</v>
      </c>
      <c r="W706"/>
      <c r="X706" t="s">
        <v>73</v>
      </c>
      <c r="Y706"/>
      <c r="Z706"/>
      <c r="AA706" t="s">
        <v>1884</v>
      </c>
      <c r="AB706" t="s">
        <v>3</v>
      </c>
      <c r="AC706" t="s">
        <v>138</v>
      </c>
      <c r="AD706" t="s">
        <v>128</v>
      </c>
      <c r="AE706" s="97"/>
    </row>
    <row r="707" spans="1:31" ht="14.4" customHeight="1" x14ac:dyDescent="0.3">
      <c r="A707" t="s">
        <v>2010</v>
      </c>
      <c r="B707" t="s">
        <v>2011</v>
      </c>
      <c r="C707"/>
      <c r="D707"/>
      <c r="E707"/>
      <c r="F707"/>
      <c r="G707" t="s">
        <v>1883</v>
      </c>
      <c r="H707" t="s">
        <v>132</v>
      </c>
      <c r="I707" t="s">
        <v>1</v>
      </c>
      <c r="J707" t="s">
        <v>133</v>
      </c>
      <c r="K707" t="s">
        <v>51</v>
      </c>
      <c r="L707" t="s">
        <v>1973</v>
      </c>
      <c r="M707" t="s">
        <v>134</v>
      </c>
      <c r="N707" t="s">
        <v>135</v>
      </c>
      <c r="O707"/>
      <c r="P707"/>
      <c r="Q707" t="s">
        <v>140</v>
      </c>
      <c r="R707"/>
      <c r="S707"/>
      <c r="T707" t="s">
        <v>1974</v>
      </c>
      <c r="U707" t="s">
        <v>137</v>
      </c>
      <c r="V707" t="s">
        <v>715</v>
      </c>
      <c r="W707"/>
      <c r="X707" t="s">
        <v>82</v>
      </c>
      <c r="Y707"/>
      <c r="Z707"/>
      <c r="AA707" t="s">
        <v>1884</v>
      </c>
      <c r="AB707" t="s">
        <v>3</v>
      </c>
      <c r="AC707" t="s">
        <v>138</v>
      </c>
      <c r="AD707" t="s">
        <v>129</v>
      </c>
      <c r="AE707" s="97"/>
    </row>
    <row r="708" spans="1:31" ht="14.4" customHeight="1" x14ac:dyDescent="0.3">
      <c r="A708" t="s">
        <v>2012</v>
      </c>
      <c r="B708" t="s">
        <v>2013</v>
      </c>
      <c r="C708"/>
      <c r="D708"/>
      <c r="E708"/>
      <c r="F708"/>
      <c r="G708" t="s">
        <v>1883</v>
      </c>
      <c r="H708" t="s">
        <v>132</v>
      </c>
      <c r="I708" t="s">
        <v>1</v>
      </c>
      <c r="J708" t="s">
        <v>133</v>
      </c>
      <c r="K708" t="s">
        <v>51</v>
      </c>
      <c r="L708" t="s">
        <v>1973</v>
      </c>
      <c r="M708" t="s">
        <v>134</v>
      </c>
      <c r="N708" t="s">
        <v>135</v>
      </c>
      <c r="O708"/>
      <c r="P708"/>
      <c r="Q708" t="s">
        <v>140</v>
      </c>
      <c r="R708"/>
      <c r="S708"/>
      <c r="T708" t="s">
        <v>1974</v>
      </c>
      <c r="U708" t="s">
        <v>137</v>
      </c>
      <c r="V708" t="s">
        <v>715</v>
      </c>
      <c r="W708"/>
      <c r="X708" t="s">
        <v>82</v>
      </c>
      <c r="Y708"/>
      <c r="Z708"/>
      <c r="AA708" t="s">
        <v>1884</v>
      </c>
      <c r="AB708" t="s">
        <v>3</v>
      </c>
      <c r="AC708" t="s">
        <v>138</v>
      </c>
      <c r="AD708" t="s">
        <v>129</v>
      </c>
      <c r="AE708" s="97"/>
    </row>
    <row r="709" spans="1:31" ht="14.4" customHeight="1" x14ac:dyDescent="0.3">
      <c r="A709" t="s">
        <v>2014</v>
      </c>
      <c r="B709" t="s">
        <v>2015</v>
      </c>
      <c r="C709"/>
      <c r="D709"/>
      <c r="E709"/>
      <c r="F709"/>
      <c r="G709" t="s">
        <v>1883</v>
      </c>
      <c r="H709" t="s">
        <v>132</v>
      </c>
      <c r="I709" t="s">
        <v>1</v>
      </c>
      <c r="J709" t="s">
        <v>133</v>
      </c>
      <c r="K709" t="s">
        <v>51</v>
      </c>
      <c r="L709" t="s">
        <v>1973</v>
      </c>
      <c r="M709" t="s">
        <v>134</v>
      </c>
      <c r="N709" t="s">
        <v>135</v>
      </c>
      <c r="O709"/>
      <c r="P709"/>
      <c r="Q709" t="s">
        <v>140</v>
      </c>
      <c r="R709"/>
      <c r="S709"/>
      <c r="T709" t="s">
        <v>1974</v>
      </c>
      <c r="U709" t="s">
        <v>137</v>
      </c>
      <c r="V709" t="s">
        <v>721</v>
      </c>
      <c r="W709"/>
      <c r="X709" t="s">
        <v>91</v>
      </c>
      <c r="Y709"/>
      <c r="Z709"/>
      <c r="AA709" t="s">
        <v>1884</v>
      </c>
      <c r="AB709" t="s">
        <v>3</v>
      </c>
      <c r="AC709" t="s">
        <v>138</v>
      </c>
      <c r="AD709" t="s">
        <v>129</v>
      </c>
      <c r="AE709" s="97"/>
    </row>
    <row r="710" spans="1:31" ht="14.4" customHeight="1" x14ac:dyDescent="0.3">
      <c r="A710" t="s">
        <v>2016</v>
      </c>
      <c r="B710" t="s">
        <v>2017</v>
      </c>
      <c r="C710"/>
      <c r="D710"/>
      <c r="E710"/>
      <c r="F710"/>
      <c r="G710" t="s">
        <v>1883</v>
      </c>
      <c r="H710" t="s">
        <v>132</v>
      </c>
      <c r="I710" t="s">
        <v>1</v>
      </c>
      <c r="J710" t="s">
        <v>133</v>
      </c>
      <c r="K710" t="s">
        <v>51</v>
      </c>
      <c r="L710" t="s">
        <v>1973</v>
      </c>
      <c r="M710" t="s">
        <v>134</v>
      </c>
      <c r="N710" t="s">
        <v>135</v>
      </c>
      <c r="O710"/>
      <c r="P710"/>
      <c r="Q710" t="s">
        <v>140</v>
      </c>
      <c r="R710"/>
      <c r="S710"/>
      <c r="T710" t="s">
        <v>1974</v>
      </c>
      <c r="U710" t="s">
        <v>137</v>
      </c>
      <c r="V710" t="s">
        <v>721</v>
      </c>
      <c r="W710"/>
      <c r="X710" t="s">
        <v>91</v>
      </c>
      <c r="Y710"/>
      <c r="Z710"/>
      <c r="AA710" t="s">
        <v>1884</v>
      </c>
      <c r="AB710" t="s">
        <v>3</v>
      </c>
      <c r="AC710" t="s">
        <v>138</v>
      </c>
      <c r="AD710" t="s">
        <v>129</v>
      </c>
      <c r="AE710" s="97"/>
    </row>
    <row r="711" spans="1:31" ht="14.4" customHeight="1" x14ac:dyDescent="0.3">
      <c r="A711" t="s">
        <v>2018</v>
      </c>
      <c r="B711" t="s">
        <v>2019</v>
      </c>
      <c r="C711"/>
      <c r="D711"/>
      <c r="E711"/>
      <c r="F711"/>
      <c r="G711" t="s">
        <v>1883</v>
      </c>
      <c r="H711" t="s">
        <v>132</v>
      </c>
      <c r="I711" t="s">
        <v>1</v>
      </c>
      <c r="J711" t="s">
        <v>133</v>
      </c>
      <c r="K711" t="s">
        <v>51</v>
      </c>
      <c r="L711" t="s">
        <v>1973</v>
      </c>
      <c r="M711" t="s">
        <v>134</v>
      </c>
      <c r="N711" t="s">
        <v>135</v>
      </c>
      <c r="O711"/>
      <c r="P711"/>
      <c r="Q711" t="s">
        <v>140</v>
      </c>
      <c r="R711"/>
      <c r="S711"/>
      <c r="T711" t="s">
        <v>1974</v>
      </c>
      <c r="U711" t="s">
        <v>137</v>
      </c>
      <c r="V711" t="s">
        <v>727</v>
      </c>
      <c r="W711"/>
      <c r="X711" t="s">
        <v>100</v>
      </c>
      <c r="Y711"/>
      <c r="Z711"/>
      <c r="AA711" t="s">
        <v>1884</v>
      </c>
      <c r="AB711" t="s">
        <v>3</v>
      </c>
      <c r="AC711" t="s">
        <v>138</v>
      </c>
      <c r="AD711" t="s">
        <v>129</v>
      </c>
      <c r="AE711" s="97"/>
    </row>
    <row r="712" spans="1:31" ht="14.4" customHeight="1" x14ac:dyDescent="0.3">
      <c r="A712" t="s">
        <v>2020</v>
      </c>
      <c r="B712" t="s">
        <v>2021</v>
      </c>
      <c r="C712"/>
      <c r="D712"/>
      <c r="E712"/>
      <c r="F712"/>
      <c r="G712" t="s">
        <v>1883</v>
      </c>
      <c r="H712" t="s">
        <v>132</v>
      </c>
      <c r="I712" t="s">
        <v>1</v>
      </c>
      <c r="J712" t="s">
        <v>133</v>
      </c>
      <c r="K712" t="s">
        <v>51</v>
      </c>
      <c r="L712" t="s">
        <v>1973</v>
      </c>
      <c r="M712" t="s">
        <v>134</v>
      </c>
      <c r="N712" t="s">
        <v>135</v>
      </c>
      <c r="O712"/>
      <c r="P712"/>
      <c r="Q712" t="s">
        <v>140</v>
      </c>
      <c r="R712"/>
      <c r="S712"/>
      <c r="T712" t="s">
        <v>1974</v>
      </c>
      <c r="U712" t="s">
        <v>137</v>
      </c>
      <c r="V712" t="s">
        <v>727</v>
      </c>
      <c r="W712"/>
      <c r="X712" t="s">
        <v>100</v>
      </c>
      <c r="Y712"/>
      <c r="Z712"/>
      <c r="AA712" t="s">
        <v>1884</v>
      </c>
      <c r="AB712" t="s">
        <v>3</v>
      </c>
      <c r="AC712" t="s">
        <v>138</v>
      </c>
      <c r="AD712" t="s">
        <v>129</v>
      </c>
      <c r="AE712" s="97"/>
    </row>
    <row r="713" spans="1:31" ht="14.4" customHeight="1" x14ac:dyDescent="0.3">
      <c r="A713" t="s">
        <v>2022</v>
      </c>
      <c r="B713" t="s">
        <v>2023</v>
      </c>
      <c r="C713"/>
      <c r="D713"/>
      <c r="E713"/>
      <c r="F713"/>
      <c r="G713" t="s">
        <v>1883</v>
      </c>
      <c r="H713" t="s">
        <v>132</v>
      </c>
      <c r="I713" t="s">
        <v>1</v>
      </c>
      <c r="J713" t="s">
        <v>133</v>
      </c>
      <c r="K713" t="s">
        <v>51</v>
      </c>
      <c r="L713" t="s">
        <v>1973</v>
      </c>
      <c r="M713" t="s">
        <v>134</v>
      </c>
      <c r="N713" t="s">
        <v>135</v>
      </c>
      <c r="O713"/>
      <c r="P713"/>
      <c r="Q713" t="s">
        <v>140</v>
      </c>
      <c r="R713"/>
      <c r="S713"/>
      <c r="T713" t="s">
        <v>1974</v>
      </c>
      <c r="U713" t="s">
        <v>137</v>
      </c>
      <c r="V713" t="s">
        <v>733</v>
      </c>
      <c r="W713"/>
      <c r="X713" t="s">
        <v>109</v>
      </c>
      <c r="Y713"/>
      <c r="Z713"/>
      <c r="AA713" t="s">
        <v>1884</v>
      </c>
      <c r="AB713" t="s">
        <v>3</v>
      </c>
      <c r="AC713" t="s">
        <v>138</v>
      </c>
      <c r="AD713" t="s">
        <v>129</v>
      </c>
      <c r="AE713" s="97"/>
    </row>
    <row r="714" spans="1:31" ht="14.4" customHeight="1" x14ac:dyDescent="0.3">
      <c r="A714" t="s">
        <v>2024</v>
      </c>
      <c r="B714" t="s">
        <v>2025</v>
      </c>
      <c r="C714"/>
      <c r="D714"/>
      <c r="E714"/>
      <c r="F714"/>
      <c r="G714" t="s">
        <v>1883</v>
      </c>
      <c r="H714" t="s">
        <v>132</v>
      </c>
      <c r="I714" t="s">
        <v>1</v>
      </c>
      <c r="J714" t="s">
        <v>133</v>
      </c>
      <c r="K714" t="s">
        <v>51</v>
      </c>
      <c r="L714" t="s">
        <v>1973</v>
      </c>
      <c r="M714" t="s">
        <v>134</v>
      </c>
      <c r="N714" t="s">
        <v>135</v>
      </c>
      <c r="O714"/>
      <c r="P714"/>
      <c r="Q714" t="s">
        <v>140</v>
      </c>
      <c r="R714"/>
      <c r="S714"/>
      <c r="T714" t="s">
        <v>1974</v>
      </c>
      <c r="U714" t="s">
        <v>137</v>
      </c>
      <c r="V714" t="s">
        <v>733</v>
      </c>
      <c r="W714"/>
      <c r="X714" t="s">
        <v>109</v>
      </c>
      <c r="Y714"/>
      <c r="Z714"/>
      <c r="AA714" t="s">
        <v>1884</v>
      </c>
      <c r="AB714" t="s">
        <v>3</v>
      </c>
      <c r="AC714" t="s">
        <v>138</v>
      </c>
      <c r="AD714" t="s">
        <v>129</v>
      </c>
      <c r="AE714" s="97"/>
    </row>
    <row r="715" spans="1:31" ht="14.4" customHeight="1" x14ac:dyDescent="0.3">
      <c r="A715" t="s">
        <v>2026</v>
      </c>
      <c r="B715" t="s">
        <v>2027</v>
      </c>
      <c r="C715"/>
      <c r="D715"/>
      <c r="E715"/>
      <c r="F715"/>
      <c r="G715" t="s">
        <v>1883</v>
      </c>
      <c r="H715" t="s">
        <v>132</v>
      </c>
      <c r="I715" t="s">
        <v>1</v>
      </c>
      <c r="J715" t="s">
        <v>133</v>
      </c>
      <c r="K715" t="s">
        <v>51</v>
      </c>
      <c r="L715" t="s">
        <v>1973</v>
      </c>
      <c r="M715" t="s">
        <v>134</v>
      </c>
      <c r="N715" t="s">
        <v>135</v>
      </c>
      <c r="O715"/>
      <c r="P715"/>
      <c r="Q715" t="s">
        <v>140</v>
      </c>
      <c r="R715"/>
      <c r="S715"/>
      <c r="T715" t="s">
        <v>1974</v>
      </c>
      <c r="U715" t="s">
        <v>137</v>
      </c>
      <c r="V715" t="s">
        <v>739</v>
      </c>
      <c r="W715"/>
      <c r="X715" t="s">
        <v>118</v>
      </c>
      <c r="Y715"/>
      <c r="Z715"/>
      <c r="AA715" t="s">
        <v>1884</v>
      </c>
      <c r="AB715" t="s">
        <v>3</v>
      </c>
      <c r="AC715" t="s">
        <v>138</v>
      </c>
      <c r="AD715" t="s">
        <v>130</v>
      </c>
      <c r="AE715" s="97"/>
    </row>
    <row r="716" spans="1:31" ht="14.4" customHeight="1" x14ac:dyDescent="0.3">
      <c r="A716" t="s">
        <v>2028</v>
      </c>
      <c r="B716" t="s">
        <v>2029</v>
      </c>
      <c r="C716"/>
      <c r="D716"/>
      <c r="E716"/>
      <c r="F716"/>
      <c r="G716" t="s">
        <v>1883</v>
      </c>
      <c r="H716" t="s">
        <v>132</v>
      </c>
      <c r="I716" t="s">
        <v>1</v>
      </c>
      <c r="J716" t="s">
        <v>133</v>
      </c>
      <c r="K716" t="s">
        <v>51</v>
      </c>
      <c r="L716" t="s">
        <v>1973</v>
      </c>
      <c r="M716" t="s">
        <v>134</v>
      </c>
      <c r="N716" t="s">
        <v>135</v>
      </c>
      <c r="O716"/>
      <c r="P716"/>
      <c r="Q716" t="s">
        <v>140</v>
      </c>
      <c r="R716"/>
      <c r="S716"/>
      <c r="T716" t="s">
        <v>1974</v>
      </c>
      <c r="U716" t="s">
        <v>137</v>
      </c>
      <c r="V716" t="s">
        <v>739</v>
      </c>
      <c r="W716"/>
      <c r="X716" t="s">
        <v>118</v>
      </c>
      <c r="Y716"/>
      <c r="Z716"/>
      <c r="AA716" t="s">
        <v>1884</v>
      </c>
      <c r="AB716" t="s">
        <v>3</v>
      </c>
      <c r="AC716" t="s">
        <v>138</v>
      </c>
      <c r="AD716" t="s">
        <v>130</v>
      </c>
      <c r="AE716" s="97"/>
    </row>
    <row r="717" spans="1:31" ht="14.4" customHeight="1" x14ac:dyDescent="0.3">
      <c r="A717" t="s">
        <v>2030</v>
      </c>
      <c r="B717" t="s">
        <v>2031</v>
      </c>
      <c r="C717"/>
      <c r="D717"/>
      <c r="E717"/>
      <c r="F717"/>
      <c r="G717" t="s">
        <v>1883</v>
      </c>
      <c r="H717" t="s">
        <v>132</v>
      </c>
      <c r="I717" t="s">
        <v>1</v>
      </c>
      <c r="J717" t="s">
        <v>133</v>
      </c>
      <c r="K717" t="s">
        <v>51</v>
      </c>
      <c r="L717" t="s">
        <v>2032</v>
      </c>
      <c r="M717" t="s">
        <v>134</v>
      </c>
      <c r="N717" t="s">
        <v>135</v>
      </c>
      <c r="O717"/>
      <c r="P717"/>
      <c r="Q717" t="s">
        <v>140</v>
      </c>
      <c r="R717"/>
      <c r="S717"/>
      <c r="T717" t="s">
        <v>1936</v>
      </c>
      <c r="U717" t="s">
        <v>137</v>
      </c>
      <c r="V717" t="s">
        <v>640</v>
      </c>
      <c r="W717"/>
      <c r="X717" t="s">
        <v>66</v>
      </c>
      <c r="Y717"/>
      <c r="Z717"/>
      <c r="AA717" t="s">
        <v>1884</v>
      </c>
      <c r="AB717" t="s">
        <v>3</v>
      </c>
      <c r="AC717" t="s">
        <v>138</v>
      </c>
      <c r="AD717" t="s">
        <v>128</v>
      </c>
      <c r="AE717" s="97"/>
    </row>
    <row r="718" spans="1:31" ht="14.4" customHeight="1" x14ac:dyDescent="0.3">
      <c r="A718" t="s">
        <v>2033</v>
      </c>
      <c r="B718" t="s">
        <v>2034</v>
      </c>
      <c r="C718"/>
      <c r="D718"/>
      <c r="E718"/>
      <c r="F718"/>
      <c r="G718" t="s">
        <v>1883</v>
      </c>
      <c r="H718" t="s">
        <v>132</v>
      </c>
      <c r="I718" t="s">
        <v>1</v>
      </c>
      <c r="J718" t="s">
        <v>133</v>
      </c>
      <c r="K718" t="s">
        <v>51</v>
      </c>
      <c r="L718" t="s">
        <v>2032</v>
      </c>
      <c r="M718" t="s">
        <v>134</v>
      </c>
      <c r="N718" t="s">
        <v>135</v>
      </c>
      <c r="O718"/>
      <c r="P718"/>
      <c r="Q718" t="s">
        <v>140</v>
      </c>
      <c r="R718"/>
      <c r="S718"/>
      <c r="T718" t="s">
        <v>1936</v>
      </c>
      <c r="U718" t="s">
        <v>137</v>
      </c>
      <c r="V718" t="s">
        <v>646</v>
      </c>
      <c r="W718"/>
      <c r="X718" t="s">
        <v>74</v>
      </c>
      <c r="Y718"/>
      <c r="Z718"/>
      <c r="AA718" t="s">
        <v>1884</v>
      </c>
      <c r="AB718" t="s">
        <v>3</v>
      </c>
      <c r="AC718" t="s">
        <v>138</v>
      </c>
      <c r="AD718" t="s">
        <v>128</v>
      </c>
      <c r="AE718" s="97"/>
    </row>
    <row r="719" spans="1:31" ht="14.4" customHeight="1" x14ac:dyDescent="0.3">
      <c r="A719" t="s">
        <v>2035</v>
      </c>
      <c r="B719" t="s">
        <v>2036</v>
      </c>
      <c r="C719"/>
      <c r="D719"/>
      <c r="E719"/>
      <c r="F719"/>
      <c r="G719" t="s">
        <v>1883</v>
      </c>
      <c r="H719" t="s">
        <v>132</v>
      </c>
      <c r="I719" t="s">
        <v>1</v>
      </c>
      <c r="J719" t="s">
        <v>133</v>
      </c>
      <c r="K719" t="s">
        <v>51</v>
      </c>
      <c r="L719" t="s">
        <v>2032</v>
      </c>
      <c r="M719" t="s">
        <v>134</v>
      </c>
      <c r="N719" t="s">
        <v>135</v>
      </c>
      <c r="O719"/>
      <c r="P719"/>
      <c r="Q719" t="s">
        <v>140</v>
      </c>
      <c r="R719"/>
      <c r="S719"/>
      <c r="T719" t="s">
        <v>1936</v>
      </c>
      <c r="U719" t="s">
        <v>137</v>
      </c>
      <c r="V719" t="s">
        <v>652</v>
      </c>
      <c r="W719"/>
      <c r="X719" t="s">
        <v>85</v>
      </c>
      <c r="Y719"/>
      <c r="Z719"/>
      <c r="AA719" t="s">
        <v>1884</v>
      </c>
      <c r="AB719" t="s">
        <v>3</v>
      </c>
      <c r="AC719" t="s">
        <v>138</v>
      </c>
      <c r="AD719" t="s">
        <v>129</v>
      </c>
      <c r="AE719" s="97"/>
    </row>
    <row r="720" spans="1:31" ht="14.4" customHeight="1" x14ac:dyDescent="0.3">
      <c r="A720" t="s">
        <v>2037</v>
      </c>
      <c r="B720" t="s">
        <v>2038</v>
      </c>
      <c r="C720"/>
      <c r="D720"/>
      <c r="E720"/>
      <c r="F720"/>
      <c r="G720" t="s">
        <v>1883</v>
      </c>
      <c r="H720" t="s">
        <v>132</v>
      </c>
      <c r="I720" t="s">
        <v>1</v>
      </c>
      <c r="J720" t="s">
        <v>133</v>
      </c>
      <c r="K720" t="s">
        <v>51</v>
      </c>
      <c r="L720" t="s">
        <v>2032</v>
      </c>
      <c r="M720" t="s">
        <v>134</v>
      </c>
      <c r="N720" t="s">
        <v>135</v>
      </c>
      <c r="O720"/>
      <c r="P720"/>
      <c r="Q720" t="s">
        <v>140</v>
      </c>
      <c r="R720"/>
      <c r="S720"/>
      <c r="T720" t="s">
        <v>1936</v>
      </c>
      <c r="U720" t="s">
        <v>137</v>
      </c>
      <c r="V720" t="s">
        <v>658</v>
      </c>
      <c r="W720"/>
      <c r="X720" t="s">
        <v>94</v>
      </c>
      <c r="Y720"/>
      <c r="Z720"/>
      <c r="AA720" t="s">
        <v>1884</v>
      </c>
      <c r="AB720" t="s">
        <v>3</v>
      </c>
      <c r="AC720" t="s">
        <v>138</v>
      </c>
      <c r="AD720" t="s">
        <v>129</v>
      </c>
      <c r="AE720" s="97"/>
    </row>
    <row r="721" spans="1:31" ht="14.4" customHeight="1" x14ac:dyDescent="0.3">
      <c r="A721" t="s">
        <v>2039</v>
      </c>
      <c r="B721" t="s">
        <v>2040</v>
      </c>
      <c r="C721"/>
      <c r="D721"/>
      <c r="E721"/>
      <c r="F721"/>
      <c r="G721" t="s">
        <v>1883</v>
      </c>
      <c r="H721" t="s">
        <v>132</v>
      </c>
      <c r="I721" t="s">
        <v>1</v>
      </c>
      <c r="J721" t="s">
        <v>133</v>
      </c>
      <c r="K721" t="s">
        <v>51</v>
      </c>
      <c r="L721" t="s">
        <v>2032</v>
      </c>
      <c r="M721" t="s">
        <v>134</v>
      </c>
      <c r="N721" t="s">
        <v>135</v>
      </c>
      <c r="O721"/>
      <c r="P721"/>
      <c r="Q721" t="s">
        <v>140</v>
      </c>
      <c r="R721"/>
      <c r="S721"/>
      <c r="T721" t="s">
        <v>1936</v>
      </c>
      <c r="U721" t="s">
        <v>137</v>
      </c>
      <c r="V721" t="s">
        <v>664</v>
      </c>
      <c r="W721"/>
      <c r="X721" t="s">
        <v>103</v>
      </c>
      <c r="Y721"/>
      <c r="Z721"/>
      <c r="AA721" t="s">
        <v>1884</v>
      </c>
      <c r="AB721" t="s">
        <v>3</v>
      </c>
      <c r="AC721" t="s">
        <v>138</v>
      </c>
      <c r="AD721" t="s">
        <v>129</v>
      </c>
      <c r="AE721" s="97"/>
    </row>
    <row r="722" spans="1:31" ht="14.4" customHeight="1" x14ac:dyDescent="0.3">
      <c r="A722" t="s">
        <v>2041</v>
      </c>
      <c r="B722" t="s">
        <v>2042</v>
      </c>
      <c r="C722"/>
      <c r="D722"/>
      <c r="E722"/>
      <c r="F722"/>
      <c r="G722" t="s">
        <v>1883</v>
      </c>
      <c r="H722" t="s">
        <v>132</v>
      </c>
      <c r="I722" t="s">
        <v>1</v>
      </c>
      <c r="J722" t="s">
        <v>133</v>
      </c>
      <c r="K722" t="s">
        <v>51</v>
      </c>
      <c r="L722" t="s">
        <v>2032</v>
      </c>
      <c r="M722" t="s">
        <v>134</v>
      </c>
      <c r="N722" t="s">
        <v>135</v>
      </c>
      <c r="O722"/>
      <c r="P722"/>
      <c r="Q722" t="s">
        <v>140</v>
      </c>
      <c r="R722"/>
      <c r="S722"/>
      <c r="T722" t="s">
        <v>1936</v>
      </c>
      <c r="U722" t="s">
        <v>137</v>
      </c>
      <c r="V722" t="s">
        <v>670</v>
      </c>
      <c r="W722"/>
      <c r="X722" t="s">
        <v>110</v>
      </c>
      <c r="Y722"/>
      <c r="Z722"/>
      <c r="AA722" t="s">
        <v>1884</v>
      </c>
      <c r="AB722" t="s">
        <v>3</v>
      </c>
      <c r="AC722" t="s">
        <v>138</v>
      </c>
      <c r="AD722" t="s">
        <v>129</v>
      </c>
      <c r="AE722" s="97"/>
    </row>
    <row r="723" spans="1:31" ht="14.4" customHeight="1" x14ac:dyDescent="0.3">
      <c r="A723" t="s">
        <v>2043</v>
      </c>
      <c r="B723" t="s">
        <v>2044</v>
      </c>
      <c r="C723"/>
      <c r="D723"/>
      <c r="E723"/>
      <c r="F723"/>
      <c r="G723" t="s">
        <v>1883</v>
      </c>
      <c r="H723" t="s">
        <v>132</v>
      </c>
      <c r="I723" t="s">
        <v>1</v>
      </c>
      <c r="J723" t="s">
        <v>133</v>
      </c>
      <c r="K723" t="s">
        <v>51</v>
      </c>
      <c r="L723" t="s">
        <v>2032</v>
      </c>
      <c r="M723" t="s">
        <v>134</v>
      </c>
      <c r="N723" t="s">
        <v>135</v>
      </c>
      <c r="O723"/>
      <c r="P723"/>
      <c r="Q723" t="s">
        <v>140</v>
      </c>
      <c r="R723"/>
      <c r="S723"/>
      <c r="T723" t="s">
        <v>1936</v>
      </c>
      <c r="U723" t="s">
        <v>137</v>
      </c>
      <c r="V723" t="s">
        <v>676</v>
      </c>
      <c r="W723"/>
      <c r="X723" t="s">
        <v>119</v>
      </c>
      <c r="Y723"/>
      <c r="Z723"/>
      <c r="AA723" t="s">
        <v>1884</v>
      </c>
      <c r="AB723" t="s">
        <v>3</v>
      </c>
      <c r="AC723" t="s">
        <v>138</v>
      </c>
      <c r="AD723" t="s">
        <v>130</v>
      </c>
      <c r="AE723" s="97"/>
    </row>
    <row r="724" spans="1:31" ht="14.4" customHeight="1" x14ac:dyDescent="0.3">
      <c r="A724" t="s">
        <v>2045</v>
      </c>
      <c r="B724" t="s">
        <v>2046</v>
      </c>
      <c r="C724"/>
      <c r="D724"/>
      <c r="E724"/>
      <c r="F724"/>
      <c r="G724" t="s">
        <v>1883</v>
      </c>
      <c r="H724" t="s">
        <v>132</v>
      </c>
      <c r="I724" t="s">
        <v>1</v>
      </c>
      <c r="J724" t="s">
        <v>133</v>
      </c>
      <c r="K724" t="s">
        <v>51</v>
      </c>
      <c r="L724" t="s">
        <v>1979</v>
      </c>
      <c r="M724" t="s">
        <v>134</v>
      </c>
      <c r="N724" t="s">
        <v>135</v>
      </c>
      <c r="O724"/>
      <c r="P724"/>
      <c r="Q724" t="s">
        <v>140</v>
      </c>
      <c r="R724"/>
      <c r="S724"/>
      <c r="T724" t="s">
        <v>2047</v>
      </c>
      <c r="U724" t="s">
        <v>137</v>
      </c>
      <c r="V724" t="s">
        <v>1279</v>
      </c>
      <c r="W724"/>
      <c r="X724" t="s">
        <v>71</v>
      </c>
      <c r="Y724"/>
      <c r="Z724"/>
      <c r="AA724" t="s">
        <v>1884</v>
      </c>
      <c r="AB724" t="s">
        <v>3</v>
      </c>
      <c r="AC724" t="s">
        <v>138</v>
      </c>
      <c r="AD724" t="s">
        <v>128</v>
      </c>
      <c r="AE724" s="97"/>
    </row>
    <row r="725" spans="1:31" ht="14.4" customHeight="1" x14ac:dyDescent="0.3">
      <c r="A725" t="s">
        <v>2048</v>
      </c>
      <c r="B725" t="s">
        <v>2049</v>
      </c>
      <c r="C725"/>
      <c r="D725"/>
      <c r="E725"/>
      <c r="F725"/>
      <c r="G725" t="s">
        <v>1883</v>
      </c>
      <c r="H725" t="s">
        <v>132</v>
      </c>
      <c r="I725" t="s">
        <v>1</v>
      </c>
      <c r="J725" t="s">
        <v>133</v>
      </c>
      <c r="K725" t="s">
        <v>51</v>
      </c>
      <c r="L725" t="s">
        <v>1979</v>
      </c>
      <c r="M725" t="s">
        <v>134</v>
      </c>
      <c r="N725" t="s">
        <v>135</v>
      </c>
      <c r="O725"/>
      <c r="P725"/>
      <c r="Q725" t="s">
        <v>140</v>
      </c>
      <c r="R725"/>
      <c r="S725"/>
      <c r="T725" t="s">
        <v>2047</v>
      </c>
      <c r="U725" t="s">
        <v>137</v>
      </c>
      <c r="V725" t="s">
        <v>1283</v>
      </c>
      <c r="W725"/>
      <c r="X725" t="s">
        <v>78</v>
      </c>
      <c r="Y725"/>
      <c r="Z725"/>
      <c r="AA725" t="s">
        <v>1884</v>
      </c>
      <c r="AB725" t="s">
        <v>3</v>
      </c>
      <c r="AC725" t="s">
        <v>138</v>
      </c>
      <c r="AD725" t="s">
        <v>128</v>
      </c>
      <c r="AE725" s="97"/>
    </row>
    <row r="726" spans="1:31" ht="14.4" customHeight="1" x14ac:dyDescent="0.3">
      <c r="A726" t="s">
        <v>2050</v>
      </c>
      <c r="B726" t="s">
        <v>2051</v>
      </c>
      <c r="C726"/>
      <c r="D726"/>
      <c r="E726"/>
      <c r="F726"/>
      <c r="G726" t="s">
        <v>1883</v>
      </c>
      <c r="H726" t="s">
        <v>132</v>
      </c>
      <c r="I726" t="s">
        <v>1</v>
      </c>
      <c r="J726" t="s">
        <v>133</v>
      </c>
      <c r="K726" t="s">
        <v>51</v>
      </c>
      <c r="L726" t="s">
        <v>1979</v>
      </c>
      <c r="M726" t="s">
        <v>134</v>
      </c>
      <c r="N726" t="s">
        <v>135</v>
      </c>
      <c r="O726"/>
      <c r="P726"/>
      <c r="Q726" t="s">
        <v>140</v>
      </c>
      <c r="R726"/>
      <c r="S726"/>
      <c r="T726" t="s">
        <v>2047</v>
      </c>
      <c r="U726" t="s">
        <v>137</v>
      </c>
      <c r="V726" t="s">
        <v>1287</v>
      </c>
      <c r="W726"/>
      <c r="X726" t="s">
        <v>89</v>
      </c>
      <c r="Y726"/>
      <c r="Z726"/>
      <c r="AA726" t="s">
        <v>1884</v>
      </c>
      <c r="AB726" t="s">
        <v>3</v>
      </c>
      <c r="AC726" t="s">
        <v>138</v>
      </c>
      <c r="AD726" t="s">
        <v>129</v>
      </c>
      <c r="AE726" s="97"/>
    </row>
    <row r="727" spans="1:31" ht="14.4" customHeight="1" x14ac:dyDescent="0.3">
      <c r="A727" t="s">
        <v>2052</v>
      </c>
      <c r="B727" t="s">
        <v>2053</v>
      </c>
      <c r="C727"/>
      <c r="D727"/>
      <c r="E727"/>
      <c r="F727"/>
      <c r="G727" t="s">
        <v>1883</v>
      </c>
      <c r="H727" t="s">
        <v>132</v>
      </c>
      <c r="I727" t="s">
        <v>1</v>
      </c>
      <c r="J727" t="s">
        <v>133</v>
      </c>
      <c r="K727" t="s">
        <v>51</v>
      </c>
      <c r="L727" t="s">
        <v>1979</v>
      </c>
      <c r="M727" t="s">
        <v>134</v>
      </c>
      <c r="N727" t="s">
        <v>135</v>
      </c>
      <c r="O727"/>
      <c r="P727"/>
      <c r="Q727" t="s">
        <v>140</v>
      </c>
      <c r="R727"/>
      <c r="S727"/>
      <c r="T727" t="s">
        <v>2047</v>
      </c>
      <c r="U727" t="s">
        <v>137</v>
      </c>
      <c r="V727" t="s">
        <v>1291</v>
      </c>
      <c r="W727"/>
      <c r="X727" t="s">
        <v>98</v>
      </c>
      <c r="Y727"/>
      <c r="Z727"/>
      <c r="AA727" t="s">
        <v>1884</v>
      </c>
      <c r="AB727" t="s">
        <v>3</v>
      </c>
      <c r="AC727" t="s">
        <v>138</v>
      </c>
      <c r="AD727" t="s">
        <v>129</v>
      </c>
      <c r="AE727" s="97"/>
    </row>
    <row r="728" spans="1:31" ht="14.4" customHeight="1" x14ac:dyDescent="0.3">
      <c r="A728" t="s">
        <v>2054</v>
      </c>
      <c r="B728" t="s">
        <v>2055</v>
      </c>
      <c r="C728"/>
      <c r="D728"/>
      <c r="E728"/>
      <c r="F728"/>
      <c r="G728" t="s">
        <v>1883</v>
      </c>
      <c r="H728" t="s">
        <v>132</v>
      </c>
      <c r="I728" t="s">
        <v>1</v>
      </c>
      <c r="J728" t="s">
        <v>133</v>
      </c>
      <c r="K728" t="s">
        <v>51</v>
      </c>
      <c r="L728" t="s">
        <v>1979</v>
      </c>
      <c r="M728" t="s">
        <v>134</v>
      </c>
      <c r="N728" t="s">
        <v>135</v>
      </c>
      <c r="O728"/>
      <c r="P728"/>
      <c r="Q728" t="s">
        <v>140</v>
      </c>
      <c r="R728"/>
      <c r="S728"/>
      <c r="T728" t="s">
        <v>2056</v>
      </c>
      <c r="U728" t="s">
        <v>137</v>
      </c>
      <c r="V728" t="s">
        <v>1295</v>
      </c>
      <c r="W728"/>
      <c r="X728" t="s">
        <v>107</v>
      </c>
      <c r="Y728"/>
      <c r="Z728"/>
      <c r="AA728" t="s">
        <v>1884</v>
      </c>
      <c r="AB728" t="s">
        <v>3</v>
      </c>
      <c r="AC728" t="s">
        <v>138</v>
      </c>
      <c r="AD728" t="s">
        <v>129</v>
      </c>
      <c r="AE728" s="97"/>
    </row>
    <row r="729" spans="1:31" ht="14.4" customHeight="1" x14ac:dyDescent="0.3">
      <c r="A729" t="s">
        <v>2057</v>
      </c>
      <c r="B729" t="s">
        <v>2058</v>
      </c>
      <c r="C729"/>
      <c r="D729"/>
      <c r="E729"/>
      <c r="F729"/>
      <c r="G729" t="s">
        <v>1883</v>
      </c>
      <c r="H729" t="s">
        <v>132</v>
      </c>
      <c r="I729" t="s">
        <v>1</v>
      </c>
      <c r="J729" t="s">
        <v>133</v>
      </c>
      <c r="K729" t="s">
        <v>51</v>
      </c>
      <c r="L729" t="s">
        <v>1979</v>
      </c>
      <c r="M729" t="s">
        <v>134</v>
      </c>
      <c r="N729" t="s">
        <v>135</v>
      </c>
      <c r="O729"/>
      <c r="P729"/>
      <c r="Q729" t="s">
        <v>140</v>
      </c>
      <c r="R729"/>
      <c r="S729"/>
      <c r="T729" t="s">
        <v>2056</v>
      </c>
      <c r="U729" t="s">
        <v>137</v>
      </c>
      <c r="V729" t="s">
        <v>1299</v>
      </c>
      <c r="W729"/>
      <c r="X729" t="s">
        <v>114</v>
      </c>
      <c r="Y729"/>
      <c r="Z729"/>
      <c r="AA729" t="s">
        <v>1884</v>
      </c>
      <c r="AB729" t="s">
        <v>3</v>
      </c>
      <c r="AC729" t="s">
        <v>138</v>
      </c>
      <c r="AD729" t="s">
        <v>129</v>
      </c>
      <c r="AE729" s="97"/>
    </row>
    <row r="730" spans="1:31" ht="14.4" customHeight="1" x14ac:dyDescent="0.3">
      <c r="A730" t="s">
        <v>2059</v>
      </c>
      <c r="B730" t="s">
        <v>2060</v>
      </c>
      <c r="C730"/>
      <c r="D730"/>
      <c r="E730"/>
      <c r="F730"/>
      <c r="G730" t="s">
        <v>1883</v>
      </c>
      <c r="H730" t="s">
        <v>132</v>
      </c>
      <c r="I730" t="s">
        <v>1</v>
      </c>
      <c r="J730" t="s">
        <v>133</v>
      </c>
      <c r="K730" t="s">
        <v>51</v>
      </c>
      <c r="L730" t="s">
        <v>1979</v>
      </c>
      <c r="M730" t="s">
        <v>134</v>
      </c>
      <c r="N730" t="s">
        <v>135</v>
      </c>
      <c r="O730"/>
      <c r="P730"/>
      <c r="Q730" t="s">
        <v>140</v>
      </c>
      <c r="R730"/>
      <c r="S730"/>
      <c r="T730" t="s">
        <v>2056</v>
      </c>
      <c r="U730" t="s">
        <v>137</v>
      </c>
      <c r="V730" t="s">
        <v>1303</v>
      </c>
      <c r="W730"/>
      <c r="X730" t="s">
        <v>123</v>
      </c>
      <c r="Y730"/>
      <c r="Z730"/>
      <c r="AA730" t="s">
        <v>1884</v>
      </c>
      <c r="AB730" t="s">
        <v>3</v>
      </c>
      <c r="AC730" t="s">
        <v>138</v>
      </c>
      <c r="AD730" t="s">
        <v>130</v>
      </c>
      <c r="AE730" s="97"/>
    </row>
    <row r="731" spans="1:31" ht="14.4" customHeight="1" x14ac:dyDescent="0.3">
      <c r="A731" t="s">
        <v>2061</v>
      </c>
      <c r="B731" t="s">
        <v>2062</v>
      </c>
      <c r="C731"/>
      <c r="D731"/>
      <c r="E731"/>
      <c r="F731"/>
      <c r="G731" t="s">
        <v>1883</v>
      </c>
      <c r="H731" t="s">
        <v>132</v>
      </c>
      <c r="I731" t="s">
        <v>1</v>
      </c>
      <c r="J731" t="s">
        <v>133</v>
      </c>
      <c r="K731" t="s">
        <v>51</v>
      </c>
      <c r="L731" t="s">
        <v>2063</v>
      </c>
      <c r="M731" t="s">
        <v>134</v>
      </c>
      <c r="N731" t="s">
        <v>135</v>
      </c>
      <c r="O731"/>
      <c r="P731"/>
      <c r="Q731" t="s">
        <v>140</v>
      </c>
      <c r="R731"/>
      <c r="S731"/>
      <c r="T731" t="s">
        <v>2064</v>
      </c>
      <c r="U731" t="s">
        <v>137</v>
      </c>
      <c r="V731" t="s">
        <v>703</v>
      </c>
      <c r="W731"/>
      <c r="X731" t="s">
        <v>62</v>
      </c>
      <c r="Y731"/>
      <c r="Z731"/>
      <c r="AA731" t="s">
        <v>1884</v>
      </c>
      <c r="AB731" t="s">
        <v>3</v>
      </c>
      <c r="AC731" t="s">
        <v>138</v>
      </c>
      <c r="AD731" t="s">
        <v>128</v>
      </c>
      <c r="AE731" s="97"/>
    </row>
    <row r="732" spans="1:31" ht="14.4" customHeight="1" x14ac:dyDescent="0.3">
      <c r="A732" t="s">
        <v>2065</v>
      </c>
      <c r="B732" t="s">
        <v>2066</v>
      </c>
      <c r="C732"/>
      <c r="D732"/>
      <c r="E732"/>
      <c r="F732"/>
      <c r="G732" t="s">
        <v>1883</v>
      </c>
      <c r="H732" t="s">
        <v>132</v>
      </c>
      <c r="I732" t="s">
        <v>1</v>
      </c>
      <c r="J732" t="s">
        <v>133</v>
      </c>
      <c r="K732" t="s">
        <v>51</v>
      </c>
      <c r="L732" t="s">
        <v>2063</v>
      </c>
      <c r="M732" t="s">
        <v>134</v>
      </c>
      <c r="N732" t="s">
        <v>135</v>
      </c>
      <c r="O732"/>
      <c r="P732"/>
      <c r="Q732" t="s">
        <v>140</v>
      </c>
      <c r="R732"/>
      <c r="S732"/>
      <c r="T732" t="s">
        <v>2064</v>
      </c>
      <c r="U732" t="s">
        <v>137</v>
      </c>
      <c r="V732" t="s">
        <v>709</v>
      </c>
      <c r="W732"/>
      <c r="X732" t="s">
        <v>73</v>
      </c>
      <c r="Y732"/>
      <c r="Z732"/>
      <c r="AA732" t="s">
        <v>1884</v>
      </c>
      <c r="AB732" t="s">
        <v>3</v>
      </c>
      <c r="AC732" t="s">
        <v>138</v>
      </c>
      <c r="AD732" t="s">
        <v>128</v>
      </c>
      <c r="AE732" s="97"/>
    </row>
    <row r="733" spans="1:31" ht="14.4" customHeight="1" x14ac:dyDescent="0.3">
      <c r="A733" t="s">
        <v>2067</v>
      </c>
      <c r="B733" t="s">
        <v>2068</v>
      </c>
      <c r="C733"/>
      <c r="D733"/>
      <c r="E733"/>
      <c r="F733"/>
      <c r="G733" t="s">
        <v>1883</v>
      </c>
      <c r="H733" t="s">
        <v>132</v>
      </c>
      <c r="I733" t="s">
        <v>1</v>
      </c>
      <c r="J733" t="s">
        <v>133</v>
      </c>
      <c r="K733" t="s">
        <v>51</v>
      </c>
      <c r="L733" t="s">
        <v>2063</v>
      </c>
      <c r="M733" t="s">
        <v>134</v>
      </c>
      <c r="N733" t="s">
        <v>135</v>
      </c>
      <c r="O733"/>
      <c r="P733"/>
      <c r="Q733" t="s">
        <v>140</v>
      </c>
      <c r="R733"/>
      <c r="S733"/>
      <c r="T733" t="s">
        <v>2064</v>
      </c>
      <c r="U733" t="s">
        <v>137</v>
      </c>
      <c r="V733" t="s">
        <v>715</v>
      </c>
      <c r="W733"/>
      <c r="X733" t="s">
        <v>82</v>
      </c>
      <c r="Y733"/>
      <c r="Z733"/>
      <c r="AA733" t="s">
        <v>1884</v>
      </c>
      <c r="AB733" t="s">
        <v>3</v>
      </c>
      <c r="AC733" t="s">
        <v>138</v>
      </c>
      <c r="AD733" t="s">
        <v>129</v>
      </c>
      <c r="AE733" s="97"/>
    </row>
    <row r="734" spans="1:31" ht="14.4" customHeight="1" x14ac:dyDescent="0.3">
      <c r="A734" t="s">
        <v>2069</v>
      </c>
      <c r="B734" t="s">
        <v>2070</v>
      </c>
      <c r="C734"/>
      <c r="D734"/>
      <c r="E734"/>
      <c r="F734"/>
      <c r="G734" t="s">
        <v>1883</v>
      </c>
      <c r="H734" t="s">
        <v>132</v>
      </c>
      <c r="I734" t="s">
        <v>1</v>
      </c>
      <c r="J734" t="s">
        <v>133</v>
      </c>
      <c r="K734" t="s">
        <v>51</v>
      </c>
      <c r="L734" t="s">
        <v>2063</v>
      </c>
      <c r="M734" t="s">
        <v>134</v>
      </c>
      <c r="N734" t="s">
        <v>135</v>
      </c>
      <c r="O734"/>
      <c r="P734"/>
      <c r="Q734" t="s">
        <v>140</v>
      </c>
      <c r="R734"/>
      <c r="S734"/>
      <c r="T734" t="s">
        <v>2064</v>
      </c>
      <c r="U734" t="s">
        <v>137</v>
      </c>
      <c r="V734" t="s">
        <v>721</v>
      </c>
      <c r="W734"/>
      <c r="X734" t="s">
        <v>91</v>
      </c>
      <c r="Y734"/>
      <c r="Z734"/>
      <c r="AA734" t="s">
        <v>1884</v>
      </c>
      <c r="AB734" t="s">
        <v>3</v>
      </c>
      <c r="AC734" t="s">
        <v>138</v>
      </c>
      <c r="AD734" t="s">
        <v>129</v>
      </c>
      <c r="AE734" s="97"/>
    </row>
    <row r="735" spans="1:31" ht="14.4" customHeight="1" x14ac:dyDescent="0.3">
      <c r="A735" t="s">
        <v>2071</v>
      </c>
      <c r="B735" t="s">
        <v>2072</v>
      </c>
      <c r="C735"/>
      <c r="D735"/>
      <c r="E735"/>
      <c r="F735"/>
      <c r="G735" t="s">
        <v>1883</v>
      </c>
      <c r="H735" t="s">
        <v>132</v>
      </c>
      <c r="I735" t="s">
        <v>1</v>
      </c>
      <c r="J735" t="s">
        <v>133</v>
      </c>
      <c r="K735" t="s">
        <v>51</v>
      </c>
      <c r="L735" t="s">
        <v>2063</v>
      </c>
      <c r="M735" t="s">
        <v>134</v>
      </c>
      <c r="N735" t="s">
        <v>135</v>
      </c>
      <c r="O735"/>
      <c r="P735"/>
      <c r="Q735" t="s">
        <v>140</v>
      </c>
      <c r="R735"/>
      <c r="S735"/>
      <c r="T735" t="s">
        <v>2064</v>
      </c>
      <c r="U735" t="s">
        <v>137</v>
      </c>
      <c r="V735" t="s">
        <v>727</v>
      </c>
      <c r="W735"/>
      <c r="X735" t="s">
        <v>100</v>
      </c>
      <c r="Y735"/>
      <c r="Z735"/>
      <c r="AA735" t="s">
        <v>1884</v>
      </c>
      <c r="AB735" t="s">
        <v>3</v>
      </c>
      <c r="AC735" t="s">
        <v>138</v>
      </c>
      <c r="AD735" t="s">
        <v>129</v>
      </c>
      <c r="AE735" s="97"/>
    </row>
    <row r="736" spans="1:31" ht="14.4" customHeight="1" x14ac:dyDescent="0.3">
      <c r="A736" t="s">
        <v>2073</v>
      </c>
      <c r="B736" t="s">
        <v>2074</v>
      </c>
      <c r="C736"/>
      <c r="D736"/>
      <c r="E736"/>
      <c r="F736"/>
      <c r="G736" t="s">
        <v>1883</v>
      </c>
      <c r="H736" t="s">
        <v>132</v>
      </c>
      <c r="I736" t="s">
        <v>1</v>
      </c>
      <c r="J736" t="s">
        <v>133</v>
      </c>
      <c r="K736" t="s">
        <v>51</v>
      </c>
      <c r="L736" t="s">
        <v>2063</v>
      </c>
      <c r="M736" t="s">
        <v>134</v>
      </c>
      <c r="N736" t="s">
        <v>135</v>
      </c>
      <c r="O736"/>
      <c r="P736"/>
      <c r="Q736" t="s">
        <v>140</v>
      </c>
      <c r="R736"/>
      <c r="S736"/>
      <c r="T736" t="s">
        <v>2064</v>
      </c>
      <c r="U736" t="s">
        <v>137</v>
      </c>
      <c r="V736" t="s">
        <v>733</v>
      </c>
      <c r="W736"/>
      <c r="X736" t="s">
        <v>109</v>
      </c>
      <c r="Y736"/>
      <c r="Z736"/>
      <c r="AA736" t="s">
        <v>1884</v>
      </c>
      <c r="AB736" t="s">
        <v>3</v>
      </c>
      <c r="AC736" t="s">
        <v>138</v>
      </c>
      <c r="AD736" t="s">
        <v>129</v>
      </c>
      <c r="AE736" s="97"/>
    </row>
    <row r="737" spans="1:31" ht="14.4" customHeight="1" x14ac:dyDescent="0.3">
      <c r="A737" t="s">
        <v>2075</v>
      </c>
      <c r="B737" t="s">
        <v>2076</v>
      </c>
      <c r="C737"/>
      <c r="D737"/>
      <c r="E737"/>
      <c r="F737"/>
      <c r="G737" t="s">
        <v>1883</v>
      </c>
      <c r="H737" t="s">
        <v>132</v>
      </c>
      <c r="I737" t="s">
        <v>1</v>
      </c>
      <c r="J737" t="s">
        <v>133</v>
      </c>
      <c r="K737" t="s">
        <v>51</v>
      </c>
      <c r="L737" t="s">
        <v>2063</v>
      </c>
      <c r="M737" t="s">
        <v>134</v>
      </c>
      <c r="N737" t="s">
        <v>135</v>
      </c>
      <c r="O737"/>
      <c r="P737"/>
      <c r="Q737" t="s">
        <v>140</v>
      </c>
      <c r="R737"/>
      <c r="S737"/>
      <c r="T737" t="s">
        <v>2064</v>
      </c>
      <c r="U737" t="s">
        <v>137</v>
      </c>
      <c r="V737" t="s">
        <v>739</v>
      </c>
      <c r="W737"/>
      <c r="X737" t="s">
        <v>118</v>
      </c>
      <c r="Y737"/>
      <c r="Z737"/>
      <c r="AA737" t="s">
        <v>1884</v>
      </c>
      <c r="AB737" t="s">
        <v>3</v>
      </c>
      <c r="AC737" t="s">
        <v>138</v>
      </c>
      <c r="AD737" t="s">
        <v>130</v>
      </c>
      <c r="AE737" s="97"/>
    </row>
    <row r="738" spans="1:31" ht="14.4" customHeight="1" x14ac:dyDescent="0.3">
      <c r="A738" t="s">
        <v>2077</v>
      </c>
      <c r="B738" t="s">
        <v>2078</v>
      </c>
      <c r="C738"/>
      <c r="D738"/>
      <c r="E738"/>
      <c r="F738"/>
      <c r="G738" t="s">
        <v>1883</v>
      </c>
      <c r="H738" t="s">
        <v>132</v>
      </c>
      <c r="I738" t="s">
        <v>1</v>
      </c>
      <c r="J738" t="s">
        <v>133</v>
      </c>
      <c r="K738" t="s">
        <v>51</v>
      </c>
      <c r="L738" t="s">
        <v>2063</v>
      </c>
      <c r="M738" t="s">
        <v>134</v>
      </c>
      <c r="N738" t="s">
        <v>135</v>
      </c>
      <c r="O738"/>
      <c r="P738"/>
      <c r="Q738" t="s">
        <v>140</v>
      </c>
      <c r="R738"/>
      <c r="S738"/>
      <c r="T738" t="s">
        <v>2079</v>
      </c>
      <c r="U738" t="s">
        <v>137</v>
      </c>
      <c r="V738" t="s">
        <v>703</v>
      </c>
      <c r="W738"/>
      <c r="X738" t="s">
        <v>62</v>
      </c>
      <c r="Y738"/>
      <c r="Z738"/>
      <c r="AA738" t="s">
        <v>1884</v>
      </c>
      <c r="AB738" t="s">
        <v>3</v>
      </c>
      <c r="AC738" t="s">
        <v>138</v>
      </c>
      <c r="AD738" t="s">
        <v>128</v>
      </c>
      <c r="AE738" s="97"/>
    </row>
    <row r="739" spans="1:31" ht="14.4" customHeight="1" x14ac:dyDescent="0.3">
      <c r="A739" t="s">
        <v>2080</v>
      </c>
      <c r="B739" t="s">
        <v>2081</v>
      </c>
      <c r="C739"/>
      <c r="D739"/>
      <c r="E739"/>
      <c r="F739"/>
      <c r="G739" t="s">
        <v>1883</v>
      </c>
      <c r="H739" t="s">
        <v>132</v>
      </c>
      <c r="I739" t="s">
        <v>1</v>
      </c>
      <c r="J739" t="s">
        <v>133</v>
      </c>
      <c r="K739" t="s">
        <v>51</v>
      </c>
      <c r="L739" t="s">
        <v>2063</v>
      </c>
      <c r="M739" t="s">
        <v>134</v>
      </c>
      <c r="N739" t="s">
        <v>135</v>
      </c>
      <c r="O739"/>
      <c r="P739"/>
      <c r="Q739" t="s">
        <v>140</v>
      </c>
      <c r="R739"/>
      <c r="S739"/>
      <c r="T739" t="s">
        <v>2079</v>
      </c>
      <c r="U739" t="s">
        <v>137</v>
      </c>
      <c r="V739" t="s">
        <v>709</v>
      </c>
      <c r="W739"/>
      <c r="X739" t="s">
        <v>73</v>
      </c>
      <c r="Y739"/>
      <c r="Z739"/>
      <c r="AA739" t="s">
        <v>1884</v>
      </c>
      <c r="AB739" t="s">
        <v>3</v>
      </c>
      <c r="AC739" t="s">
        <v>138</v>
      </c>
      <c r="AD739" t="s">
        <v>128</v>
      </c>
      <c r="AE739" s="97"/>
    </row>
    <row r="740" spans="1:31" ht="14.4" customHeight="1" x14ac:dyDescent="0.3">
      <c r="A740" t="s">
        <v>2082</v>
      </c>
      <c r="B740" t="s">
        <v>2083</v>
      </c>
      <c r="C740"/>
      <c r="D740"/>
      <c r="E740"/>
      <c r="F740"/>
      <c r="G740" t="s">
        <v>1883</v>
      </c>
      <c r="H740" t="s">
        <v>132</v>
      </c>
      <c r="I740" t="s">
        <v>1</v>
      </c>
      <c r="J740" t="s">
        <v>133</v>
      </c>
      <c r="K740" t="s">
        <v>51</v>
      </c>
      <c r="L740" t="s">
        <v>2063</v>
      </c>
      <c r="M740" t="s">
        <v>134</v>
      </c>
      <c r="N740" t="s">
        <v>135</v>
      </c>
      <c r="O740"/>
      <c r="P740"/>
      <c r="Q740" t="s">
        <v>140</v>
      </c>
      <c r="R740"/>
      <c r="S740"/>
      <c r="T740" t="s">
        <v>2079</v>
      </c>
      <c r="U740" t="s">
        <v>137</v>
      </c>
      <c r="V740" t="s">
        <v>715</v>
      </c>
      <c r="W740"/>
      <c r="X740" t="s">
        <v>82</v>
      </c>
      <c r="Y740"/>
      <c r="Z740"/>
      <c r="AA740" t="s">
        <v>1884</v>
      </c>
      <c r="AB740" t="s">
        <v>3</v>
      </c>
      <c r="AC740" t="s">
        <v>138</v>
      </c>
      <c r="AD740" t="s">
        <v>129</v>
      </c>
      <c r="AE740" s="97"/>
    </row>
    <row r="741" spans="1:31" ht="14.4" customHeight="1" x14ac:dyDescent="0.3">
      <c r="A741" t="s">
        <v>2084</v>
      </c>
      <c r="B741" t="s">
        <v>2085</v>
      </c>
      <c r="C741"/>
      <c r="D741"/>
      <c r="E741"/>
      <c r="F741"/>
      <c r="G741" t="s">
        <v>1883</v>
      </c>
      <c r="H741" t="s">
        <v>132</v>
      </c>
      <c r="I741" t="s">
        <v>1</v>
      </c>
      <c r="J741" t="s">
        <v>133</v>
      </c>
      <c r="K741" t="s">
        <v>51</v>
      </c>
      <c r="L741" t="s">
        <v>2063</v>
      </c>
      <c r="M741" t="s">
        <v>134</v>
      </c>
      <c r="N741" t="s">
        <v>135</v>
      </c>
      <c r="O741"/>
      <c r="P741"/>
      <c r="Q741" t="s">
        <v>140</v>
      </c>
      <c r="R741"/>
      <c r="S741"/>
      <c r="T741" t="s">
        <v>2079</v>
      </c>
      <c r="U741" t="s">
        <v>137</v>
      </c>
      <c r="V741" t="s">
        <v>721</v>
      </c>
      <c r="W741"/>
      <c r="X741" t="s">
        <v>91</v>
      </c>
      <c r="Y741"/>
      <c r="Z741"/>
      <c r="AA741" t="s">
        <v>1884</v>
      </c>
      <c r="AB741" t="s">
        <v>3</v>
      </c>
      <c r="AC741" t="s">
        <v>138</v>
      </c>
      <c r="AD741" t="s">
        <v>129</v>
      </c>
      <c r="AE741" s="97"/>
    </row>
    <row r="742" spans="1:31" ht="14.4" customHeight="1" x14ac:dyDescent="0.3">
      <c r="A742" t="s">
        <v>2086</v>
      </c>
      <c r="B742" t="s">
        <v>2087</v>
      </c>
      <c r="C742"/>
      <c r="D742"/>
      <c r="E742"/>
      <c r="F742"/>
      <c r="G742" t="s">
        <v>1883</v>
      </c>
      <c r="H742" t="s">
        <v>132</v>
      </c>
      <c r="I742" t="s">
        <v>1</v>
      </c>
      <c r="J742" t="s">
        <v>133</v>
      </c>
      <c r="K742" t="s">
        <v>51</v>
      </c>
      <c r="L742" t="s">
        <v>2063</v>
      </c>
      <c r="M742" t="s">
        <v>134</v>
      </c>
      <c r="N742" t="s">
        <v>135</v>
      </c>
      <c r="O742"/>
      <c r="P742"/>
      <c r="Q742" t="s">
        <v>140</v>
      </c>
      <c r="R742"/>
      <c r="S742"/>
      <c r="T742" t="s">
        <v>2079</v>
      </c>
      <c r="U742" t="s">
        <v>137</v>
      </c>
      <c r="V742" t="s">
        <v>727</v>
      </c>
      <c r="W742"/>
      <c r="X742" t="s">
        <v>100</v>
      </c>
      <c r="Y742"/>
      <c r="Z742"/>
      <c r="AA742" t="s">
        <v>1884</v>
      </c>
      <c r="AB742" t="s">
        <v>3</v>
      </c>
      <c r="AC742" t="s">
        <v>138</v>
      </c>
      <c r="AD742" t="s">
        <v>129</v>
      </c>
      <c r="AE742" s="97"/>
    </row>
    <row r="743" spans="1:31" ht="14.4" customHeight="1" x14ac:dyDescent="0.3">
      <c r="A743" t="s">
        <v>2088</v>
      </c>
      <c r="B743" t="s">
        <v>2089</v>
      </c>
      <c r="C743"/>
      <c r="D743"/>
      <c r="E743"/>
      <c r="F743"/>
      <c r="G743" t="s">
        <v>1883</v>
      </c>
      <c r="H743" t="s">
        <v>132</v>
      </c>
      <c r="I743" t="s">
        <v>1</v>
      </c>
      <c r="J743" t="s">
        <v>133</v>
      </c>
      <c r="K743" t="s">
        <v>51</v>
      </c>
      <c r="L743" t="s">
        <v>2063</v>
      </c>
      <c r="M743" t="s">
        <v>134</v>
      </c>
      <c r="N743" t="s">
        <v>135</v>
      </c>
      <c r="O743"/>
      <c r="P743"/>
      <c r="Q743" t="s">
        <v>140</v>
      </c>
      <c r="R743"/>
      <c r="S743"/>
      <c r="T743" t="s">
        <v>2079</v>
      </c>
      <c r="U743" t="s">
        <v>137</v>
      </c>
      <c r="V743" t="s">
        <v>733</v>
      </c>
      <c r="W743"/>
      <c r="X743" t="s">
        <v>109</v>
      </c>
      <c r="Y743"/>
      <c r="Z743"/>
      <c r="AA743" t="s">
        <v>1884</v>
      </c>
      <c r="AB743" t="s">
        <v>3</v>
      </c>
      <c r="AC743" t="s">
        <v>138</v>
      </c>
      <c r="AD743" t="s">
        <v>129</v>
      </c>
      <c r="AE743" s="97"/>
    </row>
    <row r="744" spans="1:31" ht="14.4" customHeight="1" x14ac:dyDescent="0.3">
      <c r="A744" t="s">
        <v>2090</v>
      </c>
      <c r="B744" t="s">
        <v>2091</v>
      </c>
      <c r="C744"/>
      <c r="D744"/>
      <c r="E744"/>
      <c r="F744"/>
      <c r="G744" t="s">
        <v>1883</v>
      </c>
      <c r="H744" t="s">
        <v>132</v>
      </c>
      <c r="I744" t="s">
        <v>1</v>
      </c>
      <c r="J744" t="s">
        <v>133</v>
      </c>
      <c r="K744" t="s">
        <v>51</v>
      </c>
      <c r="L744" t="s">
        <v>2063</v>
      </c>
      <c r="M744" t="s">
        <v>134</v>
      </c>
      <c r="N744" t="s">
        <v>135</v>
      </c>
      <c r="O744"/>
      <c r="P744"/>
      <c r="Q744" t="s">
        <v>140</v>
      </c>
      <c r="R744"/>
      <c r="S744"/>
      <c r="T744" t="s">
        <v>2079</v>
      </c>
      <c r="U744" t="s">
        <v>137</v>
      </c>
      <c r="V744" t="s">
        <v>739</v>
      </c>
      <c r="W744"/>
      <c r="X744" t="s">
        <v>118</v>
      </c>
      <c r="Y744"/>
      <c r="Z744"/>
      <c r="AA744" t="s">
        <v>1884</v>
      </c>
      <c r="AB744" t="s">
        <v>3</v>
      </c>
      <c r="AC744" t="s">
        <v>138</v>
      </c>
      <c r="AD744" t="s">
        <v>130</v>
      </c>
      <c r="AE744" s="97"/>
    </row>
    <row r="745" spans="1:31" ht="14.4" customHeight="1" x14ac:dyDescent="0.3">
      <c r="A745" t="s">
        <v>2092</v>
      </c>
      <c r="B745" t="s">
        <v>2093</v>
      </c>
      <c r="C745"/>
      <c r="D745"/>
      <c r="E745"/>
      <c r="F745"/>
      <c r="G745" t="s">
        <v>1883</v>
      </c>
      <c r="H745" t="s">
        <v>132</v>
      </c>
      <c r="I745" t="s">
        <v>1</v>
      </c>
      <c r="J745" t="s">
        <v>133</v>
      </c>
      <c r="K745" t="s">
        <v>51</v>
      </c>
      <c r="L745" t="s">
        <v>2094</v>
      </c>
      <c r="M745" t="s">
        <v>134</v>
      </c>
      <c r="N745" t="s">
        <v>135</v>
      </c>
      <c r="O745"/>
      <c r="P745"/>
      <c r="Q745" t="s">
        <v>140</v>
      </c>
      <c r="R745"/>
      <c r="S745"/>
      <c r="T745" t="s">
        <v>2095</v>
      </c>
      <c r="U745" t="s">
        <v>137</v>
      </c>
      <c r="V745" t="s">
        <v>371</v>
      </c>
      <c r="W745"/>
      <c r="X745" t="s">
        <v>57</v>
      </c>
      <c r="Y745"/>
      <c r="Z745"/>
      <c r="AA745" t="s">
        <v>1884</v>
      </c>
      <c r="AB745" t="s">
        <v>3</v>
      </c>
      <c r="AC745" t="s">
        <v>138</v>
      </c>
      <c r="AD745" t="s">
        <v>128</v>
      </c>
      <c r="AE745" s="97"/>
    </row>
    <row r="746" spans="1:31" ht="14.4" customHeight="1" x14ac:dyDescent="0.3">
      <c r="A746" t="s">
        <v>2096</v>
      </c>
      <c r="B746" t="s">
        <v>2097</v>
      </c>
      <c r="C746"/>
      <c r="D746"/>
      <c r="E746"/>
      <c r="F746"/>
      <c r="G746" t="s">
        <v>1883</v>
      </c>
      <c r="H746" t="s">
        <v>132</v>
      </c>
      <c r="I746" t="s">
        <v>1</v>
      </c>
      <c r="J746" t="s">
        <v>133</v>
      </c>
      <c r="K746" t="s">
        <v>51</v>
      </c>
      <c r="L746" t="s">
        <v>2098</v>
      </c>
      <c r="M746" t="s">
        <v>134</v>
      </c>
      <c r="N746" t="s">
        <v>135</v>
      </c>
      <c r="O746"/>
      <c r="P746"/>
      <c r="Q746" t="s">
        <v>140</v>
      </c>
      <c r="R746"/>
      <c r="S746"/>
      <c r="T746" t="s">
        <v>1888</v>
      </c>
      <c r="U746" t="s">
        <v>137</v>
      </c>
      <c r="V746" t="s">
        <v>147</v>
      </c>
      <c r="W746"/>
      <c r="X746" t="s">
        <v>70</v>
      </c>
      <c r="Y746"/>
      <c r="Z746"/>
      <c r="AA746" t="s">
        <v>1884</v>
      </c>
      <c r="AB746" t="s">
        <v>3</v>
      </c>
      <c r="AC746" t="s">
        <v>138</v>
      </c>
      <c r="AD746" t="s">
        <v>128</v>
      </c>
      <c r="AE746" s="97"/>
    </row>
    <row r="747" spans="1:31" ht="14.4" customHeight="1" x14ac:dyDescent="0.3">
      <c r="A747" t="s">
        <v>2099</v>
      </c>
      <c r="B747" t="s">
        <v>2100</v>
      </c>
      <c r="C747"/>
      <c r="D747"/>
      <c r="E747"/>
      <c r="F747"/>
      <c r="G747" t="s">
        <v>1883</v>
      </c>
      <c r="H747" t="s">
        <v>132</v>
      </c>
      <c r="I747" t="s">
        <v>1</v>
      </c>
      <c r="J747" t="s">
        <v>133</v>
      </c>
      <c r="K747" t="s">
        <v>51</v>
      </c>
      <c r="L747" t="s">
        <v>2098</v>
      </c>
      <c r="M747" t="s">
        <v>134</v>
      </c>
      <c r="N747" t="s">
        <v>135</v>
      </c>
      <c r="O747"/>
      <c r="P747"/>
      <c r="Q747" t="s">
        <v>140</v>
      </c>
      <c r="R747"/>
      <c r="S747"/>
      <c r="T747" t="s">
        <v>1892</v>
      </c>
      <c r="U747" t="s">
        <v>137</v>
      </c>
      <c r="V747" t="s">
        <v>150</v>
      </c>
      <c r="W747"/>
      <c r="X747" t="s">
        <v>76</v>
      </c>
      <c r="Y747"/>
      <c r="Z747"/>
      <c r="AA747" t="s">
        <v>1884</v>
      </c>
      <c r="AB747" t="s">
        <v>3</v>
      </c>
      <c r="AC747" t="s">
        <v>138</v>
      </c>
      <c r="AD747" t="s">
        <v>128</v>
      </c>
      <c r="AE747" s="97"/>
    </row>
    <row r="748" spans="1:31" ht="14.4" customHeight="1" x14ac:dyDescent="0.3">
      <c r="A748" t="s">
        <v>2101</v>
      </c>
      <c r="B748" t="s">
        <v>2102</v>
      </c>
      <c r="C748"/>
      <c r="D748"/>
      <c r="E748"/>
      <c r="F748"/>
      <c r="G748" t="s">
        <v>1883</v>
      </c>
      <c r="H748" t="s">
        <v>132</v>
      </c>
      <c r="I748" t="s">
        <v>1</v>
      </c>
      <c r="J748" t="s">
        <v>133</v>
      </c>
      <c r="K748" t="s">
        <v>51</v>
      </c>
      <c r="L748" t="s">
        <v>2098</v>
      </c>
      <c r="M748" t="s">
        <v>134</v>
      </c>
      <c r="N748" t="s">
        <v>135</v>
      </c>
      <c r="O748"/>
      <c r="P748"/>
      <c r="Q748" t="s">
        <v>140</v>
      </c>
      <c r="R748"/>
      <c r="S748"/>
      <c r="T748" t="s">
        <v>1896</v>
      </c>
      <c r="U748" t="s">
        <v>137</v>
      </c>
      <c r="V748" t="s">
        <v>153</v>
      </c>
      <c r="W748"/>
      <c r="X748" t="s">
        <v>88</v>
      </c>
      <c r="Y748"/>
      <c r="Z748"/>
      <c r="AA748" t="s">
        <v>1884</v>
      </c>
      <c r="AB748" t="s">
        <v>3</v>
      </c>
      <c r="AC748" t="s">
        <v>138</v>
      </c>
      <c r="AD748" t="s">
        <v>129</v>
      </c>
      <c r="AE748" s="97"/>
    </row>
    <row r="749" spans="1:31" ht="14.4" customHeight="1" x14ac:dyDescent="0.3">
      <c r="A749" t="s">
        <v>2103</v>
      </c>
      <c r="B749" t="s">
        <v>2104</v>
      </c>
      <c r="C749"/>
      <c r="D749"/>
      <c r="E749"/>
      <c r="F749"/>
      <c r="G749" t="s">
        <v>1883</v>
      </c>
      <c r="H749" t="s">
        <v>132</v>
      </c>
      <c r="I749" t="s">
        <v>1</v>
      </c>
      <c r="J749" t="s">
        <v>133</v>
      </c>
      <c r="K749" t="s">
        <v>51</v>
      </c>
      <c r="L749" t="s">
        <v>2098</v>
      </c>
      <c r="M749" t="s">
        <v>134</v>
      </c>
      <c r="N749" t="s">
        <v>135</v>
      </c>
      <c r="O749"/>
      <c r="P749"/>
      <c r="Q749" t="s">
        <v>140</v>
      </c>
      <c r="R749"/>
      <c r="S749"/>
      <c r="T749" t="s">
        <v>1900</v>
      </c>
      <c r="U749" t="s">
        <v>137</v>
      </c>
      <c r="V749" t="s">
        <v>156</v>
      </c>
      <c r="W749"/>
      <c r="X749" t="s">
        <v>97</v>
      </c>
      <c r="Y749"/>
      <c r="Z749"/>
      <c r="AA749" t="s">
        <v>1884</v>
      </c>
      <c r="AB749" t="s">
        <v>3</v>
      </c>
      <c r="AC749" t="s">
        <v>138</v>
      </c>
      <c r="AD749" t="s">
        <v>129</v>
      </c>
      <c r="AE749" s="97"/>
    </row>
    <row r="750" spans="1:31" ht="14.4" customHeight="1" x14ac:dyDescent="0.3">
      <c r="A750" t="s">
        <v>2105</v>
      </c>
      <c r="B750" t="s">
        <v>2106</v>
      </c>
      <c r="C750"/>
      <c r="D750"/>
      <c r="E750"/>
      <c r="F750"/>
      <c r="G750" t="s">
        <v>1883</v>
      </c>
      <c r="H750" t="s">
        <v>132</v>
      </c>
      <c r="I750" t="s">
        <v>1</v>
      </c>
      <c r="J750" t="s">
        <v>133</v>
      </c>
      <c r="K750" t="s">
        <v>51</v>
      </c>
      <c r="L750" t="s">
        <v>2098</v>
      </c>
      <c r="M750" t="s">
        <v>134</v>
      </c>
      <c r="N750" t="s">
        <v>135</v>
      </c>
      <c r="O750"/>
      <c r="P750"/>
      <c r="Q750" t="s">
        <v>140</v>
      </c>
      <c r="R750"/>
      <c r="S750"/>
      <c r="T750" t="s">
        <v>1904</v>
      </c>
      <c r="U750" t="s">
        <v>137</v>
      </c>
      <c r="V750" t="s">
        <v>159</v>
      </c>
      <c r="W750"/>
      <c r="X750" t="s">
        <v>106</v>
      </c>
      <c r="Y750"/>
      <c r="Z750"/>
      <c r="AA750" t="s">
        <v>1884</v>
      </c>
      <c r="AB750" t="s">
        <v>3</v>
      </c>
      <c r="AC750" t="s">
        <v>138</v>
      </c>
      <c r="AD750" t="s">
        <v>129</v>
      </c>
      <c r="AE750" s="97"/>
    </row>
    <row r="751" spans="1:31" ht="14.4" customHeight="1" x14ac:dyDescent="0.3">
      <c r="A751" t="s">
        <v>2107</v>
      </c>
      <c r="B751" t="s">
        <v>2108</v>
      </c>
      <c r="C751"/>
      <c r="D751"/>
      <c r="E751"/>
      <c r="F751"/>
      <c r="G751" t="s">
        <v>1883</v>
      </c>
      <c r="H751" t="s">
        <v>132</v>
      </c>
      <c r="I751" t="s">
        <v>1</v>
      </c>
      <c r="J751" t="s">
        <v>133</v>
      </c>
      <c r="K751" t="s">
        <v>51</v>
      </c>
      <c r="L751" t="s">
        <v>2098</v>
      </c>
      <c r="M751" t="s">
        <v>134</v>
      </c>
      <c r="N751" t="s">
        <v>135</v>
      </c>
      <c r="O751"/>
      <c r="P751"/>
      <c r="Q751" t="s">
        <v>140</v>
      </c>
      <c r="R751"/>
      <c r="S751"/>
      <c r="T751" t="s">
        <v>1908</v>
      </c>
      <c r="U751" t="s">
        <v>137</v>
      </c>
      <c r="V751" t="s">
        <v>162</v>
      </c>
      <c r="W751"/>
      <c r="X751" t="s">
        <v>113</v>
      </c>
      <c r="Y751"/>
      <c r="Z751"/>
      <c r="AA751" t="s">
        <v>1884</v>
      </c>
      <c r="AB751" t="s">
        <v>3</v>
      </c>
      <c r="AC751" t="s">
        <v>138</v>
      </c>
      <c r="AD751" t="s">
        <v>129</v>
      </c>
      <c r="AE751" s="97"/>
    </row>
    <row r="752" spans="1:31" ht="14.4" customHeight="1" x14ac:dyDescent="0.3">
      <c r="A752" t="s">
        <v>2109</v>
      </c>
      <c r="B752" t="s">
        <v>2110</v>
      </c>
      <c r="C752"/>
      <c r="D752"/>
      <c r="E752"/>
      <c r="F752"/>
      <c r="G752" t="s">
        <v>1883</v>
      </c>
      <c r="H752" t="s">
        <v>132</v>
      </c>
      <c r="I752" t="s">
        <v>1</v>
      </c>
      <c r="J752" t="s">
        <v>133</v>
      </c>
      <c r="K752" t="s">
        <v>51</v>
      </c>
      <c r="L752" t="s">
        <v>2098</v>
      </c>
      <c r="M752" t="s">
        <v>134</v>
      </c>
      <c r="N752" t="s">
        <v>135</v>
      </c>
      <c r="O752"/>
      <c r="P752"/>
      <c r="Q752" t="s">
        <v>140</v>
      </c>
      <c r="R752"/>
      <c r="S752"/>
      <c r="T752" t="s">
        <v>1912</v>
      </c>
      <c r="U752" t="s">
        <v>137</v>
      </c>
      <c r="V752" t="s">
        <v>165</v>
      </c>
      <c r="W752"/>
      <c r="X752" t="s">
        <v>122</v>
      </c>
      <c r="Y752"/>
      <c r="Z752"/>
      <c r="AA752" t="s">
        <v>1884</v>
      </c>
      <c r="AB752" t="s">
        <v>3</v>
      </c>
      <c r="AC752" t="s">
        <v>138</v>
      </c>
      <c r="AD752" t="s">
        <v>130</v>
      </c>
      <c r="AE752" s="97"/>
    </row>
    <row r="753" spans="1:31" ht="14.4" customHeight="1" x14ac:dyDescent="0.3">
      <c r="A753" t="s">
        <v>2111</v>
      </c>
      <c r="B753" t="s">
        <v>2112</v>
      </c>
      <c r="C753"/>
      <c r="D753"/>
      <c r="E753"/>
      <c r="F753"/>
      <c r="G753" t="s">
        <v>1883</v>
      </c>
      <c r="H753" t="s">
        <v>132</v>
      </c>
      <c r="I753" t="s">
        <v>1</v>
      </c>
      <c r="J753" t="s">
        <v>133</v>
      </c>
      <c r="K753" t="s">
        <v>51</v>
      </c>
      <c r="L753" t="s">
        <v>1935</v>
      </c>
      <c r="M753" t="s">
        <v>134</v>
      </c>
      <c r="N753" t="s">
        <v>135</v>
      </c>
      <c r="O753"/>
      <c r="P753"/>
      <c r="Q753" t="s">
        <v>140</v>
      </c>
      <c r="R753"/>
      <c r="S753"/>
      <c r="T753" t="s">
        <v>1936</v>
      </c>
      <c r="U753" t="s">
        <v>137</v>
      </c>
      <c r="V753" t="s">
        <v>676</v>
      </c>
      <c r="W753"/>
      <c r="X753" t="s">
        <v>119</v>
      </c>
      <c r="Y753"/>
      <c r="Z753"/>
      <c r="AA753" t="s">
        <v>1884</v>
      </c>
      <c r="AB753" t="s">
        <v>3</v>
      </c>
      <c r="AC753" t="s">
        <v>138</v>
      </c>
      <c r="AD753" t="s">
        <v>130</v>
      </c>
      <c r="AE753" s="97"/>
    </row>
    <row r="754" spans="1:31" ht="14.4" customHeight="1" x14ac:dyDescent="0.3">
      <c r="A754" t="s">
        <v>2113</v>
      </c>
      <c r="B754" t="s">
        <v>2114</v>
      </c>
      <c r="C754"/>
      <c r="D754"/>
      <c r="E754"/>
      <c r="F754"/>
      <c r="G754" t="s">
        <v>1883</v>
      </c>
      <c r="H754" t="s">
        <v>132</v>
      </c>
      <c r="I754" t="s">
        <v>1</v>
      </c>
      <c r="J754" t="s">
        <v>133</v>
      </c>
      <c r="K754" t="s">
        <v>51</v>
      </c>
      <c r="L754" t="s">
        <v>2115</v>
      </c>
      <c r="M754" t="s">
        <v>134</v>
      </c>
      <c r="N754" t="s">
        <v>135</v>
      </c>
      <c r="O754"/>
      <c r="P754"/>
      <c r="Q754" t="s">
        <v>140</v>
      </c>
      <c r="R754"/>
      <c r="S754"/>
      <c r="T754" t="s">
        <v>2047</v>
      </c>
      <c r="U754" t="s">
        <v>137</v>
      </c>
      <c r="V754" t="s">
        <v>1279</v>
      </c>
      <c r="W754"/>
      <c r="X754" t="s">
        <v>71</v>
      </c>
      <c r="Y754"/>
      <c r="Z754"/>
      <c r="AA754" t="s">
        <v>1884</v>
      </c>
      <c r="AB754" t="s">
        <v>3</v>
      </c>
      <c r="AC754" t="s">
        <v>138</v>
      </c>
      <c r="AD754" t="s">
        <v>128</v>
      </c>
      <c r="AE754" s="97"/>
    </row>
    <row r="755" spans="1:31" ht="14.4" customHeight="1" x14ac:dyDescent="0.3">
      <c r="A755" t="s">
        <v>2116</v>
      </c>
      <c r="B755" t="s">
        <v>2117</v>
      </c>
      <c r="C755"/>
      <c r="D755"/>
      <c r="E755"/>
      <c r="F755"/>
      <c r="G755" t="s">
        <v>1883</v>
      </c>
      <c r="H755" t="s">
        <v>132</v>
      </c>
      <c r="I755" t="s">
        <v>1</v>
      </c>
      <c r="J755" t="s">
        <v>133</v>
      </c>
      <c r="K755" t="s">
        <v>51</v>
      </c>
      <c r="L755" t="s">
        <v>2115</v>
      </c>
      <c r="M755" t="s">
        <v>134</v>
      </c>
      <c r="N755" t="s">
        <v>135</v>
      </c>
      <c r="O755"/>
      <c r="P755"/>
      <c r="Q755" t="s">
        <v>140</v>
      </c>
      <c r="R755"/>
      <c r="S755"/>
      <c r="T755" t="s">
        <v>2047</v>
      </c>
      <c r="U755" t="s">
        <v>137</v>
      </c>
      <c r="V755" t="s">
        <v>1283</v>
      </c>
      <c r="W755"/>
      <c r="X755" t="s">
        <v>78</v>
      </c>
      <c r="Y755"/>
      <c r="Z755"/>
      <c r="AA755" t="s">
        <v>1884</v>
      </c>
      <c r="AB755" t="s">
        <v>3</v>
      </c>
      <c r="AC755" t="s">
        <v>138</v>
      </c>
      <c r="AD755" t="s">
        <v>128</v>
      </c>
      <c r="AE755" s="97"/>
    </row>
    <row r="756" spans="1:31" ht="14.4" customHeight="1" x14ac:dyDescent="0.3">
      <c r="A756" t="s">
        <v>2118</v>
      </c>
      <c r="B756" t="s">
        <v>2119</v>
      </c>
      <c r="C756"/>
      <c r="D756"/>
      <c r="E756"/>
      <c r="F756"/>
      <c r="G756" t="s">
        <v>1883</v>
      </c>
      <c r="H756" t="s">
        <v>132</v>
      </c>
      <c r="I756" t="s">
        <v>1</v>
      </c>
      <c r="J756" t="s">
        <v>133</v>
      </c>
      <c r="K756" t="s">
        <v>51</v>
      </c>
      <c r="L756" t="s">
        <v>2115</v>
      </c>
      <c r="M756" t="s">
        <v>134</v>
      </c>
      <c r="N756" t="s">
        <v>135</v>
      </c>
      <c r="O756"/>
      <c r="P756"/>
      <c r="Q756" t="s">
        <v>140</v>
      </c>
      <c r="R756"/>
      <c r="S756"/>
      <c r="T756" t="s">
        <v>2047</v>
      </c>
      <c r="U756" t="s">
        <v>137</v>
      </c>
      <c r="V756" t="s">
        <v>1287</v>
      </c>
      <c r="W756"/>
      <c r="X756" t="s">
        <v>89</v>
      </c>
      <c r="Y756"/>
      <c r="Z756"/>
      <c r="AA756" t="s">
        <v>1884</v>
      </c>
      <c r="AB756" t="s">
        <v>3</v>
      </c>
      <c r="AC756" t="s">
        <v>138</v>
      </c>
      <c r="AD756" t="s">
        <v>129</v>
      </c>
      <c r="AE756" s="97"/>
    </row>
    <row r="757" spans="1:31" ht="14.4" customHeight="1" x14ac:dyDescent="0.3">
      <c r="A757" t="s">
        <v>2120</v>
      </c>
      <c r="B757" t="s">
        <v>2121</v>
      </c>
      <c r="C757"/>
      <c r="D757"/>
      <c r="E757"/>
      <c r="F757"/>
      <c r="G757" t="s">
        <v>1883</v>
      </c>
      <c r="H757" t="s">
        <v>132</v>
      </c>
      <c r="I757" t="s">
        <v>1</v>
      </c>
      <c r="J757" t="s">
        <v>133</v>
      </c>
      <c r="K757" t="s">
        <v>51</v>
      </c>
      <c r="L757" t="s">
        <v>2115</v>
      </c>
      <c r="M757" t="s">
        <v>134</v>
      </c>
      <c r="N757" t="s">
        <v>135</v>
      </c>
      <c r="O757"/>
      <c r="P757"/>
      <c r="Q757" t="s">
        <v>140</v>
      </c>
      <c r="R757"/>
      <c r="S757"/>
      <c r="T757" t="s">
        <v>2047</v>
      </c>
      <c r="U757" t="s">
        <v>137</v>
      </c>
      <c r="V757" t="s">
        <v>1291</v>
      </c>
      <c r="W757"/>
      <c r="X757" t="s">
        <v>98</v>
      </c>
      <c r="Y757"/>
      <c r="Z757"/>
      <c r="AA757" t="s">
        <v>1884</v>
      </c>
      <c r="AB757" t="s">
        <v>3</v>
      </c>
      <c r="AC757" t="s">
        <v>138</v>
      </c>
      <c r="AD757" t="s">
        <v>129</v>
      </c>
      <c r="AE757" s="97"/>
    </row>
    <row r="758" spans="1:31" ht="14.4" customHeight="1" x14ac:dyDescent="0.3">
      <c r="A758" t="s">
        <v>2122</v>
      </c>
      <c r="B758" t="s">
        <v>2123</v>
      </c>
      <c r="C758"/>
      <c r="D758"/>
      <c r="E758"/>
      <c r="F758"/>
      <c r="G758" t="s">
        <v>1883</v>
      </c>
      <c r="H758" t="s">
        <v>132</v>
      </c>
      <c r="I758" t="s">
        <v>1</v>
      </c>
      <c r="J758" t="s">
        <v>133</v>
      </c>
      <c r="K758" t="s">
        <v>51</v>
      </c>
      <c r="L758" t="s">
        <v>2115</v>
      </c>
      <c r="M758" t="s">
        <v>134</v>
      </c>
      <c r="N758" t="s">
        <v>135</v>
      </c>
      <c r="O758"/>
      <c r="P758"/>
      <c r="Q758" t="s">
        <v>140</v>
      </c>
      <c r="R758"/>
      <c r="S758"/>
      <c r="T758" t="s">
        <v>2056</v>
      </c>
      <c r="U758" t="s">
        <v>137</v>
      </c>
      <c r="V758" t="s">
        <v>1295</v>
      </c>
      <c r="W758"/>
      <c r="X758" t="s">
        <v>107</v>
      </c>
      <c r="Y758"/>
      <c r="Z758"/>
      <c r="AA758" t="s">
        <v>1884</v>
      </c>
      <c r="AB758" t="s">
        <v>3</v>
      </c>
      <c r="AC758" t="s">
        <v>138</v>
      </c>
      <c r="AD758" t="s">
        <v>129</v>
      </c>
      <c r="AE758" s="97"/>
    </row>
    <row r="759" spans="1:31" ht="14.4" customHeight="1" x14ac:dyDescent="0.3">
      <c r="A759" t="s">
        <v>2124</v>
      </c>
      <c r="B759" t="s">
        <v>2125</v>
      </c>
      <c r="C759"/>
      <c r="D759"/>
      <c r="E759"/>
      <c r="F759"/>
      <c r="G759" t="s">
        <v>1883</v>
      </c>
      <c r="H759" t="s">
        <v>132</v>
      </c>
      <c r="I759" t="s">
        <v>1</v>
      </c>
      <c r="J759" t="s">
        <v>133</v>
      </c>
      <c r="K759" t="s">
        <v>51</v>
      </c>
      <c r="L759" t="s">
        <v>2115</v>
      </c>
      <c r="M759" t="s">
        <v>134</v>
      </c>
      <c r="N759" t="s">
        <v>135</v>
      </c>
      <c r="O759"/>
      <c r="P759"/>
      <c r="Q759" t="s">
        <v>140</v>
      </c>
      <c r="R759"/>
      <c r="S759"/>
      <c r="T759" t="s">
        <v>2056</v>
      </c>
      <c r="U759" t="s">
        <v>137</v>
      </c>
      <c r="V759" t="s">
        <v>1299</v>
      </c>
      <c r="W759"/>
      <c r="X759" t="s">
        <v>114</v>
      </c>
      <c r="Y759"/>
      <c r="Z759"/>
      <c r="AA759" t="s">
        <v>1884</v>
      </c>
      <c r="AB759" t="s">
        <v>3</v>
      </c>
      <c r="AC759" t="s">
        <v>138</v>
      </c>
      <c r="AD759" t="s">
        <v>129</v>
      </c>
      <c r="AE759" s="97"/>
    </row>
    <row r="760" spans="1:31" ht="14.4" customHeight="1" x14ac:dyDescent="0.3">
      <c r="A760" t="s">
        <v>2126</v>
      </c>
      <c r="B760" t="s">
        <v>2127</v>
      </c>
      <c r="C760"/>
      <c r="D760"/>
      <c r="E760"/>
      <c r="F760"/>
      <c r="G760" t="s">
        <v>1883</v>
      </c>
      <c r="H760" t="s">
        <v>132</v>
      </c>
      <c r="I760" t="s">
        <v>1</v>
      </c>
      <c r="J760" t="s">
        <v>133</v>
      </c>
      <c r="K760" t="s">
        <v>51</v>
      </c>
      <c r="L760" t="s">
        <v>2115</v>
      </c>
      <c r="M760" t="s">
        <v>134</v>
      </c>
      <c r="N760" t="s">
        <v>135</v>
      </c>
      <c r="O760"/>
      <c r="P760"/>
      <c r="Q760" t="s">
        <v>140</v>
      </c>
      <c r="R760"/>
      <c r="S760"/>
      <c r="T760" t="s">
        <v>2056</v>
      </c>
      <c r="U760" t="s">
        <v>137</v>
      </c>
      <c r="V760" t="s">
        <v>1303</v>
      </c>
      <c r="W760"/>
      <c r="X760" t="s">
        <v>123</v>
      </c>
      <c r="Y760"/>
      <c r="Z760"/>
      <c r="AA760" t="s">
        <v>1884</v>
      </c>
      <c r="AB760" t="s">
        <v>3</v>
      </c>
      <c r="AC760" t="s">
        <v>138</v>
      </c>
      <c r="AD760" t="s">
        <v>130</v>
      </c>
      <c r="AE760" s="97"/>
    </row>
    <row r="761" spans="1:31" ht="14.4" customHeight="1" x14ac:dyDescent="0.3">
      <c r="A761" t="s">
        <v>2129</v>
      </c>
      <c r="B761" t="s">
        <v>2130</v>
      </c>
      <c r="C761"/>
      <c r="D761"/>
      <c r="E761"/>
      <c r="F761"/>
      <c r="G761" t="s">
        <v>1883</v>
      </c>
      <c r="H761" t="s">
        <v>132</v>
      </c>
      <c r="I761" t="s">
        <v>1</v>
      </c>
      <c r="J761" t="s">
        <v>133</v>
      </c>
      <c r="K761" t="s">
        <v>51</v>
      </c>
      <c r="L761" t="s">
        <v>2131</v>
      </c>
      <c r="M761" t="s">
        <v>134</v>
      </c>
      <c r="N761" t="s">
        <v>135</v>
      </c>
      <c r="O761"/>
      <c r="P761"/>
      <c r="Q761" t="s">
        <v>140</v>
      </c>
      <c r="R761"/>
      <c r="S761"/>
      <c r="T761" t="s">
        <v>2132</v>
      </c>
      <c r="U761" t="s">
        <v>137</v>
      </c>
      <c r="V761" t="s">
        <v>1259</v>
      </c>
      <c r="W761"/>
      <c r="X761" t="s">
        <v>126</v>
      </c>
      <c r="Y761"/>
      <c r="Z761"/>
      <c r="AA761" t="s">
        <v>1884</v>
      </c>
      <c r="AB761" t="s">
        <v>3</v>
      </c>
      <c r="AC761" t="s">
        <v>138</v>
      </c>
      <c r="AD761" t="s">
        <v>131</v>
      </c>
      <c r="AE761" s="97"/>
    </row>
    <row r="762" spans="1:31" ht="14.4" customHeight="1" x14ac:dyDescent="0.3">
      <c r="A762" t="s">
        <v>2133</v>
      </c>
      <c r="B762" t="s">
        <v>2134</v>
      </c>
      <c r="C762"/>
      <c r="D762"/>
      <c r="E762"/>
      <c r="F762"/>
      <c r="G762" t="s">
        <v>1883</v>
      </c>
      <c r="H762" t="s">
        <v>132</v>
      </c>
      <c r="I762" t="s">
        <v>1</v>
      </c>
      <c r="J762" t="s">
        <v>133</v>
      </c>
      <c r="K762" t="s">
        <v>51</v>
      </c>
      <c r="L762" t="s">
        <v>2135</v>
      </c>
      <c r="M762" t="s">
        <v>134</v>
      </c>
      <c r="N762" t="s">
        <v>135</v>
      </c>
      <c r="O762"/>
      <c r="P762"/>
      <c r="Q762" t="s">
        <v>140</v>
      </c>
      <c r="R762"/>
      <c r="S762"/>
      <c r="T762" t="s">
        <v>2136</v>
      </c>
      <c r="U762" t="s">
        <v>137</v>
      </c>
      <c r="V762" t="s">
        <v>1263</v>
      </c>
      <c r="W762"/>
      <c r="X762" t="s">
        <v>69</v>
      </c>
      <c r="Y762"/>
      <c r="Z762"/>
      <c r="AA762" t="s">
        <v>1884</v>
      </c>
      <c r="AB762" t="s">
        <v>3</v>
      </c>
      <c r="AC762" t="s">
        <v>138</v>
      </c>
      <c r="AD762" t="s">
        <v>128</v>
      </c>
      <c r="AE762" s="97"/>
    </row>
    <row r="763" spans="1:31" ht="14.4" customHeight="1" x14ac:dyDescent="0.3">
      <c r="A763" t="s">
        <v>2137</v>
      </c>
      <c r="B763" t="s">
        <v>2138</v>
      </c>
      <c r="C763"/>
      <c r="D763"/>
      <c r="E763"/>
      <c r="F763"/>
      <c r="G763" t="s">
        <v>1883</v>
      </c>
      <c r="H763" t="s">
        <v>132</v>
      </c>
      <c r="I763" t="s">
        <v>1</v>
      </c>
      <c r="J763" t="s">
        <v>133</v>
      </c>
      <c r="K763" t="s">
        <v>51</v>
      </c>
      <c r="L763" t="s">
        <v>2139</v>
      </c>
      <c r="M763" t="s">
        <v>134</v>
      </c>
      <c r="N763" t="s">
        <v>135</v>
      </c>
      <c r="O763"/>
      <c r="P763"/>
      <c r="Q763" t="s">
        <v>140</v>
      </c>
      <c r="R763"/>
      <c r="S763"/>
      <c r="T763" t="s">
        <v>1936</v>
      </c>
      <c r="U763" t="s">
        <v>137</v>
      </c>
      <c r="V763" t="s">
        <v>640</v>
      </c>
      <c r="W763"/>
      <c r="X763" t="s">
        <v>66</v>
      </c>
      <c r="Y763"/>
      <c r="Z763"/>
      <c r="AA763" t="s">
        <v>1884</v>
      </c>
      <c r="AB763" t="s">
        <v>3</v>
      </c>
      <c r="AC763" t="s">
        <v>138</v>
      </c>
      <c r="AD763" t="s">
        <v>128</v>
      </c>
      <c r="AE763" s="97"/>
    </row>
    <row r="764" spans="1:31" ht="14.4" customHeight="1" x14ac:dyDescent="0.3">
      <c r="A764" t="s">
        <v>2140</v>
      </c>
      <c r="B764" t="s">
        <v>2141</v>
      </c>
      <c r="C764"/>
      <c r="D764"/>
      <c r="E764"/>
      <c r="F764"/>
      <c r="G764" t="s">
        <v>1883</v>
      </c>
      <c r="H764" t="s">
        <v>132</v>
      </c>
      <c r="I764" t="s">
        <v>1</v>
      </c>
      <c r="J764" t="s">
        <v>133</v>
      </c>
      <c r="K764" t="s">
        <v>51</v>
      </c>
      <c r="L764" t="s">
        <v>2139</v>
      </c>
      <c r="M764" t="s">
        <v>134</v>
      </c>
      <c r="N764" t="s">
        <v>135</v>
      </c>
      <c r="O764"/>
      <c r="P764"/>
      <c r="Q764" t="s">
        <v>140</v>
      </c>
      <c r="R764"/>
      <c r="S764"/>
      <c r="T764" t="s">
        <v>1936</v>
      </c>
      <c r="U764" t="s">
        <v>137</v>
      </c>
      <c r="V764" t="s">
        <v>646</v>
      </c>
      <c r="W764"/>
      <c r="X764" t="s">
        <v>74</v>
      </c>
      <c r="Y764"/>
      <c r="Z764"/>
      <c r="AA764" t="s">
        <v>1884</v>
      </c>
      <c r="AB764" t="s">
        <v>3</v>
      </c>
      <c r="AC764" t="s">
        <v>138</v>
      </c>
      <c r="AD764" t="s">
        <v>128</v>
      </c>
      <c r="AE764" s="97"/>
    </row>
    <row r="765" spans="1:31" ht="14.4" customHeight="1" x14ac:dyDescent="0.3">
      <c r="A765" t="s">
        <v>2142</v>
      </c>
      <c r="B765" t="s">
        <v>2143</v>
      </c>
      <c r="C765"/>
      <c r="D765"/>
      <c r="E765"/>
      <c r="F765"/>
      <c r="G765" t="s">
        <v>1883</v>
      </c>
      <c r="H765" t="s">
        <v>132</v>
      </c>
      <c r="I765" t="s">
        <v>1</v>
      </c>
      <c r="J765" t="s">
        <v>133</v>
      </c>
      <c r="K765" t="s">
        <v>51</v>
      </c>
      <c r="L765" t="s">
        <v>2139</v>
      </c>
      <c r="M765" t="s">
        <v>134</v>
      </c>
      <c r="N765" t="s">
        <v>135</v>
      </c>
      <c r="O765"/>
      <c r="P765"/>
      <c r="Q765" t="s">
        <v>140</v>
      </c>
      <c r="R765"/>
      <c r="S765"/>
      <c r="T765" t="s">
        <v>1936</v>
      </c>
      <c r="U765" t="s">
        <v>137</v>
      </c>
      <c r="V765" t="s">
        <v>652</v>
      </c>
      <c r="W765"/>
      <c r="X765" t="s">
        <v>85</v>
      </c>
      <c r="Y765"/>
      <c r="Z765"/>
      <c r="AA765" t="s">
        <v>1884</v>
      </c>
      <c r="AB765" t="s">
        <v>3</v>
      </c>
      <c r="AC765" t="s">
        <v>138</v>
      </c>
      <c r="AD765" t="s">
        <v>129</v>
      </c>
      <c r="AE765" s="97"/>
    </row>
    <row r="766" spans="1:31" ht="14.4" customHeight="1" x14ac:dyDescent="0.3">
      <c r="A766" t="s">
        <v>2144</v>
      </c>
      <c r="B766" t="s">
        <v>2145</v>
      </c>
      <c r="C766"/>
      <c r="D766"/>
      <c r="E766"/>
      <c r="F766"/>
      <c r="G766" t="s">
        <v>1883</v>
      </c>
      <c r="H766" t="s">
        <v>132</v>
      </c>
      <c r="I766" t="s">
        <v>1</v>
      </c>
      <c r="J766" t="s">
        <v>133</v>
      </c>
      <c r="K766" t="s">
        <v>51</v>
      </c>
      <c r="L766" t="s">
        <v>2139</v>
      </c>
      <c r="M766" t="s">
        <v>134</v>
      </c>
      <c r="N766" t="s">
        <v>135</v>
      </c>
      <c r="O766"/>
      <c r="P766"/>
      <c r="Q766" t="s">
        <v>140</v>
      </c>
      <c r="R766"/>
      <c r="S766"/>
      <c r="T766" t="s">
        <v>1936</v>
      </c>
      <c r="U766" t="s">
        <v>137</v>
      </c>
      <c r="V766" t="s">
        <v>658</v>
      </c>
      <c r="W766"/>
      <c r="X766" t="s">
        <v>94</v>
      </c>
      <c r="Y766"/>
      <c r="Z766"/>
      <c r="AA766" t="s">
        <v>1884</v>
      </c>
      <c r="AB766" t="s">
        <v>3</v>
      </c>
      <c r="AC766" t="s">
        <v>138</v>
      </c>
      <c r="AD766" t="s">
        <v>129</v>
      </c>
      <c r="AE766" s="97"/>
    </row>
    <row r="767" spans="1:31" ht="14.4" customHeight="1" x14ac:dyDescent="0.3">
      <c r="A767" t="s">
        <v>2146</v>
      </c>
      <c r="B767" t="s">
        <v>2147</v>
      </c>
      <c r="C767"/>
      <c r="D767"/>
      <c r="E767"/>
      <c r="F767"/>
      <c r="G767" t="s">
        <v>1883</v>
      </c>
      <c r="H767" t="s">
        <v>132</v>
      </c>
      <c r="I767" t="s">
        <v>1</v>
      </c>
      <c r="J767" t="s">
        <v>133</v>
      </c>
      <c r="K767" t="s">
        <v>51</v>
      </c>
      <c r="L767" t="s">
        <v>2139</v>
      </c>
      <c r="M767" t="s">
        <v>134</v>
      </c>
      <c r="N767" t="s">
        <v>135</v>
      </c>
      <c r="O767"/>
      <c r="P767"/>
      <c r="Q767" t="s">
        <v>140</v>
      </c>
      <c r="R767"/>
      <c r="S767"/>
      <c r="T767" t="s">
        <v>1936</v>
      </c>
      <c r="U767" t="s">
        <v>137</v>
      </c>
      <c r="V767" t="s">
        <v>664</v>
      </c>
      <c r="W767"/>
      <c r="X767" t="s">
        <v>103</v>
      </c>
      <c r="Y767"/>
      <c r="Z767"/>
      <c r="AA767" t="s">
        <v>1884</v>
      </c>
      <c r="AB767" t="s">
        <v>3</v>
      </c>
      <c r="AC767" t="s">
        <v>138</v>
      </c>
      <c r="AD767" t="s">
        <v>129</v>
      </c>
      <c r="AE767" s="97"/>
    </row>
    <row r="768" spans="1:31" ht="14.4" customHeight="1" x14ac:dyDescent="0.3">
      <c r="A768" t="s">
        <v>2148</v>
      </c>
      <c r="B768" t="s">
        <v>2149</v>
      </c>
      <c r="C768"/>
      <c r="D768"/>
      <c r="E768"/>
      <c r="F768"/>
      <c r="G768" t="s">
        <v>1883</v>
      </c>
      <c r="H768" t="s">
        <v>132</v>
      </c>
      <c r="I768" t="s">
        <v>1</v>
      </c>
      <c r="J768" t="s">
        <v>133</v>
      </c>
      <c r="K768" t="s">
        <v>51</v>
      </c>
      <c r="L768" t="s">
        <v>2139</v>
      </c>
      <c r="M768" t="s">
        <v>134</v>
      </c>
      <c r="N768" t="s">
        <v>135</v>
      </c>
      <c r="O768"/>
      <c r="P768"/>
      <c r="Q768" t="s">
        <v>140</v>
      </c>
      <c r="R768"/>
      <c r="S768"/>
      <c r="T768" t="s">
        <v>1936</v>
      </c>
      <c r="U768" t="s">
        <v>137</v>
      </c>
      <c r="V768" t="s">
        <v>670</v>
      </c>
      <c r="W768"/>
      <c r="X768" t="s">
        <v>110</v>
      </c>
      <c r="Y768"/>
      <c r="Z768"/>
      <c r="AA768" t="s">
        <v>1884</v>
      </c>
      <c r="AB768" t="s">
        <v>3</v>
      </c>
      <c r="AC768" t="s">
        <v>138</v>
      </c>
      <c r="AD768" t="s">
        <v>129</v>
      </c>
      <c r="AE768" s="97"/>
    </row>
    <row r="769" spans="1:31" ht="14.4" customHeight="1" x14ac:dyDescent="0.3">
      <c r="A769" t="s">
        <v>2150</v>
      </c>
      <c r="B769" t="s">
        <v>2151</v>
      </c>
      <c r="C769"/>
      <c r="D769"/>
      <c r="E769"/>
      <c r="F769"/>
      <c r="G769" t="s">
        <v>1883</v>
      </c>
      <c r="H769" t="s">
        <v>132</v>
      </c>
      <c r="I769" t="s">
        <v>1</v>
      </c>
      <c r="J769" t="s">
        <v>133</v>
      </c>
      <c r="K769" t="s">
        <v>51</v>
      </c>
      <c r="L769" t="s">
        <v>2139</v>
      </c>
      <c r="M769" t="s">
        <v>134</v>
      </c>
      <c r="N769" t="s">
        <v>135</v>
      </c>
      <c r="O769"/>
      <c r="P769"/>
      <c r="Q769" t="s">
        <v>140</v>
      </c>
      <c r="R769"/>
      <c r="S769"/>
      <c r="T769" t="s">
        <v>1936</v>
      </c>
      <c r="U769" t="s">
        <v>137</v>
      </c>
      <c r="V769" t="s">
        <v>676</v>
      </c>
      <c r="W769"/>
      <c r="X769" t="s">
        <v>119</v>
      </c>
      <c r="Y769"/>
      <c r="Z769"/>
      <c r="AA769" t="s">
        <v>1884</v>
      </c>
      <c r="AB769" t="s">
        <v>3</v>
      </c>
      <c r="AC769" t="s">
        <v>138</v>
      </c>
      <c r="AD769" t="s">
        <v>130</v>
      </c>
      <c r="AE769" s="97"/>
    </row>
    <row r="770" spans="1:31" ht="14.4" customHeight="1" x14ac:dyDescent="0.3">
      <c r="A770" t="s">
        <v>2156</v>
      </c>
      <c r="B770" t="s">
        <v>2157</v>
      </c>
      <c r="C770"/>
      <c r="D770"/>
      <c r="E770"/>
      <c r="F770"/>
      <c r="G770" t="s">
        <v>2152</v>
      </c>
      <c r="H770" t="s">
        <v>132</v>
      </c>
      <c r="I770" t="s">
        <v>2</v>
      </c>
      <c r="J770" t="s">
        <v>133</v>
      </c>
      <c r="K770" t="s">
        <v>52</v>
      </c>
      <c r="L770" t="s">
        <v>2153</v>
      </c>
      <c r="M770" t="s">
        <v>134</v>
      </c>
      <c r="N770" t="s">
        <v>135</v>
      </c>
      <c r="O770"/>
      <c r="P770"/>
      <c r="Q770" t="s">
        <v>291</v>
      </c>
      <c r="R770"/>
      <c r="S770"/>
      <c r="T770" t="s">
        <v>2155</v>
      </c>
      <c r="U770" t="s">
        <v>137</v>
      </c>
      <c r="V770" t="s">
        <v>358</v>
      </c>
      <c r="W770"/>
      <c r="X770" t="s">
        <v>124</v>
      </c>
      <c r="Y770"/>
      <c r="Z770"/>
      <c r="AA770" t="s">
        <v>2154</v>
      </c>
      <c r="AB770" t="s">
        <v>2</v>
      </c>
      <c r="AC770" t="s">
        <v>138</v>
      </c>
      <c r="AD770" t="s">
        <v>130</v>
      </c>
      <c r="AE770" s="97"/>
    </row>
    <row r="771" spans="1:31" ht="14.4" customHeight="1" x14ac:dyDescent="0.3">
      <c r="A771" t="s">
        <v>2158</v>
      </c>
      <c r="B771" t="s">
        <v>2159</v>
      </c>
      <c r="C771"/>
      <c r="D771"/>
      <c r="E771"/>
      <c r="F771"/>
      <c r="G771" t="s">
        <v>2152</v>
      </c>
      <c r="H771" t="s">
        <v>132</v>
      </c>
      <c r="I771" t="s">
        <v>2</v>
      </c>
      <c r="J771" t="s">
        <v>133</v>
      </c>
      <c r="K771" t="s">
        <v>52</v>
      </c>
      <c r="L771" t="s">
        <v>2153</v>
      </c>
      <c r="M771" t="s">
        <v>134</v>
      </c>
      <c r="N771" t="s">
        <v>135</v>
      </c>
      <c r="O771"/>
      <c r="P771"/>
      <c r="Q771" t="s">
        <v>291</v>
      </c>
      <c r="R771"/>
      <c r="S771"/>
      <c r="T771" t="s">
        <v>2155</v>
      </c>
      <c r="U771" t="s">
        <v>137</v>
      </c>
      <c r="V771" t="s">
        <v>358</v>
      </c>
      <c r="W771"/>
      <c r="X771" t="s">
        <v>124</v>
      </c>
      <c r="Y771"/>
      <c r="Z771"/>
      <c r="AA771" t="s">
        <v>2154</v>
      </c>
      <c r="AB771" t="s">
        <v>2</v>
      </c>
      <c r="AC771" t="s">
        <v>138</v>
      </c>
      <c r="AD771" t="s">
        <v>130</v>
      </c>
      <c r="AE771" s="97"/>
    </row>
    <row r="772" spans="1:31" ht="14.4" customHeight="1" x14ac:dyDescent="0.3">
      <c r="A772" t="s">
        <v>2160</v>
      </c>
      <c r="B772" t="s">
        <v>2161</v>
      </c>
      <c r="C772"/>
      <c r="D772"/>
      <c r="E772"/>
      <c r="F772"/>
      <c r="G772" t="s">
        <v>2152</v>
      </c>
      <c r="H772" t="s">
        <v>132</v>
      </c>
      <c r="I772" t="s">
        <v>2</v>
      </c>
      <c r="J772" t="s">
        <v>133</v>
      </c>
      <c r="K772" t="s">
        <v>52</v>
      </c>
      <c r="L772" t="s">
        <v>2153</v>
      </c>
      <c r="M772" t="s">
        <v>134</v>
      </c>
      <c r="N772" t="s">
        <v>135</v>
      </c>
      <c r="O772"/>
      <c r="P772"/>
      <c r="Q772" t="s">
        <v>291</v>
      </c>
      <c r="R772"/>
      <c r="S772"/>
      <c r="T772" t="s">
        <v>2155</v>
      </c>
      <c r="U772" t="s">
        <v>137</v>
      </c>
      <c r="V772" t="s">
        <v>358</v>
      </c>
      <c r="W772"/>
      <c r="X772" t="s">
        <v>124</v>
      </c>
      <c r="Y772"/>
      <c r="Z772"/>
      <c r="AA772" t="s">
        <v>2154</v>
      </c>
      <c r="AB772" t="s">
        <v>2</v>
      </c>
      <c r="AC772" t="s">
        <v>138</v>
      </c>
      <c r="AD772" t="s">
        <v>130</v>
      </c>
      <c r="AE772" s="97"/>
    </row>
    <row r="773" spans="1:31" ht="14.4" customHeight="1" x14ac:dyDescent="0.3">
      <c r="A773" t="s">
        <v>6775</v>
      </c>
      <c r="B773" t="s">
        <v>6776</v>
      </c>
      <c r="C773"/>
      <c r="D773"/>
      <c r="E773"/>
      <c r="F773"/>
      <c r="G773" t="s">
        <v>2162</v>
      </c>
      <c r="H773" t="s">
        <v>132</v>
      </c>
      <c r="I773" t="s">
        <v>2</v>
      </c>
      <c r="J773" t="s">
        <v>133</v>
      </c>
      <c r="K773" t="s">
        <v>52</v>
      </c>
      <c r="L773" t="s">
        <v>6777</v>
      </c>
      <c r="M773" t="s">
        <v>134</v>
      </c>
      <c r="N773" t="s">
        <v>135</v>
      </c>
      <c r="O773"/>
      <c r="P773"/>
      <c r="Q773" t="s">
        <v>168</v>
      </c>
      <c r="R773"/>
      <c r="S773" t="s">
        <v>168</v>
      </c>
      <c r="T773"/>
      <c r="U773" t="s">
        <v>137</v>
      </c>
      <c r="V773" t="s">
        <v>147</v>
      </c>
      <c r="W773"/>
      <c r="X773" t="s">
        <v>70</v>
      </c>
      <c r="Y773"/>
      <c r="Z773"/>
      <c r="AA773" t="s">
        <v>2163</v>
      </c>
      <c r="AB773" t="s">
        <v>2</v>
      </c>
      <c r="AC773" t="s">
        <v>138</v>
      </c>
      <c r="AD773" t="s">
        <v>128</v>
      </c>
      <c r="AE773" s="97"/>
    </row>
    <row r="774" spans="1:31" ht="14.4" customHeight="1" x14ac:dyDescent="0.3">
      <c r="A774" t="s">
        <v>6778</v>
      </c>
      <c r="B774" t="s">
        <v>6779</v>
      </c>
      <c r="C774"/>
      <c r="D774"/>
      <c r="E774"/>
      <c r="F774"/>
      <c r="G774" t="s">
        <v>2162</v>
      </c>
      <c r="H774" t="s">
        <v>132</v>
      </c>
      <c r="I774" t="s">
        <v>2</v>
      </c>
      <c r="J774" t="s">
        <v>133</v>
      </c>
      <c r="K774" t="s">
        <v>52</v>
      </c>
      <c r="L774" t="s">
        <v>6780</v>
      </c>
      <c r="M774" t="s">
        <v>134</v>
      </c>
      <c r="N774" t="s">
        <v>135</v>
      </c>
      <c r="O774"/>
      <c r="P774"/>
      <c r="Q774" t="s">
        <v>168</v>
      </c>
      <c r="R774"/>
      <c r="S774" t="s">
        <v>168</v>
      </c>
      <c r="T774"/>
      <c r="U774" t="s">
        <v>137</v>
      </c>
      <c r="V774" t="s">
        <v>150</v>
      </c>
      <c r="W774"/>
      <c r="X774" t="s">
        <v>76</v>
      </c>
      <c r="Y774"/>
      <c r="Z774"/>
      <c r="AA774" t="s">
        <v>2163</v>
      </c>
      <c r="AB774" t="s">
        <v>2</v>
      </c>
      <c r="AC774" t="s">
        <v>138</v>
      </c>
      <c r="AD774" t="s">
        <v>128</v>
      </c>
      <c r="AE774" s="97"/>
    </row>
    <row r="775" spans="1:31" ht="14.4" customHeight="1" x14ac:dyDescent="0.3">
      <c r="A775" t="s">
        <v>6781</v>
      </c>
      <c r="B775" t="s">
        <v>6782</v>
      </c>
      <c r="C775"/>
      <c r="D775"/>
      <c r="E775"/>
      <c r="F775"/>
      <c r="G775" t="s">
        <v>2162</v>
      </c>
      <c r="H775" t="s">
        <v>132</v>
      </c>
      <c r="I775" t="s">
        <v>2</v>
      </c>
      <c r="J775" t="s">
        <v>133</v>
      </c>
      <c r="K775" t="s">
        <v>52</v>
      </c>
      <c r="L775" t="s">
        <v>6783</v>
      </c>
      <c r="M775" t="s">
        <v>134</v>
      </c>
      <c r="N775" t="s">
        <v>135</v>
      </c>
      <c r="O775"/>
      <c r="P775"/>
      <c r="Q775" t="s">
        <v>168</v>
      </c>
      <c r="R775"/>
      <c r="S775" t="s">
        <v>168</v>
      </c>
      <c r="T775"/>
      <c r="U775" t="s">
        <v>137</v>
      </c>
      <c r="V775" t="s">
        <v>153</v>
      </c>
      <c r="W775"/>
      <c r="X775" t="s">
        <v>88</v>
      </c>
      <c r="Y775"/>
      <c r="Z775"/>
      <c r="AA775" t="s">
        <v>2163</v>
      </c>
      <c r="AB775" t="s">
        <v>2</v>
      </c>
      <c r="AC775" t="s">
        <v>138</v>
      </c>
      <c r="AD775" t="s">
        <v>129</v>
      </c>
      <c r="AE775" s="97"/>
    </row>
    <row r="776" spans="1:31" ht="14.4" customHeight="1" x14ac:dyDescent="0.3">
      <c r="A776" t="s">
        <v>6784</v>
      </c>
      <c r="B776" t="s">
        <v>6785</v>
      </c>
      <c r="C776"/>
      <c r="D776"/>
      <c r="E776"/>
      <c r="F776"/>
      <c r="G776" t="s">
        <v>2162</v>
      </c>
      <c r="H776" t="s">
        <v>132</v>
      </c>
      <c r="I776" t="s">
        <v>2</v>
      </c>
      <c r="J776" t="s">
        <v>133</v>
      </c>
      <c r="K776" t="s">
        <v>52</v>
      </c>
      <c r="L776" t="s">
        <v>6786</v>
      </c>
      <c r="M776" t="s">
        <v>134</v>
      </c>
      <c r="N776" t="s">
        <v>135</v>
      </c>
      <c r="O776"/>
      <c r="P776"/>
      <c r="Q776" t="s">
        <v>168</v>
      </c>
      <c r="R776"/>
      <c r="S776" t="s">
        <v>168</v>
      </c>
      <c r="T776"/>
      <c r="U776" t="s">
        <v>137</v>
      </c>
      <c r="V776" t="s">
        <v>156</v>
      </c>
      <c r="W776"/>
      <c r="X776" t="s">
        <v>97</v>
      </c>
      <c r="Y776"/>
      <c r="Z776"/>
      <c r="AA776" t="s">
        <v>2163</v>
      </c>
      <c r="AB776" t="s">
        <v>2</v>
      </c>
      <c r="AC776" t="s">
        <v>138</v>
      </c>
      <c r="AD776" t="s">
        <v>129</v>
      </c>
      <c r="AE776" s="97"/>
    </row>
    <row r="777" spans="1:31" ht="14.4" customHeight="1" x14ac:dyDescent="0.3">
      <c r="A777" t="s">
        <v>6787</v>
      </c>
      <c r="B777" t="s">
        <v>6788</v>
      </c>
      <c r="C777"/>
      <c r="D777"/>
      <c r="E777"/>
      <c r="F777"/>
      <c r="G777" t="s">
        <v>2162</v>
      </c>
      <c r="H777" t="s">
        <v>132</v>
      </c>
      <c r="I777" t="s">
        <v>2</v>
      </c>
      <c r="J777" t="s">
        <v>133</v>
      </c>
      <c r="K777" t="s">
        <v>52</v>
      </c>
      <c r="L777" t="s">
        <v>6789</v>
      </c>
      <c r="M777" t="s">
        <v>134</v>
      </c>
      <c r="N777" t="s">
        <v>135</v>
      </c>
      <c r="O777"/>
      <c r="P777"/>
      <c r="Q777" t="s">
        <v>168</v>
      </c>
      <c r="R777"/>
      <c r="S777" t="s">
        <v>168</v>
      </c>
      <c r="T777"/>
      <c r="U777" t="s">
        <v>137</v>
      </c>
      <c r="V777" t="s">
        <v>159</v>
      </c>
      <c r="W777"/>
      <c r="X777" t="s">
        <v>106</v>
      </c>
      <c r="Y777"/>
      <c r="Z777"/>
      <c r="AA777" t="s">
        <v>2163</v>
      </c>
      <c r="AB777" t="s">
        <v>2</v>
      </c>
      <c r="AC777" t="s">
        <v>138</v>
      </c>
      <c r="AD777" t="s">
        <v>129</v>
      </c>
      <c r="AE777" s="97"/>
    </row>
    <row r="778" spans="1:31" ht="14.4" customHeight="1" x14ac:dyDescent="0.3">
      <c r="A778" t="s">
        <v>6790</v>
      </c>
      <c r="B778" t="s">
        <v>6791</v>
      </c>
      <c r="C778"/>
      <c r="D778"/>
      <c r="E778"/>
      <c r="F778"/>
      <c r="G778" t="s">
        <v>2162</v>
      </c>
      <c r="H778" t="s">
        <v>132</v>
      </c>
      <c r="I778" t="s">
        <v>2</v>
      </c>
      <c r="J778" t="s">
        <v>133</v>
      </c>
      <c r="K778" t="s">
        <v>52</v>
      </c>
      <c r="L778" t="s">
        <v>6792</v>
      </c>
      <c r="M778" t="s">
        <v>134</v>
      </c>
      <c r="N778" t="s">
        <v>135</v>
      </c>
      <c r="O778"/>
      <c r="P778"/>
      <c r="Q778" t="s">
        <v>168</v>
      </c>
      <c r="R778"/>
      <c r="S778" t="s">
        <v>168</v>
      </c>
      <c r="T778"/>
      <c r="U778" t="s">
        <v>137</v>
      </c>
      <c r="V778" t="s">
        <v>162</v>
      </c>
      <c r="W778"/>
      <c r="X778" t="s">
        <v>113</v>
      </c>
      <c r="Y778"/>
      <c r="Z778"/>
      <c r="AA778" t="s">
        <v>2163</v>
      </c>
      <c r="AB778" t="s">
        <v>2</v>
      </c>
      <c r="AC778" t="s">
        <v>138</v>
      </c>
      <c r="AD778" t="s">
        <v>129</v>
      </c>
      <c r="AE778" s="97"/>
    </row>
    <row r="779" spans="1:31" ht="14.4" customHeight="1" x14ac:dyDescent="0.3">
      <c r="A779" t="s">
        <v>6793</v>
      </c>
      <c r="B779" t="s">
        <v>6794</v>
      </c>
      <c r="C779"/>
      <c r="D779"/>
      <c r="E779"/>
      <c r="F779"/>
      <c r="G779" t="s">
        <v>2162</v>
      </c>
      <c r="H779" t="s">
        <v>132</v>
      </c>
      <c r="I779" t="s">
        <v>2</v>
      </c>
      <c r="J779" t="s">
        <v>133</v>
      </c>
      <c r="K779" t="s">
        <v>52</v>
      </c>
      <c r="L779" t="s">
        <v>6795</v>
      </c>
      <c r="M779" t="s">
        <v>134</v>
      </c>
      <c r="N779" t="s">
        <v>135</v>
      </c>
      <c r="O779"/>
      <c r="P779"/>
      <c r="Q779" t="s">
        <v>168</v>
      </c>
      <c r="R779"/>
      <c r="S779" t="s">
        <v>168</v>
      </c>
      <c r="T779"/>
      <c r="U779" t="s">
        <v>137</v>
      </c>
      <c r="V779" t="s">
        <v>165</v>
      </c>
      <c r="W779"/>
      <c r="X779" t="s">
        <v>122</v>
      </c>
      <c r="Y779"/>
      <c r="Z779"/>
      <c r="AA779" t="s">
        <v>2163</v>
      </c>
      <c r="AB779" t="s">
        <v>2</v>
      </c>
      <c r="AC779" t="s">
        <v>138</v>
      </c>
      <c r="AD779" t="s">
        <v>130</v>
      </c>
      <c r="AE779" s="97"/>
    </row>
    <row r="780" spans="1:31" ht="14.4" customHeight="1" x14ac:dyDescent="0.3">
      <c r="A780" t="s">
        <v>6796</v>
      </c>
      <c r="B780" t="s">
        <v>6797</v>
      </c>
      <c r="C780"/>
      <c r="D780"/>
      <c r="E780"/>
      <c r="F780"/>
      <c r="G780" t="s">
        <v>2162</v>
      </c>
      <c r="H780" t="s">
        <v>132</v>
      </c>
      <c r="I780" t="s">
        <v>2</v>
      </c>
      <c r="J780" t="s">
        <v>133</v>
      </c>
      <c r="K780" t="s">
        <v>52</v>
      </c>
      <c r="L780" t="s">
        <v>2273</v>
      </c>
      <c r="M780" t="s">
        <v>134</v>
      </c>
      <c r="N780" t="s">
        <v>135</v>
      </c>
      <c r="O780"/>
      <c r="P780"/>
      <c r="Q780" t="s">
        <v>168</v>
      </c>
      <c r="R780"/>
      <c r="S780" t="s">
        <v>168</v>
      </c>
      <c r="T780"/>
      <c r="U780" t="s">
        <v>137</v>
      </c>
      <c r="V780" t="s">
        <v>352</v>
      </c>
      <c r="W780"/>
      <c r="X780" t="s">
        <v>56</v>
      </c>
      <c r="Y780"/>
      <c r="Z780"/>
      <c r="AA780" t="s">
        <v>2163</v>
      </c>
      <c r="AB780" t="s">
        <v>2</v>
      </c>
      <c r="AC780" t="s">
        <v>138</v>
      </c>
      <c r="AD780" t="s">
        <v>128</v>
      </c>
      <c r="AE780" s="97"/>
    </row>
    <row r="781" spans="1:31" ht="14.4" customHeight="1" x14ac:dyDescent="0.3">
      <c r="A781" t="s">
        <v>6798</v>
      </c>
      <c r="B781" t="s">
        <v>6799</v>
      </c>
      <c r="C781"/>
      <c r="D781"/>
      <c r="E781"/>
      <c r="F781"/>
      <c r="G781" t="s">
        <v>2162</v>
      </c>
      <c r="H781" t="s">
        <v>132</v>
      </c>
      <c r="I781" t="s">
        <v>2</v>
      </c>
      <c r="J781" t="s">
        <v>133</v>
      </c>
      <c r="K781" t="s">
        <v>52</v>
      </c>
      <c r="L781" t="s">
        <v>6800</v>
      </c>
      <c r="M781" t="s">
        <v>134</v>
      </c>
      <c r="N781" t="s">
        <v>135</v>
      </c>
      <c r="O781"/>
      <c r="P781"/>
      <c r="Q781" t="s">
        <v>168</v>
      </c>
      <c r="R781"/>
      <c r="S781" t="s">
        <v>168</v>
      </c>
      <c r="T781"/>
      <c r="U781" t="s">
        <v>137</v>
      </c>
      <c r="V781" t="s">
        <v>147</v>
      </c>
      <c r="W781"/>
      <c r="X781" t="s">
        <v>70</v>
      </c>
      <c r="Y781"/>
      <c r="Z781"/>
      <c r="AA781" t="s">
        <v>2163</v>
      </c>
      <c r="AB781" t="s">
        <v>2</v>
      </c>
      <c r="AC781" t="s">
        <v>138</v>
      </c>
      <c r="AD781" t="s">
        <v>128</v>
      </c>
      <c r="AE781" s="97"/>
    </row>
    <row r="782" spans="1:31" ht="14.4" customHeight="1" x14ac:dyDescent="0.3">
      <c r="A782" t="s">
        <v>6801</v>
      </c>
      <c r="B782" t="s">
        <v>6802</v>
      </c>
      <c r="C782"/>
      <c r="D782"/>
      <c r="E782"/>
      <c r="F782"/>
      <c r="G782" t="s">
        <v>2162</v>
      </c>
      <c r="H782" t="s">
        <v>132</v>
      </c>
      <c r="I782" t="s">
        <v>2</v>
      </c>
      <c r="J782" t="s">
        <v>133</v>
      </c>
      <c r="K782" t="s">
        <v>52</v>
      </c>
      <c r="L782" t="s">
        <v>6800</v>
      </c>
      <c r="M782" t="s">
        <v>134</v>
      </c>
      <c r="N782" t="s">
        <v>135</v>
      </c>
      <c r="O782"/>
      <c r="P782"/>
      <c r="Q782" t="s">
        <v>168</v>
      </c>
      <c r="R782"/>
      <c r="S782" t="s">
        <v>168</v>
      </c>
      <c r="T782"/>
      <c r="U782" t="s">
        <v>137</v>
      </c>
      <c r="V782" t="s">
        <v>147</v>
      </c>
      <c r="W782"/>
      <c r="X782" t="s">
        <v>70</v>
      </c>
      <c r="Y782"/>
      <c r="Z782"/>
      <c r="AA782" t="s">
        <v>2163</v>
      </c>
      <c r="AB782" t="s">
        <v>2</v>
      </c>
      <c r="AC782" t="s">
        <v>138</v>
      </c>
      <c r="AD782" t="s">
        <v>128</v>
      </c>
      <c r="AE782" s="97"/>
    </row>
    <row r="783" spans="1:31" ht="14.4" customHeight="1" x14ac:dyDescent="0.3">
      <c r="A783" t="s">
        <v>6803</v>
      </c>
      <c r="B783" t="s">
        <v>6804</v>
      </c>
      <c r="C783"/>
      <c r="D783"/>
      <c r="E783"/>
      <c r="F783"/>
      <c r="G783" t="s">
        <v>2162</v>
      </c>
      <c r="H783" t="s">
        <v>132</v>
      </c>
      <c r="I783" t="s">
        <v>2</v>
      </c>
      <c r="J783" t="s">
        <v>133</v>
      </c>
      <c r="K783" t="s">
        <v>52</v>
      </c>
      <c r="L783" t="s">
        <v>6800</v>
      </c>
      <c r="M783" t="s">
        <v>134</v>
      </c>
      <c r="N783" t="s">
        <v>135</v>
      </c>
      <c r="O783"/>
      <c r="P783"/>
      <c r="Q783" t="s">
        <v>168</v>
      </c>
      <c r="R783"/>
      <c r="S783" t="s">
        <v>168</v>
      </c>
      <c r="T783"/>
      <c r="U783" t="s">
        <v>137</v>
      </c>
      <c r="V783" t="s">
        <v>147</v>
      </c>
      <c r="W783"/>
      <c r="X783" t="s">
        <v>70</v>
      </c>
      <c r="Y783"/>
      <c r="Z783"/>
      <c r="AA783" t="s">
        <v>2163</v>
      </c>
      <c r="AB783" t="s">
        <v>2</v>
      </c>
      <c r="AC783" t="s">
        <v>138</v>
      </c>
      <c r="AD783" t="s">
        <v>128</v>
      </c>
      <c r="AE783" s="97"/>
    </row>
    <row r="784" spans="1:31" ht="14.4" customHeight="1" x14ac:dyDescent="0.3">
      <c r="A784" t="s">
        <v>6805</v>
      </c>
      <c r="B784" t="s">
        <v>6806</v>
      </c>
      <c r="C784"/>
      <c r="D784"/>
      <c r="E784"/>
      <c r="F784"/>
      <c r="G784" t="s">
        <v>2162</v>
      </c>
      <c r="H784" t="s">
        <v>132</v>
      </c>
      <c r="I784" t="s">
        <v>2</v>
      </c>
      <c r="J784" t="s">
        <v>133</v>
      </c>
      <c r="K784" t="s">
        <v>52</v>
      </c>
      <c r="L784" t="s">
        <v>6807</v>
      </c>
      <c r="M784" t="s">
        <v>134</v>
      </c>
      <c r="N784" t="s">
        <v>135</v>
      </c>
      <c r="O784"/>
      <c r="P784"/>
      <c r="Q784" t="s">
        <v>168</v>
      </c>
      <c r="R784"/>
      <c r="S784" t="s">
        <v>168</v>
      </c>
      <c r="T784"/>
      <c r="U784" t="s">
        <v>137</v>
      </c>
      <c r="V784" t="s">
        <v>150</v>
      </c>
      <c r="W784"/>
      <c r="X784" t="s">
        <v>76</v>
      </c>
      <c r="Y784"/>
      <c r="Z784"/>
      <c r="AA784" t="s">
        <v>2163</v>
      </c>
      <c r="AB784" t="s">
        <v>2</v>
      </c>
      <c r="AC784" t="s">
        <v>138</v>
      </c>
      <c r="AD784" t="s">
        <v>128</v>
      </c>
      <c r="AE784" s="97"/>
    </row>
    <row r="785" spans="1:31" ht="14.4" customHeight="1" x14ac:dyDescent="0.3">
      <c r="A785" t="s">
        <v>6808</v>
      </c>
      <c r="B785" t="s">
        <v>6809</v>
      </c>
      <c r="C785"/>
      <c r="D785"/>
      <c r="E785"/>
      <c r="F785"/>
      <c r="G785" t="s">
        <v>2162</v>
      </c>
      <c r="H785" t="s">
        <v>132</v>
      </c>
      <c r="I785" t="s">
        <v>2</v>
      </c>
      <c r="J785" t="s">
        <v>133</v>
      </c>
      <c r="K785" t="s">
        <v>52</v>
      </c>
      <c r="L785" t="s">
        <v>6807</v>
      </c>
      <c r="M785" t="s">
        <v>134</v>
      </c>
      <c r="N785" t="s">
        <v>135</v>
      </c>
      <c r="O785"/>
      <c r="P785"/>
      <c r="Q785" t="s">
        <v>168</v>
      </c>
      <c r="R785"/>
      <c r="S785" t="s">
        <v>168</v>
      </c>
      <c r="T785"/>
      <c r="U785" t="s">
        <v>137</v>
      </c>
      <c r="V785" t="s">
        <v>150</v>
      </c>
      <c r="W785"/>
      <c r="X785" t="s">
        <v>76</v>
      </c>
      <c r="Y785"/>
      <c r="Z785"/>
      <c r="AA785" t="s">
        <v>2163</v>
      </c>
      <c r="AB785" t="s">
        <v>2</v>
      </c>
      <c r="AC785" t="s">
        <v>138</v>
      </c>
      <c r="AD785" t="s">
        <v>128</v>
      </c>
      <c r="AE785" s="97"/>
    </row>
    <row r="786" spans="1:31" ht="14.4" customHeight="1" x14ac:dyDescent="0.3">
      <c r="A786" t="s">
        <v>6810</v>
      </c>
      <c r="B786" t="s">
        <v>6811</v>
      </c>
      <c r="C786"/>
      <c r="D786"/>
      <c r="E786"/>
      <c r="F786"/>
      <c r="G786" t="s">
        <v>2162</v>
      </c>
      <c r="H786" t="s">
        <v>132</v>
      </c>
      <c r="I786" t="s">
        <v>2</v>
      </c>
      <c r="J786" t="s">
        <v>133</v>
      </c>
      <c r="K786" t="s">
        <v>52</v>
      </c>
      <c r="L786" t="s">
        <v>6807</v>
      </c>
      <c r="M786" t="s">
        <v>134</v>
      </c>
      <c r="N786" t="s">
        <v>135</v>
      </c>
      <c r="O786"/>
      <c r="P786"/>
      <c r="Q786" t="s">
        <v>168</v>
      </c>
      <c r="R786"/>
      <c r="S786" t="s">
        <v>168</v>
      </c>
      <c r="T786"/>
      <c r="U786" t="s">
        <v>137</v>
      </c>
      <c r="V786" t="s">
        <v>150</v>
      </c>
      <c r="W786"/>
      <c r="X786" t="s">
        <v>76</v>
      </c>
      <c r="Y786"/>
      <c r="Z786"/>
      <c r="AA786" t="s">
        <v>2163</v>
      </c>
      <c r="AB786" t="s">
        <v>2</v>
      </c>
      <c r="AC786" t="s">
        <v>138</v>
      </c>
      <c r="AD786" t="s">
        <v>128</v>
      </c>
      <c r="AE786" s="97"/>
    </row>
    <row r="787" spans="1:31" ht="14.4" customHeight="1" x14ac:dyDescent="0.3">
      <c r="A787" t="s">
        <v>6812</v>
      </c>
      <c r="B787" t="s">
        <v>6813</v>
      </c>
      <c r="C787"/>
      <c r="D787"/>
      <c r="E787"/>
      <c r="F787"/>
      <c r="G787" t="s">
        <v>2162</v>
      </c>
      <c r="H787" t="s">
        <v>132</v>
      </c>
      <c r="I787" t="s">
        <v>2</v>
      </c>
      <c r="J787" t="s">
        <v>133</v>
      </c>
      <c r="K787" t="s">
        <v>52</v>
      </c>
      <c r="L787" t="s">
        <v>6814</v>
      </c>
      <c r="M787" t="s">
        <v>134</v>
      </c>
      <c r="N787" t="s">
        <v>135</v>
      </c>
      <c r="O787"/>
      <c r="P787"/>
      <c r="Q787" t="s">
        <v>168</v>
      </c>
      <c r="R787"/>
      <c r="S787" t="s">
        <v>168</v>
      </c>
      <c r="T787"/>
      <c r="U787" t="s">
        <v>137</v>
      </c>
      <c r="V787" t="s">
        <v>153</v>
      </c>
      <c r="W787"/>
      <c r="X787" t="s">
        <v>88</v>
      </c>
      <c r="Y787"/>
      <c r="Z787"/>
      <c r="AA787" t="s">
        <v>2163</v>
      </c>
      <c r="AB787" t="s">
        <v>2</v>
      </c>
      <c r="AC787" t="s">
        <v>138</v>
      </c>
      <c r="AD787" t="s">
        <v>129</v>
      </c>
      <c r="AE787" s="97"/>
    </row>
    <row r="788" spans="1:31" ht="14.4" customHeight="1" x14ac:dyDescent="0.3">
      <c r="A788" t="s">
        <v>6815</v>
      </c>
      <c r="B788" t="s">
        <v>6816</v>
      </c>
      <c r="C788"/>
      <c r="D788"/>
      <c r="E788"/>
      <c r="F788"/>
      <c r="G788" t="s">
        <v>2162</v>
      </c>
      <c r="H788" t="s">
        <v>132</v>
      </c>
      <c r="I788" t="s">
        <v>2</v>
      </c>
      <c r="J788" t="s">
        <v>133</v>
      </c>
      <c r="K788" t="s">
        <v>52</v>
      </c>
      <c r="L788" t="s">
        <v>6814</v>
      </c>
      <c r="M788" t="s">
        <v>134</v>
      </c>
      <c r="N788" t="s">
        <v>135</v>
      </c>
      <c r="O788"/>
      <c r="P788"/>
      <c r="Q788" t="s">
        <v>168</v>
      </c>
      <c r="R788"/>
      <c r="S788" t="s">
        <v>168</v>
      </c>
      <c r="T788"/>
      <c r="U788" t="s">
        <v>137</v>
      </c>
      <c r="V788" t="s">
        <v>153</v>
      </c>
      <c r="W788"/>
      <c r="X788" t="s">
        <v>88</v>
      </c>
      <c r="Y788"/>
      <c r="Z788"/>
      <c r="AA788" t="s">
        <v>2163</v>
      </c>
      <c r="AB788" t="s">
        <v>2</v>
      </c>
      <c r="AC788" t="s">
        <v>138</v>
      </c>
      <c r="AD788" t="s">
        <v>129</v>
      </c>
      <c r="AE788" s="97"/>
    </row>
    <row r="789" spans="1:31" ht="14.4" customHeight="1" x14ac:dyDescent="0.3">
      <c r="A789" t="s">
        <v>6817</v>
      </c>
      <c r="B789" t="s">
        <v>6818</v>
      </c>
      <c r="C789"/>
      <c r="D789"/>
      <c r="E789"/>
      <c r="F789"/>
      <c r="G789" t="s">
        <v>2162</v>
      </c>
      <c r="H789" t="s">
        <v>132</v>
      </c>
      <c r="I789" t="s">
        <v>2</v>
      </c>
      <c r="J789" t="s">
        <v>133</v>
      </c>
      <c r="K789" t="s">
        <v>52</v>
      </c>
      <c r="L789" t="s">
        <v>6814</v>
      </c>
      <c r="M789" t="s">
        <v>134</v>
      </c>
      <c r="N789" t="s">
        <v>135</v>
      </c>
      <c r="O789"/>
      <c r="P789"/>
      <c r="Q789" t="s">
        <v>168</v>
      </c>
      <c r="R789"/>
      <c r="S789" t="s">
        <v>168</v>
      </c>
      <c r="T789"/>
      <c r="U789" t="s">
        <v>137</v>
      </c>
      <c r="V789" t="s">
        <v>153</v>
      </c>
      <c r="W789"/>
      <c r="X789" t="s">
        <v>88</v>
      </c>
      <c r="Y789"/>
      <c r="Z789"/>
      <c r="AA789" t="s">
        <v>2163</v>
      </c>
      <c r="AB789" t="s">
        <v>2</v>
      </c>
      <c r="AC789" t="s">
        <v>138</v>
      </c>
      <c r="AD789" t="s">
        <v>129</v>
      </c>
      <c r="AE789" s="97"/>
    </row>
    <row r="790" spans="1:31" ht="14.4" customHeight="1" x14ac:dyDescent="0.3">
      <c r="A790" t="s">
        <v>6819</v>
      </c>
      <c r="B790" t="s">
        <v>6820</v>
      </c>
      <c r="C790"/>
      <c r="D790"/>
      <c r="E790"/>
      <c r="F790"/>
      <c r="G790" t="s">
        <v>2162</v>
      </c>
      <c r="H790" t="s">
        <v>132</v>
      </c>
      <c r="I790" t="s">
        <v>2</v>
      </c>
      <c r="J790" t="s">
        <v>133</v>
      </c>
      <c r="K790" t="s">
        <v>52</v>
      </c>
      <c r="L790" t="s">
        <v>6821</v>
      </c>
      <c r="M790" t="s">
        <v>134</v>
      </c>
      <c r="N790" t="s">
        <v>135</v>
      </c>
      <c r="O790"/>
      <c r="P790"/>
      <c r="Q790" t="s">
        <v>168</v>
      </c>
      <c r="R790"/>
      <c r="S790" t="s">
        <v>168</v>
      </c>
      <c r="T790"/>
      <c r="U790" t="s">
        <v>137</v>
      </c>
      <c r="V790" t="s">
        <v>156</v>
      </c>
      <c r="W790"/>
      <c r="X790" t="s">
        <v>97</v>
      </c>
      <c r="Y790"/>
      <c r="Z790"/>
      <c r="AA790" t="s">
        <v>2163</v>
      </c>
      <c r="AB790" t="s">
        <v>2</v>
      </c>
      <c r="AC790" t="s">
        <v>138</v>
      </c>
      <c r="AD790" t="s">
        <v>129</v>
      </c>
      <c r="AE790" s="97"/>
    </row>
    <row r="791" spans="1:31" ht="14.4" customHeight="1" x14ac:dyDescent="0.3">
      <c r="A791" t="s">
        <v>6822</v>
      </c>
      <c r="B791" t="s">
        <v>6823</v>
      </c>
      <c r="C791"/>
      <c r="D791"/>
      <c r="E791"/>
      <c r="F791"/>
      <c r="G791" t="s">
        <v>2162</v>
      </c>
      <c r="H791" t="s">
        <v>132</v>
      </c>
      <c r="I791" t="s">
        <v>2</v>
      </c>
      <c r="J791" t="s">
        <v>133</v>
      </c>
      <c r="K791" t="s">
        <v>52</v>
      </c>
      <c r="L791" t="s">
        <v>6821</v>
      </c>
      <c r="M791" t="s">
        <v>134</v>
      </c>
      <c r="N791" t="s">
        <v>135</v>
      </c>
      <c r="O791"/>
      <c r="P791"/>
      <c r="Q791" t="s">
        <v>168</v>
      </c>
      <c r="R791"/>
      <c r="S791" t="s">
        <v>168</v>
      </c>
      <c r="T791"/>
      <c r="U791" t="s">
        <v>137</v>
      </c>
      <c r="V791" t="s">
        <v>156</v>
      </c>
      <c r="W791"/>
      <c r="X791" t="s">
        <v>97</v>
      </c>
      <c r="Y791"/>
      <c r="Z791"/>
      <c r="AA791" t="s">
        <v>2163</v>
      </c>
      <c r="AB791" t="s">
        <v>2</v>
      </c>
      <c r="AC791" t="s">
        <v>138</v>
      </c>
      <c r="AD791" t="s">
        <v>129</v>
      </c>
      <c r="AE791" s="97"/>
    </row>
    <row r="792" spans="1:31" ht="14.4" customHeight="1" x14ac:dyDescent="0.3">
      <c r="A792" t="s">
        <v>6824</v>
      </c>
      <c r="B792" t="s">
        <v>6825</v>
      </c>
      <c r="C792"/>
      <c r="D792"/>
      <c r="E792"/>
      <c r="F792"/>
      <c r="G792" t="s">
        <v>2162</v>
      </c>
      <c r="H792" t="s">
        <v>132</v>
      </c>
      <c r="I792" t="s">
        <v>2</v>
      </c>
      <c r="J792" t="s">
        <v>133</v>
      </c>
      <c r="K792" t="s">
        <v>52</v>
      </c>
      <c r="L792" t="s">
        <v>6821</v>
      </c>
      <c r="M792" t="s">
        <v>134</v>
      </c>
      <c r="N792" t="s">
        <v>135</v>
      </c>
      <c r="O792"/>
      <c r="P792"/>
      <c r="Q792" t="s">
        <v>168</v>
      </c>
      <c r="R792"/>
      <c r="S792" t="s">
        <v>168</v>
      </c>
      <c r="T792"/>
      <c r="U792" t="s">
        <v>137</v>
      </c>
      <c r="V792" t="s">
        <v>156</v>
      </c>
      <c r="W792"/>
      <c r="X792" t="s">
        <v>97</v>
      </c>
      <c r="Y792"/>
      <c r="Z792"/>
      <c r="AA792" t="s">
        <v>2163</v>
      </c>
      <c r="AB792" t="s">
        <v>2</v>
      </c>
      <c r="AC792" t="s">
        <v>138</v>
      </c>
      <c r="AD792" t="s">
        <v>129</v>
      </c>
      <c r="AE792" s="97"/>
    </row>
    <row r="793" spans="1:31" ht="14.4" customHeight="1" x14ac:dyDescent="0.3">
      <c r="A793" t="s">
        <v>6826</v>
      </c>
      <c r="B793" t="s">
        <v>6827</v>
      </c>
      <c r="C793"/>
      <c r="D793"/>
      <c r="E793"/>
      <c r="F793"/>
      <c r="G793" t="s">
        <v>2162</v>
      </c>
      <c r="H793" t="s">
        <v>132</v>
      </c>
      <c r="I793" t="s">
        <v>2</v>
      </c>
      <c r="J793" t="s">
        <v>133</v>
      </c>
      <c r="K793" t="s">
        <v>52</v>
      </c>
      <c r="L793" t="s">
        <v>6828</v>
      </c>
      <c r="M793" t="s">
        <v>134</v>
      </c>
      <c r="N793" t="s">
        <v>135</v>
      </c>
      <c r="O793"/>
      <c r="P793"/>
      <c r="Q793" t="s">
        <v>168</v>
      </c>
      <c r="R793"/>
      <c r="S793" t="s">
        <v>168</v>
      </c>
      <c r="T793"/>
      <c r="U793" t="s">
        <v>137</v>
      </c>
      <c r="V793" t="s">
        <v>159</v>
      </c>
      <c r="W793"/>
      <c r="X793" t="s">
        <v>106</v>
      </c>
      <c r="Y793"/>
      <c r="Z793"/>
      <c r="AA793" t="s">
        <v>2163</v>
      </c>
      <c r="AB793" t="s">
        <v>2</v>
      </c>
      <c r="AC793" t="s">
        <v>138</v>
      </c>
      <c r="AD793" t="s">
        <v>129</v>
      </c>
      <c r="AE793" s="97"/>
    </row>
    <row r="794" spans="1:31" ht="14.4" customHeight="1" x14ac:dyDescent="0.3">
      <c r="A794" t="s">
        <v>6829</v>
      </c>
      <c r="B794" t="s">
        <v>6830</v>
      </c>
      <c r="C794"/>
      <c r="D794"/>
      <c r="E794"/>
      <c r="F794"/>
      <c r="G794" t="s">
        <v>2162</v>
      </c>
      <c r="H794" t="s">
        <v>132</v>
      </c>
      <c r="I794" t="s">
        <v>2</v>
      </c>
      <c r="J794" t="s">
        <v>133</v>
      </c>
      <c r="K794" t="s">
        <v>52</v>
      </c>
      <c r="L794" t="s">
        <v>6828</v>
      </c>
      <c r="M794" t="s">
        <v>134</v>
      </c>
      <c r="N794" t="s">
        <v>135</v>
      </c>
      <c r="O794"/>
      <c r="P794"/>
      <c r="Q794" t="s">
        <v>168</v>
      </c>
      <c r="R794"/>
      <c r="S794" t="s">
        <v>168</v>
      </c>
      <c r="T794"/>
      <c r="U794" t="s">
        <v>137</v>
      </c>
      <c r="V794" t="s">
        <v>159</v>
      </c>
      <c r="W794"/>
      <c r="X794" t="s">
        <v>106</v>
      </c>
      <c r="Y794"/>
      <c r="Z794"/>
      <c r="AA794" t="s">
        <v>2163</v>
      </c>
      <c r="AB794" t="s">
        <v>2</v>
      </c>
      <c r="AC794" t="s">
        <v>138</v>
      </c>
      <c r="AD794" t="s">
        <v>129</v>
      </c>
      <c r="AE794" s="97"/>
    </row>
    <row r="795" spans="1:31" ht="14.4" customHeight="1" x14ac:dyDescent="0.3">
      <c r="A795" t="s">
        <v>6831</v>
      </c>
      <c r="B795" t="s">
        <v>6832</v>
      </c>
      <c r="C795"/>
      <c r="D795"/>
      <c r="E795"/>
      <c r="F795"/>
      <c r="G795" t="s">
        <v>2162</v>
      </c>
      <c r="H795" t="s">
        <v>132</v>
      </c>
      <c r="I795" t="s">
        <v>2</v>
      </c>
      <c r="J795" t="s">
        <v>133</v>
      </c>
      <c r="K795" t="s">
        <v>52</v>
      </c>
      <c r="L795" t="s">
        <v>6828</v>
      </c>
      <c r="M795" t="s">
        <v>134</v>
      </c>
      <c r="N795" t="s">
        <v>135</v>
      </c>
      <c r="O795"/>
      <c r="P795"/>
      <c r="Q795" t="s">
        <v>168</v>
      </c>
      <c r="R795"/>
      <c r="S795" t="s">
        <v>168</v>
      </c>
      <c r="T795"/>
      <c r="U795" t="s">
        <v>137</v>
      </c>
      <c r="V795" t="s">
        <v>159</v>
      </c>
      <c r="W795"/>
      <c r="X795" t="s">
        <v>106</v>
      </c>
      <c r="Y795"/>
      <c r="Z795"/>
      <c r="AA795" t="s">
        <v>2163</v>
      </c>
      <c r="AB795" t="s">
        <v>2</v>
      </c>
      <c r="AC795" t="s">
        <v>138</v>
      </c>
      <c r="AD795" t="s">
        <v>129</v>
      </c>
      <c r="AE795" s="97"/>
    </row>
    <row r="796" spans="1:31" ht="14.4" customHeight="1" x14ac:dyDescent="0.3">
      <c r="A796" t="s">
        <v>6833</v>
      </c>
      <c r="B796" t="s">
        <v>6834</v>
      </c>
      <c r="C796"/>
      <c r="D796"/>
      <c r="E796"/>
      <c r="F796"/>
      <c r="G796" t="s">
        <v>2162</v>
      </c>
      <c r="H796" t="s">
        <v>132</v>
      </c>
      <c r="I796" t="s">
        <v>2</v>
      </c>
      <c r="J796" t="s">
        <v>133</v>
      </c>
      <c r="K796" t="s">
        <v>52</v>
      </c>
      <c r="L796" t="s">
        <v>6835</v>
      </c>
      <c r="M796" t="s">
        <v>134</v>
      </c>
      <c r="N796" t="s">
        <v>135</v>
      </c>
      <c r="O796"/>
      <c r="P796"/>
      <c r="Q796" t="s">
        <v>168</v>
      </c>
      <c r="R796"/>
      <c r="S796" t="s">
        <v>168</v>
      </c>
      <c r="T796"/>
      <c r="U796" t="s">
        <v>137</v>
      </c>
      <c r="V796" t="s">
        <v>162</v>
      </c>
      <c r="W796"/>
      <c r="X796" t="s">
        <v>113</v>
      </c>
      <c r="Y796"/>
      <c r="Z796"/>
      <c r="AA796" t="s">
        <v>2163</v>
      </c>
      <c r="AB796" t="s">
        <v>2</v>
      </c>
      <c r="AC796" t="s">
        <v>138</v>
      </c>
      <c r="AD796" t="s">
        <v>129</v>
      </c>
      <c r="AE796" s="97"/>
    </row>
    <row r="797" spans="1:31" ht="14.4" customHeight="1" x14ac:dyDescent="0.3">
      <c r="A797" t="s">
        <v>6836</v>
      </c>
      <c r="B797" t="s">
        <v>6837</v>
      </c>
      <c r="C797"/>
      <c r="D797"/>
      <c r="E797"/>
      <c r="F797"/>
      <c r="G797" t="s">
        <v>2162</v>
      </c>
      <c r="H797" t="s">
        <v>132</v>
      </c>
      <c r="I797" t="s">
        <v>2</v>
      </c>
      <c r="J797" t="s">
        <v>133</v>
      </c>
      <c r="K797" t="s">
        <v>52</v>
      </c>
      <c r="L797" t="s">
        <v>6835</v>
      </c>
      <c r="M797" t="s">
        <v>134</v>
      </c>
      <c r="N797" t="s">
        <v>135</v>
      </c>
      <c r="O797"/>
      <c r="P797"/>
      <c r="Q797" t="s">
        <v>168</v>
      </c>
      <c r="R797"/>
      <c r="S797" t="s">
        <v>168</v>
      </c>
      <c r="T797"/>
      <c r="U797" t="s">
        <v>137</v>
      </c>
      <c r="V797" t="s">
        <v>162</v>
      </c>
      <c r="W797"/>
      <c r="X797" t="s">
        <v>113</v>
      </c>
      <c r="Y797"/>
      <c r="Z797"/>
      <c r="AA797" t="s">
        <v>2163</v>
      </c>
      <c r="AB797" t="s">
        <v>2</v>
      </c>
      <c r="AC797" t="s">
        <v>138</v>
      </c>
      <c r="AD797" t="s">
        <v>129</v>
      </c>
      <c r="AE797" s="97"/>
    </row>
    <row r="798" spans="1:31" ht="14.4" customHeight="1" x14ac:dyDescent="0.3">
      <c r="A798" t="s">
        <v>6838</v>
      </c>
      <c r="B798" t="s">
        <v>6839</v>
      </c>
      <c r="C798"/>
      <c r="D798"/>
      <c r="E798"/>
      <c r="F798"/>
      <c r="G798" t="s">
        <v>2162</v>
      </c>
      <c r="H798" t="s">
        <v>132</v>
      </c>
      <c r="I798" t="s">
        <v>2</v>
      </c>
      <c r="J798" t="s">
        <v>133</v>
      </c>
      <c r="K798" t="s">
        <v>52</v>
      </c>
      <c r="L798" t="s">
        <v>6835</v>
      </c>
      <c r="M798" t="s">
        <v>134</v>
      </c>
      <c r="N798" t="s">
        <v>135</v>
      </c>
      <c r="O798"/>
      <c r="P798"/>
      <c r="Q798" t="s">
        <v>168</v>
      </c>
      <c r="R798"/>
      <c r="S798" t="s">
        <v>168</v>
      </c>
      <c r="T798"/>
      <c r="U798" t="s">
        <v>137</v>
      </c>
      <c r="V798" t="s">
        <v>162</v>
      </c>
      <c r="W798"/>
      <c r="X798" t="s">
        <v>113</v>
      </c>
      <c r="Y798"/>
      <c r="Z798"/>
      <c r="AA798" t="s">
        <v>2163</v>
      </c>
      <c r="AB798" t="s">
        <v>2</v>
      </c>
      <c r="AC798" t="s">
        <v>138</v>
      </c>
      <c r="AD798" t="s">
        <v>129</v>
      </c>
      <c r="AE798" s="97"/>
    </row>
    <row r="799" spans="1:31" ht="14.4" customHeight="1" x14ac:dyDescent="0.3">
      <c r="A799" t="s">
        <v>6840</v>
      </c>
      <c r="B799" t="s">
        <v>6841</v>
      </c>
      <c r="C799"/>
      <c r="D799"/>
      <c r="E799"/>
      <c r="F799"/>
      <c r="G799" t="s">
        <v>2162</v>
      </c>
      <c r="H799" t="s">
        <v>132</v>
      </c>
      <c r="I799" t="s">
        <v>2</v>
      </c>
      <c r="J799" t="s">
        <v>133</v>
      </c>
      <c r="K799" t="s">
        <v>52</v>
      </c>
      <c r="L799" t="s">
        <v>6842</v>
      </c>
      <c r="M799" t="s">
        <v>134</v>
      </c>
      <c r="N799" t="s">
        <v>135</v>
      </c>
      <c r="O799"/>
      <c r="P799"/>
      <c r="Q799" t="s">
        <v>168</v>
      </c>
      <c r="R799"/>
      <c r="S799" t="s">
        <v>168</v>
      </c>
      <c r="T799"/>
      <c r="U799" t="s">
        <v>137</v>
      </c>
      <c r="V799" t="s">
        <v>165</v>
      </c>
      <c r="W799"/>
      <c r="X799" t="s">
        <v>122</v>
      </c>
      <c r="Y799"/>
      <c r="Z799"/>
      <c r="AA799" t="s">
        <v>2163</v>
      </c>
      <c r="AB799" t="s">
        <v>2</v>
      </c>
      <c r="AC799" t="s">
        <v>138</v>
      </c>
      <c r="AD799" t="s">
        <v>130</v>
      </c>
      <c r="AE799" s="97"/>
    </row>
    <row r="800" spans="1:31" ht="14.4" customHeight="1" x14ac:dyDescent="0.3">
      <c r="A800" t="s">
        <v>6843</v>
      </c>
      <c r="B800" t="s">
        <v>6844</v>
      </c>
      <c r="C800"/>
      <c r="D800"/>
      <c r="E800"/>
      <c r="F800"/>
      <c r="G800" t="s">
        <v>2162</v>
      </c>
      <c r="H800" t="s">
        <v>132</v>
      </c>
      <c r="I800" t="s">
        <v>2</v>
      </c>
      <c r="J800" t="s">
        <v>133</v>
      </c>
      <c r="K800" t="s">
        <v>52</v>
      </c>
      <c r="L800" t="s">
        <v>6842</v>
      </c>
      <c r="M800" t="s">
        <v>134</v>
      </c>
      <c r="N800" t="s">
        <v>135</v>
      </c>
      <c r="O800"/>
      <c r="P800"/>
      <c r="Q800" t="s">
        <v>168</v>
      </c>
      <c r="R800"/>
      <c r="S800" t="s">
        <v>168</v>
      </c>
      <c r="T800"/>
      <c r="U800" t="s">
        <v>137</v>
      </c>
      <c r="V800" t="s">
        <v>165</v>
      </c>
      <c r="W800"/>
      <c r="X800" t="s">
        <v>122</v>
      </c>
      <c r="Y800"/>
      <c r="Z800"/>
      <c r="AA800" t="s">
        <v>2163</v>
      </c>
      <c r="AB800" t="s">
        <v>2</v>
      </c>
      <c r="AC800" t="s">
        <v>138</v>
      </c>
      <c r="AD800" t="s">
        <v>130</v>
      </c>
      <c r="AE800" s="97"/>
    </row>
    <row r="801" spans="1:31" ht="14.4" customHeight="1" x14ac:dyDescent="0.3">
      <c r="A801" t="s">
        <v>6845</v>
      </c>
      <c r="B801" t="s">
        <v>6846</v>
      </c>
      <c r="C801"/>
      <c r="D801"/>
      <c r="E801"/>
      <c r="F801"/>
      <c r="G801" t="s">
        <v>2162</v>
      </c>
      <c r="H801" t="s">
        <v>132</v>
      </c>
      <c r="I801" t="s">
        <v>2</v>
      </c>
      <c r="J801" t="s">
        <v>133</v>
      </c>
      <c r="K801" t="s">
        <v>52</v>
      </c>
      <c r="L801" t="s">
        <v>6842</v>
      </c>
      <c r="M801" t="s">
        <v>134</v>
      </c>
      <c r="N801" t="s">
        <v>135</v>
      </c>
      <c r="O801"/>
      <c r="P801"/>
      <c r="Q801" t="s">
        <v>168</v>
      </c>
      <c r="R801"/>
      <c r="S801" t="s">
        <v>168</v>
      </c>
      <c r="T801"/>
      <c r="U801" t="s">
        <v>137</v>
      </c>
      <c r="V801" t="s">
        <v>165</v>
      </c>
      <c r="W801"/>
      <c r="X801" t="s">
        <v>122</v>
      </c>
      <c r="Y801"/>
      <c r="Z801"/>
      <c r="AA801" t="s">
        <v>2163</v>
      </c>
      <c r="AB801" t="s">
        <v>2</v>
      </c>
      <c r="AC801" t="s">
        <v>138</v>
      </c>
      <c r="AD801" t="s">
        <v>130</v>
      </c>
      <c r="AE801" s="97"/>
    </row>
    <row r="802" spans="1:31" ht="14.4" customHeight="1" x14ac:dyDescent="0.3">
      <c r="A802" t="s">
        <v>6847</v>
      </c>
      <c r="B802" t="s">
        <v>6848</v>
      </c>
      <c r="C802"/>
      <c r="D802"/>
      <c r="E802"/>
      <c r="F802"/>
      <c r="G802" t="s">
        <v>2162</v>
      </c>
      <c r="H802" t="s">
        <v>132</v>
      </c>
      <c r="I802" t="s">
        <v>2</v>
      </c>
      <c r="J802" t="s">
        <v>133</v>
      </c>
      <c r="K802" t="s">
        <v>52</v>
      </c>
      <c r="L802" t="s">
        <v>6849</v>
      </c>
      <c r="M802" t="s">
        <v>134</v>
      </c>
      <c r="N802" t="s">
        <v>135</v>
      </c>
      <c r="O802"/>
      <c r="P802"/>
      <c r="Q802" t="s">
        <v>168</v>
      </c>
      <c r="R802"/>
      <c r="S802" t="s">
        <v>168</v>
      </c>
      <c r="T802"/>
      <c r="U802" t="s">
        <v>137</v>
      </c>
      <c r="V802" t="s">
        <v>324</v>
      </c>
      <c r="W802"/>
      <c r="X802" t="s">
        <v>60</v>
      </c>
      <c r="Y802"/>
      <c r="Z802"/>
      <c r="AA802" t="s">
        <v>2163</v>
      </c>
      <c r="AB802" t="s">
        <v>2</v>
      </c>
      <c r="AC802" t="s">
        <v>138</v>
      </c>
      <c r="AD802" t="s">
        <v>128</v>
      </c>
      <c r="AE802" s="97"/>
    </row>
    <row r="803" spans="1:31" ht="14.4" customHeight="1" x14ac:dyDescent="0.3">
      <c r="A803" t="s">
        <v>6850</v>
      </c>
      <c r="B803" t="s">
        <v>6851</v>
      </c>
      <c r="C803"/>
      <c r="D803"/>
      <c r="E803"/>
      <c r="F803"/>
      <c r="G803" t="s">
        <v>2162</v>
      </c>
      <c r="H803" t="s">
        <v>132</v>
      </c>
      <c r="I803" t="s">
        <v>2</v>
      </c>
      <c r="J803" t="s">
        <v>133</v>
      </c>
      <c r="K803" t="s">
        <v>52</v>
      </c>
      <c r="L803" t="s">
        <v>6849</v>
      </c>
      <c r="M803" t="s">
        <v>134</v>
      </c>
      <c r="N803" t="s">
        <v>135</v>
      </c>
      <c r="O803"/>
      <c r="P803"/>
      <c r="Q803" t="s">
        <v>168</v>
      </c>
      <c r="R803"/>
      <c r="S803" t="s">
        <v>168</v>
      </c>
      <c r="T803"/>
      <c r="U803" t="s">
        <v>137</v>
      </c>
      <c r="V803" t="s">
        <v>324</v>
      </c>
      <c r="W803"/>
      <c r="X803" t="s">
        <v>60</v>
      </c>
      <c r="Y803"/>
      <c r="Z803"/>
      <c r="AA803" t="s">
        <v>2163</v>
      </c>
      <c r="AB803" t="s">
        <v>2</v>
      </c>
      <c r="AC803" t="s">
        <v>138</v>
      </c>
      <c r="AD803" t="s">
        <v>128</v>
      </c>
      <c r="AE803" s="97"/>
    </row>
    <row r="804" spans="1:31" ht="14.4" customHeight="1" x14ac:dyDescent="0.3">
      <c r="A804" t="s">
        <v>6852</v>
      </c>
      <c r="B804" t="s">
        <v>6853</v>
      </c>
      <c r="C804"/>
      <c r="D804"/>
      <c r="E804"/>
      <c r="F804"/>
      <c r="G804" t="s">
        <v>2162</v>
      </c>
      <c r="H804" t="s">
        <v>132</v>
      </c>
      <c r="I804" t="s">
        <v>2</v>
      </c>
      <c r="J804" t="s">
        <v>133</v>
      </c>
      <c r="K804" t="s">
        <v>52</v>
      </c>
      <c r="L804" t="s">
        <v>6854</v>
      </c>
      <c r="M804" t="s">
        <v>134</v>
      </c>
      <c r="N804" t="s">
        <v>135</v>
      </c>
      <c r="O804"/>
      <c r="P804"/>
      <c r="Q804" t="s">
        <v>168</v>
      </c>
      <c r="R804"/>
      <c r="S804" t="s">
        <v>168</v>
      </c>
      <c r="T804"/>
      <c r="U804" t="s">
        <v>137</v>
      </c>
      <c r="V804" t="s">
        <v>328</v>
      </c>
      <c r="W804"/>
      <c r="X804" t="s">
        <v>65</v>
      </c>
      <c r="Y804"/>
      <c r="Z804"/>
      <c r="AA804" t="s">
        <v>2163</v>
      </c>
      <c r="AB804" t="s">
        <v>2</v>
      </c>
      <c r="AC804" t="s">
        <v>138</v>
      </c>
      <c r="AD804" t="s">
        <v>128</v>
      </c>
      <c r="AE804" s="97"/>
    </row>
    <row r="805" spans="1:31" ht="14.4" customHeight="1" x14ac:dyDescent="0.3">
      <c r="A805" t="s">
        <v>6855</v>
      </c>
      <c r="B805" t="s">
        <v>6856</v>
      </c>
      <c r="C805"/>
      <c r="D805"/>
      <c r="E805"/>
      <c r="F805"/>
      <c r="G805" t="s">
        <v>2162</v>
      </c>
      <c r="H805" t="s">
        <v>132</v>
      </c>
      <c r="I805" t="s">
        <v>2</v>
      </c>
      <c r="J805" t="s">
        <v>133</v>
      </c>
      <c r="K805" t="s">
        <v>52</v>
      </c>
      <c r="L805" t="s">
        <v>6854</v>
      </c>
      <c r="M805" t="s">
        <v>134</v>
      </c>
      <c r="N805" t="s">
        <v>135</v>
      </c>
      <c r="O805"/>
      <c r="P805"/>
      <c r="Q805" t="s">
        <v>168</v>
      </c>
      <c r="R805"/>
      <c r="S805" t="s">
        <v>168</v>
      </c>
      <c r="T805"/>
      <c r="U805" t="s">
        <v>137</v>
      </c>
      <c r="V805" t="s">
        <v>328</v>
      </c>
      <c r="W805"/>
      <c r="X805" t="s">
        <v>65</v>
      </c>
      <c r="Y805"/>
      <c r="Z805"/>
      <c r="AA805" t="s">
        <v>2163</v>
      </c>
      <c r="AB805" t="s">
        <v>2</v>
      </c>
      <c r="AC805" t="s">
        <v>138</v>
      </c>
      <c r="AD805" t="s">
        <v>128</v>
      </c>
      <c r="AE805" s="97"/>
    </row>
    <row r="806" spans="1:31" ht="14.4" customHeight="1" x14ac:dyDescent="0.3">
      <c r="A806" t="s">
        <v>6857</v>
      </c>
      <c r="B806" t="s">
        <v>6858</v>
      </c>
      <c r="C806"/>
      <c r="D806"/>
      <c r="E806"/>
      <c r="F806"/>
      <c r="G806" t="s">
        <v>2162</v>
      </c>
      <c r="H806" t="s">
        <v>132</v>
      </c>
      <c r="I806" t="s">
        <v>2</v>
      </c>
      <c r="J806" t="s">
        <v>133</v>
      </c>
      <c r="K806" t="s">
        <v>52</v>
      </c>
      <c r="L806" t="s">
        <v>6859</v>
      </c>
      <c r="M806" t="s">
        <v>134</v>
      </c>
      <c r="N806" t="s">
        <v>135</v>
      </c>
      <c r="O806"/>
      <c r="P806"/>
      <c r="Q806" t="s">
        <v>168</v>
      </c>
      <c r="R806"/>
      <c r="S806" t="s">
        <v>168</v>
      </c>
      <c r="T806"/>
      <c r="U806" t="s">
        <v>137</v>
      </c>
      <c r="V806" t="s">
        <v>332</v>
      </c>
      <c r="W806"/>
      <c r="X806" t="s">
        <v>80</v>
      </c>
      <c r="Y806"/>
      <c r="Z806"/>
      <c r="AA806" t="s">
        <v>2163</v>
      </c>
      <c r="AB806" t="s">
        <v>2</v>
      </c>
      <c r="AC806" t="s">
        <v>138</v>
      </c>
      <c r="AD806" t="s">
        <v>129</v>
      </c>
      <c r="AE806" s="97"/>
    </row>
    <row r="807" spans="1:31" ht="14.4" customHeight="1" x14ac:dyDescent="0.3">
      <c r="A807" t="s">
        <v>6860</v>
      </c>
      <c r="B807" t="s">
        <v>6861</v>
      </c>
      <c r="C807"/>
      <c r="D807"/>
      <c r="E807"/>
      <c r="F807"/>
      <c r="G807" t="s">
        <v>2162</v>
      </c>
      <c r="H807" t="s">
        <v>132</v>
      </c>
      <c r="I807" t="s">
        <v>2</v>
      </c>
      <c r="J807" t="s">
        <v>133</v>
      </c>
      <c r="K807" t="s">
        <v>52</v>
      </c>
      <c r="L807" t="s">
        <v>6859</v>
      </c>
      <c r="M807" t="s">
        <v>134</v>
      </c>
      <c r="N807" t="s">
        <v>135</v>
      </c>
      <c r="O807"/>
      <c r="P807"/>
      <c r="Q807" t="s">
        <v>168</v>
      </c>
      <c r="R807"/>
      <c r="S807" t="s">
        <v>168</v>
      </c>
      <c r="T807"/>
      <c r="U807" t="s">
        <v>137</v>
      </c>
      <c r="V807" t="s">
        <v>332</v>
      </c>
      <c r="W807"/>
      <c r="X807" t="s">
        <v>80</v>
      </c>
      <c r="Y807"/>
      <c r="Z807"/>
      <c r="AA807" t="s">
        <v>2163</v>
      </c>
      <c r="AB807" t="s">
        <v>2</v>
      </c>
      <c r="AC807" t="s">
        <v>138</v>
      </c>
      <c r="AD807" t="s">
        <v>129</v>
      </c>
      <c r="AE807" s="97"/>
    </row>
    <row r="808" spans="1:31" ht="14.4" customHeight="1" x14ac:dyDescent="0.3">
      <c r="A808" t="s">
        <v>6862</v>
      </c>
      <c r="B808" t="s">
        <v>6863</v>
      </c>
      <c r="C808"/>
      <c r="D808"/>
      <c r="E808"/>
      <c r="F808"/>
      <c r="G808" t="s">
        <v>2162</v>
      </c>
      <c r="H808" t="s">
        <v>132</v>
      </c>
      <c r="I808" t="s">
        <v>2</v>
      </c>
      <c r="J808" t="s">
        <v>133</v>
      </c>
      <c r="K808" t="s">
        <v>52</v>
      </c>
      <c r="L808" t="s">
        <v>6864</v>
      </c>
      <c r="M808" t="s">
        <v>134</v>
      </c>
      <c r="N808" t="s">
        <v>135</v>
      </c>
      <c r="O808"/>
      <c r="P808"/>
      <c r="Q808" t="s">
        <v>168</v>
      </c>
      <c r="R808"/>
      <c r="S808" t="s">
        <v>168</v>
      </c>
      <c r="T808"/>
      <c r="U808" t="s">
        <v>137</v>
      </c>
      <c r="V808" t="s">
        <v>336</v>
      </c>
      <c r="W808"/>
      <c r="X808" t="s">
        <v>84</v>
      </c>
      <c r="Y808"/>
      <c r="Z808"/>
      <c r="AA808" t="s">
        <v>2163</v>
      </c>
      <c r="AB808" t="s">
        <v>2</v>
      </c>
      <c r="AC808" t="s">
        <v>138</v>
      </c>
      <c r="AD808" t="s">
        <v>129</v>
      </c>
      <c r="AE808" s="97"/>
    </row>
    <row r="809" spans="1:31" ht="14.4" customHeight="1" x14ac:dyDescent="0.3">
      <c r="A809" t="s">
        <v>6865</v>
      </c>
      <c r="B809" t="s">
        <v>6866</v>
      </c>
      <c r="C809"/>
      <c r="D809"/>
      <c r="E809"/>
      <c r="F809"/>
      <c r="G809" t="s">
        <v>2162</v>
      </c>
      <c r="H809" t="s">
        <v>132</v>
      </c>
      <c r="I809" t="s">
        <v>2</v>
      </c>
      <c r="J809" t="s">
        <v>133</v>
      </c>
      <c r="K809" t="s">
        <v>52</v>
      </c>
      <c r="L809" t="s">
        <v>6864</v>
      </c>
      <c r="M809" t="s">
        <v>134</v>
      </c>
      <c r="N809" t="s">
        <v>135</v>
      </c>
      <c r="O809"/>
      <c r="P809"/>
      <c r="Q809" t="s">
        <v>168</v>
      </c>
      <c r="R809"/>
      <c r="S809" t="s">
        <v>168</v>
      </c>
      <c r="T809"/>
      <c r="U809" t="s">
        <v>137</v>
      </c>
      <c r="V809" t="s">
        <v>336</v>
      </c>
      <c r="W809"/>
      <c r="X809" t="s">
        <v>84</v>
      </c>
      <c r="Y809"/>
      <c r="Z809"/>
      <c r="AA809" t="s">
        <v>2163</v>
      </c>
      <c r="AB809" t="s">
        <v>2</v>
      </c>
      <c r="AC809" t="s">
        <v>138</v>
      </c>
      <c r="AD809" t="s">
        <v>129</v>
      </c>
      <c r="AE809" s="97"/>
    </row>
    <row r="810" spans="1:31" ht="14.4" customHeight="1" x14ac:dyDescent="0.3">
      <c r="A810" t="s">
        <v>6867</v>
      </c>
      <c r="B810" t="s">
        <v>6868</v>
      </c>
      <c r="C810"/>
      <c r="D810"/>
      <c r="E810"/>
      <c r="F810"/>
      <c r="G810" t="s">
        <v>2162</v>
      </c>
      <c r="H810" t="s">
        <v>132</v>
      </c>
      <c r="I810" t="s">
        <v>2</v>
      </c>
      <c r="J810" t="s">
        <v>133</v>
      </c>
      <c r="K810" t="s">
        <v>52</v>
      </c>
      <c r="L810" t="s">
        <v>6869</v>
      </c>
      <c r="M810" t="s">
        <v>134</v>
      </c>
      <c r="N810" t="s">
        <v>135</v>
      </c>
      <c r="O810"/>
      <c r="P810"/>
      <c r="Q810" t="s">
        <v>168</v>
      </c>
      <c r="R810"/>
      <c r="S810" t="s">
        <v>168</v>
      </c>
      <c r="T810"/>
      <c r="U810" t="s">
        <v>137</v>
      </c>
      <c r="V810" t="s">
        <v>340</v>
      </c>
      <c r="W810"/>
      <c r="X810" t="s">
        <v>93</v>
      </c>
      <c r="Y810"/>
      <c r="Z810"/>
      <c r="AA810" t="s">
        <v>2163</v>
      </c>
      <c r="AB810" t="s">
        <v>2</v>
      </c>
      <c r="AC810" t="s">
        <v>138</v>
      </c>
      <c r="AD810" t="s">
        <v>129</v>
      </c>
      <c r="AE810" s="97"/>
    </row>
    <row r="811" spans="1:31" ht="14.4" customHeight="1" x14ac:dyDescent="0.3">
      <c r="A811" t="s">
        <v>6870</v>
      </c>
      <c r="B811" t="s">
        <v>6871</v>
      </c>
      <c r="C811"/>
      <c r="D811"/>
      <c r="E811"/>
      <c r="F811"/>
      <c r="G811" t="s">
        <v>2162</v>
      </c>
      <c r="H811" t="s">
        <v>132</v>
      </c>
      <c r="I811" t="s">
        <v>2</v>
      </c>
      <c r="J811" t="s">
        <v>133</v>
      </c>
      <c r="K811" t="s">
        <v>52</v>
      </c>
      <c r="L811" t="s">
        <v>6869</v>
      </c>
      <c r="M811" t="s">
        <v>134</v>
      </c>
      <c r="N811" t="s">
        <v>135</v>
      </c>
      <c r="O811"/>
      <c r="P811"/>
      <c r="Q811" t="s">
        <v>168</v>
      </c>
      <c r="R811"/>
      <c r="S811" t="s">
        <v>168</v>
      </c>
      <c r="T811"/>
      <c r="U811" t="s">
        <v>137</v>
      </c>
      <c r="V811" t="s">
        <v>340</v>
      </c>
      <c r="W811"/>
      <c r="X811" t="s">
        <v>93</v>
      </c>
      <c r="Y811"/>
      <c r="Z811"/>
      <c r="AA811" t="s">
        <v>2163</v>
      </c>
      <c r="AB811" t="s">
        <v>2</v>
      </c>
      <c r="AC811" t="s">
        <v>138</v>
      </c>
      <c r="AD811" t="s">
        <v>129</v>
      </c>
      <c r="AE811" s="97"/>
    </row>
    <row r="812" spans="1:31" ht="14.4" customHeight="1" x14ac:dyDescent="0.3">
      <c r="A812" t="s">
        <v>6872</v>
      </c>
      <c r="B812" t="s">
        <v>6873</v>
      </c>
      <c r="C812"/>
      <c r="D812"/>
      <c r="E812"/>
      <c r="F812"/>
      <c r="G812" t="s">
        <v>2162</v>
      </c>
      <c r="H812" t="s">
        <v>132</v>
      </c>
      <c r="I812" t="s">
        <v>2</v>
      </c>
      <c r="J812" t="s">
        <v>133</v>
      </c>
      <c r="K812" t="s">
        <v>52</v>
      </c>
      <c r="L812" t="s">
        <v>6874</v>
      </c>
      <c r="M812" t="s">
        <v>134</v>
      </c>
      <c r="N812" t="s">
        <v>135</v>
      </c>
      <c r="O812"/>
      <c r="P812"/>
      <c r="Q812" t="s">
        <v>168</v>
      </c>
      <c r="R812"/>
      <c r="S812" t="s">
        <v>168</v>
      </c>
      <c r="T812"/>
      <c r="U812" t="s">
        <v>137</v>
      </c>
      <c r="V812" t="s">
        <v>344</v>
      </c>
      <c r="W812"/>
      <c r="X812" t="s">
        <v>102</v>
      </c>
      <c r="Y812"/>
      <c r="Z812"/>
      <c r="AA812" t="s">
        <v>2163</v>
      </c>
      <c r="AB812" t="s">
        <v>2</v>
      </c>
      <c r="AC812" t="s">
        <v>138</v>
      </c>
      <c r="AD812" t="s">
        <v>129</v>
      </c>
      <c r="AE812" s="97"/>
    </row>
    <row r="813" spans="1:31" ht="14.4" customHeight="1" x14ac:dyDescent="0.3">
      <c r="A813" t="s">
        <v>6875</v>
      </c>
      <c r="B813" t="s">
        <v>6876</v>
      </c>
      <c r="C813"/>
      <c r="D813"/>
      <c r="E813"/>
      <c r="F813"/>
      <c r="G813" t="s">
        <v>2162</v>
      </c>
      <c r="H813" t="s">
        <v>132</v>
      </c>
      <c r="I813" t="s">
        <v>2</v>
      </c>
      <c r="J813" t="s">
        <v>133</v>
      </c>
      <c r="K813" t="s">
        <v>52</v>
      </c>
      <c r="L813" t="s">
        <v>6874</v>
      </c>
      <c r="M813" t="s">
        <v>134</v>
      </c>
      <c r="N813" t="s">
        <v>135</v>
      </c>
      <c r="O813"/>
      <c r="P813"/>
      <c r="Q813" t="s">
        <v>168</v>
      </c>
      <c r="R813"/>
      <c r="S813" t="s">
        <v>168</v>
      </c>
      <c r="T813"/>
      <c r="U813" t="s">
        <v>137</v>
      </c>
      <c r="V813" t="s">
        <v>344</v>
      </c>
      <c r="W813"/>
      <c r="X813" t="s">
        <v>102</v>
      </c>
      <c r="Y813"/>
      <c r="Z813"/>
      <c r="AA813" t="s">
        <v>2163</v>
      </c>
      <c r="AB813" t="s">
        <v>2</v>
      </c>
      <c r="AC813" t="s">
        <v>138</v>
      </c>
      <c r="AD813" t="s">
        <v>129</v>
      </c>
      <c r="AE813" s="97"/>
    </row>
    <row r="814" spans="1:31" ht="14.4" customHeight="1" x14ac:dyDescent="0.3">
      <c r="A814" t="s">
        <v>6877</v>
      </c>
      <c r="B814" t="s">
        <v>6878</v>
      </c>
      <c r="C814"/>
      <c r="D814"/>
      <c r="E814"/>
      <c r="F814"/>
      <c r="G814" t="s">
        <v>2162</v>
      </c>
      <c r="H814" t="s">
        <v>132</v>
      </c>
      <c r="I814" t="s">
        <v>2</v>
      </c>
      <c r="J814" t="s">
        <v>133</v>
      </c>
      <c r="K814" t="s">
        <v>52</v>
      </c>
      <c r="L814" t="s">
        <v>6879</v>
      </c>
      <c r="M814" t="s">
        <v>134</v>
      </c>
      <c r="N814" t="s">
        <v>135</v>
      </c>
      <c r="O814"/>
      <c r="P814"/>
      <c r="Q814" t="s">
        <v>168</v>
      </c>
      <c r="R814"/>
      <c r="S814" t="s">
        <v>168</v>
      </c>
      <c r="T814"/>
      <c r="U814" t="s">
        <v>137</v>
      </c>
      <c r="V814" t="s">
        <v>348</v>
      </c>
      <c r="W814"/>
      <c r="X814" t="s">
        <v>116</v>
      </c>
      <c r="Y814"/>
      <c r="Z814"/>
      <c r="AA814" t="s">
        <v>2163</v>
      </c>
      <c r="AB814" t="s">
        <v>2</v>
      </c>
      <c r="AC814" t="s">
        <v>138</v>
      </c>
      <c r="AD814" t="s">
        <v>130</v>
      </c>
      <c r="AE814" s="97"/>
    </row>
    <row r="815" spans="1:31" ht="14.4" customHeight="1" x14ac:dyDescent="0.3">
      <c r="A815" t="s">
        <v>6880</v>
      </c>
      <c r="B815" t="s">
        <v>6881</v>
      </c>
      <c r="C815"/>
      <c r="D815"/>
      <c r="E815"/>
      <c r="F815"/>
      <c r="G815" t="s">
        <v>2162</v>
      </c>
      <c r="H815" t="s">
        <v>132</v>
      </c>
      <c r="I815" t="s">
        <v>2</v>
      </c>
      <c r="J815" t="s">
        <v>133</v>
      </c>
      <c r="K815" t="s">
        <v>52</v>
      </c>
      <c r="L815" t="s">
        <v>6879</v>
      </c>
      <c r="M815" t="s">
        <v>134</v>
      </c>
      <c r="N815" t="s">
        <v>135</v>
      </c>
      <c r="O815"/>
      <c r="P815"/>
      <c r="Q815" t="s">
        <v>168</v>
      </c>
      <c r="R815"/>
      <c r="S815" t="s">
        <v>168</v>
      </c>
      <c r="T815"/>
      <c r="U815" t="s">
        <v>137</v>
      </c>
      <c r="V815" t="s">
        <v>348</v>
      </c>
      <c r="W815"/>
      <c r="X815" t="s">
        <v>116</v>
      </c>
      <c r="Y815"/>
      <c r="Z815"/>
      <c r="AA815" t="s">
        <v>2163</v>
      </c>
      <c r="AB815" t="s">
        <v>2</v>
      </c>
      <c r="AC815" t="s">
        <v>138</v>
      </c>
      <c r="AD815" t="s">
        <v>130</v>
      </c>
      <c r="AE815" s="97"/>
    </row>
    <row r="816" spans="1:31" ht="14.4" customHeight="1" x14ac:dyDescent="0.3">
      <c r="A816" t="s">
        <v>6882</v>
      </c>
      <c r="B816" t="s">
        <v>6883</v>
      </c>
      <c r="C816"/>
      <c r="D816"/>
      <c r="E816"/>
      <c r="F816"/>
      <c r="G816" t="s">
        <v>2162</v>
      </c>
      <c r="H816" t="s">
        <v>132</v>
      </c>
      <c r="I816" t="s">
        <v>2</v>
      </c>
      <c r="J816" t="s">
        <v>133</v>
      </c>
      <c r="K816" t="s">
        <v>52</v>
      </c>
      <c r="L816" t="s">
        <v>6884</v>
      </c>
      <c r="M816" t="s">
        <v>134</v>
      </c>
      <c r="N816" t="s">
        <v>135</v>
      </c>
      <c r="O816"/>
      <c r="P816"/>
      <c r="Q816" t="s">
        <v>168</v>
      </c>
      <c r="R816"/>
      <c r="S816" t="s">
        <v>168</v>
      </c>
      <c r="T816"/>
      <c r="U816" t="s">
        <v>137</v>
      </c>
      <c r="V816" t="s">
        <v>352</v>
      </c>
      <c r="W816"/>
      <c r="X816" t="s">
        <v>56</v>
      </c>
      <c r="Y816"/>
      <c r="Z816"/>
      <c r="AA816" t="s">
        <v>2163</v>
      </c>
      <c r="AB816" t="s">
        <v>2</v>
      </c>
      <c r="AC816" t="s">
        <v>138</v>
      </c>
      <c r="AD816" t="s">
        <v>128</v>
      </c>
      <c r="AE816" s="97"/>
    </row>
    <row r="817" spans="1:31" ht="14.4" customHeight="1" x14ac:dyDescent="0.3">
      <c r="A817" t="s">
        <v>6885</v>
      </c>
      <c r="B817" t="s">
        <v>6886</v>
      </c>
      <c r="C817"/>
      <c r="D817"/>
      <c r="E817"/>
      <c r="F817"/>
      <c r="G817" t="s">
        <v>2162</v>
      </c>
      <c r="H817" t="s">
        <v>132</v>
      </c>
      <c r="I817" t="s">
        <v>2</v>
      </c>
      <c r="J817" t="s">
        <v>133</v>
      </c>
      <c r="K817" t="s">
        <v>52</v>
      </c>
      <c r="L817" t="s">
        <v>6884</v>
      </c>
      <c r="M817" t="s">
        <v>134</v>
      </c>
      <c r="N817" t="s">
        <v>135</v>
      </c>
      <c r="O817"/>
      <c r="P817"/>
      <c r="Q817" t="s">
        <v>168</v>
      </c>
      <c r="R817"/>
      <c r="S817" t="s">
        <v>168</v>
      </c>
      <c r="T817"/>
      <c r="U817" t="s">
        <v>137</v>
      </c>
      <c r="V817" t="s">
        <v>352</v>
      </c>
      <c r="W817"/>
      <c r="X817" t="s">
        <v>56</v>
      </c>
      <c r="Y817"/>
      <c r="Z817"/>
      <c r="AA817" t="s">
        <v>2163</v>
      </c>
      <c r="AB817" t="s">
        <v>2</v>
      </c>
      <c r="AC817" t="s">
        <v>138</v>
      </c>
      <c r="AD817" t="s">
        <v>128</v>
      </c>
      <c r="AE817" s="97"/>
    </row>
    <row r="818" spans="1:31" ht="14.4" customHeight="1" x14ac:dyDescent="0.3">
      <c r="A818" t="s">
        <v>6887</v>
      </c>
      <c r="B818" t="s">
        <v>6888</v>
      </c>
      <c r="C818"/>
      <c r="D818"/>
      <c r="E818"/>
      <c r="F818"/>
      <c r="G818" t="s">
        <v>2162</v>
      </c>
      <c r="H818" t="s">
        <v>132</v>
      </c>
      <c r="I818" t="s">
        <v>2</v>
      </c>
      <c r="J818" t="s">
        <v>133</v>
      </c>
      <c r="K818" t="s">
        <v>52</v>
      </c>
      <c r="L818" t="s">
        <v>3182</v>
      </c>
      <c r="M818" t="s">
        <v>134</v>
      </c>
      <c r="N818" t="s">
        <v>135</v>
      </c>
      <c r="O818"/>
      <c r="P818"/>
      <c r="Q818" t="s">
        <v>168</v>
      </c>
      <c r="R818"/>
      <c r="S818" t="s">
        <v>168</v>
      </c>
      <c r="T818"/>
      <c r="U818" t="s">
        <v>137</v>
      </c>
      <c r="V818" t="s">
        <v>352</v>
      </c>
      <c r="W818"/>
      <c r="X818" t="s">
        <v>56</v>
      </c>
      <c r="Y818"/>
      <c r="Z818"/>
      <c r="AA818" t="s">
        <v>2163</v>
      </c>
      <c r="AB818" t="s">
        <v>2</v>
      </c>
      <c r="AC818" t="s">
        <v>138</v>
      </c>
      <c r="AD818" t="s">
        <v>128</v>
      </c>
      <c r="AE818" s="97"/>
    </row>
    <row r="819" spans="1:31" ht="14.4" customHeight="1" x14ac:dyDescent="0.3">
      <c r="A819" t="s">
        <v>6889</v>
      </c>
      <c r="B819" t="s">
        <v>6890</v>
      </c>
      <c r="C819"/>
      <c r="D819"/>
      <c r="E819"/>
      <c r="F819"/>
      <c r="G819" t="s">
        <v>2162</v>
      </c>
      <c r="H819" t="s">
        <v>132</v>
      </c>
      <c r="I819" t="s">
        <v>2</v>
      </c>
      <c r="J819" t="s">
        <v>133</v>
      </c>
      <c r="K819" t="s">
        <v>52</v>
      </c>
      <c r="L819" t="s">
        <v>3182</v>
      </c>
      <c r="M819" t="s">
        <v>134</v>
      </c>
      <c r="N819" t="s">
        <v>135</v>
      </c>
      <c r="O819"/>
      <c r="P819"/>
      <c r="Q819" t="s">
        <v>168</v>
      </c>
      <c r="R819"/>
      <c r="S819" t="s">
        <v>168</v>
      </c>
      <c r="T819"/>
      <c r="U819" t="s">
        <v>137</v>
      </c>
      <c r="V819" t="s">
        <v>352</v>
      </c>
      <c r="W819"/>
      <c r="X819" t="s">
        <v>56</v>
      </c>
      <c r="Y819"/>
      <c r="Z819"/>
      <c r="AA819" t="s">
        <v>2163</v>
      </c>
      <c r="AB819" t="s">
        <v>2</v>
      </c>
      <c r="AC819" t="s">
        <v>138</v>
      </c>
      <c r="AD819" t="s">
        <v>128</v>
      </c>
      <c r="AE819" s="97"/>
    </row>
    <row r="820" spans="1:31" ht="14.4" customHeight="1" x14ac:dyDescent="0.3">
      <c r="A820" t="s">
        <v>6891</v>
      </c>
      <c r="B820" t="s">
        <v>6892</v>
      </c>
      <c r="C820"/>
      <c r="D820"/>
      <c r="E820"/>
      <c r="F820"/>
      <c r="G820" t="s">
        <v>2162</v>
      </c>
      <c r="H820" t="s">
        <v>132</v>
      </c>
      <c r="I820" t="s">
        <v>2</v>
      </c>
      <c r="J820" t="s">
        <v>133</v>
      </c>
      <c r="K820" t="s">
        <v>52</v>
      </c>
      <c r="L820" t="s">
        <v>6893</v>
      </c>
      <c r="M820" t="s">
        <v>134</v>
      </c>
      <c r="N820" t="s">
        <v>135</v>
      </c>
      <c r="O820"/>
      <c r="P820"/>
      <c r="Q820" t="s">
        <v>168</v>
      </c>
      <c r="R820"/>
      <c r="S820" t="s">
        <v>168</v>
      </c>
      <c r="T820"/>
      <c r="U820" t="s">
        <v>137</v>
      </c>
      <c r="V820" t="s">
        <v>1279</v>
      </c>
      <c r="W820"/>
      <c r="X820" t="s">
        <v>71</v>
      </c>
      <c r="Y820"/>
      <c r="Z820"/>
      <c r="AA820" t="s">
        <v>2163</v>
      </c>
      <c r="AB820" t="s">
        <v>2</v>
      </c>
      <c r="AC820" t="s">
        <v>138</v>
      </c>
      <c r="AD820" t="s">
        <v>128</v>
      </c>
      <c r="AE820" s="97"/>
    </row>
    <row r="821" spans="1:31" ht="14.4" customHeight="1" x14ac:dyDescent="0.3">
      <c r="A821" t="s">
        <v>6894</v>
      </c>
      <c r="B821" t="s">
        <v>6895</v>
      </c>
      <c r="C821"/>
      <c r="D821"/>
      <c r="E821"/>
      <c r="F821"/>
      <c r="G821" t="s">
        <v>2162</v>
      </c>
      <c r="H821" t="s">
        <v>132</v>
      </c>
      <c r="I821" t="s">
        <v>2</v>
      </c>
      <c r="J821" t="s">
        <v>133</v>
      </c>
      <c r="K821" t="s">
        <v>52</v>
      </c>
      <c r="L821" t="s">
        <v>6896</v>
      </c>
      <c r="M821" t="s">
        <v>134</v>
      </c>
      <c r="N821" t="s">
        <v>135</v>
      </c>
      <c r="O821"/>
      <c r="P821"/>
      <c r="Q821" t="s">
        <v>168</v>
      </c>
      <c r="R821"/>
      <c r="S821" t="s">
        <v>168</v>
      </c>
      <c r="T821"/>
      <c r="U821" t="s">
        <v>137</v>
      </c>
      <c r="V821" t="s">
        <v>1283</v>
      </c>
      <c r="W821"/>
      <c r="X821" t="s">
        <v>78</v>
      </c>
      <c r="Y821"/>
      <c r="Z821"/>
      <c r="AA821" t="s">
        <v>2163</v>
      </c>
      <c r="AB821" t="s">
        <v>2</v>
      </c>
      <c r="AC821" t="s">
        <v>138</v>
      </c>
      <c r="AD821" t="s">
        <v>128</v>
      </c>
      <c r="AE821" s="97"/>
    </row>
    <row r="822" spans="1:31" ht="14.4" customHeight="1" x14ac:dyDescent="0.3">
      <c r="A822" t="s">
        <v>6897</v>
      </c>
      <c r="B822" t="s">
        <v>6898</v>
      </c>
      <c r="C822"/>
      <c r="D822"/>
      <c r="E822"/>
      <c r="F822"/>
      <c r="G822" t="s">
        <v>2162</v>
      </c>
      <c r="H822" t="s">
        <v>132</v>
      </c>
      <c r="I822" t="s">
        <v>2</v>
      </c>
      <c r="J822" t="s">
        <v>133</v>
      </c>
      <c r="K822" t="s">
        <v>52</v>
      </c>
      <c r="L822" t="s">
        <v>6899</v>
      </c>
      <c r="M822" t="s">
        <v>134</v>
      </c>
      <c r="N822" t="s">
        <v>135</v>
      </c>
      <c r="O822"/>
      <c r="P822"/>
      <c r="Q822" t="s">
        <v>168</v>
      </c>
      <c r="R822"/>
      <c r="S822" t="s">
        <v>168</v>
      </c>
      <c r="T822"/>
      <c r="U822" t="s">
        <v>137</v>
      </c>
      <c r="V822" t="s">
        <v>1287</v>
      </c>
      <c r="W822"/>
      <c r="X822" t="s">
        <v>89</v>
      </c>
      <c r="Y822"/>
      <c r="Z822"/>
      <c r="AA822" t="s">
        <v>2163</v>
      </c>
      <c r="AB822" t="s">
        <v>2</v>
      </c>
      <c r="AC822" t="s">
        <v>138</v>
      </c>
      <c r="AD822" t="s">
        <v>129</v>
      </c>
      <c r="AE822" s="97"/>
    </row>
    <row r="823" spans="1:31" ht="14.4" customHeight="1" x14ac:dyDescent="0.3">
      <c r="A823" t="s">
        <v>6900</v>
      </c>
      <c r="B823" t="s">
        <v>6901</v>
      </c>
      <c r="C823"/>
      <c r="D823"/>
      <c r="E823"/>
      <c r="F823"/>
      <c r="G823" t="s">
        <v>2162</v>
      </c>
      <c r="H823" t="s">
        <v>132</v>
      </c>
      <c r="I823" t="s">
        <v>2</v>
      </c>
      <c r="J823" t="s">
        <v>133</v>
      </c>
      <c r="K823" t="s">
        <v>52</v>
      </c>
      <c r="L823" t="s">
        <v>6902</v>
      </c>
      <c r="M823" t="s">
        <v>134</v>
      </c>
      <c r="N823" t="s">
        <v>135</v>
      </c>
      <c r="O823"/>
      <c r="P823"/>
      <c r="Q823" t="s">
        <v>168</v>
      </c>
      <c r="R823"/>
      <c r="S823" t="s">
        <v>168</v>
      </c>
      <c r="T823"/>
      <c r="U823" t="s">
        <v>137</v>
      </c>
      <c r="V823" t="s">
        <v>1291</v>
      </c>
      <c r="W823"/>
      <c r="X823" t="s">
        <v>98</v>
      </c>
      <c r="Y823"/>
      <c r="Z823"/>
      <c r="AA823" t="s">
        <v>2163</v>
      </c>
      <c r="AB823" t="s">
        <v>2</v>
      </c>
      <c r="AC823" t="s">
        <v>138</v>
      </c>
      <c r="AD823" t="s">
        <v>129</v>
      </c>
      <c r="AE823" s="97"/>
    </row>
    <row r="824" spans="1:31" ht="14.4" customHeight="1" x14ac:dyDescent="0.3">
      <c r="A824" t="s">
        <v>6903</v>
      </c>
      <c r="B824" t="s">
        <v>6904</v>
      </c>
      <c r="C824"/>
      <c r="D824"/>
      <c r="E824"/>
      <c r="F824"/>
      <c r="G824" t="s">
        <v>2162</v>
      </c>
      <c r="H824" t="s">
        <v>132</v>
      </c>
      <c r="I824" t="s">
        <v>2</v>
      </c>
      <c r="J824" t="s">
        <v>133</v>
      </c>
      <c r="K824" t="s">
        <v>52</v>
      </c>
      <c r="L824" t="s">
        <v>6905</v>
      </c>
      <c r="M824" t="s">
        <v>134</v>
      </c>
      <c r="N824" t="s">
        <v>135</v>
      </c>
      <c r="O824"/>
      <c r="P824"/>
      <c r="Q824" t="s">
        <v>168</v>
      </c>
      <c r="R824"/>
      <c r="S824" t="s">
        <v>168</v>
      </c>
      <c r="T824"/>
      <c r="U824" t="s">
        <v>137</v>
      </c>
      <c r="V824" t="s">
        <v>1295</v>
      </c>
      <c r="W824"/>
      <c r="X824" t="s">
        <v>107</v>
      </c>
      <c r="Y824"/>
      <c r="Z824"/>
      <c r="AA824" t="s">
        <v>2163</v>
      </c>
      <c r="AB824" t="s">
        <v>2</v>
      </c>
      <c r="AC824" t="s">
        <v>138</v>
      </c>
      <c r="AD824" t="s">
        <v>129</v>
      </c>
      <c r="AE824" s="97"/>
    </row>
    <row r="825" spans="1:31" ht="14.4" customHeight="1" x14ac:dyDescent="0.3">
      <c r="A825" t="s">
        <v>6906</v>
      </c>
      <c r="B825" t="s">
        <v>6907</v>
      </c>
      <c r="C825"/>
      <c r="D825"/>
      <c r="E825"/>
      <c r="F825"/>
      <c r="G825" t="s">
        <v>2162</v>
      </c>
      <c r="H825" t="s">
        <v>132</v>
      </c>
      <c r="I825" t="s">
        <v>2</v>
      </c>
      <c r="J825" t="s">
        <v>133</v>
      </c>
      <c r="K825" t="s">
        <v>52</v>
      </c>
      <c r="L825" t="s">
        <v>6908</v>
      </c>
      <c r="M825" t="s">
        <v>134</v>
      </c>
      <c r="N825" t="s">
        <v>135</v>
      </c>
      <c r="O825"/>
      <c r="P825"/>
      <c r="Q825" t="s">
        <v>168</v>
      </c>
      <c r="R825"/>
      <c r="S825" t="s">
        <v>168</v>
      </c>
      <c r="T825"/>
      <c r="U825" t="s">
        <v>137</v>
      </c>
      <c r="V825" t="s">
        <v>1299</v>
      </c>
      <c r="W825"/>
      <c r="X825" t="s">
        <v>114</v>
      </c>
      <c r="Y825"/>
      <c r="Z825"/>
      <c r="AA825" t="s">
        <v>2163</v>
      </c>
      <c r="AB825" t="s">
        <v>2</v>
      </c>
      <c r="AC825" t="s">
        <v>138</v>
      </c>
      <c r="AD825" t="s">
        <v>129</v>
      </c>
      <c r="AE825" s="97"/>
    </row>
    <row r="826" spans="1:31" ht="14.4" customHeight="1" x14ac:dyDescent="0.3">
      <c r="A826" t="s">
        <v>6909</v>
      </c>
      <c r="B826" t="s">
        <v>6910</v>
      </c>
      <c r="C826"/>
      <c r="D826"/>
      <c r="E826"/>
      <c r="F826"/>
      <c r="G826" t="s">
        <v>2162</v>
      </c>
      <c r="H826" t="s">
        <v>132</v>
      </c>
      <c r="I826" t="s">
        <v>2</v>
      </c>
      <c r="J826" t="s">
        <v>133</v>
      </c>
      <c r="K826" t="s">
        <v>52</v>
      </c>
      <c r="L826" t="s">
        <v>6911</v>
      </c>
      <c r="M826" t="s">
        <v>134</v>
      </c>
      <c r="N826" t="s">
        <v>135</v>
      </c>
      <c r="O826"/>
      <c r="P826"/>
      <c r="Q826" t="s">
        <v>168</v>
      </c>
      <c r="R826"/>
      <c r="S826" t="s">
        <v>168</v>
      </c>
      <c r="T826"/>
      <c r="U826" t="s">
        <v>137</v>
      </c>
      <c r="V826" t="s">
        <v>1303</v>
      </c>
      <c r="W826"/>
      <c r="X826" t="s">
        <v>123</v>
      </c>
      <c r="Y826"/>
      <c r="Z826"/>
      <c r="AA826" t="s">
        <v>2163</v>
      </c>
      <c r="AB826" t="s">
        <v>2</v>
      </c>
      <c r="AC826" t="s">
        <v>138</v>
      </c>
      <c r="AD826" t="s">
        <v>130</v>
      </c>
      <c r="AE826" s="97"/>
    </row>
    <row r="827" spans="1:31" ht="14.4" customHeight="1" x14ac:dyDescent="0.3">
      <c r="A827" t="s">
        <v>6912</v>
      </c>
      <c r="B827" t="s">
        <v>6913</v>
      </c>
      <c r="C827"/>
      <c r="D827"/>
      <c r="E827"/>
      <c r="F827"/>
      <c r="G827" t="s">
        <v>2162</v>
      </c>
      <c r="H827" t="s">
        <v>132</v>
      </c>
      <c r="I827" t="s">
        <v>2</v>
      </c>
      <c r="J827" t="s">
        <v>133</v>
      </c>
      <c r="K827" t="s">
        <v>52</v>
      </c>
      <c r="L827" t="s">
        <v>6893</v>
      </c>
      <c r="M827" t="s">
        <v>134</v>
      </c>
      <c r="N827" t="s">
        <v>135</v>
      </c>
      <c r="O827"/>
      <c r="P827"/>
      <c r="Q827" t="s">
        <v>168</v>
      </c>
      <c r="R827"/>
      <c r="S827" t="s">
        <v>168</v>
      </c>
      <c r="T827"/>
      <c r="U827" t="s">
        <v>137</v>
      </c>
      <c r="V827" t="s">
        <v>1279</v>
      </c>
      <c r="W827"/>
      <c r="X827" t="s">
        <v>71</v>
      </c>
      <c r="Y827"/>
      <c r="Z827"/>
      <c r="AA827" t="s">
        <v>2163</v>
      </c>
      <c r="AB827" t="s">
        <v>2</v>
      </c>
      <c r="AC827" t="s">
        <v>138</v>
      </c>
      <c r="AD827" t="s">
        <v>128</v>
      </c>
      <c r="AE827" s="97"/>
    </row>
    <row r="828" spans="1:31" ht="14.4" customHeight="1" x14ac:dyDescent="0.3">
      <c r="A828" t="s">
        <v>6914</v>
      </c>
      <c r="B828" t="s">
        <v>6915</v>
      </c>
      <c r="C828"/>
      <c r="D828"/>
      <c r="E828"/>
      <c r="F828"/>
      <c r="G828" t="s">
        <v>2162</v>
      </c>
      <c r="H828" t="s">
        <v>132</v>
      </c>
      <c r="I828" t="s">
        <v>2</v>
      </c>
      <c r="J828" t="s">
        <v>133</v>
      </c>
      <c r="K828" t="s">
        <v>52</v>
      </c>
      <c r="L828" t="s">
        <v>6896</v>
      </c>
      <c r="M828" t="s">
        <v>134</v>
      </c>
      <c r="N828" t="s">
        <v>135</v>
      </c>
      <c r="O828"/>
      <c r="P828"/>
      <c r="Q828" t="s">
        <v>168</v>
      </c>
      <c r="R828"/>
      <c r="S828" t="s">
        <v>168</v>
      </c>
      <c r="T828"/>
      <c r="U828" t="s">
        <v>137</v>
      </c>
      <c r="V828" t="s">
        <v>1283</v>
      </c>
      <c r="W828"/>
      <c r="X828" t="s">
        <v>78</v>
      </c>
      <c r="Y828"/>
      <c r="Z828"/>
      <c r="AA828" t="s">
        <v>2163</v>
      </c>
      <c r="AB828" t="s">
        <v>2</v>
      </c>
      <c r="AC828" t="s">
        <v>138</v>
      </c>
      <c r="AD828" t="s">
        <v>128</v>
      </c>
      <c r="AE828" s="97"/>
    </row>
    <row r="829" spans="1:31" ht="14.4" customHeight="1" x14ac:dyDescent="0.3">
      <c r="A829" t="s">
        <v>6916</v>
      </c>
      <c r="B829" t="s">
        <v>6917</v>
      </c>
      <c r="C829"/>
      <c r="D829"/>
      <c r="E829"/>
      <c r="F829"/>
      <c r="G829" t="s">
        <v>2162</v>
      </c>
      <c r="H829" t="s">
        <v>132</v>
      </c>
      <c r="I829" t="s">
        <v>2</v>
      </c>
      <c r="J829" t="s">
        <v>133</v>
      </c>
      <c r="K829" t="s">
        <v>52</v>
      </c>
      <c r="L829" t="s">
        <v>6899</v>
      </c>
      <c r="M829" t="s">
        <v>134</v>
      </c>
      <c r="N829" t="s">
        <v>135</v>
      </c>
      <c r="O829"/>
      <c r="P829"/>
      <c r="Q829" t="s">
        <v>168</v>
      </c>
      <c r="R829"/>
      <c r="S829" t="s">
        <v>168</v>
      </c>
      <c r="T829"/>
      <c r="U829" t="s">
        <v>137</v>
      </c>
      <c r="V829" t="s">
        <v>1287</v>
      </c>
      <c r="W829"/>
      <c r="X829" t="s">
        <v>89</v>
      </c>
      <c r="Y829"/>
      <c r="Z829"/>
      <c r="AA829" t="s">
        <v>2163</v>
      </c>
      <c r="AB829" t="s">
        <v>2</v>
      </c>
      <c r="AC829" t="s">
        <v>138</v>
      </c>
      <c r="AD829" t="s">
        <v>129</v>
      </c>
      <c r="AE829" s="97"/>
    </row>
    <row r="830" spans="1:31" ht="14.4" customHeight="1" x14ac:dyDescent="0.3">
      <c r="A830" t="s">
        <v>6918</v>
      </c>
      <c r="B830" t="s">
        <v>6919</v>
      </c>
      <c r="C830"/>
      <c r="D830"/>
      <c r="E830"/>
      <c r="F830"/>
      <c r="G830" t="s">
        <v>2162</v>
      </c>
      <c r="H830" t="s">
        <v>132</v>
      </c>
      <c r="I830" t="s">
        <v>2</v>
      </c>
      <c r="J830" t="s">
        <v>133</v>
      </c>
      <c r="K830" t="s">
        <v>52</v>
      </c>
      <c r="L830" t="s">
        <v>6902</v>
      </c>
      <c r="M830" t="s">
        <v>134</v>
      </c>
      <c r="N830" t="s">
        <v>135</v>
      </c>
      <c r="O830"/>
      <c r="P830"/>
      <c r="Q830" t="s">
        <v>168</v>
      </c>
      <c r="R830"/>
      <c r="S830" t="s">
        <v>168</v>
      </c>
      <c r="T830"/>
      <c r="U830" t="s">
        <v>137</v>
      </c>
      <c r="V830" t="s">
        <v>1291</v>
      </c>
      <c r="W830"/>
      <c r="X830" t="s">
        <v>98</v>
      </c>
      <c r="Y830"/>
      <c r="Z830"/>
      <c r="AA830" t="s">
        <v>2163</v>
      </c>
      <c r="AB830" t="s">
        <v>2</v>
      </c>
      <c r="AC830" t="s">
        <v>138</v>
      </c>
      <c r="AD830" t="s">
        <v>129</v>
      </c>
      <c r="AE830" s="97"/>
    </row>
    <row r="831" spans="1:31" ht="14.4" customHeight="1" x14ac:dyDescent="0.3">
      <c r="A831" t="s">
        <v>6920</v>
      </c>
      <c r="B831" t="s">
        <v>6921</v>
      </c>
      <c r="C831"/>
      <c r="D831"/>
      <c r="E831"/>
      <c r="F831"/>
      <c r="G831" t="s">
        <v>2162</v>
      </c>
      <c r="H831" t="s">
        <v>132</v>
      </c>
      <c r="I831" t="s">
        <v>2</v>
      </c>
      <c r="J831" t="s">
        <v>133</v>
      </c>
      <c r="K831" t="s">
        <v>52</v>
      </c>
      <c r="L831" t="s">
        <v>6905</v>
      </c>
      <c r="M831" t="s">
        <v>134</v>
      </c>
      <c r="N831" t="s">
        <v>135</v>
      </c>
      <c r="O831"/>
      <c r="P831"/>
      <c r="Q831" t="s">
        <v>168</v>
      </c>
      <c r="R831"/>
      <c r="S831" t="s">
        <v>168</v>
      </c>
      <c r="T831"/>
      <c r="U831" t="s">
        <v>137</v>
      </c>
      <c r="V831" t="s">
        <v>1295</v>
      </c>
      <c r="W831"/>
      <c r="X831" t="s">
        <v>107</v>
      </c>
      <c r="Y831"/>
      <c r="Z831"/>
      <c r="AA831" t="s">
        <v>2163</v>
      </c>
      <c r="AB831" t="s">
        <v>2</v>
      </c>
      <c r="AC831" t="s">
        <v>138</v>
      </c>
      <c r="AD831" t="s">
        <v>129</v>
      </c>
      <c r="AE831" s="97"/>
    </row>
    <row r="832" spans="1:31" ht="14.4" customHeight="1" x14ac:dyDescent="0.3">
      <c r="A832" t="s">
        <v>6922</v>
      </c>
      <c r="B832" t="s">
        <v>6923</v>
      </c>
      <c r="C832"/>
      <c r="D832"/>
      <c r="E832"/>
      <c r="F832"/>
      <c r="G832" t="s">
        <v>2162</v>
      </c>
      <c r="H832" t="s">
        <v>132</v>
      </c>
      <c r="I832" t="s">
        <v>2</v>
      </c>
      <c r="J832" t="s">
        <v>133</v>
      </c>
      <c r="K832" t="s">
        <v>52</v>
      </c>
      <c r="L832" t="s">
        <v>6908</v>
      </c>
      <c r="M832" t="s">
        <v>134</v>
      </c>
      <c r="N832" t="s">
        <v>135</v>
      </c>
      <c r="O832"/>
      <c r="P832"/>
      <c r="Q832" t="s">
        <v>168</v>
      </c>
      <c r="R832"/>
      <c r="S832" t="s">
        <v>168</v>
      </c>
      <c r="T832"/>
      <c r="U832" t="s">
        <v>137</v>
      </c>
      <c r="V832" t="s">
        <v>1299</v>
      </c>
      <c r="W832"/>
      <c r="X832" t="s">
        <v>114</v>
      </c>
      <c r="Y832"/>
      <c r="Z832"/>
      <c r="AA832" t="s">
        <v>2163</v>
      </c>
      <c r="AB832" t="s">
        <v>2</v>
      </c>
      <c r="AC832" t="s">
        <v>138</v>
      </c>
      <c r="AD832" t="s">
        <v>129</v>
      </c>
      <c r="AE832" s="97"/>
    </row>
    <row r="833" spans="1:31" ht="14.4" customHeight="1" x14ac:dyDescent="0.3">
      <c r="A833" t="s">
        <v>6924</v>
      </c>
      <c r="B833" t="s">
        <v>6925</v>
      </c>
      <c r="C833"/>
      <c r="D833"/>
      <c r="E833"/>
      <c r="F833"/>
      <c r="G833" t="s">
        <v>2162</v>
      </c>
      <c r="H833" t="s">
        <v>132</v>
      </c>
      <c r="I833" t="s">
        <v>2</v>
      </c>
      <c r="J833" t="s">
        <v>133</v>
      </c>
      <c r="K833" t="s">
        <v>52</v>
      </c>
      <c r="L833" t="s">
        <v>6911</v>
      </c>
      <c r="M833" t="s">
        <v>134</v>
      </c>
      <c r="N833" t="s">
        <v>135</v>
      </c>
      <c r="O833"/>
      <c r="P833"/>
      <c r="Q833" t="s">
        <v>168</v>
      </c>
      <c r="R833"/>
      <c r="S833" t="s">
        <v>168</v>
      </c>
      <c r="T833"/>
      <c r="U833" t="s">
        <v>137</v>
      </c>
      <c r="V833" t="s">
        <v>1303</v>
      </c>
      <c r="W833"/>
      <c r="X833" t="s">
        <v>123</v>
      </c>
      <c r="Y833"/>
      <c r="Z833"/>
      <c r="AA833" t="s">
        <v>2163</v>
      </c>
      <c r="AB833" t="s">
        <v>2</v>
      </c>
      <c r="AC833" t="s">
        <v>138</v>
      </c>
      <c r="AD833" t="s">
        <v>130</v>
      </c>
      <c r="AE833" s="97"/>
    </row>
    <row r="834" spans="1:31" ht="14.4" customHeight="1" x14ac:dyDescent="0.3">
      <c r="A834" t="s">
        <v>2166</v>
      </c>
      <c r="B834" t="s">
        <v>2167</v>
      </c>
      <c r="C834"/>
      <c r="D834"/>
      <c r="E834"/>
      <c r="F834"/>
      <c r="G834" t="s">
        <v>2162</v>
      </c>
      <c r="H834" t="s">
        <v>132</v>
      </c>
      <c r="I834" t="s">
        <v>2</v>
      </c>
      <c r="J834" t="s">
        <v>133</v>
      </c>
      <c r="K834" t="s">
        <v>52</v>
      </c>
      <c r="L834" t="s">
        <v>2168</v>
      </c>
      <c r="M834" t="s">
        <v>134</v>
      </c>
      <c r="N834" t="s">
        <v>135</v>
      </c>
      <c r="O834"/>
      <c r="P834"/>
      <c r="Q834" t="s">
        <v>168</v>
      </c>
      <c r="R834"/>
      <c r="S834"/>
      <c r="T834" t="s">
        <v>2165</v>
      </c>
      <c r="U834" t="s">
        <v>137</v>
      </c>
      <c r="V834" t="s">
        <v>358</v>
      </c>
      <c r="W834"/>
      <c r="X834" t="s">
        <v>124</v>
      </c>
      <c r="Y834"/>
      <c r="Z834"/>
      <c r="AA834" t="s">
        <v>2163</v>
      </c>
      <c r="AB834" t="s">
        <v>2</v>
      </c>
      <c r="AC834" t="s">
        <v>138</v>
      </c>
      <c r="AD834" t="s">
        <v>130</v>
      </c>
      <c r="AE834" s="97"/>
    </row>
    <row r="835" spans="1:31" ht="14.4" customHeight="1" x14ac:dyDescent="0.3">
      <c r="A835" t="s">
        <v>2169</v>
      </c>
      <c r="B835" t="s">
        <v>2170</v>
      </c>
      <c r="C835"/>
      <c r="D835"/>
      <c r="E835"/>
      <c r="F835"/>
      <c r="G835" t="s">
        <v>2162</v>
      </c>
      <c r="H835" t="s">
        <v>132</v>
      </c>
      <c r="I835" t="s">
        <v>2</v>
      </c>
      <c r="J835" t="s">
        <v>133</v>
      </c>
      <c r="K835" t="s">
        <v>52</v>
      </c>
      <c r="L835" t="s">
        <v>2171</v>
      </c>
      <c r="M835" t="s">
        <v>134</v>
      </c>
      <c r="N835" t="s">
        <v>135</v>
      </c>
      <c r="O835"/>
      <c r="P835"/>
      <c r="Q835" t="s">
        <v>168</v>
      </c>
      <c r="R835"/>
      <c r="S835"/>
      <c r="T835" t="s">
        <v>2165</v>
      </c>
      <c r="U835" t="s">
        <v>137</v>
      </c>
      <c r="V835" t="s">
        <v>358</v>
      </c>
      <c r="W835"/>
      <c r="X835" t="s">
        <v>124</v>
      </c>
      <c r="Y835"/>
      <c r="Z835"/>
      <c r="AA835" t="s">
        <v>2163</v>
      </c>
      <c r="AB835" t="s">
        <v>2</v>
      </c>
      <c r="AC835" t="s">
        <v>138</v>
      </c>
      <c r="AD835" t="s">
        <v>130</v>
      </c>
      <c r="AE835" s="97"/>
    </row>
    <row r="836" spans="1:31" ht="14.4" customHeight="1" x14ac:dyDescent="0.3">
      <c r="A836" t="s">
        <v>2172</v>
      </c>
      <c r="B836" t="s">
        <v>2173</v>
      </c>
      <c r="C836"/>
      <c r="D836"/>
      <c r="E836"/>
      <c r="F836"/>
      <c r="G836" t="s">
        <v>2162</v>
      </c>
      <c r="H836" t="s">
        <v>132</v>
      </c>
      <c r="I836" t="s">
        <v>2</v>
      </c>
      <c r="J836" t="s">
        <v>133</v>
      </c>
      <c r="K836" t="s">
        <v>52</v>
      </c>
      <c r="L836" t="s">
        <v>2174</v>
      </c>
      <c r="M836" t="s">
        <v>134</v>
      </c>
      <c r="N836" t="s">
        <v>135</v>
      </c>
      <c r="O836"/>
      <c r="P836"/>
      <c r="Q836" t="s">
        <v>168</v>
      </c>
      <c r="R836"/>
      <c r="S836"/>
      <c r="T836" t="s">
        <v>2165</v>
      </c>
      <c r="U836" t="s">
        <v>137</v>
      </c>
      <c r="V836" t="s">
        <v>358</v>
      </c>
      <c r="W836"/>
      <c r="X836" t="s">
        <v>124</v>
      </c>
      <c r="Y836"/>
      <c r="Z836"/>
      <c r="AA836" t="s">
        <v>2163</v>
      </c>
      <c r="AB836" t="s">
        <v>2</v>
      </c>
      <c r="AC836" t="s">
        <v>138</v>
      </c>
      <c r="AD836" t="s">
        <v>130</v>
      </c>
      <c r="AE836" s="97"/>
    </row>
    <row r="837" spans="1:31" ht="14.4" customHeight="1" x14ac:dyDescent="0.3">
      <c r="A837" t="s">
        <v>2175</v>
      </c>
      <c r="B837" t="s">
        <v>2176</v>
      </c>
      <c r="C837"/>
      <c r="D837"/>
      <c r="E837"/>
      <c r="F837"/>
      <c r="G837" t="s">
        <v>2162</v>
      </c>
      <c r="H837" t="s">
        <v>132</v>
      </c>
      <c r="I837" t="s">
        <v>2</v>
      </c>
      <c r="J837" t="s">
        <v>133</v>
      </c>
      <c r="K837" t="s">
        <v>52</v>
      </c>
      <c r="L837" t="s">
        <v>2177</v>
      </c>
      <c r="M837" t="s">
        <v>134</v>
      </c>
      <c r="N837" t="s">
        <v>135</v>
      </c>
      <c r="O837"/>
      <c r="P837"/>
      <c r="Q837" t="s">
        <v>168</v>
      </c>
      <c r="R837"/>
      <c r="S837"/>
      <c r="T837" t="s">
        <v>2165</v>
      </c>
      <c r="U837" t="s">
        <v>137</v>
      </c>
      <c r="V837" t="s">
        <v>358</v>
      </c>
      <c r="W837"/>
      <c r="X837" t="s">
        <v>124</v>
      </c>
      <c r="Y837"/>
      <c r="Z837"/>
      <c r="AA837" t="s">
        <v>2163</v>
      </c>
      <c r="AB837" t="s">
        <v>2</v>
      </c>
      <c r="AC837" t="s">
        <v>138</v>
      </c>
      <c r="AD837" t="s">
        <v>130</v>
      </c>
      <c r="AE837" s="97"/>
    </row>
    <row r="838" spans="1:31" ht="14.4" customHeight="1" x14ac:dyDescent="0.3">
      <c r="A838" t="s">
        <v>2178</v>
      </c>
      <c r="B838" t="s">
        <v>2179</v>
      </c>
      <c r="C838"/>
      <c r="D838"/>
      <c r="E838"/>
      <c r="F838"/>
      <c r="G838" t="s">
        <v>2162</v>
      </c>
      <c r="H838" t="s">
        <v>132</v>
      </c>
      <c r="I838" t="s">
        <v>2</v>
      </c>
      <c r="J838" t="s">
        <v>133</v>
      </c>
      <c r="K838" t="s">
        <v>52</v>
      </c>
      <c r="L838" t="s">
        <v>2180</v>
      </c>
      <c r="M838" t="s">
        <v>134</v>
      </c>
      <c r="N838" t="s">
        <v>135</v>
      </c>
      <c r="O838"/>
      <c r="P838"/>
      <c r="Q838" t="s">
        <v>168</v>
      </c>
      <c r="R838"/>
      <c r="S838"/>
      <c r="T838" t="s">
        <v>2165</v>
      </c>
      <c r="U838" t="s">
        <v>137</v>
      </c>
      <c r="V838" t="s">
        <v>358</v>
      </c>
      <c r="W838"/>
      <c r="X838" t="s">
        <v>124</v>
      </c>
      <c r="Y838"/>
      <c r="Z838"/>
      <c r="AA838" t="s">
        <v>2163</v>
      </c>
      <c r="AB838" t="s">
        <v>2</v>
      </c>
      <c r="AC838" t="s">
        <v>138</v>
      </c>
      <c r="AD838" t="s">
        <v>130</v>
      </c>
      <c r="AE838" s="97"/>
    </row>
    <row r="839" spans="1:31" ht="14.4" customHeight="1" x14ac:dyDescent="0.3">
      <c r="A839" t="s">
        <v>2181</v>
      </c>
      <c r="B839" t="s">
        <v>2182</v>
      </c>
      <c r="C839"/>
      <c r="D839"/>
      <c r="E839"/>
      <c r="F839"/>
      <c r="G839" t="s">
        <v>2162</v>
      </c>
      <c r="H839" t="s">
        <v>132</v>
      </c>
      <c r="I839" t="s">
        <v>2</v>
      </c>
      <c r="J839" t="s">
        <v>133</v>
      </c>
      <c r="K839" t="s">
        <v>52</v>
      </c>
      <c r="L839" t="s">
        <v>2183</v>
      </c>
      <c r="M839" t="s">
        <v>134</v>
      </c>
      <c r="N839" t="s">
        <v>135</v>
      </c>
      <c r="O839"/>
      <c r="P839"/>
      <c r="Q839" t="s">
        <v>168</v>
      </c>
      <c r="R839"/>
      <c r="S839"/>
      <c r="T839" t="s">
        <v>2165</v>
      </c>
      <c r="U839" t="s">
        <v>137</v>
      </c>
      <c r="V839" t="s">
        <v>358</v>
      </c>
      <c r="W839"/>
      <c r="X839" t="s">
        <v>124</v>
      </c>
      <c r="Y839"/>
      <c r="Z839"/>
      <c r="AA839" t="s">
        <v>2163</v>
      </c>
      <c r="AB839" t="s">
        <v>2</v>
      </c>
      <c r="AC839" t="s">
        <v>138</v>
      </c>
      <c r="AD839" t="s">
        <v>130</v>
      </c>
      <c r="AE839" s="97"/>
    </row>
    <row r="840" spans="1:31" ht="14.4" customHeight="1" x14ac:dyDescent="0.3">
      <c r="A840" t="s">
        <v>2184</v>
      </c>
      <c r="B840" t="s">
        <v>2185</v>
      </c>
      <c r="C840"/>
      <c r="D840"/>
      <c r="E840"/>
      <c r="F840"/>
      <c r="G840" t="s">
        <v>2162</v>
      </c>
      <c r="H840" t="s">
        <v>132</v>
      </c>
      <c r="I840" t="s">
        <v>2</v>
      </c>
      <c r="J840" t="s">
        <v>133</v>
      </c>
      <c r="K840" t="s">
        <v>52</v>
      </c>
      <c r="L840" t="s">
        <v>2186</v>
      </c>
      <c r="M840" t="s">
        <v>134</v>
      </c>
      <c r="N840" t="s">
        <v>135</v>
      </c>
      <c r="O840"/>
      <c r="P840"/>
      <c r="Q840" t="s">
        <v>168</v>
      </c>
      <c r="R840"/>
      <c r="S840"/>
      <c r="T840" t="s">
        <v>2165</v>
      </c>
      <c r="U840" t="s">
        <v>137</v>
      </c>
      <c r="V840" t="s">
        <v>358</v>
      </c>
      <c r="W840"/>
      <c r="X840" t="s">
        <v>124</v>
      </c>
      <c r="Y840"/>
      <c r="Z840"/>
      <c r="AA840" t="s">
        <v>2163</v>
      </c>
      <c r="AB840" t="s">
        <v>2</v>
      </c>
      <c r="AC840" t="s">
        <v>138</v>
      </c>
      <c r="AD840" t="s">
        <v>130</v>
      </c>
      <c r="AE840" s="97"/>
    </row>
    <row r="841" spans="1:31" ht="14.4" customHeight="1" x14ac:dyDescent="0.3">
      <c r="A841" t="s">
        <v>2187</v>
      </c>
      <c r="B841" t="s">
        <v>2188</v>
      </c>
      <c r="C841"/>
      <c r="D841"/>
      <c r="E841"/>
      <c r="F841"/>
      <c r="G841" t="s">
        <v>2162</v>
      </c>
      <c r="H841" t="s">
        <v>132</v>
      </c>
      <c r="I841" t="s">
        <v>2</v>
      </c>
      <c r="J841" t="s">
        <v>133</v>
      </c>
      <c r="K841" t="s">
        <v>52</v>
      </c>
      <c r="L841" t="s">
        <v>2189</v>
      </c>
      <c r="M841" t="s">
        <v>134</v>
      </c>
      <c r="N841" t="s">
        <v>135</v>
      </c>
      <c r="O841"/>
      <c r="P841"/>
      <c r="Q841" t="s">
        <v>168</v>
      </c>
      <c r="R841"/>
      <c r="S841"/>
      <c r="T841" t="s">
        <v>2165</v>
      </c>
      <c r="U841" t="s">
        <v>137</v>
      </c>
      <c r="V841" t="s">
        <v>358</v>
      </c>
      <c r="W841"/>
      <c r="X841" t="s">
        <v>124</v>
      </c>
      <c r="Y841"/>
      <c r="Z841"/>
      <c r="AA841" t="s">
        <v>2163</v>
      </c>
      <c r="AB841" t="s">
        <v>2</v>
      </c>
      <c r="AC841" t="s">
        <v>138</v>
      </c>
      <c r="AD841" t="s">
        <v>130</v>
      </c>
      <c r="AE841" s="97"/>
    </row>
    <row r="842" spans="1:31" ht="14.4" customHeight="1" x14ac:dyDescent="0.3">
      <c r="A842" t="s">
        <v>2190</v>
      </c>
      <c r="B842" t="s">
        <v>2191</v>
      </c>
      <c r="C842"/>
      <c r="D842"/>
      <c r="E842"/>
      <c r="F842"/>
      <c r="G842" t="s">
        <v>2162</v>
      </c>
      <c r="H842" t="s">
        <v>132</v>
      </c>
      <c r="I842" t="s">
        <v>2</v>
      </c>
      <c r="J842" t="s">
        <v>133</v>
      </c>
      <c r="K842" t="s">
        <v>52</v>
      </c>
      <c r="L842" t="s">
        <v>2192</v>
      </c>
      <c r="M842" t="s">
        <v>134</v>
      </c>
      <c r="N842" t="s">
        <v>135</v>
      </c>
      <c r="O842"/>
      <c r="P842"/>
      <c r="Q842" t="s">
        <v>168</v>
      </c>
      <c r="R842"/>
      <c r="S842"/>
      <c r="T842" t="s">
        <v>2165</v>
      </c>
      <c r="U842" t="s">
        <v>137</v>
      </c>
      <c r="V842" t="s">
        <v>358</v>
      </c>
      <c r="W842"/>
      <c r="X842" t="s">
        <v>124</v>
      </c>
      <c r="Y842"/>
      <c r="Z842"/>
      <c r="AA842" t="s">
        <v>2163</v>
      </c>
      <c r="AB842" t="s">
        <v>2</v>
      </c>
      <c r="AC842" t="s">
        <v>138</v>
      </c>
      <c r="AD842" t="s">
        <v>130</v>
      </c>
      <c r="AE842" s="97"/>
    </row>
    <row r="843" spans="1:31" ht="14.4" customHeight="1" x14ac:dyDescent="0.3">
      <c r="A843" t="s">
        <v>2193</v>
      </c>
      <c r="B843" t="s">
        <v>2194</v>
      </c>
      <c r="C843"/>
      <c r="D843"/>
      <c r="E843"/>
      <c r="F843"/>
      <c r="G843" t="s">
        <v>2162</v>
      </c>
      <c r="H843" t="s">
        <v>132</v>
      </c>
      <c r="I843" t="s">
        <v>2</v>
      </c>
      <c r="J843" t="s">
        <v>133</v>
      </c>
      <c r="K843" t="s">
        <v>52</v>
      </c>
      <c r="L843" t="s">
        <v>2195</v>
      </c>
      <c r="M843" t="s">
        <v>134</v>
      </c>
      <c r="N843" t="s">
        <v>135</v>
      </c>
      <c r="O843"/>
      <c r="P843"/>
      <c r="Q843" t="s">
        <v>168</v>
      </c>
      <c r="R843"/>
      <c r="S843"/>
      <c r="T843" t="s">
        <v>2165</v>
      </c>
      <c r="U843" t="s">
        <v>137</v>
      </c>
      <c r="V843" t="s">
        <v>358</v>
      </c>
      <c r="W843"/>
      <c r="X843" t="s">
        <v>124</v>
      </c>
      <c r="Y843"/>
      <c r="Z843"/>
      <c r="AA843" t="s">
        <v>2163</v>
      </c>
      <c r="AB843" t="s">
        <v>2</v>
      </c>
      <c r="AC843" t="s">
        <v>138</v>
      </c>
      <c r="AD843" t="s">
        <v>130</v>
      </c>
      <c r="AE843" s="97"/>
    </row>
    <row r="844" spans="1:31" ht="14.4" customHeight="1" x14ac:dyDescent="0.3">
      <c r="A844" t="s">
        <v>2200</v>
      </c>
      <c r="B844" t="s">
        <v>2201</v>
      </c>
      <c r="C844"/>
      <c r="D844"/>
      <c r="E844"/>
      <c r="F844"/>
      <c r="G844" t="s">
        <v>2162</v>
      </c>
      <c r="H844" t="s">
        <v>132</v>
      </c>
      <c r="I844" t="s">
        <v>2</v>
      </c>
      <c r="J844" t="s">
        <v>133</v>
      </c>
      <c r="K844" t="s">
        <v>52</v>
      </c>
      <c r="L844" t="s">
        <v>2202</v>
      </c>
      <c r="M844" t="s">
        <v>134</v>
      </c>
      <c r="N844" t="s">
        <v>135</v>
      </c>
      <c r="O844"/>
      <c r="P844"/>
      <c r="Q844" t="s">
        <v>168</v>
      </c>
      <c r="R844"/>
      <c r="S844"/>
      <c r="T844" t="s">
        <v>2165</v>
      </c>
      <c r="U844" t="s">
        <v>137</v>
      </c>
      <c r="V844" t="s">
        <v>362</v>
      </c>
      <c r="W844"/>
      <c r="X844" t="s">
        <v>58</v>
      </c>
      <c r="Y844"/>
      <c r="Z844"/>
      <c r="AA844" t="s">
        <v>2163</v>
      </c>
      <c r="AB844" t="s">
        <v>2</v>
      </c>
      <c r="AC844" t="s">
        <v>138</v>
      </c>
      <c r="AD844" t="s">
        <v>128</v>
      </c>
      <c r="AE844" s="97"/>
    </row>
    <row r="845" spans="1:31" ht="14.4" customHeight="1" x14ac:dyDescent="0.3">
      <c r="A845" t="s">
        <v>2203</v>
      </c>
      <c r="B845" t="s">
        <v>2204</v>
      </c>
      <c r="C845"/>
      <c r="D845"/>
      <c r="E845"/>
      <c r="F845"/>
      <c r="G845" t="s">
        <v>2162</v>
      </c>
      <c r="H845" t="s">
        <v>132</v>
      </c>
      <c r="I845" t="s">
        <v>2</v>
      </c>
      <c r="J845" t="s">
        <v>133</v>
      </c>
      <c r="K845" t="s">
        <v>52</v>
      </c>
      <c r="L845" t="s">
        <v>2205</v>
      </c>
      <c r="M845" t="s">
        <v>134</v>
      </c>
      <c r="N845" t="s">
        <v>135</v>
      </c>
      <c r="O845"/>
      <c r="P845"/>
      <c r="Q845" t="s">
        <v>168</v>
      </c>
      <c r="R845"/>
      <c r="S845"/>
      <c r="T845" t="s">
        <v>2165</v>
      </c>
      <c r="U845" t="s">
        <v>137</v>
      </c>
      <c r="V845" t="s">
        <v>371</v>
      </c>
      <c r="W845"/>
      <c r="X845" t="s">
        <v>57</v>
      </c>
      <c r="Y845"/>
      <c r="Z845"/>
      <c r="AA845" t="s">
        <v>2163</v>
      </c>
      <c r="AB845" t="s">
        <v>2</v>
      </c>
      <c r="AC845" t="s">
        <v>138</v>
      </c>
      <c r="AD845" t="s">
        <v>128</v>
      </c>
      <c r="AE845" s="97"/>
    </row>
    <row r="846" spans="1:31" ht="14.4" customHeight="1" x14ac:dyDescent="0.3">
      <c r="A846" t="s">
        <v>2206</v>
      </c>
      <c r="B846" t="s">
        <v>2207</v>
      </c>
      <c r="C846"/>
      <c r="D846"/>
      <c r="E846"/>
      <c r="F846"/>
      <c r="G846" t="s">
        <v>2162</v>
      </c>
      <c r="H846" t="s">
        <v>132</v>
      </c>
      <c r="I846" t="s">
        <v>2</v>
      </c>
      <c r="J846" t="s">
        <v>133</v>
      </c>
      <c r="K846" t="s">
        <v>52</v>
      </c>
      <c r="L846" t="s">
        <v>2208</v>
      </c>
      <c r="M846" t="s">
        <v>134</v>
      </c>
      <c r="N846" t="s">
        <v>135</v>
      </c>
      <c r="O846"/>
      <c r="P846"/>
      <c r="Q846" t="s">
        <v>168</v>
      </c>
      <c r="R846"/>
      <c r="S846"/>
      <c r="T846" t="s">
        <v>2165</v>
      </c>
      <c r="U846" t="s">
        <v>137</v>
      </c>
      <c r="V846" t="s">
        <v>403</v>
      </c>
      <c r="W846"/>
      <c r="X846" t="s">
        <v>68</v>
      </c>
      <c r="Y846"/>
      <c r="Z846"/>
      <c r="AA846" t="s">
        <v>2163</v>
      </c>
      <c r="AB846" t="s">
        <v>2</v>
      </c>
      <c r="AC846" t="s">
        <v>138</v>
      </c>
      <c r="AD846" t="s">
        <v>128</v>
      </c>
      <c r="AE846" s="97"/>
    </row>
    <row r="847" spans="1:31" ht="14.4" customHeight="1" x14ac:dyDescent="0.3">
      <c r="A847" t="s">
        <v>2209</v>
      </c>
      <c r="B847" t="s">
        <v>2210</v>
      </c>
      <c r="C847"/>
      <c r="D847"/>
      <c r="E847"/>
      <c r="F847"/>
      <c r="G847" t="s">
        <v>2162</v>
      </c>
      <c r="H847" t="s">
        <v>132</v>
      </c>
      <c r="I847" t="s">
        <v>2</v>
      </c>
      <c r="J847" t="s">
        <v>133</v>
      </c>
      <c r="K847" t="s">
        <v>52</v>
      </c>
      <c r="L847" t="s">
        <v>2211</v>
      </c>
      <c r="M847" t="s">
        <v>134</v>
      </c>
      <c r="N847" t="s">
        <v>135</v>
      </c>
      <c r="O847"/>
      <c r="P847"/>
      <c r="Q847" t="s">
        <v>168</v>
      </c>
      <c r="R847"/>
      <c r="S847"/>
      <c r="T847" t="s">
        <v>2165</v>
      </c>
      <c r="U847" t="s">
        <v>137</v>
      </c>
      <c r="V847" t="s">
        <v>407</v>
      </c>
      <c r="W847"/>
      <c r="X847" t="s">
        <v>77</v>
      </c>
      <c r="Y847"/>
      <c r="Z847"/>
      <c r="AA847" t="s">
        <v>2163</v>
      </c>
      <c r="AB847" t="s">
        <v>2</v>
      </c>
      <c r="AC847" t="s">
        <v>138</v>
      </c>
      <c r="AD847" t="s">
        <v>128</v>
      </c>
      <c r="AE847" s="97"/>
    </row>
    <row r="848" spans="1:31" ht="14.4" customHeight="1" x14ac:dyDescent="0.3">
      <c r="A848" t="s">
        <v>2212</v>
      </c>
      <c r="B848" t="s">
        <v>2213</v>
      </c>
      <c r="C848"/>
      <c r="D848"/>
      <c r="E848"/>
      <c r="F848"/>
      <c r="G848" t="s">
        <v>2162</v>
      </c>
      <c r="H848" t="s">
        <v>132</v>
      </c>
      <c r="I848" t="s">
        <v>2</v>
      </c>
      <c r="J848" t="s">
        <v>133</v>
      </c>
      <c r="K848" t="s">
        <v>52</v>
      </c>
      <c r="L848" t="s">
        <v>2214</v>
      </c>
      <c r="M848" t="s">
        <v>134</v>
      </c>
      <c r="N848" t="s">
        <v>135</v>
      </c>
      <c r="O848"/>
      <c r="P848"/>
      <c r="Q848" t="s">
        <v>168</v>
      </c>
      <c r="R848"/>
      <c r="S848"/>
      <c r="T848" t="s">
        <v>2165</v>
      </c>
      <c r="U848" t="s">
        <v>137</v>
      </c>
      <c r="V848" t="s">
        <v>411</v>
      </c>
      <c r="W848"/>
      <c r="X848" t="s">
        <v>87</v>
      </c>
      <c r="Y848"/>
      <c r="Z848"/>
      <c r="AA848" t="s">
        <v>2163</v>
      </c>
      <c r="AB848" t="s">
        <v>2</v>
      </c>
      <c r="AC848" t="s">
        <v>138</v>
      </c>
      <c r="AD848" t="s">
        <v>129</v>
      </c>
      <c r="AE848" s="97"/>
    </row>
    <row r="849" spans="1:31" ht="14.4" customHeight="1" x14ac:dyDescent="0.3">
      <c r="A849" t="s">
        <v>2215</v>
      </c>
      <c r="B849" t="s">
        <v>2216</v>
      </c>
      <c r="C849"/>
      <c r="D849"/>
      <c r="E849"/>
      <c r="F849"/>
      <c r="G849" t="s">
        <v>2162</v>
      </c>
      <c r="H849" t="s">
        <v>132</v>
      </c>
      <c r="I849" t="s">
        <v>2</v>
      </c>
      <c r="J849" t="s">
        <v>133</v>
      </c>
      <c r="K849" t="s">
        <v>52</v>
      </c>
      <c r="L849" t="s">
        <v>2217</v>
      </c>
      <c r="M849" t="s">
        <v>134</v>
      </c>
      <c r="N849" t="s">
        <v>135</v>
      </c>
      <c r="O849"/>
      <c r="P849"/>
      <c r="Q849" t="s">
        <v>168</v>
      </c>
      <c r="R849"/>
      <c r="S849"/>
      <c r="T849" t="s">
        <v>2165</v>
      </c>
      <c r="U849" t="s">
        <v>137</v>
      </c>
      <c r="V849" t="s">
        <v>415</v>
      </c>
      <c r="W849"/>
      <c r="X849" t="s">
        <v>96</v>
      </c>
      <c r="Y849"/>
      <c r="Z849"/>
      <c r="AA849" t="s">
        <v>2163</v>
      </c>
      <c r="AB849" t="s">
        <v>2</v>
      </c>
      <c r="AC849" t="s">
        <v>138</v>
      </c>
      <c r="AD849" t="s">
        <v>129</v>
      </c>
      <c r="AE849" s="97"/>
    </row>
    <row r="850" spans="1:31" ht="14.4" customHeight="1" x14ac:dyDescent="0.3">
      <c r="A850" t="s">
        <v>2218</v>
      </c>
      <c r="B850" t="s">
        <v>2219</v>
      </c>
      <c r="C850"/>
      <c r="D850"/>
      <c r="E850"/>
      <c r="F850"/>
      <c r="G850" t="s">
        <v>2162</v>
      </c>
      <c r="H850" t="s">
        <v>132</v>
      </c>
      <c r="I850" t="s">
        <v>2</v>
      </c>
      <c r="J850" t="s">
        <v>133</v>
      </c>
      <c r="K850" t="s">
        <v>52</v>
      </c>
      <c r="L850" t="s">
        <v>2220</v>
      </c>
      <c r="M850" t="s">
        <v>134</v>
      </c>
      <c r="N850" t="s">
        <v>135</v>
      </c>
      <c r="O850"/>
      <c r="P850"/>
      <c r="Q850" t="s">
        <v>168</v>
      </c>
      <c r="R850"/>
      <c r="S850"/>
      <c r="T850" t="s">
        <v>2165</v>
      </c>
      <c r="U850" t="s">
        <v>137</v>
      </c>
      <c r="V850" t="s">
        <v>419</v>
      </c>
      <c r="W850"/>
      <c r="X850" t="s">
        <v>105</v>
      </c>
      <c r="Y850"/>
      <c r="Z850"/>
      <c r="AA850" t="s">
        <v>2163</v>
      </c>
      <c r="AB850" t="s">
        <v>2</v>
      </c>
      <c r="AC850" t="s">
        <v>138</v>
      </c>
      <c r="AD850" t="s">
        <v>129</v>
      </c>
      <c r="AE850" s="97"/>
    </row>
    <row r="851" spans="1:31" ht="14.4" customHeight="1" x14ac:dyDescent="0.3">
      <c r="A851" t="s">
        <v>2221</v>
      </c>
      <c r="B851" t="s">
        <v>2222</v>
      </c>
      <c r="C851"/>
      <c r="D851"/>
      <c r="E851"/>
      <c r="F851"/>
      <c r="G851" t="s">
        <v>2162</v>
      </c>
      <c r="H851" t="s">
        <v>132</v>
      </c>
      <c r="I851" t="s">
        <v>2</v>
      </c>
      <c r="J851" t="s">
        <v>133</v>
      </c>
      <c r="K851" t="s">
        <v>52</v>
      </c>
      <c r="L851" t="s">
        <v>2223</v>
      </c>
      <c r="M851" t="s">
        <v>134</v>
      </c>
      <c r="N851" t="s">
        <v>135</v>
      </c>
      <c r="O851"/>
      <c r="P851"/>
      <c r="Q851" t="s">
        <v>168</v>
      </c>
      <c r="R851"/>
      <c r="S851"/>
      <c r="T851" t="s">
        <v>2165</v>
      </c>
      <c r="U851" t="s">
        <v>137</v>
      </c>
      <c r="V851" t="s">
        <v>423</v>
      </c>
      <c r="W851"/>
      <c r="X851" t="s">
        <v>112</v>
      </c>
      <c r="Y851"/>
      <c r="Z851"/>
      <c r="AA851" t="s">
        <v>2163</v>
      </c>
      <c r="AB851" t="s">
        <v>2</v>
      </c>
      <c r="AC851" t="s">
        <v>138</v>
      </c>
      <c r="AD851" t="s">
        <v>129</v>
      </c>
      <c r="AE851" s="97"/>
    </row>
    <row r="852" spans="1:31" ht="14.4" customHeight="1" x14ac:dyDescent="0.3">
      <c r="A852" t="s">
        <v>2224</v>
      </c>
      <c r="B852" t="s">
        <v>2225</v>
      </c>
      <c r="C852"/>
      <c r="D852"/>
      <c r="E852"/>
      <c r="F852"/>
      <c r="G852" t="s">
        <v>2162</v>
      </c>
      <c r="H852" t="s">
        <v>132</v>
      </c>
      <c r="I852" t="s">
        <v>2</v>
      </c>
      <c r="J852" t="s">
        <v>133</v>
      </c>
      <c r="K852" t="s">
        <v>52</v>
      </c>
      <c r="L852" t="s">
        <v>2226</v>
      </c>
      <c r="M852" t="s">
        <v>134</v>
      </c>
      <c r="N852" t="s">
        <v>135</v>
      </c>
      <c r="O852"/>
      <c r="P852"/>
      <c r="Q852" t="s">
        <v>168</v>
      </c>
      <c r="R852"/>
      <c r="S852"/>
      <c r="T852" t="s">
        <v>2165</v>
      </c>
      <c r="U852" t="s">
        <v>137</v>
      </c>
      <c r="V852" t="s">
        <v>427</v>
      </c>
      <c r="W852"/>
      <c r="X852" t="s">
        <v>121</v>
      </c>
      <c r="Y852"/>
      <c r="Z852"/>
      <c r="AA852" t="s">
        <v>2163</v>
      </c>
      <c r="AB852" t="s">
        <v>2</v>
      </c>
      <c r="AC852" t="s">
        <v>138</v>
      </c>
      <c r="AD852" t="s">
        <v>130</v>
      </c>
      <c r="AE852" s="97"/>
    </row>
    <row r="853" spans="1:31" ht="14.4" customHeight="1" x14ac:dyDescent="0.3">
      <c r="A853" t="s">
        <v>2227</v>
      </c>
      <c r="B853" t="s">
        <v>2228</v>
      </c>
      <c r="C853"/>
      <c r="D853"/>
      <c r="E853"/>
      <c r="F853"/>
      <c r="G853" t="s">
        <v>2162</v>
      </c>
      <c r="H853" t="s">
        <v>132</v>
      </c>
      <c r="I853" t="s">
        <v>2</v>
      </c>
      <c r="J853" t="s">
        <v>133</v>
      </c>
      <c r="K853" t="s">
        <v>52</v>
      </c>
      <c r="L853" t="s">
        <v>2229</v>
      </c>
      <c r="M853" t="s">
        <v>134</v>
      </c>
      <c r="N853" t="s">
        <v>135</v>
      </c>
      <c r="O853"/>
      <c r="P853"/>
      <c r="Q853" t="s">
        <v>168</v>
      </c>
      <c r="R853"/>
      <c r="S853"/>
      <c r="T853" t="s">
        <v>2165</v>
      </c>
      <c r="U853" t="s">
        <v>137</v>
      </c>
      <c r="V853" t="s">
        <v>147</v>
      </c>
      <c r="W853"/>
      <c r="X853" t="s">
        <v>70</v>
      </c>
      <c r="Y853"/>
      <c r="Z853"/>
      <c r="AA853" t="s">
        <v>2163</v>
      </c>
      <c r="AB853" t="s">
        <v>2</v>
      </c>
      <c r="AC853" t="s">
        <v>138</v>
      </c>
      <c r="AD853" t="s">
        <v>128</v>
      </c>
      <c r="AE853" s="97"/>
    </row>
    <row r="854" spans="1:31" ht="14.4" customHeight="1" x14ac:dyDescent="0.3">
      <c r="A854" t="s">
        <v>2230</v>
      </c>
      <c r="B854" t="s">
        <v>2231</v>
      </c>
      <c r="C854"/>
      <c r="D854"/>
      <c r="E854"/>
      <c r="F854"/>
      <c r="G854" t="s">
        <v>2162</v>
      </c>
      <c r="H854" t="s">
        <v>132</v>
      </c>
      <c r="I854" t="s">
        <v>2</v>
      </c>
      <c r="J854" t="s">
        <v>133</v>
      </c>
      <c r="K854" t="s">
        <v>52</v>
      </c>
      <c r="L854" t="s">
        <v>2229</v>
      </c>
      <c r="M854" t="s">
        <v>134</v>
      </c>
      <c r="N854" t="s">
        <v>135</v>
      </c>
      <c r="O854"/>
      <c r="P854"/>
      <c r="Q854" t="s">
        <v>168</v>
      </c>
      <c r="R854"/>
      <c r="S854"/>
      <c r="T854" t="s">
        <v>2165</v>
      </c>
      <c r="U854" t="s">
        <v>137</v>
      </c>
      <c r="V854" t="s">
        <v>147</v>
      </c>
      <c r="W854"/>
      <c r="X854" t="s">
        <v>70</v>
      </c>
      <c r="Y854"/>
      <c r="Z854"/>
      <c r="AA854" t="s">
        <v>2163</v>
      </c>
      <c r="AB854" t="s">
        <v>2</v>
      </c>
      <c r="AC854" t="s">
        <v>138</v>
      </c>
      <c r="AD854" t="s">
        <v>128</v>
      </c>
      <c r="AE854" s="97"/>
    </row>
    <row r="855" spans="1:31" ht="14.4" customHeight="1" x14ac:dyDescent="0.3">
      <c r="A855" t="s">
        <v>2232</v>
      </c>
      <c r="B855" t="s">
        <v>2233</v>
      </c>
      <c r="C855"/>
      <c r="D855"/>
      <c r="E855"/>
      <c r="F855"/>
      <c r="G855" t="s">
        <v>2162</v>
      </c>
      <c r="H855" t="s">
        <v>132</v>
      </c>
      <c r="I855" t="s">
        <v>2</v>
      </c>
      <c r="J855" t="s">
        <v>133</v>
      </c>
      <c r="K855" t="s">
        <v>52</v>
      </c>
      <c r="L855" t="s">
        <v>2234</v>
      </c>
      <c r="M855" t="s">
        <v>134</v>
      </c>
      <c r="N855" t="s">
        <v>135</v>
      </c>
      <c r="O855"/>
      <c r="P855"/>
      <c r="Q855" t="s">
        <v>168</v>
      </c>
      <c r="R855"/>
      <c r="S855"/>
      <c r="T855" t="s">
        <v>2165</v>
      </c>
      <c r="U855" t="s">
        <v>137</v>
      </c>
      <c r="V855" t="s">
        <v>150</v>
      </c>
      <c r="W855"/>
      <c r="X855" t="s">
        <v>76</v>
      </c>
      <c r="Y855"/>
      <c r="Z855"/>
      <c r="AA855" t="s">
        <v>2163</v>
      </c>
      <c r="AB855" t="s">
        <v>2</v>
      </c>
      <c r="AC855" t="s">
        <v>138</v>
      </c>
      <c r="AD855" t="s">
        <v>128</v>
      </c>
      <c r="AE855" s="97"/>
    </row>
    <row r="856" spans="1:31" ht="14.4" customHeight="1" x14ac:dyDescent="0.3">
      <c r="A856" t="s">
        <v>2235</v>
      </c>
      <c r="B856" t="s">
        <v>2236</v>
      </c>
      <c r="C856"/>
      <c r="D856"/>
      <c r="E856"/>
      <c r="F856"/>
      <c r="G856" t="s">
        <v>2162</v>
      </c>
      <c r="H856" t="s">
        <v>132</v>
      </c>
      <c r="I856" t="s">
        <v>2</v>
      </c>
      <c r="J856" t="s">
        <v>133</v>
      </c>
      <c r="K856" t="s">
        <v>52</v>
      </c>
      <c r="L856" t="s">
        <v>2234</v>
      </c>
      <c r="M856" t="s">
        <v>134</v>
      </c>
      <c r="N856" t="s">
        <v>135</v>
      </c>
      <c r="O856"/>
      <c r="P856"/>
      <c r="Q856" t="s">
        <v>168</v>
      </c>
      <c r="R856"/>
      <c r="S856"/>
      <c r="T856" t="s">
        <v>2165</v>
      </c>
      <c r="U856" t="s">
        <v>137</v>
      </c>
      <c r="V856" t="s">
        <v>150</v>
      </c>
      <c r="W856"/>
      <c r="X856" t="s">
        <v>76</v>
      </c>
      <c r="Y856"/>
      <c r="Z856"/>
      <c r="AA856" t="s">
        <v>2163</v>
      </c>
      <c r="AB856" t="s">
        <v>2</v>
      </c>
      <c r="AC856" t="s">
        <v>138</v>
      </c>
      <c r="AD856" t="s">
        <v>128</v>
      </c>
      <c r="AE856" s="97"/>
    </row>
    <row r="857" spans="1:31" ht="14.4" customHeight="1" x14ac:dyDescent="0.3">
      <c r="A857" t="s">
        <v>2237</v>
      </c>
      <c r="B857" t="s">
        <v>2238</v>
      </c>
      <c r="C857"/>
      <c r="D857"/>
      <c r="E857"/>
      <c r="F857"/>
      <c r="G857" t="s">
        <v>2162</v>
      </c>
      <c r="H857" t="s">
        <v>132</v>
      </c>
      <c r="I857" t="s">
        <v>2</v>
      </c>
      <c r="J857" t="s">
        <v>133</v>
      </c>
      <c r="K857" t="s">
        <v>52</v>
      </c>
      <c r="L857" t="s">
        <v>2239</v>
      </c>
      <c r="M857" t="s">
        <v>134</v>
      </c>
      <c r="N857" t="s">
        <v>135</v>
      </c>
      <c r="O857"/>
      <c r="P857"/>
      <c r="Q857" t="s">
        <v>168</v>
      </c>
      <c r="R857"/>
      <c r="S857"/>
      <c r="T857" t="s">
        <v>2165</v>
      </c>
      <c r="U857" t="s">
        <v>137</v>
      </c>
      <c r="V857" t="s">
        <v>153</v>
      </c>
      <c r="W857"/>
      <c r="X857" t="s">
        <v>88</v>
      </c>
      <c r="Y857"/>
      <c r="Z857"/>
      <c r="AA857" t="s">
        <v>2163</v>
      </c>
      <c r="AB857" t="s">
        <v>2</v>
      </c>
      <c r="AC857" t="s">
        <v>138</v>
      </c>
      <c r="AD857" t="s">
        <v>129</v>
      </c>
      <c r="AE857" s="97"/>
    </row>
    <row r="858" spans="1:31" ht="14.4" customHeight="1" x14ac:dyDescent="0.3">
      <c r="A858" t="s">
        <v>2240</v>
      </c>
      <c r="B858" t="s">
        <v>2241</v>
      </c>
      <c r="C858"/>
      <c r="D858"/>
      <c r="E858"/>
      <c r="F858"/>
      <c r="G858" t="s">
        <v>2162</v>
      </c>
      <c r="H858" t="s">
        <v>132</v>
      </c>
      <c r="I858" t="s">
        <v>2</v>
      </c>
      <c r="J858" t="s">
        <v>133</v>
      </c>
      <c r="K858" t="s">
        <v>52</v>
      </c>
      <c r="L858" t="s">
        <v>2239</v>
      </c>
      <c r="M858" t="s">
        <v>134</v>
      </c>
      <c r="N858" t="s">
        <v>135</v>
      </c>
      <c r="O858"/>
      <c r="P858"/>
      <c r="Q858" t="s">
        <v>168</v>
      </c>
      <c r="R858"/>
      <c r="S858"/>
      <c r="T858" t="s">
        <v>2165</v>
      </c>
      <c r="U858" t="s">
        <v>137</v>
      </c>
      <c r="V858" t="s">
        <v>153</v>
      </c>
      <c r="W858"/>
      <c r="X858" t="s">
        <v>88</v>
      </c>
      <c r="Y858"/>
      <c r="Z858"/>
      <c r="AA858" t="s">
        <v>2163</v>
      </c>
      <c r="AB858" t="s">
        <v>2</v>
      </c>
      <c r="AC858" t="s">
        <v>138</v>
      </c>
      <c r="AD858" t="s">
        <v>129</v>
      </c>
      <c r="AE858" s="97"/>
    </row>
    <row r="859" spans="1:31" ht="14.4" customHeight="1" x14ac:dyDescent="0.3">
      <c r="A859" t="s">
        <v>2242</v>
      </c>
      <c r="B859" t="s">
        <v>2243</v>
      </c>
      <c r="C859"/>
      <c r="D859"/>
      <c r="E859"/>
      <c r="F859"/>
      <c r="G859" t="s">
        <v>2162</v>
      </c>
      <c r="H859" t="s">
        <v>132</v>
      </c>
      <c r="I859" t="s">
        <v>2</v>
      </c>
      <c r="J859" t="s">
        <v>133</v>
      </c>
      <c r="K859" t="s">
        <v>52</v>
      </c>
      <c r="L859" t="s">
        <v>2244</v>
      </c>
      <c r="M859" t="s">
        <v>134</v>
      </c>
      <c r="N859" t="s">
        <v>135</v>
      </c>
      <c r="O859"/>
      <c r="P859"/>
      <c r="Q859" t="s">
        <v>168</v>
      </c>
      <c r="R859"/>
      <c r="S859"/>
      <c r="T859" t="s">
        <v>2165</v>
      </c>
      <c r="U859" t="s">
        <v>137</v>
      </c>
      <c r="V859" t="s">
        <v>156</v>
      </c>
      <c r="W859"/>
      <c r="X859" t="s">
        <v>97</v>
      </c>
      <c r="Y859"/>
      <c r="Z859"/>
      <c r="AA859" t="s">
        <v>2163</v>
      </c>
      <c r="AB859" t="s">
        <v>2</v>
      </c>
      <c r="AC859" t="s">
        <v>138</v>
      </c>
      <c r="AD859" t="s">
        <v>129</v>
      </c>
      <c r="AE859" s="97"/>
    </row>
    <row r="860" spans="1:31" ht="14.4" customHeight="1" x14ac:dyDescent="0.3">
      <c r="A860" t="s">
        <v>2245</v>
      </c>
      <c r="B860" t="s">
        <v>2246</v>
      </c>
      <c r="C860"/>
      <c r="D860"/>
      <c r="E860"/>
      <c r="F860"/>
      <c r="G860" t="s">
        <v>2162</v>
      </c>
      <c r="H860" t="s">
        <v>132</v>
      </c>
      <c r="I860" t="s">
        <v>2</v>
      </c>
      <c r="J860" t="s">
        <v>133</v>
      </c>
      <c r="K860" t="s">
        <v>52</v>
      </c>
      <c r="L860" t="s">
        <v>2244</v>
      </c>
      <c r="M860" t="s">
        <v>134</v>
      </c>
      <c r="N860" t="s">
        <v>135</v>
      </c>
      <c r="O860"/>
      <c r="P860"/>
      <c r="Q860" t="s">
        <v>168</v>
      </c>
      <c r="R860"/>
      <c r="S860"/>
      <c r="T860" t="s">
        <v>2165</v>
      </c>
      <c r="U860" t="s">
        <v>137</v>
      </c>
      <c r="V860" t="s">
        <v>156</v>
      </c>
      <c r="W860"/>
      <c r="X860" t="s">
        <v>97</v>
      </c>
      <c r="Y860"/>
      <c r="Z860"/>
      <c r="AA860" t="s">
        <v>2163</v>
      </c>
      <c r="AB860" t="s">
        <v>2</v>
      </c>
      <c r="AC860" t="s">
        <v>138</v>
      </c>
      <c r="AD860" t="s">
        <v>129</v>
      </c>
      <c r="AE860" s="97"/>
    </row>
    <row r="861" spans="1:31" ht="14.4" customHeight="1" x14ac:dyDescent="0.3">
      <c r="A861" t="s">
        <v>2247</v>
      </c>
      <c r="B861" t="s">
        <v>2248</v>
      </c>
      <c r="C861"/>
      <c r="D861"/>
      <c r="E861"/>
      <c r="F861"/>
      <c r="G861" t="s">
        <v>2162</v>
      </c>
      <c r="H861" t="s">
        <v>132</v>
      </c>
      <c r="I861" t="s">
        <v>2</v>
      </c>
      <c r="J861" t="s">
        <v>133</v>
      </c>
      <c r="K861" t="s">
        <v>52</v>
      </c>
      <c r="L861" t="s">
        <v>2249</v>
      </c>
      <c r="M861" t="s">
        <v>134</v>
      </c>
      <c r="N861" t="s">
        <v>135</v>
      </c>
      <c r="O861"/>
      <c r="P861"/>
      <c r="Q861" t="s">
        <v>168</v>
      </c>
      <c r="R861"/>
      <c r="S861"/>
      <c r="T861" t="s">
        <v>2165</v>
      </c>
      <c r="U861" t="s">
        <v>137</v>
      </c>
      <c r="V861" t="s">
        <v>159</v>
      </c>
      <c r="W861"/>
      <c r="X861" t="s">
        <v>106</v>
      </c>
      <c r="Y861"/>
      <c r="Z861"/>
      <c r="AA861" t="s">
        <v>2163</v>
      </c>
      <c r="AB861" t="s">
        <v>2</v>
      </c>
      <c r="AC861" t="s">
        <v>138</v>
      </c>
      <c r="AD861" t="s">
        <v>129</v>
      </c>
      <c r="AE861" s="97"/>
    </row>
    <row r="862" spans="1:31" ht="14.4" customHeight="1" x14ac:dyDescent="0.3">
      <c r="A862" t="s">
        <v>2250</v>
      </c>
      <c r="B862" t="s">
        <v>2251</v>
      </c>
      <c r="C862"/>
      <c r="D862"/>
      <c r="E862"/>
      <c r="F862"/>
      <c r="G862" t="s">
        <v>2162</v>
      </c>
      <c r="H862" t="s">
        <v>132</v>
      </c>
      <c r="I862" t="s">
        <v>2</v>
      </c>
      <c r="J862" t="s">
        <v>133</v>
      </c>
      <c r="K862" t="s">
        <v>52</v>
      </c>
      <c r="L862" t="s">
        <v>2249</v>
      </c>
      <c r="M862" t="s">
        <v>134</v>
      </c>
      <c r="N862" t="s">
        <v>135</v>
      </c>
      <c r="O862"/>
      <c r="P862"/>
      <c r="Q862" t="s">
        <v>168</v>
      </c>
      <c r="R862"/>
      <c r="S862"/>
      <c r="T862" t="s">
        <v>2165</v>
      </c>
      <c r="U862" t="s">
        <v>137</v>
      </c>
      <c r="V862" t="s">
        <v>159</v>
      </c>
      <c r="W862"/>
      <c r="X862" t="s">
        <v>106</v>
      </c>
      <c r="Y862"/>
      <c r="Z862"/>
      <c r="AA862" t="s">
        <v>2163</v>
      </c>
      <c r="AB862" t="s">
        <v>2</v>
      </c>
      <c r="AC862" t="s">
        <v>138</v>
      </c>
      <c r="AD862" t="s">
        <v>129</v>
      </c>
      <c r="AE862" s="97"/>
    </row>
    <row r="863" spans="1:31" ht="14.4" customHeight="1" x14ac:dyDescent="0.3">
      <c r="A863" t="s">
        <v>2252</v>
      </c>
      <c r="B863" t="s">
        <v>2253</v>
      </c>
      <c r="C863"/>
      <c r="D863"/>
      <c r="E863"/>
      <c r="F863"/>
      <c r="G863" t="s">
        <v>2162</v>
      </c>
      <c r="H863" t="s">
        <v>132</v>
      </c>
      <c r="I863" t="s">
        <v>2</v>
      </c>
      <c r="J863" t="s">
        <v>133</v>
      </c>
      <c r="K863" t="s">
        <v>52</v>
      </c>
      <c r="L863" t="s">
        <v>2254</v>
      </c>
      <c r="M863" t="s">
        <v>134</v>
      </c>
      <c r="N863" t="s">
        <v>135</v>
      </c>
      <c r="O863"/>
      <c r="P863"/>
      <c r="Q863" t="s">
        <v>168</v>
      </c>
      <c r="R863"/>
      <c r="S863"/>
      <c r="T863" t="s">
        <v>2165</v>
      </c>
      <c r="U863" t="s">
        <v>137</v>
      </c>
      <c r="V863" t="s">
        <v>162</v>
      </c>
      <c r="W863"/>
      <c r="X863" t="s">
        <v>113</v>
      </c>
      <c r="Y863"/>
      <c r="Z863"/>
      <c r="AA863" t="s">
        <v>2163</v>
      </c>
      <c r="AB863" t="s">
        <v>2</v>
      </c>
      <c r="AC863" t="s">
        <v>138</v>
      </c>
      <c r="AD863" t="s">
        <v>129</v>
      </c>
      <c r="AE863" s="97"/>
    </row>
    <row r="864" spans="1:31" ht="14.4" customHeight="1" x14ac:dyDescent="0.3">
      <c r="A864" t="s">
        <v>2255</v>
      </c>
      <c r="B864" t="s">
        <v>2256</v>
      </c>
      <c r="C864"/>
      <c r="D864"/>
      <c r="E864"/>
      <c r="F864"/>
      <c r="G864" t="s">
        <v>2162</v>
      </c>
      <c r="H864" t="s">
        <v>132</v>
      </c>
      <c r="I864" t="s">
        <v>2</v>
      </c>
      <c r="J864" t="s">
        <v>133</v>
      </c>
      <c r="K864" t="s">
        <v>52</v>
      </c>
      <c r="L864" t="s">
        <v>2254</v>
      </c>
      <c r="M864" t="s">
        <v>134</v>
      </c>
      <c r="N864" t="s">
        <v>135</v>
      </c>
      <c r="O864"/>
      <c r="P864"/>
      <c r="Q864" t="s">
        <v>168</v>
      </c>
      <c r="R864"/>
      <c r="S864"/>
      <c r="T864" t="s">
        <v>2165</v>
      </c>
      <c r="U864" t="s">
        <v>137</v>
      </c>
      <c r="V864" t="s">
        <v>162</v>
      </c>
      <c r="W864"/>
      <c r="X864" t="s">
        <v>113</v>
      </c>
      <c r="Y864"/>
      <c r="Z864"/>
      <c r="AA864" t="s">
        <v>2163</v>
      </c>
      <c r="AB864" t="s">
        <v>2</v>
      </c>
      <c r="AC864" t="s">
        <v>138</v>
      </c>
      <c r="AD864" t="s">
        <v>129</v>
      </c>
      <c r="AE864" s="97"/>
    </row>
    <row r="865" spans="1:31" ht="14.4" customHeight="1" x14ac:dyDescent="0.3">
      <c r="A865" t="s">
        <v>2257</v>
      </c>
      <c r="B865" t="s">
        <v>2258</v>
      </c>
      <c r="C865"/>
      <c r="D865"/>
      <c r="E865"/>
      <c r="F865"/>
      <c r="G865" t="s">
        <v>2162</v>
      </c>
      <c r="H865" t="s">
        <v>132</v>
      </c>
      <c r="I865" t="s">
        <v>2</v>
      </c>
      <c r="J865" t="s">
        <v>133</v>
      </c>
      <c r="K865" t="s">
        <v>52</v>
      </c>
      <c r="L865" t="s">
        <v>2259</v>
      </c>
      <c r="M865" t="s">
        <v>134</v>
      </c>
      <c r="N865" t="s">
        <v>135</v>
      </c>
      <c r="O865"/>
      <c r="P865"/>
      <c r="Q865" t="s">
        <v>168</v>
      </c>
      <c r="R865"/>
      <c r="S865"/>
      <c r="T865" t="s">
        <v>2165</v>
      </c>
      <c r="U865" t="s">
        <v>137</v>
      </c>
      <c r="V865" t="s">
        <v>165</v>
      </c>
      <c r="W865"/>
      <c r="X865" t="s">
        <v>122</v>
      </c>
      <c r="Y865"/>
      <c r="Z865"/>
      <c r="AA865" t="s">
        <v>2163</v>
      </c>
      <c r="AB865" t="s">
        <v>2</v>
      </c>
      <c r="AC865" t="s">
        <v>138</v>
      </c>
      <c r="AD865" t="s">
        <v>130</v>
      </c>
      <c r="AE865" s="97"/>
    </row>
    <row r="866" spans="1:31" ht="14.4" customHeight="1" x14ac:dyDescent="0.3">
      <c r="A866" t="s">
        <v>2260</v>
      </c>
      <c r="B866" t="s">
        <v>2261</v>
      </c>
      <c r="C866"/>
      <c r="D866"/>
      <c r="E866"/>
      <c r="F866"/>
      <c r="G866" t="s">
        <v>2162</v>
      </c>
      <c r="H866" t="s">
        <v>132</v>
      </c>
      <c r="I866" t="s">
        <v>2</v>
      </c>
      <c r="J866" t="s">
        <v>133</v>
      </c>
      <c r="K866" t="s">
        <v>52</v>
      </c>
      <c r="L866" t="s">
        <v>2259</v>
      </c>
      <c r="M866" t="s">
        <v>134</v>
      </c>
      <c r="N866" t="s">
        <v>135</v>
      </c>
      <c r="O866"/>
      <c r="P866"/>
      <c r="Q866" t="s">
        <v>168</v>
      </c>
      <c r="R866"/>
      <c r="S866"/>
      <c r="T866" t="s">
        <v>2165</v>
      </c>
      <c r="U866" t="s">
        <v>137</v>
      </c>
      <c r="V866" t="s">
        <v>165</v>
      </c>
      <c r="W866"/>
      <c r="X866" t="s">
        <v>122</v>
      </c>
      <c r="Y866"/>
      <c r="Z866"/>
      <c r="AA866" t="s">
        <v>2163</v>
      </c>
      <c r="AB866" t="s">
        <v>2</v>
      </c>
      <c r="AC866" t="s">
        <v>138</v>
      </c>
      <c r="AD866" t="s">
        <v>130</v>
      </c>
      <c r="AE866" s="97"/>
    </row>
    <row r="867" spans="1:31" ht="14.4" customHeight="1" x14ac:dyDescent="0.3">
      <c r="A867" t="s">
        <v>2262</v>
      </c>
      <c r="B867" t="s">
        <v>2263</v>
      </c>
      <c r="C867"/>
      <c r="D867"/>
      <c r="E867"/>
      <c r="F867"/>
      <c r="G867" t="s">
        <v>2162</v>
      </c>
      <c r="H867" t="s">
        <v>132</v>
      </c>
      <c r="I867" t="s">
        <v>2</v>
      </c>
      <c r="J867" t="s">
        <v>133</v>
      </c>
      <c r="K867" t="s">
        <v>52</v>
      </c>
      <c r="L867" t="s">
        <v>2264</v>
      </c>
      <c r="M867" t="s">
        <v>134</v>
      </c>
      <c r="N867" t="s">
        <v>135</v>
      </c>
      <c r="O867"/>
      <c r="P867"/>
      <c r="Q867" t="s">
        <v>168</v>
      </c>
      <c r="R867"/>
      <c r="S867"/>
      <c r="T867" t="s">
        <v>2165</v>
      </c>
      <c r="U867" t="s">
        <v>137</v>
      </c>
      <c r="V867" t="s">
        <v>352</v>
      </c>
      <c r="W867"/>
      <c r="X867" t="s">
        <v>56</v>
      </c>
      <c r="Y867"/>
      <c r="Z867"/>
      <c r="AA867" t="s">
        <v>2163</v>
      </c>
      <c r="AB867" t="s">
        <v>2</v>
      </c>
      <c r="AC867" t="s">
        <v>138</v>
      </c>
      <c r="AD867" t="s">
        <v>128</v>
      </c>
      <c r="AE867" s="97"/>
    </row>
    <row r="868" spans="1:31" ht="14.4" customHeight="1" x14ac:dyDescent="0.3">
      <c r="A868" t="s">
        <v>2265</v>
      </c>
      <c r="B868" t="s">
        <v>2266</v>
      </c>
      <c r="C868"/>
      <c r="D868"/>
      <c r="E868"/>
      <c r="F868"/>
      <c r="G868" t="s">
        <v>2162</v>
      </c>
      <c r="H868" t="s">
        <v>132</v>
      </c>
      <c r="I868" t="s">
        <v>2</v>
      </c>
      <c r="J868" t="s">
        <v>133</v>
      </c>
      <c r="K868" t="s">
        <v>52</v>
      </c>
      <c r="L868" t="s">
        <v>2264</v>
      </c>
      <c r="M868" t="s">
        <v>134</v>
      </c>
      <c r="N868" t="s">
        <v>135</v>
      </c>
      <c r="O868"/>
      <c r="P868"/>
      <c r="Q868" t="s">
        <v>168</v>
      </c>
      <c r="R868"/>
      <c r="S868"/>
      <c r="T868" t="s">
        <v>2165</v>
      </c>
      <c r="U868" t="s">
        <v>137</v>
      </c>
      <c r="V868" t="s">
        <v>352</v>
      </c>
      <c r="W868"/>
      <c r="X868" t="s">
        <v>56</v>
      </c>
      <c r="Y868"/>
      <c r="Z868"/>
      <c r="AA868" t="s">
        <v>2163</v>
      </c>
      <c r="AB868" t="s">
        <v>2</v>
      </c>
      <c r="AC868" t="s">
        <v>138</v>
      </c>
      <c r="AD868" t="s">
        <v>128</v>
      </c>
      <c r="AE868" s="97"/>
    </row>
    <row r="869" spans="1:31" ht="14.4" customHeight="1" x14ac:dyDescent="0.3">
      <c r="A869" t="s">
        <v>2267</v>
      </c>
      <c r="B869" t="s">
        <v>2268</v>
      </c>
      <c r="C869"/>
      <c r="D869"/>
      <c r="E869"/>
      <c r="F869"/>
      <c r="G869" t="s">
        <v>2162</v>
      </c>
      <c r="H869" t="s">
        <v>132</v>
      </c>
      <c r="I869" t="s">
        <v>2</v>
      </c>
      <c r="J869" t="s">
        <v>133</v>
      </c>
      <c r="K869" t="s">
        <v>52</v>
      </c>
      <c r="L869" t="s">
        <v>2264</v>
      </c>
      <c r="M869" t="s">
        <v>134</v>
      </c>
      <c r="N869" t="s">
        <v>135</v>
      </c>
      <c r="O869"/>
      <c r="P869"/>
      <c r="Q869" t="s">
        <v>168</v>
      </c>
      <c r="R869"/>
      <c r="S869"/>
      <c r="T869" t="s">
        <v>2165</v>
      </c>
      <c r="U869" t="s">
        <v>137</v>
      </c>
      <c r="V869" t="s">
        <v>352</v>
      </c>
      <c r="W869"/>
      <c r="X869" t="s">
        <v>56</v>
      </c>
      <c r="Y869"/>
      <c r="Z869"/>
      <c r="AA869" t="s">
        <v>2163</v>
      </c>
      <c r="AB869" t="s">
        <v>2</v>
      </c>
      <c r="AC869" t="s">
        <v>138</v>
      </c>
      <c r="AD869" t="s">
        <v>128</v>
      </c>
      <c r="AE869" s="97"/>
    </row>
    <row r="870" spans="1:31" ht="14.4" customHeight="1" x14ac:dyDescent="0.3">
      <c r="A870" t="s">
        <v>2269</v>
      </c>
      <c r="B870" t="s">
        <v>2270</v>
      </c>
      <c r="C870"/>
      <c r="D870"/>
      <c r="E870"/>
      <c r="F870"/>
      <c r="G870" t="s">
        <v>2162</v>
      </c>
      <c r="H870" t="s">
        <v>132</v>
      </c>
      <c r="I870" t="s">
        <v>2</v>
      </c>
      <c r="J870" t="s">
        <v>133</v>
      </c>
      <c r="K870" t="s">
        <v>52</v>
      </c>
      <c r="L870" t="s">
        <v>2264</v>
      </c>
      <c r="M870" t="s">
        <v>134</v>
      </c>
      <c r="N870" t="s">
        <v>135</v>
      </c>
      <c r="O870"/>
      <c r="P870"/>
      <c r="Q870" t="s">
        <v>168</v>
      </c>
      <c r="R870"/>
      <c r="S870"/>
      <c r="T870" t="s">
        <v>2165</v>
      </c>
      <c r="U870" t="s">
        <v>137</v>
      </c>
      <c r="V870" t="s">
        <v>352</v>
      </c>
      <c r="W870"/>
      <c r="X870" t="s">
        <v>56</v>
      </c>
      <c r="Y870"/>
      <c r="Z870"/>
      <c r="AA870" t="s">
        <v>2163</v>
      </c>
      <c r="AB870" t="s">
        <v>2</v>
      </c>
      <c r="AC870" t="s">
        <v>138</v>
      </c>
      <c r="AD870" t="s">
        <v>128</v>
      </c>
      <c r="AE870" s="97"/>
    </row>
    <row r="871" spans="1:31" ht="14.4" customHeight="1" x14ac:dyDescent="0.3">
      <c r="A871" t="s">
        <v>2271</v>
      </c>
      <c r="B871" t="s">
        <v>2272</v>
      </c>
      <c r="C871"/>
      <c r="D871"/>
      <c r="E871"/>
      <c r="F871"/>
      <c r="G871" t="s">
        <v>2162</v>
      </c>
      <c r="H871" t="s">
        <v>132</v>
      </c>
      <c r="I871" t="s">
        <v>2</v>
      </c>
      <c r="J871" t="s">
        <v>133</v>
      </c>
      <c r="K871" t="s">
        <v>52</v>
      </c>
      <c r="L871" t="s">
        <v>2273</v>
      </c>
      <c r="M871" t="s">
        <v>134</v>
      </c>
      <c r="N871" t="s">
        <v>135</v>
      </c>
      <c r="O871"/>
      <c r="P871"/>
      <c r="Q871" t="s">
        <v>168</v>
      </c>
      <c r="R871"/>
      <c r="S871"/>
      <c r="T871" t="s">
        <v>2165</v>
      </c>
      <c r="U871" t="s">
        <v>137</v>
      </c>
      <c r="V871" t="s">
        <v>352</v>
      </c>
      <c r="W871"/>
      <c r="X871" t="s">
        <v>56</v>
      </c>
      <c r="Y871"/>
      <c r="Z871"/>
      <c r="AA871" t="s">
        <v>2163</v>
      </c>
      <c r="AB871" t="s">
        <v>2</v>
      </c>
      <c r="AC871" t="s">
        <v>138</v>
      </c>
      <c r="AD871" t="s">
        <v>128</v>
      </c>
      <c r="AE871" s="97"/>
    </row>
    <row r="872" spans="1:31" ht="14.4" customHeight="1" x14ac:dyDescent="0.3">
      <c r="A872" t="s">
        <v>2274</v>
      </c>
      <c r="B872" t="s">
        <v>2275</v>
      </c>
      <c r="C872"/>
      <c r="D872"/>
      <c r="E872"/>
      <c r="F872"/>
      <c r="G872" t="s">
        <v>2162</v>
      </c>
      <c r="H872" t="s">
        <v>132</v>
      </c>
      <c r="I872" t="s">
        <v>2</v>
      </c>
      <c r="J872" t="s">
        <v>133</v>
      </c>
      <c r="K872" t="s">
        <v>52</v>
      </c>
      <c r="L872" t="s">
        <v>2273</v>
      </c>
      <c r="M872" t="s">
        <v>134</v>
      </c>
      <c r="N872" t="s">
        <v>135</v>
      </c>
      <c r="O872"/>
      <c r="P872"/>
      <c r="Q872" t="s">
        <v>168</v>
      </c>
      <c r="R872"/>
      <c r="S872"/>
      <c r="T872" t="s">
        <v>2165</v>
      </c>
      <c r="U872" t="s">
        <v>137</v>
      </c>
      <c r="V872" t="s">
        <v>352</v>
      </c>
      <c r="W872"/>
      <c r="X872" t="s">
        <v>56</v>
      </c>
      <c r="Y872"/>
      <c r="Z872"/>
      <c r="AA872" t="s">
        <v>2163</v>
      </c>
      <c r="AB872" t="s">
        <v>2</v>
      </c>
      <c r="AC872" t="s">
        <v>138</v>
      </c>
      <c r="AD872" t="s">
        <v>128</v>
      </c>
      <c r="AE872" s="97"/>
    </row>
    <row r="873" spans="1:31" ht="14.4" customHeight="1" x14ac:dyDescent="0.3">
      <c r="A873" t="s">
        <v>2276</v>
      </c>
      <c r="B873" t="s">
        <v>2277</v>
      </c>
      <c r="C873"/>
      <c r="D873"/>
      <c r="E873"/>
      <c r="F873"/>
      <c r="G873" t="s">
        <v>2162</v>
      </c>
      <c r="H873" t="s">
        <v>132</v>
      </c>
      <c r="I873" t="s">
        <v>2</v>
      </c>
      <c r="J873" t="s">
        <v>133</v>
      </c>
      <c r="K873" t="s">
        <v>52</v>
      </c>
      <c r="L873" t="s">
        <v>2278</v>
      </c>
      <c r="M873" t="s">
        <v>134</v>
      </c>
      <c r="N873" t="s">
        <v>135</v>
      </c>
      <c r="O873"/>
      <c r="P873"/>
      <c r="Q873" t="s">
        <v>168</v>
      </c>
      <c r="R873"/>
      <c r="S873"/>
      <c r="T873" t="s">
        <v>2165</v>
      </c>
      <c r="U873" t="s">
        <v>137</v>
      </c>
      <c r="V873" t="s">
        <v>147</v>
      </c>
      <c r="W873"/>
      <c r="X873" t="s">
        <v>70</v>
      </c>
      <c r="Y873"/>
      <c r="Z873"/>
      <c r="AA873" t="s">
        <v>2163</v>
      </c>
      <c r="AB873" t="s">
        <v>2</v>
      </c>
      <c r="AC873" t="s">
        <v>138</v>
      </c>
      <c r="AD873" t="s">
        <v>128</v>
      </c>
      <c r="AE873" s="97"/>
    </row>
    <row r="874" spans="1:31" ht="14.4" customHeight="1" x14ac:dyDescent="0.3">
      <c r="A874" t="s">
        <v>2279</v>
      </c>
      <c r="B874" t="s">
        <v>2280</v>
      </c>
      <c r="C874"/>
      <c r="D874"/>
      <c r="E874"/>
      <c r="F874"/>
      <c r="G874" t="s">
        <v>2162</v>
      </c>
      <c r="H874" t="s">
        <v>132</v>
      </c>
      <c r="I874" t="s">
        <v>2</v>
      </c>
      <c r="J874" t="s">
        <v>133</v>
      </c>
      <c r="K874" t="s">
        <v>52</v>
      </c>
      <c r="L874" t="s">
        <v>2281</v>
      </c>
      <c r="M874" t="s">
        <v>134</v>
      </c>
      <c r="N874" t="s">
        <v>135</v>
      </c>
      <c r="O874"/>
      <c r="P874"/>
      <c r="Q874" t="s">
        <v>168</v>
      </c>
      <c r="R874"/>
      <c r="S874"/>
      <c r="T874" t="s">
        <v>2165</v>
      </c>
      <c r="U874" t="s">
        <v>137</v>
      </c>
      <c r="V874" t="s">
        <v>150</v>
      </c>
      <c r="W874"/>
      <c r="X874" t="s">
        <v>76</v>
      </c>
      <c r="Y874"/>
      <c r="Z874"/>
      <c r="AA874" t="s">
        <v>2163</v>
      </c>
      <c r="AB874" t="s">
        <v>2</v>
      </c>
      <c r="AC874" t="s">
        <v>138</v>
      </c>
      <c r="AD874" t="s">
        <v>128</v>
      </c>
      <c r="AE874" s="97"/>
    </row>
    <row r="875" spans="1:31" ht="14.4" customHeight="1" x14ac:dyDescent="0.3">
      <c r="A875" t="s">
        <v>2282</v>
      </c>
      <c r="B875" t="s">
        <v>2283</v>
      </c>
      <c r="C875"/>
      <c r="D875"/>
      <c r="E875"/>
      <c r="F875"/>
      <c r="G875" t="s">
        <v>2162</v>
      </c>
      <c r="H875" t="s">
        <v>132</v>
      </c>
      <c r="I875" t="s">
        <v>2</v>
      </c>
      <c r="J875" t="s">
        <v>133</v>
      </c>
      <c r="K875" t="s">
        <v>52</v>
      </c>
      <c r="L875" t="s">
        <v>2284</v>
      </c>
      <c r="M875" t="s">
        <v>134</v>
      </c>
      <c r="N875" t="s">
        <v>135</v>
      </c>
      <c r="O875"/>
      <c r="P875"/>
      <c r="Q875" t="s">
        <v>168</v>
      </c>
      <c r="R875"/>
      <c r="S875"/>
      <c r="T875" t="s">
        <v>2165</v>
      </c>
      <c r="U875" t="s">
        <v>137</v>
      </c>
      <c r="V875" t="s">
        <v>153</v>
      </c>
      <c r="W875"/>
      <c r="X875" t="s">
        <v>88</v>
      </c>
      <c r="Y875"/>
      <c r="Z875"/>
      <c r="AA875" t="s">
        <v>2163</v>
      </c>
      <c r="AB875" t="s">
        <v>2</v>
      </c>
      <c r="AC875" t="s">
        <v>138</v>
      </c>
      <c r="AD875" t="s">
        <v>129</v>
      </c>
      <c r="AE875" s="97"/>
    </row>
    <row r="876" spans="1:31" ht="14.4" customHeight="1" x14ac:dyDescent="0.3">
      <c r="A876" t="s">
        <v>2285</v>
      </c>
      <c r="B876" t="s">
        <v>2286</v>
      </c>
      <c r="C876"/>
      <c r="D876"/>
      <c r="E876"/>
      <c r="F876"/>
      <c r="G876" t="s">
        <v>2162</v>
      </c>
      <c r="H876" t="s">
        <v>132</v>
      </c>
      <c r="I876" t="s">
        <v>2</v>
      </c>
      <c r="J876" t="s">
        <v>133</v>
      </c>
      <c r="K876" t="s">
        <v>52</v>
      </c>
      <c r="L876" t="s">
        <v>2287</v>
      </c>
      <c r="M876" t="s">
        <v>134</v>
      </c>
      <c r="N876" t="s">
        <v>135</v>
      </c>
      <c r="O876"/>
      <c r="P876"/>
      <c r="Q876" t="s">
        <v>168</v>
      </c>
      <c r="R876"/>
      <c r="S876"/>
      <c r="T876" t="s">
        <v>2165</v>
      </c>
      <c r="U876" t="s">
        <v>137</v>
      </c>
      <c r="V876" t="s">
        <v>156</v>
      </c>
      <c r="W876"/>
      <c r="X876" t="s">
        <v>97</v>
      </c>
      <c r="Y876"/>
      <c r="Z876"/>
      <c r="AA876" t="s">
        <v>2163</v>
      </c>
      <c r="AB876" t="s">
        <v>2</v>
      </c>
      <c r="AC876" t="s">
        <v>138</v>
      </c>
      <c r="AD876" t="s">
        <v>129</v>
      </c>
      <c r="AE876" s="97"/>
    </row>
    <row r="877" spans="1:31" ht="14.4" customHeight="1" x14ac:dyDescent="0.3">
      <c r="A877" t="s">
        <v>2288</v>
      </c>
      <c r="B877" t="s">
        <v>2289</v>
      </c>
      <c r="C877"/>
      <c r="D877"/>
      <c r="E877"/>
      <c r="F877"/>
      <c r="G877" t="s">
        <v>2162</v>
      </c>
      <c r="H877" t="s">
        <v>132</v>
      </c>
      <c r="I877" t="s">
        <v>2</v>
      </c>
      <c r="J877" t="s">
        <v>133</v>
      </c>
      <c r="K877" t="s">
        <v>52</v>
      </c>
      <c r="L877" t="s">
        <v>2290</v>
      </c>
      <c r="M877" t="s">
        <v>134</v>
      </c>
      <c r="N877" t="s">
        <v>135</v>
      </c>
      <c r="O877"/>
      <c r="P877"/>
      <c r="Q877" t="s">
        <v>168</v>
      </c>
      <c r="R877"/>
      <c r="S877"/>
      <c r="T877" t="s">
        <v>2165</v>
      </c>
      <c r="U877" t="s">
        <v>137</v>
      </c>
      <c r="V877" t="s">
        <v>159</v>
      </c>
      <c r="W877"/>
      <c r="X877" t="s">
        <v>106</v>
      </c>
      <c r="Y877"/>
      <c r="Z877"/>
      <c r="AA877" t="s">
        <v>2163</v>
      </c>
      <c r="AB877" t="s">
        <v>2</v>
      </c>
      <c r="AC877" t="s">
        <v>138</v>
      </c>
      <c r="AD877" t="s">
        <v>129</v>
      </c>
      <c r="AE877" s="97"/>
    </row>
    <row r="878" spans="1:31" ht="14.4" customHeight="1" x14ac:dyDescent="0.3">
      <c r="A878" t="s">
        <v>2291</v>
      </c>
      <c r="B878" t="s">
        <v>2292</v>
      </c>
      <c r="C878"/>
      <c r="D878"/>
      <c r="E878"/>
      <c r="F878"/>
      <c r="G878" t="s">
        <v>2162</v>
      </c>
      <c r="H878" t="s">
        <v>132</v>
      </c>
      <c r="I878" t="s">
        <v>2</v>
      </c>
      <c r="J878" t="s">
        <v>133</v>
      </c>
      <c r="K878" t="s">
        <v>52</v>
      </c>
      <c r="L878" t="s">
        <v>2293</v>
      </c>
      <c r="M878" t="s">
        <v>134</v>
      </c>
      <c r="N878" t="s">
        <v>135</v>
      </c>
      <c r="O878"/>
      <c r="P878"/>
      <c r="Q878" t="s">
        <v>168</v>
      </c>
      <c r="R878"/>
      <c r="S878"/>
      <c r="T878" t="s">
        <v>2165</v>
      </c>
      <c r="U878" t="s">
        <v>137</v>
      </c>
      <c r="V878" t="s">
        <v>162</v>
      </c>
      <c r="W878"/>
      <c r="X878" t="s">
        <v>113</v>
      </c>
      <c r="Y878"/>
      <c r="Z878"/>
      <c r="AA878" t="s">
        <v>2163</v>
      </c>
      <c r="AB878" t="s">
        <v>2</v>
      </c>
      <c r="AC878" t="s">
        <v>138</v>
      </c>
      <c r="AD878" t="s">
        <v>129</v>
      </c>
      <c r="AE878" s="97"/>
    </row>
    <row r="879" spans="1:31" ht="14.4" customHeight="1" x14ac:dyDescent="0.3">
      <c r="A879" t="s">
        <v>2294</v>
      </c>
      <c r="B879" t="s">
        <v>2295</v>
      </c>
      <c r="C879"/>
      <c r="D879"/>
      <c r="E879"/>
      <c r="F879"/>
      <c r="G879" t="s">
        <v>2162</v>
      </c>
      <c r="H879" t="s">
        <v>132</v>
      </c>
      <c r="I879" t="s">
        <v>2</v>
      </c>
      <c r="J879" t="s">
        <v>133</v>
      </c>
      <c r="K879" t="s">
        <v>52</v>
      </c>
      <c r="L879" t="s">
        <v>2296</v>
      </c>
      <c r="M879" t="s">
        <v>134</v>
      </c>
      <c r="N879" t="s">
        <v>135</v>
      </c>
      <c r="O879"/>
      <c r="P879"/>
      <c r="Q879" t="s">
        <v>168</v>
      </c>
      <c r="R879"/>
      <c r="S879"/>
      <c r="T879" t="s">
        <v>2165</v>
      </c>
      <c r="U879" t="s">
        <v>137</v>
      </c>
      <c r="V879" t="s">
        <v>165</v>
      </c>
      <c r="W879"/>
      <c r="X879" t="s">
        <v>122</v>
      </c>
      <c r="Y879"/>
      <c r="Z879"/>
      <c r="AA879" t="s">
        <v>2163</v>
      </c>
      <c r="AB879" t="s">
        <v>2</v>
      </c>
      <c r="AC879" t="s">
        <v>138</v>
      </c>
      <c r="AD879" t="s">
        <v>130</v>
      </c>
      <c r="AE879" s="97"/>
    </row>
    <row r="880" spans="1:31" ht="14.4" customHeight="1" x14ac:dyDescent="0.3">
      <c r="A880" t="s">
        <v>2297</v>
      </c>
      <c r="B880" t="s">
        <v>2298</v>
      </c>
      <c r="C880"/>
      <c r="D880"/>
      <c r="E880"/>
      <c r="F880"/>
      <c r="G880" t="s">
        <v>2162</v>
      </c>
      <c r="H880" t="s">
        <v>132</v>
      </c>
      <c r="I880" t="s">
        <v>2</v>
      </c>
      <c r="J880" t="s">
        <v>133</v>
      </c>
      <c r="K880" t="s">
        <v>52</v>
      </c>
      <c r="L880" t="s">
        <v>2299</v>
      </c>
      <c r="M880" t="s">
        <v>134</v>
      </c>
      <c r="N880" t="s">
        <v>135</v>
      </c>
      <c r="O880"/>
      <c r="P880"/>
      <c r="Q880" t="s">
        <v>168</v>
      </c>
      <c r="R880"/>
      <c r="S880"/>
      <c r="T880" t="s">
        <v>2165</v>
      </c>
      <c r="U880" t="s">
        <v>137</v>
      </c>
      <c r="V880" t="s">
        <v>147</v>
      </c>
      <c r="W880"/>
      <c r="X880" t="s">
        <v>70</v>
      </c>
      <c r="Y880"/>
      <c r="Z880"/>
      <c r="AA880" t="s">
        <v>2163</v>
      </c>
      <c r="AB880" t="s">
        <v>2</v>
      </c>
      <c r="AC880" t="s">
        <v>138</v>
      </c>
      <c r="AD880" t="s">
        <v>128</v>
      </c>
      <c r="AE880" s="97"/>
    </row>
    <row r="881" spans="1:31" ht="14.4" customHeight="1" x14ac:dyDescent="0.3">
      <c r="A881" t="s">
        <v>2300</v>
      </c>
      <c r="B881" t="s">
        <v>2301</v>
      </c>
      <c r="C881"/>
      <c r="D881"/>
      <c r="E881"/>
      <c r="F881"/>
      <c r="G881" t="s">
        <v>2162</v>
      </c>
      <c r="H881" t="s">
        <v>132</v>
      </c>
      <c r="I881" t="s">
        <v>2</v>
      </c>
      <c r="J881" t="s">
        <v>133</v>
      </c>
      <c r="K881" t="s">
        <v>52</v>
      </c>
      <c r="L881" t="s">
        <v>2299</v>
      </c>
      <c r="M881" t="s">
        <v>134</v>
      </c>
      <c r="N881" t="s">
        <v>135</v>
      </c>
      <c r="O881"/>
      <c r="P881"/>
      <c r="Q881" t="s">
        <v>168</v>
      </c>
      <c r="R881"/>
      <c r="S881"/>
      <c r="T881" t="s">
        <v>2165</v>
      </c>
      <c r="U881" t="s">
        <v>137</v>
      </c>
      <c r="V881" t="s">
        <v>147</v>
      </c>
      <c r="W881"/>
      <c r="X881" t="s">
        <v>70</v>
      </c>
      <c r="Y881"/>
      <c r="Z881"/>
      <c r="AA881" t="s">
        <v>2163</v>
      </c>
      <c r="AB881" t="s">
        <v>2</v>
      </c>
      <c r="AC881" t="s">
        <v>138</v>
      </c>
      <c r="AD881" t="s">
        <v>128</v>
      </c>
      <c r="AE881" s="97"/>
    </row>
    <row r="882" spans="1:31" ht="14.4" customHeight="1" x14ac:dyDescent="0.3">
      <c r="A882" t="s">
        <v>2302</v>
      </c>
      <c r="B882" t="s">
        <v>2303</v>
      </c>
      <c r="C882"/>
      <c r="D882"/>
      <c r="E882"/>
      <c r="F882"/>
      <c r="G882" t="s">
        <v>2162</v>
      </c>
      <c r="H882" t="s">
        <v>132</v>
      </c>
      <c r="I882" t="s">
        <v>2</v>
      </c>
      <c r="J882" t="s">
        <v>133</v>
      </c>
      <c r="K882" t="s">
        <v>52</v>
      </c>
      <c r="L882" t="s">
        <v>2304</v>
      </c>
      <c r="M882" t="s">
        <v>134</v>
      </c>
      <c r="N882" t="s">
        <v>135</v>
      </c>
      <c r="O882"/>
      <c r="P882"/>
      <c r="Q882" t="s">
        <v>168</v>
      </c>
      <c r="R882"/>
      <c r="S882"/>
      <c r="T882" t="s">
        <v>2165</v>
      </c>
      <c r="U882" t="s">
        <v>137</v>
      </c>
      <c r="V882" t="s">
        <v>150</v>
      </c>
      <c r="W882"/>
      <c r="X882" t="s">
        <v>76</v>
      </c>
      <c r="Y882"/>
      <c r="Z882"/>
      <c r="AA882" t="s">
        <v>2163</v>
      </c>
      <c r="AB882" t="s">
        <v>2</v>
      </c>
      <c r="AC882" t="s">
        <v>138</v>
      </c>
      <c r="AD882" t="s">
        <v>128</v>
      </c>
      <c r="AE882" s="97"/>
    </row>
    <row r="883" spans="1:31" ht="14.4" customHeight="1" x14ac:dyDescent="0.3">
      <c r="A883" t="s">
        <v>2305</v>
      </c>
      <c r="B883" t="s">
        <v>2306</v>
      </c>
      <c r="C883"/>
      <c r="D883"/>
      <c r="E883"/>
      <c r="F883"/>
      <c r="G883" t="s">
        <v>2162</v>
      </c>
      <c r="H883" t="s">
        <v>132</v>
      </c>
      <c r="I883" t="s">
        <v>2</v>
      </c>
      <c r="J883" t="s">
        <v>133</v>
      </c>
      <c r="K883" t="s">
        <v>52</v>
      </c>
      <c r="L883" t="s">
        <v>2304</v>
      </c>
      <c r="M883" t="s">
        <v>134</v>
      </c>
      <c r="N883" t="s">
        <v>135</v>
      </c>
      <c r="O883"/>
      <c r="P883"/>
      <c r="Q883" t="s">
        <v>168</v>
      </c>
      <c r="R883"/>
      <c r="S883"/>
      <c r="T883" t="s">
        <v>2165</v>
      </c>
      <c r="U883" t="s">
        <v>137</v>
      </c>
      <c r="V883" t="s">
        <v>150</v>
      </c>
      <c r="W883"/>
      <c r="X883" t="s">
        <v>76</v>
      </c>
      <c r="Y883"/>
      <c r="Z883"/>
      <c r="AA883" t="s">
        <v>2163</v>
      </c>
      <c r="AB883" t="s">
        <v>2</v>
      </c>
      <c r="AC883" t="s">
        <v>138</v>
      </c>
      <c r="AD883" t="s">
        <v>128</v>
      </c>
      <c r="AE883" s="97"/>
    </row>
    <row r="884" spans="1:31" ht="14.4" customHeight="1" x14ac:dyDescent="0.3">
      <c r="A884" t="s">
        <v>2307</v>
      </c>
      <c r="B884" t="s">
        <v>2308</v>
      </c>
      <c r="C884"/>
      <c r="D884"/>
      <c r="E884"/>
      <c r="F884"/>
      <c r="G884" t="s">
        <v>2162</v>
      </c>
      <c r="H884" t="s">
        <v>132</v>
      </c>
      <c r="I884" t="s">
        <v>2</v>
      </c>
      <c r="J884" t="s">
        <v>133</v>
      </c>
      <c r="K884" t="s">
        <v>52</v>
      </c>
      <c r="L884" t="s">
        <v>2309</v>
      </c>
      <c r="M884" t="s">
        <v>134</v>
      </c>
      <c r="N884" t="s">
        <v>135</v>
      </c>
      <c r="O884"/>
      <c r="P884"/>
      <c r="Q884" t="s">
        <v>168</v>
      </c>
      <c r="R884"/>
      <c r="S884"/>
      <c r="T884" t="s">
        <v>2165</v>
      </c>
      <c r="U884" t="s">
        <v>137</v>
      </c>
      <c r="V884" t="s">
        <v>153</v>
      </c>
      <c r="W884"/>
      <c r="X884" t="s">
        <v>88</v>
      </c>
      <c r="Y884"/>
      <c r="Z884"/>
      <c r="AA884" t="s">
        <v>2163</v>
      </c>
      <c r="AB884" t="s">
        <v>2</v>
      </c>
      <c r="AC884" t="s">
        <v>138</v>
      </c>
      <c r="AD884" t="s">
        <v>129</v>
      </c>
      <c r="AE884" s="97"/>
    </row>
    <row r="885" spans="1:31" ht="14.4" customHeight="1" x14ac:dyDescent="0.3">
      <c r="A885" t="s">
        <v>2310</v>
      </c>
      <c r="B885" t="s">
        <v>2311</v>
      </c>
      <c r="C885"/>
      <c r="D885"/>
      <c r="E885"/>
      <c r="F885"/>
      <c r="G885" t="s">
        <v>2162</v>
      </c>
      <c r="H885" t="s">
        <v>132</v>
      </c>
      <c r="I885" t="s">
        <v>2</v>
      </c>
      <c r="J885" t="s">
        <v>133</v>
      </c>
      <c r="K885" t="s">
        <v>52</v>
      </c>
      <c r="L885" t="s">
        <v>2309</v>
      </c>
      <c r="M885" t="s">
        <v>134</v>
      </c>
      <c r="N885" t="s">
        <v>135</v>
      </c>
      <c r="O885"/>
      <c r="P885"/>
      <c r="Q885" t="s">
        <v>168</v>
      </c>
      <c r="R885"/>
      <c r="S885"/>
      <c r="T885" t="s">
        <v>2165</v>
      </c>
      <c r="U885" t="s">
        <v>137</v>
      </c>
      <c r="V885" t="s">
        <v>153</v>
      </c>
      <c r="W885"/>
      <c r="X885" t="s">
        <v>88</v>
      </c>
      <c r="Y885"/>
      <c r="Z885"/>
      <c r="AA885" t="s">
        <v>2163</v>
      </c>
      <c r="AB885" t="s">
        <v>2</v>
      </c>
      <c r="AC885" t="s">
        <v>138</v>
      </c>
      <c r="AD885" t="s">
        <v>129</v>
      </c>
      <c r="AE885" s="97"/>
    </row>
    <row r="886" spans="1:31" ht="14.4" customHeight="1" x14ac:dyDescent="0.3">
      <c r="A886" t="s">
        <v>2312</v>
      </c>
      <c r="B886" t="s">
        <v>2313</v>
      </c>
      <c r="C886"/>
      <c r="D886"/>
      <c r="E886"/>
      <c r="F886"/>
      <c r="G886" t="s">
        <v>2162</v>
      </c>
      <c r="H886" t="s">
        <v>132</v>
      </c>
      <c r="I886" t="s">
        <v>2</v>
      </c>
      <c r="J886" t="s">
        <v>133</v>
      </c>
      <c r="K886" t="s">
        <v>52</v>
      </c>
      <c r="L886" t="s">
        <v>2314</v>
      </c>
      <c r="M886" t="s">
        <v>134</v>
      </c>
      <c r="N886" t="s">
        <v>135</v>
      </c>
      <c r="O886"/>
      <c r="P886"/>
      <c r="Q886" t="s">
        <v>168</v>
      </c>
      <c r="R886"/>
      <c r="S886"/>
      <c r="T886" t="s">
        <v>2165</v>
      </c>
      <c r="U886" t="s">
        <v>137</v>
      </c>
      <c r="V886" t="s">
        <v>156</v>
      </c>
      <c r="W886"/>
      <c r="X886" t="s">
        <v>97</v>
      </c>
      <c r="Y886"/>
      <c r="Z886"/>
      <c r="AA886" t="s">
        <v>2163</v>
      </c>
      <c r="AB886" t="s">
        <v>2</v>
      </c>
      <c r="AC886" t="s">
        <v>138</v>
      </c>
      <c r="AD886" t="s">
        <v>129</v>
      </c>
      <c r="AE886" s="97"/>
    </row>
    <row r="887" spans="1:31" ht="14.4" customHeight="1" x14ac:dyDescent="0.3">
      <c r="A887" t="s">
        <v>2315</v>
      </c>
      <c r="B887" t="s">
        <v>2316</v>
      </c>
      <c r="C887"/>
      <c r="D887"/>
      <c r="E887"/>
      <c r="F887"/>
      <c r="G887" t="s">
        <v>2162</v>
      </c>
      <c r="H887" t="s">
        <v>132</v>
      </c>
      <c r="I887" t="s">
        <v>2</v>
      </c>
      <c r="J887" t="s">
        <v>133</v>
      </c>
      <c r="K887" t="s">
        <v>52</v>
      </c>
      <c r="L887" t="s">
        <v>2314</v>
      </c>
      <c r="M887" t="s">
        <v>134</v>
      </c>
      <c r="N887" t="s">
        <v>135</v>
      </c>
      <c r="O887"/>
      <c r="P887"/>
      <c r="Q887" t="s">
        <v>168</v>
      </c>
      <c r="R887"/>
      <c r="S887"/>
      <c r="T887" t="s">
        <v>2165</v>
      </c>
      <c r="U887" t="s">
        <v>137</v>
      </c>
      <c r="V887" t="s">
        <v>156</v>
      </c>
      <c r="W887"/>
      <c r="X887" t="s">
        <v>97</v>
      </c>
      <c r="Y887"/>
      <c r="Z887"/>
      <c r="AA887" t="s">
        <v>2163</v>
      </c>
      <c r="AB887" t="s">
        <v>2</v>
      </c>
      <c r="AC887" t="s">
        <v>138</v>
      </c>
      <c r="AD887" t="s">
        <v>129</v>
      </c>
      <c r="AE887" s="97"/>
    </row>
    <row r="888" spans="1:31" ht="14.4" customHeight="1" x14ac:dyDescent="0.3">
      <c r="A888" t="s">
        <v>2317</v>
      </c>
      <c r="B888" t="s">
        <v>2318</v>
      </c>
      <c r="C888"/>
      <c r="D888"/>
      <c r="E888"/>
      <c r="F888"/>
      <c r="G888" t="s">
        <v>2162</v>
      </c>
      <c r="H888" t="s">
        <v>132</v>
      </c>
      <c r="I888" t="s">
        <v>2</v>
      </c>
      <c r="J888" t="s">
        <v>133</v>
      </c>
      <c r="K888" t="s">
        <v>52</v>
      </c>
      <c r="L888" t="s">
        <v>2319</v>
      </c>
      <c r="M888" t="s">
        <v>134</v>
      </c>
      <c r="N888" t="s">
        <v>135</v>
      </c>
      <c r="O888"/>
      <c r="P888"/>
      <c r="Q888" t="s">
        <v>168</v>
      </c>
      <c r="R888"/>
      <c r="S888"/>
      <c r="T888" t="s">
        <v>2165</v>
      </c>
      <c r="U888" t="s">
        <v>137</v>
      </c>
      <c r="V888" t="s">
        <v>159</v>
      </c>
      <c r="W888"/>
      <c r="X888" t="s">
        <v>106</v>
      </c>
      <c r="Y888"/>
      <c r="Z888"/>
      <c r="AA888" t="s">
        <v>2163</v>
      </c>
      <c r="AB888" t="s">
        <v>2</v>
      </c>
      <c r="AC888" t="s">
        <v>138</v>
      </c>
      <c r="AD888" t="s">
        <v>129</v>
      </c>
      <c r="AE888" s="97"/>
    </row>
    <row r="889" spans="1:31" ht="14.4" customHeight="1" x14ac:dyDescent="0.3">
      <c r="A889" t="s">
        <v>2320</v>
      </c>
      <c r="B889" t="s">
        <v>2321</v>
      </c>
      <c r="C889"/>
      <c r="D889"/>
      <c r="E889"/>
      <c r="F889"/>
      <c r="G889" t="s">
        <v>2162</v>
      </c>
      <c r="H889" t="s">
        <v>132</v>
      </c>
      <c r="I889" t="s">
        <v>2</v>
      </c>
      <c r="J889" t="s">
        <v>133</v>
      </c>
      <c r="K889" t="s">
        <v>52</v>
      </c>
      <c r="L889" t="s">
        <v>2319</v>
      </c>
      <c r="M889" t="s">
        <v>134</v>
      </c>
      <c r="N889" t="s">
        <v>135</v>
      </c>
      <c r="O889"/>
      <c r="P889"/>
      <c r="Q889" t="s">
        <v>168</v>
      </c>
      <c r="R889"/>
      <c r="S889"/>
      <c r="T889" t="s">
        <v>2165</v>
      </c>
      <c r="U889" t="s">
        <v>137</v>
      </c>
      <c r="V889" t="s">
        <v>159</v>
      </c>
      <c r="W889"/>
      <c r="X889" t="s">
        <v>106</v>
      </c>
      <c r="Y889"/>
      <c r="Z889"/>
      <c r="AA889" t="s">
        <v>2163</v>
      </c>
      <c r="AB889" t="s">
        <v>2</v>
      </c>
      <c r="AC889" t="s">
        <v>138</v>
      </c>
      <c r="AD889" t="s">
        <v>129</v>
      </c>
      <c r="AE889" s="97"/>
    </row>
    <row r="890" spans="1:31" ht="14.4" customHeight="1" x14ac:dyDescent="0.3">
      <c r="A890" t="s">
        <v>2322</v>
      </c>
      <c r="B890" t="s">
        <v>2323</v>
      </c>
      <c r="C890"/>
      <c r="D890"/>
      <c r="E890"/>
      <c r="F890"/>
      <c r="G890" t="s">
        <v>2162</v>
      </c>
      <c r="H890" t="s">
        <v>132</v>
      </c>
      <c r="I890" t="s">
        <v>2</v>
      </c>
      <c r="J890" t="s">
        <v>133</v>
      </c>
      <c r="K890" t="s">
        <v>52</v>
      </c>
      <c r="L890" t="s">
        <v>2324</v>
      </c>
      <c r="M890" t="s">
        <v>134</v>
      </c>
      <c r="N890" t="s">
        <v>135</v>
      </c>
      <c r="O890"/>
      <c r="P890"/>
      <c r="Q890" t="s">
        <v>168</v>
      </c>
      <c r="R890"/>
      <c r="S890"/>
      <c r="T890" t="s">
        <v>2165</v>
      </c>
      <c r="U890" t="s">
        <v>137</v>
      </c>
      <c r="V890" t="s">
        <v>162</v>
      </c>
      <c r="W890"/>
      <c r="X890" t="s">
        <v>113</v>
      </c>
      <c r="Y890"/>
      <c r="Z890"/>
      <c r="AA890" t="s">
        <v>2163</v>
      </c>
      <c r="AB890" t="s">
        <v>2</v>
      </c>
      <c r="AC890" t="s">
        <v>138</v>
      </c>
      <c r="AD890" t="s">
        <v>129</v>
      </c>
      <c r="AE890" s="97"/>
    </row>
    <row r="891" spans="1:31" ht="14.4" customHeight="1" x14ac:dyDescent="0.3">
      <c r="A891" t="s">
        <v>2325</v>
      </c>
      <c r="B891" t="s">
        <v>2326</v>
      </c>
      <c r="C891"/>
      <c r="D891"/>
      <c r="E891"/>
      <c r="F891"/>
      <c r="G891" t="s">
        <v>2162</v>
      </c>
      <c r="H891" t="s">
        <v>132</v>
      </c>
      <c r="I891" t="s">
        <v>2</v>
      </c>
      <c r="J891" t="s">
        <v>133</v>
      </c>
      <c r="K891" t="s">
        <v>52</v>
      </c>
      <c r="L891" t="s">
        <v>2324</v>
      </c>
      <c r="M891" t="s">
        <v>134</v>
      </c>
      <c r="N891" t="s">
        <v>135</v>
      </c>
      <c r="O891"/>
      <c r="P891"/>
      <c r="Q891" t="s">
        <v>168</v>
      </c>
      <c r="R891"/>
      <c r="S891"/>
      <c r="T891" t="s">
        <v>2165</v>
      </c>
      <c r="U891" t="s">
        <v>137</v>
      </c>
      <c r="V891" t="s">
        <v>162</v>
      </c>
      <c r="W891"/>
      <c r="X891" t="s">
        <v>113</v>
      </c>
      <c r="Y891"/>
      <c r="Z891"/>
      <c r="AA891" t="s">
        <v>2163</v>
      </c>
      <c r="AB891" t="s">
        <v>2</v>
      </c>
      <c r="AC891" t="s">
        <v>138</v>
      </c>
      <c r="AD891" t="s">
        <v>129</v>
      </c>
      <c r="AE891" s="97"/>
    </row>
    <row r="892" spans="1:31" ht="14.4" customHeight="1" x14ac:dyDescent="0.3">
      <c r="A892" t="s">
        <v>2327</v>
      </c>
      <c r="B892" t="s">
        <v>2328</v>
      </c>
      <c r="C892"/>
      <c r="D892"/>
      <c r="E892"/>
      <c r="F892"/>
      <c r="G892" t="s">
        <v>2162</v>
      </c>
      <c r="H892" t="s">
        <v>132</v>
      </c>
      <c r="I892" t="s">
        <v>2</v>
      </c>
      <c r="J892" t="s">
        <v>133</v>
      </c>
      <c r="K892" t="s">
        <v>52</v>
      </c>
      <c r="L892" t="s">
        <v>2329</v>
      </c>
      <c r="M892" t="s">
        <v>134</v>
      </c>
      <c r="N892" t="s">
        <v>135</v>
      </c>
      <c r="O892"/>
      <c r="P892"/>
      <c r="Q892" t="s">
        <v>168</v>
      </c>
      <c r="R892"/>
      <c r="S892"/>
      <c r="T892" t="s">
        <v>2165</v>
      </c>
      <c r="U892" t="s">
        <v>137</v>
      </c>
      <c r="V892" t="s">
        <v>165</v>
      </c>
      <c r="W892"/>
      <c r="X892" t="s">
        <v>122</v>
      </c>
      <c r="Y892"/>
      <c r="Z892"/>
      <c r="AA892" t="s">
        <v>2163</v>
      </c>
      <c r="AB892" t="s">
        <v>2</v>
      </c>
      <c r="AC892" t="s">
        <v>138</v>
      </c>
      <c r="AD892" t="s">
        <v>130</v>
      </c>
      <c r="AE892" s="97"/>
    </row>
    <row r="893" spans="1:31" ht="14.4" customHeight="1" x14ac:dyDescent="0.3">
      <c r="A893" t="s">
        <v>2330</v>
      </c>
      <c r="B893" t="s">
        <v>2331</v>
      </c>
      <c r="C893"/>
      <c r="D893"/>
      <c r="E893"/>
      <c r="F893"/>
      <c r="G893" t="s">
        <v>2162</v>
      </c>
      <c r="H893" t="s">
        <v>132</v>
      </c>
      <c r="I893" t="s">
        <v>2</v>
      </c>
      <c r="J893" t="s">
        <v>133</v>
      </c>
      <c r="K893" t="s">
        <v>52</v>
      </c>
      <c r="L893" t="s">
        <v>2329</v>
      </c>
      <c r="M893" t="s">
        <v>134</v>
      </c>
      <c r="N893" t="s">
        <v>135</v>
      </c>
      <c r="O893"/>
      <c r="P893"/>
      <c r="Q893" t="s">
        <v>168</v>
      </c>
      <c r="R893"/>
      <c r="S893"/>
      <c r="T893" t="s">
        <v>2165</v>
      </c>
      <c r="U893" t="s">
        <v>137</v>
      </c>
      <c r="V893" t="s">
        <v>165</v>
      </c>
      <c r="W893"/>
      <c r="X893" t="s">
        <v>122</v>
      </c>
      <c r="Y893"/>
      <c r="Z893"/>
      <c r="AA893" t="s">
        <v>2163</v>
      </c>
      <c r="AB893" t="s">
        <v>2</v>
      </c>
      <c r="AC893" t="s">
        <v>138</v>
      </c>
      <c r="AD893" t="s">
        <v>130</v>
      </c>
      <c r="AE893" s="97"/>
    </row>
    <row r="894" spans="1:31" ht="14.4" customHeight="1" x14ac:dyDescent="0.3">
      <c r="A894" t="s">
        <v>2332</v>
      </c>
      <c r="B894" t="s">
        <v>2333</v>
      </c>
      <c r="C894"/>
      <c r="D894"/>
      <c r="E894"/>
      <c r="F894"/>
      <c r="G894" t="s">
        <v>2162</v>
      </c>
      <c r="H894" t="s">
        <v>132</v>
      </c>
      <c r="I894" t="s">
        <v>2</v>
      </c>
      <c r="J894" t="s">
        <v>133</v>
      </c>
      <c r="K894" t="s">
        <v>52</v>
      </c>
      <c r="L894" t="s">
        <v>2334</v>
      </c>
      <c r="M894" t="s">
        <v>134</v>
      </c>
      <c r="N894" t="s">
        <v>135</v>
      </c>
      <c r="O894"/>
      <c r="P894"/>
      <c r="Q894" t="s">
        <v>168</v>
      </c>
      <c r="R894"/>
      <c r="S894"/>
      <c r="T894" t="s">
        <v>2165</v>
      </c>
      <c r="U894" t="s">
        <v>137</v>
      </c>
      <c r="V894" t="s">
        <v>890</v>
      </c>
      <c r="W894"/>
      <c r="X894" t="s">
        <v>59</v>
      </c>
      <c r="Y894"/>
      <c r="Z894"/>
      <c r="AA894" t="s">
        <v>2163</v>
      </c>
      <c r="AB894" t="s">
        <v>2</v>
      </c>
      <c r="AC894" t="s">
        <v>138</v>
      </c>
      <c r="AD894" t="s">
        <v>128</v>
      </c>
      <c r="AE894" s="97"/>
    </row>
    <row r="895" spans="1:31" ht="14.4" customHeight="1" x14ac:dyDescent="0.3">
      <c r="A895" t="s">
        <v>2335</v>
      </c>
      <c r="B895" t="s">
        <v>2336</v>
      </c>
      <c r="C895"/>
      <c r="D895"/>
      <c r="E895"/>
      <c r="F895"/>
      <c r="G895" t="s">
        <v>2162</v>
      </c>
      <c r="H895" t="s">
        <v>132</v>
      </c>
      <c r="I895" t="s">
        <v>2</v>
      </c>
      <c r="J895" t="s">
        <v>133</v>
      </c>
      <c r="K895" t="s">
        <v>52</v>
      </c>
      <c r="L895" t="s">
        <v>1348</v>
      </c>
      <c r="M895" t="s">
        <v>134</v>
      </c>
      <c r="N895" t="s">
        <v>135</v>
      </c>
      <c r="O895"/>
      <c r="P895"/>
      <c r="Q895" t="s">
        <v>168</v>
      </c>
      <c r="R895"/>
      <c r="S895"/>
      <c r="T895" t="s">
        <v>2165</v>
      </c>
      <c r="U895" t="s">
        <v>137</v>
      </c>
      <c r="V895" t="s">
        <v>296</v>
      </c>
      <c r="W895"/>
      <c r="X895" t="s">
        <v>63</v>
      </c>
      <c r="Y895"/>
      <c r="Z895"/>
      <c r="AA895" t="s">
        <v>2163</v>
      </c>
      <c r="AB895" t="s">
        <v>2</v>
      </c>
      <c r="AC895" t="s">
        <v>138</v>
      </c>
      <c r="AD895" t="s">
        <v>128</v>
      </c>
      <c r="AE895" s="97"/>
    </row>
    <row r="896" spans="1:31" ht="14.4" customHeight="1" x14ac:dyDescent="0.3">
      <c r="A896" t="s">
        <v>2337</v>
      </c>
      <c r="B896" t="s">
        <v>2338</v>
      </c>
      <c r="C896"/>
      <c r="D896"/>
      <c r="E896"/>
      <c r="F896"/>
      <c r="G896" t="s">
        <v>2162</v>
      </c>
      <c r="H896" t="s">
        <v>132</v>
      </c>
      <c r="I896" t="s">
        <v>2</v>
      </c>
      <c r="J896" t="s">
        <v>133</v>
      </c>
      <c r="K896" t="s">
        <v>52</v>
      </c>
      <c r="L896" t="s">
        <v>1348</v>
      </c>
      <c r="M896" t="s">
        <v>134</v>
      </c>
      <c r="N896" t="s">
        <v>135</v>
      </c>
      <c r="O896"/>
      <c r="P896"/>
      <c r="Q896" t="s">
        <v>168</v>
      </c>
      <c r="R896"/>
      <c r="S896"/>
      <c r="T896" t="s">
        <v>2165</v>
      </c>
      <c r="U896" t="s">
        <v>137</v>
      </c>
      <c r="V896" t="s">
        <v>296</v>
      </c>
      <c r="W896"/>
      <c r="X896" t="s">
        <v>63</v>
      </c>
      <c r="Y896"/>
      <c r="Z896"/>
      <c r="AA896" t="s">
        <v>2163</v>
      </c>
      <c r="AB896" t="s">
        <v>2</v>
      </c>
      <c r="AC896" t="s">
        <v>138</v>
      </c>
      <c r="AD896" t="s">
        <v>128</v>
      </c>
      <c r="AE896" s="97"/>
    </row>
    <row r="897" spans="1:31" ht="14.4" customHeight="1" x14ac:dyDescent="0.3">
      <c r="A897" t="s">
        <v>2339</v>
      </c>
      <c r="B897" t="s">
        <v>2340</v>
      </c>
      <c r="C897"/>
      <c r="D897"/>
      <c r="E897"/>
      <c r="F897"/>
      <c r="G897" t="s">
        <v>2162</v>
      </c>
      <c r="H897" t="s">
        <v>132</v>
      </c>
      <c r="I897" t="s">
        <v>2</v>
      </c>
      <c r="J897" t="s">
        <v>133</v>
      </c>
      <c r="K897" t="s">
        <v>52</v>
      </c>
      <c r="L897" t="s">
        <v>1348</v>
      </c>
      <c r="M897" t="s">
        <v>134</v>
      </c>
      <c r="N897" t="s">
        <v>135</v>
      </c>
      <c r="O897"/>
      <c r="P897"/>
      <c r="Q897" t="s">
        <v>168</v>
      </c>
      <c r="R897"/>
      <c r="S897"/>
      <c r="T897" t="s">
        <v>2165</v>
      </c>
      <c r="U897" t="s">
        <v>137</v>
      </c>
      <c r="V897" t="s">
        <v>296</v>
      </c>
      <c r="W897"/>
      <c r="X897" t="s">
        <v>63</v>
      </c>
      <c r="Y897"/>
      <c r="Z897"/>
      <c r="AA897" t="s">
        <v>2163</v>
      </c>
      <c r="AB897" t="s">
        <v>2</v>
      </c>
      <c r="AC897" t="s">
        <v>138</v>
      </c>
      <c r="AD897" t="s">
        <v>128</v>
      </c>
      <c r="AE897" s="97"/>
    </row>
    <row r="898" spans="1:31" ht="14.4" customHeight="1" x14ac:dyDescent="0.3">
      <c r="A898" t="s">
        <v>2341</v>
      </c>
      <c r="B898" t="s">
        <v>2342</v>
      </c>
      <c r="C898"/>
      <c r="D898"/>
      <c r="E898"/>
      <c r="F898"/>
      <c r="G898" t="s">
        <v>2162</v>
      </c>
      <c r="H898" t="s">
        <v>132</v>
      </c>
      <c r="I898" t="s">
        <v>2</v>
      </c>
      <c r="J898" t="s">
        <v>133</v>
      </c>
      <c r="K898" t="s">
        <v>52</v>
      </c>
      <c r="L898" t="s">
        <v>1348</v>
      </c>
      <c r="M898" t="s">
        <v>134</v>
      </c>
      <c r="N898" t="s">
        <v>135</v>
      </c>
      <c r="O898"/>
      <c r="P898"/>
      <c r="Q898" t="s">
        <v>168</v>
      </c>
      <c r="R898"/>
      <c r="S898"/>
      <c r="T898" t="s">
        <v>2165</v>
      </c>
      <c r="U898" t="s">
        <v>137</v>
      </c>
      <c r="V898" t="s">
        <v>296</v>
      </c>
      <c r="W898"/>
      <c r="X898" t="s">
        <v>63</v>
      </c>
      <c r="Y898"/>
      <c r="Z898"/>
      <c r="AA898" t="s">
        <v>2163</v>
      </c>
      <c r="AB898" t="s">
        <v>2</v>
      </c>
      <c r="AC898" t="s">
        <v>138</v>
      </c>
      <c r="AD898" t="s">
        <v>128</v>
      </c>
      <c r="AE898" s="97"/>
    </row>
    <row r="899" spans="1:31" ht="14.4" customHeight="1" x14ac:dyDescent="0.3">
      <c r="A899" t="s">
        <v>2343</v>
      </c>
      <c r="B899" t="s">
        <v>2344</v>
      </c>
      <c r="C899"/>
      <c r="D899"/>
      <c r="E899"/>
      <c r="F899"/>
      <c r="G899" t="s">
        <v>2162</v>
      </c>
      <c r="H899" t="s">
        <v>132</v>
      </c>
      <c r="I899" t="s">
        <v>2</v>
      </c>
      <c r="J899" t="s">
        <v>133</v>
      </c>
      <c r="K899" t="s">
        <v>52</v>
      </c>
      <c r="L899" t="s">
        <v>1348</v>
      </c>
      <c r="M899" t="s">
        <v>134</v>
      </c>
      <c r="N899" t="s">
        <v>135</v>
      </c>
      <c r="O899"/>
      <c r="P899"/>
      <c r="Q899" t="s">
        <v>168</v>
      </c>
      <c r="R899"/>
      <c r="S899"/>
      <c r="T899" t="s">
        <v>2165</v>
      </c>
      <c r="U899" t="s">
        <v>137</v>
      </c>
      <c r="V899" t="s">
        <v>296</v>
      </c>
      <c r="W899"/>
      <c r="X899" t="s">
        <v>63</v>
      </c>
      <c r="Y899"/>
      <c r="Z899"/>
      <c r="AA899" t="s">
        <v>2163</v>
      </c>
      <c r="AB899" t="s">
        <v>2</v>
      </c>
      <c r="AC899" t="s">
        <v>138</v>
      </c>
      <c r="AD899" t="s">
        <v>128</v>
      </c>
      <c r="AE899" s="97"/>
    </row>
    <row r="900" spans="1:31" ht="14.4" customHeight="1" x14ac:dyDescent="0.3">
      <c r="A900" t="s">
        <v>2345</v>
      </c>
      <c r="B900" t="s">
        <v>2346</v>
      </c>
      <c r="C900"/>
      <c r="D900"/>
      <c r="E900"/>
      <c r="F900"/>
      <c r="G900" t="s">
        <v>2162</v>
      </c>
      <c r="H900" t="s">
        <v>132</v>
      </c>
      <c r="I900" t="s">
        <v>2</v>
      </c>
      <c r="J900" t="s">
        <v>133</v>
      </c>
      <c r="K900" t="s">
        <v>52</v>
      </c>
      <c r="L900" t="s">
        <v>2347</v>
      </c>
      <c r="M900" t="s">
        <v>134</v>
      </c>
      <c r="N900" t="s">
        <v>135</v>
      </c>
      <c r="O900"/>
      <c r="P900"/>
      <c r="Q900" t="s">
        <v>168</v>
      </c>
      <c r="R900"/>
      <c r="S900"/>
      <c r="T900" t="s">
        <v>2165</v>
      </c>
      <c r="U900" t="s">
        <v>137</v>
      </c>
      <c r="V900" t="s">
        <v>897</v>
      </c>
      <c r="W900"/>
      <c r="X900" t="s">
        <v>64</v>
      </c>
      <c r="Y900"/>
      <c r="Z900"/>
      <c r="AA900" t="s">
        <v>2163</v>
      </c>
      <c r="AB900" t="s">
        <v>2</v>
      </c>
      <c r="AC900" t="s">
        <v>138</v>
      </c>
      <c r="AD900" t="s">
        <v>128</v>
      </c>
      <c r="AE900" s="97"/>
    </row>
    <row r="901" spans="1:31" ht="14.4" customHeight="1" x14ac:dyDescent="0.3">
      <c r="A901" t="s">
        <v>2348</v>
      </c>
      <c r="B901" t="s">
        <v>2349</v>
      </c>
      <c r="C901"/>
      <c r="D901"/>
      <c r="E901"/>
      <c r="F901"/>
      <c r="G901" t="s">
        <v>2162</v>
      </c>
      <c r="H901" t="s">
        <v>132</v>
      </c>
      <c r="I901" t="s">
        <v>2</v>
      </c>
      <c r="J901" t="s">
        <v>133</v>
      </c>
      <c r="K901" t="s">
        <v>52</v>
      </c>
      <c r="L901" t="s">
        <v>1371</v>
      </c>
      <c r="M901" t="s">
        <v>134</v>
      </c>
      <c r="N901" t="s">
        <v>135</v>
      </c>
      <c r="O901"/>
      <c r="P901"/>
      <c r="Q901" t="s">
        <v>168</v>
      </c>
      <c r="R901"/>
      <c r="S901"/>
      <c r="T901" t="s">
        <v>2165</v>
      </c>
      <c r="U901" t="s">
        <v>137</v>
      </c>
      <c r="V901" t="s">
        <v>300</v>
      </c>
      <c r="W901"/>
      <c r="X901" t="s">
        <v>72</v>
      </c>
      <c r="Y901"/>
      <c r="Z901"/>
      <c r="AA901" t="s">
        <v>2163</v>
      </c>
      <c r="AB901" t="s">
        <v>2</v>
      </c>
      <c r="AC901" t="s">
        <v>138</v>
      </c>
      <c r="AD901" t="s">
        <v>128</v>
      </c>
      <c r="AE901" s="97"/>
    </row>
    <row r="902" spans="1:31" ht="14.4" customHeight="1" x14ac:dyDescent="0.3">
      <c r="A902" t="s">
        <v>2350</v>
      </c>
      <c r="B902" t="s">
        <v>2351</v>
      </c>
      <c r="C902"/>
      <c r="D902"/>
      <c r="E902"/>
      <c r="F902"/>
      <c r="G902" t="s">
        <v>2162</v>
      </c>
      <c r="H902" t="s">
        <v>132</v>
      </c>
      <c r="I902" t="s">
        <v>2</v>
      </c>
      <c r="J902" t="s">
        <v>133</v>
      </c>
      <c r="K902" t="s">
        <v>52</v>
      </c>
      <c r="L902" t="s">
        <v>1371</v>
      </c>
      <c r="M902" t="s">
        <v>134</v>
      </c>
      <c r="N902" t="s">
        <v>135</v>
      </c>
      <c r="O902"/>
      <c r="P902"/>
      <c r="Q902" t="s">
        <v>168</v>
      </c>
      <c r="R902"/>
      <c r="S902"/>
      <c r="T902" t="s">
        <v>2165</v>
      </c>
      <c r="U902" t="s">
        <v>137</v>
      </c>
      <c r="V902" t="s">
        <v>300</v>
      </c>
      <c r="W902"/>
      <c r="X902" t="s">
        <v>72</v>
      </c>
      <c r="Y902"/>
      <c r="Z902"/>
      <c r="AA902" t="s">
        <v>2163</v>
      </c>
      <c r="AB902" t="s">
        <v>2</v>
      </c>
      <c r="AC902" t="s">
        <v>138</v>
      </c>
      <c r="AD902" t="s">
        <v>128</v>
      </c>
      <c r="AE902" s="97"/>
    </row>
    <row r="903" spans="1:31" ht="14.4" customHeight="1" x14ac:dyDescent="0.3">
      <c r="A903" t="s">
        <v>2352</v>
      </c>
      <c r="B903" t="s">
        <v>2353</v>
      </c>
      <c r="C903"/>
      <c r="D903"/>
      <c r="E903"/>
      <c r="F903"/>
      <c r="G903" t="s">
        <v>2162</v>
      </c>
      <c r="H903" t="s">
        <v>132</v>
      </c>
      <c r="I903" t="s">
        <v>2</v>
      </c>
      <c r="J903" t="s">
        <v>133</v>
      </c>
      <c r="K903" t="s">
        <v>52</v>
      </c>
      <c r="L903" t="s">
        <v>1371</v>
      </c>
      <c r="M903" t="s">
        <v>134</v>
      </c>
      <c r="N903" t="s">
        <v>135</v>
      </c>
      <c r="O903"/>
      <c r="P903"/>
      <c r="Q903" t="s">
        <v>168</v>
      </c>
      <c r="R903"/>
      <c r="S903"/>
      <c r="T903" t="s">
        <v>2165</v>
      </c>
      <c r="U903" t="s">
        <v>137</v>
      </c>
      <c r="V903" t="s">
        <v>300</v>
      </c>
      <c r="W903"/>
      <c r="X903" t="s">
        <v>72</v>
      </c>
      <c r="Y903"/>
      <c r="Z903"/>
      <c r="AA903" t="s">
        <v>2163</v>
      </c>
      <c r="AB903" t="s">
        <v>2</v>
      </c>
      <c r="AC903" t="s">
        <v>138</v>
      </c>
      <c r="AD903" t="s">
        <v>128</v>
      </c>
      <c r="AE903" s="97"/>
    </row>
    <row r="904" spans="1:31" ht="14.4" customHeight="1" x14ac:dyDescent="0.3">
      <c r="A904" t="s">
        <v>2354</v>
      </c>
      <c r="B904" t="s">
        <v>2355</v>
      </c>
      <c r="C904"/>
      <c r="D904"/>
      <c r="E904"/>
      <c r="F904"/>
      <c r="G904" t="s">
        <v>2162</v>
      </c>
      <c r="H904" t="s">
        <v>132</v>
      </c>
      <c r="I904" t="s">
        <v>2</v>
      </c>
      <c r="J904" t="s">
        <v>133</v>
      </c>
      <c r="K904" t="s">
        <v>52</v>
      </c>
      <c r="L904" t="s">
        <v>1371</v>
      </c>
      <c r="M904" t="s">
        <v>134</v>
      </c>
      <c r="N904" t="s">
        <v>135</v>
      </c>
      <c r="O904"/>
      <c r="P904"/>
      <c r="Q904" t="s">
        <v>168</v>
      </c>
      <c r="R904"/>
      <c r="S904"/>
      <c r="T904" t="s">
        <v>2165</v>
      </c>
      <c r="U904" t="s">
        <v>137</v>
      </c>
      <c r="V904" t="s">
        <v>300</v>
      </c>
      <c r="W904"/>
      <c r="X904" t="s">
        <v>72</v>
      </c>
      <c r="Y904"/>
      <c r="Z904"/>
      <c r="AA904" t="s">
        <v>2163</v>
      </c>
      <c r="AB904" t="s">
        <v>2</v>
      </c>
      <c r="AC904" t="s">
        <v>138</v>
      </c>
      <c r="AD904" t="s">
        <v>128</v>
      </c>
      <c r="AE904" s="97"/>
    </row>
    <row r="905" spans="1:31" ht="14.4" customHeight="1" x14ac:dyDescent="0.3">
      <c r="A905" t="s">
        <v>2356</v>
      </c>
      <c r="B905" t="s">
        <v>2357</v>
      </c>
      <c r="C905"/>
      <c r="D905"/>
      <c r="E905"/>
      <c r="F905"/>
      <c r="G905" t="s">
        <v>2162</v>
      </c>
      <c r="H905" t="s">
        <v>132</v>
      </c>
      <c r="I905" t="s">
        <v>2</v>
      </c>
      <c r="J905" t="s">
        <v>133</v>
      </c>
      <c r="K905" t="s">
        <v>52</v>
      </c>
      <c r="L905" t="s">
        <v>1371</v>
      </c>
      <c r="M905" t="s">
        <v>134</v>
      </c>
      <c r="N905" t="s">
        <v>135</v>
      </c>
      <c r="O905"/>
      <c r="P905"/>
      <c r="Q905" t="s">
        <v>168</v>
      </c>
      <c r="R905"/>
      <c r="S905"/>
      <c r="T905" t="s">
        <v>2165</v>
      </c>
      <c r="U905" t="s">
        <v>137</v>
      </c>
      <c r="V905" t="s">
        <v>300</v>
      </c>
      <c r="W905"/>
      <c r="X905" t="s">
        <v>72</v>
      </c>
      <c r="Y905"/>
      <c r="Z905"/>
      <c r="AA905" t="s">
        <v>2163</v>
      </c>
      <c r="AB905" t="s">
        <v>2</v>
      </c>
      <c r="AC905" t="s">
        <v>138</v>
      </c>
      <c r="AD905" t="s">
        <v>128</v>
      </c>
      <c r="AE905" s="97"/>
    </row>
    <row r="906" spans="1:31" ht="14.4" customHeight="1" x14ac:dyDescent="0.3">
      <c r="A906" t="s">
        <v>2358</v>
      </c>
      <c r="B906" t="s">
        <v>2359</v>
      </c>
      <c r="C906"/>
      <c r="D906"/>
      <c r="E906"/>
      <c r="F906"/>
      <c r="G906" t="s">
        <v>2162</v>
      </c>
      <c r="H906" t="s">
        <v>132</v>
      </c>
      <c r="I906" t="s">
        <v>2</v>
      </c>
      <c r="J906" t="s">
        <v>133</v>
      </c>
      <c r="K906" t="s">
        <v>52</v>
      </c>
      <c r="L906" t="s">
        <v>2360</v>
      </c>
      <c r="M906" t="s">
        <v>134</v>
      </c>
      <c r="N906" t="s">
        <v>135</v>
      </c>
      <c r="O906"/>
      <c r="P906"/>
      <c r="Q906" t="s">
        <v>168</v>
      </c>
      <c r="R906"/>
      <c r="S906"/>
      <c r="T906" t="s">
        <v>2165</v>
      </c>
      <c r="U906" t="s">
        <v>137</v>
      </c>
      <c r="V906" t="s">
        <v>904</v>
      </c>
      <c r="W906"/>
      <c r="X906" t="s">
        <v>79</v>
      </c>
      <c r="Y906"/>
      <c r="Z906"/>
      <c r="AA906" t="s">
        <v>2163</v>
      </c>
      <c r="AB906" t="s">
        <v>2</v>
      </c>
      <c r="AC906" t="s">
        <v>138</v>
      </c>
      <c r="AD906" t="s">
        <v>129</v>
      </c>
      <c r="AE906" s="97"/>
    </row>
    <row r="907" spans="1:31" ht="14.4" customHeight="1" x14ac:dyDescent="0.3">
      <c r="A907" t="s">
        <v>2361</v>
      </c>
      <c r="B907" t="s">
        <v>2362</v>
      </c>
      <c r="C907"/>
      <c r="D907"/>
      <c r="E907"/>
      <c r="F907"/>
      <c r="G907" t="s">
        <v>2162</v>
      </c>
      <c r="H907" t="s">
        <v>132</v>
      </c>
      <c r="I907" t="s">
        <v>2</v>
      </c>
      <c r="J907" t="s">
        <v>133</v>
      </c>
      <c r="K907" t="s">
        <v>52</v>
      </c>
      <c r="L907" t="s">
        <v>1394</v>
      </c>
      <c r="M907" t="s">
        <v>134</v>
      </c>
      <c r="N907" t="s">
        <v>135</v>
      </c>
      <c r="O907"/>
      <c r="P907"/>
      <c r="Q907" t="s">
        <v>168</v>
      </c>
      <c r="R907"/>
      <c r="S907"/>
      <c r="T907" t="s">
        <v>2165</v>
      </c>
      <c r="U907" t="s">
        <v>137</v>
      </c>
      <c r="V907" t="s">
        <v>304</v>
      </c>
      <c r="W907"/>
      <c r="X907" t="s">
        <v>81</v>
      </c>
      <c r="Y907"/>
      <c r="Z907"/>
      <c r="AA907" t="s">
        <v>2163</v>
      </c>
      <c r="AB907" t="s">
        <v>2</v>
      </c>
      <c r="AC907" t="s">
        <v>138</v>
      </c>
      <c r="AD907" t="s">
        <v>129</v>
      </c>
      <c r="AE907" s="97"/>
    </row>
    <row r="908" spans="1:31" ht="14.4" customHeight="1" x14ac:dyDescent="0.3">
      <c r="A908" t="s">
        <v>2363</v>
      </c>
      <c r="B908" t="s">
        <v>2364</v>
      </c>
      <c r="C908"/>
      <c r="D908"/>
      <c r="E908"/>
      <c r="F908"/>
      <c r="G908" t="s">
        <v>2162</v>
      </c>
      <c r="H908" t="s">
        <v>132</v>
      </c>
      <c r="I908" t="s">
        <v>2</v>
      </c>
      <c r="J908" t="s">
        <v>133</v>
      </c>
      <c r="K908" t="s">
        <v>52</v>
      </c>
      <c r="L908" t="s">
        <v>1394</v>
      </c>
      <c r="M908" t="s">
        <v>134</v>
      </c>
      <c r="N908" t="s">
        <v>135</v>
      </c>
      <c r="O908"/>
      <c r="P908"/>
      <c r="Q908" t="s">
        <v>168</v>
      </c>
      <c r="R908"/>
      <c r="S908"/>
      <c r="T908" t="s">
        <v>2165</v>
      </c>
      <c r="U908" t="s">
        <v>137</v>
      </c>
      <c r="V908" t="s">
        <v>304</v>
      </c>
      <c r="W908"/>
      <c r="X908" t="s">
        <v>81</v>
      </c>
      <c r="Y908"/>
      <c r="Z908"/>
      <c r="AA908" t="s">
        <v>2163</v>
      </c>
      <c r="AB908" t="s">
        <v>2</v>
      </c>
      <c r="AC908" t="s">
        <v>138</v>
      </c>
      <c r="AD908" t="s">
        <v>129</v>
      </c>
      <c r="AE908" s="97"/>
    </row>
    <row r="909" spans="1:31" ht="14.4" customHeight="1" x14ac:dyDescent="0.3">
      <c r="A909" t="s">
        <v>2365</v>
      </c>
      <c r="B909" t="s">
        <v>2366</v>
      </c>
      <c r="C909"/>
      <c r="D909"/>
      <c r="E909"/>
      <c r="F909"/>
      <c r="G909" t="s">
        <v>2162</v>
      </c>
      <c r="H909" t="s">
        <v>132</v>
      </c>
      <c r="I909" t="s">
        <v>2</v>
      </c>
      <c r="J909" t="s">
        <v>133</v>
      </c>
      <c r="K909" t="s">
        <v>52</v>
      </c>
      <c r="L909" t="s">
        <v>1394</v>
      </c>
      <c r="M909" t="s">
        <v>134</v>
      </c>
      <c r="N909" t="s">
        <v>135</v>
      </c>
      <c r="O909"/>
      <c r="P909"/>
      <c r="Q909" t="s">
        <v>168</v>
      </c>
      <c r="R909"/>
      <c r="S909"/>
      <c r="T909" t="s">
        <v>2165</v>
      </c>
      <c r="U909" t="s">
        <v>137</v>
      </c>
      <c r="V909" t="s">
        <v>304</v>
      </c>
      <c r="W909"/>
      <c r="X909" t="s">
        <v>81</v>
      </c>
      <c r="Y909"/>
      <c r="Z909"/>
      <c r="AA909" t="s">
        <v>2163</v>
      </c>
      <c r="AB909" t="s">
        <v>2</v>
      </c>
      <c r="AC909" t="s">
        <v>138</v>
      </c>
      <c r="AD909" t="s">
        <v>129</v>
      </c>
      <c r="AE909" s="97"/>
    </row>
    <row r="910" spans="1:31" ht="14.4" customHeight="1" x14ac:dyDescent="0.3">
      <c r="A910" t="s">
        <v>2367</v>
      </c>
      <c r="B910" t="s">
        <v>2368</v>
      </c>
      <c r="C910"/>
      <c r="D910"/>
      <c r="E910"/>
      <c r="F910"/>
      <c r="G910" t="s">
        <v>2162</v>
      </c>
      <c r="H910" t="s">
        <v>132</v>
      </c>
      <c r="I910" t="s">
        <v>2</v>
      </c>
      <c r="J910" t="s">
        <v>133</v>
      </c>
      <c r="K910" t="s">
        <v>52</v>
      </c>
      <c r="L910" t="s">
        <v>1394</v>
      </c>
      <c r="M910" t="s">
        <v>134</v>
      </c>
      <c r="N910" t="s">
        <v>135</v>
      </c>
      <c r="O910"/>
      <c r="P910"/>
      <c r="Q910" t="s">
        <v>168</v>
      </c>
      <c r="R910"/>
      <c r="S910"/>
      <c r="T910" t="s">
        <v>2165</v>
      </c>
      <c r="U910" t="s">
        <v>137</v>
      </c>
      <c r="V910" t="s">
        <v>304</v>
      </c>
      <c r="W910"/>
      <c r="X910" t="s">
        <v>81</v>
      </c>
      <c r="Y910"/>
      <c r="Z910"/>
      <c r="AA910" t="s">
        <v>2163</v>
      </c>
      <c r="AB910" t="s">
        <v>2</v>
      </c>
      <c r="AC910" t="s">
        <v>138</v>
      </c>
      <c r="AD910" t="s">
        <v>129</v>
      </c>
      <c r="AE910" s="97"/>
    </row>
    <row r="911" spans="1:31" ht="14.4" customHeight="1" x14ac:dyDescent="0.3">
      <c r="A911" t="s">
        <v>2369</v>
      </c>
      <c r="B911" t="s">
        <v>2370</v>
      </c>
      <c r="C911"/>
      <c r="D911"/>
      <c r="E911"/>
      <c r="F911"/>
      <c r="G911" t="s">
        <v>2162</v>
      </c>
      <c r="H911" t="s">
        <v>132</v>
      </c>
      <c r="I911" t="s">
        <v>2</v>
      </c>
      <c r="J911" t="s">
        <v>133</v>
      </c>
      <c r="K911" t="s">
        <v>52</v>
      </c>
      <c r="L911" t="s">
        <v>1394</v>
      </c>
      <c r="M911" t="s">
        <v>134</v>
      </c>
      <c r="N911" t="s">
        <v>135</v>
      </c>
      <c r="O911"/>
      <c r="P911"/>
      <c r="Q911" t="s">
        <v>168</v>
      </c>
      <c r="R911"/>
      <c r="S911"/>
      <c r="T911" t="s">
        <v>2165</v>
      </c>
      <c r="U911" t="s">
        <v>137</v>
      </c>
      <c r="V911" t="s">
        <v>304</v>
      </c>
      <c r="W911"/>
      <c r="X911" t="s">
        <v>81</v>
      </c>
      <c r="Y911"/>
      <c r="Z911"/>
      <c r="AA911" t="s">
        <v>2163</v>
      </c>
      <c r="AB911" t="s">
        <v>2</v>
      </c>
      <c r="AC911" t="s">
        <v>138</v>
      </c>
      <c r="AD911" t="s">
        <v>129</v>
      </c>
      <c r="AE911" s="97"/>
    </row>
    <row r="912" spans="1:31" ht="14.4" customHeight="1" x14ac:dyDescent="0.3">
      <c r="A912" t="s">
        <v>2371</v>
      </c>
      <c r="B912" t="s">
        <v>2372</v>
      </c>
      <c r="C912"/>
      <c r="D912"/>
      <c r="E912"/>
      <c r="F912"/>
      <c r="G912" t="s">
        <v>2162</v>
      </c>
      <c r="H912" t="s">
        <v>132</v>
      </c>
      <c r="I912" t="s">
        <v>2</v>
      </c>
      <c r="J912" t="s">
        <v>133</v>
      </c>
      <c r="K912" t="s">
        <v>52</v>
      </c>
      <c r="L912" t="s">
        <v>2373</v>
      </c>
      <c r="M912" t="s">
        <v>134</v>
      </c>
      <c r="N912" t="s">
        <v>135</v>
      </c>
      <c r="O912"/>
      <c r="P912"/>
      <c r="Q912" t="s">
        <v>168</v>
      </c>
      <c r="R912"/>
      <c r="S912"/>
      <c r="T912" t="s">
        <v>2165</v>
      </c>
      <c r="U912" t="s">
        <v>137</v>
      </c>
      <c r="V912" t="s">
        <v>911</v>
      </c>
      <c r="W912"/>
      <c r="X912" t="s">
        <v>83</v>
      </c>
      <c r="Y912"/>
      <c r="Z912"/>
      <c r="AA912" t="s">
        <v>2163</v>
      </c>
      <c r="AB912" t="s">
        <v>2</v>
      </c>
      <c r="AC912" t="s">
        <v>138</v>
      </c>
      <c r="AD912" t="s">
        <v>129</v>
      </c>
      <c r="AE912" s="97"/>
    </row>
    <row r="913" spans="1:31" ht="14.4" customHeight="1" x14ac:dyDescent="0.3">
      <c r="A913" t="s">
        <v>2374</v>
      </c>
      <c r="B913" t="s">
        <v>2375</v>
      </c>
      <c r="C913"/>
      <c r="D913"/>
      <c r="E913"/>
      <c r="F913"/>
      <c r="G913" t="s">
        <v>2162</v>
      </c>
      <c r="H913" t="s">
        <v>132</v>
      </c>
      <c r="I913" t="s">
        <v>2</v>
      </c>
      <c r="J913" t="s">
        <v>133</v>
      </c>
      <c r="K913" t="s">
        <v>52</v>
      </c>
      <c r="L913" t="s">
        <v>1417</v>
      </c>
      <c r="M913" t="s">
        <v>134</v>
      </c>
      <c r="N913" t="s">
        <v>135</v>
      </c>
      <c r="O913"/>
      <c r="P913"/>
      <c r="Q913" t="s">
        <v>168</v>
      </c>
      <c r="R913"/>
      <c r="S913"/>
      <c r="T913" t="s">
        <v>2165</v>
      </c>
      <c r="U913" t="s">
        <v>137</v>
      </c>
      <c r="V913" t="s">
        <v>308</v>
      </c>
      <c r="W913"/>
      <c r="X913" t="s">
        <v>90</v>
      </c>
      <c r="Y913"/>
      <c r="Z913"/>
      <c r="AA913" t="s">
        <v>2163</v>
      </c>
      <c r="AB913" t="s">
        <v>2</v>
      </c>
      <c r="AC913" t="s">
        <v>138</v>
      </c>
      <c r="AD913" t="s">
        <v>129</v>
      </c>
      <c r="AE913" s="97"/>
    </row>
    <row r="914" spans="1:31" ht="14.4" customHeight="1" x14ac:dyDescent="0.3">
      <c r="A914" t="s">
        <v>2376</v>
      </c>
      <c r="B914" t="s">
        <v>2377</v>
      </c>
      <c r="C914"/>
      <c r="D914"/>
      <c r="E914"/>
      <c r="F914"/>
      <c r="G914" t="s">
        <v>2162</v>
      </c>
      <c r="H914" t="s">
        <v>132</v>
      </c>
      <c r="I914" t="s">
        <v>2</v>
      </c>
      <c r="J914" t="s">
        <v>133</v>
      </c>
      <c r="K914" t="s">
        <v>52</v>
      </c>
      <c r="L914" t="s">
        <v>1417</v>
      </c>
      <c r="M914" t="s">
        <v>134</v>
      </c>
      <c r="N914" t="s">
        <v>135</v>
      </c>
      <c r="O914"/>
      <c r="P914"/>
      <c r="Q914" t="s">
        <v>168</v>
      </c>
      <c r="R914"/>
      <c r="S914"/>
      <c r="T914" t="s">
        <v>2165</v>
      </c>
      <c r="U914" t="s">
        <v>137</v>
      </c>
      <c r="V914" t="s">
        <v>308</v>
      </c>
      <c r="W914"/>
      <c r="X914" t="s">
        <v>90</v>
      </c>
      <c r="Y914"/>
      <c r="Z914"/>
      <c r="AA914" t="s">
        <v>2163</v>
      </c>
      <c r="AB914" t="s">
        <v>2</v>
      </c>
      <c r="AC914" t="s">
        <v>138</v>
      </c>
      <c r="AD914" t="s">
        <v>129</v>
      </c>
      <c r="AE914" s="97"/>
    </row>
    <row r="915" spans="1:31" ht="14.4" customHeight="1" x14ac:dyDescent="0.3">
      <c r="A915" t="s">
        <v>2378</v>
      </c>
      <c r="B915" t="s">
        <v>2379</v>
      </c>
      <c r="C915"/>
      <c r="D915"/>
      <c r="E915"/>
      <c r="F915"/>
      <c r="G915" t="s">
        <v>2162</v>
      </c>
      <c r="H915" t="s">
        <v>132</v>
      </c>
      <c r="I915" t="s">
        <v>2</v>
      </c>
      <c r="J915" t="s">
        <v>133</v>
      </c>
      <c r="K915" t="s">
        <v>52</v>
      </c>
      <c r="L915" t="s">
        <v>1417</v>
      </c>
      <c r="M915" t="s">
        <v>134</v>
      </c>
      <c r="N915" t="s">
        <v>135</v>
      </c>
      <c r="O915"/>
      <c r="P915"/>
      <c r="Q915" t="s">
        <v>168</v>
      </c>
      <c r="R915"/>
      <c r="S915"/>
      <c r="T915" t="s">
        <v>2165</v>
      </c>
      <c r="U915" t="s">
        <v>137</v>
      </c>
      <c r="V915" t="s">
        <v>308</v>
      </c>
      <c r="W915"/>
      <c r="X915" t="s">
        <v>90</v>
      </c>
      <c r="Y915"/>
      <c r="Z915"/>
      <c r="AA915" t="s">
        <v>2163</v>
      </c>
      <c r="AB915" t="s">
        <v>2</v>
      </c>
      <c r="AC915" t="s">
        <v>138</v>
      </c>
      <c r="AD915" t="s">
        <v>129</v>
      </c>
      <c r="AE915" s="97"/>
    </row>
    <row r="916" spans="1:31" ht="14.4" customHeight="1" x14ac:dyDescent="0.3">
      <c r="A916" t="s">
        <v>2380</v>
      </c>
      <c r="B916" t="s">
        <v>2381</v>
      </c>
      <c r="C916"/>
      <c r="D916"/>
      <c r="E916"/>
      <c r="F916"/>
      <c r="G916" t="s">
        <v>2162</v>
      </c>
      <c r="H916" t="s">
        <v>132</v>
      </c>
      <c r="I916" t="s">
        <v>2</v>
      </c>
      <c r="J916" t="s">
        <v>133</v>
      </c>
      <c r="K916" t="s">
        <v>52</v>
      </c>
      <c r="L916" t="s">
        <v>1417</v>
      </c>
      <c r="M916" t="s">
        <v>134</v>
      </c>
      <c r="N916" t="s">
        <v>135</v>
      </c>
      <c r="O916"/>
      <c r="P916"/>
      <c r="Q916" t="s">
        <v>168</v>
      </c>
      <c r="R916"/>
      <c r="S916"/>
      <c r="T916" t="s">
        <v>2165</v>
      </c>
      <c r="U916" t="s">
        <v>137</v>
      </c>
      <c r="V916" t="s">
        <v>308</v>
      </c>
      <c r="W916"/>
      <c r="X916" t="s">
        <v>90</v>
      </c>
      <c r="Y916"/>
      <c r="Z916"/>
      <c r="AA916" t="s">
        <v>2163</v>
      </c>
      <c r="AB916" t="s">
        <v>2</v>
      </c>
      <c r="AC916" t="s">
        <v>138</v>
      </c>
      <c r="AD916" t="s">
        <v>129</v>
      </c>
      <c r="AE916" s="97"/>
    </row>
    <row r="917" spans="1:31" ht="14.4" customHeight="1" x14ac:dyDescent="0.3">
      <c r="A917" t="s">
        <v>2382</v>
      </c>
      <c r="B917" t="s">
        <v>2383</v>
      </c>
      <c r="C917"/>
      <c r="D917"/>
      <c r="E917"/>
      <c r="F917"/>
      <c r="G917" t="s">
        <v>2162</v>
      </c>
      <c r="H917" t="s">
        <v>132</v>
      </c>
      <c r="I917" t="s">
        <v>2</v>
      </c>
      <c r="J917" t="s">
        <v>133</v>
      </c>
      <c r="K917" t="s">
        <v>52</v>
      </c>
      <c r="L917" t="s">
        <v>1417</v>
      </c>
      <c r="M917" t="s">
        <v>134</v>
      </c>
      <c r="N917" t="s">
        <v>135</v>
      </c>
      <c r="O917"/>
      <c r="P917"/>
      <c r="Q917" t="s">
        <v>168</v>
      </c>
      <c r="R917"/>
      <c r="S917"/>
      <c r="T917" t="s">
        <v>2165</v>
      </c>
      <c r="U917" t="s">
        <v>137</v>
      </c>
      <c r="V917" t="s">
        <v>308</v>
      </c>
      <c r="W917"/>
      <c r="X917" t="s">
        <v>90</v>
      </c>
      <c r="Y917"/>
      <c r="Z917"/>
      <c r="AA917" t="s">
        <v>2163</v>
      </c>
      <c r="AB917" t="s">
        <v>2</v>
      </c>
      <c r="AC917" t="s">
        <v>138</v>
      </c>
      <c r="AD917" t="s">
        <v>129</v>
      </c>
      <c r="AE917" s="97"/>
    </row>
    <row r="918" spans="1:31" ht="14.4" customHeight="1" x14ac:dyDescent="0.3">
      <c r="A918" t="s">
        <v>2384</v>
      </c>
      <c r="B918" t="s">
        <v>2385</v>
      </c>
      <c r="C918"/>
      <c r="D918"/>
      <c r="E918"/>
      <c r="F918"/>
      <c r="G918" t="s">
        <v>2162</v>
      </c>
      <c r="H918" t="s">
        <v>132</v>
      </c>
      <c r="I918" t="s">
        <v>2</v>
      </c>
      <c r="J918" t="s">
        <v>133</v>
      </c>
      <c r="K918" t="s">
        <v>52</v>
      </c>
      <c r="L918" t="s">
        <v>2386</v>
      </c>
      <c r="M918" t="s">
        <v>134</v>
      </c>
      <c r="N918" t="s">
        <v>135</v>
      </c>
      <c r="O918"/>
      <c r="P918"/>
      <c r="Q918" t="s">
        <v>168</v>
      </c>
      <c r="R918"/>
      <c r="S918"/>
      <c r="T918" t="s">
        <v>2165</v>
      </c>
      <c r="U918" t="s">
        <v>137</v>
      </c>
      <c r="V918" t="s">
        <v>918</v>
      </c>
      <c r="W918"/>
      <c r="X918" t="s">
        <v>92</v>
      </c>
      <c r="Y918"/>
      <c r="Z918"/>
      <c r="AA918" t="s">
        <v>2163</v>
      </c>
      <c r="AB918" t="s">
        <v>2</v>
      </c>
      <c r="AC918" t="s">
        <v>138</v>
      </c>
      <c r="AD918" t="s">
        <v>129</v>
      </c>
      <c r="AE918" s="97"/>
    </row>
    <row r="919" spans="1:31" ht="14.4" customHeight="1" x14ac:dyDescent="0.3">
      <c r="A919" t="s">
        <v>2387</v>
      </c>
      <c r="B919" t="s">
        <v>2388</v>
      </c>
      <c r="C919"/>
      <c r="D919"/>
      <c r="E919"/>
      <c r="F919"/>
      <c r="G919" t="s">
        <v>2162</v>
      </c>
      <c r="H919" t="s">
        <v>132</v>
      </c>
      <c r="I919" t="s">
        <v>2</v>
      </c>
      <c r="J919" t="s">
        <v>133</v>
      </c>
      <c r="K919" t="s">
        <v>52</v>
      </c>
      <c r="L919" t="s">
        <v>1440</v>
      </c>
      <c r="M919" t="s">
        <v>134</v>
      </c>
      <c r="N919" t="s">
        <v>135</v>
      </c>
      <c r="O919"/>
      <c r="P919"/>
      <c r="Q919" t="s">
        <v>168</v>
      </c>
      <c r="R919"/>
      <c r="S919"/>
      <c r="T919" t="s">
        <v>2165</v>
      </c>
      <c r="U919" t="s">
        <v>137</v>
      </c>
      <c r="V919" t="s">
        <v>312</v>
      </c>
      <c r="W919"/>
      <c r="X919" t="s">
        <v>99</v>
      </c>
      <c r="Y919"/>
      <c r="Z919"/>
      <c r="AA919" t="s">
        <v>2163</v>
      </c>
      <c r="AB919" t="s">
        <v>2</v>
      </c>
      <c r="AC919" t="s">
        <v>138</v>
      </c>
      <c r="AD919" t="s">
        <v>129</v>
      </c>
      <c r="AE919" s="97"/>
    </row>
    <row r="920" spans="1:31" ht="14.4" customHeight="1" x14ac:dyDescent="0.3">
      <c r="A920" t="s">
        <v>2389</v>
      </c>
      <c r="B920" t="s">
        <v>2390</v>
      </c>
      <c r="C920"/>
      <c r="D920"/>
      <c r="E920"/>
      <c r="F920"/>
      <c r="G920" t="s">
        <v>2162</v>
      </c>
      <c r="H920" t="s">
        <v>132</v>
      </c>
      <c r="I920" t="s">
        <v>2</v>
      </c>
      <c r="J920" t="s">
        <v>133</v>
      </c>
      <c r="K920" t="s">
        <v>52</v>
      </c>
      <c r="L920" t="s">
        <v>1440</v>
      </c>
      <c r="M920" t="s">
        <v>134</v>
      </c>
      <c r="N920" t="s">
        <v>135</v>
      </c>
      <c r="O920"/>
      <c r="P920"/>
      <c r="Q920" t="s">
        <v>168</v>
      </c>
      <c r="R920"/>
      <c r="S920"/>
      <c r="T920" t="s">
        <v>2165</v>
      </c>
      <c r="U920" t="s">
        <v>137</v>
      </c>
      <c r="V920" t="s">
        <v>312</v>
      </c>
      <c r="W920"/>
      <c r="X920" t="s">
        <v>99</v>
      </c>
      <c r="Y920"/>
      <c r="Z920"/>
      <c r="AA920" t="s">
        <v>2163</v>
      </c>
      <c r="AB920" t="s">
        <v>2</v>
      </c>
      <c r="AC920" t="s">
        <v>138</v>
      </c>
      <c r="AD920" t="s">
        <v>129</v>
      </c>
      <c r="AE920" s="97"/>
    </row>
    <row r="921" spans="1:31" ht="14.4" customHeight="1" x14ac:dyDescent="0.3">
      <c r="A921" t="s">
        <v>2391</v>
      </c>
      <c r="B921" t="s">
        <v>2392</v>
      </c>
      <c r="C921"/>
      <c r="D921"/>
      <c r="E921"/>
      <c r="F921"/>
      <c r="G921" t="s">
        <v>2162</v>
      </c>
      <c r="H921" t="s">
        <v>132</v>
      </c>
      <c r="I921" t="s">
        <v>2</v>
      </c>
      <c r="J921" t="s">
        <v>133</v>
      </c>
      <c r="K921" t="s">
        <v>52</v>
      </c>
      <c r="L921" t="s">
        <v>1440</v>
      </c>
      <c r="M921" t="s">
        <v>134</v>
      </c>
      <c r="N921" t="s">
        <v>135</v>
      </c>
      <c r="O921"/>
      <c r="P921"/>
      <c r="Q921" t="s">
        <v>168</v>
      </c>
      <c r="R921"/>
      <c r="S921"/>
      <c r="T921" t="s">
        <v>2165</v>
      </c>
      <c r="U921" t="s">
        <v>137</v>
      </c>
      <c r="V921" t="s">
        <v>312</v>
      </c>
      <c r="W921"/>
      <c r="X921" t="s">
        <v>99</v>
      </c>
      <c r="Y921"/>
      <c r="Z921"/>
      <c r="AA921" t="s">
        <v>2163</v>
      </c>
      <c r="AB921" t="s">
        <v>2</v>
      </c>
      <c r="AC921" t="s">
        <v>138</v>
      </c>
      <c r="AD921" t="s">
        <v>129</v>
      </c>
      <c r="AE921" s="97"/>
    </row>
    <row r="922" spans="1:31" ht="14.4" customHeight="1" x14ac:dyDescent="0.3">
      <c r="A922" t="s">
        <v>2393</v>
      </c>
      <c r="B922" t="s">
        <v>2394</v>
      </c>
      <c r="C922"/>
      <c r="D922"/>
      <c r="E922"/>
      <c r="F922"/>
      <c r="G922" t="s">
        <v>2162</v>
      </c>
      <c r="H922" t="s">
        <v>132</v>
      </c>
      <c r="I922" t="s">
        <v>2</v>
      </c>
      <c r="J922" t="s">
        <v>133</v>
      </c>
      <c r="K922" t="s">
        <v>52</v>
      </c>
      <c r="L922" t="s">
        <v>1440</v>
      </c>
      <c r="M922" t="s">
        <v>134</v>
      </c>
      <c r="N922" t="s">
        <v>135</v>
      </c>
      <c r="O922"/>
      <c r="P922"/>
      <c r="Q922" t="s">
        <v>168</v>
      </c>
      <c r="R922"/>
      <c r="S922"/>
      <c r="T922" t="s">
        <v>2165</v>
      </c>
      <c r="U922" t="s">
        <v>137</v>
      </c>
      <c r="V922" t="s">
        <v>312</v>
      </c>
      <c r="W922"/>
      <c r="X922" t="s">
        <v>99</v>
      </c>
      <c r="Y922"/>
      <c r="Z922"/>
      <c r="AA922" t="s">
        <v>2163</v>
      </c>
      <c r="AB922" t="s">
        <v>2</v>
      </c>
      <c r="AC922" t="s">
        <v>138</v>
      </c>
      <c r="AD922" t="s">
        <v>129</v>
      </c>
      <c r="AE922" s="97"/>
    </row>
    <row r="923" spans="1:31" ht="14.4" customHeight="1" x14ac:dyDescent="0.3">
      <c r="A923" t="s">
        <v>2395</v>
      </c>
      <c r="B923" t="s">
        <v>2396</v>
      </c>
      <c r="C923"/>
      <c r="D923"/>
      <c r="E923"/>
      <c r="F923"/>
      <c r="G923" t="s">
        <v>2162</v>
      </c>
      <c r="H923" t="s">
        <v>132</v>
      </c>
      <c r="I923" t="s">
        <v>2</v>
      </c>
      <c r="J923" t="s">
        <v>133</v>
      </c>
      <c r="K923" t="s">
        <v>52</v>
      </c>
      <c r="L923" t="s">
        <v>1440</v>
      </c>
      <c r="M923" t="s">
        <v>134</v>
      </c>
      <c r="N923" t="s">
        <v>135</v>
      </c>
      <c r="O923"/>
      <c r="P923"/>
      <c r="Q923" t="s">
        <v>168</v>
      </c>
      <c r="R923"/>
      <c r="S923"/>
      <c r="T923" t="s">
        <v>2165</v>
      </c>
      <c r="U923" t="s">
        <v>137</v>
      </c>
      <c r="V923" t="s">
        <v>312</v>
      </c>
      <c r="W923"/>
      <c r="X923" t="s">
        <v>99</v>
      </c>
      <c r="Y923"/>
      <c r="Z923"/>
      <c r="AA923" t="s">
        <v>2163</v>
      </c>
      <c r="AB923" t="s">
        <v>2</v>
      </c>
      <c r="AC923" t="s">
        <v>138</v>
      </c>
      <c r="AD923" t="s">
        <v>129</v>
      </c>
      <c r="AE923" s="97"/>
    </row>
    <row r="924" spans="1:31" ht="14.4" customHeight="1" x14ac:dyDescent="0.3">
      <c r="A924" t="s">
        <v>2397</v>
      </c>
      <c r="B924" t="s">
        <v>2398</v>
      </c>
      <c r="C924"/>
      <c r="D924"/>
      <c r="E924"/>
      <c r="F924"/>
      <c r="G924" t="s">
        <v>2162</v>
      </c>
      <c r="H924" t="s">
        <v>132</v>
      </c>
      <c r="I924" t="s">
        <v>2</v>
      </c>
      <c r="J924" t="s">
        <v>133</v>
      </c>
      <c r="K924" t="s">
        <v>52</v>
      </c>
      <c r="L924" t="s">
        <v>2399</v>
      </c>
      <c r="M924" t="s">
        <v>134</v>
      </c>
      <c r="N924" t="s">
        <v>135</v>
      </c>
      <c r="O924"/>
      <c r="P924"/>
      <c r="Q924" t="s">
        <v>168</v>
      </c>
      <c r="R924"/>
      <c r="S924"/>
      <c r="T924" t="s">
        <v>2165</v>
      </c>
      <c r="U924" t="s">
        <v>137</v>
      </c>
      <c r="V924" t="s">
        <v>925</v>
      </c>
      <c r="W924"/>
      <c r="X924" t="s">
        <v>101</v>
      </c>
      <c r="Y924"/>
      <c r="Z924"/>
      <c r="AA924" t="s">
        <v>2163</v>
      </c>
      <c r="AB924" t="s">
        <v>2</v>
      </c>
      <c r="AC924" t="s">
        <v>138</v>
      </c>
      <c r="AD924" t="s">
        <v>129</v>
      </c>
      <c r="AE924" s="97"/>
    </row>
    <row r="925" spans="1:31" ht="14.4" customHeight="1" x14ac:dyDescent="0.3">
      <c r="A925" t="s">
        <v>2400</v>
      </c>
      <c r="B925" t="s">
        <v>2401</v>
      </c>
      <c r="C925"/>
      <c r="D925"/>
      <c r="E925"/>
      <c r="F925"/>
      <c r="G925" t="s">
        <v>2162</v>
      </c>
      <c r="H925" t="s">
        <v>132</v>
      </c>
      <c r="I925" t="s">
        <v>2</v>
      </c>
      <c r="J925" t="s">
        <v>133</v>
      </c>
      <c r="K925" t="s">
        <v>52</v>
      </c>
      <c r="L925" t="s">
        <v>1463</v>
      </c>
      <c r="M925" t="s">
        <v>134</v>
      </c>
      <c r="N925" t="s">
        <v>135</v>
      </c>
      <c r="O925"/>
      <c r="P925"/>
      <c r="Q925" t="s">
        <v>168</v>
      </c>
      <c r="R925"/>
      <c r="S925"/>
      <c r="T925" t="s">
        <v>2165</v>
      </c>
      <c r="U925" t="s">
        <v>137</v>
      </c>
      <c r="V925" t="s">
        <v>316</v>
      </c>
      <c r="W925"/>
      <c r="X925" t="s">
        <v>108</v>
      </c>
      <c r="Y925"/>
      <c r="Z925"/>
      <c r="AA925" t="s">
        <v>2163</v>
      </c>
      <c r="AB925" t="s">
        <v>2</v>
      </c>
      <c r="AC925" t="s">
        <v>138</v>
      </c>
      <c r="AD925" t="s">
        <v>129</v>
      </c>
      <c r="AE925" s="97"/>
    </row>
    <row r="926" spans="1:31" ht="14.4" customHeight="1" x14ac:dyDescent="0.3">
      <c r="A926" t="s">
        <v>2402</v>
      </c>
      <c r="B926" t="s">
        <v>2403</v>
      </c>
      <c r="C926"/>
      <c r="D926"/>
      <c r="E926"/>
      <c r="F926"/>
      <c r="G926" t="s">
        <v>2162</v>
      </c>
      <c r="H926" t="s">
        <v>132</v>
      </c>
      <c r="I926" t="s">
        <v>2</v>
      </c>
      <c r="J926" t="s">
        <v>133</v>
      </c>
      <c r="K926" t="s">
        <v>52</v>
      </c>
      <c r="L926" t="s">
        <v>1463</v>
      </c>
      <c r="M926" t="s">
        <v>134</v>
      </c>
      <c r="N926" t="s">
        <v>135</v>
      </c>
      <c r="O926"/>
      <c r="P926"/>
      <c r="Q926" t="s">
        <v>168</v>
      </c>
      <c r="R926"/>
      <c r="S926"/>
      <c r="T926" t="s">
        <v>2165</v>
      </c>
      <c r="U926" t="s">
        <v>137</v>
      </c>
      <c r="V926" t="s">
        <v>316</v>
      </c>
      <c r="W926"/>
      <c r="X926" t="s">
        <v>108</v>
      </c>
      <c r="Y926"/>
      <c r="Z926"/>
      <c r="AA926" t="s">
        <v>2163</v>
      </c>
      <c r="AB926" t="s">
        <v>2</v>
      </c>
      <c r="AC926" t="s">
        <v>138</v>
      </c>
      <c r="AD926" t="s">
        <v>129</v>
      </c>
      <c r="AE926" s="97"/>
    </row>
    <row r="927" spans="1:31" ht="14.4" customHeight="1" x14ac:dyDescent="0.3">
      <c r="A927" t="s">
        <v>2404</v>
      </c>
      <c r="B927" t="s">
        <v>2405</v>
      </c>
      <c r="C927"/>
      <c r="D927"/>
      <c r="E927"/>
      <c r="F927"/>
      <c r="G927" t="s">
        <v>2162</v>
      </c>
      <c r="H927" t="s">
        <v>132</v>
      </c>
      <c r="I927" t="s">
        <v>2</v>
      </c>
      <c r="J927" t="s">
        <v>133</v>
      </c>
      <c r="K927" t="s">
        <v>52</v>
      </c>
      <c r="L927" t="s">
        <v>1463</v>
      </c>
      <c r="M927" t="s">
        <v>134</v>
      </c>
      <c r="N927" t="s">
        <v>135</v>
      </c>
      <c r="O927"/>
      <c r="P927"/>
      <c r="Q927" t="s">
        <v>168</v>
      </c>
      <c r="R927"/>
      <c r="S927"/>
      <c r="T927" t="s">
        <v>2165</v>
      </c>
      <c r="U927" t="s">
        <v>137</v>
      </c>
      <c r="V927" t="s">
        <v>316</v>
      </c>
      <c r="W927"/>
      <c r="X927" t="s">
        <v>108</v>
      </c>
      <c r="Y927"/>
      <c r="Z927"/>
      <c r="AA927" t="s">
        <v>2163</v>
      </c>
      <c r="AB927" t="s">
        <v>2</v>
      </c>
      <c r="AC927" t="s">
        <v>138</v>
      </c>
      <c r="AD927" t="s">
        <v>129</v>
      </c>
      <c r="AE927" s="97"/>
    </row>
    <row r="928" spans="1:31" ht="14.4" customHeight="1" x14ac:dyDescent="0.3">
      <c r="A928" t="s">
        <v>2406</v>
      </c>
      <c r="B928" t="s">
        <v>2407</v>
      </c>
      <c r="C928"/>
      <c r="D928"/>
      <c r="E928"/>
      <c r="F928"/>
      <c r="G928" t="s">
        <v>2162</v>
      </c>
      <c r="H928" t="s">
        <v>132</v>
      </c>
      <c r="I928" t="s">
        <v>2</v>
      </c>
      <c r="J928" t="s">
        <v>133</v>
      </c>
      <c r="K928" t="s">
        <v>52</v>
      </c>
      <c r="L928" t="s">
        <v>1463</v>
      </c>
      <c r="M928" t="s">
        <v>134</v>
      </c>
      <c r="N928" t="s">
        <v>135</v>
      </c>
      <c r="O928"/>
      <c r="P928"/>
      <c r="Q928" t="s">
        <v>168</v>
      </c>
      <c r="R928"/>
      <c r="S928"/>
      <c r="T928" t="s">
        <v>2165</v>
      </c>
      <c r="U928" t="s">
        <v>137</v>
      </c>
      <c r="V928" t="s">
        <v>316</v>
      </c>
      <c r="W928"/>
      <c r="X928" t="s">
        <v>108</v>
      </c>
      <c r="Y928"/>
      <c r="Z928"/>
      <c r="AA928" t="s">
        <v>2163</v>
      </c>
      <c r="AB928" t="s">
        <v>2</v>
      </c>
      <c r="AC928" t="s">
        <v>138</v>
      </c>
      <c r="AD928" t="s">
        <v>129</v>
      </c>
      <c r="AE928" s="97"/>
    </row>
    <row r="929" spans="1:31" ht="14.4" customHeight="1" x14ac:dyDescent="0.3">
      <c r="A929" t="s">
        <v>2408</v>
      </c>
      <c r="B929" t="s">
        <v>2409</v>
      </c>
      <c r="C929"/>
      <c r="D929"/>
      <c r="E929"/>
      <c r="F929"/>
      <c r="G929" t="s">
        <v>2162</v>
      </c>
      <c r="H929" t="s">
        <v>132</v>
      </c>
      <c r="I929" t="s">
        <v>2</v>
      </c>
      <c r="J929" t="s">
        <v>133</v>
      </c>
      <c r="K929" t="s">
        <v>52</v>
      </c>
      <c r="L929" t="s">
        <v>1463</v>
      </c>
      <c r="M929" t="s">
        <v>134</v>
      </c>
      <c r="N929" t="s">
        <v>135</v>
      </c>
      <c r="O929"/>
      <c r="P929"/>
      <c r="Q929" t="s">
        <v>168</v>
      </c>
      <c r="R929"/>
      <c r="S929"/>
      <c r="T929" t="s">
        <v>2165</v>
      </c>
      <c r="U929" t="s">
        <v>137</v>
      </c>
      <c r="V929" t="s">
        <v>316</v>
      </c>
      <c r="W929"/>
      <c r="X929" t="s">
        <v>108</v>
      </c>
      <c r="Y929"/>
      <c r="Z929"/>
      <c r="AA929" t="s">
        <v>2163</v>
      </c>
      <c r="AB929" t="s">
        <v>2</v>
      </c>
      <c r="AC929" t="s">
        <v>138</v>
      </c>
      <c r="AD929" t="s">
        <v>129</v>
      </c>
      <c r="AE929" s="97"/>
    </row>
    <row r="930" spans="1:31" ht="14.4" customHeight="1" x14ac:dyDescent="0.3">
      <c r="A930" t="s">
        <v>2410</v>
      </c>
      <c r="B930" t="s">
        <v>2411</v>
      </c>
      <c r="C930"/>
      <c r="D930"/>
      <c r="E930"/>
      <c r="F930"/>
      <c r="G930" t="s">
        <v>2162</v>
      </c>
      <c r="H930" t="s">
        <v>132</v>
      </c>
      <c r="I930" t="s">
        <v>2</v>
      </c>
      <c r="J930" t="s">
        <v>133</v>
      </c>
      <c r="K930" t="s">
        <v>52</v>
      </c>
      <c r="L930" t="s">
        <v>2412</v>
      </c>
      <c r="M930" t="s">
        <v>134</v>
      </c>
      <c r="N930" t="s">
        <v>135</v>
      </c>
      <c r="O930"/>
      <c r="P930"/>
      <c r="Q930" t="s">
        <v>168</v>
      </c>
      <c r="R930"/>
      <c r="S930"/>
      <c r="T930" t="s">
        <v>2165</v>
      </c>
      <c r="U930" t="s">
        <v>137</v>
      </c>
      <c r="V930" t="s">
        <v>932</v>
      </c>
      <c r="W930"/>
      <c r="X930" t="s">
        <v>115</v>
      </c>
      <c r="Y930"/>
      <c r="Z930"/>
      <c r="AA930" t="s">
        <v>2163</v>
      </c>
      <c r="AB930" t="s">
        <v>2</v>
      </c>
      <c r="AC930" t="s">
        <v>138</v>
      </c>
      <c r="AD930" t="s">
        <v>130</v>
      </c>
      <c r="AE930" s="97"/>
    </row>
    <row r="931" spans="1:31" ht="14.4" customHeight="1" x14ac:dyDescent="0.3">
      <c r="A931" t="s">
        <v>2413</v>
      </c>
      <c r="B931" t="s">
        <v>2414</v>
      </c>
      <c r="C931"/>
      <c r="D931"/>
      <c r="E931"/>
      <c r="F931"/>
      <c r="G931" t="s">
        <v>2162</v>
      </c>
      <c r="H931" t="s">
        <v>132</v>
      </c>
      <c r="I931" t="s">
        <v>2</v>
      </c>
      <c r="J931" t="s">
        <v>133</v>
      </c>
      <c r="K931" t="s">
        <v>52</v>
      </c>
      <c r="L931" t="s">
        <v>1486</v>
      </c>
      <c r="M931" t="s">
        <v>134</v>
      </c>
      <c r="N931" t="s">
        <v>135</v>
      </c>
      <c r="O931"/>
      <c r="P931"/>
      <c r="Q931" t="s">
        <v>168</v>
      </c>
      <c r="R931"/>
      <c r="S931"/>
      <c r="T931" t="s">
        <v>2165</v>
      </c>
      <c r="U931" t="s">
        <v>137</v>
      </c>
      <c r="V931" t="s">
        <v>320</v>
      </c>
      <c r="W931"/>
      <c r="X931" t="s">
        <v>117</v>
      </c>
      <c r="Y931"/>
      <c r="Z931"/>
      <c r="AA931" t="s">
        <v>2163</v>
      </c>
      <c r="AB931" t="s">
        <v>2</v>
      </c>
      <c r="AC931" t="s">
        <v>138</v>
      </c>
      <c r="AD931" t="s">
        <v>130</v>
      </c>
      <c r="AE931" s="97"/>
    </row>
    <row r="932" spans="1:31" ht="14.4" customHeight="1" x14ac:dyDescent="0.3">
      <c r="A932" t="s">
        <v>2415</v>
      </c>
      <c r="B932" t="s">
        <v>2416</v>
      </c>
      <c r="C932"/>
      <c r="D932"/>
      <c r="E932"/>
      <c r="F932"/>
      <c r="G932" t="s">
        <v>2162</v>
      </c>
      <c r="H932" t="s">
        <v>132</v>
      </c>
      <c r="I932" t="s">
        <v>2</v>
      </c>
      <c r="J932" t="s">
        <v>133</v>
      </c>
      <c r="K932" t="s">
        <v>52</v>
      </c>
      <c r="L932" t="s">
        <v>1486</v>
      </c>
      <c r="M932" t="s">
        <v>134</v>
      </c>
      <c r="N932" t="s">
        <v>135</v>
      </c>
      <c r="O932"/>
      <c r="P932"/>
      <c r="Q932" t="s">
        <v>168</v>
      </c>
      <c r="R932"/>
      <c r="S932"/>
      <c r="T932" t="s">
        <v>2165</v>
      </c>
      <c r="U932" t="s">
        <v>137</v>
      </c>
      <c r="V932" t="s">
        <v>320</v>
      </c>
      <c r="W932"/>
      <c r="X932" t="s">
        <v>117</v>
      </c>
      <c r="Y932"/>
      <c r="Z932"/>
      <c r="AA932" t="s">
        <v>2163</v>
      </c>
      <c r="AB932" t="s">
        <v>2</v>
      </c>
      <c r="AC932" t="s">
        <v>138</v>
      </c>
      <c r="AD932" t="s">
        <v>130</v>
      </c>
      <c r="AE932" s="97"/>
    </row>
    <row r="933" spans="1:31" ht="14.4" customHeight="1" x14ac:dyDescent="0.3">
      <c r="A933" t="s">
        <v>2417</v>
      </c>
      <c r="B933" t="s">
        <v>2418</v>
      </c>
      <c r="C933"/>
      <c r="D933"/>
      <c r="E933"/>
      <c r="F933"/>
      <c r="G933" t="s">
        <v>2162</v>
      </c>
      <c r="H933" t="s">
        <v>132</v>
      </c>
      <c r="I933" t="s">
        <v>2</v>
      </c>
      <c r="J933" t="s">
        <v>133</v>
      </c>
      <c r="K933" t="s">
        <v>52</v>
      </c>
      <c r="L933" t="s">
        <v>1486</v>
      </c>
      <c r="M933" t="s">
        <v>134</v>
      </c>
      <c r="N933" t="s">
        <v>135</v>
      </c>
      <c r="O933"/>
      <c r="P933"/>
      <c r="Q933" t="s">
        <v>168</v>
      </c>
      <c r="R933"/>
      <c r="S933"/>
      <c r="T933" t="s">
        <v>2165</v>
      </c>
      <c r="U933" t="s">
        <v>137</v>
      </c>
      <c r="V933" t="s">
        <v>320</v>
      </c>
      <c r="W933"/>
      <c r="X933" t="s">
        <v>117</v>
      </c>
      <c r="Y933"/>
      <c r="Z933"/>
      <c r="AA933" t="s">
        <v>2163</v>
      </c>
      <c r="AB933" t="s">
        <v>2</v>
      </c>
      <c r="AC933" t="s">
        <v>138</v>
      </c>
      <c r="AD933" t="s">
        <v>130</v>
      </c>
      <c r="AE933" s="97"/>
    </row>
    <row r="934" spans="1:31" ht="14.4" customHeight="1" x14ac:dyDescent="0.3">
      <c r="A934" t="s">
        <v>2419</v>
      </c>
      <c r="B934" t="s">
        <v>2420</v>
      </c>
      <c r="C934"/>
      <c r="D934"/>
      <c r="E934"/>
      <c r="F934"/>
      <c r="G934" t="s">
        <v>2162</v>
      </c>
      <c r="H934" t="s">
        <v>132</v>
      </c>
      <c r="I934" t="s">
        <v>2</v>
      </c>
      <c r="J934" t="s">
        <v>133</v>
      </c>
      <c r="K934" t="s">
        <v>52</v>
      </c>
      <c r="L934" t="s">
        <v>1486</v>
      </c>
      <c r="M934" t="s">
        <v>134</v>
      </c>
      <c r="N934" t="s">
        <v>135</v>
      </c>
      <c r="O934"/>
      <c r="P934"/>
      <c r="Q934" t="s">
        <v>168</v>
      </c>
      <c r="R934"/>
      <c r="S934"/>
      <c r="T934" t="s">
        <v>2165</v>
      </c>
      <c r="U934" t="s">
        <v>137</v>
      </c>
      <c r="V934" t="s">
        <v>320</v>
      </c>
      <c r="W934"/>
      <c r="X934" t="s">
        <v>117</v>
      </c>
      <c r="Y934"/>
      <c r="Z934"/>
      <c r="AA934" t="s">
        <v>2163</v>
      </c>
      <c r="AB934" t="s">
        <v>2</v>
      </c>
      <c r="AC934" t="s">
        <v>138</v>
      </c>
      <c r="AD934" t="s">
        <v>130</v>
      </c>
      <c r="AE934" s="97"/>
    </row>
    <row r="935" spans="1:31" ht="14.4" customHeight="1" x14ac:dyDescent="0.3">
      <c r="A935" t="s">
        <v>2421</v>
      </c>
      <c r="B935" t="s">
        <v>2422</v>
      </c>
      <c r="C935"/>
      <c r="D935"/>
      <c r="E935"/>
      <c r="F935"/>
      <c r="G935" t="s">
        <v>2162</v>
      </c>
      <c r="H935" t="s">
        <v>132</v>
      </c>
      <c r="I935" t="s">
        <v>2</v>
      </c>
      <c r="J935" t="s">
        <v>133</v>
      </c>
      <c r="K935" t="s">
        <v>52</v>
      </c>
      <c r="L935" t="s">
        <v>1486</v>
      </c>
      <c r="M935" t="s">
        <v>134</v>
      </c>
      <c r="N935" t="s">
        <v>135</v>
      </c>
      <c r="O935"/>
      <c r="P935"/>
      <c r="Q935" t="s">
        <v>168</v>
      </c>
      <c r="R935"/>
      <c r="S935"/>
      <c r="T935" t="s">
        <v>2165</v>
      </c>
      <c r="U935" t="s">
        <v>137</v>
      </c>
      <c r="V935" t="s">
        <v>320</v>
      </c>
      <c r="W935"/>
      <c r="X935" t="s">
        <v>117</v>
      </c>
      <c r="Y935"/>
      <c r="Z935"/>
      <c r="AA935" t="s">
        <v>2163</v>
      </c>
      <c r="AB935" t="s">
        <v>2</v>
      </c>
      <c r="AC935" t="s">
        <v>138</v>
      </c>
      <c r="AD935" t="s">
        <v>130</v>
      </c>
      <c r="AE935" s="97"/>
    </row>
    <row r="936" spans="1:31" ht="14.4" customHeight="1" x14ac:dyDescent="0.3">
      <c r="A936" t="s">
        <v>2423</v>
      </c>
      <c r="B936" t="s">
        <v>2424</v>
      </c>
      <c r="C936"/>
      <c r="D936"/>
      <c r="E936"/>
      <c r="F936"/>
      <c r="G936" t="s">
        <v>2162</v>
      </c>
      <c r="H936" t="s">
        <v>132</v>
      </c>
      <c r="I936" t="s">
        <v>2</v>
      </c>
      <c r="J936" t="s">
        <v>133</v>
      </c>
      <c r="K936" t="s">
        <v>52</v>
      </c>
      <c r="L936" t="s">
        <v>2425</v>
      </c>
      <c r="M936" t="s">
        <v>134</v>
      </c>
      <c r="N936" t="s">
        <v>135</v>
      </c>
      <c r="O936"/>
      <c r="P936"/>
      <c r="Q936" t="s">
        <v>168</v>
      </c>
      <c r="R936"/>
      <c r="S936"/>
      <c r="T936" t="s">
        <v>2165</v>
      </c>
      <c r="U936" t="s">
        <v>137</v>
      </c>
      <c r="V936" t="s">
        <v>147</v>
      </c>
      <c r="W936"/>
      <c r="X936" t="s">
        <v>70</v>
      </c>
      <c r="Y936"/>
      <c r="Z936"/>
      <c r="AA936" t="s">
        <v>2163</v>
      </c>
      <c r="AB936" t="s">
        <v>2</v>
      </c>
      <c r="AC936" t="s">
        <v>138</v>
      </c>
      <c r="AD936" t="s">
        <v>128</v>
      </c>
      <c r="AE936" s="97"/>
    </row>
    <row r="937" spans="1:31" ht="14.4" customHeight="1" x14ac:dyDescent="0.3">
      <c r="A937" t="s">
        <v>2426</v>
      </c>
      <c r="B937" t="s">
        <v>2427</v>
      </c>
      <c r="C937"/>
      <c r="D937"/>
      <c r="E937"/>
      <c r="F937"/>
      <c r="G937" t="s">
        <v>2162</v>
      </c>
      <c r="H937" t="s">
        <v>132</v>
      </c>
      <c r="I937" t="s">
        <v>2</v>
      </c>
      <c r="J937" t="s">
        <v>133</v>
      </c>
      <c r="K937" t="s">
        <v>52</v>
      </c>
      <c r="L937" t="s">
        <v>2428</v>
      </c>
      <c r="M937" t="s">
        <v>134</v>
      </c>
      <c r="N937" t="s">
        <v>135</v>
      </c>
      <c r="O937"/>
      <c r="P937"/>
      <c r="Q937" t="s">
        <v>168</v>
      </c>
      <c r="R937"/>
      <c r="S937"/>
      <c r="T937" t="s">
        <v>2165</v>
      </c>
      <c r="U937" t="s">
        <v>137</v>
      </c>
      <c r="V937" t="s">
        <v>147</v>
      </c>
      <c r="W937"/>
      <c r="X937" t="s">
        <v>70</v>
      </c>
      <c r="Y937"/>
      <c r="Z937"/>
      <c r="AA937" t="s">
        <v>2163</v>
      </c>
      <c r="AB937" t="s">
        <v>2</v>
      </c>
      <c r="AC937" t="s">
        <v>138</v>
      </c>
      <c r="AD937" t="s">
        <v>128</v>
      </c>
      <c r="AE937" s="97"/>
    </row>
    <row r="938" spans="1:31" ht="14.4" customHeight="1" x14ac:dyDescent="0.3">
      <c r="A938" t="s">
        <v>2429</v>
      </c>
      <c r="B938" t="s">
        <v>2430</v>
      </c>
      <c r="C938"/>
      <c r="D938"/>
      <c r="E938"/>
      <c r="F938"/>
      <c r="G938" t="s">
        <v>2162</v>
      </c>
      <c r="H938" t="s">
        <v>132</v>
      </c>
      <c r="I938" t="s">
        <v>2</v>
      </c>
      <c r="J938" t="s">
        <v>133</v>
      </c>
      <c r="K938" t="s">
        <v>52</v>
      </c>
      <c r="L938" t="s">
        <v>2431</v>
      </c>
      <c r="M938" t="s">
        <v>134</v>
      </c>
      <c r="N938" t="s">
        <v>135</v>
      </c>
      <c r="O938"/>
      <c r="P938"/>
      <c r="Q938" t="s">
        <v>168</v>
      </c>
      <c r="R938"/>
      <c r="S938"/>
      <c r="T938" t="s">
        <v>2165</v>
      </c>
      <c r="U938" t="s">
        <v>137</v>
      </c>
      <c r="V938" t="s">
        <v>147</v>
      </c>
      <c r="W938"/>
      <c r="X938" t="s">
        <v>70</v>
      </c>
      <c r="Y938"/>
      <c r="Z938"/>
      <c r="AA938" t="s">
        <v>2163</v>
      </c>
      <c r="AB938" t="s">
        <v>2</v>
      </c>
      <c r="AC938" t="s">
        <v>138</v>
      </c>
      <c r="AD938" t="s">
        <v>128</v>
      </c>
      <c r="AE938" s="97"/>
    </row>
    <row r="939" spans="1:31" ht="14.4" customHeight="1" x14ac:dyDescent="0.3">
      <c r="A939" t="s">
        <v>2432</v>
      </c>
      <c r="B939" t="s">
        <v>2433</v>
      </c>
      <c r="C939"/>
      <c r="D939"/>
      <c r="E939"/>
      <c r="F939"/>
      <c r="G939" t="s">
        <v>2162</v>
      </c>
      <c r="H939" t="s">
        <v>132</v>
      </c>
      <c r="I939" t="s">
        <v>2</v>
      </c>
      <c r="J939" t="s">
        <v>133</v>
      </c>
      <c r="K939" t="s">
        <v>52</v>
      </c>
      <c r="L939" t="s">
        <v>2434</v>
      </c>
      <c r="M939" t="s">
        <v>134</v>
      </c>
      <c r="N939" t="s">
        <v>135</v>
      </c>
      <c r="O939"/>
      <c r="P939"/>
      <c r="Q939" t="s">
        <v>168</v>
      </c>
      <c r="R939"/>
      <c r="S939"/>
      <c r="T939" t="s">
        <v>2165</v>
      </c>
      <c r="U939" t="s">
        <v>137</v>
      </c>
      <c r="V939" t="s">
        <v>147</v>
      </c>
      <c r="W939"/>
      <c r="X939" t="s">
        <v>70</v>
      </c>
      <c r="Y939"/>
      <c r="Z939"/>
      <c r="AA939" t="s">
        <v>2163</v>
      </c>
      <c r="AB939" t="s">
        <v>2</v>
      </c>
      <c r="AC939" t="s">
        <v>138</v>
      </c>
      <c r="AD939" t="s">
        <v>128</v>
      </c>
      <c r="AE939" s="97"/>
    </row>
    <row r="940" spans="1:31" ht="14.4" customHeight="1" x14ac:dyDescent="0.3">
      <c r="A940" t="s">
        <v>2435</v>
      </c>
      <c r="B940" t="s">
        <v>2436</v>
      </c>
      <c r="C940"/>
      <c r="D940"/>
      <c r="E940"/>
      <c r="F940"/>
      <c r="G940" t="s">
        <v>2162</v>
      </c>
      <c r="H940" t="s">
        <v>132</v>
      </c>
      <c r="I940" t="s">
        <v>2</v>
      </c>
      <c r="J940" t="s">
        <v>133</v>
      </c>
      <c r="K940" t="s">
        <v>52</v>
      </c>
      <c r="L940" t="s">
        <v>2437</v>
      </c>
      <c r="M940" t="s">
        <v>134</v>
      </c>
      <c r="N940" t="s">
        <v>135</v>
      </c>
      <c r="O940"/>
      <c r="P940"/>
      <c r="Q940" t="s">
        <v>168</v>
      </c>
      <c r="R940"/>
      <c r="S940"/>
      <c r="T940" t="s">
        <v>2165</v>
      </c>
      <c r="U940" t="s">
        <v>137</v>
      </c>
      <c r="V940" t="s">
        <v>150</v>
      </c>
      <c r="W940"/>
      <c r="X940" t="s">
        <v>76</v>
      </c>
      <c r="Y940"/>
      <c r="Z940"/>
      <c r="AA940" t="s">
        <v>2163</v>
      </c>
      <c r="AB940" t="s">
        <v>2</v>
      </c>
      <c r="AC940" t="s">
        <v>138</v>
      </c>
      <c r="AD940" t="s">
        <v>128</v>
      </c>
      <c r="AE940" s="97"/>
    </row>
    <row r="941" spans="1:31" ht="14.4" customHeight="1" x14ac:dyDescent="0.3">
      <c r="A941" t="s">
        <v>2438</v>
      </c>
      <c r="B941" t="s">
        <v>2439</v>
      </c>
      <c r="C941"/>
      <c r="D941"/>
      <c r="E941"/>
      <c r="F941"/>
      <c r="G941" t="s">
        <v>2162</v>
      </c>
      <c r="H941" t="s">
        <v>132</v>
      </c>
      <c r="I941" t="s">
        <v>2</v>
      </c>
      <c r="J941" t="s">
        <v>133</v>
      </c>
      <c r="K941" t="s">
        <v>52</v>
      </c>
      <c r="L941" t="s">
        <v>2440</v>
      </c>
      <c r="M941" t="s">
        <v>134</v>
      </c>
      <c r="N941" t="s">
        <v>135</v>
      </c>
      <c r="O941"/>
      <c r="P941"/>
      <c r="Q941" t="s">
        <v>168</v>
      </c>
      <c r="R941"/>
      <c r="S941"/>
      <c r="T941" t="s">
        <v>2165</v>
      </c>
      <c r="U941" t="s">
        <v>137</v>
      </c>
      <c r="V941" t="s">
        <v>150</v>
      </c>
      <c r="W941"/>
      <c r="X941" t="s">
        <v>76</v>
      </c>
      <c r="Y941"/>
      <c r="Z941"/>
      <c r="AA941" t="s">
        <v>2163</v>
      </c>
      <c r="AB941" t="s">
        <v>2</v>
      </c>
      <c r="AC941" t="s">
        <v>138</v>
      </c>
      <c r="AD941" t="s">
        <v>128</v>
      </c>
      <c r="AE941" s="97"/>
    </row>
    <row r="942" spans="1:31" ht="14.4" customHeight="1" x14ac:dyDescent="0.3">
      <c r="A942" t="s">
        <v>2441</v>
      </c>
      <c r="B942" t="s">
        <v>2442</v>
      </c>
      <c r="C942"/>
      <c r="D942"/>
      <c r="E942"/>
      <c r="F942"/>
      <c r="G942" t="s">
        <v>2162</v>
      </c>
      <c r="H942" t="s">
        <v>132</v>
      </c>
      <c r="I942" t="s">
        <v>2</v>
      </c>
      <c r="J942" t="s">
        <v>133</v>
      </c>
      <c r="K942" t="s">
        <v>52</v>
      </c>
      <c r="L942" t="s">
        <v>2443</v>
      </c>
      <c r="M942" t="s">
        <v>134</v>
      </c>
      <c r="N942" t="s">
        <v>135</v>
      </c>
      <c r="O942"/>
      <c r="P942"/>
      <c r="Q942" t="s">
        <v>168</v>
      </c>
      <c r="R942"/>
      <c r="S942"/>
      <c r="T942" t="s">
        <v>2165</v>
      </c>
      <c r="U942" t="s">
        <v>137</v>
      </c>
      <c r="V942" t="s">
        <v>150</v>
      </c>
      <c r="W942"/>
      <c r="X942" t="s">
        <v>76</v>
      </c>
      <c r="Y942"/>
      <c r="Z942"/>
      <c r="AA942" t="s">
        <v>2163</v>
      </c>
      <c r="AB942" t="s">
        <v>2</v>
      </c>
      <c r="AC942" t="s">
        <v>138</v>
      </c>
      <c r="AD942" t="s">
        <v>128</v>
      </c>
      <c r="AE942" s="97"/>
    </row>
    <row r="943" spans="1:31" ht="14.4" customHeight="1" x14ac:dyDescent="0.3">
      <c r="A943" t="s">
        <v>2444</v>
      </c>
      <c r="B943" t="s">
        <v>2445</v>
      </c>
      <c r="C943"/>
      <c r="D943"/>
      <c r="E943"/>
      <c r="F943"/>
      <c r="G943" t="s">
        <v>2162</v>
      </c>
      <c r="H943" t="s">
        <v>132</v>
      </c>
      <c r="I943" t="s">
        <v>2</v>
      </c>
      <c r="J943" t="s">
        <v>133</v>
      </c>
      <c r="K943" t="s">
        <v>52</v>
      </c>
      <c r="L943" t="s">
        <v>2446</v>
      </c>
      <c r="M943" t="s">
        <v>134</v>
      </c>
      <c r="N943" t="s">
        <v>135</v>
      </c>
      <c r="O943"/>
      <c r="P943"/>
      <c r="Q943" t="s">
        <v>168</v>
      </c>
      <c r="R943"/>
      <c r="S943"/>
      <c r="T943" t="s">
        <v>2165</v>
      </c>
      <c r="U943" t="s">
        <v>137</v>
      </c>
      <c r="V943" t="s">
        <v>150</v>
      </c>
      <c r="W943"/>
      <c r="X943" t="s">
        <v>76</v>
      </c>
      <c r="Y943"/>
      <c r="Z943"/>
      <c r="AA943" t="s">
        <v>2163</v>
      </c>
      <c r="AB943" t="s">
        <v>2</v>
      </c>
      <c r="AC943" t="s">
        <v>138</v>
      </c>
      <c r="AD943" t="s">
        <v>128</v>
      </c>
      <c r="AE943" s="97"/>
    </row>
    <row r="944" spans="1:31" ht="14.4" customHeight="1" x14ac:dyDescent="0.3">
      <c r="A944" t="s">
        <v>2447</v>
      </c>
      <c r="B944" t="s">
        <v>2448</v>
      </c>
      <c r="C944"/>
      <c r="D944"/>
      <c r="E944"/>
      <c r="F944"/>
      <c r="G944" t="s">
        <v>2162</v>
      </c>
      <c r="H944" t="s">
        <v>132</v>
      </c>
      <c r="I944" t="s">
        <v>2</v>
      </c>
      <c r="J944" t="s">
        <v>133</v>
      </c>
      <c r="K944" t="s">
        <v>52</v>
      </c>
      <c r="L944" t="s">
        <v>2449</v>
      </c>
      <c r="M944" t="s">
        <v>134</v>
      </c>
      <c r="N944" t="s">
        <v>135</v>
      </c>
      <c r="O944"/>
      <c r="P944"/>
      <c r="Q944" t="s">
        <v>168</v>
      </c>
      <c r="R944"/>
      <c r="S944"/>
      <c r="T944" t="s">
        <v>2165</v>
      </c>
      <c r="U944" t="s">
        <v>137</v>
      </c>
      <c r="V944" t="s">
        <v>153</v>
      </c>
      <c r="W944"/>
      <c r="X944" t="s">
        <v>88</v>
      </c>
      <c r="Y944"/>
      <c r="Z944"/>
      <c r="AA944" t="s">
        <v>2163</v>
      </c>
      <c r="AB944" t="s">
        <v>2</v>
      </c>
      <c r="AC944" t="s">
        <v>138</v>
      </c>
      <c r="AD944" t="s">
        <v>129</v>
      </c>
      <c r="AE944" s="97"/>
    </row>
    <row r="945" spans="1:31" ht="14.4" customHeight="1" x14ac:dyDescent="0.3">
      <c r="A945" t="s">
        <v>2450</v>
      </c>
      <c r="B945" t="s">
        <v>2451</v>
      </c>
      <c r="C945"/>
      <c r="D945"/>
      <c r="E945"/>
      <c r="F945"/>
      <c r="G945" t="s">
        <v>2162</v>
      </c>
      <c r="H945" t="s">
        <v>132</v>
      </c>
      <c r="I945" t="s">
        <v>2</v>
      </c>
      <c r="J945" t="s">
        <v>133</v>
      </c>
      <c r="K945" t="s">
        <v>52</v>
      </c>
      <c r="L945" t="s">
        <v>2452</v>
      </c>
      <c r="M945" t="s">
        <v>134</v>
      </c>
      <c r="N945" t="s">
        <v>135</v>
      </c>
      <c r="O945"/>
      <c r="P945"/>
      <c r="Q945" t="s">
        <v>168</v>
      </c>
      <c r="R945"/>
      <c r="S945"/>
      <c r="T945" t="s">
        <v>2165</v>
      </c>
      <c r="U945" t="s">
        <v>137</v>
      </c>
      <c r="V945" t="s">
        <v>153</v>
      </c>
      <c r="W945"/>
      <c r="X945" t="s">
        <v>88</v>
      </c>
      <c r="Y945"/>
      <c r="Z945"/>
      <c r="AA945" t="s">
        <v>2163</v>
      </c>
      <c r="AB945" t="s">
        <v>2</v>
      </c>
      <c r="AC945" t="s">
        <v>138</v>
      </c>
      <c r="AD945" t="s">
        <v>129</v>
      </c>
      <c r="AE945" s="97"/>
    </row>
    <row r="946" spans="1:31" ht="14.4" customHeight="1" x14ac:dyDescent="0.3">
      <c r="A946" t="s">
        <v>2453</v>
      </c>
      <c r="B946" t="s">
        <v>2454</v>
      </c>
      <c r="C946"/>
      <c r="D946"/>
      <c r="E946"/>
      <c r="F946"/>
      <c r="G946" t="s">
        <v>2162</v>
      </c>
      <c r="H946" t="s">
        <v>132</v>
      </c>
      <c r="I946" t="s">
        <v>2</v>
      </c>
      <c r="J946" t="s">
        <v>133</v>
      </c>
      <c r="K946" t="s">
        <v>52</v>
      </c>
      <c r="L946" t="s">
        <v>2455</v>
      </c>
      <c r="M946" t="s">
        <v>134</v>
      </c>
      <c r="N946" t="s">
        <v>135</v>
      </c>
      <c r="O946"/>
      <c r="P946"/>
      <c r="Q946" t="s">
        <v>168</v>
      </c>
      <c r="R946"/>
      <c r="S946"/>
      <c r="T946" t="s">
        <v>2165</v>
      </c>
      <c r="U946" t="s">
        <v>137</v>
      </c>
      <c r="V946" t="s">
        <v>153</v>
      </c>
      <c r="W946"/>
      <c r="X946" t="s">
        <v>88</v>
      </c>
      <c r="Y946"/>
      <c r="Z946"/>
      <c r="AA946" t="s">
        <v>2163</v>
      </c>
      <c r="AB946" t="s">
        <v>2</v>
      </c>
      <c r="AC946" t="s">
        <v>138</v>
      </c>
      <c r="AD946" t="s">
        <v>129</v>
      </c>
      <c r="AE946" s="97"/>
    </row>
    <row r="947" spans="1:31" ht="14.4" customHeight="1" x14ac:dyDescent="0.3">
      <c r="A947" t="s">
        <v>2456</v>
      </c>
      <c r="B947" t="s">
        <v>2457</v>
      </c>
      <c r="C947"/>
      <c r="D947"/>
      <c r="E947"/>
      <c r="F947"/>
      <c r="G947" t="s">
        <v>2162</v>
      </c>
      <c r="H947" t="s">
        <v>132</v>
      </c>
      <c r="I947" t="s">
        <v>2</v>
      </c>
      <c r="J947" t="s">
        <v>133</v>
      </c>
      <c r="K947" t="s">
        <v>52</v>
      </c>
      <c r="L947" t="s">
        <v>2458</v>
      </c>
      <c r="M947" t="s">
        <v>134</v>
      </c>
      <c r="N947" t="s">
        <v>135</v>
      </c>
      <c r="O947"/>
      <c r="P947"/>
      <c r="Q947" t="s">
        <v>168</v>
      </c>
      <c r="R947"/>
      <c r="S947"/>
      <c r="T947" t="s">
        <v>2165</v>
      </c>
      <c r="U947" t="s">
        <v>137</v>
      </c>
      <c r="V947" t="s">
        <v>153</v>
      </c>
      <c r="W947"/>
      <c r="X947" t="s">
        <v>88</v>
      </c>
      <c r="Y947"/>
      <c r="Z947"/>
      <c r="AA947" t="s">
        <v>2163</v>
      </c>
      <c r="AB947" t="s">
        <v>2</v>
      </c>
      <c r="AC947" t="s">
        <v>138</v>
      </c>
      <c r="AD947" t="s">
        <v>129</v>
      </c>
      <c r="AE947" s="97"/>
    </row>
    <row r="948" spans="1:31" ht="14.4" customHeight="1" x14ac:dyDescent="0.3">
      <c r="A948" t="s">
        <v>2459</v>
      </c>
      <c r="B948" t="s">
        <v>2460</v>
      </c>
      <c r="C948"/>
      <c r="D948"/>
      <c r="E948"/>
      <c r="F948"/>
      <c r="G948" t="s">
        <v>2162</v>
      </c>
      <c r="H948" t="s">
        <v>132</v>
      </c>
      <c r="I948" t="s">
        <v>2</v>
      </c>
      <c r="J948" t="s">
        <v>133</v>
      </c>
      <c r="K948" t="s">
        <v>52</v>
      </c>
      <c r="L948" t="s">
        <v>2461</v>
      </c>
      <c r="M948" t="s">
        <v>134</v>
      </c>
      <c r="N948" t="s">
        <v>135</v>
      </c>
      <c r="O948"/>
      <c r="P948"/>
      <c r="Q948" t="s">
        <v>168</v>
      </c>
      <c r="R948"/>
      <c r="S948"/>
      <c r="T948" t="s">
        <v>2165</v>
      </c>
      <c r="U948" t="s">
        <v>137</v>
      </c>
      <c r="V948" t="s">
        <v>156</v>
      </c>
      <c r="W948"/>
      <c r="X948" t="s">
        <v>97</v>
      </c>
      <c r="Y948"/>
      <c r="Z948"/>
      <c r="AA948" t="s">
        <v>2163</v>
      </c>
      <c r="AB948" t="s">
        <v>2</v>
      </c>
      <c r="AC948" t="s">
        <v>138</v>
      </c>
      <c r="AD948" t="s">
        <v>129</v>
      </c>
      <c r="AE948" s="97"/>
    </row>
    <row r="949" spans="1:31" ht="14.4" customHeight="1" x14ac:dyDescent="0.3">
      <c r="A949" t="s">
        <v>2462</v>
      </c>
      <c r="B949" t="s">
        <v>2463</v>
      </c>
      <c r="C949"/>
      <c r="D949"/>
      <c r="E949"/>
      <c r="F949"/>
      <c r="G949" t="s">
        <v>2162</v>
      </c>
      <c r="H949" t="s">
        <v>132</v>
      </c>
      <c r="I949" t="s">
        <v>2</v>
      </c>
      <c r="J949" t="s">
        <v>133</v>
      </c>
      <c r="K949" t="s">
        <v>52</v>
      </c>
      <c r="L949" t="s">
        <v>2464</v>
      </c>
      <c r="M949" t="s">
        <v>134</v>
      </c>
      <c r="N949" t="s">
        <v>135</v>
      </c>
      <c r="O949"/>
      <c r="P949"/>
      <c r="Q949" t="s">
        <v>168</v>
      </c>
      <c r="R949"/>
      <c r="S949"/>
      <c r="T949" t="s">
        <v>2165</v>
      </c>
      <c r="U949" t="s">
        <v>137</v>
      </c>
      <c r="V949" t="s">
        <v>156</v>
      </c>
      <c r="W949"/>
      <c r="X949" t="s">
        <v>97</v>
      </c>
      <c r="Y949"/>
      <c r="Z949"/>
      <c r="AA949" t="s">
        <v>2163</v>
      </c>
      <c r="AB949" t="s">
        <v>2</v>
      </c>
      <c r="AC949" t="s">
        <v>138</v>
      </c>
      <c r="AD949" t="s">
        <v>129</v>
      </c>
      <c r="AE949" s="97"/>
    </row>
    <row r="950" spans="1:31" ht="14.4" customHeight="1" x14ac:dyDescent="0.3">
      <c r="A950" t="s">
        <v>2465</v>
      </c>
      <c r="B950" t="s">
        <v>2466</v>
      </c>
      <c r="C950"/>
      <c r="D950"/>
      <c r="E950"/>
      <c r="F950"/>
      <c r="G950" t="s">
        <v>2162</v>
      </c>
      <c r="H950" t="s">
        <v>132</v>
      </c>
      <c r="I950" t="s">
        <v>2</v>
      </c>
      <c r="J950" t="s">
        <v>133</v>
      </c>
      <c r="K950" t="s">
        <v>52</v>
      </c>
      <c r="L950" t="s">
        <v>2467</v>
      </c>
      <c r="M950" t="s">
        <v>134</v>
      </c>
      <c r="N950" t="s">
        <v>135</v>
      </c>
      <c r="O950"/>
      <c r="P950"/>
      <c r="Q950" t="s">
        <v>168</v>
      </c>
      <c r="R950"/>
      <c r="S950"/>
      <c r="T950" t="s">
        <v>2165</v>
      </c>
      <c r="U950" t="s">
        <v>137</v>
      </c>
      <c r="V950" t="s">
        <v>156</v>
      </c>
      <c r="W950"/>
      <c r="X950" t="s">
        <v>97</v>
      </c>
      <c r="Y950"/>
      <c r="Z950"/>
      <c r="AA950" t="s">
        <v>2163</v>
      </c>
      <c r="AB950" t="s">
        <v>2</v>
      </c>
      <c r="AC950" t="s">
        <v>138</v>
      </c>
      <c r="AD950" t="s">
        <v>129</v>
      </c>
      <c r="AE950" s="97"/>
    </row>
    <row r="951" spans="1:31" ht="14.4" customHeight="1" x14ac:dyDescent="0.3">
      <c r="A951" t="s">
        <v>2468</v>
      </c>
      <c r="B951" t="s">
        <v>2469</v>
      </c>
      <c r="C951"/>
      <c r="D951"/>
      <c r="E951"/>
      <c r="F951"/>
      <c r="G951" t="s">
        <v>2162</v>
      </c>
      <c r="H951" t="s">
        <v>132</v>
      </c>
      <c r="I951" t="s">
        <v>2</v>
      </c>
      <c r="J951" t="s">
        <v>133</v>
      </c>
      <c r="K951" t="s">
        <v>52</v>
      </c>
      <c r="L951" t="s">
        <v>2470</v>
      </c>
      <c r="M951" t="s">
        <v>134</v>
      </c>
      <c r="N951" t="s">
        <v>135</v>
      </c>
      <c r="O951"/>
      <c r="P951"/>
      <c r="Q951" t="s">
        <v>168</v>
      </c>
      <c r="R951"/>
      <c r="S951"/>
      <c r="T951" t="s">
        <v>2165</v>
      </c>
      <c r="U951" t="s">
        <v>137</v>
      </c>
      <c r="V951" t="s">
        <v>156</v>
      </c>
      <c r="W951"/>
      <c r="X951" t="s">
        <v>97</v>
      </c>
      <c r="Y951"/>
      <c r="Z951"/>
      <c r="AA951" t="s">
        <v>2163</v>
      </c>
      <c r="AB951" t="s">
        <v>2</v>
      </c>
      <c r="AC951" t="s">
        <v>138</v>
      </c>
      <c r="AD951" t="s">
        <v>129</v>
      </c>
      <c r="AE951" s="97"/>
    </row>
    <row r="952" spans="1:31" ht="14.4" customHeight="1" x14ac:dyDescent="0.3">
      <c r="A952" t="s">
        <v>2471</v>
      </c>
      <c r="B952" t="s">
        <v>2472</v>
      </c>
      <c r="C952"/>
      <c r="D952"/>
      <c r="E952"/>
      <c r="F952"/>
      <c r="G952" t="s">
        <v>2162</v>
      </c>
      <c r="H952" t="s">
        <v>132</v>
      </c>
      <c r="I952" t="s">
        <v>2</v>
      </c>
      <c r="J952" t="s">
        <v>133</v>
      </c>
      <c r="K952" t="s">
        <v>52</v>
      </c>
      <c r="L952" t="s">
        <v>2473</v>
      </c>
      <c r="M952" t="s">
        <v>134</v>
      </c>
      <c r="N952" t="s">
        <v>135</v>
      </c>
      <c r="O952"/>
      <c r="P952"/>
      <c r="Q952" t="s">
        <v>168</v>
      </c>
      <c r="R952"/>
      <c r="S952"/>
      <c r="T952" t="s">
        <v>2165</v>
      </c>
      <c r="U952" t="s">
        <v>137</v>
      </c>
      <c r="V952" t="s">
        <v>159</v>
      </c>
      <c r="W952"/>
      <c r="X952" t="s">
        <v>106</v>
      </c>
      <c r="Y952"/>
      <c r="Z952"/>
      <c r="AA952" t="s">
        <v>2163</v>
      </c>
      <c r="AB952" t="s">
        <v>2</v>
      </c>
      <c r="AC952" t="s">
        <v>138</v>
      </c>
      <c r="AD952" t="s">
        <v>129</v>
      </c>
      <c r="AE952" s="97"/>
    </row>
    <row r="953" spans="1:31" ht="14.4" customHeight="1" x14ac:dyDescent="0.3">
      <c r="A953" t="s">
        <v>2474</v>
      </c>
      <c r="B953" t="s">
        <v>2475</v>
      </c>
      <c r="C953"/>
      <c r="D953"/>
      <c r="E953"/>
      <c r="F953"/>
      <c r="G953" t="s">
        <v>2162</v>
      </c>
      <c r="H953" t="s">
        <v>132</v>
      </c>
      <c r="I953" t="s">
        <v>2</v>
      </c>
      <c r="J953" t="s">
        <v>133</v>
      </c>
      <c r="K953" t="s">
        <v>52</v>
      </c>
      <c r="L953" t="s">
        <v>2476</v>
      </c>
      <c r="M953" t="s">
        <v>134</v>
      </c>
      <c r="N953" t="s">
        <v>135</v>
      </c>
      <c r="O953"/>
      <c r="P953"/>
      <c r="Q953" t="s">
        <v>168</v>
      </c>
      <c r="R953"/>
      <c r="S953"/>
      <c r="T953" t="s">
        <v>2165</v>
      </c>
      <c r="U953" t="s">
        <v>137</v>
      </c>
      <c r="V953" t="s">
        <v>159</v>
      </c>
      <c r="W953"/>
      <c r="X953" t="s">
        <v>106</v>
      </c>
      <c r="Y953"/>
      <c r="Z953"/>
      <c r="AA953" t="s">
        <v>2163</v>
      </c>
      <c r="AB953" t="s">
        <v>2</v>
      </c>
      <c r="AC953" t="s">
        <v>138</v>
      </c>
      <c r="AD953" t="s">
        <v>129</v>
      </c>
      <c r="AE953" s="97"/>
    </row>
    <row r="954" spans="1:31" ht="14.4" customHeight="1" x14ac:dyDescent="0.3">
      <c r="A954" t="s">
        <v>2477</v>
      </c>
      <c r="B954" t="s">
        <v>2478</v>
      </c>
      <c r="C954"/>
      <c r="D954"/>
      <c r="E954"/>
      <c r="F954"/>
      <c r="G954" t="s">
        <v>2162</v>
      </c>
      <c r="H954" t="s">
        <v>132</v>
      </c>
      <c r="I954" t="s">
        <v>2</v>
      </c>
      <c r="J954" t="s">
        <v>133</v>
      </c>
      <c r="K954" t="s">
        <v>52</v>
      </c>
      <c r="L954" t="s">
        <v>2479</v>
      </c>
      <c r="M954" t="s">
        <v>134</v>
      </c>
      <c r="N954" t="s">
        <v>135</v>
      </c>
      <c r="O954"/>
      <c r="P954"/>
      <c r="Q954" t="s">
        <v>168</v>
      </c>
      <c r="R954"/>
      <c r="S954"/>
      <c r="T954" t="s">
        <v>2165</v>
      </c>
      <c r="U954" t="s">
        <v>137</v>
      </c>
      <c r="V954" t="s">
        <v>159</v>
      </c>
      <c r="W954"/>
      <c r="X954" t="s">
        <v>106</v>
      </c>
      <c r="Y954"/>
      <c r="Z954"/>
      <c r="AA954" t="s">
        <v>2163</v>
      </c>
      <c r="AB954" t="s">
        <v>2</v>
      </c>
      <c r="AC954" t="s">
        <v>138</v>
      </c>
      <c r="AD954" t="s">
        <v>129</v>
      </c>
      <c r="AE954" s="97"/>
    </row>
    <row r="955" spans="1:31" ht="14.4" customHeight="1" x14ac:dyDescent="0.3">
      <c r="A955" t="s">
        <v>2480</v>
      </c>
      <c r="B955" t="s">
        <v>2481</v>
      </c>
      <c r="C955"/>
      <c r="D955"/>
      <c r="E955"/>
      <c r="F955"/>
      <c r="G955" t="s">
        <v>2162</v>
      </c>
      <c r="H955" t="s">
        <v>132</v>
      </c>
      <c r="I955" t="s">
        <v>2</v>
      </c>
      <c r="J955" t="s">
        <v>133</v>
      </c>
      <c r="K955" t="s">
        <v>52</v>
      </c>
      <c r="L955" t="s">
        <v>2482</v>
      </c>
      <c r="M955" t="s">
        <v>134</v>
      </c>
      <c r="N955" t="s">
        <v>135</v>
      </c>
      <c r="O955"/>
      <c r="P955"/>
      <c r="Q955" t="s">
        <v>168</v>
      </c>
      <c r="R955"/>
      <c r="S955"/>
      <c r="T955" t="s">
        <v>2165</v>
      </c>
      <c r="U955" t="s">
        <v>137</v>
      </c>
      <c r="V955" t="s">
        <v>159</v>
      </c>
      <c r="W955"/>
      <c r="X955" t="s">
        <v>106</v>
      </c>
      <c r="Y955"/>
      <c r="Z955"/>
      <c r="AA955" t="s">
        <v>2163</v>
      </c>
      <c r="AB955" t="s">
        <v>2</v>
      </c>
      <c r="AC955" t="s">
        <v>138</v>
      </c>
      <c r="AD955" t="s">
        <v>129</v>
      </c>
      <c r="AE955" s="97"/>
    </row>
    <row r="956" spans="1:31" ht="14.4" customHeight="1" x14ac:dyDescent="0.3">
      <c r="A956" t="s">
        <v>2483</v>
      </c>
      <c r="B956" t="s">
        <v>2484</v>
      </c>
      <c r="C956"/>
      <c r="D956"/>
      <c r="E956"/>
      <c r="F956"/>
      <c r="G956" t="s">
        <v>2162</v>
      </c>
      <c r="H956" t="s">
        <v>132</v>
      </c>
      <c r="I956" t="s">
        <v>2</v>
      </c>
      <c r="J956" t="s">
        <v>133</v>
      </c>
      <c r="K956" t="s">
        <v>52</v>
      </c>
      <c r="L956" t="s">
        <v>2485</v>
      </c>
      <c r="M956" t="s">
        <v>134</v>
      </c>
      <c r="N956" t="s">
        <v>135</v>
      </c>
      <c r="O956"/>
      <c r="P956"/>
      <c r="Q956" t="s">
        <v>168</v>
      </c>
      <c r="R956"/>
      <c r="S956"/>
      <c r="T956" t="s">
        <v>2165</v>
      </c>
      <c r="U956" t="s">
        <v>137</v>
      </c>
      <c r="V956" t="s">
        <v>162</v>
      </c>
      <c r="W956"/>
      <c r="X956" t="s">
        <v>113</v>
      </c>
      <c r="Y956"/>
      <c r="Z956"/>
      <c r="AA956" t="s">
        <v>2163</v>
      </c>
      <c r="AB956" t="s">
        <v>2</v>
      </c>
      <c r="AC956" t="s">
        <v>138</v>
      </c>
      <c r="AD956" t="s">
        <v>129</v>
      </c>
      <c r="AE956" s="97"/>
    </row>
    <row r="957" spans="1:31" ht="14.4" customHeight="1" x14ac:dyDescent="0.3">
      <c r="A957" t="s">
        <v>2486</v>
      </c>
      <c r="B957" t="s">
        <v>2487</v>
      </c>
      <c r="C957"/>
      <c r="D957"/>
      <c r="E957"/>
      <c r="F957"/>
      <c r="G957" t="s">
        <v>2162</v>
      </c>
      <c r="H957" t="s">
        <v>132</v>
      </c>
      <c r="I957" t="s">
        <v>2</v>
      </c>
      <c r="J957" t="s">
        <v>133</v>
      </c>
      <c r="K957" t="s">
        <v>52</v>
      </c>
      <c r="L957" t="s">
        <v>2488</v>
      </c>
      <c r="M957" t="s">
        <v>134</v>
      </c>
      <c r="N957" t="s">
        <v>135</v>
      </c>
      <c r="O957"/>
      <c r="P957"/>
      <c r="Q957" t="s">
        <v>168</v>
      </c>
      <c r="R957"/>
      <c r="S957"/>
      <c r="T957" t="s">
        <v>2165</v>
      </c>
      <c r="U957" t="s">
        <v>137</v>
      </c>
      <c r="V957" t="s">
        <v>162</v>
      </c>
      <c r="W957"/>
      <c r="X957" t="s">
        <v>113</v>
      </c>
      <c r="Y957"/>
      <c r="Z957"/>
      <c r="AA957" t="s">
        <v>2163</v>
      </c>
      <c r="AB957" t="s">
        <v>2</v>
      </c>
      <c r="AC957" t="s">
        <v>138</v>
      </c>
      <c r="AD957" t="s">
        <v>129</v>
      </c>
      <c r="AE957" s="97"/>
    </row>
    <row r="958" spans="1:31" ht="14.4" customHeight="1" x14ac:dyDescent="0.3">
      <c r="A958" t="s">
        <v>2489</v>
      </c>
      <c r="B958" t="s">
        <v>2490</v>
      </c>
      <c r="C958"/>
      <c r="D958"/>
      <c r="E958"/>
      <c r="F958"/>
      <c r="G958" t="s">
        <v>2162</v>
      </c>
      <c r="H958" t="s">
        <v>132</v>
      </c>
      <c r="I958" t="s">
        <v>2</v>
      </c>
      <c r="J958" t="s">
        <v>133</v>
      </c>
      <c r="K958" t="s">
        <v>52</v>
      </c>
      <c r="L958" t="s">
        <v>2491</v>
      </c>
      <c r="M958" t="s">
        <v>134</v>
      </c>
      <c r="N958" t="s">
        <v>135</v>
      </c>
      <c r="O958"/>
      <c r="P958"/>
      <c r="Q958" t="s">
        <v>168</v>
      </c>
      <c r="R958"/>
      <c r="S958"/>
      <c r="T958" t="s">
        <v>2165</v>
      </c>
      <c r="U958" t="s">
        <v>137</v>
      </c>
      <c r="V958" t="s">
        <v>162</v>
      </c>
      <c r="W958"/>
      <c r="X958" t="s">
        <v>113</v>
      </c>
      <c r="Y958"/>
      <c r="Z958"/>
      <c r="AA958" t="s">
        <v>2163</v>
      </c>
      <c r="AB958" t="s">
        <v>2</v>
      </c>
      <c r="AC958" t="s">
        <v>138</v>
      </c>
      <c r="AD958" t="s">
        <v>129</v>
      </c>
      <c r="AE958" s="97"/>
    </row>
    <row r="959" spans="1:31" ht="14.4" customHeight="1" x14ac:dyDescent="0.3">
      <c r="A959" t="s">
        <v>2492</v>
      </c>
      <c r="B959" t="s">
        <v>2493</v>
      </c>
      <c r="C959"/>
      <c r="D959"/>
      <c r="E959"/>
      <c r="F959"/>
      <c r="G959" t="s">
        <v>2162</v>
      </c>
      <c r="H959" t="s">
        <v>132</v>
      </c>
      <c r="I959" t="s">
        <v>2</v>
      </c>
      <c r="J959" t="s">
        <v>133</v>
      </c>
      <c r="K959" t="s">
        <v>52</v>
      </c>
      <c r="L959" t="s">
        <v>2494</v>
      </c>
      <c r="M959" t="s">
        <v>134</v>
      </c>
      <c r="N959" t="s">
        <v>135</v>
      </c>
      <c r="O959"/>
      <c r="P959"/>
      <c r="Q959" t="s">
        <v>168</v>
      </c>
      <c r="R959"/>
      <c r="S959"/>
      <c r="T959" t="s">
        <v>2165</v>
      </c>
      <c r="U959" t="s">
        <v>137</v>
      </c>
      <c r="V959" t="s">
        <v>162</v>
      </c>
      <c r="W959"/>
      <c r="X959" t="s">
        <v>113</v>
      </c>
      <c r="Y959"/>
      <c r="Z959"/>
      <c r="AA959" t="s">
        <v>2163</v>
      </c>
      <c r="AB959" t="s">
        <v>2</v>
      </c>
      <c r="AC959" t="s">
        <v>138</v>
      </c>
      <c r="AD959" t="s">
        <v>129</v>
      </c>
      <c r="AE959" s="97"/>
    </row>
    <row r="960" spans="1:31" ht="14.4" customHeight="1" x14ac:dyDescent="0.3">
      <c r="A960" t="s">
        <v>2495</v>
      </c>
      <c r="B960" t="s">
        <v>2496</v>
      </c>
      <c r="C960"/>
      <c r="D960"/>
      <c r="E960"/>
      <c r="F960"/>
      <c r="G960" t="s">
        <v>2162</v>
      </c>
      <c r="H960" t="s">
        <v>132</v>
      </c>
      <c r="I960" t="s">
        <v>2</v>
      </c>
      <c r="J960" t="s">
        <v>133</v>
      </c>
      <c r="K960" t="s">
        <v>52</v>
      </c>
      <c r="L960" t="s">
        <v>2497</v>
      </c>
      <c r="M960" t="s">
        <v>134</v>
      </c>
      <c r="N960" t="s">
        <v>135</v>
      </c>
      <c r="O960"/>
      <c r="P960"/>
      <c r="Q960" t="s">
        <v>168</v>
      </c>
      <c r="R960"/>
      <c r="S960"/>
      <c r="T960" t="s">
        <v>2165</v>
      </c>
      <c r="U960" t="s">
        <v>137</v>
      </c>
      <c r="V960" t="s">
        <v>165</v>
      </c>
      <c r="W960"/>
      <c r="X960" t="s">
        <v>122</v>
      </c>
      <c r="Y960"/>
      <c r="Z960"/>
      <c r="AA960" t="s">
        <v>2163</v>
      </c>
      <c r="AB960" t="s">
        <v>2</v>
      </c>
      <c r="AC960" t="s">
        <v>138</v>
      </c>
      <c r="AD960" t="s">
        <v>130</v>
      </c>
      <c r="AE960" s="97"/>
    </row>
    <row r="961" spans="1:31" ht="14.4" customHeight="1" x14ac:dyDescent="0.3">
      <c r="A961" t="s">
        <v>2498</v>
      </c>
      <c r="B961" t="s">
        <v>2499</v>
      </c>
      <c r="C961"/>
      <c r="D961"/>
      <c r="E961"/>
      <c r="F961"/>
      <c r="G961" t="s">
        <v>2162</v>
      </c>
      <c r="H961" t="s">
        <v>132</v>
      </c>
      <c r="I961" t="s">
        <v>2</v>
      </c>
      <c r="J961" t="s">
        <v>133</v>
      </c>
      <c r="K961" t="s">
        <v>52</v>
      </c>
      <c r="L961" t="s">
        <v>2500</v>
      </c>
      <c r="M961" t="s">
        <v>134</v>
      </c>
      <c r="N961" t="s">
        <v>135</v>
      </c>
      <c r="O961"/>
      <c r="P961"/>
      <c r="Q961" t="s">
        <v>168</v>
      </c>
      <c r="R961"/>
      <c r="S961"/>
      <c r="T961" t="s">
        <v>2165</v>
      </c>
      <c r="U961" t="s">
        <v>137</v>
      </c>
      <c r="V961" t="s">
        <v>165</v>
      </c>
      <c r="W961"/>
      <c r="X961" t="s">
        <v>122</v>
      </c>
      <c r="Y961"/>
      <c r="Z961"/>
      <c r="AA961" t="s">
        <v>2163</v>
      </c>
      <c r="AB961" t="s">
        <v>2</v>
      </c>
      <c r="AC961" t="s">
        <v>138</v>
      </c>
      <c r="AD961" t="s">
        <v>130</v>
      </c>
      <c r="AE961" s="97"/>
    </row>
    <row r="962" spans="1:31" ht="14.4" customHeight="1" x14ac:dyDescent="0.3">
      <c r="A962" t="s">
        <v>2501</v>
      </c>
      <c r="B962" t="s">
        <v>2502</v>
      </c>
      <c r="C962"/>
      <c r="D962"/>
      <c r="E962"/>
      <c r="F962"/>
      <c r="G962" t="s">
        <v>2162</v>
      </c>
      <c r="H962" t="s">
        <v>132</v>
      </c>
      <c r="I962" t="s">
        <v>2</v>
      </c>
      <c r="J962" t="s">
        <v>133</v>
      </c>
      <c r="K962" t="s">
        <v>52</v>
      </c>
      <c r="L962" t="s">
        <v>2503</v>
      </c>
      <c r="M962" t="s">
        <v>134</v>
      </c>
      <c r="N962" t="s">
        <v>135</v>
      </c>
      <c r="O962"/>
      <c r="P962"/>
      <c r="Q962" t="s">
        <v>168</v>
      </c>
      <c r="R962"/>
      <c r="S962"/>
      <c r="T962" t="s">
        <v>2165</v>
      </c>
      <c r="U962" t="s">
        <v>137</v>
      </c>
      <c r="V962" t="s">
        <v>165</v>
      </c>
      <c r="W962"/>
      <c r="X962" t="s">
        <v>122</v>
      </c>
      <c r="Y962"/>
      <c r="Z962"/>
      <c r="AA962" t="s">
        <v>2163</v>
      </c>
      <c r="AB962" t="s">
        <v>2</v>
      </c>
      <c r="AC962" t="s">
        <v>138</v>
      </c>
      <c r="AD962" t="s">
        <v>130</v>
      </c>
      <c r="AE962" s="97"/>
    </row>
    <row r="963" spans="1:31" ht="14.4" customHeight="1" x14ac:dyDescent="0.3">
      <c r="A963" t="s">
        <v>2504</v>
      </c>
      <c r="B963" t="s">
        <v>2505</v>
      </c>
      <c r="C963"/>
      <c r="D963"/>
      <c r="E963"/>
      <c r="F963"/>
      <c r="G963" t="s">
        <v>2162</v>
      </c>
      <c r="H963" t="s">
        <v>132</v>
      </c>
      <c r="I963" t="s">
        <v>2</v>
      </c>
      <c r="J963" t="s">
        <v>133</v>
      </c>
      <c r="K963" t="s">
        <v>52</v>
      </c>
      <c r="L963" t="s">
        <v>2506</v>
      </c>
      <c r="M963" t="s">
        <v>134</v>
      </c>
      <c r="N963" t="s">
        <v>135</v>
      </c>
      <c r="O963"/>
      <c r="P963"/>
      <c r="Q963" t="s">
        <v>168</v>
      </c>
      <c r="R963"/>
      <c r="S963"/>
      <c r="T963" t="s">
        <v>2165</v>
      </c>
      <c r="U963" t="s">
        <v>137</v>
      </c>
      <c r="V963" t="s">
        <v>165</v>
      </c>
      <c r="W963"/>
      <c r="X963" t="s">
        <v>122</v>
      </c>
      <c r="Y963"/>
      <c r="Z963"/>
      <c r="AA963" t="s">
        <v>2163</v>
      </c>
      <c r="AB963" t="s">
        <v>2</v>
      </c>
      <c r="AC963" t="s">
        <v>138</v>
      </c>
      <c r="AD963" t="s">
        <v>130</v>
      </c>
      <c r="AE963" s="97"/>
    </row>
    <row r="964" spans="1:31" ht="14.4" customHeight="1" x14ac:dyDescent="0.3">
      <c r="A964" t="s">
        <v>2507</v>
      </c>
      <c r="B964" t="s">
        <v>2508</v>
      </c>
      <c r="C964"/>
      <c r="D964"/>
      <c r="E964"/>
      <c r="F964"/>
      <c r="G964" t="s">
        <v>2162</v>
      </c>
      <c r="H964" t="s">
        <v>132</v>
      </c>
      <c r="I964" t="s">
        <v>2</v>
      </c>
      <c r="J964" t="s">
        <v>133</v>
      </c>
      <c r="K964" t="s">
        <v>52</v>
      </c>
      <c r="L964" t="s">
        <v>2509</v>
      </c>
      <c r="M964" t="s">
        <v>134</v>
      </c>
      <c r="N964" t="s">
        <v>135</v>
      </c>
      <c r="O964"/>
      <c r="P964"/>
      <c r="Q964" t="s">
        <v>168</v>
      </c>
      <c r="R964"/>
      <c r="S964"/>
      <c r="T964" t="s">
        <v>2165</v>
      </c>
      <c r="U964" t="s">
        <v>137</v>
      </c>
      <c r="V964" t="s">
        <v>147</v>
      </c>
      <c r="W964"/>
      <c r="X964" t="s">
        <v>70</v>
      </c>
      <c r="Y964"/>
      <c r="Z964"/>
      <c r="AA964" t="s">
        <v>2163</v>
      </c>
      <c r="AB964" t="s">
        <v>2</v>
      </c>
      <c r="AC964" t="s">
        <v>138</v>
      </c>
      <c r="AD964" t="s">
        <v>128</v>
      </c>
      <c r="AE964" s="97"/>
    </row>
    <row r="965" spans="1:31" ht="14.4" customHeight="1" x14ac:dyDescent="0.3">
      <c r="A965" t="s">
        <v>2510</v>
      </c>
      <c r="B965" t="s">
        <v>2511</v>
      </c>
      <c r="C965"/>
      <c r="D965"/>
      <c r="E965"/>
      <c r="F965"/>
      <c r="G965" t="s">
        <v>2162</v>
      </c>
      <c r="H965" t="s">
        <v>132</v>
      </c>
      <c r="I965" t="s">
        <v>2</v>
      </c>
      <c r="J965" t="s">
        <v>133</v>
      </c>
      <c r="K965" t="s">
        <v>52</v>
      </c>
      <c r="L965" t="s">
        <v>2509</v>
      </c>
      <c r="M965" t="s">
        <v>134</v>
      </c>
      <c r="N965" t="s">
        <v>135</v>
      </c>
      <c r="O965"/>
      <c r="P965"/>
      <c r="Q965" t="s">
        <v>168</v>
      </c>
      <c r="R965"/>
      <c r="S965"/>
      <c r="T965" t="s">
        <v>2165</v>
      </c>
      <c r="U965" t="s">
        <v>137</v>
      </c>
      <c r="V965" t="s">
        <v>147</v>
      </c>
      <c r="W965"/>
      <c r="X965" t="s">
        <v>70</v>
      </c>
      <c r="Y965"/>
      <c r="Z965"/>
      <c r="AA965" t="s">
        <v>2163</v>
      </c>
      <c r="AB965" t="s">
        <v>2</v>
      </c>
      <c r="AC965" t="s">
        <v>138</v>
      </c>
      <c r="AD965" t="s">
        <v>128</v>
      </c>
      <c r="AE965" s="97"/>
    </row>
    <row r="966" spans="1:31" ht="14.4" customHeight="1" x14ac:dyDescent="0.3">
      <c r="A966" t="s">
        <v>2512</v>
      </c>
      <c r="B966" t="s">
        <v>2513</v>
      </c>
      <c r="C966"/>
      <c r="D966"/>
      <c r="E966"/>
      <c r="F966"/>
      <c r="G966" t="s">
        <v>2162</v>
      </c>
      <c r="H966" t="s">
        <v>132</v>
      </c>
      <c r="I966" t="s">
        <v>2</v>
      </c>
      <c r="J966" t="s">
        <v>133</v>
      </c>
      <c r="K966" t="s">
        <v>52</v>
      </c>
      <c r="L966" t="s">
        <v>2509</v>
      </c>
      <c r="M966" t="s">
        <v>134</v>
      </c>
      <c r="N966" t="s">
        <v>135</v>
      </c>
      <c r="O966"/>
      <c r="P966"/>
      <c r="Q966" t="s">
        <v>168</v>
      </c>
      <c r="R966"/>
      <c r="S966"/>
      <c r="T966" t="s">
        <v>2165</v>
      </c>
      <c r="U966" t="s">
        <v>137</v>
      </c>
      <c r="V966" t="s">
        <v>147</v>
      </c>
      <c r="W966"/>
      <c r="X966" t="s">
        <v>70</v>
      </c>
      <c r="Y966"/>
      <c r="Z966"/>
      <c r="AA966" t="s">
        <v>2163</v>
      </c>
      <c r="AB966" t="s">
        <v>2</v>
      </c>
      <c r="AC966" t="s">
        <v>138</v>
      </c>
      <c r="AD966" t="s">
        <v>128</v>
      </c>
      <c r="AE966" s="97"/>
    </row>
    <row r="967" spans="1:31" ht="14.4" customHeight="1" x14ac:dyDescent="0.3">
      <c r="A967" t="s">
        <v>2514</v>
      </c>
      <c r="B967" t="s">
        <v>2515</v>
      </c>
      <c r="C967"/>
      <c r="D967"/>
      <c r="E967"/>
      <c r="F967"/>
      <c r="G967" t="s">
        <v>2162</v>
      </c>
      <c r="H967" t="s">
        <v>132</v>
      </c>
      <c r="I967" t="s">
        <v>2</v>
      </c>
      <c r="J967" t="s">
        <v>133</v>
      </c>
      <c r="K967" t="s">
        <v>52</v>
      </c>
      <c r="L967" t="s">
        <v>2516</v>
      </c>
      <c r="M967" t="s">
        <v>134</v>
      </c>
      <c r="N967" t="s">
        <v>135</v>
      </c>
      <c r="O967"/>
      <c r="P967"/>
      <c r="Q967" t="s">
        <v>168</v>
      </c>
      <c r="R967"/>
      <c r="S967"/>
      <c r="T967" t="s">
        <v>2165</v>
      </c>
      <c r="U967" t="s">
        <v>137</v>
      </c>
      <c r="V967" t="s">
        <v>147</v>
      </c>
      <c r="W967"/>
      <c r="X967" t="s">
        <v>70</v>
      </c>
      <c r="Y967"/>
      <c r="Z967"/>
      <c r="AA967" t="s">
        <v>2163</v>
      </c>
      <c r="AB967" t="s">
        <v>2</v>
      </c>
      <c r="AC967" t="s">
        <v>138</v>
      </c>
      <c r="AD967" t="s">
        <v>128</v>
      </c>
      <c r="AE967" s="97"/>
    </row>
    <row r="968" spans="1:31" ht="14.4" customHeight="1" x14ac:dyDescent="0.3">
      <c r="A968" t="s">
        <v>2517</v>
      </c>
      <c r="B968" t="s">
        <v>2518</v>
      </c>
      <c r="C968"/>
      <c r="D968"/>
      <c r="E968"/>
      <c r="F968"/>
      <c r="G968" t="s">
        <v>2162</v>
      </c>
      <c r="H968" t="s">
        <v>132</v>
      </c>
      <c r="I968" t="s">
        <v>2</v>
      </c>
      <c r="J968" t="s">
        <v>133</v>
      </c>
      <c r="K968" t="s">
        <v>52</v>
      </c>
      <c r="L968" t="s">
        <v>2519</v>
      </c>
      <c r="M968" t="s">
        <v>134</v>
      </c>
      <c r="N968" t="s">
        <v>135</v>
      </c>
      <c r="O968"/>
      <c r="P968"/>
      <c r="Q968" t="s">
        <v>168</v>
      </c>
      <c r="R968"/>
      <c r="S968"/>
      <c r="T968" t="s">
        <v>2165</v>
      </c>
      <c r="U968" t="s">
        <v>137</v>
      </c>
      <c r="V968" t="s">
        <v>150</v>
      </c>
      <c r="W968"/>
      <c r="X968" t="s">
        <v>76</v>
      </c>
      <c r="Y968"/>
      <c r="Z968"/>
      <c r="AA968" t="s">
        <v>2163</v>
      </c>
      <c r="AB968" t="s">
        <v>2</v>
      </c>
      <c r="AC968" t="s">
        <v>138</v>
      </c>
      <c r="AD968" t="s">
        <v>128</v>
      </c>
      <c r="AE968" s="97"/>
    </row>
    <row r="969" spans="1:31" ht="14.4" customHeight="1" x14ac:dyDescent="0.3">
      <c r="A969" t="s">
        <v>2520</v>
      </c>
      <c r="B969" t="s">
        <v>2521</v>
      </c>
      <c r="C969"/>
      <c r="D969"/>
      <c r="E969"/>
      <c r="F969"/>
      <c r="G969" t="s">
        <v>2162</v>
      </c>
      <c r="H969" t="s">
        <v>132</v>
      </c>
      <c r="I969" t="s">
        <v>2</v>
      </c>
      <c r="J969" t="s">
        <v>133</v>
      </c>
      <c r="K969" t="s">
        <v>52</v>
      </c>
      <c r="L969" t="s">
        <v>2519</v>
      </c>
      <c r="M969" t="s">
        <v>134</v>
      </c>
      <c r="N969" t="s">
        <v>135</v>
      </c>
      <c r="O969"/>
      <c r="P969"/>
      <c r="Q969" t="s">
        <v>168</v>
      </c>
      <c r="R969"/>
      <c r="S969"/>
      <c r="T969" t="s">
        <v>2165</v>
      </c>
      <c r="U969" t="s">
        <v>137</v>
      </c>
      <c r="V969" t="s">
        <v>150</v>
      </c>
      <c r="W969"/>
      <c r="X969" t="s">
        <v>76</v>
      </c>
      <c r="Y969"/>
      <c r="Z969"/>
      <c r="AA969" t="s">
        <v>2163</v>
      </c>
      <c r="AB969" t="s">
        <v>2</v>
      </c>
      <c r="AC969" t="s">
        <v>138</v>
      </c>
      <c r="AD969" t="s">
        <v>128</v>
      </c>
      <c r="AE969" s="97"/>
    </row>
    <row r="970" spans="1:31" ht="14.4" customHeight="1" x14ac:dyDescent="0.3">
      <c r="A970" t="s">
        <v>2522</v>
      </c>
      <c r="B970" t="s">
        <v>2523</v>
      </c>
      <c r="C970"/>
      <c r="D970"/>
      <c r="E970"/>
      <c r="F970"/>
      <c r="G970" t="s">
        <v>2162</v>
      </c>
      <c r="H970" t="s">
        <v>132</v>
      </c>
      <c r="I970" t="s">
        <v>2</v>
      </c>
      <c r="J970" t="s">
        <v>133</v>
      </c>
      <c r="K970" t="s">
        <v>52</v>
      </c>
      <c r="L970" t="s">
        <v>2519</v>
      </c>
      <c r="M970" t="s">
        <v>134</v>
      </c>
      <c r="N970" t="s">
        <v>135</v>
      </c>
      <c r="O970"/>
      <c r="P970"/>
      <c r="Q970" t="s">
        <v>168</v>
      </c>
      <c r="R970"/>
      <c r="S970"/>
      <c r="T970" t="s">
        <v>2165</v>
      </c>
      <c r="U970" t="s">
        <v>137</v>
      </c>
      <c r="V970" t="s">
        <v>150</v>
      </c>
      <c r="W970"/>
      <c r="X970" t="s">
        <v>76</v>
      </c>
      <c r="Y970"/>
      <c r="Z970"/>
      <c r="AA970" t="s">
        <v>2163</v>
      </c>
      <c r="AB970" t="s">
        <v>2</v>
      </c>
      <c r="AC970" t="s">
        <v>138</v>
      </c>
      <c r="AD970" t="s">
        <v>128</v>
      </c>
      <c r="AE970" s="97"/>
    </row>
    <row r="971" spans="1:31" ht="14.4" customHeight="1" x14ac:dyDescent="0.3">
      <c r="A971" t="s">
        <v>2524</v>
      </c>
      <c r="B971" t="s">
        <v>2525</v>
      </c>
      <c r="C971"/>
      <c r="D971"/>
      <c r="E971"/>
      <c r="F971"/>
      <c r="G971" t="s">
        <v>2162</v>
      </c>
      <c r="H971" t="s">
        <v>132</v>
      </c>
      <c r="I971" t="s">
        <v>2</v>
      </c>
      <c r="J971" t="s">
        <v>133</v>
      </c>
      <c r="K971" t="s">
        <v>52</v>
      </c>
      <c r="L971" t="s">
        <v>2526</v>
      </c>
      <c r="M971" t="s">
        <v>134</v>
      </c>
      <c r="N971" t="s">
        <v>135</v>
      </c>
      <c r="O971"/>
      <c r="P971"/>
      <c r="Q971" t="s">
        <v>168</v>
      </c>
      <c r="R971"/>
      <c r="S971"/>
      <c r="T971" t="s">
        <v>2165</v>
      </c>
      <c r="U971" t="s">
        <v>137</v>
      </c>
      <c r="V971" t="s">
        <v>150</v>
      </c>
      <c r="W971"/>
      <c r="X971" t="s">
        <v>76</v>
      </c>
      <c r="Y971"/>
      <c r="Z971"/>
      <c r="AA971" t="s">
        <v>2163</v>
      </c>
      <c r="AB971" t="s">
        <v>2</v>
      </c>
      <c r="AC971" t="s">
        <v>138</v>
      </c>
      <c r="AD971" t="s">
        <v>128</v>
      </c>
      <c r="AE971" s="97"/>
    </row>
    <row r="972" spans="1:31" ht="14.4" customHeight="1" x14ac:dyDescent="0.3">
      <c r="A972" t="s">
        <v>2527</v>
      </c>
      <c r="B972" t="s">
        <v>2528</v>
      </c>
      <c r="C972"/>
      <c r="D972"/>
      <c r="E972"/>
      <c r="F972"/>
      <c r="G972" t="s">
        <v>2162</v>
      </c>
      <c r="H972" t="s">
        <v>132</v>
      </c>
      <c r="I972" t="s">
        <v>2</v>
      </c>
      <c r="J972" t="s">
        <v>133</v>
      </c>
      <c r="K972" t="s">
        <v>52</v>
      </c>
      <c r="L972" t="s">
        <v>2529</v>
      </c>
      <c r="M972" t="s">
        <v>134</v>
      </c>
      <c r="N972" t="s">
        <v>135</v>
      </c>
      <c r="O972"/>
      <c r="P972"/>
      <c r="Q972" t="s">
        <v>168</v>
      </c>
      <c r="R972"/>
      <c r="S972"/>
      <c r="T972" t="s">
        <v>2165</v>
      </c>
      <c r="U972" t="s">
        <v>137</v>
      </c>
      <c r="V972" t="s">
        <v>153</v>
      </c>
      <c r="W972"/>
      <c r="X972" t="s">
        <v>88</v>
      </c>
      <c r="Y972"/>
      <c r="Z972"/>
      <c r="AA972" t="s">
        <v>2163</v>
      </c>
      <c r="AB972" t="s">
        <v>2</v>
      </c>
      <c r="AC972" t="s">
        <v>138</v>
      </c>
      <c r="AD972" t="s">
        <v>129</v>
      </c>
      <c r="AE972" s="97"/>
    </row>
    <row r="973" spans="1:31" ht="14.4" customHeight="1" x14ac:dyDescent="0.3">
      <c r="A973" t="s">
        <v>2530</v>
      </c>
      <c r="B973" t="s">
        <v>2531</v>
      </c>
      <c r="C973"/>
      <c r="D973"/>
      <c r="E973"/>
      <c r="F973"/>
      <c r="G973" t="s">
        <v>2162</v>
      </c>
      <c r="H973" t="s">
        <v>132</v>
      </c>
      <c r="I973" t="s">
        <v>2</v>
      </c>
      <c r="J973" t="s">
        <v>133</v>
      </c>
      <c r="K973" t="s">
        <v>52</v>
      </c>
      <c r="L973" t="s">
        <v>2529</v>
      </c>
      <c r="M973" t="s">
        <v>134</v>
      </c>
      <c r="N973" t="s">
        <v>135</v>
      </c>
      <c r="O973"/>
      <c r="P973"/>
      <c r="Q973" t="s">
        <v>168</v>
      </c>
      <c r="R973"/>
      <c r="S973"/>
      <c r="T973" t="s">
        <v>2165</v>
      </c>
      <c r="U973" t="s">
        <v>137</v>
      </c>
      <c r="V973" t="s">
        <v>153</v>
      </c>
      <c r="W973"/>
      <c r="X973" t="s">
        <v>88</v>
      </c>
      <c r="Y973"/>
      <c r="Z973"/>
      <c r="AA973" t="s">
        <v>2163</v>
      </c>
      <c r="AB973" t="s">
        <v>2</v>
      </c>
      <c r="AC973" t="s">
        <v>138</v>
      </c>
      <c r="AD973" t="s">
        <v>129</v>
      </c>
      <c r="AE973" s="97"/>
    </row>
    <row r="974" spans="1:31" ht="14.4" customHeight="1" x14ac:dyDescent="0.3">
      <c r="A974" t="s">
        <v>2532</v>
      </c>
      <c r="B974" t="s">
        <v>2533</v>
      </c>
      <c r="C974"/>
      <c r="D974"/>
      <c r="E974"/>
      <c r="F974"/>
      <c r="G974" t="s">
        <v>2162</v>
      </c>
      <c r="H974" t="s">
        <v>132</v>
      </c>
      <c r="I974" t="s">
        <v>2</v>
      </c>
      <c r="J974" t="s">
        <v>133</v>
      </c>
      <c r="K974" t="s">
        <v>52</v>
      </c>
      <c r="L974" t="s">
        <v>2529</v>
      </c>
      <c r="M974" t="s">
        <v>134</v>
      </c>
      <c r="N974" t="s">
        <v>135</v>
      </c>
      <c r="O974"/>
      <c r="P974"/>
      <c r="Q974" t="s">
        <v>168</v>
      </c>
      <c r="R974"/>
      <c r="S974"/>
      <c r="T974" t="s">
        <v>2165</v>
      </c>
      <c r="U974" t="s">
        <v>137</v>
      </c>
      <c r="V974" t="s">
        <v>153</v>
      </c>
      <c r="W974"/>
      <c r="X974" t="s">
        <v>88</v>
      </c>
      <c r="Y974"/>
      <c r="Z974"/>
      <c r="AA974" t="s">
        <v>2163</v>
      </c>
      <c r="AB974" t="s">
        <v>2</v>
      </c>
      <c r="AC974" t="s">
        <v>138</v>
      </c>
      <c r="AD974" t="s">
        <v>129</v>
      </c>
      <c r="AE974" s="97"/>
    </row>
    <row r="975" spans="1:31" ht="14.4" customHeight="1" x14ac:dyDescent="0.3">
      <c r="A975" t="s">
        <v>2534</v>
      </c>
      <c r="B975" t="s">
        <v>2535</v>
      </c>
      <c r="C975"/>
      <c r="D975"/>
      <c r="E975"/>
      <c r="F975"/>
      <c r="G975" t="s">
        <v>2162</v>
      </c>
      <c r="H975" t="s">
        <v>132</v>
      </c>
      <c r="I975" t="s">
        <v>2</v>
      </c>
      <c r="J975" t="s">
        <v>133</v>
      </c>
      <c r="K975" t="s">
        <v>52</v>
      </c>
      <c r="L975" t="s">
        <v>2536</v>
      </c>
      <c r="M975" t="s">
        <v>134</v>
      </c>
      <c r="N975" t="s">
        <v>135</v>
      </c>
      <c r="O975"/>
      <c r="P975"/>
      <c r="Q975" t="s">
        <v>168</v>
      </c>
      <c r="R975"/>
      <c r="S975"/>
      <c r="T975" t="s">
        <v>2165</v>
      </c>
      <c r="U975" t="s">
        <v>137</v>
      </c>
      <c r="V975" t="s">
        <v>153</v>
      </c>
      <c r="W975"/>
      <c r="X975" t="s">
        <v>88</v>
      </c>
      <c r="Y975"/>
      <c r="Z975"/>
      <c r="AA975" t="s">
        <v>2163</v>
      </c>
      <c r="AB975" t="s">
        <v>2</v>
      </c>
      <c r="AC975" t="s">
        <v>138</v>
      </c>
      <c r="AD975" t="s">
        <v>129</v>
      </c>
      <c r="AE975" s="97"/>
    </row>
    <row r="976" spans="1:31" ht="14.4" customHeight="1" x14ac:dyDescent="0.3">
      <c r="A976" t="s">
        <v>2537</v>
      </c>
      <c r="B976" t="s">
        <v>2538</v>
      </c>
      <c r="C976"/>
      <c r="D976"/>
      <c r="E976"/>
      <c r="F976"/>
      <c r="G976" t="s">
        <v>2162</v>
      </c>
      <c r="H976" t="s">
        <v>132</v>
      </c>
      <c r="I976" t="s">
        <v>2</v>
      </c>
      <c r="J976" t="s">
        <v>133</v>
      </c>
      <c r="K976" t="s">
        <v>52</v>
      </c>
      <c r="L976" t="s">
        <v>2539</v>
      </c>
      <c r="M976" t="s">
        <v>134</v>
      </c>
      <c r="N976" t="s">
        <v>135</v>
      </c>
      <c r="O976"/>
      <c r="P976"/>
      <c r="Q976" t="s">
        <v>168</v>
      </c>
      <c r="R976"/>
      <c r="S976"/>
      <c r="T976" t="s">
        <v>2165</v>
      </c>
      <c r="U976" t="s">
        <v>137</v>
      </c>
      <c r="V976" t="s">
        <v>156</v>
      </c>
      <c r="W976"/>
      <c r="X976" t="s">
        <v>97</v>
      </c>
      <c r="Y976"/>
      <c r="Z976"/>
      <c r="AA976" t="s">
        <v>2163</v>
      </c>
      <c r="AB976" t="s">
        <v>2</v>
      </c>
      <c r="AC976" t="s">
        <v>138</v>
      </c>
      <c r="AD976" t="s">
        <v>129</v>
      </c>
      <c r="AE976" s="97"/>
    </row>
    <row r="977" spans="1:31" ht="14.4" customHeight="1" x14ac:dyDescent="0.3">
      <c r="A977" t="s">
        <v>2540</v>
      </c>
      <c r="B977" t="s">
        <v>2541</v>
      </c>
      <c r="C977"/>
      <c r="D977"/>
      <c r="E977"/>
      <c r="F977"/>
      <c r="G977" t="s">
        <v>2162</v>
      </c>
      <c r="H977" t="s">
        <v>132</v>
      </c>
      <c r="I977" t="s">
        <v>2</v>
      </c>
      <c r="J977" t="s">
        <v>133</v>
      </c>
      <c r="K977" t="s">
        <v>52</v>
      </c>
      <c r="L977" t="s">
        <v>2539</v>
      </c>
      <c r="M977" t="s">
        <v>134</v>
      </c>
      <c r="N977" t="s">
        <v>135</v>
      </c>
      <c r="O977"/>
      <c r="P977"/>
      <c r="Q977" t="s">
        <v>168</v>
      </c>
      <c r="R977"/>
      <c r="S977"/>
      <c r="T977" t="s">
        <v>2165</v>
      </c>
      <c r="U977" t="s">
        <v>137</v>
      </c>
      <c r="V977" t="s">
        <v>156</v>
      </c>
      <c r="W977"/>
      <c r="X977" t="s">
        <v>97</v>
      </c>
      <c r="Y977"/>
      <c r="Z977"/>
      <c r="AA977" t="s">
        <v>2163</v>
      </c>
      <c r="AB977" t="s">
        <v>2</v>
      </c>
      <c r="AC977" t="s">
        <v>138</v>
      </c>
      <c r="AD977" t="s">
        <v>129</v>
      </c>
      <c r="AE977" s="97"/>
    </row>
    <row r="978" spans="1:31" ht="14.4" customHeight="1" x14ac:dyDescent="0.3">
      <c r="A978" t="s">
        <v>2542</v>
      </c>
      <c r="B978" t="s">
        <v>2543</v>
      </c>
      <c r="C978"/>
      <c r="D978"/>
      <c r="E978"/>
      <c r="F978"/>
      <c r="G978" t="s">
        <v>2162</v>
      </c>
      <c r="H978" t="s">
        <v>132</v>
      </c>
      <c r="I978" t="s">
        <v>2</v>
      </c>
      <c r="J978" t="s">
        <v>133</v>
      </c>
      <c r="K978" t="s">
        <v>52</v>
      </c>
      <c r="L978" t="s">
        <v>2539</v>
      </c>
      <c r="M978" t="s">
        <v>134</v>
      </c>
      <c r="N978" t="s">
        <v>135</v>
      </c>
      <c r="O978"/>
      <c r="P978"/>
      <c r="Q978" t="s">
        <v>168</v>
      </c>
      <c r="R978"/>
      <c r="S978"/>
      <c r="T978" t="s">
        <v>2165</v>
      </c>
      <c r="U978" t="s">
        <v>137</v>
      </c>
      <c r="V978" t="s">
        <v>156</v>
      </c>
      <c r="W978"/>
      <c r="X978" t="s">
        <v>97</v>
      </c>
      <c r="Y978"/>
      <c r="Z978"/>
      <c r="AA978" t="s">
        <v>2163</v>
      </c>
      <c r="AB978" t="s">
        <v>2</v>
      </c>
      <c r="AC978" t="s">
        <v>138</v>
      </c>
      <c r="AD978" t="s">
        <v>129</v>
      </c>
      <c r="AE978" s="97"/>
    </row>
    <row r="979" spans="1:31" ht="14.4" customHeight="1" x14ac:dyDescent="0.3">
      <c r="A979" t="s">
        <v>2544</v>
      </c>
      <c r="B979" t="s">
        <v>2545</v>
      </c>
      <c r="C979"/>
      <c r="D979"/>
      <c r="E979"/>
      <c r="F979"/>
      <c r="G979" t="s">
        <v>2162</v>
      </c>
      <c r="H979" t="s">
        <v>132</v>
      </c>
      <c r="I979" t="s">
        <v>2</v>
      </c>
      <c r="J979" t="s">
        <v>133</v>
      </c>
      <c r="K979" t="s">
        <v>52</v>
      </c>
      <c r="L979" t="s">
        <v>2546</v>
      </c>
      <c r="M979" t="s">
        <v>134</v>
      </c>
      <c r="N979" t="s">
        <v>135</v>
      </c>
      <c r="O979"/>
      <c r="P979"/>
      <c r="Q979" t="s">
        <v>168</v>
      </c>
      <c r="R979"/>
      <c r="S979"/>
      <c r="T979" t="s">
        <v>2165</v>
      </c>
      <c r="U979" t="s">
        <v>137</v>
      </c>
      <c r="V979" t="s">
        <v>156</v>
      </c>
      <c r="W979"/>
      <c r="X979" t="s">
        <v>97</v>
      </c>
      <c r="Y979"/>
      <c r="Z979"/>
      <c r="AA979" t="s">
        <v>2163</v>
      </c>
      <c r="AB979" t="s">
        <v>2</v>
      </c>
      <c r="AC979" t="s">
        <v>138</v>
      </c>
      <c r="AD979" t="s">
        <v>129</v>
      </c>
      <c r="AE979" s="97"/>
    </row>
    <row r="980" spans="1:31" ht="14.4" customHeight="1" x14ac:dyDescent="0.3">
      <c r="A980" t="s">
        <v>2547</v>
      </c>
      <c r="B980" t="s">
        <v>2548</v>
      </c>
      <c r="C980"/>
      <c r="D980"/>
      <c r="E980"/>
      <c r="F980"/>
      <c r="G980" t="s">
        <v>2162</v>
      </c>
      <c r="H980" t="s">
        <v>132</v>
      </c>
      <c r="I980" t="s">
        <v>2</v>
      </c>
      <c r="J980" t="s">
        <v>133</v>
      </c>
      <c r="K980" t="s">
        <v>52</v>
      </c>
      <c r="L980" t="s">
        <v>2549</v>
      </c>
      <c r="M980" t="s">
        <v>134</v>
      </c>
      <c r="N980" t="s">
        <v>135</v>
      </c>
      <c r="O980"/>
      <c r="P980"/>
      <c r="Q980" t="s">
        <v>168</v>
      </c>
      <c r="R980"/>
      <c r="S980"/>
      <c r="T980" t="s">
        <v>2165</v>
      </c>
      <c r="U980" t="s">
        <v>137</v>
      </c>
      <c r="V980" t="s">
        <v>159</v>
      </c>
      <c r="W980"/>
      <c r="X980" t="s">
        <v>106</v>
      </c>
      <c r="Y980"/>
      <c r="Z980"/>
      <c r="AA980" t="s">
        <v>2163</v>
      </c>
      <c r="AB980" t="s">
        <v>2</v>
      </c>
      <c r="AC980" t="s">
        <v>138</v>
      </c>
      <c r="AD980" t="s">
        <v>129</v>
      </c>
      <c r="AE980" s="97"/>
    </row>
    <row r="981" spans="1:31" ht="14.4" customHeight="1" x14ac:dyDescent="0.3">
      <c r="A981" t="s">
        <v>2550</v>
      </c>
      <c r="B981" t="s">
        <v>2551</v>
      </c>
      <c r="C981"/>
      <c r="D981"/>
      <c r="E981"/>
      <c r="F981"/>
      <c r="G981" t="s">
        <v>2162</v>
      </c>
      <c r="H981" t="s">
        <v>132</v>
      </c>
      <c r="I981" t="s">
        <v>2</v>
      </c>
      <c r="J981" t="s">
        <v>133</v>
      </c>
      <c r="K981" t="s">
        <v>52</v>
      </c>
      <c r="L981" t="s">
        <v>2549</v>
      </c>
      <c r="M981" t="s">
        <v>134</v>
      </c>
      <c r="N981" t="s">
        <v>135</v>
      </c>
      <c r="O981"/>
      <c r="P981"/>
      <c r="Q981" t="s">
        <v>168</v>
      </c>
      <c r="R981"/>
      <c r="S981"/>
      <c r="T981" t="s">
        <v>2165</v>
      </c>
      <c r="U981" t="s">
        <v>137</v>
      </c>
      <c r="V981" t="s">
        <v>159</v>
      </c>
      <c r="W981"/>
      <c r="X981" t="s">
        <v>106</v>
      </c>
      <c r="Y981"/>
      <c r="Z981"/>
      <c r="AA981" t="s">
        <v>2163</v>
      </c>
      <c r="AB981" t="s">
        <v>2</v>
      </c>
      <c r="AC981" t="s">
        <v>138</v>
      </c>
      <c r="AD981" t="s">
        <v>129</v>
      </c>
      <c r="AE981" s="97"/>
    </row>
    <row r="982" spans="1:31" ht="14.4" customHeight="1" x14ac:dyDescent="0.3">
      <c r="A982" t="s">
        <v>2552</v>
      </c>
      <c r="B982" t="s">
        <v>2553</v>
      </c>
      <c r="C982"/>
      <c r="D982"/>
      <c r="E982"/>
      <c r="F982"/>
      <c r="G982" t="s">
        <v>2162</v>
      </c>
      <c r="H982" t="s">
        <v>132</v>
      </c>
      <c r="I982" t="s">
        <v>2</v>
      </c>
      <c r="J982" t="s">
        <v>133</v>
      </c>
      <c r="K982" t="s">
        <v>52</v>
      </c>
      <c r="L982" t="s">
        <v>2549</v>
      </c>
      <c r="M982" t="s">
        <v>134</v>
      </c>
      <c r="N982" t="s">
        <v>135</v>
      </c>
      <c r="O982"/>
      <c r="P982"/>
      <c r="Q982" t="s">
        <v>168</v>
      </c>
      <c r="R982"/>
      <c r="S982"/>
      <c r="T982" t="s">
        <v>2165</v>
      </c>
      <c r="U982" t="s">
        <v>137</v>
      </c>
      <c r="V982" t="s">
        <v>159</v>
      </c>
      <c r="W982"/>
      <c r="X982" t="s">
        <v>106</v>
      </c>
      <c r="Y982"/>
      <c r="Z982"/>
      <c r="AA982" t="s">
        <v>2163</v>
      </c>
      <c r="AB982" t="s">
        <v>2</v>
      </c>
      <c r="AC982" t="s">
        <v>138</v>
      </c>
      <c r="AD982" t="s">
        <v>129</v>
      </c>
      <c r="AE982" s="97"/>
    </row>
    <row r="983" spans="1:31" ht="14.4" customHeight="1" x14ac:dyDescent="0.3">
      <c r="A983" t="s">
        <v>2554</v>
      </c>
      <c r="B983" t="s">
        <v>2555</v>
      </c>
      <c r="C983"/>
      <c r="D983"/>
      <c r="E983"/>
      <c r="F983"/>
      <c r="G983" t="s">
        <v>2162</v>
      </c>
      <c r="H983" t="s">
        <v>132</v>
      </c>
      <c r="I983" t="s">
        <v>2</v>
      </c>
      <c r="J983" t="s">
        <v>133</v>
      </c>
      <c r="K983" t="s">
        <v>52</v>
      </c>
      <c r="L983" t="s">
        <v>2556</v>
      </c>
      <c r="M983" t="s">
        <v>134</v>
      </c>
      <c r="N983" t="s">
        <v>135</v>
      </c>
      <c r="O983"/>
      <c r="P983"/>
      <c r="Q983" t="s">
        <v>168</v>
      </c>
      <c r="R983"/>
      <c r="S983"/>
      <c r="T983" t="s">
        <v>2165</v>
      </c>
      <c r="U983" t="s">
        <v>137</v>
      </c>
      <c r="V983" t="s">
        <v>159</v>
      </c>
      <c r="W983"/>
      <c r="X983" t="s">
        <v>106</v>
      </c>
      <c r="Y983"/>
      <c r="Z983"/>
      <c r="AA983" t="s">
        <v>2163</v>
      </c>
      <c r="AB983" t="s">
        <v>2</v>
      </c>
      <c r="AC983" t="s">
        <v>138</v>
      </c>
      <c r="AD983" t="s">
        <v>129</v>
      </c>
      <c r="AE983" s="97"/>
    </row>
    <row r="984" spans="1:31" ht="14.4" customHeight="1" x14ac:dyDescent="0.3">
      <c r="A984" t="s">
        <v>2557</v>
      </c>
      <c r="B984" t="s">
        <v>2558</v>
      </c>
      <c r="C984"/>
      <c r="D984"/>
      <c r="E984"/>
      <c r="F984"/>
      <c r="G984" t="s">
        <v>2162</v>
      </c>
      <c r="H984" t="s">
        <v>132</v>
      </c>
      <c r="I984" t="s">
        <v>2</v>
      </c>
      <c r="J984" t="s">
        <v>133</v>
      </c>
      <c r="K984" t="s">
        <v>52</v>
      </c>
      <c r="L984" t="s">
        <v>2559</v>
      </c>
      <c r="M984" t="s">
        <v>134</v>
      </c>
      <c r="N984" t="s">
        <v>135</v>
      </c>
      <c r="O984"/>
      <c r="P984"/>
      <c r="Q984" t="s">
        <v>168</v>
      </c>
      <c r="R984"/>
      <c r="S984"/>
      <c r="T984" t="s">
        <v>2165</v>
      </c>
      <c r="U984" t="s">
        <v>137</v>
      </c>
      <c r="V984" t="s">
        <v>162</v>
      </c>
      <c r="W984"/>
      <c r="X984" t="s">
        <v>113</v>
      </c>
      <c r="Y984"/>
      <c r="Z984"/>
      <c r="AA984" t="s">
        <v>2163</v>
      </c>
      <c r="AB984" t="s">
        <v>2</v>
      </c>
      <c r="AC984" t="s">
        <v>138</v>
      </c>
      <c r="AD984" t="s">
        <v>129</v>
      </c>
      <c r="AE984" s="97"/>
    </row>
    <row r="985" spans="1:31" ht="14.4" customHeight="1" x14ac:dyDescent="0.3">
      <c r="A985" t="s">
        <v>2560</v>
      </c>
      <c r="B985" t="s">
        <v>2561</v>
      </c>
      <c r="C985"/>
      <c r="D985"/>
      <c r="E985"/>
      <c r="F985"/>
      <c r="G985" t="s">
        <v>2162</v>
      </c>
      <c r="H985" t="s">
        <v>132</v>
      </c>
      <c r="I985" t="s">
        <v>2</v>
      </c>
      <c r="J985" t="s">
        <v>133</v>
      </c>
      <c r="K985" t="s">
        <v>52</v>
      </c>
      <c r="L985" t="s">
        <v>2559</v>
      </c>
      <c r="M985" t="s">
        <v>134</v>
      </c>
      <c r="N985" t="s">
        <v>135</v>
      </c>
      <c r="O985"/>
      <c r="P985"/>
      <c r="Q985" t="s">
        <v>168</v>
      </c>
      <c r="R985"/>
      <c r="S985"/>
      <c r="T985" t="s">
        <v>2165</v>
      </c>
      <c r="U985" t="s">
        <v>137</v>
      </c>
      <c r="V985" t="s">
        <v>162</v>
      </c>
      <c r="W985"/>
      <c r="X985" t="s">
        <v>113</v>
      </c>
      <c r="Y985"/>
      <c r="Z985"/>
      <c r="AA985" t="s">
        <v>2163</v>
      </c>
      <c r="AB985" t="s">
        <v>2</v>
      </c>
      <c r="AC985" t="s">
        <v>138</v>
      </c>
      <c r="AD985" t="s">
        <v>129</v>
      </c>
      <c r="AE985" s="97"/>
    </row>
    <row r="986" spans="1:31" ht="14.4" customHeight="1" x14ac:dyDescent="0.3">
      <c r="A986" t="s">
        <v>2562</v>
      </c>
      <c r="B986" t="s">
        <v>2563</v>
      </c>
      <c r="C986"/>
      <c r="D986"/>
      <c r="E986"/>
      <c r="F986"/>
      <c r="G986" t="s">
        <v>2162</v>
      </c>
      <c r="H986" t="s">
        <v>132</v>
      </c>
      <c r="I986" t="s">
        <v>2</v>
      </c>
      <c r="J986" t="s">
        <v>133</v>
      </c>
      <c r="K986" t="s">
        <v>52</v>
      </c>
      <c r="L986" t="s">
        <v>2559</v>
      </c>
      <c r="M986" t="s">
        <v>134</v>
      </c>
      <c r="N986" t="s">
        <v>135</v>
      </c>
      <c r="O986"/>
      <c r="P986"/>
      <c r="Q986" t="s">
        <v>168</v>
      </c>
      <c r="R986"/>
      <c r="S986"/>
      <c r="T986" t="s">
        <v>2165</v>
      </c>
      <c r="U986" t="s">
        <v>137</v>
      </c>
      <c r="V986" t="s">
        <v>162</v>
      </c>
      <c r="W986"/>
      <c r="X986" t="s">
        <v>113</v>
      </c>
      <c r="Y986"/>
      <c r="Z986"/>
      <c r="AA986" t="s">
        <v>2163</v>
      </c>
      <c r="AB986" t="s">
        <v>2</v>
      </c>
      <c r="AC986" t="s">
        <v>138</v>
      </c>
      <c r="AD986" t="s">
        <v>129</v>
      </c>
      <c r="AE986" s="97"/>
    </row>
    <row r="987" spans="1:31" ht="14.4" customHeight="1" x14ac:dyDescent="0.3">
      <c r="A987" t="s">
        <v>2564</v>
      </c>
      <c r="B987" t="s">
        <v>2565</v>
      </c>
      <c r="C987"/>
      <c r="D987"/>
      <c r="E987"/>
      <c r="F987"/>
      <c r="G987" t="s">
        <v>2162</v>
      </c>
      <c r="H987" t="s">
        <v>132</v>
      </c>
      <c r="I987" t="s">
        <v>2</v>
      </c>
      <c r="J987" t="s">
        <v>133</v>
      </c>
      <c r="K987" t="s">
        <v>52</v>
      </c>
      <c r="L987" t="s">
        <v>2566</v>
      </c>
      <c r="M987" t="s">
        <v>134</v>
      </c>
      <c r="N987" t="s">
        <v>135</v>
      </c>
      <c r="O987"/>
      <c r="P987"/>
      <c r="Q987" t="s">
        <v>168</v>
      </c>
      <c r="R987"/>
      <c r="S987"/>
      <c r="T987" t="s">
        <v>2165</v>
      </c>
      <c r="U987" t="s">
        <v>137</v>
      </c>
      <c r="V987" t="s">
        <v>162</v>
      </c>
      <c r="W987"/>
      <c r="X987" t="s">
        <v>113</v>
      </c>
      <c r="Y987"/>
      <c r="Z987"/>
      <c r="AA987" t="s">
        <v>2163</v>
      </c>
      <c r="AB987" t="s">
        <v>2</v>
      </c>
      <c r="AC987" t="s">
        <v>138</v>
      </c>
      <c r="AD987" t="s">
        <v>129</v>
      </c>
      <c r="AE987" s="97"/>
    </row>
    <row r="988" spans="1:31" ht="14.4" customHeight="1" x14ac:dyDescent="0.3">
      <c r="A988" t="s">
        <v>2567</v>
      </c>
      <c r="B988" t="s">
        <v>2568</v>
      </c>
      <c r="C988"/>
      <c r="D988"/>
      <c r="E988"/>
      <c r="F988"/>
      <c r="G988" t="s">
        <v>2162</v>
      </c>
      <c r="H988" t="s">
        <v>132</v>
      </c>
      <c r="I988" t="s">
        <v>2</v>
      </c>
      <c r="J988" t="s">
        <v>133</v>
      </c>
      <c r="K988" t="s">
        <v>52</v>
      </c>
      <c r="L988" t="s">
        <v>2569</v>
      </c>
      <c r="M988" t="s">
        <v>134</v>
      </c>
      <c r="N988" t="s">
        <v>135</v>
      </c>
      <c r="O988"/>
      <c r="P988"/>
      <c r="Q988" t="s">
        <v>168</v>
      </c>
      <c r="R988"/>
      <c r="S988"/>
      <c r="T988" t="s">
        <v>2165</v>
      </c>
      <c r="U988" t="s">
        <v>137</v>
      </c>
      <c r="V988" t="s">
        <v>165</v>
      </c>
      <c r="W988"/>
      <c r="X988" t="s">
        <v>122</v>
      </c>
      <c r="Y988"/>
      <c r="Z988"/>
      <c r="AA988" t="s">
        <v>2163</v>
      </c>
      <c r="AB988" t="s">
        <v>2</v>
      </c>
      <c r="AC988" t="s">
        <v>138</v>
      </c>
      <c r="AD988" t="s">
        <v>130</v>
      </c>
      <c r="AE988" s="97"/>
    </row>
    <row r="989" spans="1:31" ht="14.4" customHeight="1" x14ac:dyDescent="0.3">
      <c r="A989" t="s">
        <v>2570</v>
      </c>
      <c r="B989" t="s">
        <v>2571</v>
      </c>
      <c r="C989"/>
      <c r="D989"/>
      <c r="E989"/>
      <c r="F989"/>
      <c r="G989" t="s">
        <v>2162</v>
      </c>
      <c r="H989" t="s">
        <v>132</v>
      </c>
      <c r="I989" t="s">
        <v>2</v>
      </c>
      <c r="J989" t="s">
        <v>133</v>
      </c>
      <c r="K989" t="s">
        <v>52</v>
      </c>
      <c r="L989" t="s">
        <v>2569</v>
      </c>
      <c r="M989" t="s">
        <v>134</v>
      </c>
      <c r="N989" t="s">
        <v>135</v>
      </c>
      <c r="O989"/>
      <c r="P989"/>
      <c r="Q989" t="s">
        <v>168</v>
      </c>
      <c r="R989"/>
      <c r="S989"/>
      <c r="T989" t="s">
        <v>2165</v>
      </c>
      <c r="U989" t="s">
        <v>137</v>
      </c>
      <c r="V989" t="s">
        <v>165</v>
      </c>
      <c r="W989"/>
      <c r="X989" t="s">
        <v>122</v>
      </c>
      <c r="Y989"/>
      <c r="Z989"/>
      <c r="AA989" t="s">
        <v>2163</v>
      </c>
      <c r="AB989" t="s">
        <v>2</v>
      </c>
      <c r="AC989" t="s">
        <v>138</v>
      </c>
      <c r="AD989" t="s">
        <v>130</v>
      </c>
      <c r="AE989" s="97"/>
    </row>
    <row r="990" spans="1:31" ht="14.4" customHeight="1" x14ac:dyDescent="0.3">
      <c r="A990" t="s">
        <v>2572</v>
      </c>
      <c r="B990" t="s">
        <v>2573</v>
      </c>
      <c r="C990"/>
      <c r="D990"/>
      <c r="E990"/>
      <c r="F990"/>
      <c r="G990" t="s">
        <v>2162</v>
      </c>
      <c r="H990" t="s">
        <v>132</v>
      </c>
      <c r="I990" t="s">
        <v>2</v>
      </c>
      <c r="J990" t="s">
        <v>133</v>
      </c>
      <c r="K990" t="s">
        <v>52</v>
      </c>
      <c r="L990" t="s">
        <v>2569</v>
      </c>
      <c r="M990" t="s">
        <v>134</v>
      </c>
      <c r="N990" t="s">
        <v>135</v>
      </c>
      <c r="O990"/>
      <c r="P990"/>
      <c r="Q990" t="s">
        <v>168</v>
      </c>
      <c r="R990"/>
      <c r="S990"/>
      <c r="T990" t="s">
        <v>2165</v>
      </c>
      <c r="U990" t="s">
        <v>137</v>
      </c>
      <c r="V990" t="s">
        <v>165</v>
      </c>
      <c r="W990"/>
      <c r="X990" t="s">
        <v>122</v>
      </c>
      <c r="Y990"/>
      <c r="Z990"/>
      <c r="AA990" t="s">
        <v>2163</v>
      </c>
      <c r="AB990" t="s">
        <v>2</v>
      </c>
      <c r="AC990" t="s">
        <v>138</v>
      </c>
      <c r="AD990" t="s">
        <v>130</v>
      </c>
      <c r="AE990" s="97"/>
    </row>
    <row r="991" spans="1:31" ht="14.4" customHeight="1" x14ac:dyDescent="0.3">
      <c r="A991" t="s">
        <v>2574</v>
      </c>
      <c r="B991" t="s">
        <v>2575</v>
      </c>
      <c r="C991"/>
      <c r="D991"/>
      <c r="E991"/>
      <c r="F991"/>
      <c r="G991" t="s">
        <v>2162</v>
      </c>
      <c r="H991" t="s">
        <v>132</v>
      </c>
      <c r="I991" t="s">
        <v>2</v>
      </c>
      <c r="J991" t="s">
        <v>133</v>
      </c>
      <c r="K991" t="s">
        <v>52</v>
      </c>
      <c r="L991" t="s">
        <v>2576</v>
      </c>
      <c r="M991" t="s">
        <v>134</v>
      </c>
      <c r="N991" t="s">
        <v>135</v>
      </c>
      <c r="O991"/>
      <c r="P991"/>
      <c r="Q991" t="s">
        <v>168</v>
      </c>
      <c r="R991"/>
      <c r="S991"/>
      <c r="T991" t="s">
        <v>2165</v>
      </c>
      <c r="U991" t="s">
        <v>137</v>
      </c>
      <c r="V991" t="s">
        <v>165</v>
      </c>
      <c r="W991"/>
      <c r="X991" t="s">
        <v>122</v>
      </c>
      <c r="Y991"/>
      <c r="Z991"/>
      <c r="AA991" t="s">
        <v>2163</v>
      </c>
      <c r="AB991" t="s">
        <v>2</v>
      </c>
      <c r="AC991" t="s">
        <v>138</v>
      </c>
      <c r="AD991" t="s">
        <v>130</v>
      </c>
      <c r="AE991" s="97"/>
    </row>
    <row r="992" spans="1:31" ht="14.4" customHeight="1" x14ac:dyDescent="0.3">
      <c r="A992" t="s">
        <v>2577</v>
      </c>
      <c r="B992" t="s">
        <v>2578</v>
      </c>
      <c r="C992"/>
      <c r="D992"/>
      <c r="E992"/>
      <c r="F992"/>
      <c r="G992" t="s">
        <v>2162</v>
      </c>
      <c r="H992" t="s">
        <v>132</v>
      </c>
      <c r="I992" t="s">
        <v>2</v>
      </c>
      <c r="J992" t="s">
        <v>133</v>
      </c>
      <c r="K992" t="s">
        <v>52</v>
      </c>
      <c r="L992" t="s">
        <v>1509</v>
      </c>
      <c r="M992" t="s">
        <v>134</v>
      </c>
      <c r="N992" t="s">
        <v>135</v>
      </c>
      <c r="O992"/>
      <c r="P992"/>
      <c r="Q992" t="s">
        <v>168</v>
      </c>
      <c r="R992"/>
      <c r="S992"/>
      <c r="T992" t="s">
        <v>2165</v>
      </c>
      <c r="U992" t="s">
        <v>137</v>
      </c>
      <c r="V992" t="s">
        <v>1279</v>
      </c>
      <c r="W992"/>
      <c r="X992" t="s">
        <v>71</v>
      </c>
      <c r="Y992"/>
      <c r="Z992"/>
      <c r="AA992" t="s">
        <v>2163</v>
      </c>
      <c r="AB992" t="s">
        <v>2</v>
      </c>
      <c r="AC992" t="s">
        <v>138</v>
      </c>
      <c r="AD992" t="s">
        <v>128</v>
      </c>
      <c r="AE992" s="97"/>
    </row>
    <row r="993" spans="1:31" ht="14.4" customHeight="1" x14ac:dyDescent="0.3">
      <c r="A993" t="s">
        <v>2579</v>
      </c>
      <c r="B993" t="s">
        <v>2580</v>
      </c>
      <c r="C993"/>
      <c r="D993"/>
      <c r="E993"/>
      <c r="F993"/>
      <c r="G993" t="s">
        <v>2162</v>
      </c>
      <c r="H993" t="s">
        <v>132</v>
      </c>
      <c r="I993" t="s">
        <v>2</v>
      </c>
      <c r="J993" t="s">
        <v>133</v>
      </c>
      <c r="K993" t="s">
        <v>52</v>
      </c>
      <c r="L993" t="s">
        <v>1512</v>
      </c>
      <c r="M993" t="s">
        <v>134</v>
      </c>
      <c r="N993" t="s">
        <v>135</v>
      </c>
      <c r="O993"/>
      <c r="P993"/>
      <c r="Q993" t="s">
        <v>168</v>
      </c>
      <c r="R993"/>
      <c r="S993"/>
      <c r="T993" t="s">
        <v>2165</v>
      </c>
      <c r="U993" t="s">
        <v>137</v>
      </c>
      <c r="V993" t="s">
        <v>1283</v>
      </c>
      <c r="W993"/>
      <c r="X993" t="s">
        <v>78</v>
      </c>
      <c r="Y993"/>
      <c r="Z993"/>
      <c r="AA993" t="s">
        <v>2163</v>
      </c>
      <c r="AB993" t="s">
        <v>2</v>
      </c>
      <c r="AC993" t="s">
        <v>138</v>
      </c>
      <c r="AD993" t="s">
        <v>128</v>
      </c>
      <c r="AE993" s="97"/>
    </row>
    <row r="994" spans="1:31" ht="14.4" customHeight="1" x14ac:dyDescent="0.3">
      <c r="A994" t="s">
        <v>2581</v>
      </c>
      <c r="B994" t="s">
        <v>2582</v>
      </c>
      <c r="C994"/>
      <c r="D994"/>
      <c r="E994"/>
      <c r="F994"/>
      <c r="G994" t="s">
        <v>2162</v>
      </c>
      <c r="H994" t="s">
        <v>132</v>
      </c>
      <c r="I994" t="s">
        <v>2</v>
      </c>
      <c r="J994" t="s">
        <v>133</v>
      </c>
      <c r="K994" t="s">
        <v>52</v>
      </c>
      <c r="L994" t="s">
        <v>1515</v>
      </c>
      <c r="M994" t="s">
        <v>134</v>
      </c>
      <c r="N994" t="s">
        <v>135</v>
      </c>
      <c r="O994"/>
      <c r="P994"/>
      <c r="Q994" t="s">
        <v>168</v>
      </c>
      <c r="R994"/>
      <c r="S994"/>
      <c r="T994" t="s">
        <v>2165</v>
      </c>
      <c r="U994" t="s">
        <v>137</v>
      </c>
      <c r="V994" t="s">
        <v>1287</v>
      </c>
      <c r="W994"/>
      <c r="X994" t="s">
        <v>89</v>
      </c>
      <c r="Y994"/>
      <c r="Z994"/>
      <c r="AA994" t="s">
        <v>2163</v>
      </c>
      <c r="AB994" t="s">
        <v>2</v>
      </c>
      <c r="AC994" t="s">
        <v>138</v>
      </c>
      <c r="AD994" t="s">
        <v>129</v>
      </c>
      <c r="AE994" s="97"/>
    </row>
    <row r="995" spans="1:31" ht="14.4" customHeight="1" x14ac:dyDescent="0.3">
      <c r="A995" t="s">
        <v>2583</v>
      </c>
      <c r="B995" t="s">
        <v>2584</v>
      </c>
      <c r="C995"/>
      <c r="D995"/>
      <c r="E995"/>
      <c r="F995"/>
      <c r="G995" t="s">
        <v>2162</v>
      </c>
      <c r="H995" t="s">
        <v>132</v>
      </c>
      <c r="I995" t="s">
        <v>2</v>
      </c>
      <c r="J995" t="s">
        <v>133</v>
      </c>
      <c r="K995" t="s">
        <v>52</v>
      </c>
      <c r="L995" t="s">
        <v>1518</v>
      </c>
      <c r="M995" t="s">
        <v>134</v>
      </c>
      <c r="N995" t="s">
        <v>135</v>
      </c>
      <c r="O995"/>
      <c r="P995"/>
      <c r="Q995" t="s">
        <v>168</v>
      </c>
      <c r="R995"/>
      <c r="S995"/>
      <c r="T995" t="s">
        <v>2165</v>
      </c>
      <c r="U995" t="s">
        <v>137</v>
      </c>
      <c r="V995" t="s">
        <v>1291</v>
      </c>
      <c r="W995"/>
      <c r="X995" t="s">
        <v>98</v>
      </c>
      <c r="Y995"/>
      <c r="Z995"/>
      <c r="AA995" t="s">
        <v>2163</v>
      </c>
      <c r="AB995" t="s">
        <v>2</v>
      </c>
      <c r="AC995" t="s">
        <v>138</v>
      </c>
      <c r="AD995" t="s">
        <v>129</v>
      </c>
      <c r="AE995" s="97"/>
    </row>
    <row r="996" spans="1:31" ht="14.4" customHeight="1" x14ac:dyDescent="0.3">
      <c r="A996" t="s">
        <v>2585</v>
      </c>
      <c r="B996" t="s">
        <v>2586</v>
      </c>
      <c r="C996"/>
      <c r="D996"/>
      <c r="E996"/>
      <c r="F996"/>
      <c r="G996" t="s">
        <v>2162</v>
      </c>
      <c r="H996" t="s">
        <v>132</v>
      </c>
      <c r="I996" t="s">
        <v>2</v>
      </c>
      <c r="J996" t="s">
        <v>133</v>
      </c>
      <c r="K996" t="s">
        <v>52</v>
      </c>
      <c r="L996" t="s">
        <v>1521</v>
      </c>
      <c r="M996" t="s">
        <v>134</v>
      </c>
      <c r="N996" t="s">
        <v>135</v>
      </c>
      <c r="O996"/>
      <c r="P996"/>
      <c r="Q996" t="s">
        <v>168</v>
      </c>
      <c r="R996"/>
      <c r="S996"/>
      <c r="T996" t="s">
        <v>2165</v>
      </c>
      <c r="U996" t="s">
        <v>137</v>
      </c>
      <c r="V996" t="s">
        <v>1295</v>
      </c>
      <c r="W996"/>
      <c r="X996" t="s">
        <v>107</v>
      </c>
      <c r="Y996"/>
      <c r="Z996"/>
      <c r="AA996" t="s">
        <v>2163</v>
      </c>
      <c r="AB996" t="s">
        <v>2</v>
      </c>
      <c r="AC996" t="s">
        <v>138</v>
      </c>
      <c r="AD996" t="s">
        <v>129</v>
      </c>
      <c r="AE996" s="97"/>
    </row>
    <row r="997" spans="1:31" ht="14.4" customHeight="1" x14ac:dyDescent="0.3">
      <c r="A997" t="s">
        <v>2587</v>
      </c>
      <c r="B997" t="s">
        <v>2588</v>
      </c>
      <c r="C997"/>
      <c r="D997"/>
      <c r="E997"/>
      <c r="F997"/>
      <c r="G997" t="s">
        <v>2162</v>
      </c>
      <c r="H997" t="s">
        <v>132</v>
      </c>
      <c r="I997" t="s">
        <v>2</v>
      </c>
      <c r="J997" t="s">
        <v>133</v>
      </c>
      <c r="K997" t="s">
        <v>52</v>
      </c>
      <c r="L997" t="s">
        <v>1524</v>
      </c>
      <c r="M997" t="s">
        <v>134</v>
      </c>
      <c r="N997" t="s">
        <v>135</v>
      </c>
      <c r="O997"/>
      <c r="P997"/>
      <c r="Q997" t="s">
        <v>168</v>
      </c>
      <c r="R997"/>
      <c r="S997"/>
      <c r="T997" t="s">
        <v>2165</v>
      </c>
      <c r="U997" t="s">
        <v>137</v>
      </c>
      <c r="V997" t="s">
        <v>1299</v>
      </c>
      <c r="W997"/>
      <c r="X997" t="s">
        <v>114</v>
      </c>
      <c r="Y997"/>
      <c r="Z997"/>
      <c r="AA997" t="s">
        <v>2163</v>
      </c>
      <c r="AB997" t="s">
        <v>2</v>
      </c>
      <c r="AC997" t="s">
        <v>138</v>
      </c>
      <c r="AD997" t="s">
        <v>129</v>
      </c>
      <c r="AE997" s="97"/>
    </row>
    <row r="998" spans="1:31" ht="14.4" customHeight="1" x14ac:dyDescent="0.3">
      <c r="A998" t="s">
        <v>2589</v>
      </c>
      <c r="B998" t="s">
        <v>2590</v>
      </c>
      <c r="C998"/>
      <c r="D998"/>
      <c r="E998"/>
      <c r="F998"/>
      <c r="G998" t="s">
        <v>2162</v>
      </c>
      <c r="H998" t="s">
        <v>132</v>
      </c>
      <c r="I998" t="s">
        <v>2</v>
      </c>
      <c r="J998" t="s">
        <v>133</v>
      </c>
      <c r="K998" t="s">
        <v>52</v>
      </c>
      <c r="L998" t="s">
        <v>1527</v>
      </c>
      <c r="M998" t="s">
        <v>134</v>
      </c>
      <c r="N998" t="s">
        <v>135</v>
      </c>
      <c r="O998"/>
      <c r="P998"/>
      <c r="Q998" t="s">
        <v>168</v>
      </c>
      <c r="R998"/>
      <c r="S998"/>
      <c r="T998" t="s">
        <v>2165</v>
      </c>
      <c r="U998" t="s">
        <v>137</v>
      </c>
      <c r="V998" t="s">
        <v>1303</v>
      </c>
      <c r="W998"/>
      <c r="X998" t="s">
        <v>123</v>
      </c>
      <c r="Y998"/>
      <c r="Z998"/>
      <c r="AA998" t="s">
        <v>2163</v>
      </c>
      <c r="AB998" t="s">
        <v>2</v>
      </c>
      <c r="AC998" t="s">
        <v>138</v>
      </c>
      <c r="AD998" t="s">
        <v>130</v>
      </c>
      <c r="AE998" s="97"/>
    </row>
    <row r="999" spans="1:31" ht="14.4" customHeight="1" x14ac:dyDescent="0.3">
      <c r="A999" t="s">
        <v>2591</v>
      </c>
      <c r="B999" t="s">
        <v>2592</v>
      </c>
      <c r="C999"/>
      <c r="D999"/>
      <c r="E999"/>
      <c r="F999"/>
      <c r="G999" t="s">
        <v>2162</v>
      </c>
      <c r="H999" t="s">
        <v>132</v>
      </c>
      <c r="I999" t="s">
        <v>2</v>
      </c>
      <c r="J999" t="s">
        <v>133</v>
      </c>
      <c r="K999" t="s">
        <v>52</v>
      </c>
      <c r="L999" t="s">
        <v>2593</v>
      </c>
      <c r="M999" t="s">
        <v>134</v>
      </c>
      <c r="N999" t="s">
        <v>135</v>
      </c>
      <c r="O999"/>
      <c r="P999"/>
      <c r="Q999" t="s">
        <v>168</v>
      </c>
      <c r="R999"/>
      <c r="S999"/>
      <c r="T999" t="s">
        <v>2165</v>
      </c>
      <c r="U999" t="s">
        <v>137</v>
      </c>
      <c r="V999" t="s">
        <v>147</v>
      </c>
      <c r="W999"/>
      <c r="X999" t="s">
        <v>70</v>
      </c>
      <c r="Y999"/>
      <c r="Z999"/>
      <c r="AA999" t="s">
        <v>2163</v>
      </c>
      <c r="AB999" t="s">
        <v>2</v>
      </c>
      <c r="AC999" t="s">
        <v>138</v>
      </c>
      <c r="AD999" t="s">
        <v>128</v>
      </c>
      <c r="AE999" s="97"/>
    </row>
    <row r="1000" spans="1:31" ht="14.4" customHeight="1" x14ac:dyDescent="0.3">
      <c r="A1000" t="s">
        <v>2594</v>
      </c>
      <c r="B1000" t="s">
        <v>2595</v>
      </c>
      <c r="C1000"/>
      <c r="D1000"/>
      <c r="E1000"/>
      <c r="F1000"/>
      <c r="G1000" t="s">
        <v>2162</v>
      </c>
      <c r="H1000" t="s">
        <v>132</v>
      </c>
      <c r="I1000" t="s">
        <v>2</v>
      </c>
      <c r="J1000" t="s">
        <v>133</v>
      </c>
      <c r="K1000" t="s">
        <v>52</v>
      </c>
      <c r="L1000" t="s">
        <v>2593</v>
      </c>
      <c r="M1000" t="s">
        <v>134</v>
      </c>
      <c r="N1000" t="s">
        <v>135</v>
      </c>
      <c r="O1000"/>
      <c r="P1000"/>
      <c r="Q1000" t="s">
        <v>168</v>
      </c>
      <c r="R1000"/>
      <c r="S1000"/>
      <c r="T1000" t="s">
        <v>2165</v>
      </c>
      <c r="U1000" t="s">
        <v>137</v>
      </c>
      <c r="V1000" t="s">
        <v>147</v>
      </c>
      <c r="W1000"/>
      <c r="X1000" t="s">
        <v>70</v>
      </c>
      <c r="Y1000"/>
      <c r="Z1000"/>
      <c r="AA1000" t="s">
        <v>2163</v>
      </c>
      <c r="AB1000" t="s">
        <v>2</v>
      </c>
      <c r="AC1000" t="s">
        <v>138</v>
      </c>
      <c r="AD1000" t="s">
        <v>128</v>
      </c>
      <c r="AE1000" s="97"/>
    </row>
    <row r="1001" spans="1:31" ht="14.4" customHeight="1" x14ac:dyDescent="0.3">
      <c r="A1001" t="s">
        <v>2596</v>
      </c>
      <c r="B1001" t="s">
        <v>2597</v>
      </c>
      <c r="C1001"/>
      <c r="D1001"/>
      <c r="E1001"/>
      <c r="F1001"/>
      <c r="G1001" t="s">
        <v>2162</v>
      </c>
      <c r="H1001" t="s">
        <v>132</v>
      </c>
      <c r="I1001" t="s">
        <v>2</v>
      </c>
      <c r="J1001" t="s">
        <v>133</v>
      </c>
      <c r="K1001" t="s">
        <v>52</v>
      </c>
      <c r="L1001" t="s">
        <v>2598</v>
      </c>
      <c r="M1001" t="s">
        <v>134</v>
      </c>
      <c r="N1001" t="s">
        <v>135</v>
      </c>
      <c r="O1001"/>
      <c r="P1001"/>
      <c r="Q1001" t="s">
        <v>168</v>
      </c>
      <c r="R1001"/>
      <c r="S1001"/>
      <c r="T1001" t="s">
        <v>2165</v>
      </c>
      <c r="U1001" t="s">
        <v>137</v>
      </c>
      <c r="V1001" t="s">
        <v>150</v>
      </c>
      <c r="W1001"/>
      <c r="X1001" t="s">
        <v>76</v>
      </c>
      <c r="Y1001"/>
      <c r="Z1001"/>
      <c r="AA1001" t="s">
        <v>2163</v>
      </c>
      <c r="AB1001" t="s">
        <v>2</v>
      </c>
      <c r="AC1001" t="s">
        <v>138</v>
      </c>
      <c r="AD1001" t="s">
        <v>128</v>
      </c>
      <c r="AE1001" s="97"/>
    </row>
    <row r="1002" spans="1:31" ht="14.4" customHeight="1" x14ac:dyDescent="0.3">
      <c r="A1002" t="s">
        <v>2599</v>
      </c>
      <c r="B1002" t="s">
        <v>2600</v>
      </c>
      <c r="C1002"/>
      <c r="D1002"/>
      <c r="E1002"/>
      <c r="F1002"/>
      <c r="G1002" t="s">
        <v>2162</v>
      </c>
      <c r="H1002" t="s">
        <v>132</v>
      </c>
      <c r="I1002" t="s">
        <v>2</v>
      </c>
      <c r="J1002" t="s">
        <v>133</v>
      </c>
      <c r="K1002" t="s">
        <v>52</v>
      </c>
      <c r="L1002" t="s">
        <v>2598</v>
      </c>
      <c r="M1002" t="s">
        <v>134</v>
      </c>
      <c r="N1002" t="s">
        <v>135</v>
      </c>
      <c r="O1002"/>
      <c r="P1002"/>
      <c r="Q1002" t="s">
        <v>168</v>
      </c>
      <c r="R1002"/>
      <c r="S1002"/>
      <c r="T1002" t="s">
        <v>2165</v>
      </c>
      <c r="U1002" t="s">
        <v>137</v>
      </c>
      <c r="V1002" t="s">
        <v>150</v>
      </c>
      <c r="W1002"/>
      <c r="X1002" t="s">
        <v>76</v>
      </c>
      <c r="Y1002"/>
      <c r="Z1002"/>
      <c r="AA1002" t="s">
        <v>2163</v>
      </c>
      <c r="AB1002" t="s">
        <v>2</v>
      </c>
      <c r="AC1002" t="s">
        <v>138</v>
      </c>
      <c r="AD1002" t="s">
        <v>128</v>
      </c>
      <c r="AE1002" s="97"/>
    </row>
    <row r="1003" spans="1:31" ht="14.4" customHeight="1" x14ac:dyDescent="0.3">
      <c r="A1003" t="s">
        <v>2601</v>
      </c>
      <c r="B1003" t="s">
        <v>2602</v>
      </c>
      <c r="C1003"/>
      <c r="D1003"/>
      <c r="E1003"/>
      <c r="F1003"/>
      <c r="G1003" t="s">
        <v>2162</v>
      </c>
      <c r="H1003" t="s">
        <v>132</v>
      </c>
      <c r="I1003" t="s">
        <v>2</v>
      </c>
      <c r="J1003" t="s">
        <v>133</v>
      </c>
      <c r="K1003" t="s">
        <v>52</v>
      </c>
      <c r="L1003" t="s">
        <v>2603</v>
      </c>
      <c r="M1003" t="s">
        <v>134</v>
      </c>
      <c r="N1003" t="s">
        <v>135</v>
      </c>
      <c r="O1003"/>
      <c r="P1003"/>
      <c r="Q1003" t="s">
        <v>168</v>
      </c>
      <c r="R1003"/>
      <c r="S1003"/>
      <c r="T1003" t="s">
        <v>2165</v>
      </c>
      <c r="U1003" t="s">
        <v>137</v>
      </c>
      <c r="V1003" t="s">
        <v>153</v>
      </c>
      <c r="W1003"/>
      <c r="X1003" t="s">
        <v>88</v>
      </c>
      <c r="Y1003"/>
      <c r="Z1003"/>
      <c r="AA1003" t="s">
        <v>2163</v>
      </c>
      <c r="AB1003" t="s">
        <v>2</v>
      </c>
      <c r="AC1003" t="s">
        <v>138</v>
      </c>
      <c r="AD1003" t="s">
        <v>129</v>
      </c>
      <c r="AE1003" s="97"/>
    </row>
    <row r="1004" spans="1:31" ht="14.4" customHeight="1" x14ac:dyDescent="0.3">
      <c r="A1004" t="s">
        <v>2604</v>
      </c>
      <c r="B1004" t="s">
        <v>2605</v>
      </c>
      <c r="C1004"/>
      <c r="D1004"/>
      <c r="E1004"/>
      <c r="F1004"/>
      <c r="G1004" t="s">
        <v>2162</v>
      </c>
      <c r="H1004" t="s">
        <v>132</v>
      </c>
      <c r="I1004" t="s">
        <v>2</v>
      </c>
      <c r="J1004" t="s">
        <v>133</v>
      </c>
      <c r="K1004" t="s">
        <v>52</v>
      </c>
      <c r="L1004" t="s">
        <v>2603</v>
      </c>
      <c r="M1004" t="s">
        <v>134</v>
      </c>
      <c r="N1004" t="s">
        <v>135</v>
      </c>
      <c r="O1004"/>
      <c r="P1004"/>
      <c r="Q1004" t="s">
        <v>168</v>
      </c>
      <c r="R1004"/>
      <c r="S1004"/>
      <c r="T1004" t="s">
        <v>2165</v>
      </c>
      <c r="U1004" t="s">
        <v>137</v>
      </c>
      <c r="V1004" t="s">
        <v>153</v>
      </c>
      <c r="W1004"/>
      <c r="X1004" t="s">
        <v>88</v>
      </c>
      <c r="Y1004"/>
      <c r="Z1004"/>
      <c r="AA1004" t="s">
        <v>2163</v>
      </c>
      <c r="AB1004" t="s">
        <v>2</v>
      </c>
      <c r="AC1004" t="s">
        <v>138</v>
      </c>
      <c r="AD1004" t="s">
        <v>129</v>
      </c>
      <c r="AE1004" s="97"/>
    </row>
    <row r="1005" spans="1:31" ht="14.4" customHeight="1" x14ac:dyDescent="0.3">
      <c r="A1005" t="s">
        <v>2606</v>
      </c>
      <c r="B1005" t="s">
        <v>2607</v>
      </c>
      <c r="C1005"/>
      <c r="D1005"/>
      <c r="E1005"/>
      <c r="F1005"/>
      <c r="G1005" t="s">
        <v>2162</v>
      </c>
      <c r="H1005" t="s">
        <v>132</v>
      </c>
      <c r="I1005" t="s">
        <v>2</v>
      </c>
      <c r="J1005" t="s">
        <v>133</v>
      </c>
      <c r="K1005" t="s">
        <v>52</v>
      </c>
      <c r="L1005" t="s">
        <v>2608</v>
      </c>
      <c r="M1005" t="s">
        <v>134</v>
      </c>
      <c r="N1005" t="s">
        <v>135</v>
      </c>
      <c r="O1005"/>
      <c r="P1005"/>
      <c r="Q1005" t="s">
        <v>168</v>
      </c>
      <c r="R1005"/>
      <c r="S1005"/>
      <c r="T1005" t="s">
        <v>2165</v>
      </c>
      <c r="U1005" t="s">
        <v>137</v>
      </c>
      <c r="V1005" t="s">
        <v>156</v>
      </c>
      <c r="W1005"/>
      <c r="X1005" t="s">
        <v>97</v>
      </c>
      <c r="Y1005"/>
      <c r="Z1005"/>
      <c r="AA1005" t="s">
        <v>2163</v>
      </c>
      <c r="AB1005" t="s">
        <v>2</v>
      </c>
      <c r="AC1005" t="s">
        <v>138</v>
      </c>
      <c r="AD1005" t="s">
        <v>129</v>
      </c>
      <c r="AE1005" s="97"/>
    </row>
    <row r="1006" spans="1:31" ht="14.4" customHeight="1" x14ac:dyDescent="0.3">
      <c r="A1006" t="s">
        <v>2609</v>
      </c>
      <c r="B1006" t="s">
        <v>2610</v>
      </c>
      <c r="C1006"/>
      <c r="D1006"/>
      <c r="E1006"/>
      <c r="F1006"/>
      <c r="G1006" t="s">
        <v>2162</v>
      </c>
      <c r="H1006" t="s">
        <v>132</v>
      </c>
      <c r="I1006" t="s">
        <v>2</v>
      </c>
      <c r="J1006" t="s">
        <v>133</v>
      </c>
      <c r="K1006" t="s">
        <v>52</v>
      </c>
      <c r="L1006" t="s">
        <v>2608</v>
      </c>
      <c r="M1006" t="s">
        <v>134</v>
      </c>
      <c r="N1006" t="s">
        <v>135</v>
      </c>
      <c r="O1006"/>
      <c r="P1006"/>
      <c r="Q1006" t="s">
        <v>168</v>
      </c>
      <c r="R1006"/>
      <c r="S1006"/>
      <c r="T1006" t="s">
        <v>2165</v>
      </c>
      <c r="U1006" t="s">
        <v>137</v>
      </c>
      <c r="V1006" t="s">
        <v>156</v>
      </c>
      <c r="W1006"/>
      <c r="X1006" t="s">
        <v>97</v>
      </c>
      <c r="Y1006"/>
      <c r="Z1006"/>
      <c r="AA1006" t="s">
        <v>2163</v>
      </c>
      <c r="AB1006" t="s">
        <v>2</v>
      </c>
      <c r="AC1006" t="s">
        <v>138</v>
      </c>
      <c r="AD1006" t="s">
        <v>129</v>
      </c>
      <c r="AE1006" s="97"/>
    </row>
    <row r="1007" spans="1:31" ht="14.4" customHeight="1" x14ac:dyDescent="0.3">
      <c r="A1007" t="s">
        <v>2611</v>
      </c>
      <c r="B1007" t="s">
        <v>2612</v>
      </c>
      <c r="C1007"/>
      <c r="D1007"/>
      <c r="E1007"/>
      <c r="F1007"/>
      <c r="G1007" t="s">
        <v>2162</v>
      </c>
      <c r="H1007" t="s">
        <v>132</v>
      </c>
      <c r="I1007" t="s">
        <v>2</v>
      </c>
      <c r="J1007" t="s">
        <v>133</v>
      </c>
      <c r="K1007" t="s">
        <v>52</v>
      </c>
      <c r="L1007" t="s">
        <v>2613</v>
      </c>
      <c r="M1007" t="s">
        <v>134</v>
      </c>
      <c r="N1007" t="s">
        <v>135</v>
      </c>
      <c r="O1007"/>
      <c r="P1007"/>
      <c r="Q1007" t="s">
        <v>168</v>
      </c>
      <c r="R1007"/>
      <c r="S1007"/>
      <c r="T1007" t="s">
        <v>2165</v>
      </c>
      <c r="U1007" t="s">
        <v>137</v>
      </c>
      <c r="V1007" t="s">
        <v>159</v>
      </c>
      <c r="W1007"/>
      <c r="X1007" t="s">
        <v>106</v>
      </c>
      <c r="Y1007"/>
      <c r="Z1007"/>
      <c r="AA1007" t="s">
        <v>2163</v>
      </c>
      <c r="AB1007" t="s">
        <v>2</v>
      </c>
      <c r="AC1007" t="s">
        <v>138</v>
      </c>
      <c r="AD1007" t="s">
        <v>129</v>
      </c>
      <c r="AE1007" s="97"/>
    </row>
    <row r="1008" spans="1:31" ht="14.4" customHeight="1" x14ac:dyDescent="0.3">
      <c r="A1008" t="s">
        <v>2614</v>
      </c>
      <c r="B1008" t="s">
        <v>2615</v>
      </c>
      <c r="C1008"/>
      <c r="D1008"/>
      <c r="E1008"/>
      <c r="F1008"/>
      <c r="G1008" t="s">
        <v>2162</v>
      </c>
      <c r="H1008" t="s">
        <v>132</v>
      </c>
      <c r="I1008" t="s">
        <v>2</v>
      </c>
      <c r="J1008" t="s">
        <v>133</v>
      </c>
      <c r="K1008" t="s">
        <v>52</v>
      </c>
      <c r="L1008" t="s">
        <v>2613</v>
      </c>
      <c r="M1008" t="s">
        <v>134</v>
      </c>
      <c r="N1008" t="s">
        <v>135</v>
      </c>
      <c r="O1008"/>
      <c r="P1008"/>
      <c r="Q1008" t="s">
        <v>168</v>
      </c>
      <c r="R1008"/>
      <c r="S1008"/>
      <c r="T1008" t="s">
        <v>2165</v>
      </c>
      <c r="U1008" t="s">
        <v>137</v>
      </c>
      <c r="V1008" t="s">
        <v>159</v>
      </c>
      <c r="W1008"/>
      <c r="X1008" t="s">
        <v>106</v>
      </c>
      <c r="Y1008"/>
      <c r="Z1008"/>
      <c r="AA1008" t="s">
        <v>2163</v>
      </c>
      <c r="AB1008" t="s">
        <v>2</v>
      </c>
      <c r="AC1008" t="s">
        <v>138</v>
      </c>
      <c r="AD1008" t="s">
        <v>129</v>
      </c>
      <c r="AE1008" s="97"/>
    </row>
    <row r="1009" spans="1:31" ht="14.4" customHeight="1" x14ac:dyDescent="0.3">
      <c r="A1009" t="s">
        <v>2616</v>
      </c>
      <c r="B1009" t="s">
        <v>2617</v>
      </c>
      <c r="C1009"/>
      <c r="D1009"/>
      <c r="E1009"/>
      <c r="F1009"/>
      <c r="G1009" t="s">
        <v>2162</v>
      </c>
      <c r="H1009" t="s">
        <v>132</v>
      </c>
      <c r="I1009" t="s">
        <v>2</v>
      </c>
      <c r="J1009" t="s">
        <v>133</v>
      </c>
      <c r="K1009" t="s">
        <v>52</v>
      </c>
      <c r="L1009" t="s">
        <v>2618</v>
      </c>
      <c r="M1009" t="s">
        <v>134</v>
      </c>
      <c r="N1009" t="s">
        <v>135</v>
      </c>
      <c r="O1009"/>
      <c r="P1009"/>
      <c r="Q1009" t="s">
        <v>168</v>
      </c>
      <c r="R1009"/>
      <c r="S1009"/>
      <c r="T1009" t="s">
        <v>2165</v>
      </c>
      <c r="U1009" t="s">
        <v>137</v>
      </c>
      <c r="V1009" t="s">
        <v>162</v>
      </c>
      <c r="W1009"/>
      <c r="X1009" t="s">
        <v>113</v>
      </c>
      <c r="Y1009"/>
      <c r="Z1009"/>
      <c r="AA1009" t="s">
        <v>2163</v>
      </c>
      <c r="AB1009" t="s">
        <v>2</v>
      </c>
      <c r="AC1009" t="s">
        <v>138</v>
      </c>
      <c r="AD1009" t="s">
        <v>129</v>
      </c>
      <c r="AE1009" s="97"/>
    </row>
    <row r="1010" spans="1:31" ht="14.4" customHeight="1" x14ac:dyDescent="0.3">
      <c r="A1010" t="s">
        <v>2619</v>
      </c>
      <c r="B1010" t="s">
        <v>2620</v>
      </c>
      <c r="C1010"/>
      <c r="D1010"/>
      <c r="E1010"/>
      <c r="F1010"/>
      <c r="G1010" t="s">
        <v>2162</v>
      </c>
      <c r="H1010" t="s">
        <v>132</v>
      </c>
      <c r="I1010" t="s">
        <v>2</v>
      </c>
      <c r="J1010" t="s">
        <v>133</v>
      </c>
      <c r="K1010" t="s">
        <v>52</v>
      </c>
      <c r="L1010" t="s">
        <v>2618</v>
      </c>
      <c r="M1010" t="s">
        <v>134</v>
      </c>
      <c r="N1010" t="s">
        <v>135</v>
      </c>
      <c r="O1010"/>
      <c r="P1010"/>
      <c r="Q1010" t="s">
        <v>168</v>
      </c>
      <c r="R1010"/>
      <c r="S1010"/>
      <c r="T1010" t="s">
        <v>2165</v>
      </c>
      <c r="U1010" t="s">
        <v>137</v>
      </c>
      <c r="V1010" t="s">
        <v>162</v>
      </c>
      <c r="W1010"/>
      <c r="X1010" t="s">
        <v>113</v>
      </c>
      <c r="Y1010"/>
      <c r="Z1010"/>
      <c r="AA1010" t="s">
        <v>2163</v>
      </c>
      <c r="AB1010" t="s">
        <v>2</v>
      </c>
      <c r="AC1010" t="s">
        <v>138</v>
      </c>
      <c r="AD1010" t="s">
        <v>129</v>
      </c>
      <c r="AE1010" s="97"/>
    </row>
    <row r="1011" spans="1:31" ht="14.4" customHeight="1" x14ac:dyDescent="0.3">
      <c r="A1011" t="s">
        <v>2621</v>
      </c>
      <c r="B1011" t="s">
        <v>2622</v>
      </c>
      <c r="C1011"/>
      <c r="D1011"/>
      <c r="E1011"/>
      <c r="F1011"/>
      <c r="G1011" t="s">
        <v>2162</v>
      </c>
      <c r="H1011" t="s">
        <v>132</v>
      </c>
      <c r="I1011" t="s">
        <v>2</v>
      </c>
      <c r="J1011" t="s">
        <v>133</v>
      </c>
      <c r="K1011" t="s">
        <v>52</v>
      </c>
      <c r="L1011" t="s">
        <v>2623</v>
      </c>
      <c r="M1011" t="s">
        <v>134</v>
      </c>
      <c r="N1011" t="s">
        <v>135</v>
      </c>
      <c r="O1011"/>
      <c r="P1011"/>
      <c r="Q1011" t="s">
        <v>168</v>
      </c>
      <c r="R1011"/>
      <c r="S1011"/>
      <c r="T1011" t="s">
        <v>2165</v>
      </c>
      <c r="U1011" t="s">
        <v>137</v>
      </c>
      <c r="V1011" t="s">
        <v>165</v>
      </c>
      <c r="W1011"/>
      <c r="X1011" t="s">
        <v>122</v>
      </c>
      <c r="Y1011"/>
      <c r="Z1011"/>
      <c r="AA1011" t="s">
        <v>2163</v>
      </c>
      <c r="AB1011" t="s">
        <v>2</v>
      </c>
      <c r="AC1011" t="s">
        <v>138</v>
      </c>
      <c r="AD1011" t="s">
        <v>130</v>
      </c>
      <c r="AE1011" s="97"/>
    </row>
    <row r="1012" spans="1:31" ht="14.4" customHeight="1" x14ac:dyDescent="0.3">
      <c r="A1012" t="s">
        <v>2624</v>
      </c>
      <c r="B1012" t="s">
        <v>2625</v>
      </c>
      <c r="C1012"/>
      <c r="D1012"/>
      <c r="E1012"/>
      <c r="F1012"/>
      <c r="G1012" t="s">
        <v>2162</v>
      </c>
      <c r="H1012" t="s">
        <v>132</v>
      </c>
      <c r="I1012" t="s">
        <v>2</v>
      </c>
      <c r="J1012" t="s">
        <v>133</v>
      </c>
      <c r="K1012" t="s">
        <v>52</v>
      </c>
      <c r="L1012" t="s">
        <v>2623</v>
      </c>
      <c r="M1012" t="s">
        <v>134</v>
      </c>
      <c r="N1012" t="s">
        <v>135</v>
      </c>
      <c r="O1012"/>
      <c r="P1012"/>
      <c r="Q1012" t="s">
        <v>168</v>
      </c>
      <c r="R1012"/>
      <c r="S1012"/>
      <c r="T1012" t="s">
        <v>2165</v>
      </c>
      <c r="U1012" t="s">
        <v>137</v>
      </c>
      <c r="V1012" t="s">
        <v>165</v>
      </c>
      <c r="W1012"/>
      <c r="X1012" t="s">
        <v>122</v>
      </c>
      <c r="Y1012"/>
      <c r="Z1012"/>
      <c r="AA1012" t="s">
        <v>2163</v>
      </c>
      <c r="AB1012" t="s">
        <v>2</v>
      </c>
      <c r="AC1012" t="s">
        <v>138</v>
      </c>
      <c r="AD1012" t="s">
        <v>130</v>
      </c>
      <c r="AE1012" s="97"/>
    </row>
    <row r="1013" spans="1:31" ht="14.4" customHeight="1" x14ac:dyDescent="0.3">
      <c r="A1013" t="s">
        <v>2626</v>
      </c>
      <c r="B1013" t="s">
        <v>2627</v>
      </c>
      <c r="C1013"/>
      <c r="D1013"/>
      <c r="E1013"/>
      <c r="F1013"/>
      <c r="G1013" t="s">
        <v>2162</v>
      </c>
      <c r="H1013" t="s">
        <v>132</v>
      </c>
      <c r="I1013" t="s">
        <v>2</v>
      </c>
      <c r="J1013" t="s">
        <v>133</v>
      </c>
      <c r="K1013" t="s">
        <v>52</v>
      </c>
      <c r="L1013" t="s">
        <v>2628</v>
      </c>
      <c r="M1013" t="s">
        <v>134</v>
      </c>
      <c r="N1013" t="s">
        <v>135</v>
      </c>
      <c r="O1013"/>
      <c r="P1013"/>
      <c r="Q1013" t="s">
        <v>168</v>
      </c>
      <c r="R1013"/>
      <c r="S1013"/>
      <c r="T1013" t="s">
        <v>2165</v>
      </c>
      <c r="U1013" t="s">
        <v>137</v>
      </c>
      <c r="V1013" t="s">
        <v>150</v>
      </c>
      <c r="W1013"/>
      <c r="X1013" t="s">
        <v>76</v>
      </c>
      <c r="Y1013"/>
      <c r="Z1013"/>
      <c r="AA1013" t="s">
        <v>2163</v>
      </c>
      <c r="AB1013" t="s">
        <v>2</v>
      </c>
      <c r="AC1013" t="s">
        <v>138</v>
      </c>
      <c r="AD1013" t="s">
        <v>128</v>
      </c>
      <c r="AE1013" s="97"/>
    </row>
    <row r="1014" spans="1:31" ht="14.4" customHeight="1" x14ac:dyDescent="0.3">
      <c r="A1014" t="s">
        <v>2629</v>
      </c>
      <c r="B1014" t="s">
        <v>2630</v>
      </c>
      <c r="C1014"/>
      <c r="D1014"/>
      <c r="E1014"/>
      <c r="F1014"/>
      <c r="G1014" t="s">
        <v>2162</v>
      </c>
      <c r="H1014" t="s">
        <v>132</v>
      </c>
      <c r="I1014" t="s">
        <v>2</v>
      </c>
      <c r="J1014" t="s">
        <v>133</v>
      </c>
      <c r="K1014" t="s">
        <v>52</v>
      </c>
      <c r="L1014" t="s">
        <v>2631</v>
      </c>
      <c r="M1014" t="s">
        <v>134</v>
      </c>
      <c r="N1014" t="s">
        <v>135</v>
      </c>
      <c r="O1014"/>
      <c r="P1014"/>
      <c r="Q1014" t="s">
        <v>168</v>
      </c>
      <c r="R1014"/>
      <c r="S1014"/>
      <c r="T1014" t="s">
        <v>2165</v>
      </c>
      <c r="U1014" t="s">
        <v>137</v>
      </c>
      <c r="V1014" t="s">
        <v>153</v>
      </c>
      <c r="W1014"/>
      <c r="X1014" t="s">
        <v>88</v>
      </c>
      <c r="Y1014"/>
      <c r="Z1014"/>
      <c r="AA1014" t="s">
        <v>2163</v>
      </c>
      <c r="AB1014" t="s">
        <v>2</v>
      </c>
      <c r="AC1014" t="s">
        <v>138</v>
      </c>
      <c r="AD1014" t="s">
        <v>129</v>
      </c>
      <c r="AE1014" s="97"/>
    </row>
    <row r="1015" spans="1:31" ht="14.4" customHeight="1" x14ac:dyDescent="0.3">
      <c r="A1015" t="s">
        <v>2632</v>
      </c>
      <c r="B1015" t="s">
        <v>2633</v>
      </c>
      <c r="C1015"/>
      <c r="D1015"/>
      <c r="E1015"/>
      <c r="F1015"/>
      <c r="G1015" t="s">
        <v>2162</v>
      </c>
      <c r="H1015" t="s">
        <v>132</v>
      </c>
      <c r="I1015" t="s">
        <v>2</v>
      </c>
      <c r="J1015" t="s">
        <v>133</v>
      </c>
      <c r="K1015" t="s">
        <v>52</v>
      </c>
      <c r="L1015" t="s">
        <v>2634</v>
      </c>
      <c r="M1015" t="s">
        <v>134</v>
      </c>
      <c r="N1015" t="s">
        <v>135</v>
      </c>
      <c r="O1015"/>
      <c r="P1015"/>
      <c r="Q1015" t="s">
        <v>168</v>
      </c>
      <c r="R1015"/>
      <c r="S1015"/>
      <c r="T1015" t="s">
        <v>2165</v>
      </c>
      <c r="U1015" t="s">
        <v>137</v>
      </c>
      <c r="V1015" t="s">
        <v>156</v>
      </c>
      <c r="W1015"/>
      <c r="X1015" t="s">
        <v>97</v>
      </c>
      <c r="Y1015"/>
      <c r="Z1015"/>
      <c r="AA1015" t="s">
        <v>2163</v>
      </c>
      <c r="AB1015" t="s">
        <v>2</v>
      </c>
      <c r="AC1015" t="s">
        <v>138</v>
      </c>
      <c r="AD1015" t="s">
        <v>129</v>
      </c>
      <c r="AE1015" s="97"/>
    </row>
    <row r="1016" spans="1:31" ht="14.4" customHeight="1" x14ac:dyDescent="0.3">
      <c r="A1016" t="s">
        <v>2635</v>
      </c>
      <c r="B1016" t="s">
        <v>2636</v>
      </c>
      <c r="C1016"/>
      <c r="D1016"/>
      <c r="E1016"/>
      <c r="F1016"/>
      <c r="G1016" t="s">
        <v>2162</v>
      </c>
      <c r="H1016" t="s">
        <v>132</v>
      </c>
      <c r="I1016" t="s">
        <v>2</v>
      </c>
      <c r="J1016" t="s">
        <v>133</v>
      </c>
      <c r="K1016" t="s">
        <v>52</v>
      </c>
      <c r="L1016" t="s">
        <v>2637</v>
      </c>
      <c r="M1016" t="s">
        <v>134</v>
      </c>
      <c r="N1016" t="s">
        <v>135</v>
      </c>
      <c r="O1016"/>
      <c r="P1016"/>
      <c r="Q1016" t="s">
        <v>168</v>
      </c>
      <c r="R1016"/>
      <c r="S1016"/>
      <c r="T1016" t="s">
        <v>2165</v>
      </c>
      <c r="U1016" t="s">
        <v>137</v>
      </c>
      <c r="V1016" t="s">
        <v>159</v>
      </c>
      <c r="W1016"/>
      <c r="X1016" t="s">
        <v>106</v>
      </c>
      <c r="Y1016"/>
      <c r="Z1016"/>
      <c r="AA1016" t="s">
        <v>2163</v>
      </c>
      <c r="AB1016" t="s">
        <v>2</v>
      </c>
      <c r="AC1016" t="s">
        <v>138</v>
      </c>
      <c r="AD1016" t="s">
        <v>129</v>
      </c>
      <c r="AE1016" s="97"/>
    </row>
    <row r="1017" spans="1:31" ht="14.4" customHeight="1" x14ac:dyDescent="0.3">
      <c r="A1017" t="s">
        <v>2638</v>
      </c>
      <c r="B1017" t="s">
        <v>2639</v>
      </c>
      <c r="C1017"/>
      <c r="D1017"/>
      <c r="E1017"/>
      <c r="F1017"/>
      <c r="G1017" t="s">
        <v>2162</v>
      </c>
      <c r="H1017" t="s">
        <v>132</v>
      </c>
      <c r="I1017" t="s">
        <v>2</v>
      </c>
      <c r="J1017" t="s">
        <v>133</v>
      </c>
      <c r="K1017" t="s">
        <v>52</v>
      </c>
      <c r="L1017" t="s">
        <v>2640</v>
      </c>
      <c r="M1017" t="s">
        <v>134</v>
      </c>
      <c r="N1017" t="s">
        <v>135</v>
      </c>
      <c r="O1017"/>
      <c r="P1017"/>
      <c r="Q1017" t="s">
        <v>168</v>
      </c>
      <c r="R1017"/>
      <c r="S1017"/>
      <c r="T1017" t="s">
        <v>2165</v>
      </c>
      <c r="U1017" t="s">
        <v>137</v>
      </c>
      <c r="V1017" t="s">
        <v>162</v>
      </c>
      <c r="W1017"/>
      <c r="X1017" t="s">
        <v>113</v>
      </c>
      <c r="Y1017"/>
      <c r="Z1017"/>
      <c r="AA1017" t="s">
        <v>2163</v>
      </c>
      <c r="AB1017" t="s">
        <v>2</v>
      </c>
      <c r="AC1017" t="s">
        <v>138</v>
      </c>
      <c r="AD1017" t="s">
        <v>129</v>
      </c>
      <c r="AE1017" s="97"/>
    </row>
    <row r="1018" spans="1:31" ht="14.4" customHeight="1" x14ac:dyDescent="0.3">
      <c r="A1018" t="s">
        <v>2641</v>
      </c>
      <c r="B1018" t="s">
        <v>2642</v>
      </c>
      <c r="C1018"/>
      <c r="D1018"/>
      <c r="E1018"/>
      <c r="F1018"/>
      <c r="G1018" t="s">
        <v>2162</v>
      </c>
      <c r="H1018" t="s">
        <v>132</v>
      </c>
      <c r="I1018" t="s">
        <v>2</v>
      </c>
      <c r="J1018" t="s">
        <v>133</v>
      </c>
      <c r="K1018" t="s">
        <v>52</v>
      </c>
      <c r="L1018" t="s">
        <v>2643</v>
      </c>
      <c r="M1018" t="s">
        <v>134</v>
      </c>
      <c r="N1018" t="s">
        <v>135</v>
      </c>
      <c r="O1018"/>
      <c r="P1018"/>
      <c r="Q1018" t="s">
        <v>168</v>
      </c>
      <c r="R1018"/>
      <c r="S1018"/>
      <c r="T1018" t="s">
        <v>2165</v>
      </c>
      <c r="U1018" t="s">
        <v>137</v>
      </c>
      <c r="V1018" t="s">
        <v>165</v>
      </c>
      <c r="W1018"/>
      <c r="X1018" t="s">
        <v>122</v>
      </c>
      <c r="Y1018"/>
      <c r="Z1018"/>
      <c r="AA1018" t="s">
        <v>2163</v>
      </c>
      <c r="AB1018" t="s">
        <v>2</v>
      </c>
      <c r="AC1018" t="s">
        <v>138</v>
      </c>
      <c r="AD1018" t="s">
        <v>130</v>
      </c>
      <c r="AE1018" s="97"/>
    </row>
    <row r="1019" spans="1:31" ht="14.4" customHeight="1" x14ac:dyDescent="0.3">
      <c r="A1019" t="s">
        <v>2644</v>
      </c>
      <c r="B1019" t="s">
        <v>2645</v>
      </c>
      <c r="C1019"/>
      <c r="D1019"/>
      <c r="E1019"/>
      <c r="F1019"/>
      <c r="G1019" t="s">
        <v>2162</v>
      </c>
      <c r="H1019" t="s">
        <v>132</v>
      </c>
      <c r="I1019" t="s">
        <v>2</v>
      </c>
      <c r="J1019" t="s">
        <v>133</v>
      </c>
      <c r="K1019" t="s">
        <v>52</v>
      </c>
      <c r="L1019" t="s">
        <v>2646</v>
      </c>
      <c r="M1019" t="s">
        <v>134</v>
      </c>
      <c r="N1019" t="s">
        <v>135</v>
      </c>
      <c r="O1019"/>
      <c r="P1019"/>
      <c r="Q1019" t="s">
        <v>168</v>
      </c>
      <c r="R1019"/>
      <c r="S1019"/>
      <c r="T1019" t="s">
        <v>2165</v>
      </c>
      <c r="U1019" t="s">
        <v>137</v>
      </c>
      <c r="V1019" t="s">
        <v>890</v>
      </c>
      <c r="W1019"/>
      <c r="X1019" t="s">
        <v>59</v>
      </c>
      <c r="Y1019"/>
      <c r="Z1019"/>
      <c r="AA1019" t="s">
        <v>2163</v>
      </c>
      <c r="AB1019" t="s">
        <v>2</v>
      </c>
      <c r="AC1019" t="s">
        <v>138</v>
      </c>
      <c r="AD1019" t="s">
        <v>128</v>
      </c>
      <c r="AE1019" s="97"/>
    </row>
    <row r="1020" spans="1:31" ht="14.4" customHeight="1" x14ac:dyDescent="0.3">
      <c r="A1020" t="s">
        <v>2647</v>
      </c>
      <c r="B1020" t="s">
        <v>2648</v>
      </c>
      <c r="C1020"/>
      <c r="D1020"/>
      <c r="E1020"/>
      <c r="F1020"/>
      <c r="G1020" t="s">
        <v>2162</v>
      </c>
      <c r="H1020" t="s">
        <v>132</v>
      </c>
      <c r="I1020" t="s">
        <v>2</v>
      </c>
      <c r="J1020" t="s">
        <v>133</v>
      </c>
      <c r="K1020" t="s">
        <v>52</v>
      </c>
      <c r="L1020" t="s">
        <v>2646</v>
      </c>
      <c r="M1020" t="s">
        <v>134</v>
      </c>
      <c r="N1020" t="s">
        <v>135</v>
      </c>
      <c r="O1020"/>
      <c r="P1020"/>
      <c r="Q1020" t="s">
        <v>168</v>
      </c>
      <c r="R1020"/>
      <c r="S1020"/>
      <c r="T1020" t="s">
        <v>2165</v>
      </c>
      <c r="U1020" t="s">
        <v>137</v>
      </c>
      <c r="V1020" t="s">
        <v>890</v>
      </c>
      <c r="W1020"/>
      <c r="X1020" t="s">
        <v>59</v>
      </c>
      <c r="Y1020"/>
      <c r="Z1020"/>
      <c r="AA1020" t="s">
        <v>2163</v>
      </c>
      <c r="AB1020" t="s">
        <v>2</v>
      </c>
      <c r="AC1020" t="s">
        <v>138</v>
      </c>
      <c r="AD1020" t="s">
        <v>128</v>
      </c>
      <c r="AE1020" s="97"/>
    </row>
    <row r="1021" spans="1:31" ht="14.4" customHeight="1" x14ac:dyDescent="0.3">
      <c r="A1021" t="s">
        <v>2649</v>
      </c>
      <c r="B1021" t="s">
        <v>2650</v>
      </c>
      <c r="C1021"/>
      <c r="D1021"/>
      <c r="E1021"/>
      <c r="F1021"/>
      <c r="G1021" t="s">
        <v>2162</v>
      </c>
      <c r="H1021" t="s">
        <v>132</v>
      </c>
      <c r="I1021" t="s">
        <v>2</v>
      </c>
      <c r="J1021" t="s">
        <v>133</v>
      </c>
      <c r="K1021" t="s">
        <v>52</v>
      </c>
      <c r="L1021" t="s">
        <v>2646</v>
      </c>
      <c r="M1021" t="s">
        <v>134</v>
      </c>
      <c r="N1021" t="s">
        <v>135</v>
      </c>
      <c r="O1021"/>
      <c r="P1021"/>
      <c r="Q1021" t="s">
        <v>168</v>
      </c>
      <c r="R1021"/>
      <c r="S1021"/>
      <c r="T1021" t="s">
        <v>2165</v>
      </c>
      <c r="U1021" t="s">
        <v>137</v>
      </c>
      <c r="V1021" t="s">
        <v>890</v>
      </c>
      <c r="W1021"/>
      <c r="X1021" t="s">
        <v>59</v>
      </c>
      <c r="Y1021"/>
      <c r="Z1021"/>
      <c r="AA1021" t="s">
        <v>2163</v>
      </c>
      <c r="AB1021" t="s">
        <v>2</v>
      </c>
      <c r="AC1021" t="s">
        <v>138</v>
      </c>
      <c r="AD1021" t="s">
        <v>128</v>
      </c>
      <c r="AE1021" s="97"/>
    </row>
    <row r="1022" spans="1:31" ht="14.4" customHeight="1" x14ac:dyDescent="0.3">
      <c r="A1022" t="s">
        <v>2651</v>
      </c>
      <c r="B1022" t="s">
        <v>2652</v>
      </c>
      <c r="C1022"/>
      <c r="D1022"/>
      <c r="E1022"/>
      <c r="F1022"/>
      <c r="G1022" t="s">
        <v>2162</v>
      </c>
      <c r="H1022" t="s">
        <v>132</v>
      </c>
      <c r="I1022" t="s">
        <v>2</v>
      </c>
      <c r="J1022" t="s">
        <v>133</v>
      </c>
      <c r="K1022" t="s">
        <v>52</v>
      </c>
      <c r="L1022" t="s">
        <v>2646</v>
      </c>
      <c r="M1022" t="s">
        <v>134</v>
      </c>
      <c r="N1022" t="s">
        <v>135</v>
      </c>
      <c r="O1022"/>
      <c r="P1022"/>
      <c r="Q1022" t="s">
        <v>168</v>
      </c>
      <c r="R1022"/>
      <c r="S1022"/>
      <c r="T1022" t="s">
        <v>2165</v>
      </c>
      <c r="U1022" t="s">
        <v>137</v>
      </c>
      <c r="V1022" t="s">
        <v>890</v>
      </c>
      <c r="W1022"/>
      <c r="X1022" t="s">
        <v>59</v>
      </c>
      <c r="Y1022"/>
      <c r="Z1022"/>
      <c r="AA1022" t="s">
        <v>2163</v>
      </c>
      <c r="AB1022" t="s">
        <v>2</v>
      </c>
      <c r="AC1022" t="s">
        <v>138</v>
      </c>
      <c r="AD1022" t="s">
        <v>128</v>
      </c>
      <c r="AE1022" s="97"/>
    </row>
    <row r="1023" spans="1:31" ht="14.4" customHeight="1" x14ac:dyDescent="0.3">
      <c r="A1023" t="s">
        <v>2653</v>
      </c>
      <c r="B1023" t="s">
        <v>2654</v>
      </c>
      <c r="C1023"/>
      <c r="D1023"/>
      <c r="E1023"/>
      <c r="F1023"/>
      <c r="G1023" t="s">
        <v>2162</v>
      </c>
      <c r="H1023" t="s">
        <v>132</v>
      </c>
      <c r="I1023" t="s">
        <v>2</v>
      </c>
      <c r="J1023" t="s">
        <v>133</v>
      </c>
      <c r="K1023" t="s">
        <v>52</v>
      </c>
      <c r="L1023" t="s">
        <v>2646</v>
      </c>
      <c r="M1023" t="s">
        <v>134</v>
      </c>
      <c r="N1023" t="s">
        <v>135</v>
      </c>
      <c r="O1023"/>
      <c r="P1023"/>
      <c r="Q1023" t="s">
        <v>168</v>
      </c>
      <c r="R1023"/>
      <c r="S1023"/>
      <c r="T1023" t="s">
        <v>2165</v>
      </c>
      <c r="U1023" t="s">
        <v>137</v>
      </c>
      <c r="V1023" t="s">
        <v>890</v>
      </c>
      <c r="W1023"/>
      <c r="X1023" t="s">
        <v>59</v>
      </c>
      <c r="Y1023"/>
      <c r="Z1023"/>
      <c r="AA1023" t="s">
        <v>2163</v>
      </c>
      <c r="AB1023" t="s">
        <v>2</v>
      </c>
      <c r="AC1023" t="s">
        <v>138</v>
      </c>
      <c r="AD1023" t="s">
        <v>128</v>
      </c>
      <c r="AE1023" s="97"/>
    </row>
    <row r="1024" spans="1:31" ht="14.4" customHeight="1" x14ac:dyDescent="0.3">
      <c r="A1024" t="s">
        <v>2655</v>
      </c>
      <c r="B1024" t="s">
        <v>2656</v>
      </c>
      <c r="C1024"/>
      <c r="D1024"/>
      <c r="E1024"/>
      <c r="F1024"/>
      <c r="G1024" t="s">
        <v>2162</v>
      </c>
      <c r="H1024" t="s">
        <v>132</v>
      </c>
      <c r="I1024" t="s">
        <v>2</v>
      </c>
      <c r="J1024" t="s">
        <v>133</v>
      </c>
      <c r="K1024" t="s">
        <v>52</v>
      </c>
      <c r="L1024" t="s">
        <v>1638</v>
      </c>
      <c r="M1024" t="s">
        <v>134</v>
      </c>
      <c r="N1024" t="s">
        <v>135</v>
      </c>
      <c r="O1024"/>
      <c r="P1024"/>
      <c r="Q1024" t="s">
        <v>168</v>
      </c>
      <c r="R1024"/>
      <c r="S1024"/>
      <c r="T1024" t="s">
        <v>2165</v>
      </c>
      <c r="U1024" t="s">
        <v>137</v>
      </c>
      <c r="V1024" t="s">
        <v>890</v>
      </c>
      <c r="W1024"/>
      <c r="X1024" t="s">
        <v>59</v>
      </c>
      <c r="Y1024"/>
      <c r="Z1024"/>
      <c r="AA1024" t="s">
        <v>2163</v>
      </c>
      <c r="AB1024" t="s">
        <v>2</v>
      </c>
      <c r="AC1024" t="s">
        <v>138</v>
      </c>
      <c r="AD1024" t="s">
        <v>128</v>
      </c>
      <c r="AE1024" s="97"/>
    </row>
    <row r="1025" spans="1:31" ht="14.4" customHeight="1" x14ac:dyDescent="0.3">
      <c r="A1025" t="s">
        <v>2657</v>
      </c>
      <c r="B1025" t="s">
        <v>2658</v>
      </c>
      <c r="C1025"/>
      <c r="D1025"/>
      <c r="E1025"/>
      <c r="F1025"/>
      <c r="G1025" t="s">
        <v>2162</v>
      </c>
      <c r="H1025" t="s">
        <v>132</v>
      </c>
      <c r="I1025" t="s">
        <v>2</v>
      </c>
      <c r="J1025" t="s">
        <v>133</v>
      </c>
      <c r="K1025" t="s">
        <v>52</v>
      </c>
      <c r="L1025" t="s">
        <v>1638</v>
      </c>
      <c r="M1025" t="s">
        <v>134</v>
      </c>
      <c r="N1025" t="s">
        <v>135</v>
      </c>
      <c r="O1025"/>
      <c r="P1025"/>
      <c r="Q1025" t="s">
        <v>168</v>
      </c>
      <c r="R1025"/>
      <c r="S1025"/>
      <c r="T1025" t="s">
        <v>2165</v>
      </c>
      <c r="U1025" t="s">
        <v>137</v>
      </c>
      <c r="V1025" t="s">
        <v>890</v>
      </c>
      <c r="W1025"/>
      <c r="X1025" t="s">
        <v>59</v>
      </c>
      <c r="Y1025"/>
      <c r="Z1025"/>
      <c r="AA1025" t="s">
        <v>2163</v>
      </c>
      <c r="AB1025" t="s">
        <v>2</v>
      </c>
      <c r="AC1025" t="s">
        <v>138</v>
      </c>
      <c r="AD1025" t="s">
        <v>128</v>
      </c>
      <c r="AE1025" s="97"/>
    </row>
    <row r="1026" spans="1:31" ht="14.4" customHeight="1" x14ac:dyDescent="0.3">
      <c r="A1026" t="s">
        <v>2659</v>
      </c>
      <c r="B1026" t="s">
        <v>2660</v>
      </c>
      <c r="C1026"/>
      <c r="D1026"/>
      <c r="E1026"/>
      <c r="F1026"/>
      <c r="G1026" t="s">
        <v>2162</v>
      </c>
      <c r="H1026" t="s">
        <v>132</v>
      </c>
      <c r="I1026" t="s">
        <v>2</v>
      </c>
      <c r="J1026" t="s">
        <v>133</v>
      </c>
      <c r="K1026" t="s">
        <v>52</v>
      </c>
      <c r="L1026" t="s">
        <v>1638</v>
      </c>
      <c r="M1026" t="s">
        <v>134</v>
      </c>
      <c r="N1026" t="s">
        <v>135</v>
      </c>
      <c r="O1026"/>
      <c r="P1026"/>
      <c r="Q1026" t="s">
        <v>168</v>
      </c>
      <c r="R1026"/>
      <c r="S1026"/>
      <c r="T1026" t="s">
        <v>2165</v>
      </c>
      <c r="U1026" t="s">
        <v>137</v>
      </c>
      <c r="V1026" t="s">
        <v>890</v>
      </c>
      <c r="W1026"/>
      <c r="X1026" t="s">
        <v>59</v>
      </c>
      <c r="Y1026"/>
      <c r="Z1026"/>
      <c r="AA1026" t="s">
        <v>2163</v>
      </c>
      <c r="AB1026" t="s">
        <v>2</v>
      </c>
      <c r="AC1026" t="s">
        <v>138</v>
      </c>
      <c r="AD1026" t="s">
        <v>128</v>
      </c>
      <c r="AE1026" s="97"/>
    </row>
    <row r="1027" spans="1:31" ht="14.4" customHeight="1" x14ac:dyDescent="0.3">
      <c r="A1027" t="s">
        <v>2661</v>
      </c>
      <c r="B1027" t="s">
        <v>2662</v>
      </c>
      <c r="C1027"/>
      <c r="D1027"/>
      <c r="E1027"/>
      <c r="F1027"/>
      <c r="G1027" t="s">
        <v>2162</v>
      </c>
      <c r="H1027" t="s">
        <v>132</v>
      </c>
      <c r="I1027" t="s">
        <v>2</v>
      </c>
      <c r="J1027" t="s">
        <v>133</v>
      </c>
      <c r="K1027" t="s">
        <v>52</v>
      </c>
      <c r="L1027" t="s">
        <v>1638</v>
      </c>
      <c r="M1027" t="s">
        <v>134</v>
      </c>
      <c r="N1027" t="s">
        <v>135</v>
      </c>
      <c r="O1027"/>
      <c r="P1027"/>
      <c r="Q1027" t="s">
        <v>168</v>
      </c>
      <c r="R1027"/>
      <c r="S1027"/>
      <c r="T1027" t="s">
        <v>2165</v>
      </c>
      <c r="U1027" t="s">
        <v>137</v>
      </c>
      <c r="V1027" t="s">
        <v>890</v>
      </c>
      <c r="W1027"/>
      <c r="X1027" t="s">
        <v>59</v>
      </c>
      <c r="Y1027"/>
      <c r="Z1027"/>
      <c r="AA1027" t="s">
        <v>2163</v>
      </c>
      <c r="AB1027" t="s">
        <v>2</v>
      </c>
      <c r="AC1027" t="s">
        <v>138</v>
      </c>
      <c r="AD1027" t="s">
        <v>128</v>
      </c>
      <c r="AE1027" s="97"/>
    </row>
    <row r="1028" spans="1:31" ht="14.4" customHeight="1" x14ac:dyDescent="0.3">
      <c r="A1028" t="s">
        <v>2663</v>
      </c>
      <c r="B1028" t="s">
        <v>2664</v>
      </c>
      <c r="C1028"/>
      <c r="D1028"/>
      <c r="E1028"/>
      <c r="F1028"/>
      <c r="G1028" t="s">
        <v>2162</v>
      </c>
      <c r="H1028" t="s">
        <v>132</v>
      </c>
      <c r="I1028" t="s">
        <v>2</v>
      </c>
      <c r="J1028" t="s">
        <v>133</v>
      </c>
      <c r="K1028" t="s">
        <v>52</v>
      </c>
      <c r="L1028" t="s">
        <v>1641</v>
      </c>
      <c r="M1028" t="s">
        <v>134</v>
      </c>
      <c r="N1028" t="s">
        <v>135</v>
      </c>
      <c r="O1028"/>
      <c r="P1028"/>
      <c r="Q1028" t="s">
        <v>168</v>
      </c>
      <c r="R1028"/>
      <c r="S1028"/>
      <c r="T1028" t="s">
        <v>2165</v>
      </c>
      <c r="U1028" t="s">
        <v>137</v>
      </c>
      <c r="V1028" t="s">
        <v>890</v>
      </c>
      <c r="W1028"/>
      <c r="X1028" t="s">
        <v>59</v>
      </c>
      <c r="Y1028"/>
      <c r="Z1028"/>
      <c r="AA1028" t="s">
        <v>2163</v>
      </c>
      <c r="AB1028" t="s">
        <v>2</v>
      </c>
      <c r="AC1028" t="s">
        <v>138</v>
      </c>
      <c r="AD1028" t="s">
        <v>128</v>
      </c>
      <c r="AE1028" s="97"/>
    </row>
    <row r="1029" spans="1:31" ht="14.4" customHeight="1" x14ac:dyDescent="0.3">
      <c r="A1029" t="s">
        <v>2665</v>
      </c>
      <c r="B1029" t="s">
        <v>2666</v>
      </c>
      <c r="C1029"/>
      <c r="D1029"/>
      <c r="E1029"/>
      <c r="F1029"/>
      <c r="G1029" t="s">
        <v>2162</v>
      </c>
      <c r="H1029" t="s">
        <v>132</v>
      </c>
      <c r="I1029" t="s">
        <v>2</v>
      </c>
      <c r="J1029" t="s">
        <v>133</v>
      </c>
      <c r="K1029" t="s">
        <v>52</v>
      </c>
      <c r="L1029" t="s">
        <v>1641</v>
      </c>
      <c r="M1029" t="s">
        <v>134</v>
      </c>
      <c r="N1029" t="s">
        <v>135</v>
      </c>
      <c r="O1029"/>
      <c r="P1029"/>
      <c r="Q1029" t="s">
        <v>168</v>
      </c>
      <c r="R1029"/>
      <c r="S1029"/>
      <c r="T1029" t="s">
        <v>2165</v>
      </c>
      <c r="U1029" t="s">
        <v>137</v>
      </c>
      <c r="V1029" t="s">
        <v>890</v>
      </c>
      <c r="W1029"/>
      <c r="X1029" t="s">
        <v>59</v>
      </c>
      <c r="Y1029"/>
      <c r="Z1029"/>
      <c r="AA1029" t="s">
        <v>2163</v>
      </c>
      <c r="AB1029" t="s">
        <v>2</v>
      </c>
      <c r="AC1029" t="s">
        <v>138</v>
      </c>
      <c r="AD1029" t="s">
        <v>128</v>
      </c>
      <c r="AE1029" s="97"/>
    </row>
    <row r="1030" spans="1:31" ht="14.4" customHeight="1" x14ac:dyDescent="0.3">
      <c r="A1030" t="s">
        <v>2667</v>
      </c>
      <c r="B1030" t="s">
        <v>2668</v>
      </c>
      <c r="C1030"/>
      <c r="D1030"/>
      <c r="E1030"/>
      <c r="F1030"/>
      <c r="G1030" t="s">
        <v>2162</v>
      </c>
      <c r="H1030" t="s">
        <v>132</v>
      </c>
      <c r="I1030" t="s">
        <v>2</v>
      </c>
      <c r="J1030" t="s">
        <v>133</v>
      </c>
      <c r="K1030" t="s">
        <v>52</v>
      </c>
      <c r="L1030" t="s">
        <v>1638</v>
      </c>
      <c r="M1030" t="s">
        <v>134</v>
      </c>
      <c r="N1030" t="s">
        <v>135</v>
      </c>
      <c r="O1030"/>
      <c r="P1030"/>
      <c r="Q1030" t="s">
        <v>168</v>
      </c>
      <c r="R1030"/>
      <c r="S1030"/>
      <c r="T1030" t="s">
        <v>2165</v>
      </c>
      <c r="U1030" t="s">
        <v>137</v>
      </c>
      <c r="V1030" t="s">
        <v>890</v>
      </c>
      <c r="W1030"/>
      <c r="X1030" t="s">
        <v>59</v>
      </c>
      <c r="Y1030"/>
      <c r="Z1030"/>
      <c r="AA1030" t="s">
        <v>2163</v>
      </c>
      <c r="AB1030" t="s">
        <v>2</v>
      </c>
      <c r="AC1030" t="s">
        <v>138</v>
      </c>
      <c r="AD1030" t="s">
        <v>128</v>
      </c>
      <c r="AE1030" s="97"/>
    </row>
    <row r="1031" spans="1:31" ht="14.4" customHeight="1" x14ac:dyDescent="0.3">
      <c r="A1031" t="s">
        <v>2669</v>
      </c>
      <c r="B1031" t="s">
        <v>2670</v>
      </c>
      <c r="C1031"/>
      <c r="D1031"/>
      <c r="E1031"/>
      <c r="F1031"/>
      <c r="G1031" t="s">
        <v>2162</v>
      </c>
      <c r="H1031" t="s">
        <v>132</v>
      </c>
      <c r="I1031" t="s">
        <v>2</v>
      </c>
      <c r="J1031" t="s">
        <v>133</v>
      </c>
      <c r="K1031" t="s">
        <v>52</v>
      </c>
      <c r="L1031" t="s">
        <v>1638</v>
      </c>
      <c r="M1031" t="s">
        <v>134</v>
      </c>
      <c r="N1031" t="s">
        <v>135</v>
      </c>
      <c r="O1031"/>
      <c r="P1031"/>
      <c r="Q1031" t="s">
        <v>168</v>
      </c>
      <c r="R1031"/>
      <c r="S1031"/>
      <c r="T1031" t="s">
        <v>2165</v>
      </c>
      <c r="U1031" t="s">
        <v>137</v>
      </c>
      <c r="V1031" t="s">
        <v>890</v>
      </c>
      <c r="W1031"/>
      <c r="X1031" t="s">
        <v>59</v>
      </c>
      <c r="Y1031"/>
      <c r="Z1031"/>
      <c r="AA1031" t="s">
        <v>2163</v>
      </c>
      <c r="AB1031" t="s">
        <v>2</v>
      </c>
      <c r="AC1031" t="s">
        <v>138</v>
      </c>
      <c r="AD1031" t="s">
        <v>128</v>
      </c>
      <c r="AE1031" s="97"/>
    </row>
    <row r="1032" spans="1:31" ht="14.4" customHeight="1" x14ac:dyDescent="0.3">
      <c r="A1032" t="s">
        <v>2671</v>
      </c>
      <c r="B1032" t="s">
        <v>2672</v>
      </c>
      <c r="C1032"/>
      <c r="D1032"/>
      <c r="E1032"/>
      <c r="F1032"/>
      <c r="G1032" t="s">
        <v>2162</v>
      </c>
      <c r="H1032" t="s">
        <v>132</v>
      </c>
      <c r="I1032" t="s">
        <v>2</v>
      </c>
      <c r="J1032" t="s">
        <v>133</v>
      </c>
      <c r="K1032" t="s">
        <v>52</v>
      </c>
      <c r="L1032" t="s">
        <v>1638</v>
      </c>
      <c r="M1032" t="s">
        <v>134</v>
      </c>
      <c r="N1032" t="s">
        <v>135</v>
      </c>
      <c r="O1032"/>
      <c r="P1032"/>
      <c r="Q1032" t="s">
        <v>168</v>
      </c>
      <c r="R1032"/>
      <c r="S1032"/>
      <c r="T1032" t="s">
        <v>2165</v>
      </c>
      <c r="U1032" t="s">
        <v>137</v>
      </c>
      <c r="V1032" t="s">
        <v>890</v>
      </c>
      <c r="W1032"/>
      <c r="X1032" t="s">
        <v>59</v>
      </c>
      <c r="Y1032"/>
      <c r="Z1032"/>
      <c r="AA1032" t="s">
        <v>2163</v>
      </c>
      <c r="AB1032" t="s">
        <v>2</v>
      </c>
      <c r="AC1032" t="s">
        <v>138</v>
      </c>
      <c r="AD1032" t="s">
        <v>128</v>
      </c>
      <c r="AE1032" s="97"/>
    </row>
    <row r="1033" spans="1:31" ht="14.4" customHeight="1" x14ac:dyDescent="0.3">
      <c r="A1033" t="s">
        <v>2681</v>
      </c>
      <c r="B1033" t="s">
        <v>2682</v>
      </c>
      <c r="C1033"/>
      <c r="D1033"/>
      <c r="E1033"/>
      <c r="F1033"/>
      <c r="G1033" t="s">
        <v>2162</v>
      </c>
      <c r="H1033" t="s">
        <v>132</v>
      </c>
      <c r="I1033" t="s">
        <v>2</v>
      </c>
      <c r="J1033" t="s">
        <v>133</v>
      </c>
      <c r="K1033" t="s">
        <v>52</v>
      </c>
      <c r="L1033" t="s">
        <v>2683</v>
      </c>
      <c r="M1033" t="s">
        <v>134</v>
      </c>
      <c r="N1033" t="s">
        <v>135</v>
      </c>
      <c r="O1033"/>
      <c r="P1033"/>
      <c r="Q1033" t="s">
        <v>168</v>
      </c>
      <c r="R1033"/>
      <c r="S1033"/>
      <c r="T1033" t="s">
        <v>2165</v>
      </c>
      <c r="U1033" t="s">
        <v>137</v>
      </c>
      <c r="V1033" t="s">
        <v>890</v>
      </c>
      <c r="W1033"/>
      <c r="X1033" t="s">
        <v>59</v>
      </c>
      <c r="Y1033"/>
      <c r="Z1033"/>
      <c r="AA1033" t="s">
        <v>2163</v>
      </c>
      <c r="AB1033" t="s">
        <v>2</v>
      </c>
      <c r="AC1033" t="s">
        <v>138</v>
      </c>
      <c r="AD1033" t="s">
        <v>128</v>
      </c>
      <c r="AE1033" s="97"/>
    </row>
    <row r="1034" spans="1:31" ht="14.4" customHeight="1" x14ac:dyDescent="0.3">
      <c r="A1034" t="s">
        <v>2684</v>
      </c>
      <c r="B1034" t="s">
        <v>2685</v>
      </c>
      <c r="C1034"/>
      <c r="D1034"/>
      <c r="E1034"/>
      <c r="F1034"/>
      <c r="G1034" t="s">
        <v>2162</v>
      </c>
      <c r="H1034" t="s">
        <v>132</v>
      </c>
      <c r="I1034" t="s">
        <v>2</v>
      </c>
      <c r="J1034" t="s">
        <v>133</v>
      </c>
      <c r="K1034" t="s">
        <v>52</v>
      </c>
      <c r="L1034" t="s">
        <v>2686</v>
      </c>
      <c r="M1034" t="s">
        <v>134</v>
      </c>
      <c r="N1034" t="s">
        <v>135</v>
      </c>
      <c r="O1034"/>
      <c r="P1034"/>
      <c r="Q1034" t="s">
        <v>168</v>
      </c>
      <c r="R1034"/>
      <c r="S1034"/>
      <c r="T1034" t="s">
        <v>2165</v>
      </c>
      <c r="U1034" t="s">
        <v>137</v>
      </c>
      <c r="V1034" t="s">
        <v>890</v>
      </c>
      <c r="W1034"/>
      <c r="X1034" t="s">
        <v>59</v>
      </c>
      <c r="Y1034"/>
      <c r="Z1034"/>
      <c r="AA1034" t="s">
        <v>2163</v>
      </c>
      <c r="AB1034" t="s">
        <v>2</v>
      </c>
      <c r="AC1034" t="s">
        <v>138</v>
      </c>
      <c r="AD1034" t="s">
        <v>128</v>
      </c>
      <c r="AE1034" s="97"/>
    </row>
    <row r="1035" spans="1:31" ht="14.4" customHeight="1" x14ac:dyDescent="0.3">
      <c r="A1035" t="s">
        <v>2687</v>
      </c>
      <c r="B1035" t="s">
        <v>2688</v>
      </c>
      <c r="C1035"/>
      <c r="D1035"/>
      <c r="E1035"/>
      <c r="F1035"/>
      <c r="G1035" t="s">
        <v>2162</v>
      </c>
      <c r="H1035" t="s">
        <v>132</v>
      </c>
      <c r="I1035" t="s">
        <v>2</v>
      </c>
      <c r="J1035" t="s">
        <v>133</v>
      </c>
      <c r="K1035" t="s">
        <v>52</v>
      </c>
      <c r="L1035" t="s">
        <v>2689</v>
      </c>
      <c r="M1035" t="s">
        <v>134</v>
      </c>
      <c r="N1035" t="s">
        <v>135</v>
      </c>
      <c r="O1035"/>
      <c r="P1035"/>
      <c r="Q1035" t="s">
        <v>168</v>
      </c>
      <c r="R1035"/>
      <c r="S1035"/>
      <c r="T1035" t="s">
        <v>2165</v>
      </c>
      <c r="U1035" t="s">
        <v>137</v>
      </c>
      <c r="V1035" t="s">
        <v>897</v>
      </c>
      <c r="W1035"/>
      <c r="X1035" t="s">
        <v>64</v>
      </c>
      <c r="Y1035"/>
      <c r="Z1035"/>
      <c r="AA1035" t="s">
        <v>2163</v>
      </c>
      <c r="AB1035" t="s">
        <v>2</v>
      </c>
      <c r="AC1035" t="s">
        <v>138</v>
      </c>
      <c r="AD1035" t="s">
        <v>128</v>
      </c>
      <c r="AE1035" s="97"/>
    </row>
    <row r="1036" spans="1:31" ht="14.4" customHeight="1" x14ac:dyDescent="0.3">
      <c r="A1036" t="s">
        <v>2690</v>
      </c>
      <c r="B1036" t="s">
        <v>2691</v>
      </c>
      <c r="C1036"/>
      <c r="D1036"/>
      <c r="E1036"/>
      <c r="F1036"/>
      <c r="G1036" t="s">
        <v>2162</v>
      </c>
      <c r="H1036" t="s">
        <v>132</v>
      </c>
      <c r="I1036" t="s">
        <v>2</v>
      </c>
      <c r="J1036" t="s">
        <v>133</v>
      </c>
      <c r="K1036" t="s">
        <v>52</v>
      </c>
      <c r="L1036" t="s">
        <v>2689</v>
      </c>
      <c r="M1036" t="s">
        <v>134</v>
      </c>
      <c r="N1036" t="s">
        <v>135</v>
      </c>
      <c r="O1036"/>
      <c r="P1036"/>
      <c r="Q1036" t="s">
        <v>168</v>
      </c>
      <c r="R1036"/>
      <c r="S1036"/>
      <c r="T1036" t="s">
        <v>2165</v>
      </c>
      <c r="U1036" t="s">
        <v>137</v>
      </c>
      <c r="V1036" t="s">
        <v>897</v>
      </c>
      <c r="W1036"/>
      <c r="X1036" t="s">
        <v>64</v>
      </c>
      <c r="Y1036"/>
      <c r="Z1036"/>
      <c r="AA1036" t="s">
        <v>2163</v>
      </c>
      <c r="AB1036" t="s">
        <v>2</v>
      </c>
      <c r="AC1036" t="s">
        <v>138</v>
      </c>
      <c r="AD1036" t="s">
        <v>128</v>
      </c>
      <c r="AE1036" s="97"/>
    </row>
    <row r="1037" spans="1:31" ht="14.4" customHeight="1" x14ac:dyDescent="0.3">
      <c r="A1037" t="s">
        <v>2692</v>
      </c>
      <c r="B1037" t="s">
        <v>2693</v>
      </c>
      <c r="C1037"/>
      <c r="D1037"/>
      <c r="E1037"/>
      <c r="F1037"/>
      <c r="G1037" t="s">
        <v>2162</v>
      </c>
      <c r="H1037" t="s">
        <v>132</v>
      </c>
      <c r="I1037" t="s">
        <v>2</v>
      </c>
      <c r="J1037" t="s">
        <v>133</v>
      </c>
      <c r="K1037" t="s">
        <v>52</v>
      </c>
      <c r="L1037" t="s">
        <v>2689</v>
      </c>
      <c r="M1037" t="s">
        <v>134</v>
      </c>
      <c r="N1037" t="s">
        <v>135</v>
      </c>
      <c r="O1037"/>
      <c r="P1037"/>
      <c r="Q1037" t="s">
        <v>168</v>
      </c>
      <c r="R1037"/>
      <c r="S1037"/>
      <c r="T1037" t="s">
        <v>2165</v>
      </c>
      <c r="U1037" t="s">
        <v>137</v>
      </c>
      <c r="V1037" t="s">
        <v>897</v>
      </c>
      <c r="W1037"/>
      <c r="X1037" t="s">
        <v>64</v>
      </c>
      <c r="Y1037"/>
      <c r="Z1037"/>
      <c r="AA1037" t="s">
        <v>2163</v>
      </c>
      <c r="AB1037" t="s">
        <v>2</v>
      </c>
      <c r="AC1037" t="s">
        <v>138</v>
      </c>
      <c r="AD1037" t="s">
        <v>128</v>
      </c>
      <c r="AE1037" s="97"/>
    </row>
    <row r="1038" spans="1:31" ht="14.4" customHeight="1" x14ac:dyDescent="0.3">
      <c r="A1038" t="s">
        <v>2694</v>
      </c>
      <c r="B1038" t="s">
        <v>2695</v>
      </c>
      <c r="C1038"/>
      <c r="D1038"/>
      <c r="E1038"/>
      <c r="F1038"/>
      <c r="G1038" t="s">
        <v>2162</v>
      </c>
      <c r="H1038" t="s">
        <v>132</v>
      </c>
      <c r="I1038" t="s">
        <v>2</v>
      </c>
      <c r="J1038" t="s">
        <v>133</v>
      </c>
      <c r="K1038" t="s">
        <v>52</v>
      </c>
      <c r="L1038" t="s">
        <v>2689</v>
      </c>
      <c r="M1038" t="s">
        <v>134</v>
      </c>
      <c r="N1038" t="s">
        <v>135</v>
      </c>
      <c r="O1038"/>
      <c r="P1038"/>
      <c r="Q1038" t="s">
        <v>168</v>
      </c>
      <c r="R1038"/>
      <c r="S1038"/>
      <c r="T1038" t="s">
        <v>2165</v>
      </c>
      <c r="U1038" t="s">
        <v>137</v>
      </c>
      <c r="V1038" t="s">
        <v>897</v>
      </c>
      <c r="W1038"/>
      <c r="X1038" t="s">
        <v>64</v>
      </c>
      <c r="Y1038"/>
      <c r="Z1038"/>
      <c r="AA1038" t="s">
        <v>2163</v>
      </c>
      <c r="AB1038" t="s">
        <v>2</v>
      </c>
      <c r="AC1038" t="s">
        <v>138</v>
      </c>
      <c r="AD1038" t="s">
        <v>128</v>
      </c>
      <c r="AE1038" s="97"/>
    </row>
    <row r="1039" spans="1:31" ht="14.4" customHeight="1" x14ac:dyDescent="0.3">
      <c r="A1039" t="s">
        <v>2696</v>
      </c>
      <c r="B1039" t="s">
        <v>2697</v>
      </c>
      <c r="C1039"/>
      <c r="D1039"/>
      <c r="E1039"/>
      <c r="F1039"/>
      <c r="G1039" t="s">
        <v>2162</v>
      </c>
      <c r="H1039" t="s">
        <v>132</v>
      </c>
      <c r="I1039" t="s">
        <v>2</v>
      </c>
      <c r="J1039" t="s">
        <v>133</v>
      </c>
      <c r="K1039" t="s">
        <v>52</v>
      </c>
      <c r="L1039" t="s">
        <v>2689</v>
      </c>
      <c r="M1039" t="s">
        <v>134</v>
      </c>
      <c r="N1039" t="s">
        <v>135</v>
      </c>
      <c r="O1039"/>
      <c r="P1039"/>
      <c r="Q1039" t="s">
        <v>168</v>
      </c>
      <c r="R1039"/>
      <c r="S1039"/>
      <c r="T1039" t="s">
        <v>2165</v>
      </c>
      <c r="U1039" t="s">
        <v>137</v>
      </c>
      <c r="V1039" t="s">
        <v>897</v>
      </c>
      <c r="W1039"/>
      <c r="X1039" t="s">
        <v>64</v>
      </c>
      <c r="Y1039"/>
      <c r="Z1039"/>
      <c r="AA1039" t="s">
        <v>2163</v>
      </c>
      <c r="AB1039" t="s">
        <v>2</v>
      </c>
      <c r="AC1039" t="s">
        <v>138</v>
      </c>
      <c r="AD1039" t="s">
        <v>128</v>
      </c>
      <c r="AE1039" s="97"/>
    </row>
    <row r="1040" spans="1:31" ht="14.4" customHeight="1" x14ac:dyDescent="0.3">
      <c r="A1040" t="s">
        <v>2698</v>
      </c>
      <c r="B1040" t="s">
        <v>2699</v>
      </c>
      <c r="C1040"/>
      <c r="D1040"/>
      <c r="E1040"/>
      <c r="F1040"/>
      <c r="G1040" t="s">
        <v>2162</v>
      </c>
      <c r="H1040" t="s">
        <v>132</v>
      </c>
      <c r="I1040" t="s">
        <v>2</v>
      </c>
      <c r="J1040" t="s">
        <v>133</v>
      </c>
      <c r="K1040" t="s">
        <v>52</v>
      </c>
      <c r="L1040" t="s">
        <v>1658</v>
      </c>
      <c r="M1040" t="s">
        <v>134</v>
      </c>
      <c r="N1040" t="s">
        <v>135</v>
      </c>
      <c r="O1040"/>
      <c r="P1040"/>
      <c r="Q1040" t="s">
        <v>168</v>
      </c>
      <c r="R1040"/>
      <c r="S1040"/>
      <c r="T1040" t="s">
        <v>2165</v>
      </c>
      <c r="U1040" t="s">
        <v>137</v>
      </c>
      <c r="V1040" t="s">
        <v>897</v>
      </c>
      <c r="W1040"/>
      <c r="X1040" t="s">
        <v>64</v>
      </c>
      <c r="Y1040"/>
      <c r="Z1040"/>
      <c r="AA1040" t="s">
        <v>2163</v>
      </c>
      <c r="AB1040" t="s">
        <v>2</v>
      </c>
      <c r="AC1040" t="s">
        <v>138</v>
      </c>
      <c r="AD1040" t="s">
        <v>128</v>
      </c>
      <c r="AE1040" s="97"/>
    </row>
    <row r="1041" spans="1:31" ht="14.4" customHeight="1" x14ac:dyDescent="0.3">
      <c r="A1041" t="s">
        <v>2700</v>
      </c>
      <c r="B1041" t="s">
        <v>2701</v>
      </c>
      <c r="C1041"/>
      <c r="D1041"/>
      <c r="E1041"/>
      <c r="F1041"/>
      <c r="G1041" t="s">
        <v>2162</v>
      </c>
      <c r="H1041" t="s">
        <v>132</v>
      </c>
      <c r="I1041" t="s">
        <v>2</v>
      </c>
      <c r="J1041" t="s">
        <v>133</v>
      </c>
      <c r="K1041" t="s">
        <v>52</v>
      </c>
      <c r="L1041" t="s">
        <v>1658</v>
      </c>
      <c r="M1041" t="s">
        <v>134</v>
      </c>
      <c r="N1041" t="s">
        <v>135</v>
      </c>
      <c r="O1041"/>
      <c r="P1041"/>
      <c r="Q1041" t="s">
        <v>168</v>
      </c>
      <c r="R1041"/>
      <c r="S1041"/>
      <c r="T1041" t="s">
        <v>2165</v>
      </c>
      <c r="U1041" t="s">
        <v>137</v>
      </c>
      <c r="V1041" t="s">
        <v>897</v>
      </c>
      <c r="W1041"/>
      <c r="X1041" t="s">
        <v>64</v>
      </c>
      <c r="Y1041"/>
      <c r="Z1041"/>
      <c r="AA1041" t="s">
        <v>2163</v>
      </c>
      <c r="AB1041" t="s">
        <v>2</v>
      </c>
      <c r="AC1041" t="s">
        <v>138</v>
      </c>
      <c r="AD1041" t="s">
        <v>128</v>
      </c>
      <c r="AE1041" s="97"/>
    </row>
    <row r="1042" spans="1:31" ht="14.4" customHeight="1" x14ac:dyDescent="0.3">
      <c r="A1042" t="s">
        <v>2702</v>
      </c>
      <c r="B1042" t="s">
        <v>2703</v>
      </c>
      <c r="C1042"/>
      <c r="D1042"/>
      <c r="E1042"/>
      <c r="F1042"/>
      <c r="G1042" t="s">
        <v>2162</v>
      </c>
      <c r="H1042" t="s">
        <v>132</v>
      </c>
      <c r="I1042" t="s">
        <v>2</v>
      </c>
      <c r="J1042" t="s">
        <v>133</v>
      </c>
      <c r="K1042" t="s">
        <v>52</v>
      </c>
      <c r="L1042" t="s">
        <v>1658</v>
      </c>
      <c r="M1042" t="s">
        <v>134</v>
      </c>
      <c r="N1042" t="s">
        <v>135</v>
      </c>
      <c r="O1042"/>
      <c r="P1042"/>
      <c r="Q1042" t="s">
        <v>168</v>
      </c>
      <c r="R1042"/>
      <c r="S1042"/>
      <c r="T1042" t="s">
        <v>2165</v>
      </c>
      <c r="U1042" t="s">
        <v>137</v>
      </c>
      <c r="V1042" t="s">
        <v>897</v>
      </c>
      <c r="W1042"/>
      <c r="X1042" t="s">
        <v>64</v>
      </c>
      <c r="Y1042"/>
      <c r="Z1042"/>
      <c r="AA1042" t="s">
        <v>2163</v>
      </c>
      <c r="AB1042" t="s">
        <v>2</v>
      </c>
      <c r="AC1042" t="s">
        <v>138</v>
      </c>
      <c r="AD1042" t="s">
        <v>128</v>
      </c>
      <c r="AE1042" s="97"/>
    </row>
    <row r="1043" spans="1:31" ht="14.4" customHeight="1" x14ac:dyDescent="0.3">
      <c r="A1043" t="s">
        <v>2704</v>
      </c>
      <c r="B1043" t="s">
        <v>2705</v>
      </c>
      <c r="C1043"/>
      <c r="D1043"/>
      <c r="E1043"/>
      <c r="F1043"/>
      <c r="G1043" t="s">
        <v>2162</v>
      </c>
      <c r="H1043" t="s">
        <v>132</v>
      </c>
      <c r="I1043" t="s">
        <v>2</v>
      </c>
      <c r="J1043" t="s">
        <v>133</v>
      </c>
      <c r="K1043" t="s">
        <v>52</v>
      </c>
      <c r="L1043" t="s">
        <v>1658</v>
      </c>
      <c r="M1043" t="s">
        <v>134</v>
      </c>
      <c r="N1043" t="s">
        <v>135</v>
      </c>
      <c r="O1043"/>
      <c r="P1043"/>
      <c r="Q1043" t="s">
        <v>168</v>
      </c>
      <c r="R1043"/>
      <c r="S1043"/>
      <c r="T1043" t="s">
        <v>2165</v>
      </c>
      <c r="U1043" t="s">
        <v>137</v>
      </c>
      <c r="V1043" t="s">
        <v>897</v>
      </c>
      <c r="W1043"/>
      <c r="X1043" t="s">
        <v>64</v>
      </c>
      <c r="Y1043"/>
      <c r="Z1043"/>
      <c r="AA1043" t="s">
        <v>2163</v>
      </c>
      <c r="AB1043" t="s">
        <v>2</v>
      </c>
      <c r="AC1043" t="s">
        <v>138</v>
      </c>
      <c r="AD1043" t="s">
        <v>128</v>
      </c>
      <c r="AE1043" s="97"/>
    </row>
    <row r="1044" spans="1:31" ht="14.4" customHeight="1" x14ac:dyDescent="0.3">
      <c r="A1044" t="s">
        <v>2706</v>
      </c>
      <c r="B1044" t="s">
        <v>2707</v>
      </c>
      <c r="C1044"/>
      <c r="D1044"/>
      <c r="E1044"/>
      <c r="F1044"/>
      <c r="G1044" t="s">
        <v>2162</v>
      </c>
      <c r="H1044" t="s">
        <v>132</v>
      </c>
      <c r="I1044" t="s">
        <v>2</v>
      </c>
      <c r="J1044" t="s">
        <v>133</v>
      </c>
      <c r="K1044" t="s">
        <v>52</v>
      </c>
      <c r="L1044" t="s">
        <v>1661</v>
      </c>
      <c r="M1044" t="s">
        <v>134</v>
      </c>
      <c r="N1044" t="s">
        <v>135</v>
      </c>
      <c r="O1044"/>
      <c r="P1044"/>
      <c r="Q1044" t="s">
        <v>168</v>
      </c>
      <c r="R1044"/>
      <c r="S1044"/>
      <c r="T1044" t="s">
        <v>2165</v>
      </c>
      <c r="U1044" t="s">
        <v>137</v>
      </c>
      <c r="V1044" t="s">
        <v>897</v>
      </c>
      <c r="W1044"/>
      <c r="X1044" t="s">
        <v>64</v>
      </c>
      <c r="Y1044"/>
      <c r="Z1044"/>
      <c r="AA1044" t="s">
        <v>2163</v>
      </c>
      <c r="AB1044" t="s">
        <v>2</v>
      </c>
      <c r="AC1044" t="s">
        <v>138</v>
      </c>
      <c r="AD1044" t="s">
        <v>128</v>
      </c>
      <c r="AE1044" s="97"/>
    </row>
    <row r="1045" spans="1:31" ht="14.4" customHeight="1" x14ac:dyDescent="0.3">
      <c r="A1045" t="s">
        <v>2708</v>
      </c>
      <c r="B1045" t="s">
        <v>2709</v>
      </c>
      <c r="C1045"/>
      <c r="D1045"/>
      <c r="E1045"/>
      <c r="F1045"/>
      <c r="G1045" t="s">
        <v>2162</v>
      </c>
      <c r="H1045" t="s">
        <v>132</v>
      </c>
      <c r="I1045" t="s">
        <v>2</v>
      </c>
      <c r="J1045" t="s">
        <v>133</v>
      </c>
      <c r="K1045" t="s">
        <v>52</v>
      </c>
      <c r="L1045" t="s">
        <v>1661</v>
      </c>
      <c r="M1045" t="s">
        <v>134</v>
      </c>
      <c r="N1045" t="s">
        <v>135</v>
      </c>
      <c r="O1045"/>
      <c r="P1045"/>
      <c r="Q1045" t="s">
        <v>168</v>
      </c>
      <c r="R1045"/>
      <c r="S1045"/>
      <c r="T1045" t="s">
        <v>2165</v>
      </c>
      <c r="U1045" t="s">
        <v>137</v>
      </c>
      <c r="V1045" t="s">
        <v>897</v>
      </c>
      <c r="W1045"/>
      <c r="X1045" t="s">
        <v>64</v>
      </c>
      <c r="Y1045"/>
      <c r="Z1045"/>
      <c r="AA1045" t="s">
        <v>2163</v>
      </c>
      <c r="AB1045" t="s">
        <v>2</v>
      </c>
      <c r="AC1045" t="s">
        <v>138</v>
      </c>
      <c r="AD1045" t="s">
        <v>128</v>
      </c>
      <c r="AE1045" s="97"/>
    </row>
    <row r="1046" spans="1:31" ht="14.4" customHeight="1" x14ac:dyDescent="0.3">
      <c r="A1046" t="s">
        <v>2710</v>
      </c>
      <c r="B1046" t="s">
        <v>2711</v>
      </c>
      <c r="C1046"/>
      <c r="D1046"/>
      <c r="E1046"/>
      <c r="F1046"/>
      <c r="G1046" t="s">
        <v>2162</v>
      </c>
      <c r="H1046" t="s">
        <v>132</v>
      </c>
      <c r="I1046" t="s">
        <v>2</v>
      </c>
      <c r="J1046" t="s">
        <v>133</v>
      </c>
      <c r="K1046" t="s">
        <v>52</v>
      </c>
      <c r="L1046" t="s">
        <v>1658</v>
      </c>
      <c r="M1046" t="s">
        <v>134</v>
      </c>
      <c r="N1046" t="s">
        <v>135</v>
      </c>
      <c r="O1046"/>
      <c r="P1046"/>
      <c r="Q1046" t="s">
        <v>168</v>
      </c>
      <c r="R1046"/>
      <c r="S1046"/>
      <c r="T1046" t="s">
        <v>2165</v>
      </c>
      <c r="U1046" t="s">
        <v>137</v>
      </c>
      <c r="V1046" t="s">
        <v>897</v>
      </c>
      <c r="W1046"/>
      <c r="X1046" t="s">
        <v>64</v>
      </c>
      <c r="Y1046"/>
      <c r="Z1046"/>
      <c r="AA1046" t="s">
        <v>2163</v>
      </c>
      <c r="AB1046" t="s">
        <v>2</v>
      </c>
      <c r="AC1046" t="s">
        <v>138</v>
      </c>
      <c r="AD1046" t="s">
        <v>128</v>
      </c>
      <c r="AE1046" s="97"/>
    </row>
    <row r="1047" spans="1:31" ht="14.4" customHeight="1" x14ac:dyDescent="0.3">
      <c r="A1047" t="s">
        <v>2712</v>
      </c>
      <c r="B1047" t="s">
        <v>2713</v>
      </c>
      <c r="C1047"/>
      <c r="D1047"/>
      <c r="E1047"/>
      <c r="F1047"/>
      <c r="G1047" t="s">
        <v>2162</v>
      </c>
      <c r="H1047" t="s">
        <v>132</v>
      </c>
      <c r="I1047" t="s">
        <v>2</v>
      </c>
      <c r="J1047" t="s">
        <v>133</v>
      </c>
      <c r="K1047" t="s">
        <v>52</v>
      </c>
      <c r="L1047" t="s">
        <v>1658</v>
      </c>
      <c r="M1047" t="s">
        <v>134</v>
      </c>
      <c r="N1047" t="s">
        <v>135</v>
      </c>
      <c r="O1047"/>
      <c r="P1047"/>
      <c r="Q1047" t="s">
        <v>168</v>
      </c>
      <c r="R1047"/>
      <c r="S1047"/>
      <c r="T1047" t="s">
        <v>2165</v>
      </c>
      <c r="U1047" t="s">
        <v>137</v>
      </c>
      <c r="V1047" t="s">
        <v>897</v>
      </c>
      <c r="W1047"/>
      <c r="X1047" t="s">
        <v>64</v>
      </c>
      <c r="Y1047"/>
      <c r="Z1047"/>
      <c r="AA1047" t="s">
        <v>2163</v>
      </c>
      <c r="AB1047" t="s">
        <v>2</v>
      </c>
      <c r="AC1047" t="s">
        <v>138</v>
      </c>
      <c r="AD1047" t="s">
        <v>128</v>
      </c>
      <c r="AE1047" s="97"/>
    </row>
    <row r="1048" spans="1:31" ht="14.4" customHeight="1" x14ac:dyDescent="0.3">
      <c r="A1048" t="s">
        <v>2714</v>
      </c>
      <c r="B1048" t="s">
        <v>2715</v>
      </c>
      <c r="C1048"/>
      <c r="D1048"/>
      <c r="E1048"/>
      <c r="F1048"/>
      <c r="G1048" t="s">
        <v>2162</v>
      </c>
      <c r="H1048" t="s">
        <v>132</v>
      </c>
      <c r="I1048" t="s">
        <v>2</v>
      </c>
      <c r="J1048" t="s">
        <v>133</v>
      </c>
      <c r="K1048" t="s">
        <v>52</v>
      </c>
      <c r="L1048" t="s">
        <v>1658</v>
      </c>
      <c r="M1048" t="s">
        <v>134</v>
      </c>
      <c r="N1048" t="s">
        <v>135</v>
      </c>
      <c r="O1048"/>
      <c r="P1048"/>
      <c r="Q1048" t="s">
        <v>168</v>
      </c>
      <c r="R1048"/>
      <c r="S1048"/>
      <c r="T1048" t="s">
        <v>2165</v>
      </c>
      <c r="U1048" t="s">
        <v>137</v>
      </c>
      <c r="V1048" t="s">
        <v>897</v>
      </c>
      <c r="W1048"/>
      <c r="X1048" t="s">
        <v>64</v>
      </c>
      <c r="Y1048"/>
      <c r="Z1048"/>
      <c r="AA1048" t="s">
        <v>2163</v>
      </c>
      <c r="AB1048" t="s">
        <v>2</v>
      </c>
      <c r="AC1048" t="s">
        <v>138</v>
      </c>
      <c r="AD1048" t="s">
        <v>128</v>
      </c>
      <c r="AE1048" s="97"/>
    </row>
    <row r="1049" spans="1:31" ht="14.4" customHeight="1" x14ac:dyDescent="0.3">
      <c r="A1049" t="s">
        <v>2724</v>
      </c>
      <c r="B1049" t="s">
        <v>2725</v>
      </c>
      <c r="C1049"/>
      <c r="D1049"/>
      <c r="E1049"/>
      <c r="F1049"/>
      <c r="G1049" t="s">
        <v>2162</v>
      </c>
      <c r="H1049" t="s">
        <v>132</v>
      </c>
      <c r="I1049" t="s">
        <v>2</v>
      </c>
      <c r="J1049" t="s">
        <v>133</v>
      </c>
      <c r="K1049" t="s">
        <v>52</v>
      </c>
      <c r="L1049" t="s">
        <v>2726</v>
      </c>
      <c r="M1049" t="s">
        <v>134</v>
      </c>
      <c r="N1049" t="s">
        <v>135</v>
      </c>
      <c r="O1049"/>
      <c r="P1049"/>
      <c r="Q1049" t="s">
        <v>168</v>
      </c>
      <c r="R1049"/>
      <c r="S1049"/>
      <c r="T1049" t="s">
        <v>2165</v>
      </c>
      <c r="U1049" t="s">
        <v>137</v>
      </c>
      <c r="V1049" t="s">
        <v>897</v>
      </c>
      <c r="W1049"/>
      <c r="X1049" t="s">
        <v>64</v>
      </c>
      <c r="Y1049"/>
      <c r="Z1049"/>
      <c r="AA1049" t="s">
        <v>2163</v>
      </c>
      <c r="AB1049" t="s">
        <v>2</v>
      </c>
      <c r="AC1049" t="s">
        <v>138</v>
      </c>
      <c r="AD1049" t="s">
        <v>128</v>
      </c>
      <c r="AE1049" s="97"/>
    </row>
    <row r="1050" spans="1:31" ht="14.4" customHeight="1" x14ac:dyDescent="0.3">
      <c r="A1050" t="s">
        <v>2727</v>
      </c>
      <c r="B1050" t="s">
        <v>2728</v>
      </c>
      <c r="C1050"/>
      <c r="D1050"/>
      <c r="E1050"/>
      <c r="F1050"/>
      <c r="G1050" t="s">
        <v>2162</v>
      </c>
      <c r="H1050" t="s">
        <v>132</v>
      </c>
      <c r="I1050" t="s">
        <v>2</v>
      </c>
      <c r="J1050" t="s">
        <v>133</v>
      </c>
      <c r="K1050" t="s">
        <v>52</v>
      </c>
      <c r="L1050" t="s">
        <v>2729</v>
      </c>
      <c r="M1050" t="s">
        <v>134</v>
      </c>
      <c r="N1050" t="s">
        <v>135</v>
      </c>
      <c r="O1050"/>
      <c r="P1050"/>
      <c r="Q1050" t="s">
        <v>168</v>
      </c>
      <c r="R1050"/>
      <c r="S1050"/>
      <c r="T1050" t="s">
        <v>2165</v>
      </c>
      <c r="U1050" t="s">
        <v>137</v>
      </c>
      <c r="V1050" t="s">
        <v>897</v>
      </c>
      <c r="W1050"/>
      <c r="X1050" t="s">
        <v>64</v>
      </c>
      <c r="Y1050"/>
      <c r="Z1050"/>
      <c r="AA1050" t="s">
        <v>2163</v>
      </c>
      <c r="AB1050" t="s">
        <v>2</v>
      </c>
      <c r="AC1050" t="s">
        <v>138</v>
      </c>
      <c r="AD1050" t="s">
        <v>128</v>
      </c>
      <c r="AE1050" s="97"/>
    </row>
    <row r="1051" spans="1:31" ht="14.4" customHeight="1" x14ac:dyDescent="0.3">
      <c r="A1051" t="s">
        <v>2730</v>
      </c>
      <c r="B1051" t="s">
        <v>2731</v>
      </c>
      <c r="C1051"/>
      <c r="D1051"/>
      <c r="E1051"/>
      <c r="F1051"/>
      <c r="G1051" t="s">
        <v>2162</v>
      </c>
      <c r="H1051" t="s">
        <v>132</v>
      </c>
      <c r="I1051" t="s">
        <v>2</v>
      </c>
      <c r="J1051" t="s">
        <v>133</v>
      </c>
      <c r="K1051" t="s">
        <v>52</v>
      </c>
      <c r="L1051" t="s">
        <v>2732</v>
      </c>
      <c r="M1051" t="s">
        <v>134</v>
      </c>
      <c r="N1051" t="s">
        <v>135</v>
      </c>
      <c r="O1051"/>
      <c r="P1051"/>
      <c r="Q1051" t="s">
        <v>168</v>
      </c>
      <c r="R1051"/>
      <c r="S1051"/>
      <c r="T1051" t="s">
        <v>2165</v>
      </c>
      <c r="U1051" t="s">
        <v>137</v>
      </c>
      <c r="V1051" t="s">
        <v>904</v>
      </c>
      <c r="W1051"/>
      <c r="X1051" t="s">
        <v>79</v>
      </c>
      <c r="Y1051"/>
      <c r="Z1051"/>
      <c r="AA1051" t="s">
        <v>2163</v>
      </c>
      <c r="AB1051" t="s">
        <v>2</v>
      </c>
      <c r="AC1051" t="s">
        <v>138</v>
      </c>
      <c r="AD1051" t="s">
        <v>129</v>
      </c>
      <c r="AE1051" s="97"/>
    </row>
    <row r="1052" spans="1:31" ht="14.4" customHeight="1" x14ac:dyDescent="0.3">
      <c r="A1052" t="s">
        <v>2733</v>
      </c>
      <c r="B1052" t="s">
        <v>2734</v>
      </c>
      <c r="C1052"/>
      <c r="D1052"/>
      <c r="E1052"/>
      <c r="F1052"/>
      <c r="G1052" t="s">
        <v>2162</v>
      </c>
      <c r="H1052" t="s">
        <v>132</v>
      </c>
      <c r="I1052" t="s">
        <v>2</v>
      </c>
      <c r="J1052" t="s">
        <v>133</v>
      </c>
      <c r="K1052" t="s">
        <v>52</v>
      </c>
      <c r="L1052" t="s">
        <v>2732</v>
      </c>
      <c r="M1052" t="s">
        <v>134</v>
      </c>
      <c r="N1052" t="s">
        <v>135</v>
      </c>
      <c r="O1052"/>
      <c r="P1052"/>
      <c r="Q1052" t="s">
        <v>168</v>
      </c>
      <c r="R1052"/>
      <c r="S1052"/>
      <c r="T1052" t="s">
        <v>2165</v>
      </c>
      <c r="U1052" t="s">
        <v>137</v>
      </c>
      <c r="V1052" t="s">
        <v>904</v>
      </c>
      <c r="W1052"/>
      <c r="X1052" t="s">
        <v>79</v>
      </c>
      <c r="Y1052"/>
      <c r="Z1052"/>
      <c r="AA1052" t="s">
        <v>2163</v>
      </c>
      <c r="AB1052" t="s">
        <v>2</v>
      </c>
      <c r="AC1052" t="s">
        <v>138</v>
      </c>
      <c r="AD1052" t="s">
        <v>129</v>
      </c>
      <c r="AE1052" s="97"/>
    </row>
    <row r="1053" spans="1:31" ht="14.4" customHeight="1" x14ac:dyDescent="0.3">
      <c r="A1053" t="s">
        <v>2735</v>
      </c>
      <c r="B1053" t="s">
        <v>2736</v>
      </c>
      <c r="C1053"/>
      <c r="D1053"/>
      <c r="E1053"/>
      <c r="F1053"/>
      <c r="G1053" t="s">
        <v>2162</v>
      </c>
      <c r="H1053" t="s">
        <v>132</v>
      </c>
      <c r="I1053" t="s">
        <v>2</v>
      </c>
      <c r="J1053" t="s">
        <v>133</v>
      </c>
      <c r="K1053" t="s">
        <v>52</v>
      </c>
      <c r="L1053" t="s">
        <v>2732</v>
      </c>
      <c r="M1053" t="s">
        <v>134</v>
      </c>
      <c r="N1053" t="s">
        <v>135</v>
      </c>
      <c r="O1053"/>
      <c r="P1053"/>
      <c r="Q1053" t="s">
        <v>168</v>
      </c>
      <c r="R1053"/>
      <c r="S1053"/>
      <c r="T1053" t="s">
        <v>2165</v>
      </c>
      <c r="U1053" t="s">
        <v>137</v>
      </c>
      <c r="V1053" t="s">
        <v>904</v>
      </c>
      <c r="W1053"/>
      <c r="X1053" t="s">
        <v>79</v>
      </c>
      <c r="Y1053"/>
      <c r="Z1053"/>
      <c r="AA1053" t="s">
        <v>2163</v>
      </c>
      <c r="AB1053" t="s">
        <v>2</v>
      </c>
      <c r="AC1053" t="s">
        <v>138</v>
      </c>
      <c r="AD1053" t="s">
        <v>129</v>
      </c>
      <c r="AE1053" s="97"/>
    </row>
    <row r="1054" spans="1:31" ht="14.4" customHeight="1" x14ac:dyDescent="0.3">
      <c r="A1054" t="s">
        <v>2737</v>
      </c>
      <c r="B1054" t="s">
        <v>2738</v>
      </c>
      <c r="C1054"/>
      <c r="D1054"/>
      <c r="E1054"/>
      <c r="F1054"/>
      <c r="G1054" t="s">
        <v>2162</v>
      </c>
      <c r="H1054" t="s">
        <v>132</v>
      </c>
      <c r="I1054" t="s">
        <v>2</v>
      </c>
      <c r="J1054" t="s">
        <v>133</v>
      </c>
      <c r="K1054" t="s">
        <v>52</v>
      </c>
      <c r="L1054" t="s">
        <v>2732</v>
      </c>
      <c r="M1054" t="s">
        <v>134</v>
      </c>
      <c r="N1054" t="s">
        <v>135</v>
      </c>
      <c r="O1054"/>
      <c r="P1054"/>
      <c r="Q1054" t="s">
        <v>168</v>
      </c>
      <c r="R1054"/>
      <c r="S1054"/>
      <c r="T1054" t="s">
        <v>2165</v>
      </c>
      <c r="U1054" t="s">
        <v>137</v>
      </c>
      <c r="V1054" t="s">
        <v>904</v>
      </c>
      <c r="W1054"/>
      <c r="X1054" t="s">
        <v>79</v>
      </c>
      <c r="Y1054"/>
      <c r="Z1054"/>
      <c r="AA1054" t="s">
        <v>2163</v>
      </c>
      <c r="AB1054" t="s">
        <v>2</v>
      </c>
      <c r="AC1054" t="s">
        <v>138</v>
      </c>
      <c r="AD1054" t="s">
        <v>129</v>
      </c>
      <c r="AE1054" s="97"/>
    </row>
    <row r="1055" spans="1:31" ht="14.4" customHeight="1" x14ac:dyDescent="0.3">
      <c r="A1055" t="s">
        <v>2739</v>
      </c>
      <c r="B1055" t="s">
        <v>2740</v>
      </c>
      <c r="C1055"/>
      <c r="D1055"/>
      <c r="E1055"/>
      <c r="F1055"/>
      <c r="G1055" t="s">
        <v>2162</v>
      </c>
      <c r="H1055" t="s">
        <v>132</v>
      </c>
      <c r="I1055" t="s">
        <v>2</v>
      </c>
      <c r="J1055" t="s">
        <v>133</v>
      </c>
      <c r="K1055" t="s">
        <v>52</v>
      </c>
      <c r="L1055" t="s">
        <v>2732</v>
      </c>
      <c r="M1055" t="s">
        <v>134</v>
      </c>
      <c r="N1055" t="s">
        <v>135</v>
      </c>
      <c r="O1055"/>
      <c r="P1055"/>
      <c r="Q1055" t="s">
        <v>168</v>
      </c>
      <c r="R1055"/>
      <c r="S1055"/>
      <c r="T1055" t="s">
        <v>2165</v>
      </c>
      <c r="U1055" t="s">
        <v>137</v>
      </c>
      <c r="V1055" t="s">
        <v>904</v>
      </c>
      <c r="W1055"/>
      <c r="X1055" t="s">
        <v>79</v>
      </c>
      <c r="Y1055"/>
      <c r="Z1055"/>
      <c r="AA1055" t="s">
        <v>2163</v>
      </c>
      <c r="AB1055" t="s">
        <v>2</v>
      </c>
      <c r="AC1055" t="s">
        <v>138</v>
      </c>
      <c r="AD1055" t="s">
        <v>129</v>
      </c>
      <c r="AE1055" s="97"/>
    </row>
    <row r="1056" spans="1:31" ht="14.4" customHeight="1" x14ac:dyDescent="0.3">
      <c r="A1056" t="s">
        <v>2741</v>
      </c>
      <c r="B1056" t="s">
        <v>2742</v>
      </c>
      <c r="C1056"/>
      <c r="D1056"/>
      <c r="E1056"/>
      <c r="F1056"/>
      <c r="G1056" t="s">
        <v>2162</v>
      </c>
      <c r="H1056" t="s">
        <v>132</v>
      </c>
      <c r="I1056" t="s">
        <v>2</v>
      </c>
      <c r="J1056" t="s">
        <v>133</v>
      </c>
      <c r="K1056" t="s">
        <v>52</v>
      </c>
      <c r="L1056" t="s">
        <v>1678</v>
      </c>
      <c r="M1056" t="s">
        <v>134</v>
      </c>
      <c r="N1056" t="s">
        <v>135</v>
      </c>
      <c r="O1056"/>
      <c r="P1056"/>
      <c r="Q1056" t="s">
        <v>168</v>
      </c>
      <c r="R1056"/>
      <c r="S1056"/>
      <c r="T1056" t="s">
        <v>2165</v>
      </c>
      <c r="U1056" t="s">
        <v>137</v>
      </c>
      <c r="V1056" t="s">
        <v>904</v>
      </c>
      <c r="W1056"/>
      <c r="X1056" t="s">
        <v>79</v>
      </c>
      <c r="Y1056"/>
      <c r="Z1056"/>
      <c r="AA1056" t="s">
        <v>2163</v>
      </c>
      <c r="AB1056" t="s">
        <v>2</v>
      </c>
      <c r="AC1056" t="s">
        <v>138</v>
      </c>
      <c r="AD1056" t="s">
        <v>129</v>
      </c>
      <c r="AE1056" s="97"/>
    </row>
    <row r="1057" spans="1:31" ht="14.4" customHeight="1" x14ac:dyDescent="0.3">
      <c r="A1057" t="s">
        <v>2743</v>
      </c>
      <c r="B1057" t="s">
        <v>2744</v>
      </c>
      <c r="C1057"/>
      <c r="D1057"/>
      <c r="E1057"/>
      <c r="F1057"/>
      <c r="G1057" t="s">
        <v>2162</v>
      </c>
      <c r="H1057" t="s">
        <v>132</v>
      </c>
      <c r="I1057" t="s">
        <v>2</v>
      </c>
      <c r="J1057" t="s">
        <v>133</v>
      </c>
      <c r="K1057" t="s">
        <v>52</v>
      </c>
      <c r="L1057" t="s">
        <v>1678</v>
      </c>
      <c r="M1057" t="s">
        <v>134</v>
      </c>
      <c r="N1057" t="s">
        <v>135</v>
      </c>
      <c r="O1057"/>
      <c r="P1057"/>
      <c r="Q1057" t="s">
        <v>168</v>
      </c>
      <c r="R1057"/>
      <c r="S1057"/>
      <c r="T1057" t="s">
        <v>2165</v>
      </c>
      <c r="U1057" t="s">
        <v>137</v>
      </c>
      <c r="V1057" t="s">
        <v>904</v>
      </c>
      <c r="W1057"/>
      <c r="X1057" t="s">
        <v>79</v>
      </c>
      <c r="Y1057"/>
      <c r="Z1057"/>
      <c r="AA1057" t="s">
        <v>2163</v>
      </c>
      <c r="AB1057" t="s">
        <v>2</v>
      </c>
      <c r="AC1057" t="s">
        <v>138</v>
      </c>
      <c r="AD1057" t="s">
        <v>129</v>
      </c>
      <c r="AE1057" s="97"/>
    </row>
    <row r="1058" spans="1:31" ht="14.4" customHeight="1" x14ac:dyDescent="0.3">
      <c r="A1058" t="s">
        <v>2745</v>
      </c>
      <c r="B1058" t="s">
        <v>2746</v>
      </c>
      <c r="C1058"/>
      <c r="D1058"/>
      <c r="E1058"/>
      <c r="F1058"/>
      <c r="G1058" t="s">
        <v>2162</v>
      </c>
      <c r="H1058" t="s">
        <v>132</v>
      </c>
      <c r="I1058" t="s">
        <v>2</v>
      </c>
      <c r="J1058" t="s">
        <v>133</v>
      </c>
      <c r="K1058" t="s">
        <v>52</v>
      </c>
      <c r="L1058" t="s">
        <v>1678</v>
      </c>
      <c r="M1058" t="s">
        <v>134</v>
      </c>
      <c r="N1058" t="s">
        <v>135</v>
      </c>
      <c r="O1058"/>
      <c r="P1058"/>
      <c r="Q1058" t="s">
        <v>168</v>
      </c>
      <c r="R1058"/>
      <c r="S1058"/>
      <c r="T1058" t="s">
        <v>2165</v>
      </c>
      <c r="U1058" t="s">
        <v>137</v>
      </c>
      <c r="V1058" t="s">
        <v>904</v>
      </c>
      <c r="W1058"/>
      <c r="X1058" t="s">
        <v>79</v>
      </c>
      <c r="Y1058"/>
      <c r="Z1058"/>
      <c r="AA1058" t="s">
        <v>2163</v>
      </c>
      <c r="AB1058" t="s">
        <v>2</v>
      </c>
      <c r="AC1058" t="s">
        <v>138</v>
      </c>
      <c r="AD1058" t="s">
        <v>129</v>
      </c>
      <c r="AE1058" s="97"/>
    </row>
    <row r="1059" spans="1:31" ht="14.4" customHeight="1" x14ac:dyDescent="0.3">
      <c r="A1059" t="s">
        <v>2747</v>
      </c>
      <c r="B1059" t="s">
        <v>2748</v>
      </c>
      <c r="C1059"/>
      <c r="D1059"/>
      <c r="E1059"/>
      <c r="F1059"/>
      <c r="G1059" t="s">
        <v>2162</v>
      </c>
      <c r="H1059" t="s">
        <v>132</v>
      </c>
      <c r="I1059" t="s">
        <v>2</v>
      </c>
      <c r="J1059" t="s">
        <v>133</v>
      </c>
      <c r="K1059" t="s">
        <v>52</v>
      </c>
      <c r="L1059" t="s">
        <v>1678</v>
      </c>
      <c r="M1059" t="s">
        <v>134</v>
      </c>
      <c r="N1059" t="s">
        <v>135</v>
      </c>
      <c r="O1059"/>
      <c r="P1059"/>
      <c r="Q1059" t="s">
        <v>168</v>
      </c>
      <c r="R1059"/>
      <c r="S1059"/>
      <c r="T1059" t="s">
        <v>2165</v>
      </c>
      <c r="U1059" t="s">
        <v>137</v>
      </c>
      <c r="V1059" t="s">
        <v>904</v>
      </c>
      <c r="W1059"/>
      <c r="X1059" t="s">
        <v>79</v>
      </c>
      <c r="Y1059"/>
      <c r="Z1059"/>
      <c r="AA1059" t="s">
        <v>2163</v>
      </c>
      <c r="AB1059" t="s">
        <v>2</v>
      </c>
      <c r="AC1059" t="s">
        <v>138</v>
      </c>
      <c r="AD1059" t="s">
        <v>129</v>
      </c>
      <c r="AE1059" s="97"/>
    </row>
    <row r="1060" spans="1:31" ht="14.4" customHeight="1" x14ac:dyDescent="0.3">
      <c r="A1060" t="s">
        <v>2749</v>
      </c>
      <c r="B1060" t="s">
        <v>2750</v>
      </c>
      <c r="C1060"/>
      <c r="D1060"/>
      <c r="E1060"/>
      <c r="F1060"/>
      <c r="G1060" t="s">
        <v>2162</v>
      </c>
      <c r="H1060" t="s">
        <v>132</v>
      </c>
      <c r="I1060" t="s">
        <v>2</v>
      </c>
      <c r="J1060" t="s">
        <v>133</v>
      </c>
      <c r="K1060" t="s">
        <v>52</v>
      </c>
      <c r="L1060" t="s">
        <v>1681</v>
      </c>
      <c r="M1060" t="s">
        <v>134</v>
      </c>
      <c r="N1060" t="s">
        <v>135</v>
      </c>
      <c r="O1060"/>
      <c r="P1060"/>
      <c r="Q1060" t="s">
        <v>168</v>
      </c>
      <c r="R1060"/>
      <c r="S1060"/>
      <c r="T1060" t="s">
        <v>2165</v>
      </c>
      <c r="U1060" t="s">
        <v>137</v>
      </c>
      <c r="V1060" t="s">
        <v>904</v>
      </c>
      <c r="W1060"/>
      <c r="X1060" t="s">
        <v>79</v>
      </c>
      <c r="Y1060"/>
      <c r="Z1060"/>
      <c r="AA1060" t="s">
        <v>2163</v>
      </c>
      <c r="AB1060" t="s">
        <v>2</v>
      </c>
      <c r="AC1060" t="s">
        <v>138</v>
      </c>
      <c r="AD1060" t="s">
        <v>129</v>
      </c>
      <c r="AE1060" s="97"/>
    </row>
    <row r="1061" spans="1:31" ht="14.4" customHeight="1" x14ac:dyDescent="0.3">
      <c r="A1061" t="s">
        <v>2751</v>
      </c>
      <c r="B1061" t="s">
        <v>2752</v>
      </c>
      <c r="C1061"/>
      <c r="D1061"/>
      <c r="E1061"/>
      <c r="F1061"/>
      <c r="G1061" t="s">
        <v>2162</v>
      </c>
      <c r="H1061" t="s">
        <v>132</v>
      </c>
      <c r="I1061" t="s">
        <v>2</v>
      </c>
      <c r="J1061" t="s">
        <v>133</v>
      </c>
      <c r="K1061" t="s">
        <v>52</v>
      </c>
      <c r="L1061" t="s">
        <v>1681</v>
      </c>
      <c r="M1061" t="s">
        <v>134</v>
      </c>
      <c r="N1061" t="s">
        <v>135</v>
      </c>
      <c r="O1061"/>
      <c r="P1061"/>
      <c r="Q1061" t="s">
        <v>168</v>
      </c>
      <c r="R1061"/>
      <c r="S1061"/>
      <c r="T1061" t="s">
        <v>2165</v>
      </c>
      <c r="U1061" t="s">
        <v>137</v>
      </c>
      <c r="V1061" t="s">
        <v>904</v>
      </c>
      <c r="W1061"/>
      <c r="X1061" t="s">
        <v>79</v>
      </c>
      <c r="Y1061"/>
      <c r="Z1061"/>
      <c r="AA1061" t="s">
        <v>2163</v>
      </c>
      <c r="AB1061" t="s">
        <v>2</v>
      </c>
      <c r="AC1061" t="s">
        <v>138</v>
      </c>
      <c r="AD1061" t="s">
        <v>129</v>
      </c>
      <c r="AE1061" s="97"/>
    </row>
    <row r="1062" spans="1:31" ht="14.4" customHeight="1" x14ac:dyDescent="0.3">
      <c r="A1062" t="s">
        <v>2753</v>
      </c>
      <c r="B1062" t="s">
        <v>2754</v>
      </c>
      <c r="C1062"/>
      <c r="D1062"/>
      <c r="E1062"/>
      <c r="F1062"/>
      <c r="G1062" t="s">
        <v>2162</v>
      </c>
      <c r="H1062" t="s">
        <v>132</v>
      </c>
      <c r="I1062" t="s">
        <v>2</v>
      </c>
      <c r="J1062" t="s">
        <v>133</v>
      </c>
      <c r="K1062" t="s">
        <v>52</v>
      </c>
      <c r="L1062" t="s">
        <v>1678</v>
      </c>
      <c r="M1062" t="s">
        <v>134</v>
      </c>
      <c r="N1062" t="s">
        <v>135</v>
      </c>
      <c r="O1062"/>
      <c r="P1062"/>
      <c r="Q1062" t="s">
        <v>168</v>
      </c>
      <c r="R1062"/>
      <c r="S1062"/>
      <c r="T1062" t="s">
        <v>2165</v>
      </c>
      <c r="U1062" t="s">
        <v>137</v>
      </c>
      <c r="V1062" t="s">
        <v>904</v>
      </c>
      <c r="W1062"/>
      <c r="X1062" t="s">
        <v>79</v>
      </c>
      <c r="Y1062"/>
      <c r="Z1062"/>
      <c r="AA1062" t="s">
        <v>2163</v>
      </c>
      <c r="AB1062" t="s">
        <v>2</v>
      </c>
      <c r="AC1062" t="s">
        <v>138</v>
      </c>
      <c r="AD1062" t="s">
        <v>129</v>
      </c>
      <c r="AE1062" s="97"/>
    </row>
    <row r="1063" spans="1:31" ht="14.4" customHeight="1" x14ac:dyDescent="0.3">
      <c r="A1063" t="s">
        <v>2755</v>
      </c>
      <c r="B1063" t="s">
        <v>2756</v>
      </c>
      <c r="C1063"/>
      <c r="D1063"/>
      <c r="E1063"/>
      <c r="F1063"/>
      <c r="G1063" t="s">
        <v>2162</v>
      </c>
      <c r="H1063" t="s">
        <v>132</v>
      </c>
      <c r="I1063" t="s">
        <v>2</v>
      </c>
      <c r="J1063" t="s">
        <v>133</v>
      </c>
      <c r="K1063" t="s">
        <v>52</v>
      </c>
      <c r="L1063" t="s">
        <v>1678</v>
      </c>
      <c r="M1063" t="s">
        <v>134</v>
      </c>
      <c r="N1063" t="s">
        <v>135</v>
      </c>
      <c r="O1063"/>
      <c r="P1063"/>
      <c r="Q1063" t="s">
        <v>168</v>
      </c>
      <c r="R1063"/>
      <c r="S1063"/>
      <c r="T1063" t="s">
        <v>2165</v>
      </c>
      <c r="U1063" t="s">
        <v>137</v>
      </c>
      <c r="V1063" t="s">
        <v>904</v>
      </c>
      <c r="W1063"/>
      <c r="X1063" t="s">
        <v>79</v>
      </c>
      <c r="Y1063"/>
      <c r="Z1063"/>
      <c r="AA1063" t="s">
        <v>2163</v>
      </c>
      <c r="AB1063" t="s">
        <v>2</v>
      </c>
      <c r="AC1063" t="s">
        <v>138</v>
      </c>
      <c r="AD1063" t="s">
        <v>129</v>
      </c>
      <c r="AE1063" s="97"/>
    </row>
    <row r="1064" spans="1:31" ht="14.4" customHeight="1" x14ac:dyDescent="0.3">
      <c r="A1064" t="s">
        <v>2757</v>
      </c>
      <c r="B1064" t="s">
        <v>2758</v>
      </c>
      <c r="C1064"/>
      <c r="D1064"/>
      <c r="E1064"/>
      <c r="F1064"/>
      <c r="G1064" t="s">
        <v>2162</v>
      </c>
      <c r="H1064" t="s">
        <v>132</v>
      </c>
      <c r="I1064" t="s">
        <v>2</v>
      </c>
      <c r="J1064" t="s">
        <v>133</v>
      </c>
      <c r="K1064" t="s">
        <v>52</v>
      </c>
      <c r="L1064" t="s">
        <v>1678</v>
      </c>
      <c r="M1064" t="s">
        <v>134</v>
      </c>
      <c r="N1064" t="s">
        <v>135</v>
      </c>
      <c r="O1064"/>
      <c r="P1064"/>
      <c r="Q1064" t="s">
        <v>168</v>
      </c>
      <c r="R1064"/>
      <c r="S1064"/>
      <c r="T1064" t="s">
        <v>2165</v>
      </c>
      <c r="U1064" t="s">
        <v>137</v>
      </c>
      <c r="V1064" t="s">
        <v>904</v>
      </c>
      <c r="W1064"/>
      <c r="X1064" t="s">
        <v>79</v>
      </c>
      <c r="Y1064"/>
      <c r="Z1064"/>
      <c r="AA1064" t="s">
        <v>2163</v>
      </c>
      <c r="AB1064" t="s">
        <v>2</v>
      </c>
      <c r="AC1064" t="s">
        <v>138</v>
      </c>
      <c r="AD1064" t="s">
        <v>129</v>
      </c>
      <c r="AE1064" s="97"/>
    </row>
    <row r="1065" spans="1:31" ht="14.4" customHeight="1" x14ac:dyDescent="0.3">
      <c r="A1065" t="s">
        <v>2767</v>
      </c>
      <c r="B1065" t="s">
        <v>2768</v>
      </c>
      <c r="C1065"/>
      <c r="D1065"/>
      <c r="E1065"/>
      <c r="F1065"/>
      <c r="G1065" t="s">
        <v>2162</v>
      </c>
      <c r="H1065" t="s">
        <v>132</v>
      </c>
      <c r="I1065" t="s">
        <v>2</v>
      </c>
      <c r="J1065" t="s">
        <v>133</v>
      </c>
      <c r="K1065" t="s">
        <v>52</v>
      </c>
      <c r="L1065" t="s">
        <v>2769</v>
      </c>
      <c r="M1065" t="s">
        <v>134</v>
      </c>
      <c r="N1065" t="s">
        <v>135</v>
      </c>
      <c r="O1065"/>
      <c r="P1065"/>
      <c r="Q1065" t="s">
        <v>168</v>
      </c>
      <c r="R1065"/>
      <c r="S1065"/>
      <c r="T1065" t="s">
        <v>2165</v>
      </c>
      <c r="U1065" t="s">
        <v>137</v>
      </c>
      <c r="V1065" t="s">
        <v>904</v>
      </c>
      <c r="W1065"/>
      <c r="X1065" t="s">
        <v>79</v>
      </c>
      <c r="Y1065"/>
      <c r="Z1065"/>
      <c r="AA1065" t="s">
        <v>2163</v>
      </c>
      <c r="AB1065" t="s">
        <v>2</v>
      </c>
      <c r="AC1065" t="s">
        <v>138</v>
      </c>
      <c r="AD1065" t="s">
        <v>129</v>
      </c>
      <c r="AE1065" s="97"/>
    </row>
    <row r="1066" spans="1:31" ht="14.4" customHeight="1" x14ac:dyDescent="0.3">
      <c r="A1066" t="s">
        <v>2770</v>
      </c>
      <c r="B1066" t="s">
        <v>2771</v>
      </c>
      <c r="C1066"/>
      <c r="D1066"/>
      <c r="E1066"/>
      <c r="F1066"/>
      <c r="G1066" t="s">
        <v>2162</v>
      </c>
      <c r="H1066" t="s">
        <v>132</v>
      </c>
      <c r="I1066" t="s">
        <v>2</v>
      </c>
      <c r="J1066" t="s">
        <v>133</v>
      </c>
      <c r="K1066" t="s">
        <v>52</v>
      </c>
      <c r="L1066" t="s">
        <v>2772</v>
      </c>
      <c r="M1066" t="s">
        <v>134</v>
      </c>
      <c r="N1066" t="s">
        <v>135</v>
      </c>
      <c r="O1066"/>
      <c r="P1066"/>
      <c r="Q1066" t="s">
        <v>168</v>
      </c>
      <c r="R1066"/>
      <c r="S1066"/>
      <c r="T1066" t="s">
        <v>2165</v>
      </c>
      <c r="U1066" t="s">
        <v>137</v>
      </c>
      <c r="V1066" t="s">
        <v>904</v>
      </c>
      <c r="W1066"/>
      <c r="X1066" t="s">
        <v>79</v>
      </c>
      <c r="Y1066"/>
      <c r="Z1066"/>
      <c r="AA1066" t="s">
        <v>2163</v>
      </c>
      <c r="AB1066" t="s">
        <v>2</v>
      </c>
      <c r="AC1066" t="s">
        <v>138</v>
      </c>
      <c r="AD1066" t="s">
        <v>129</v>
      </c>
      <c r="AE1066" s="97"/>
    </row>
    <row r="1067" spans="1:31" ht="14.4" customHeight="1" x14ac:dyDescent="0.3">
      <c r="A1067" t="s">
        <v>2773</v>
      </c>
      <c r="B1067" t="s">
        <v>2774</v>
      </c>
      <c r="C1067"/>
      <c r="D1067"/>
      <c r="E1067"/>
      <c r="F1067"/>
      <c r="G1067" t="s">
        <v>2162</v>
      </c>
      <c r="H1067" t="s">
        <v>132</v>
      </c>
      <c r="I1067" t="s">
        <v>2</v>
      </c>
      <c r="J1067" t="s">
        <v>133</v>
      </c>
      <c r="K1067" t="s">
        <v>52</v>
      </c>
      <c r="L1067" t="s">
        <v>2775</v>
      </c>
      <c r="M1067" t="s">
        <v>134</v>
      </c>
      <c r="N1067" t="s">
        <v>135</v>
      </c>
      <c r="O1067"/>
      <c r="P1067"/>
      <c r="Q1067" t="s">
        <v>168</v>
      </c>
      <c r="R1067"/>
      <c r="S1067"/>
      <c r="T1067" t="s">
        <v>2165</v>
      </c>
      <c r="U1067" t="s">
        <v>137</v>
      </c>
      <c r="V1067" t="s">
        <v>911</v>
      </c>
      <c r="W1067"/>
      <c r="X1067" t="s">
        <v>83</v>
      </c>
      <c r="Y1067"/>
      <c r="Z1067"/>
      <c r="AA1067" t="s">
        <v>2163</v>
      </c>
      <c r="AB1067" t="s">
        <v>2</v>
      </c>
      <c r="AC1067" t="s">
        <v>138</v>
      </c>
      <c r="AD1067" t="s">
        <v>129</v>
      </c>
      <c r="AE1067" s="97"/>
    </row>
    <row r="1068" spans="1:31" ht="14.4" customHeight="1" x14ac:dyDescent="0.3">
      <c r="A1068" t="s">
        <v>2776</v>
      </c>
      <c r="B1068" t="s">
        <v>2777</v>
      </c>
      <c r="C1068"/>
      <c r="D1068"/>
      <c r="E1068"/>
      <c r="F1068"/>
      <c r="G1068" t="s">
        <v>2162</v>
      </c>
      <c r="H1068" t="s">
        <v>132</v>
      </c>
      <c r="I1068" t="s">
        <v>2</v>
      </c>
      <c r="J1068" t="s">
        <v>133</v>
      </c>
      <c r="K1068" t="s">
        <v>52</v>
      </c>
      <c r="L1068" t="s">
        <v>2775</v>
      </c>
      <c r="M1068" t="s">
        <v>134</v>
      </c>
      <c r="N1068" t="s">
        <v>135</v>
      </c>
      <c r="O1068"/>
      <c r="P1068"/>
      <c r="Q1068" t="s">
        <v>168</v>
      </c>
      <c r="R1068"/>
      <c r="S1068"/>
      <c r="T1068" t="s">
        <v>2165</v>
      </c>
      <c r="U1068" t="s">
        <v>137</v>
      </c>
      <c r="V1068" t="s">
        <v>911</v>
      </c>
      <c r="W1068"/>
      <c r="X1068" t="s">
        <v>83</v>
      </c>
      <c r="Y1068"/>
      <c r="Z1068"/>
      <c r="AA1068" t="s">
        <v>2163</v>
      </c>
      <c r="AB1068" t="s">
        <v>2</v>
      </c>
      <c r="AC1068" t="s">
        <v>138</v>
      </c>
      <c r="AD1068" t="s">
        <v>129</v>
      </c>
      <c r="AE1068" s="97"/>
    </row>
    <row r="1069" spans="1:31" ht="14.4" customHeight="1" x14ac:dyDescent="0.3">
      <c r="A1069" t="s">
        <v>2778</v>
      </c>
      <c r="B1069" t="s">
        <v>2779</v>
      </c>
      <c r="C1069"/>
      <c r="D1069"/>
      <c r="E1069"/>
      <c r="F1069"/>
      <c r="G1069" t="s">
        <v>2162</v>
      </c>
      <c r="H1069" t="s">
        <v>132</v>
      </c>
      <c r="I1069" t="s">
        <v>2</v>
      </c>
      <c r="J1069" t="s">
        <v>133</v>
      </c>
      <c r="K1069" t="s">
        <v>52</v>
      </c>
      <c r="L1069" t="s">
        <v>2775</v>
      </c>
      <c r="M1069" t="s">
        <v>134</v>
      </c>
      <c r="N1069" t="s">
        <v>135</v>
      </c>
      <c r="O1069"/>
      <c r="P1069"/>
      <c r="Q1069" t="s">
        <v>168</v>
      </c>
      <c r="R1069"/>
      <c r="S1069"/>
      <c r="T1069" t="s">
        <v>2165</v>
      </c>
      <c r="U1069" t="s">
        <v>137</v>
      </c>
      <c r="V1069" t="s">
        <v>911</v>
      </c>
      <c r="W1069"/>
      <c r="X1069" t="s">
        <v>83</v>
      </c>
      <c r="Y1069"/>
      <c r="Z1069"/>
      <c r="AA1069" t="s">
        <v>2163</v>
      </c>
      <c r="AB1069" t="s">
        <v>2</v>
      </c>
      <c r="AC1069" t="s">
        <v>138</v>
      </c>
      <c r="AD1069" t="s">
        <v>129</v>
      </c>
      <c r="AE1069" s="97"/>
    </row>
    <row r="1070" spans="1:31" ht="14.4" customHeight="1" x14ac:dyDescent="0.3">
      <c r="A1070" t="s">
        <v>2780</v>
      </c>
      <c r="B1070" t="s">
        <v>2781</v>
      </c>
      <c r="C1070"/>
      <c r="D1070"/>
      <c r="E1070"/>
      <c r="F1070"/>
      <c r="G1070" t="s">
        <v>2162</v>
      </c>
      <c r="H1070" t="s">
        <v>132</v>
      </c>
      <c r="I1070" t="s">
        <v>2</v>
      </c>
      <c r="J1070" t="s">
        <v>133</v>
      </c>
      <c r="K1070" t="s">
        <v>52</v>
      </c>
      <c r="L1070" t="s">
        <v>2775</v>
      </c>
      <c r="M1070" t="s">
        <v>134</v>
      </c>
      <c r="N1070" t="s">
        <v>135</v>
      </c>
      <c r="O1070"/>
      <c r="P1070"/>
      <c r="Q1070" t="s">
        <v>168</v>
      </c>
      <c r="R1070"/>
      <c r="S1070"/>
      <c r="T1070" t="s">
        <v>2165</v>
      </c>
      <c r="U1070" t="s">
        <v>137</v>
      </c>
      <c r="V1070" t="s">
        <v>911</v>
      </c>
      <c r="W1070"/>
      <c r="X1070" t="s">
        <v>83</v>
      </c>
      <c r="Y1070"/>
      <c r="Z1070"/>
      <c r="AA1070" t="s">
        <v>2163</v>
      </c>
      <c r="AB1070" t="s">
        <v>2</v>
      </c>
      <c r="AC1070" t="s">
        <v>138</v>
      </c>
      <c r="AD1070" t="s">
        <v>129</v>
      </c>
      <c r="AE1070" s="97"/>
    </row>
    <row r="1071" spans="1:31" ht="14.4" customHeight="1" x14ac:dyDescent="0.3">
      <c r="A1071" t="s">
        <v>2782</v>
      </c>
      <c r="B1071" t="s">
        <v>2783</v>
      </c>
      <c r="C1071"/>
      <c r="D1071"/>
      <c r="E1071"/>
      <c r="F1071"/>
      <c r="G1071" t="s">
        <v>2162</v>
      </c>
      <c r="H1071" t="s">
        <v>132</v>
      </c>
      <c r="I1071" t="s">
        <v>2</v>
      </c>
      <c r="J1071" t="s">
        <v>133</v>
      </c>
      <c r="K1071" t="s">
        <v>52</v>
      </c>
      <c r="L1071" t="s">
        <v>2775</v>
      </c>
      <c r="M1071" t="s">
        <v>134</v>
      </c>
      <c r="N1071" t="s">
        <v>135</v>
      </c>
      <c r="O1071"/>
      <c r="P1071"/>
      <c r="Q1071" t="s">
        <v>168</v>
      </c>
      <c r="R1071"/>
      <c r="S1071"/>
      <c r="T1071" t="s">
        <v>2165</v>
      </c>
      <c r="U1071" t="s">
        <v>137</v>
      </c>
      <c r="V1071" t="s">
        <v>911</v>
      </c>
      <c r="W1071"/>
      <c r="X1071" t="s">
        <v>83</v>
      </c>
      <c r="Y1071"/>
      <c r="Z1071"/>
      <c r="AA1071" t="s">
        <v>2163</v>
      </c>
      <c r="AB1071" t="s">
        <v>2</v>
      </c>
      <c r="AC1071" t="s">
        <v>138</v>
      </c>
      <c r="AD1071" t="s">
        <v>129</v>
      </c>
      <c r="AE1071" s="97"/>
    </row>
    <row r="1072" spans="1:31" ht="14.4" customHeight="1" x14ac:dyDescent="0.3">
      <c r="A1072" t="s">
        <v>2784</v>
      </c>
      <c r="B1072" t="s">
        <v>2785</v>
      </c>
      <c r="C1072"/>
      <c r="D1072"/>
      <c r="E1072"/>
      <c r="F1072"/>
      <c r="G1072" t="s">
        <v>2162</v>
      </c>
      <c r="H1072" t="s">
        <v>132</v>
      </c>
      <c r="I1072" t="s">
        <v>2</v>
      </c>
      <c r="J1072" t="s">
        <v>133</v>
      </c>
      <c r="K1072" t="s">
        <v>52</v>
      </c>
      <c r="L1072" t="s">
        <v>1698</v>
      </c>
      <c r="M1072" t="s">
        <v>134</v>
      </c>
      <c r="N1072" t="s">
        <v>135</v>
      </c>
      <c r="O1072"/>
      <c r="P1072"/>
      <c r="Q1072" t="s">
        <v>168</v>
      </c>
      <c r="R1072"/>
      <c r="S1072"/>
      <c r="T1072" t="s">
        <v>2165</v>
      </c>
      <c r="U1072" t="s">
        <v>137</v>
      </c>
      <c r="V1072" t="s">
        <v>911</v>
      </c>
      <c r="W1072"/>
      <c r="X1072" t="s">
        <v>83</v>
      </c>
      <c r="Y1072"/>
      <c r="Z1072"/>
      <c r="AA1072" t="s">
        <v>2163</v>
      </c>
      <c r="AB1072" t="s">
        <v>2</v>
      </c>
      <c r="AC1072" t="s">
        <v>138</v>
      </c>
      <c r="AD1072" t="s">
        <v>129</v>
      </c>
      <c r="AE1072" s="97"/>
    </row>
    <row r="1073" spans="1:31" ht="14.4" customHeight="1" x14ac:dyDescent="0.3">
      <c r="A1073" t="s">
        <v>2786</v>
      </c>
      <c r="B1073" t="s">
        <v>2787</v>
      </c>
      <c r="C1073"/>
      <c r="D1073"/>
      <c r="E1073"/>
      <c r="F1073"/>
      <c r="G1073" t="s">
        <v>2162</v>
      </c>
      <c r="H1073" t="s">
        <v>132</v>
      </c>
      <c r="I1073" t="s">
        <v>2</v>
      </c>
      <c r="J1073" t="s">
        <v>133</v>
      </c>
      <c r="K1073" t="s">
        <v>52</v>
      </c>
      <c r="L1073" t="s">
        <v>1698</v>
      </c>
      <c r="M1073" t="s">
        <v>134</v>
      </c>
      <c r="N1073" t="s">
        <v>135</v>
      </c>
      <c r="O1073"/>
      <c r="P1073"/>
      <c r="Q1073" t="s">
        <v>168</v>
      </c>
      <c r="R1073"/>
      <c r="S1073"/>
      <c r="T1073" t="s">
        <v>2165</v>
      </c>
      <c r="U1073" t="s">
        <v>137</v>
      </c>
      <c r="V1073" t="s">
        <v>911</v>
      </c>
      <c r="W1073"/>
      <c r="X1073" t="s">
        <v>83</v>
      </c>
      <c r="Y1073"/>
      <c r="Z1073"/>
      <c r="AA1073" t="s">
        <v>2163</v>
      </c>
      <c r="AB1073" t="s">
        <v>2</v>
      </c>
      <c r="AC1073" t="s">
        <v>138</v>
      </c>
      <c r="AD1073" t="s">
        <v>129</v>
      </c>
      <c r="AE1073" s="97"/>
    </row>
    <row r="1074" spans="1:31" ht="14.4" customHeight="1" x14ac:dyDescent="0.3">
      <c r="A1074" t="s">
        <v>2788</v>
      </c>
      <c r="B1074" t="s">
        <v>2789</v>
      </c>
      <c r="C1074"/>
      <c r="D1074"/>
      <c r="E1074"/>
      <c r="F1074"/>
      <c r="G1074" t="s">
        <v>2162</v>
      </c>
      <c r="H1074" t="s">
        <v>132</v>
      </c>
      <c r="I1074" t="s">
        <v>2</v>
      </c>
      <c r="J1074" t="s">
        <v>133</v>
      </c>
      <c r="K1074" t="s">
        <v>52</v>
      </c>
      <c r="L1074" t="s">
        <v>1698</v>
      </c>
      <c r="M1074" t="s">
        <v>134</v>
      </c>
      <c r="N1074" t="s">
        <v>135</v>
      </c>
      <c r="O1074"/>
      <c r="P1074"/>
      <c r="Q1074" t="s">
        <v>168</v>
      </c>
      <c r="R1074"/>
      <c r="S1074"/>
      <c r="T1074" t="s">
        <v>2165</v>
      </c>
      <c r="U1074" t="s">
        <v>137</v>
      </c>
      <c r="V1074" t="s">
        <v>911</v>
      </c>
      <c r="W1074"/>
      <c r="X1074" t="s">
        <v>83</v>
      </c>
      <c r="Y1074"/>
      <c r="Z1074"/>
      <c r="AA1074" t="s">
        <v>2163</v>
      </c>
      <c r="AB1074" t="s">
        <v>2</v>
      </c>
      <c r="AC1074" t="s">
        <v>138</v>
      </c>
      <c r="AD1074" t="s">
        <v>129</v>
      </c>
      <c r="AE1074" s="97"/>
    </row>
    <row r="1075" spans="1:31" ht="14.4" customHeight="1" x14ac:dyDescent="0.3">
      <c r="A1075" t="s">
        <v>2790</v>
      </c>
      <c r="B1075" t="s">
        <v>2791</v>
      </c>
      <c r="C1075"/>
      <c r="D1075"/>
      <c r="E1075"/>
      <c r="F1075"/>
      <c r="G1075" t="s">
        <v>2162</v>
      </c>
      <c r="H1075" t="s">
        <v>132</v>
      </c>
      <c r="I1075" t="s">
        <v>2</v>
      </c>
      <c r="J1075" t="s">
        <v>133</v>
      </c>
      <c r="K1075" t="s">
        <v>52</v>
      </c>
      <c r="L1075" t="s">
        <v>1698</v>
      </c>
      <c r="M1075" t="s">
        <v>134</v>
      </c>
      <c r="N1075" t="s">
        <v>135</v>
      </c>
      <c r="O1075"/>
      <c r="P1075"/>
      <c r="Q1075" t="s">
        <v>168</v>
      </c>
      <c r="R1075"/>
      <c r="S1075"/>
      <c r="T1075" t="s">
        <v>2165</v>
      </c>
      <c r="U1075" t="s">
        <v>137</v>
      </c>
      <c r="V1075" t="s">
        <v>911</v>
      </c>
      <c r="W1075"/>
      <c r="X1075" t="s">
        <v>83</v>
      </c>
      <c r="Y1075"/>
      <c r="Z1075"/>
      <c r="AA1075" t="s">
        <v>2163</v>
      </c>
      <c r="AB1075" t="s">
        <v>2</v>
      </c>
      <c r="AC1075" t="s">
        <v>138</v>
      </c>
      <c r="AD1075" t="s">
        <v>129</v>
      </c>
      <c r="AE1075" s="97"/>
    </row>
    <row r="1076" spans="1:31" ht="14.4" customHeight="1" x14ac:dyDescent="0.3">
      <c r="A1076" t="s">
        <v>2792</v>
      </c>
      <c r="B1076" t="s">
        <v>2793</v>
      </c>
      <c r="C1076"/>
      <c r="D1076"/>
      <c r="E1076"/>
      <c r="F1076"/>
      <c r="G1076" t="s">
        <v>2162</v>
      </c>
      <c r="H1076" t="s">
        <v>132</v>
      </c>
      <c r="I1076" t="s">
        <v>2</v>
      </c>
      <c r="J1076" t="s">
        <v>133</v>
      </c>
      <c r="K1076" t="s">
        <v>52</v>
      </c>
      <c r="L1076" t="s">
        <v>1701</v>
      </c>
      <c r="M1076" t="s">
        <v>134</v>
      </c>
      <c r="N1076" t="s">
        <v>135</v>
      </c>
      <c r="O1076"/>
      <c r="P1076"/>
      <c r="Q1076" t="s">
        <v>168</v>
      </c>
      <c r="R1076"/>
      <c r="S1076"/>
      <c r="T1076" t="s">
        <v>2165</v>
      </c>
      <c r="U1076" t="s">
        <v>137</v>
      </c>
      <c r="V1076" t="s">
        <v>911</v>
      </c>
      <c r="W1076"/>
      <c r="X1076" t="s">
        <v>83</v>
      </c>
      <c r="Y1076"/>
      <c r="Z1076"/>
      <c r="AA1076" t="s">
        <v>2163</v>
      </c>
      <c r="AB1076" t="s">
        <v>2</v>
      </c>
      <c r="AC1076" t="s">
        <v>138</v>
      </c>
      <c r="AD1076" t="s">
        <v>129</v>
      </c>
      <c r="AE1076" s="97"/>
    </row>
    <row r="1077" spans="1:31" ht="14.4" customHeight="1" x14ac:dyDescent="0.3">
      <c r="A1077" t="s">
        <v>2794</v>
      </c>
      <c r="B1077" t="s">
        <v>2795</v>
      </c>
      <c r="C1077"/>
      <c r="D1077"/>
      <c r="E1077"/>
      <c r="F1077"/>
      <c r="G1077" t="s">
        <v>2162</v>
      </c>
      <c r="H1077" t="s">
        <v>132</v>
      </c>
      <c r="I1077" t="s">
        <v>2</v>
      </c>
      <c r="J1077" t="s">
        <v>133</v>
      </c>
      <c r="K1077" t="s">
        <v>52</v>
      </c>
      <c r="L1077" t="s">
        <v>1701</v>
      </c>
      <c r="M1077" t="s">
        <v>134</v>
      </c>
      <c r="N1077" t="s">
        <v>135</v>
      </c>
      <c r="O1077"/>
      <c r="P1077"/>
      <c r="Q1077" t="s">
        <v>168</v>
      </c>
      <c r="R1077"/>
      <c r="S1077"/>
      <c r="T1077" t="s">
        <v>2165</v>
      </c>
      <c r="U1077" t="s">
        <v>137</v>
      </c>
      <c r="V1077" t="s">
        <v>911</v>
      </c>
      <c r="W1077"/>
      <c r="X1077" t="s">
        <v>83</v>
      </c>
      <c r="Y1077"/>
      <c r="Z1077"/>
      <c r="AA1077" t="s">
        <v>2163</v>
      </c>
      <c r="AB1077" t="s">
        <v>2</v>
      </c>
      <c r="AC1077" t="s">
        <v>138</v>
      </c>
      <c r="AD1077" t="s">
        <v>129</v>
      </c>
      <c r="AE1077" s="97"/>
    </row>
    <row r="1078" spans="1:31" ht="14.4" customHeight="1" x14ac:dyDescent="0.3">
      <c r="A1078" t="s">
        <v>2796</v>
      </c>
      <c r="B1078" t="s">
        <v>2797</v>
      </c>
      <c r="C1078"/>
      <c r="D1078"/>
      <c r="E1078"/>
      <c r="F1078"/>
      <c r="G1078" t="s">
        <v>2162</v>
      </c>
      <c r="H1078" t="s">
        <v>132</v>
      </c>
      <c r="I1078" t="s">
        <v>2</v>
      </c>
      <c r="J1078" t="s">
        <v>133</v>
      </c>
      <c r="K1078" t="s">
        <v>52</v>
      </c>
      <c r="L1078" t="s">
        <v>1698</v>
      </c>
      <c r="M1078" t="s">
        <v>134</v>
      </c>
      <c r="N1078" t="s">
        <v>135</v>
      </c>
      <c r="O1078"/>
      <c r="P1078"/>
      <c r="Q1078" t="s">
        <v>168</v>
      </c>
      <c r="R1078"/>
      <c r="S1078"/>
      <c r="T1078" t="s">
        <v>2165</v>
      </c>
      <c r="U1078" t="s">
        <v>137</v>
      </c>
      <c r="V1078" t="s">
        <v>911</v>
      </c>
      <c r="W1078"/>
      <c r="X1078" t="s">
        <v>83</v>
      </c>
      <c r="Y1078"/>
      <c r="Z1078"/>
      <c r="AA1078" t="s">
        <v>2163</v>
      </c>
      <c r="AB1078" t="s">
        <v>2</v>
      </c>
      <c r="AC1078" t="s">
        <v>138</v>
      </c>
      <c r="AD1078" t="s">
        <v>129</v>
      </c>
      <c r="AE1078" s="97"/>
    </row>
    <row r="1079" spans="1:31" ht="14.4" customHeight="1" x14ac:dyDescent="0.3">
      <c r="A1079" t="s">
        <v>2798</v>
      </c>
      <c r="B1079" t="s">
        <v>2799</v>
      </c>
      <c r="C1079"/>
      <c r="D1079"/>
      <c r="E1079"/>
      <c r="F1079"/>
      <c r="G1079" t="s">
        <v>2162</v>
      </c>
      <c r="H1079" t="s">
        <v>132</v>
      </c>
      <c r="I1079" t="s">
        <v>2</v>
      </c>
      <c r="J1079" t="s">
        <v>133</v>
      </c>
      <c r="K1079" t="s">
        <v>52</v>
      </c>
      <c r="L1079" t="s">
        <v>1698</v>
      </c>
      <c r="M1079" t="s">
        <v>134</v>
      </c>
      <c r="N1079" t="s">
        <v>135</v>
      </c>
      <c r="O1079"/>
      <c r="P1079"/>
      <c r="Q1079" t="s">
        <v>168</v>
      </c>
      <c r="R1079"/>
      <c r="S1079"/>
      <c r="T1079" t="s">
        <v>2165</v>
      </c>
      <c r="U1079" t="s">
        <v>137</v>
      </c>
      <c r="V1079" t="s">
        <v>911</v>
      </c>
      <c r="W1079"/>
      <c r="X1079" t="s">
        <v>83</v>
      </c>
      <c r="Y1079"/>
      <c r="Z1079"/>
      <c r="AA1079" t="s">
        <v>2163</v>
      </c>
      <c r="AB1079" t="s">
        <v>2</v>
      </c>
      <c r="AC1079" t="s">
        <v>138</v>
      </c>
      <c r="AD1079" t="s">
        <v>129</v>
      </c>
      <c r="AE1079" s="97"/>
    </row>
    <row r="1080" spans="1:31" ht="14.4" customHeight="1" x14ac:dyDescent="0.3">
      <c r="A1080" t="s">
        <v>2800</v>
      </c>
      <c r="B1080" t="s">
        <v>2801</v>
      </c>
      <c r="C1080"/>
      <c r="D1080"/>
      <c r="E1080"/>
      <c r="F1080"/>
      <c r="G1080" t="s">
        <v>2162</v>
      </c>
      <c r="H1080" t="s">
        <v>132</v>
      </c>
      <c r="I1080" t="s">
        <v>2</v>
      </c>
      <c r="J1080" t="s">
        <v>133</v>
      </c>
      <c r="K1080" t="s">
        <v>52</v>
      </c>
      <c r="L1080" t="s">
        <v>1698</v>
      </c>
      <c r="M1080" t="s">
        <v>134</v>
      </c>
      <c r="N1080" t="s">
        <v>135</v>
      </c>
      <c r="O1080"/>
      <c r="P1080"/>
      <c r="Q1080" t="s">
        <v>168</v>
      </c>
      <c r="R1080"/>
      <c r="S1080"/>
      <c r="T1080" t="s">
        <v>2165</v>
      </c>
      <c r="U1080" t="s">
        <v>137</v>
      </c>
      <c r="V1080" t="s">
        <v>911</v>
      </c>
      <c r="W1080"/>
      <c r="X1080" t="s">
        <v>83</v>
      </c>
      <c r="Y1080"/>
      <c r="Z1080"/>
      <c r="AA1080" t="s">
        <v>2163</v>
      </c>
      <c r="AB1080" t="s">
        <v>2</v>
      </c>
      <c r="AC1080" t="s">
        <v>138</v>
      </c>
      <c r="AD1080" t="s">
        <v>129</v>
      </c>
      <c r="AE1080" s="97"/>
    </row>
    <row r="1081" spans="1:31" ht="14.4" customHeight="1" x14ac:dyDescent="0.3">
      <c r="A1081" t="s">
        <v>2810</v>
      </c>
      <c r="B1081" t="s">
        <v>2811</v>
      </c>
      <c r="C1081"/>
      <c r="D1081"/>
      <c r="E1081"/>
      <c r="F1081"/>
      <c r="G1081" t="s">
        <v>2162</v>
      </c>
      <c r="H1081" t="s">
        <v>132</v>
      </c>
      <c r="I1081" t="s">
        <v>2</v>
      </c>
      <c r="J1081" t="s">
        <v>133</v>
      </c>
      <c r="K1081" t="s">
        <v>52</v>
      </c>
      <c r="L1081" t="s">
        <v>2812</v>
      </c>
      <c r="M1081" t="s">
        <v>134</v>
      </c>
      <c r="N1081" t="s">
        <v>135</v>
      </c>
      <c r="O1081"/>
      <c r="P1081"/>
      <c r="Q1081" t="s">
        <v>168</v>
      </c>
      <c r="R1081"/>
      <c r="S1081"/>
      <c r="T1081" t="s">
        <v>2165</v>
      </c>
      <c r="U1081" t="s">
        <v>137</v>
      </c>
      <c r="V1081" t="s">
        <v>911</v>
      </c>
      <c r="W1081"/>
      <c r="X1081" t="s">
        <v>83</v>
      </c>
      <c r="Y1081"/>
      <c r="Z1081"/>
      <c r="AA1081" t="s">
        <v>2163</v>
      </c>
      <c r="AB1081" t="s">
        <v>2</v>
      </c>
      <c r="AC1081" t="s">
        <v>138</v>
      </c>
      <c r="AD1081" t="s">
        <v>129</v>
      </c>
      <c r="AE1081" s="97"/>
    </row>
    <row r="1082" spans="1:31" ht="14.4" customHeight="1" x14ac:dyDescent="0.3">
      <c r="A1082" t="s">
        <v>2813</v>
      </c>
      <c r="B1082" t="s">
        <v>2814</v>
      </c>
      <c r="C1082"/>
      <c r="D1082"/>
      <c r="E1082"/>
      <c r="F1082"/>
      <c r="G1082" t="s">
        <v>2162</v>
      </c>
      <c r="H1082" t="s">
        <v>132</v>
      </c>
      <c r="I1082" t="s">
        <v>2</v>
      </c>
      <c r="J1082" t="s">
        <v>133</v>
      </c>
      <c r="K1082" t="s">
        <v>52</v>
      </c>
      <c r="L1082" t="s">
        <v>2815</v>
      </c>
      <c r="M1082" t="s">
        <v>134</v>
      </c>
      <c r="N1082" t="s">
        <v>135</v>
      </c>
      <c r="O1082"/>
      <c r="P1082"/>
      <c r="Q1082" t="s">
        <v>168</v>
      </c>
      <c r="R1082"/>
      <c r="S1082"/>
      <c r="T1082" t="s">
        <v>2165</v>
      </c>
      <c r="U1082" t="s">
        <v>137</v>
      </c>
      <c r="V1082" t="s">
        <v>911</v>
      </c>
      <c r="W1082"/>
      <c r="X1082" t="s">
        <v>83</v>
      </c>
      <c r="Y1082"/>
      <c r="Z1082"/>
      <c r="AA1082" t="s">
        <v>2163</v>
      </c>
      <c r="AB1082" t="s">
        <v>2</v>
      </c>
      <c r="AC1082" t="s">
        <v>138</v>
      </c>
      <c r="AD1082" t="s">
        <v>129</v>
      </c>
      <c r="AE1082" s="97"/>
    </row>
    <row r="1083" spans="1:31" ht="14.4" customHeight="1" x14ac:dyDescent="0.3">
      <c r="A1083" t="s">
        <v>2816</v>
      </c>
      <c r="B1083" t="s">
        <v>2817</v>
      </c>
      <c r="C1083"/>
      <c r="D1083"/>
      <c r="E1083"/>
      <c r="F1083"/>
      <c r="G1083" t="s">
        <v>2162</v>
      </c>
      <c r="H1083" t="s">
        <v>132</v>
      </c>
      <c r="I1083" t="s">
        <v>2</v>
      </c>
      <c r="J1083" t="s">
        <v>133</v>
      </c>
      <c r="K1083" t="s">
        <v>52</v>
      </c>
      <c r="L1083" t="s">
        <v>2818</v>
      </c>
      <c r="M1083" t="s">
        <v>134</v>
      </c>
      <c r="N1083" t="s">
        <v>135</v>
      </c>
      <c r="O1083"/>
      <c r="P1083"/>
      <c r="Q1083" t="s">
        <v>168</v>
      </c>
      <c r="R1083"/>
      <c r="S1083"/>
      <c r="T1083" t="s">
        <v>2165</v>
      </c>
      <c r="U1083" t="s">
        <v>137</v>
      </c>
      <c r="V1083" t="s">
        <v>918</v>
      </c>
      <c r="W1083"/>
      <c r="X1083" t="s">
        <v>92</v>
      </c>
      <c r="Y1083"/>
      <c r="Z1083"/>
      <c r="AA1083" t="s">
        <v>2163</v>
      </c>
      <c r="AB1083" t="s">
        <v>2</v>
      </c>
      <c r="AC1083" t="s">
        <v>138</v>
      </c>
      <c r="AD1083" t="s">
        <v>129</v>
      </c>
      <c r="AE1083" s="97"/>
    </row>
    <row r="1084" spans="1:31" ht="14.4" customHeight="1" x14ac:dyDescent="0.3">
      <c r="A1084" t="s">
        <v>2819</v>
      </c>
      <c r="B1084" t="s">
        <v>2820</v>
      </c>
      <c r="C1084"/>
      <c r="D1084"/>
      <c r="E1084"/>
      <c r="F1084"/>
      <c r="G1084" t="s">
        <v>2162</v>
      </c>
      <c r="H1084" t="s">
        <v>132</v>
      </c>
      <c r="I1084" t="s">
        <v>2</v>
      </c>
      <c r="J1084" t="s">
        <v>133</v>
      </c>
      <c r="K1084" t="s">
        <v>52</v>
      </c>
      <c r="L1084" t="s">
        <v>2818</v>
      </c>
      <c r="M1084" t="s">
        <v>134</v>
      </c>
      <c r="N1084" t="s">
        <v>135</v>
      </c>
      <c r="O1084"/>
      <c r="P1084"/>
      <c r="Q1084" t="s">
        <v>168</v>
      </c>
      <c r="R1084"/>
      <c r="S1084"/>
      <c r="T1084" t="s">
        <v>2165</v>
      </c>
      <c r="U1084" t="s">
        <v>137</v>
      </c>
      <c r="V1084" t="s">
        <v>918</v>
      </c>
      <c r="W1084"/>
      <c r="X1084" t="s">
        <v>92</v>
      </c>
      <c r="Y1084"/>
      <c r="Z1084"/>
      <c r="AA1084" t="s">
        <v>2163</v>
      </c>
      <c r="AB1084" t="s">
        <v>2</v>
      </c>
      <c r="AC1084" t="s">
        <v>138</v>
      </c>
      <c r="AD1084" t="s">
        <v>129</v>
      </c>
      <c r="AE1084" s="97"/>
    </row>
    <row r="1085" spans="1:31" ht="14.4" customHeight="1" x14ac:dyDescent="0.3">
      <c r="A1085" t="s">
        <v>2821</v>
      </c>
      <c r="B1085" t="s">
        <v>2822</v>
      </c>
      <c r="C1085"/>
      <c r="D1085"/>
      <c r="E1085"/>
      <c r="F1085"/>
      <c r="G1085" t="s">
        <v>2162</v>
      </c>
      <c r="H1085" t="s">
        <v>132</v>
      </c>
      <c r="I1085" t="s">
        <v>2</v>
      </c>
      <c r="J1085" t="s">
        <v>133</v>
      </c>
      <c r="K1085" t="s">
        <v>52</v>
      </c>
      <c r="L1085" t="s">
        <v>2818</v>
      </c>
      <c r="M1085" t="s">
        <v>134</v>
      </c>
      <c r="N1085" t="s">
        <v>135</v>
      </c>
      <c r="O1085"/>
      <c r="P1085"/>
      <c r="Q1085" t="s">
        <v>168</v>
      </c>
      <c r="R1085"/>
      <c r="S1085"/>
      <c r="T1085" t="s">
        <v>2165</v>
      </c>
      <c r="U1085" t="s">
        <v>137</v>
      </c>
      <c r="V1085" t="s">
        <v>918</v>
      </c>
      <c r="W1085"/>
      <c r="X1085" t="s">
        <v>92</v>
      </c>
      <c r="Y1085"/>
      <c r="Z1085"/>
      <c r="AA1085" t="s">
        <v>2163</v>
      </c>
      <c r="AB1085" t="s">
        <v>2</v>
      </c>
      <c r="AC1085" t="s">
        <v>138</v>
      </c>
      <c r="AD1085" t="s">
        <v>129</v>
      </c>
      <c r="AE1085" s="97"/>
    </row>
    <row r="1086" spans="1:31" ht="14.4" customHeight="1" x14ac:dyDescent="0.3">
      <c r="A1086" t="s">
        <v>2823</v>
      </c>
      <c r="B1086" t="s">
        <v>2824</v>
      </c>
      <c r="C1086"/>
      <c r="D1086"/>
      <c r="E1086"/>
      <c r="F1086"/>
      <c r="G1086" t="s">
        <v>2162</v>
      </c>
      <c r="H1086" t="s">
        <v>132</v>
      </c>
      <c r="I1086" t="s">
        <v>2</v>
      </c>
      <c r="J1086" t="s">
        <v>133</v>
      </c>
      <c r="K1086" t="s">
        <v>52</v>
      </c>
      <c r="L1086" t="s">
        <v>2818</v>
      </c>
      <c r="M1086" t="s">
        <v>134</v>
      </c>
      <c r="N1086" t="s">
        <v>135</v>
      </c>
      <c r="O1086"/>
      <c r="P1086"/>
      <c r="Q1086" t="s">
        <v>168</v>
      </c>
      <c r="R1086"/>
      <c r="S1086"/>
      <c r="T1086" t="s">
        <v>2165</v>
      </c>
      <c r="U1086" t="s">
        <v>137</v>
      </c>
      <c r="V1086" t="s">
        <v>918</v>
      </c>
      <c r="W1086"/>
      <c r="X1086" t="s">
        <v>92</v>
      </c>
      <c r="Y1086"/>
      <c r="Z1086"/>
      <c r="AA1086" t="s">
        <v>2163</v>
      </c>
      <c r="AB1086" t="s">
        <v>2</v>
      </c>
      <c r="AC1086" t="s">
        <v>138</v>
      </c>
      <c r="AD1086" t="s">
        <v>129</v>
      </c>
      <c r="AE1086" s="97"/>
    </row>
    <row r="1087" spans="1:31" ht="14.4" customHeight="1" x14ac:dyDescent="0.3">
      <c r="A1087" t="s">
        <v>2825</v>
      </c>
      <c r="B1087" t="s">
        <v>2826</v>
      </c>
      <c r="C1087"/>
      <c r="D1087"/>
      <c r="E1087"/>
      <c r="F1087"/>
      <c r="G1087" t="s">
        <v>2162</v>
      </c>
      <c r="H1087" t="s">
        <v>132</v>
      </c>
      <c r="I1087" t="s">
        <v>2</v>
      </c>
      <c r="J1087" t="s">
        <v>133</v>
      </c>
      <c r="K1087" t="s">
        <v>52</v>
      </c>
      <c r="L1087" t="s">
        <v>2827</v>
      </c>
      <c r="M1087" t="s">
        <v>134</v>
      </c>
      <c r="N1087" t="s">
        <v>135</v>
      </c>
      <c r="O1087"/>
      <c r="P1087"/>
      <c r="Q1087" t="s">
        <v>168</v>
      </c>
      <c r="R1087"/>
      <c r="S1087"/>
      <c r="T1087" t="s">
        <v>2165</v>
      </c>
      <c r="U1087" t="s">
        <v>137</v>
      </c>
      <c r="V1087" t="s">
        <v>918</v>
      </c>
      <c r="W1087"/>
      <c r="X1087" t="s">
        <v>92</v>
      </c>
      <c r="Y1087"/>
      <c r="Z1087"/>
      <c r="AA1087" t="s">
        <v>2163</v>
      </c>
      <c r="AB1087" t="s">
        <v>2</v>
      </c>
      <c r="AC1087" t="s">
        <v>138</v>
      </c>
      <c r="AD1087" t="s">
        <v>129</v>
      </c>
      <c r="AE1087" s="97"/>
    </row>
    <row r="1088" spans="1:31" ht="14.4" customHeight="1" x14ac:dyDescent="0.3">
      <c r="A1088" t="s">
        <v>2828</v>
      </c>
      <c r="B1088" t="s">
        <v>2829</v>
      </c>
      <c r="C1088"/>
      <c r="D1088"/>
      <c r="E1088"/>
      <c r="F1088"/>
      <c r="G1088" t="s">
        <v>2162</v>
      </c>
      <c r="H1088" t="s">
        <v>132</v>
      </c>
      <c r="I1088" t="s">
        <v>2</v>
      </c>
      <c r="J1088" t="s">
        <v>133</v>
      </c>
      <c r="K1088" t="s">
        <v>52</v>
      </c>
      <c r="L1088" t="s">
        <v>1718</v>
      </c>
      <c r="M1088" t="s">
        <v>134</v>
      </c>
      <c r="N1088" t="s">
        <v>135</v>
      </c>
      <c r="O1088"/>
      <c r="P1088"/>
      <c r="Q1088" t="s">
        <v>168</v>
      </c>
      <c r="R1088"/>
      <c r="S1088"/>
      <c r="T1088" t="s">
        <v>2165</v>
      </c>
      <c r="U1088" t="s">
        <v>137</v>
      </c>
      <c r="V1088" t="s">
        <v>918</v>
      </c>
      <c r="W1088"/>
      <c r="X1088" t="s">
        <v>92</v>
      </c>
      <c r="Y1088"/>
      <c r="Z1088"/>
      <c r="AA1088" t="s">
        <v>2163</v>
      </c>
      <c r="AB1088" t="s">
        <v>2</v>
      </c>
      <c r="AC1088" t="s">
        <v>138</v>
      </c>
      <c r="AD1088" t="s">
        <v>129</v>
      </c>
      <c r="AE1088" s="97"/>
    </row>
    <row r="1089" spans="1:31" ht="14.4" customHeight="1" x14ac:dyDescent="0.3">
      <c r="A1089" t="s">
        <v>2830</v>
      </c>
      <c r="B1089" t="s">
        <v>2831</v>
      </c>
      <c r="C1089"/>
      <c r="D1089"/>
      <c r="E1089"/>
      <c r="F1089"/>
      <c r="G1089" t="s">
        <v>2162</v>
      </c>
      <c r="H1089" t="s">
        <v>132</v>
      </c>
      <c r="I1089" t="s">
        <v>2</v>
      </c>
      <c r="J1089" t="s">
        <v>133</v>
      </c>
      <c r="K1089" t="s">
        <v>52</v>
      </c>
      <c r="L1089" t="s">
        <v>1718</v>
      </c>
      <c r="M1089" t="s">
        <v>134</v>
      </c>
      <c r="N1089" t="s">
        <v>135</v>
      </c>
      <c r="O1089"/>
      <c r="P1089"/>
      <c r="Q1089" t="s">
        <v>168</v>
      </c>
      <c r="R1089"/>
      <c r="S1089"/>
      <c r="T1089" t="s">
        <v>2165</v>
      </c>
      <c r="U1089" t="s">
        <v>137</v>
      </c>
      <c r="V1089" t="s">
        <v>918</v>
      </c>
      <c r="W1089"/>
      <c r="X1089" t="s">
        <v>92</v>
      </c>
      <c r="Y1089"/>
      <c r="Z1089"/>
      <c r="AA1089" t="s">
        <v>2163</v>
      </c>
      <c r="AB1089" t="s">
        <v>2</v>
      </c>
      <c r="AC1089" t="s">
        <v>138</v>
      </c>
      <c r="AD1089" t="s">
        <v>129</v>
      </c>
      <c r="AE1089" s="97"/>
    </row>
    <row r="1090" spans="1:31" ht="14.4" customHeight="1" x14ac:dyDescent="0.3">
      <c r="A1090" t="s">
        <v>2832</v>
      </c>
      <c r="B1090" t="s">
        <v>2833</v>
      </c>
      <c r="C1090"/>
      <c r="D1090"/>
      <c r="E1090"/>
      <c r="F1090"/>
      <c r="G1090" t="s">
        <v>2162</v>
      </c>
      <c r="H1090" t="s">
        <v>132</v>
      </c>
      <c r="I1090" t="s">
        <v>2</v>
      </c>
      <c r="J1090" t="s">
        <v>133</v>
      </c>
      <c r="K1090" t="s">
        <v>52</v>
      </c>
      <c r="L1090" t="s">
        <v>1718</v>
      </c>
      <c r="M1090" t="s">
        <v>134</v>
      </c>
      <c r="N1090" t="s">
        <v>135</v>
      </c>
      <c r="O1090"/>
      <c r="P1090"/>
      <c r="Q1090" t="s">
        <v>168</v>
      </c>
      <c r="R1090"/>
      <c r="S1090"/>
      <c r="T1090" t="s">
        <v>2165</v>
      </c>
      <c r="U1090" t="s">
        <v>137</v>
      </c>
      <c r="V1090" t="s">
        <v>918</v>
      </c>
      <c r="W1090"/>
      <c r="X1090" t="s">
        <v>92</v>
      </c>
      <c r="Y1090"/>
      <c r="Z1090"/>
      <c r="AA1090" t="s">
        <v>2163</v>
      </c>
      <c r="AB1090" t="s">
        <v>2</v>
      </c>
      <c r="AC1090" t="s">
        <v>138</v>
      </c>
      <c r="AD1090" t="s">
        <v>129</v>
      </c>
      <c r="AE1090" s="97"/>
    </row>
    <row r="1091" spans="1:31" ht="14.4" customHeight="1" x14ac:dyDescent="0.3">
      <c r="A1091" t="s">
        <v>2834</v>
      </c>
      <c r="B1091" t="s">
        <v>2835</v>
      </c>
      <c r="C1091"/>
      <c r="D1091"/>
      <c r="E1091"/>
      <c r="F1091"/>
      <c r="G1091" t="s">
        <v>2162</v>
      </c>
      <c r="H1091" t="s">
        <v>132</v>
      </c>
      <c r="I1091" t="s">
        <v>2</v>
      </c>
      <c r="J1091" t="s">
        <v>133</v>
      </c>
      <c r="K1091" t="s">
        <v>52</v>
      </c>
      <c r="L1091" t="s">
        <v>1718</v>
      </c>
      <c r="M1091" t="s">
        <v>134</v>
      </c>
      <c r="N1091" t="s">
        <v>135</v>
      </c>
      <c r="O1091"/>
      <c r="P1091"/>
      <c r="Q1091" t="s">
        <v>168</v>
      </c>
      <c r="R1091"/>
      <c r="S1091"/>
      <c r="T1091" t="s">
        <v>2165</v>
      </c>
      <c r="U1091" t="s">
        <v>137</v>
      </c>
      <c r="V1091" t="s">
        <v>918</v>
      </c>
      <c r="W1091"/>
      <c r="X1091" t="s">
        <v>92</v>
      </c>
      <c r="Y1091"/>
      <c r="Z1091"/>
      <c r="AA1091" t="s">
        <v>2163</v>
      </c>
      <c r="AB1091" t="s">
        <v>2</v>
      </c>
      <c r="AC1091" t="s">
        <v>138</v>
      </c>
      <c r="AD1091" t="s">
        <v>129</v>
      </c>
      <c r="AE1091" s="97"/>
    </row>
    <row r="1092" spans="1:31" ht="14.4" customHeight="1" x14ac:dyDescent="0.3">
      <c r="A1092" t="s">
        <v>2836</v>
      </c>
      <c r="B1092" t="s">
        <v>2837</v>
      </c>
      <c r="C1092"/>
      <c r="D1092"/>
      <c r="E1092"/>
      <c r="F1092"/>
      <c r="G1092" t="s">
        <v>2162</v>
      </c>
      <c r="H1092" t="s">
        <v>132</v>
      </c>
      <c r="I1092" t="s">
        <v>2</v>
      </c>
      <c r="J1092" t="s">
        <v>133</v>
      </c>
      <c r="K1092" t="s">
        <v>52</v>
      </c>
      <c r="L1092" t="s">
        <v>1721</v>
      </c>
      <c r="M1092" t="s">
        <v>134</v>
      </c>
      <c r="N1092" t="s">
        <v>135</v>
      </c>
      <c r="O1092"/>
      <c r="P1092"/>
      <c r="Q1092" t="s">
        <v>168</v>
      </c>
      <c r="R1092"/>
      <c r="S1092"/>
      <c r="T1092" t="s">
        <v>2165</v>
      </c>
      <c r="U1092" t="s">
        <v>137</v>
      </c>
      <c r="V1092" t="s">
        <v>918</v>
      </c>
      <c r="W1092"/>
      <c r="X1092" t="s">
        <v>92</v>
      </c>
      <c r="Y1092"/>
      <c r="Z1092"/>
      <c r="AA1092" t="s">
        <v>2163</v>
      </c>
      <c r="AB1092" t="s">
        <v>2</v>
      </c>
      <c r="AC1092" t="s">
        <v>138</v>
      </c>
      <c r="AD1092" t="s">
        <v>129</v>
      </c>
      <c r="AE1092" s="97"/>
    </row>
    <row r="1093" spans="1:31" ht="14.4" customHeight="1" x14ac:dyDescent="0.3">
      <c r="A1093" t="s">
        <v>2838</v>
      </c>
      <c r="B1093" t="s">
        <v>2839</v>
      </c>
      <c r="C1093"/>
      <c r="D1093"/>
      <c r="E1093"/>
      <c r="F1093"/>
      <c r="G1093" t="s">
        <v>2162</v>
      </c>
      <c r="H1093" t="s">
        <v>132</v>
      </c>
      <c r="I1093" t="s">
        <v>2</v>
      </c>
      <c r="J1093" t="s">
        <v>133</v>
      </c>
      <c r="K1093" t="s">
        <v>52</v>
      </c>
      <c r="L1093" t="s">
        <v>1721</v>
      </c>
      <c r="M1093" t="s">
        <v>134</v>
      </c>
      <c r="N1093" t="s">
        <v>135</v>
      </c>
      <c r="O1093"/>
      <c r="P1093"/>
      <c r="Q1093" t="s">
        <v>168</v>
      </c>
      <c r="R1093"/>
      <c r="S1093"/>
      <c r="T1093" t="s">
        <v>2165</v>
      </c>
      <c r="U1093" t="s">
        <v>137</v>
      </c>
      <c r="V1093" t="s">
        <v>918</v>
      </c>
      <c r="W1093"/>
      <c r="X1093" t="s">
        <v>92</v>
      </c>
      <c r="Y1093"/>
      <c r="Z1093"/>
      <c r="AA1093" t="s">
        <v>2163</v>
      </c>
      <c r="AB1093" t="s">
        <v>2</v>
      </c>
      <c r="AC1093" t="s">
        <v>138</v>
      </c>
      <c r="AD1093" t="s">
        <v>129</v>
      </c>
      <c r="AE1093" s="97"/>
    </row>
    <row r="1094" spans="1:31" ht="14.4" customHeight="1" x14ac:dyDescent="0.3">
      <c r="A1094" t="s">
        <v>2840</v>
      </c>
      <c r="B1094" t="s">
        <v>2841</v>
      </c>
      <c r="C1094"/>
      <c r="D1094"/>
      <c r="E1094"/>
      <c r="F1094"/>
      <c r="G1094" t="s">
        <v>2162</v>
      </c>
      <c r="H1094" t="s">
        <v>132</v>
      </c>
      <c r="I1094" t="s">
        <v>2</v>
      </c>
      <c r="J1094" t="s">
        <v>133</v>
      </c>
      <c r="K1094" t="s">
        <v>52</v>
      </c>
      <c r="L1094" t="s">
        <v>1718</v>
      </c>
      <c r="M1094" t="s">
        <v>134</v>
      </c>
      <c r="N1094" t="s">
        <v>135</v>
      </c>
      <c r="O1094"/>
      <c r="P1094"/>
      <c r="Q1094" t="s">
        <v>168</v>
      </c>
      <c r="R1094"/>
      <c r="S1094"/>
      <c r="T1094" t="s">
        <v>2165</v>
      </c>
      <c r="U1094" t="s">
        <v>137</v>
      </c>
      <c r="V1094" t="s">
        <v>918</v>
      </c>
      <c r="W1094"/>
      <c r="X1094" t="s">
        <v>92</v>
      </c>
      <c r="Y1094"/>
      <c r="Z1094"/>
      <c r="AA1094" t="s">
        <v>2163</v>
      </c>
      <c r="AB1094" t="s">
        <v>2</v>
      </c>
      <c r="AC1094" t="s">
        <v>138</v>
      </c>
      <c r="AD1094" t="s">
        <v>129</v>
      </c>
      <c r="AE1094" s="97"/>
    </row>
    <row r="1095" spans="1:31" ht="14.4" customHeight="1" x14ac:dyDescent="0.3">
      <c r="A1095" t="s">
        <v>2842</v>
      </c>
      <c r="B1095" t="s">
        <v>2843</v>
      </c>
      <c r="C1095"/>
      <c r="D1095"/>
      <c r="E1095"/>
      <c r="F1095"/>
      <c r="G1095" t="s">
        <v>2162</v>
      </c>
      <c r="H1095" t="s">
        <v>132</v>
      </c>
      <c r="I1095" t="s">
        <v>2</v>
      </c>
      <c r="J1095" t="s">
        <v>133</v>
      </c>
      <c r="K1095" t="s">
        <v>52</v>
      </c>
      <c r="L1095" t="s">
        <v>1718</v>
      </c>
      <c r="M1095" t="s">
        <v>134</v>
      </c>
      <c r="N1095" t="s">
        <v>135</v>
      </c>
      <c r="O1095"/>
      <c r="P1095"/>
      <c r="Q1095" t="s">
        <v>168</v>
      </c>
      <c r="R1095"/>
      <c r="S1095"/>
      <c r="T1095" t="s">
        <v>2165</v>
      </c>
      <c r="U1095" t="s">
        <v>137</v>
      </c>
      <c r="V1095" t="s">
        <v>918</v>
      </c>
      <c r="W1095"/>
      <c r="X1095" t="s">
        <v>92</v>
      </c>
      <c r="Y1095"/>
      <c r="Z1095"/>
      <c r="AA1095" t="s">
        <v>2163</v>
      </c>
      <c r="AB1095" t="s">
        <v>2</v>
      </c>
      <c r="AC1095" t="s">
        <v>138</v>
      </c>
      <c r="AD1095" t="s">
        <v>129</v>
      </c>
      <c r="AE1095" s="97"/>
    </row>
    <row r="1096" spans="1:31" ht="14.4" customHeight="1" x14ac:dyDescent="0.3">
      <c r="A1096" t="s">
        <v>2844</v>
      </c>
      <c r="B1096" t="s">
        <v>2845</v>
      </c>
      <c r="C1096"/>
      <c r="D1096"/>
      <c r="E1096"/>
      <c r="F1096"/>
      <c r="G1096" t="s">
        <v>2162</v>
      </c>
      <c r="H1096" t="s">
        <v>132</v>
      </c>
      <c r="I1096" t="s">
        <v>2</v>
      </c>
      <c r="J1096" t="s">
        <v>133</v>
      </c>
      <c r="K1096" t="s">
        <v>52</v>
      </c>
      <c r="L1096" t="s">
        <v>1718</v>
      </c>
      <c r="M1096" t="s">
        <v>134</v>
      </c>
      <c r="N1096" t="s">
        <v>135</v>
      </c>
      <c r="O1096"/>
      <c r="P1096"/>
      <c r="Q1096" t="s">
        <v>168</v>
      </c>
      <c r="R1096"/>
      <c r="S1096"/>
      <c r="T1096" t="s">
        <v>2165</v>
      </c>
      <c r="U1096" t="s">
        <v>137</v>
      </c>
      <c r="V1096" t="s">
        <v>918</v>
      </c>
      <c r="W1096"/>
      <c r="X1096" t="s">
        <v>92</v>
      </c>
      <c r="Y1096"/>
      <c r="Z1096"/>
      <c r="AA1096" t="s">
        <v>2163</v>
      </c>
      <c r="AB1096" t="s">
        <v>2</v>
      </c>
      <c r="AC1096" t="s">
        <v>138</v>
      </c>
      <c r="AD1096" t="s">
        <v>129</v>
      </c>
      <c r="AE1096" s="97"/>
    </row>
    <row r="1097" spans="1:31" ht="14.4" customHeight="1" x14ac:dyDescent="0.3">
      <c r="A1097" t="s">
        <v>2854</v>
      </c>
      <c r="B1097" t="s">
        <v>2855</v>
      </c>
      <c r="C1097"/>
      <c r="D1097"/>
      <c r="E1097"/>
      <c r="F1097"/>
      <c r="G1097" t="s">
        <v>2162</v>
      </c>
      <c r="H1097" t="s">
        <v>132</v>
      </c>
      <c r="I1097" t="s">
        <v>2</v>
      </c>
      <c r="J1097" t="s">
        <v>133</v>
      </c>
      <c r="K1097" t="s">
        <v>52</v>
      </c>
      <c r="L1097" t="s">
        <v>2856</v>
      </c>
      <c r="M1097" t="s">
        <v>134</v>
      </c>
      <c r="N1097" t="s">
        <v>135</v>
      </c>
      <c r="O1097"/>
      <c r="P1097"/>
      <c r="Q1097" t="s">
        <v>168</v>
      </c>
      <c r="R1097"/>
      <c r="S1097"/>
      <c r="T1097" t="s">
        <v>2165</v>
      </c>
      <c r="U1097" t="s">
        <v>137</v>
      </c>
      <c r="V1097" t="s">
        <v>918</v>
      </c>
      <c r="W1097"/>
      <c r="X1097" t="s">
        <v>92</v>
      </c>
      <c r="Y1097"/>
      <c r="Z1097"/>
      <c r="AA1097" t="s">
        <v>2163</v>
      </c>
      <c r="AB1097" t="s">
        <v>2</v>
      </c>
      <c r="AC1097" t="s">
        <v>138</v>
      </c>
      <c r="AD1097" t="s">
        <v>129</v>
      </c>
      <c r="AE1097" s="97"/>
    </row>
    <row r="1098" spans="1:31" ht="14.4" customHeight="1" x14ac:dyDescent="0.3">
      <c r="A1098" t="s">
        <v>2857</v>
      </c>
      <c r="B1098" t="s">
        <v>2858</v>
      </c>
      <c r="C1098"/>
      <c r="D1098"/>
      <c r="E1098"/>
      <c r="F1098"/>
      <c r="G1098" t="s">
        <v>2162</v>
      </c>
      <c r="H1098" t="s">
        <v>132</v>
      </c>
      <c r="I1098" t="s">
        <v>2</v>
      </c>
      <c r="J1098" t="s">
        <v>133</v>
      </c>
      <c r="K1098" t="s">
        <v>52</v>
      </c>
      <c r="L1098" t="s">
        <v>2859</v>
      </c>
      <c r="M1098" t="s">
        <v>134</v>
      </c>
      <c r="N1098" t="s">
        <v>135</v>
      </c>
      <c r="O1098"/>
      <c r="P1098"/>
      <c r="Q1098" t="s">
        <v>168</v>
      </c>
      <c r="R1098"/>
      <c r="S1098"/>
      <c r="T1098" t="s">
        <v>2165</v>
      </c>
      <c r="U1098" t="s">
        <v>137</v>
      </c>
      <c r="V1098" t="s">
        <v>918</v>
      </c>
      <c r="W1098"/>
      <c r="X1098" t="s">
        <v>92</v>
      </c>
      <c r="Y1098"/>
      <c r="Z1098"/>
      <c r="AA1098" t="s">
        <v>2163</v>
      </c>
      <c r="AB1098" t="s">
        <v>2</v>
      </c>
      <c r="AC1098" t="s">
        <v>138</v>
      </c>
      <c r="AD1098" t="s">
        <v>129</v>
      </c>
      <c r="AE1098" s="97"/>
    </row>
    <row r="1099" spans="1:31" ht="14.4" customHeight="1" x14ac:dyDescent="0.3">
      <c r="A1099" t="s">
        <v>2860</v>
      </c>
      <c r="B1099" t="s">
        <v>2861</v>
      </c>
      <c r="C1099"/>
      <c r="D1099"/>
      <c r="E1099"/>
      <c r="F1099"/>
      <c r="G1099" t="s">
        <v>2162</v>
      </c>
      <c r="H1099" t="s">
        <v>132</v>
      </c>
      <c r="I1099" t="s">
        <v>2</v>
      </c>
      <c r="J1099" t="s">
        <v>133</v>
      </c>
      <c r="K1099" t="s">
        <v>52</v>
      </c>
      <c r="L1099" t="s">
        <v>2862</v>
      </c>
      <c r="M1099" t="s">
        <v>134</v>
      </c>
      <c r="N1099" t="s">
        <v>135</v>
      </c>
      <c r="O1099"/>
      <c r="P1099"/>
      <c r="Q1099" t="s">
        <v>168</v>
      </c>
      <c r="R1099"/>
      <c r="S1099"/>
      <c r="T1099" t="s">
        <v>2165</v>
      </c>
      <c r="U1099" t="s">
        <v>137</v>
      </c>
      <c r="V1099" t="s">
        <v>925</v>
      </c>
      <c r="W1099"/>
      <c r="X1099" t="s">
        <v>101</v>
      </c>
      <c r="Y1099"/>
      <c r="Z1099"/>
      <c r="AA1099" t="s">
        <v>2163</v>
      </c>
      <c r="AB1099" t="s">
        <v>2</v>
      </c>
      <c r="AC1099" t="s">
        <v>138</v>
      </c>
      <c r="AD1099" t="s">
        <v>129</v>
      </c>
      <c r="AE1099" s="97"/>
    </row>
    <row r="1100" spans="1:31" ht="14.4" customHeight="1" x14ac:dyDescent="0.3">
      <c r="A1100" t="s">
        <v>2863</v>
      </c>
      <c r="B1100" t="s">
        <v>2864</v>
      </c>
      <c r="C1100"/>
      <c r="D1100"/>
      <c r="E1100"/>
      <c r="F1100"/>
      <c r="G1100" t="s">
        <v>2162</v>
      </c>
      <c r="H1100" t="s">
        <v>132</v>
      </c>
      <c r="I1100" t="s">
        <v>2</v>
      </c>
      <c r="J1100" t="s">
        <v>133</v>
      </c>
      <c r="K1100" t="s">
        <v>52</v>
      </c>
      <c r="L1100" t="s">
        <v>2862</v>
      </c>
      <c r="M1100" t="s">
        <v>134</v>
      </c>
      <c r="N1100" t="s">
        <v>135</v>
      </c>
      <c r="O1100"/>
      <c r="P1100"/>
      <c r="Q1100" t="s">
        <v>168</v>
      </c>
      <c r="R1100"/>
      <c r="S1100"/>
      <c r="T1100" t="s">
        <v>2165</v>
      </c>
      <c r="U1100" t="s">
        <v>137</v>
      </c>
      <c r="V1100" t="s">
        <v>925</v>
      </c>
      <c r="W1100"/>
      <c r="X1100" t="s">
        <v>101</v>
      </c>
      <c r="Y1100"/>
      <c r="Z1100"/>
      <c r="AA1100" t="s">
        <v>2163</v>
      </c>
      <c r="AB1100" t="s">
        <v>2</v>
      </c>
      <c r="AC1100" t="s">
        <v>138</v>
      </c>
      <c r="AD1100" t="s">
        <v>129</v>
      </c>
      <c r="AE1100" s="97"/>
    </row>
    <row r="1101" spans="1:31" ht="14.4" customHeight="1" x14ac:dyDescent="0.3">
      <c r="A1101" t="s">
        <v>2865</v>
      </c>
      <c r="B1101" t="s">
        <v>2866</v>
      </c>
      <c r="C1101"/>
      <c r="D1101"/>
      <c r="E1101"/>
      <c r="F1101"/>
      <c r="G1101" t="s">
        <v>2162</v>
      </c>
      <c r="H1101" t="s">
        <v>132</v>
      </c>
      <c r="I1101" t="s">
        <v>2</v>
      </c>
      <c r="J1101" t="s">
        <v>133</v>
      </c>
      <c r="K1101" t="s">
        <v>52</v>
      </c>
      <c r="L1101" t="s">
        <v>2867</v>
      </c>
      <c r="M1101" t="s">
        <v>134</v>
      </c>
      <c r="N1101" t="s">
        <v>135</v>
      </c>
      <c r="O1101"/>
      <c r="P1101"/>
      <c r="Q1101" t="s">
        <v>168</v>
      </c>
      <c r="R1101"/>
      <c r="S1101"/>
      <c r="T1101" t="s">
        <v>2165</v>
      </c>
      <c r="U1101" t="s">
        <v>137</v>
      </c>
      <c r="V1101" t="s">
        <v>925</v>
      </c>
      <c r="W1101"/>
      <c r="X1101" t="s">
        <v>101</v>
      </c>
      <c r="Y1101"/>
      <c r="Z1101"/>
      <c r="AA1101" t="s">
        <v>2163</v>
      </c>
      <c r="AB1101" t="s">
        <v>2</v>
      </c>
      <c r="AC1101" t="s">
        <v>138</v>
      </c>
      <c r="AD1101" t="s">
        <v>129</v>
      </c>
      <c r="AE1101" s="97"/>
    </row>
    <row r="1102" spans="1:31" ht="14.4" customHeight="1" x14ac:dyDescent="0.3">
      <c r="A1102" t="s">
        <v>2868</v>
      </c>
      <c r="B1102" t="s">
        <v>2869</v>
      </c>
      <c r="C1102"/>
      <c r="D1102"/>
      <c r="E1102"/>
      <c r="F1102"/>
      <c r="G1102" t="s">
        <v>2162</v>
      </c>
      <c r="H1102" t="s">
        <v>132</v>
      </c>
      <c r="I1102" t="s">
        <v>2</v>
      </c>
      <c r="J1102" t="s">
        <v>133</v>
      </c>
      <c r="K1102" t="s">
        <v>52</v>
      </c>
      <c r="L1102" t="s">
        <v>2862</v>
      </c>
      <c r="M1102" t="s">
        <v>134</v>
      </c>
      <c r="N1102" t="s">
        <v>135</v>
      </c>
      <c r="O1102"/>
      <c r="P1102"/>
      <c r="Q1102" t="s">
        <v>168</v>
      </c>
      <c r="R1102"/>
      <c r="S1102"/>
      <c r="T1102" t="s">
        <v>2165</v>
      </c>
      <c r="U1102" t="s">
        <v>137</v>
      </c>
      <c r="V1102" t="s">
        <v>925</v>
      </c>
      <c r="W1102"/>
      <c r="X1102" t="s">
        <v>101</v>
      </c>
      <c r="Y1102"/>
      <c r="Z1102"/>
      <c r="AA1102" t="s">
        <v>2163</v>
      </c>
      <c r="AB1102" t="s">
        <v>2</v>
      </c>
      <c r="AC1102" t="s">
        <v>138</v>
      </c>
      <c r="AD1102" t="s">
        <v>129</v>
      </c>
      <c r="AE1102" s="97"/>
    </row>
    <row r="1103" spans="1:31" ht="14.4" customHeight="1" x14ac:dyDescent="0.3">
      <c r="A1103" t="s">
        <v>2870</v>
      </c>
      <c r="B1103" t="s">
        <v>2871</v>
      </c>
      <c r="C1103"/>
      <c r="D1103"/>
      <c r="E1103"/>
      <c r="F1103"/>
      <c r="G1103" t="s">
        <v>2162</v>
      </c>
      <c r="H1103" t="s">
        <v>132</v>
      </c>
      <c r="I1103" t="s">
        <v>2</v>
      </c>
      <c r="J1103" t="s">
        <v>133</v>
      </c>
      <c r="K1103" t="s">
        <v>52</v>
      </c>
      <c r="L1103" t="s">
        <v>2872</v>
      </c>
      <c r="M1103" t="s">
        <v>134</v>
      </c>
      <c r="N1103" t="s">
        <v>135</v>
      </c>
      <c r="O1103"/>
      <c r="P1103"/>
      <c r="Q1103" t="s">
        <v>168</v>
      </c>
      <c r="R1103"/>
      <c r="S1103"/>
      <c r="T1103" t="s">
        <v>2165</v>
      </c>
      <c r="U1103" t="s">
        <v>137</v>
      </c>
      <c r="V1103" t="s">
        <v>925</v>
      </c>
      <c r="W1103"/>
      <c r="X1103" t="s">
        <v>101</v>
      </c>
      <c r="Y1103"/>
      <c r="Z1103"/>
      <c r="AA1103" t="s">
        <v>2163</v>
      </c>
      <c r="AB1103" t="s">
        <v>2</v>
      </c>
      <c r="AC1103" t="s">
        <v>138</v>
      </c>
      <c r="AD1103" t="s">
        <v>129</v>
      </c>
      <c r="AE1103" s="97"/>
    </row>
    <row r="1104" spans="1:31" ht="14.4" customHeight="1" x14ac:dyDescent="0.3">
      <c r="A1104" t="s">
        <v>2873</v>
      </c>
      <c r="B1104" t="s">
        <v>2874</v>
      </c>
      <c r="C1104"/>
      <c r="D1104"/>
      <c r="E1104"/>
      <c r="F1104"/>
      <c r="G1104" t="s">
        <v>2162</v>
      </c>
      <c r="H1104" t="s">
        <v>132</v>
      </c>
      <c r="I1104" t="s">
        <v>2</v>
      </c>
      <c r="J1104" t="s">
        <v>133</v>
      </c>
      <c r="K1104" t="s">
        <v>52</v>
      </c>
      <c r="L1104" t="s">
        <v>1738</v>
      </c>
      <c r="M1104" t="s">
        <v>134</v>
      </c>
      <c r="N1104" t="s">
        <v>135</v>
      </c>
      <c r="O1104"/>
      <c r="P1104"/>
      <c r="Q1104" t="s">
        <v>168</v>
      </c>
      <c r="R1104"/>
      <c r="S1104"/>
      <c r="T1104" t="s">
        <v>2165</v>
      </c>
      <c r="U1104" t="s">
        <v>137</v>
      </c>
      <c r="V1104" t="s">
        <v>925</v>
      </c>
      <c r="W1104"/>
      <c r="X1104" t="s">
        <v>101</v>
      </c>
      <c r="Y1104"/>
      <c r="Z1104"/>
      <c r="AA1104" t="s">
        <v>2163</v>
      </c>
      <c r="AB1104" t="s">
        <v>2</v>
      </c>
      <c r="AC1104" t="s">
        <v>138</v>
      </c>
      <c r="AD1104" t="s">
        <v>129</v>
      </c>
      <c r="AE1104" s="97"/>
    </row>
    <row r="1105" spans="1:31" ht="14.4" customHeight="1" x14ac:dyDescent="0.3">
      <c r="A1105" t="s">
        <v>2875</v>
      </c>
      <c r="B1105" t="s">
        <v>2876</v>
      </c>
      <c r="C1105"/>
      <c r="D1105"/>
      <c r="E1105"/>
      <c r="F1105"/>
      <c r="G1105" t="s">
        <v>2162</v>
      </c>
      <c r="H1105" t="s">
        <v>132</v>
      </c>
      <c r="I1105" t="s">
        <v>2</v>
      </c>
      <c r="J1105" t="s">
        <v>133</v>
      </c>
      <c r="K1105" t="s">
        <v>52</v>
      </c>
      <c r="L1105" t="s">
        <v>1738</v>
      </c>
      <c r="M1105" t="s">
        <v>134</v>
      </c>
      <c r="N1105" t="s">
        <v>135</v>
      </c>
      <c r="O1105"/>
      <c r="P1105"/>
      <c r="Q1105" t="s">
        <v>168</v>
      </c>
      <c r="R1105"/>
      <c r="S1105"/>
      <c r="T1105" t="s">
        <v>2165</v>
      </c>
      <c r="U1105" t="s">
        <v>137</v>
      </c>
      <c r="V1105" t="s">
        <v>925</v>
      </c>
      <c r="W1105"/>
      <c r="X1105" t="s">
        <v>101</v>
      </c>
      <c r="Y1105"/>
      <c r="Z1105"/>
      <c r="AA1105" t="s">
        <v>2163</v>
      </c>
      <c r="AB1105" t="s">
        <v>2</v>
      </c>
      <c r="AC1105" t="s">
        <v>138</v>
      </c>
      <c r="AD1105" t="s">
        <v>129</v>
      </c>
      <c r="AE1105" s="97"/>
    </row>
    <row r="1106" spans="1:31" ht="14.4" customHeight="1" x14ac:dyDescent="0.3">
      <c r="A1106" t="s">
        <v>2877</v>
      </c>
      <c r="B1106" t="s">
        <v>2878</v>
      </c>
      <c r="C1106"/>
      <c r="D1106"/>
      <c r="E1106"/>
      <c r="F1106"/>
      <c r="G1106" t="s">
        <v>2162</v>
      </c>
      <c r="H1106" t="s">
        <v>132</v>
      </c>
      <c r="I1106" t="s">
        <v>2</v>
      </c>
      <c r="J1106" t="s">
        <v>133</v>
      </c>
      <c r="K1106" t="s">
        <v>52</v>
      </c>
      <c r="L1106" t="s">
        <v>1738</v>
      </c>
      <c r="M1106" t="s">
        <v>134</v>
      </c>
      <c r="N1106" t="s">
        <v>135</v>
      </c>
      <c r="O1106"/>
      <c r="P1106"/>
      <c r="Q1106" t="s">
        <v>168</v>
      </c>
      <c r="R1106"/>
      <c r="S1106"/>
      <c r="T1106" t="s">
        <v>2165</v>
      </c>
      <c r="U1106" t="s">
        <v>137</v>
      </c>
      <c r="V1106" t="s">
        <v>925</v>
      </c>
      <c r="W1106"/>
      <c r="X1106" t="s">
        <v>101</v>
      </c>
      <c r="Y1106"/>
      <c r="Z1106"/>
      <c r="AA1106" t="s">
        <v>2163</v>
      </c>
      <c r="AB1106" t="s">
        <v>2</v>
      </c>
      <c r="AC1106" t="s">
        <v>138</v>
      </c>
      <c r="AD1106" t="s">
        <v>129</v>
      </c>
      <c r="AE1106" s="97"/>
    </row>
    <row r="1107" spans="1:31" ht="14.4" customHeight="1" x14ac:dyDescent="0.3">
      <c r="A1107" t="s">
        <v>2879</v>
      </c>
      <c r="B1107" t="s">
        <v>2880</v>
      </c>
      <c r="C1107"/>
      <c r="D1107"/>
      <c r="E1107"/>
      <c r="F1107"/>
      <c r="G1107" t="s">
        <v>2162</v>
      </c>
      <c r="H1107" t="s">
        <v>132</v>
      </c>
      <c r="I1107" t="s">
        <v>2</v>
      </c>
      <c r="J1107" t="s">
        <v>133</v>
      </c>
      <c r="K1107" t="s">
        <v>52</v>
      </c>
      <c r="L1107" t="s">
        <v>1738</v>
      </c>
      <c r="M1107" t="s">
        <v>134</v>
      </c>
      <c r="N1107" t="s">
        <v>135</v>
      </c>
      <c r="O1107"/>
      <c r="P1107"/>
      <c r="Q1107" t="s">
        <v>168</v>
      </c>
      <c r="R1107"/>
      <c r="S1107"/>
      <c r="T1107" t="s">
        <v>2165</v>
      </c>
      <c r="U1107" t="s">
        <v>137</v>
      </c>
      <c r="V1107" t="s">
        <v>925</v>
      </c>
      <c r="W1107"/>
      <c r="X1107" t="s">
        <v>101</v>
      </c>
      <c r="Y1107"/>
      <c r="Z1107"/>
      <c r="AA1107" t="s">
        <v>2163</v>
      </c>
      <c r="AB1107" t="s">
        <v>2</v>
      </c>
      <c r="AC1107" t="s">
        <v>138</v>
      </c>
      <c r="AD1107" t="s">
        <v>129</v>
      </c>
      <c r="AE1107" s="97"/>
    </row>
    <row r="1108" spans="1:31" ht="14.4" customHeight="1" x14ac:dyDescent="0.3">
      <c r="A1108" t="s">
        <v>2881</v>
      </c>
      <c r="B1108" t="s">
        <v>2882</v>
      </c>
      <c r="C1108"/>
      <c r="D1108"/>
      <c r="E1108"/>
      <c r="F1108"/>
      <c r="G1108" t="s">
        <v>2162</v>
      </c>
      <c r="H1108" t="s">
        <v>132</v>
      </c>
      <c r="I1108" t="s">
        <v>2</v>
      </c>
      <c r="J1108" t="s">
        <v>133</v>
      </c>
      <c r="K1108" t="s">
        <v>52</v>
      </c>
      <c r="L1108" t="s">
        <v>1741</v>
      </c>
      <c r="M1108" t="s">
        <v>134</v>
      </c>
      <c r="N1108" t="s">
        <v>135</v>
      </c>
      <c r="O1108"/>
      <c r="P1108"/>
      <c r="Q1108" t="s">
        <v>168</v>
      </c>
      <c r="R1108"/>
      <c r="S1108"/>
      <c r="T1108" t="s">
        <v>2165</v>
      </c>
      <c r="U1108" t="s">
        <v>137</v>
      </c>
      <c r="V1108" t="s">
        <v>925</v>
      </c>
      <c r="W1108"/>
      <c r="X1108" t="s">
        <v>101</v>
      </c>
      <c r="Y1108"/>
      <c r="Z1108"/>
      <c r="AA1108" t="s">
        <v>2163</v>
      </c>
      <c r="AB1108" t="s">
        <v>2</v>
      </c>
      <c r="AC1108" t="s">
        <v>138</v>
      </c>
      <c r="AD1108" t="s">
        <v>129</v>
      </c>
      <c r="AE1108" s="97"/>
    </row>
    <row r="1109" spans="1:31" ht="14.4" customHeight="1" x14ac:dyDescent="0.3">
      <c r="A1109" t="s">
        <v>2883</v>
      </c>
      <c r="B1109" t="s">
        <v>2884</v>
      </c>
      <c r="C1109"/>
      <c r="D1109"/>
      <c r="E1109"/>
      <c r="F1109"/>
      <c r="G1109" t="s">
        <v>2162</v>
      </c>
      <c r="H1109" t="s">
        <v>132</v>
      </c>
      <c r="I1109" t="s">
        <v>2</v>
      </c>
      <c r="J1109" t="s">
        <v>133</v>
      </c>
      <c r="K1109" t="s">
        <v>52</v>
      </c>
      <c r="L1109" t="s">
        <v>1741</v>
      </c>
      <c r="M1109" t="s">
        <v>134</v>
      </c>
      <c r="N1109" t="s">
        <v>135</v>
      </c>
      <c r="O1109"/>
      <c r="P1109"/>
      <c r="Q1109" t="s">
        <v>168</v>
      </c>
      <c r="R1109"/>
      <c r="S1109"/>
      <c r="T1109" t="s">
        <v>2165</v>
      </c>
      <c r="U1109" t="s">
        <v>137</v>
      </c>
      <c r="V1109" t="s">
        <v>925</v>
      </c>
      <c r="W1109"/>
      <c r="X1109" t="s">
        <v>101</v>
      </c>
      <c r="Y1109"/>
      <c r="Z1109"/>
      <c r="AA1109" t="s">
        <v>2163</v>
      </c>
      <c r="AB1109" t="s">
        <v>2</v>
      </c>
      <c r="AC1109" t="s">
        <v>138</v>
      </c>
      <c r="AD1109" t="s">
        <v>129</v>
      </c>
      <c r="AE1109" s="97"/>
    </row>
    <row r="1110" spans="1:31" ht="14.4" customHeight="1" x14ac:dyDescent="0.3">
      <c r="A1110" t="s">
        <v>2885</v>
      </c>
      <c r="B1110" t="s">
        <v>2886</v>
      </c>
      <c r="C1110"/>
      <c r="D1110"/>
      <c r="E1110"/>
      <c r="F1110"/>
      <c r="G1110" t="s">
        <v>2162</v>
      </c>
      <c r="H1110" t="s">
        <v>132</v>
      </c>
      <c r="I1110" t="s">
        <v>2</v>
      </c>
      <c r="J1110" t="s">
        <v>133</v>
      </c>
      <c r="K1110" t="s">
        <v>52</v>
      </c>
      <c r="L1110" t="s">
        <v>1738</v>
      </c>
      <c r="M1110" t="s">
        <v>134</v>
      </c>
      <c r="N1110" t="s">
        <v>135</v>
      </c>
      <c r="O1110"/>
      <c r="P1110"/>
      <c r="Q1110" t="s">
        <v>168</v>
      </c>
      <c r="R1110"/>
      <c r="S1110"/>
      <c r="T1110" t="s">
        <v>2165</v>
      </c>
      <c r="U1110" t="s">
        <v>137</v>
      </c>
      <c r="V1110" t="s">
        <v>925</v>
      </c>
      <c r="W1110"/>
      <c r="X1110" t="s">
        <v>101</v>
      </c>
      <c r="Y1110"/>
      <c r="Z1110"/>
      <c r="AA1110" t="s">
        <v>2163</v>
      </c>
      <c r="AB1110" t="s">
        <v>2</v>
      </c>
      <c r="AC1110" t="s">
        <v>138</v>
      </c>
      <c r="AD1110" t="s">
        <v>129</v>
      </c>
      <c r="AE1110" s="97"/>
    </row>
    <row r="1111" spans="1:31" ht="14.4" customHeight="1" x14ac:dyDescent="0.3">
      <c r="A1111" t="s">
        <v>2887</v>
      </c>
      <c r="B1111" t="s">
        <v>2888</v>
      </c>
      <c r="C1111"/>
      <c r="D1111"/>
      <c r="E1111"/>
      <c r="F1111"/>
      <c r="G1111" t="s">
        <v>2162</v>
      </c>
      <c r="H1111" t="s">
        <v>132</v>
      </c>
      <c r="I1111" t="s">
        <v>2</v>
      </c>
      <c r="J1111" t="s">
        <v>133</v>
      </c>
      <c r="K1111" t="s">
        <v>52</v>
      </c>
      <c r="L1111" t="s">
        <v>1738</v>
      </c>
      <c r="M1111" t="s">
        <v>134</v>
      </c>
      <c r="N1111" t="s">
        <v>135</v>
      </c>
      <c r="O1111"/>
      <c r="P1111"/>
      <c r="Q1111" t="s">
        <v>168</v>
      </c>
      <c r="R1111"/>
      <c r="S1111"/>
      <c r="T1111" t="s">
        <v>2165</v>
      </c>
      <c r="U1111" t="s">
        <v>137</v>
      </c>
      <c r="V1111" t="s">
        <v>925</v>
      </c>
      <c r="W1111"/>
      <c r="X1111" t="s">
        <v>101</v>
      </c>
      <c r="Y1111"/>
      <c r="Z1111"/>
      <c r="AA1111" t="s">
        <v>2163</v>
      </c>
      <c r="AB1111" t="s">
        <v>2</v>
      </c>
      <c r="AC1111" t="s">
        <v>138</v>
      </c>
      <c r="AD1111" t="s">
        <v>129</v>
      </c>
      <c r="AE1111" s="97"/>
    </row>
    <row r="1112" spans="1:31" ht="14.4" customHeight="1" x14ac:dyDescent="0.3">
      <c r="A1112" t="s">
        <v>2889</v>
      </c>
      <c r="B1112" t="s">
        <v>2890</v>
      </c>
      <c r="C1112"/>
      <c r="D1112"/>
      <c r="E1112"/>
      <c r="F1112"/>
      <c r="G1112" t="s">
        <v>2162</v>
      </c>
      <c r="H1112" t="s">
        <v>132</v>
      </c>
      <c r="I1112" t="s">
        <v>2</v>
      </c>
      <c r="J1112" t="s">
        <v>133</v>
      </c>
      <c r="K1112" t="s">
        <v>52</v>
      </c>
      <c r="L1112" t="s">
        <v>1738</v>
      </c>
      <c r="M1112" t="s">
        <v>134</v>
      </c>
      <c r="N1112" t="s">
        <v>135</v>
      </c>
      <c r="O1112"/>
      <c r="P1112"/>
      <c r="Q1112" t="s">
        <v>168</v>
      </c>
      <c r="R1112"/>
      <c r="S1112"/>
      <c r="T1112" t="s">
        <v>2165</v>
      </c>
      <c r="U1112" t="s">
        <v>137</v>
      </c>
      <c r="V1112" t="s">
        <v>925</v>
      </c>
      <c r="W1112"/>
      <c r="X1112" t="s">
        <v>101</v>
      </c>
      <c r="Y1112"/>
      <c r="Z1112"/>
      <c r="AA1112" t="s">
        <v>2163</v>
      </c>
      <c r="AB1112" t="s">
        <v>2</v>
      </c>
      <c r="AC1112" t="s">
        <v>138</v>
      </c>
      <c r="AD1112" t="s">
        <v>129</v>
      </c>
      <c r="AE1112" s="97"/>
    </row>
    <row r="1113" spans="1:31" ht="14.4" customHeight="1" x14ac:dyDescent="0.3">
      <c r="A1113" t="s">
        <v>2899</v>
      </c>
      <c r="B1113" t="s">
        <v>2900</v>
      </c>
      <c r="C1113"/>
      <c r="D1113"/>
      <c r="E1113"/>
      <c r="F1113"/>
      <c r="G1113" t="s">
        <v>2162</v>
      </c>
      <c r="H1113" t="s">
        <v>132</v>
      </c>
      <c r="I1113" t="s">
        <v>2</v>
      </c>
      <c r="J1113" t="s">
        <v>133</v>
      </c>
      <c r="K1113" t="s">
        <v>52</v>
      </c>
      <c r="L1113" t="s">
        <v>2901</v>
      </c>
      <c r="M1113" t="s">
        <v>134</v>
      </c>
      <c r="N1113" t="s">
        <v>135</v>
      </c>
      <c r="O1113"/>
      <c r="P1113"/>
      <c r="Q1113" t="s">
        <v>168</v>
      </c>
      <c r="R1113"/>
      <c r="S1113"/>
      <c r="T1113" t="s">
        <v>2165</v>
      </c>
      <c r="U1113" t="s">
        <v>137</v>
      </c>
      <c r="V1113" t="s">
        <v>925</v>
      </c>
      <c r="W1113"/>
      <c r="X1113" t="s">
        <v>101</v>
      </c>
      <c r="Y1113"/>
      <c r="Z1113"/>
      <c r="AA1113" t="s">
        <v>2163</v>
      </c>
      <c r="AB1113" t="s">
        <v>2</v>
      </c>
      <c r="AC1113" t="s">
        <v>138</v>
      </c>
      <c r="AD1113" t="s">
        <v>129</v>
      </c>
      <c r="AE1113" s="97"/>
    </row>
    <row r="1114" spans="1:31" ht="14.4" customHeight="1" x14ac:dyDescent="0.3">
      <c r="A1114" t="s">
        <v>2902</v>
      </c>
      <c r="B1114" t="s">
        <v>2903</v>
      </c>
      <c r="C1114"/>
      <c r="D1114"/>
      <c r="E1114"/>
      <c r="F1114"/>
      <c r="G1114" t="s">
        <v>2162</v>
      </c>
      <c r="H1114" t="s">
        <v>132</v>
      </c>
      <c r="I1114" t="s">
        <v>2</v>
      </c>
      <c r="J1114" t="s">
        <v>133</v>
      </c>
      <c r="K1114" t="s">
        <v>52</v>
      </c>
      <c r="L1114" t="s">
        <v>2904</v>
      </c>
      <c r="M1114" t="s">
        <v>134</v>
      </c>
      <c r="N1114" t="s">
        <v>135</v>
      </c>
      <c r="O1114"/>
      <c r="P1114"/>
      <c r="Q1114" t="s">
        <v>168</v>
      </c>
      <c r="R1114"/>
      <c r="S1114"/>
      <c r="T1114" t="s">
        <v>2165</v>
      </c>
      <c r="U1114" t="s">
        <v>137</v>
      </c>
      <c r="V1114" t="s">
        <v>925</v>
      </c>
      <c r="W1114"/>
      <c r="X1114" t="s">
        <v>101</v>
      </c>
      <c r="Y1114"/>
      <c r="Z1114"/>
      <c r="AA1114" t="s">
        <v>2163</v>
      </c>
      <c r="AB1114" t="s">
        <v>2</v>
      </c>
      <c r="AC1114" t="s">
        <v>138</v>
      </c>
      <c r="AD1114" t="s">
        <v>129</v>
      </c>
      <c r="AE1114" s="97"/>
    </row>
    <row r="1115" spans="1:31" ht="14.4" customHeight="1" x14ac:dyDescent="0.3">
      <c r="A1115" t="s">
        <v>2905</v>
      </c>
      <c r="B1115" t="s">
        <v>2906</v>
      </c>
      <c r="C1115"/>
      <c r="D1115"/>
      <c r="E1115"/>
      <c r="F1115"/>
      <c r="G1115" t="s">
        <v>2162</v>
      </c>
      <c r="H1115" t="s">
        <v>132</v>
      </c>
      <c r="I1115" t="s">
        <v>2</v>
      </c>
      <c r="J1115" t="s">
        <v>133</v>
      </c>
      <c r="K1115" t="s">
        <v>52</v>
      </c>
      <c r="L1115" t="s">
        <v>2907</v>
      </c>
      <c r="M1115" t="s">
        <v>134</v>
      </c>
      <c r="N1115" t="s">
        <v>135</v>
      </c>
      <c r="O1115"/>
      <c r="P1115"/>
      <c r="Q1115" t="s">
        <v>168</v>
      </c>
      <c r="R1115"/>
      <c r="S1115"/>
      <c r="T1115" t="s">
        <v>2165</v>
      </c>
      <c r="U1115" t="s">
        <v>137</v>
      </c>
      <c r="V1115" t="s">
        <v>932</v>
      </c>
      <c r="W1115"/>
      <c r="X1115" t="s">
        <v>115</v>
      </c>
      <c r="Y1115"/>
      <c r="Z1115"/>
      <c r="AA1115" t="s">
        <v>2163</v>
      </c>
      <c r="AB1115" t="s">
        <v>2</v>
      </c>
      <c r="AC1115" t="s">
        <v>138</v>
      </c>
      <c r="AD1115" t="s">
        <v>130</v>
      </c>
      <c r="AE1115" s="97"/>
    </row>
    <row r="1116" spans="1:31" ht="14.4" customHeight="1" x14ac:dyDescent="0.3">
      <c r="A1116" t="s">
        <v>2908</v>
      </c>
      <c r="B1116" t="s">
        <v>2909</v>
      </c>
      <c r="C1116"/>
      <c r="D1116"/>
      <c r="E1116"/>
      <c r="F1116"/>
      <c r="G1116" t="s">
        <v>2162</v>
      </c>
      <c r="H1116" t="s">
        <v>132</v>
      </c>
      <c r="I1116" t="s">
        <v>2</v>
      </c>
      <c r="J1116" t="s">
        <v>133</v>
      </c>
      <c r="K1116" t="s">
        <v>52</v>
      </c>
      <c r="L1116" t="s">
        <v>2907</v>
      </c>
      <c r="M1116" t="s">
        <v>134</v>
      </c>
      <c r="N1116" t="s">
        <v>135</v>
      </c>
      <c r="O1116"/>
      <c r="P1116"/>
      <c r="Q1116" t="s">
        <v>168</v>
      </c>
      <c r="R1116"/>
      <c r="S1116"/>
      <c r="T1116" t="s">
        <v>2165</v>
      </c>
      <c r="U1116" t="s">
        <v>137</v>
      </c>
      <c r="V1116" t="s">
        <v>932</v>
      </c>
      <c r="W1116"/>
      <c r="X1116" t="s">
        <v>115</v>
      </c>
      <c r="Y1116"/>
      <c r="Z1116"/>
      <c r="AA1116" t="s">
        <v>2163</v>
      </c>
      <c r="AB1116" t="s">
        <v>2</v>
      </c>
      <c r="AC1116" t="s">
        <v>138</v>
      </c>
      <c r="AD1116" t="s">
        <v>130</v>
      </c>
      <c r="AE1116" s="97"/>
    </row>
    <row r="1117" spans="1:31" ht="14.4" customHeight="1" x14ac:dyDescent="0.3">
      <c r="A1117" t="s">
        <v>2910</v>
      </c>
      <c r="B1117" t="s">
        <v>2911</v>
      </c>
      <c r="C1117"/>
      <c r="D1117"/>
      <c r="E1117"/>
      <c r="F1117"/>
      <c r="G1117" t="s">
        <v>2162</v>
      </c>
      <c r="H1117" t="s">
        <v>132</v>
      </c>
      <c r="I1117" t="s">
        <v>2</v>
      </c>
      <c r="J1117" t="s">
        <v>133</v>
      </c>
      <c r="K1117" t="s">
        <v>52</v>
      </c>
      <c r="L1117" t="s">
        <v>2912</v>
      </c>
      <c r="M1117" t="s">
        <v>134</v>
      </c>
      <c r="N1117" t="s">
        <v>135</v>
      </c>
      <c r="O1117"/>
      <c r="P1117"/>
      <c r="Q1117" t="s">
        <v>168</v>
      </c>
      <c r="R1117"/>
      <c r="S1117"/>
      <c r="T1117" t="s">
        <v>2165</v>
      </c>
      <c r="U1117" t="s">
        <v>137</v>
      </c>
      <c r="V1117" t="s">
        <v>932</v>
      </c>
      <c r="W1117"/>
      <c r="X1117" t="s">
        <v>115</v>
      </c>
      <c r="Y1117"/>
      <c r="Z1117"/>
      <c r="AA1117" t="s">
        <v>2163</v>
      </c>
      <c r="AB1117" t="s">
        <v>2</v>
      </c>
      <c r="AC1117" t="s">
        <v>138</v>
      </c>
      <c r="AD1117" t="s">
        <v>130</v>
      </c>
      <c r="AE1117" s="97"/>
    </row>
    <row r="1118" spans="1:31" ht="14.4" customHeight="1" x14ac:dyDescent="0.3">
      <c r="A1118" t="s">
        <v>2913</v>
      </c>
      <c r="B1118" t="s">
        <v>2914</v>
      </c>
      <c r="C1118"/>
      <c r="D1118"/>
      <c r="E1118"/>
      <c r="F1118"/>
      <c r="G1118" t="s">
        <v>2162</v>
      </c>
      <c r="H1118" t="s">
        <v>132</v>
      </c>
      <c r="I1118" t="s">
        <v>2</v>
      </c>
      <c r="J1118" t="s">
        <v>133</v>
      </c>
      <c r="K1118" t="s">
        <v>52</v>
      </c>
      <c r="L1118" t="s">
        <v>2907</v>
      </c>
      <c r="M1118" t="s">
        <v>134</v>
      </c>
      <c r="N1118" t="s">
        <v>135</v>
      </c>
      <c r="O1118"/>
      <c r="P1118"/>
      <c r="Q1118" t="s">
        <v>168</v>
      </c>
      <c r="R1118"/>
      <c r="S1118"/>
      <c r="T1118" t="s">
        <v>2165</v>
      </c>
      <c r="U1118" t="s">
        <v>137</v>
      </c>
      <c r="V1118" t="s">
        <v>932</v>
      </c>
      <c r="W1118"/>
      <c r="X1118" t="s">
        <v>115</v>
      </c>
      <c r="Y1118"/>
      <c r="Z1118"/>
      <c r="AA1118" t="s">
        <v>2163</v>
      </c>
      <c r="AB1118" t="s">
        <v>2</v>
      </c>
      <c r="AC1118" t="s">
        <v>138</v>
      </c>
      <c r="AD1118" t="s">
        <v>130</v>
      </c>
      <c r="AE1118" s="97"/>
    </row>
    <row r="1119" spans="1:31" ht="14.4" customHeight="1" x14ac:dyDescent="0.3">
      <c r="A1119" t="s">
        <v>2915</v>
      </c>
      <c r="B1119" t="s">
        <v>2916</v>
      </c>
      <c r="C1119"/>
      <c r="D1119"/>
      <c r="E1119"/>
      <c r="F1119"/>
      <c r="G1119" t="s">
        <v>2162</v>
      </c>
      <c r="H1119" t="s">
        <v>132</v>
      </c>
      <c r="I1119" t="s">
        <v>2</v>
      </c>
      <c r="J1119" t="s">
        <v>133</v>
      </c>
      <c r="K1119" t="s">
        <v>52</v>
      </c>
      <c r="L1119" t="s">
        <v>2917</v>
      </c>
      <c r="M1119" t="s">
        <v>134</v>
      </c>
      <c r="N1119" t="s">
        <v>135</v>
      </c>
      <c r="O1119"/>
      <c r="P1119"/>
      <c r="Q1119" t="s">
        <v>168</v>
      </c>
      <c r="R1119"/>
      <c r="S1119"/>
      <c r="T1119" t="s">
        <v>2165</v>
      </c>
      <c r="U1119" t="s">
        <v>137</v>
      </c>
      <c r="V1119" t="s">
        <v>932</v>
      </c>
      <c r="W1119"/>
      <c r="X1119" t="s">
        <v>115</v>
      </c>
      <c r="Y1119"/>
      <c r="Z1119"/>
      <c r="AA1119" t="s">
        <v>2163</v>
      </c>
      <c r="AB1119" t="s">
        <v>2</v>
      </c>
      <c r="AC1119" t="s">
        <v>138</v>
      </c>
      <c r="AD1119" t="s">
        <v>130</v>
      </c>
      <c r="AE1119" s="97"/>
    </row>
    <row r="1120" spans="1:31" ht="14.4" customHeight="1" x14ac:dyDescent="0.3">
      <c r="A1120" t="s">
        <v>2918</v>
      </c>
      <c r="B1120" t="s">
        <v>2919</v>
      </c>
      <c r="C1120"/>
      <c r="D1120"/>
      <c r="E1120"/>
      <c r="F1120"/>
      <c r="G1120" t="s">
        <v>2162</v>
      </c>
      <c r="H1120" t="s">
        <v>132</v>
      </c>
      <c r="I1120" t="s">
        <v>2</v>
      </c>
      <c r="J1120" t="s">
        <v>133</v>
      </c>
      <c r="K1120" t="s">
        <v>52</v>
      </c>
      <c r="L1120" t="s">
        <v>1758</v>
      </c>
      <c r="M1120" t="s">
        <v>134</v>
      </c>
      <c r="N1120" t="s">
        <v>135</v>
      </c>
      <c r="O1120"/>
      <c r="P1120"/>
      <c r="Q1120" t="s">
        <v>168</v>
      </c>
      <c r="R1120"/>
      <c r="S1120"/>
      <c r="T1120" t="s">
        <v>2165</v>
      </c>
      <c r="U1120" t="s">
        <v>137</v>
      </c>
      <c r="V1120" t="s">
        <v>932</v>
      </c>
      <c r="W1120"/>
      <c r="X1120" t="s">
        <v>115</v>
      </c>
      <c r="Y1120"/>
      <c r="Z1120"/>
      <c r="AA1120" t="s">
        <v>2163</v>
      </c>
      <c r="AB1120" t="s">
        <v>2</v>
      </c>
      <c r="AC1120" t="s">
        <v>138</v>
      </c>
      <c r="AD1120" t="s">
        <v>130</v>
      </c>
      <c r="AE1120" s="97"/>
    </row>
    <row r="1121" spans="1:31" ht="14.4" customHeight="1" x14ac:dyDescent="0.3">
      <c r="A1121" t="s">
        <v>2920</v>
      </c>
      <c r="B1121" t="s">
        <v>2921</v>
      </c>
      <c r="C1121"/>
      <c r="D1121"/>
      <c r="E1121"/>
      <c r="F1121"/>
      <c r="G1121" t="s">
        <v>2162</v>
      </c>
      <c r="H1121" t="s">
        <v>132</v>
      </c>
      <c r="I1121" t="s">
        <v>2</v>
      </c>
      <c r="J1121" t="s">
        <v>133</v>
      </c>
      <c r="K1121" t="s">
        <v>52</v>
      </c>
      <c r="L1121" t="s">
        <v>1758</v>
      </c>
      <c r="M1121" t="s">
        <v>134</v>
      </c>
      <c r="N1121" t="s">
        <v>135</v>
      </c>
      <c r="O1121"/>
      <c r="P1121"/>
      <c r="Q1121" t="s">
        <v>168</v>
      </c>
      <c r="R1121"/>
      <c r="S1121"/>
      <c r="T1121" t="s">
        <v>2165</v>
      </c>
      <c r="U1121" t="s">
        <v>137</v>
      </c>
      <c r="V1121" t="s">
        <v>932</v>
      </c>
      <c r="W1121"/>
      <c r="X1121" t="s">
        <v>115</v>
      </c>
      <c r="Y1121"/>
      <c r="Z1121"/>
      <c r="AA1121" t="s">
        <v>2163</v>
      </c>
      <c r="AB1121" t="s">
        <v>2</v>
      </c>
      <c r="AC1121" t="s">
        <v>138</v>
      </c>
      <c r="AD1121" t="s">
        <v>130</v>
      </c>
      <c r="AE1121" s="97"/>
    </row>
    <row r="1122" spans="1:31" ht="14.4" customHeight="1" x14ac:dyDescent="0.3">
      <c r="A1122" t="s">
        <v>2922</v>
      </c>
      <c r="B1122" t="s">
        <v>2923</v>
      </c>
      <c r="C1122"/>
      <c r="D1122"/>
      <c r="E1122"/>
      <c r="F1122"/>
      <c r="G1122" t="s">
        <v>2162</v>
      </c>
      <c r="H1122" t="s">
        <v>132</v>
      </c>
      <c r="I1122" t="s">
        <v>2</v>
      </c>
      <c r="J1122" t="s">
        <v>133</v>
      </c>
      <c r="K1122" t="s">
        <v>52</v>
      </c>
      <c r="L1122" t="s">
        <v>1758</v>
      </c>
      <c r="M1122" t="s">
        <v>134</v>
      </c>
      <c r="N1122" t="s">
        <v>135</v>
      </c>
      <c r="O1122"/>
      <c r="P1122"/>
      <c r="Q1122" t="s">
        <v>168</v>
      </c>
      <c r="R1122"/>
      <c r="S1122"/>
      <c r="T1122" t="s">
        <v>2165</v>
      </c>
      <c r="U1122" t="s">
        <v>137</v>
      </c>
      <c r="V1122" t="s">
        <v>932</v>
      </c>
      <c r="W1122"/>
      <c r="X1122" t="s">
        <v>115</v>
      </c>
      <c r="Y1122"/>
      <c r="Z1122"/>
      <c r="AA1122" t="s">
        <v>2163</v>
      </c>
      <c r="AB1122" t="s">
        <v>2</v>
      </c>
      <c r="AC1122" t="s">
        <v>138</v>
      </c>
      <c r="AD1122" t="s">
        <v>130</v>
      </c>
      <c r="AE1122" s="97"/>
    </row>
    <row r="1123" spans="1:31" ht="14.4" customHeight="1" x14ac:dyDescent="0.3">
      <c r="A1123" t="s">
        <v>2924</v>
      </c>
      <c r="B1123" t="s">
        <v>2925</v>
      </c>
      <c r="C1123"/>
      <c r="D1123"/>
      <c r="E1123"/>
      <c r="F1123"/>
      <c r="G1123" t="s">
        <v>2162</v>
      </c>
      <c r="H1123" t="s">
        <v>132</v>
      </c>
      <c r="I1123" t="s">
        <v>2</v>
      </c>
      <c r="J1123" t="s">
        <v>133</v>
      </c>
      <c r="K1123" t="s">
        <v>52</v>
      </c>
      <c r="L1123" t="s">
        <v>1758</v>
      </c>
      <c r="M1123" t="s">
        <v>134</v>
      </c>
      <c r="N1123" t="s">
        <v>135</v>
      </c>
      <c r="O1123"/>
      <c r="P1123"/>
      <c r="Q1123" t="s">
        <v>168</v>
      </c>
      <c r="R1123"/>
      <c r="S1123"/>
      <c r="T1123" t="s">
        <v>2165</v>
      </c>
      <c r="U1123" t="s">
        <v>137</v>
      </c>
      <c r="V1123" t="s">
        <v>932</v>
      </c>
      <c r="W1123"/>
      <c r="X1123" t="s">
        <v>115</v>
      </c>
      <c r="Y1123"/>
      <c r="Z1123"/>
      <c r="AA1123" t="s">
        <v>2163</v>
      </c>
      <c r="AB1123" t="s">
        <v>2</v>
      </c>
      <c r="AC1123" t="s">
        <v>138</v>
      </c>
      <c r="AD1123" t="s">
        <v>130</v>
      </c>
      <c r="AE1123" s="97"/>
    </row>
    <row r="1124" spans="1:31" ht="14.4" customHeight="1" x14ac:dyDescent="0.3">
      <c r="A1124" t="s">
        <v>2926</v>
      </c>
      <c r="B1124" t="s">
        <v>2927</v>
      </c>
      <c r="C1124"/>
      <c r="D1124"/>
      <c r="E1124"/>
      <c r="F1124"/>
      <c r="G1124" t="s">
        <v>2162</v>
      </c>
      <c r="H1124" t="s">
        <v>132</v>
      </c>
      <c r="I1124" t="s">
        <v>2</v>
      </c>
      <c r="J1124" t="s">
        <v>133</v>
      </c>
      <c r="K1124" t="s">
        <v>52</v>
      </c>
      <c r="L1124" t="s">
        <v>1761</v>
      </c>
      <c r="M1124" t="s">
        <v>134</v>
      </c>
      <c r="N1124" t="s">
        <v>135</v>
      </c>
      <c r="O1124"/>
      <c r="P1124"/>
      <c r="Q1124" t="s">
        <v>168</v>
      </c>
      <c r="R1124"/>
      <c r="S1124"/>
      <c r="T1124" t="s">
        <v>2165</v>
      </c>
      <c r="U1124" t="s">
        <v>137</v>
      </c>
      <c r="V1124" t="s">
        <v>932</v>
      </c>
      <c r="W1124"/>
      <c r="X1124" t="s">
        <v>115</v>
      </c>
      <c r="Y1124"/>
      <c r="Z1124"/>
      <c r="AA1124" t="s">
        <v>2163</v>
      </c>
      <c r="AB1124" t="s">
        <v>2</v>
      </c>
      <c r="AC1124" t="s">
        <v>138</v>
      </c>
      <c r="AD1124" t="s">
        <v>130</v>
      </c>
      <c r="AE1124" s="97"/>
    </row>
    <row r="1125" spans="1:31" ht="14.4" customHeight="1" x14ac:dyDescent="0.3">
      <c r="A1125" t="s">
        <v>2928</v>
      </c>
      <c r="B1125" t="s">
        <v>2929</v>
      </c>
      <c r="C1125"/>
      <c r="D1125"/>
      <c r="E1125"/>
      <c r="F1125"/>
      <c r="G1125" t="s">
        <v>2162</v>
      </c>
      <c r="H1125" t="s">
        <v>132</v>
      </c>
      <c r="I1125" t="s">
        <v>2</v>
      </c>
      <c r="J1125" t="s">
        <v>133</v>
      </c>
      <c r="K1125" t="s">
        <v>52</v>
      </c>
      <c r="L1125" t="s">
        <v>1761</v>
      </c>
      <c r="M1125" t="s">
        <v>134</v>
      </c>
      <c r="N1125" t="s">
        <v>135</v>
      </c>
      <c r="O1125"/>
      <c r="P1125"/>
      <c r="Q1125" t="s">
        <v>168</v>
      </c>
      <c r="R1125"/>
      <c r="S1125"/>
      <c r="T1125" t="s">
        <v>2165</v>
      </c>
      <c r="U1125" t="s">
        <v>137</v>
      </c>
      <c r="V1125" t="s">
        <v>932</v>
      </c>
      <c r="W1125"/>
      <c r="X1125" t="s">
        <v>115</v>
      </c>
      <c r="Y1125"/>
      <c r="Z1125"/>
      <c r="AA1125" t="s">
        <v>2163</v>
      </c>
      <c r="AB1125" t="s">
        <v>2</v>
      </c>
      <c r="AC1125" t="s">
        <v>138</v>
      </c>
      <c r="AD1125" t="s">
        <v>130</v>
      </c>
      <c r="AE1125" s="97"/>
    </row>
    <row r="1126" spans="1:31" ht="14.4" customHeight="1" x14ac:dyDescent="0.3">
      <c r="A1126" t="s">
        <v>2930</v>
      </c>
      <c r="B1126" t="s">
        <v>2931</v>
      </c>
      <c r="C1126"/>
      <c r="D1126"/>
      <c r="E1126"/>
      <c r="F1126"/>
      <c r="G1126" t="s">
        <v>2162</v>
      </c>
      <c r="H1126" t="s">
        <v>132</v>
      </c>
      <c r="I1126" t="s">
        <v>2</v>
      </c>
      <c r="J1126" t="s">
        <v>133</v>
      </c>
      <c r="K1126" t="s">
        <v>52</v>
      </c>
      <c r="L1126" t="s">
        <v>1758</v>
      </c>
      <c r="M1126" t="s">
        <v>134</v>
      </c>
      <c r="N1126" t="s">
        <v>135</v>
      </c>
      <c r="O1126"/>
      <c r="P1126"/>
      <c r="Q1126" t="s">
        <v>168</v>
      </c>
      <c r="R1126"/>
      <c r="S1126"/>
      <c r="T1126" t="s">
        <v>2165</v>
      </c>
      <c r="U1126" t="s">
        <v>137</v>
      </c>
      <c r="V1126" t="s">
        <v>932</v>
      </c>
      <c r="W1126"/>
      <c r="X1126" t="s">
        <v>115</v>
      </c>
      <c r="Y1126"/>
      <c r="Z1126"/>
      <c r="AA1126" t="s">
        <v>2163</v>
      </c>
      <c r="AB1126" t="s">
        <v>2</v>
      </c>
      <c r="AC1126" t="s">
        <v>138</v>
      </c>
      <c r="AD1126" t="s">
        <v>130</v>
      </c>
      <c r="AE1126" s="97"/>
    </row>
    <row r="1127" spans="1:31" ht="14.4" customHeight="1" x14ac:dyDescent="0.3">
      <c r="A1127" t="s">
        <v>2932</v>
      </c>
      <c r="B1127" t="s">
        <v>2933</v>
      </c>
      <c r="C1127"/>
      <c r="D1127"/>
      <c r="E1127"/>
      <c r="F1127"/>
      <c r="G1127" t="s">
        <v>2162</v>
      </c>
      <c r="H1127" t="s">
        <v>132</v>
      </c>
      <c r="I1127" t="s">
        <v>2</v>
      </c>
      <c r="J1127" t="s">
        <v>133</v>
      </c>
      <c r="K1127" t="s">
        <v>52</v>
      </c>
      <c r="L1127" t="s">
        <v>1758</v>
      </c>
      <c r="M1127" t="s">
        <v>134</v>
      </c>
      <c r="N1127" t="s">
        <v>135</v>
      </c>
      <c r="O1127"/>
      <c r="P1127"/>
      <c r="Q1127" t="s">
        <v>168</v>
      </c>
      <c r="R1127"/>
      <c r="S1127"/>
      <c r="T1127" t="s">
        <v>2165</v>
      </c>
      <c r="U1127" t="s">
        <v>137</v>
      </c>
      <c r="V1127" t="s">
        <v>932</v>
      </c>
      <c r="W1127"/>
      <c r="X1127" t="s">
        <v>115</v>
      </c>
      <c r="Y1127"/>
      <c r="Z1127"/>
      <c r="AA1127" t="s">
        <v>2163</v>
      </c>
      <c r="AB1127" t="s">
        <v>2</v>
      </c>
      <c r="AC1127" t="s">
        <v>138</v>
      </c>
      <c r="AD1127" t="s">
        <v>130</v>
      </c>
      <c r="AE1127" s="97"/>
    </row>
    <row r="1128" spans="1:31" ht="14.4" customHeight="1" x14ac:dyDescent="0.3">
      <c r="A1128" t="s">
        <v>2934</v>
      </c>
      <c r="B1128" t="s">
        <v>2935</v>
      </c>
      <c r="C1128"/>
      <c r="D1128"/>
      <c r="E1128"/>
      <c r="F1128"/>
      <c r="G1128" t="s">
        <v>2162</v>
      </c>
      <c r="H1128" t="s">
        <v>132</v>
      </c>
      <c r="I1128" t="s">
        <v>2</v>
      </c>
      <c r="J1128" t="s">
        <v>133</v>
      </c>
      <c r="K1128" t="s">
        <v>52</v>
      </c>
      <c r="L1128" t="s">
        <v>1758</v>
      </c>
      <c r="M1128" t="s">
        <v>134</v>
      </c>
      <c r="N1128" t="s">
        <v>135</v>
      </c>
      <c r="O1128"/>
      <c r="P1128"/>
      <c r="Q1128" t="s">
        <v>168</v>
      </c>
      <c r="R1128"/>
      <c r="S1128"/>
      <c r="T1128" t="s">
        <v>2165</v>
      </c>
      <c r="U1128" t="s">
        <v>137</v>
      </c>
      <c r="V1128" t="s">
        <v>932</v>
      </c>
      <c r="W1128"/>
      <c r="X1128" t="s">
        <v>115</v>
      </c>
      <c r="Y1128"/>
      <c r="Z1128"/>
      <c r="AA1128" t="s">
        <v>2163</v>
      </c>
      <c r="AB1128" t="s">
        <v>2</v>
      </c>
      <c r="AC1128" t="s">
        <v>138</v>
      </c>
      <c r="AD1128" t="s">
        <v>130</v>
      </c>
      <c r="AE1128" s="97"/>
    </row>
    <row r="1129" spans="1:31" ht="14.4" customHeight="1" x14ac:dyDescent="0.3">
      <c r="A1129" t="s">
        <v>2944</v>
      </c>
      <c r="B1129" t="s">
        <v>2945</v>
      </c>
      <c r="C1129"/>
      <c r="D1129"/>
      <c r="E1129"/>
      <c r="F1129"/>
      <c r="G1129" t="s">
        <v>2162</v>
      </c>
      <c r="H1129" t="s">
        <v>132</v>
      </c>
      <c r="I1129" t="s">
        <v>2</v>
      </c>
      <c r="J1129" t="s">
        <v>133</v>
      </c>
      <c r="K1129" t="s">
        <v>52</v>
      </c>
      <c r="L1129" t="s">
        <v>2946</v>
      </c>
      <c r="M1129" t="s">
        <v>134</v>
      </c>
      <c r="N1129" t="s">
        <v>135</v>
      </c>
      <c r="O1129"/>
      <c r="P1129"/>
      <c r="Q1129" t="s">
        <v>168</v>
      </c>
      <c r="R1129"/>
      <c r="S1129"/>
      <c r="T1129" t="s">
        <v>2165</v>
      </c>
      <c r="U1129" t="s">
        <v>137</v>
      </c>
      <c r="V1129" t="s">
        <v>932</v>
      </c>
      <c r="W1129"/>
      <c r="X1129" t="s">
        <v>115</v>
      </c>
      <c r="Y1129"/>
      <c r="Z1129"/>
      <c r="AA1129" t="s">
        <v>2163</v>
      </c>
      <c r="AB1129" t="s">
        <v>2</v>
      </c>
      <c r="AC1129" t="s">
        <v>138</v>
      </c>
      <c r="AD1129" t="s">
        <v>130</v>
      </c>
      <c r="AE1129" s="97"/>
    </row>
    <row r="1130" spans="1:31" ht="14.4" customHeight="1" x14ac:dyDescent="0.3">
      <c r="A1130" t="s">
        <v>2947</v>
      </c>
      <c r="B1130" t="s">
        <v>2948</v>
      </c>
      <c r="C1130"/>
      <c r="D1130"/>
      <c r="E1130"/>
      <c r="F1130"/>
      <c r="G1130" t="s">
        <v>2162</v>
      </c>
      <c r="H1130" t="s">
        <v>132</v>
      </c>
      <c r="I1130" t="s">
        <v>2</v>
      </c>
      <c r="J1130" t="s">
        <v>133</v>
      </c>
      <c r="K1130" t="s">
        <v>52</v>
      </c>
      <c r="L1130" t="s">
        <v>2949</v>
      </c>
      <c r="M1130" t="s">
        <v>134</v>
      </c>
      <c r="N1130" t="s">
        <v>135</v>
      </c>
      <c r="O1130"/>
      <c r="P1130"/>
      <c r="Q1130" t="s">
        <v>168</v>
      </c>
      <c r="R1130"/>
      <c r="S1130"/>
      <c r="T1130" t="s">
        <v>2165</v>
      </c>
      <c r="U1130" t="s">
        <v>137</v>
      </c>
      <c r="V1130" t="s">
        <v>932</v>
      </c>
      <c r="W1130"/>
      <c r="X1130" t="s">
        <v>115</v>
      </c>
      <c r="Y1130"/>
      <c r="Z1130"/>
      <c r="AA1130" t="s">
        <v>2163</v>
      </c>
      <c r="AB1130" t="s">
        <v>2</v>
      </c>
      <c r="AC1130" t="s">
        <v>138</v>
      </c>
      <c r="AD1130" t="s">
        <v>130</v>
      </c>
      <c r="AE1130" s="97"/>
    </row>
    <row r="1131" spans="1:31" ht="14.4" customHeight="1" x14ac:dyDescent="0.3">
      <c r="A1131" t="s">
        <v>2950</v>
      </c>
      <c r="B1131" t="s">
        <v>2951</v>
      </c>
      <c r="C1131"/>
      <c r="D1131"/>
      <c r="E1131"/>
      <c r="F1131"/>
      <c r="G1131" t="s">
        <v>2162</v>
      </c>
      <c r="H1131" t="s">
        <v>132</v>
      </c>
      <c r="I1131" t="s">
        <v>2</v>
      </c>
      <c r="J1131" t="s">
        <v>133</v>
      </c>
      <c r="K1131" t="s">
        <v>52</v>
      </c>
      <c r="L1131" t="s">
        <v>2952</v>
      </c>
      <c r="M1131" t="s">
        <v>134</v>
      </c>
      <c r="N1131" t="s">
        <v>135</v>
      </c>
      <c r="O1131"/>
      <c r="P1131"/>
      <c r="Q1131" t="s">
        <v>168</v>
      </c>
      <c r="R1131"/>
      <c r="S1131"/>
      <c r="T1131" t="s">
        <v>2165</v>
      </c>
      <c r="U1131" t="s">
        <v>137</v>
      </c>
      <c r="V1131" t="s">
        <v>352</v>
      </c>
      <c r="W1131"/>
      <c r="X1131" t="s">
        <v>56</v>
      </c>
      <c r="Y1131"/>
      <c r="Z1131"/>
      <c r="AA1131" t="s">
        <v>2163</v>
      </c>
      <c r="AB1131" t="s">
        <v>2</v>
      </c>
      <c r="AC1131" t="s">
        <v>138</v>
      </c>
      <c r="AD1131" t="s">
        <v>128</v>
      </c>
      <c r="AE1131" s="97"/>
    </row>
    <row r="1132" spans="1:31" ht="14.4" customHeight="1" x14ac:dyDescent="0.3">
      <c r="A1132" t="s">
        <v>2953</v>
      </c>
      <c r="B1132" t="s">
        <v>2954</v>
      </c>
      <c r="C1132"/>
      <c r="D1132"/>
      <c r="E1132"/>
      <c r="F1132"/>
      <c r="G1132" t="s">
        <v>2162</v>
      </c>
      <c r="H1132" t="s">
        <v>132</v>
      </c>
      <c r="I1132" t="s">
        <v>2</v>
      </c>
      <c r="J1132" t="s">
        <v>133</v>
      </c>
      <c r="K1132" t="s">
        <v>52</v>
      </c>
      <c r="L1132" t="s">
        <v>2955</v>
      </c>
      <c r="M1132" t="s">
        <v>134</v>
      </c>
      <c r="N1132" t="s">
        <v>135</v>
      </c>
      <c r="O1132"/>
      <c r="P1132"/>
      <c r="Q1132" t="s">
        <v>168</v>
      </c>
      <c r="R1132"/>
      <c r="S1132"/>
      <c r="T1132" t="s">
        <v>2165</v>
      </c>
      <c r="U1132" t="s">
        <v>137</v>
      </c>
      <c r="V1132" t="s">
        <v>352</v>
      </c>
      <c r="W1132"/>
      <c r="X1132" t="s">
        <v>56</v>
      </c>
      <c r="Y1132"/>
      <c r="Z1132"/>
      <c r="AA1132" t="s">
        <v>2163</v>
      </c>
      <c r="AB1132" t="s">
        <v>2</v>
      </c>
      <c r="AC1132" t="s">
        <v>138</v>
      </c>
      <c r="AD1132" t="s">
        <v>128</v>
      </c>
      <c r="AE1132" s="97"/>
    </row>
    <row r="1133" spans="1:31" ht="14.4" customHeight="1" x14ac:dyDescent="0.3">
      <c r="A1133" t="s">
        <v>2956</v>
      </c>
      <c r="B1133" t="s">
        <v>2957</v>
      </c>
      <c r="C1133"/>
      <c r="D1133"/>
      <c r="E1133"/>
      <c r="F1133"/>
      <c r="G1133" t="s">
        <v>2162</v>
      </c>
      <c r="H1133" t="s">
        <v>132</v>
      </c>
      <c r="I1133" t="s">
        <v>2</v>
      </c>
      <c r="J1133" t="s">
        <v>133</v>
      </c>
      <c r="K1133" t="s">
        <v>52</v>
      </c>
      <c r="L1133" t="s">
        <v>2958</v>
      </c>
      <c r="M1133" t="s">
        <v>134</v>
      </c>
      <c r="N1133" t="s">
        <v>135</v>
      </c>
      <c r="O1133"/>
      <c r="P1133"/>
      <c r="Q1133" t="s">
        <v>168</v>
      </c>
      <c r="R1133"/>
      <c r="S1133"/>
      <c r="T1133" t="s">
        <v>2165</v>
      </c>
      <c r="U1133" t="s">
        <v>137</v>
      </c>
      <c r="V1133" t="s">
        <v>352</v>
      </c>
      <c r="W1133"/>
      <c r="X1133" t="s">
        <v>56</v>
      </c>
      <c r="Y1133"/>
      <c r="Z1133"/>
      <c r="AA1133" t="s">
        <v>2163</v>
      </c>
      <c r="AB1133" t="s">
        <v>2</v>
      </c>
      <c r="AC1133" t="s">
        <v>138</v>
      </c>
      <c r="AD1133" t="s">
        <v>128</v>
      </c>
      <c r="AE1133" s="97"/>
    </row>
    <row r="1134" spans="1:31" ht="14.4" customHeight="1" x14ac:dyDescent="0.3">
      <c r="A1134" t="s">
        <v>2959</v>
      </c>
      <c r="B1134" t="s">
        <v>2960</v>
      </c>
      <c r="C1134"/>
      <c r="D1134"/>
      <c r="E1134"/>
      <c r="F1134"/>
      <c r="G1134" t="s">
        <v>2162</v>
      </c>
      <c r="H1134" t="s">
        <v>132</v>
      </c>
      <c r="I1134" t="s">
        <v>2</v>
      </c>
      <c r="J1134" t="s">
        <v>133</v>
      </c>
      <c r="K1134" t="s">
        <v>52</v>
      </c>
      <c r="L1134" t="s">
        <v>2961</v>
      </c>
      <c r="M1134" t="s">
        <v>134</v>
      </c>
      <c r="N1134" t="s">
        <v>135</v>
      </c>
      <c r="O1134"/>
      <c r="P1134"/>
      <c r="Q1134" t="s">
        <v>168</v>
      </c>
      <c r="R1134"/>
      <c r="S1134"/>
      <c r="T1134" t="s">
        <v>2165</v>
      </c>
      <c r="U1134" t="s">
        <v>137</v>
      </c>
      <c r="V1134" t="s">
        <v>352</v>
      </c>
      <c r="W1134"/>
      <c r="X1134" t="s">
        <v>56</v>
      </c>
      <c r="Y1134"/>
      <c r="Z1134"/>
      <c r="AA1134" t="s">
        <v>2163</v>
      </c>
      <c r="AB1134" t="s">
        <v>2</v>
      </c>
      <c r="AC1134" t="s">
        <v>138</v>
      </c>
      <c r="AD1134" t="s">
        <v>128</v>
      </c>
      <c r="AE1134" s="97"/>
    </row>
    <row r="1135" spans="1:31" ht="14.4" customHeight="1" x14ac:dyDescent="0.3">
      <c r="A1135" t="s">
        <v>2962</v>
      </c>
      <c r="B1135" t="s">
        <v>2963</v>
      </c>
      <c r="C1135"/>
      <c r="D1135"/>
      <c r="E1135"/>
      <c r="F1135"/>
      <c r="G1135" t="s">
        <v>2162</v>
      </c>
      <c r="H1135" t="s">
        <v>132</v>
      </c>
      <c r="I1135" t="s">
        <v>2</v>
      </c>
      <c r="J1135" t="s">
        <v>133</v>
      </c>
      <c r="K1135" t="s">
        <v>52</v>
      </c>
      <c r="L1135" t="s">
        <v>2964</v>
      </c>
      <c r="M1135" t="s">
        <v>134</v>
      </c>
      <c r="N1135" t="s">
        <v>135</v>
      </c>
      <c r="O1135"/>
      <c r="P1135"/>
      <c r="Q1135" t="s">
        <v>168</v>
      </c>
      <c r="R1135"/>
      <c r="S1135"/>
      <c r="T1135" t="s">
        <v>2165</v>
      </c>
      <c r="U1135" t="s">
        <v>137</v>
      </c>
      <c r="V1135" t="s">
        <v>352</v>
      </c>
      <c r="W1135"/>
      <c r="X1135" t="s">
        <v>56</v>
      </c>
      <c r="Y1135"/>
      <c r="Z1135"/>
      <c r="AA1135" t="s">
        <v>2163</v>
      </c>
      <c r="AB1135" t="s">
        <v>2</v>
      </c>
      <c r="AC1135" t="s">
        <v>138</v>
      </c>
      <c r="AD1135" t="s">
        <v>128</v>
      </c>
      <c r="AE1135" s="97"/>
    </row>
    <row r="1136" spans="1:31" ht="14.4" customHeight="1" x14ac:dyDescent="0.3">
      <c r="A1136" t="s">
        <v>2965</v>
      </c>
      <c r="B1136" t="s">
        <v>2966</v>
      </c>
      <c r="C1136"/>
      <c r="D1136"/>
      <c r="E1136"/>
      <c r="F1136"/>
      <c r="G1136" t="s">
        <v>2162</v>
      </c>
      <c r="H1136" t="s">
        <v>132</v>
      </c>
      <c r="I1136" t="s">
        <v>2</v>
      </c>
      <c r="J1136" t="s">
        <v>133</v>
      </c>
      <c r="K1136" t="s">
        <v>52</v>
      </c>
      <c r="L1136" t="s">
        <v>2967</v>
      </c>
      <c r="M1136" t="s">
        <v>134</v>
      </c>
      <c r="N1136" t="s">
        <v>135</v>
      </c>
      <c r="O1136"/>
      <c r="P1136"/>
      <c r="Q1136" t="s">
        <v>168</v>
      </c>
      <c r="R1136"/>
      <c r="S1136"/>
      <c r="T1136" t="s">
        <v>2165</v>
      </c>
      <c r="U1136" t="s">
        <v>137</v>
      </c>
      <c r="V1136" t="s">
        <v>352</v>
      </c>
      <c r="W1136"/>
      <c r="X1136" t="s">
        <v>56</v>
      </c>
      <c r="Y1136"/>
      <c r="Z1136"/>
      <c r="AA1136" t="s">
        <v>2163</v>
      </c>
      <c r="AB1136" t="s">
        <v>2</v>
      </c>
      <c r="AC1136" t="s">
        <v>138</v>
      </c>
      <c r="AD1136" t="s">
        <v>128</v>
      </c>
      <c r="AE1136" s="97"/>
    </row>
    <row r="1137" spans="1:31" ht="14.4" customHeight="1" x14ac:dyDescent="0.3">
      <c r="A1137" t="s">
        <v>2968</v>
      </c>
      <c r="B1137" t="s">
        <v>2969</v>
      </c>
      <c r="C1137"/>
      <c r="D1137"/>
      <c r="E1137"/>
      <c r="F1137"/>
      <c r="G1137" t="s">
        <v>2162</v>
      </c>
      <c r="H1137" t="s">
        <v>132</v>
      </c>
      <c r="I1137" t="s">
        <v>2</v>
      </c>
      <c r="J1137" t="s">
        <v>133</v>
      </c>
      <c r="K1137" t="s">
        <v>52</v>
      </c>
      <c r="L1137" t="s">
        <v>2970</v>
      </c>
      <c r="M1137" t="s">
        <v>134</v>
      </c>
      <c r="N1137" t="s">
        <v>135</v>
      </c>
      <c r="O1137"/>
      <c r="P1137"/>
      <c r="Q1137" t="s">
        <v>168</v>
      </c>
      <c r="R1137"/>
      <c r="S1137"/>
      <c r="T1137" t="s">
        <v>2165</v>
      </c>
      <c r="U1137" t="s">
        <v>137</v>
      </c>
      <c r="V1137" t="s">
        <v>352</v>
      </c>
      <c r="W1137"/>
      <c r="X1137" t="s">
        <v>56</v>
      </c>
      <c r="Y1137"/>
      <c r="Z1137"/>
      <c r="AA1137" t="s">
        <v>2163</v>
      </c>
      <c r="AB1137" t="s">
        <v>2</v>
      </c>
      <c r="AC1137" t="s">
        <v>138</v>
      </c>
      <c r="AD1137" t="s">
        <v>128</v>
      </c>
      <c r="AE1137" s="97"/>
    </row>
    <row r="1138" spans="1:31" ht="14.4" customHeight="1" x14ac:dyDescent="0.3">
      <c r="A1138" t="s">
        <v>2977</v>
      </c>
      <c r="B1138" t="s">
        <v>2978</v>
      </c>
      <c r="C1138"/>
      <c r="D1138"/>
      <c r="E1138"/>
      <c r="F1138"/>
      <c r="G1138" t="s">
        <v>2162</v>
      </c>
      <c r="H1138" t="s">
        <v>132</v>
      </c>
      <c r="I1138" t="s">
        <v>2</v>
      </c>
      <c r="J1138" t="s">
        <v>133</v>
      </c>
      <c r="K1138" t="s">
        <v>52</v>
      </c>
      <c r="L1138" t="s">
        <v>2979</v>
      </c>
      <c r="M1138" t="s">
        <v>134</v>
      </c>
      <c r="N1138" t="s">
        <v>135</v>
      </c>
      <c r="O1138"/>
      <c r="P1138"/>
      <c r="Q1138" t="s">
        <v>168</v>
      </c>
      <c r="R1138"/>
      <c r="S1138"/>
      <c r="T1138" t="s">
        <v>2165</v>
      </c>
      <c r="U1138" t="s">
        <v>137</v>
      </c>
      <c r="V1138" t="s">
        <v>403</v>
      </c>
      <c r="W1138"/>
      <c r="X1138" t="s">
        <v>68</v>
      </c>
      <c r="Y1138"/>
      <c r="Z1138"/>
      <c r="AA1138" t="s">
        <v>2163</v>
      </c>
      <c r="AB1138" t="s">
        <v>2</v>
      </c>
      <c r="AC1138" t="s">
        <v>138</v>
      </c>
      <c r="AD1138" t="s">
        <v>128</v>
      </c>
      <c r="AE1138" s="97"/>
    </row>
    <row r="1139" spans="1:31" ht="14.4" customHeight="1" x14ac:dyDescent="0.3">
      <c r="A1139" t="s">
        <v>2980</v>
      </c>
      <c r="B1139" t="s">
        <v>2981</v>
      </c>
      <c r="C1139"/>
      <c r="D1139"/>
      <c r="E1139"/>
      <c r="F1139"/>
      <c r="G1139" t="s">
        <v>2162</v>
      </c>
      <c r="H1139" t="s">
        <v>132</v>
      </c>
      <c r="I1139" t="s">
        <v>2</v>
      </c>
      <c r="J1139" t="s">
        <v>133</v>
      </c>
      <c r="K1139" t="s">
        <v>52</v>
      </c>
      <c r="L1139" t="s">
        <v>2979</v>
      </c>
      <c r="M1139" t="s">
        <v>134</v>
      </c>
      <c r="N1139" t="s">
        <v>135</v>
      </c>
      <c r="O1139"/>
      <c r="P1139"/>
      <c r="Q1139" t="s">
        <v>168</v>
      </c>
      <c r="R1139"/>
      <c r="S1139"/>
      <c r="T1139" t="s">
        <v>2165</v>
      </c>
      <c r="U1139" t="s">
        <v>137</v>
      </c>
      <c r="V1139" t="s">
        <v>403</v>
      </c>
      <c r="W1139"/>
      <c r="X1139" t="s">
        <v>68</v>
      </c>
      <c r="Y1139"/>
      <c r="Z1139"/>
      <c r="AA1139" t="s">
        <v>2163</v>
      </c>
      <c r="AB1139" t="s">
        <v>2</v>
      </c>
      <c r="AC1139" t="s">
        <v>138</v>
      </c>
      <c r="AD1139" t="s">
        <v>128</v>
      </c>
      <c r="AE1139" s="97"/>
    </row>
    <row r="1140" spans="1:31" ht="14.4" customHeight="1" x14ac:dyDescent="0.3">
      <c r="A1140" t="s">
        <v>2982</v>
      </c>
      <c r="B1140" t="s">
        <v>2983</v>
      </c>
      <c r="C1140"/>
      <c r="D1140"/>
      <c r="E1140"/>
      <c r="F1140"/>
      <c r="G1140" t="s">
        <v>2162</v>
      </c>
      <c r="H1140" t="s">
        <v>132</v>
      </c>
      <c r="I1140" t="s">
        <v>2</v>
      </c>
      <c r="J1140" t="s">
        <v>133</v>
      </c>
      <c r="K1140" t="s">
        <v>52</v>
      </c>
      <c r="L1140" t="s">
        <v>2979</v>
      </c>
      <c r="M1140" t="s">
        <v>134</v>
      </c>
      <c r="N1140" t="s">
        <v>135</v>
      </c>
      <c r="O1140"/>
      <c r="P1140"/>
      <c r="Q1140" t="s">
        <v>168</v>
      </c>
      <c r="R1140"/>
      <c r="S1140"/>
      <c r="T1140" t="s">
        <v>2165</v>
      </c>
      <c r="U1140" t="s">
        <v>137</v>
      </c>
      <c r="V1140" t="s">
        <v>403</v>
      </c>
      <c r="W1140"/>
      <c r="X1140" t="s">
        <v>68</v>
      </c>
      <c r="Y1140"/>
      <c r="Z1140"/>
      <c r="AA1140" t="s">
        <v>2163</v>
      </c>
      <c r="AB1140" t="s">
        <v>2</v>
      </c>
      <c r="AC1140" t="s">
        <v>138</v>
      </c>
      <c r="AD1140" t="s">
        <v>128</v>
      </c>
      <c r="AE1140" s="97"/>
    </row>
    <row r="1141" spans="1:31" ht="14.4" customHeight="1" x14ac:dyDescent="0.3">
      <c r="A1141" t="s">
        <v>2984</v>
      </c>
      <c r="B1141" t="s">
        <v>2985</v>
      </c>
      <c r="C1141"/>
      <c r="D1141"/>
      <c r="E1141"/>
      <c r="F1141"/>
      <c r="G1141" t="s">
        <v>2162</v>
      </c>
      <c r="H1141" t="s">
        <v>132</v>
      </c>
      <c r="I1141" t="s">
        <v>2</v>
      </c>
      <c r="J1141" t="s">
        <v>133</v>
      </c>
      <c r="K1141" t="s">
        <v>52</v>
      </c>
      <c r="L1141" t="s">
        <v>2979</v>
      </c>
      <c r="M1141" t="s">
        <v>134</v>
      </c>
      <c r="N1141" t="s">
        <v>135</v>
      </c>
      <c r="O1141"/>
      <c r="P1141"/>
      <c r="Q1141" t="s">
        <v>168</v>
      </c>
      <c r="R1141"/>
      <c r="S1141"/>
      <c r="T1141" t="s">
        <v>2165</v>
      </c>
      <c r="U1141" t="s">
        <v>137</v>
      </c>
      <c r="V1141" t="s">
        <v>403</v>
      </c>
      <c r="W1141"/>
      <c r="X1141" t="s">
        <v>68</v>
      </c>
      <c r="Y1141"/>
      <c r="Z1141"/>
      <c r="AA1141" t="s">
        <v>2163</v>
      </c>
      <c r="AB1141" t="s">
        <v>2</v>
      </c>
      <c r="AC1141" t="s">
        <v>138</v>
      </c>
      <c r="AD1141" t="s">
        <v>128</v>
      </c>
      <c r="AE1141" s="97"/>
    </row>
    <row r="1142" spans="1:31" ht="14.4" customHeight="1" x14ac:dyDescent="0.3">
      <c r="A1142" t="s">
        <v>2986</v>
      </c>
      <c r="B1142" t="s">
        <v>2987</v>
      </c>
      <c r="C1142"/>
      <c r="D1142"/>
      <c r="E1142"/>
      <c r="F1142"/>
      <c r="G1142" t="s">
        <v>2162</v>
      </c>
      <c r="H1142" t="s">
        <v>132</v>
      </c>
      <c r="I1142" t="s">
        <v>2</v>
      </c>
      <c r="J1142" t="s">
        <v>133</v>
      </c>
      <c r="K1142" t="s">
        <v>52</v>
      </c>
      <c r="L1142" t="s">
        <v>2988</v>
      </c>
      <c r="M1142" t="s">
        <v>134</v>
      </c>
      <c r="N1142" t="s">
        <v>135</v>
      </c>
      <c r="O1142"/>
      <c r="P1142"/>
      <c r="Q1142" t="s">
        <v>168</v>
      </c>
      <c r="R1142"/>
      <c r="S1142"/>
      <c r="T1142" t="s">
        <v>2165</v>
      </c>
      <c r="U1142" t="s">
        <v>137</v>
      </c>
      <c r="V1142" t="s">
        <v>407</v>
      </c>
      <c r="W1142"/>
      <c r="X1142" t="s">
        <v>77</v>
      </c>
      <c r="Y1142"/>
      <c r="Z1142"/>
      <c r="AA1142" t="s">
        <v>2163</v>
      </c>
      <c r="AB1142" t="s">
        <v>2</v>
      </c>
      <c r="AC1142" t="s">
        <v>138</v>
      </c>
      <c r="AD1142" t="s">
        <v>128</v>
      </c>
      <c r="AE1142" s="97"/>
    </row>
    <row r="1143" spans="1:31" ht="14.4" customHeight="1" x14ac:dyDescent="0.3">
      <c r="A1143" t="s">
        <v>2989</v>
      </c>
      <c r="B1143" t="s">
        <v>2990</v>
      </c>
      <c r="C1143"/>
      <c r="D1143"/>
      <c r="E1143"/>
      <c r="F1143"/>
      <c r="G1143" t="s">
        <v>2162</v>
      </c>
      <c r="H1143" t="s">
        <v>132</v>
      </c>
      <c r="I1143" t="s">
        <v>2</v>
      </c>
      <c r="J1143" t="s">
        <v>133</v>
      </c>
      <c r="K1143" t="s">
        <v>52</v>
      </c>
      <c r="L1143" t="s">
        <v>2988</v>
      </c>
      <c r="M1143" t="s">
        <v>134</v>
      </c>
      <c r="N1143" t="s">
        <v>135</v>
      </c>
      <c r="O1143"/>
      <c r="P1143"/>
      <c r="Q1143" t="s">
        <v>168</v>
      </c>
      <c r="R1143"/>
      <c r="S1143"/>
      <c r="T1143" t="s">
        <v>2165</v>
      </c>
      <c r="U1143" t="s">
        <v>137</v>
      </c>
      <c r="V1143" t="s">
        <v>407</v>
      </c>
      <c r="W1143"/>
      <c r="X1143" t="s">
        <v>77</v>
      </c>
      <c r="Y1143"/>
      <c r="Z1143"/>
      <c r="AA1143" t="s">
        <v>2163</v>
      </c>
      <c r="AB1143" t="s">
        <v>2</v>
      </c>
      <c r="AC1143" t="s">
        <v>138</v>
      </c>
      <c r="AD1143" t="s">
        <v>128</v>
      </c>
      <c r="AE1143" s="97"/>
    </row>
    <row r="1144" spans="1:31" ht="14.4" customHeight="1" x14ac:dyDescent="0.3">
      <c r="A1144" t="s">
        <v>2991</v>
      </c>
      <c r="B1144" t="s">
        <v>2992</v>
      </c>
      <c r="C1144"/>
      <c r="D1144"/>
      <c r="E1144"/>
      <c r="F1144"/>
      <c r="G1144" t="s">
        <v>2162</v>
      </c>
      <c r="H1144" t="s">
        <v>132</v>
      </c>
      <c r="I1144" t="s">
        <v>2</v>
      </c>
      <c r="J1144" t="s">
        <v>133</v>
      </c>
      <c r="K1144" t="s">
        <v>52</v>
      </c>
      <c r="L1144" t="s">
        <v>2988</v>
      </c>
      <c r="M1144" t="s">
        <v>134</v>
      </c>
      <c r="N1144" t="s">
        <v>135</v>
      </c>
      <c r="O1144"/>
      <c r="P1144"/>
      <c r="Q1144" t="s">
        <v>168</v>
      </c>
      <c r="R1144"/>
      <c r="S1144"/>
      <c r="T1144" t="s">
        <v>2165</v>
      </c>
      <c r="U1144" t="s">
        <v>137</v>
      </c>
      <c r="V1144" t="s">
        <v>407</v>
      </c>
      <c r="W1144"/>
      <c r="X1144" t="s">
        <v>77</v>
      </c>
      <c r="Y1144"/>
      <c r="Z1144"/>
      <c r="AA1144" t="s">
        <v>2163</v>
      </c>
      <c r="AB1144" t="s">
        <v>2</v>
      </c>
      <c r="AC1144" t="s">
        <v>138</v>
      </c>
      <c r="AD1144" t="s">
        <v>128</v>
      </c>
      <c r="AE1144" s="97"/>
    </row>
    <row r="1145" spans="1:31" ht="14.4" customHeight="1" x14ac:dyDescent="0.3">
      <c r="A1145" t="s">
        <v>2993</v>
      </c>
      <c r="B1145" t="s">
        <v>2994</v>
      </c>
      <c r="C1145"/>
      <c r="D1145"/>
      <c r="E1145"/>
      <c r="F1145"/>
      <c r="G1145" t="s">
        <v>2162</v>
      </c>
      <c r="H1145" t="s">
        <v>132</v>
      </c>
      <c r="I1145" t="s">
        <v>2</v>
      </c>
      <c r="J1145" t="s">
        <v>133</v>
      </c>
      <c r="K1145" t="s">
        <v>52</v>
      </c>
      <c r="L1145" t="s">
        <v>2988</v>
      </c>
      <c r="M1145" t="s">
        <v>134</v>
      </c>
      <c r="N1145" t="s">
        <v>135</v>
      </c>
      <c r="O1145"/>
      <c r="P1145"/>
      <c r="Q1145" t="s">
        <v>168</v>
      </c>
      <c r="R1145"/>
      <c r="S1145"/>
      <c r="T1145" t="s">
        <v>2165</v>
      </c>
      <c r="U1145" t="s">
        <v>137</v>
      </c>
      <c r="V1145" t="s">
        <v>407</v>
      </c>
      <c r="W1145"/>
      <c r="X1145" t="s">
        <v>77</v>
      </c>
      <c r="Y1145"/>
      <c r="Z1145"/>
      <c r="AA1145" t="s">
        <v>2163</v>
      </c>
      <c r="AB1145" t="s">
        <v>2</v>
      </c>
      <c r="AC1145" t="s">
        <v>138</v>
      </c>
      <c r="AD1145" t="s">
        <v>128</v>
      </c>
      <c r="AE1145" s="97"/>
    </row>
    <row r="1146" spans="1:31" ht="14.4" customHeight="1" x14ac:dyDescent="0.3">
      <c r="A1146" t="s">
        <v>2995</v>
      </c>
      <c r="B1146" t="s">
        <v>2996</v>
      </c>
      <c r="C1146"/>
      <c r="D1146"/>
      <c r="E1146"/>
      <c r="F1146"/>
      <c r="G1146" t="s">
        <v>2162</v>
      </c>
      <c r="H1146" t="s">
        <v>132</v>
      </c>
      <c r="I1146" t="s">
        <v>2</v>
      </c>
      <c r="J1146" t="s">
        <v>133</v>
      </c>
      <c r="K1146" t="s">
        <v>52</v>
      </c>
      <c r="L1146" t="s">
        <v>2997</v>
      </c>
      <c r="M1146" t="s">
        <v>134</v>
      </c>
      <c r="N1146" t="s">
        <v>135</v>
      </c>
      <c r="O1146"/>
      <c r="P1146"/>
      <c r="Q1146" t="s">
        <v>168</v>
      </c>
      <c r="R1146"/>
      <c r="S1146"/>
      <c r="T1146" t="s">
        <v>2165</v>
      </c>
      <c r="U1146" t="s">
        <v>137</v>
      </c>
      <c r="V1146" t="s">
        <v>411</v>
      </c>
      <c r="W1146"/>
      <c r="X1146" t="s">
        <v>87</v>
      </c>
      <c r="Y1146"/>
      <c r="Z1146"/>
      <c r="AA1146" t="s">
        <v>2163</v>
      </c>
      <c r="AB1146" t="s">
        <v>2</v>
      </c>
      <c r="AC1146" t="s">
        <v>138</v>
      </c>
      <c r="AD1146" t="s">
        <v>129</v>
      </c>
      <c r="AE1146" s="97"/>
    </row>
    <row r="1147" spans="1:31" ht="14.4" customHeight="1" x14ac:dyDescent="0.3">
      <c r="A1147" t="s">
        <v>2998</v>
      </c>
      <c r="B1147" t="s">
        <v>2999</v>
      </c>
      <c r="C1147"/>
      <c r="D1147"/>
      <c r="E1147"/>
      <c r="F1147"/>
      <c r="G1147" t="s">
        <v>2162</v>
      </c>
      <c r="H1147" t="s">
        <v>132</v>
      </c>
      <c r="I1147" t="s">
        <v>2</v>
      </c>
      <c r="J1147" t="s">
        <v>133</v>
      </c>
      <c r="K1147" t="s">
        <v>52</v>
      </c>
      <c r="L1147" t="s">
        <v>2997</v>
      </c>
      <c r="M1147" t="s">
        <v>134</v>
      </c>
      <c r="N1147" t="s">
        <v>135</v>
      </c>
      <c r="O1147"/>
      <c r="P1147"/>
      <c r="Q1147" t="s">
        <v>168</v>
      </c>
      <c r="R1147"/>
      <c r="S1147"/>
      <c r="T1147" t="s">
        <v>2165</v>
      </c>
      <c r="U1147" t="s">
        <v>137</v>
      </c>
      <c r="V1147" t="s">
        <v>411</v>
      </c>
      <c r="W1147"/>
      <c r="X1147" t="s">
        <v>87</v>
      </c>
      <c r="Y1147"/>
      <c r="Z1147"/>
      <c r="AA1147" t="s">
        <v>2163</v>
      </c>
      <c r="AB1147" t="s">
        <v>2</v>
      </c>
      <c r="AC1147" t="s">
        <v>138</v>
      </c>
      <c r="AD1147" t="s">
        <v>129</v>
      </c>
      <c r="AE1147" s="97"/>
    </row>
    <row r="1148" spans="1:31" ht="14.4" customHeight="1" x14ac:dyDescent="0.3">
      <c r="A1148" t="s">
        <v>3000</v>
      </c>
      <c r="B1148" t="s">
        <v>3001</v>
      </c>
      <c r="C1148"/>
      <c r="D1148"/>
      <c r="E1148"/>
      <c r="F1148"/>
      <c r="G1148" t="s">
        <v>2162</v>
      </c>
      <c r="H1148" t="s">
        <v>132</v>
      </c>
      <c r="I1148" t="s">
        <v>2</v>
      </c>
      <c r="J1148" t="s">
        <v>133</v>
      </c>
      <c r="K1148" t="s">
        <v>52</v>
      </c>
      <c r="L1148" t="s">
        <v>2997</v>
      </c>
      <c r="M1148" t="s">
        <v>134</v>
      </c>
      <c r="N1148" t="s">
        <v>135</v>
      </c>
      <c r="O1148"/>
      <c r="P1148"/>
      <c r="Q1148" t="s">
        <v>168</v>
      </c>
      <c r="R1148"/>
      <c r="S1148"/>
      <c r="T1148" t="s">
        <v>2165</v>
      </c>
      <c r="U1148" t="s">
        <v>137</v>
      </c>
      <c r="V1148" t="s">
        <v>411</v>
      </c>
      <c r="W1148"/>
      <c r="X1148" t="s">
        <v>87</v>
      </c>
      <c r="Y1148"/>
      <c r="Z1148"/>
      <c r="AA1148" t="s">
        <v>2163</v>
      </c>
      <c r="AB1148" t="s">
        <v>2</v>
      </c>
      <c r="AC1148" t="s">
        <v>138</v>
      </c>
      <c r="AD1148" t="s">
        <v>129</v>
      </c>
      <c r="AE1148" s="97"/>
    </row>
    <row r="1149" spans="1:31" ht="14.4" customHeight="1" x14ac:dyDescent="0.3">
      <c r="A1149" t="s">
        <v>3002</v>
      </c>
      <c r="B1149" t="s">
        <v>3003</v>
      </c>
      <c r="C1149"/>
      <c r="D1149"/>
      <c r="E1149"/>
      <c r="F1149"/>
      <c r="G1149" t="s">
        <v>2162</v>
      </c>
      <c r="H1149" t="s">
        <v>132</v>
      </c>
      <c r="I1149" t="s">
        <v>2</v>
      </c>
      <c r="J1149" t="s">
        <v>133</v>
      </c>
      <c r="K1149" t="s">
        <v>52</v>
      </c>
      <c r="L1149" t="s">
        <v>2997</v>
      </c>
      <c r="M1149" t="s">
        <v>134</v>
      </c>
      <c r="N1149" t="s">
        <v>135</v>
      </c>
      <c r="O1149"/>
      <c r="P1149"/>
      <c r="Q1149" t="s">
        <v>168</v>
      </c>
      <c r="R1149"/>
      <c r="S1149"/>
      <c r="T1149" t="s">
        <v>2165</v>
      </c>
      <c r="U1149" t="s">
        <v>137</v>
      </c>
      <c r="V1149" t="s">
        <v>411</v>
      </c>
      <c r="W1149"/>
      <c r="X1149" t="s">
        <v>87</v>
      </c>
      <c r="Y1149"/>
      <c r="Z1149"/>
      <c r="AA1149" t="s">
        <v>2163</v>
      </c>
      <c r="AB1149" t="s">
        <v>2</v>
      </c>
      <c r="AC1149" t="s">
        <v>138</v>
      </c>
      <c r="AD1149" t="s">
        <v>129</v>
      </c>
      <c r="AE1149" s="97"/>
    </row>
    <row r="1150" spans="1:31" ht="14.4" customHeight="1" x14ac:dyDescent="0.3">
      <c r="A1150" t="s">
        <v>3004</v>
      </c>
      <c r="B1150" t="s">
        <v>3005</v>
      </c>
      <c r="C1150"/>
      <c r="D1150"/>
      <c r="E1150"/>
      <c r="F1150"/>
      <c r="G1150" t="s">
        <v>2162</v>
      </c>
      <c r="H1150" t="s">
        <v>132</v>
      </c>
      <c r="I1150" t="s">
        <v>2</v>
      </c>
      <c r="J1150" t="s">
        <v>133</v>
      </c>
      <c r="K1150" t="s">
        <v>52</v>
      </c>
      <c r="L1150" t="s">
        <v>3006</v>
      </c>
      <c r="M1150" t="s">
        <v>134</v>
      </c>
      <c r="N1150" t="s">
        <v>135</v>
      </c>
      <c r="O1150"/>
      <c r="P1150"/>
      <c r="Q1150" t="s">
        <v>168</v>
      </c>
      <c r="R1150"/>
      <c r="S1150"/>
      <c r="T1150" t="s">
        <v>2165</v>
      </c>
      <c r="U1150" t="s">
        <v>137</v>
      </c>
      <c r="V1150" t="s">
        <v>415</v>
      </c>
      <c r="W1150"/>
      <c r="X1150" t="s">
        <v>96</v>
      </c>
      <c r="Y1150"/>
      <c r="Z1150"/>
      <c r="AA1150" t="s">
        <v>2163</v>
      </c>
      <c r="AB1150" t="s">
        <v>2</v>
      </c>
      <c r="AC1150" t="s">
        <v>138</v>
      </c>
      <c r="AD1150" t="s">
        <v>129</v>
      </c>
      <c r="AE1150" s="97"/>
    </row>
    <row r="1151" spans="1:31" ht="14.4" customHeight="1" x14ac:dyDescent="0.3">
      <c r="A1151" t="s">
        <v>3007</v>
      </c>
      <c r="B1151" t="s">
        <v>3008</v>
      </c>
      <c r="C1151"/>
      <c r="D1151"/>
      <c r="E1151"/>
      <c r="F1151"/>
      <c r="G1151" t="s">
        <v>2162</v>
      </c>
      <c r="H1151" t="s">
        <v>132</v>
      </c>
      <c r="I1151" t="s">
        <v>2</v>
      </c>
      <c r="J1151" t="s">
        <v>133</v>
      </c>
      <c r="K1151" t="s">
        <v>52</v>
      </c>
      <c r="L1151" t="s">
        <v>3006</v>
      </c>
      <c r="M1151" t="s">
        <v>134</v>
      </c>
      <c r="N1151" t="s">
        <v>135</v>
      </c>
      <c r="O1151"/>
      <c r="P1151"/>
      <c r="Q1151" t="s">
        <v>168</v>
      </c>
      <c r="R1151"/>
      <c r="S1151"/>
      <c r="T1151" t="s">
        <v>2165</v>
      </c>
      <c r="U1151" t="s">
        <v>137</v>
      </c>
      <c r="V1151" t="s">
        <v>415</v>
      </c>
      <c r="W1151"/>
      <c r="X1151" t="s">
        <v>96</v>
      </c>
      <c r="Y1151"/>
      <c r="Z1151"/>
      <c r="AA1151" t="s">
        <v>2163</v>
      </c>
      <c r="AB1151" t="s">
        <v>2</v>
      </c>
      <c r="AC1151" t="s">
        <v>138</v>
      </c>
      <c r="AD1151" t="s">
        <v>129</v>
      </c>
      <c r="AE1151" s="97"/>
    </row>
    <row r="1152" spans="1:31" ht="14.4" customHeight="1" x14ac:dyDescent="0.3">
      <c r="A1152" t="s">
        <v>3009</v>
      </c>
      <c r="B1152" t="s">
        <v>3010</v>
      </c>
      <c r="C1152"/>
      <c r="D1152"/>
      <c r="E1152"/>
      <c r="F1152"/>
      <c r="G1152" t="s">
        <v>2162</v>
      </c>
      <c r="H1152" t="s">
        <v>132</v>
      </c>
      <c r="I1152" t="s">
        <v>2</v>
      </c>
      <c r="J1152" t="s">
        <v>133</v>
      </c>
      <c r="K1152" t="s">
        <v>52</v>
      </c>
      <c r="L1152" t="s">
        <v>3006</v>
      </c>
      <c r="M1152" t="s">
        <v>134</v>
      </c>
      <c r="N1152" t="s">
        <v>135</v>
      </c>
      <c r="O1152"/>
      <c r="P1152"/>
      <c r="Q1152" t="s">
        <v>168</v>
      </c>
      <c r="R1152"/>
      <c r="S1152"/>
      <c r="T1152" t="s">
        <v>2165</v>
      </c>
      <c r="U1152" t="s">
        <v>137</v>
      </c>
      <c r="V1152" t="s">
        <v>415</v>
      </c>
      <c r="W1152"/>
      <c r="X1152" t="s">
        <v>96</v>
      </c>
      <c r="Y1152"/>
      <c r="Z1152"/>
      <c r="AA1152" t="s">
        <v>2163</v>
      </c>
      <c r="AB1152" t="s">
        <v>2</v>
      </c>
      <c r="AC1152" t="s">
        <v>138</v>
      </c>
      <c r="AD1152" t="s">
        <v>129</v>
      </c>
      <c r="AE1152" s="97"/>
    </row>
    <row r="1153" spans="1:31" ht="14.4" customHeight="1" x14ac:dyDescent="0.3">
      <c r="A1153" t="s">
        <v>3011</v>
      </c>
      <c r="B1153" t="s">
        <v>3012</v>
      </c>
      <c r="C1153"/>
      <c r="D1153"/>
      <c r="E1153"/>
      <c r="F1153"/>
      <c r="G1153" t="s">
        <v>2162</v>
      </c>
      <c r="H1153" t="s">
        <v>132</v>
      </c>
      <c r="I1153" t="s">
        <v>2</v>
      </c>
      <c r="J1153" t="s">
        <v>133</v>
      </c>
      <c r="K1153" t="s">
        <v>52</v>
      </c>
      <c r="L1153" t="s">
        <v>3006</v>
      </c>
      <c r="M1153" t="s">
        <v>134</v>
      </c>
      <c r="N1153" t="s">
        <v>135</v>
      </c>
      <c r="O1153"/>
      <c r="P1153"/>
      <c r="Q1153" t="s">
        <v>168</v>
      </c>
      <c r="R1153"/>
      <c r="S1153"/>
      <c r="T1153" t="s">
        <v>2165</v>
      </c>
      <c r="U1153" t="s">
        <v>137</v>
      </c>
      <c r="V1153" t="s">
        <v>415</v>
      </c>
      <c r="W1153"/>
      <c r="X1153" t="s">
        <v>96</v>
      </c>
      <c r="Y1153"/>
      <c r="Z1153"/>
      <c r="AA1153" t="s">
        <v>2163</v>
      </c>
      <c r="AB1153" t="s">
        <v>2</v>
      </c>
      <c r="AC1153" t="s">
        <v>138</v>
      </c>
      <c r="AD1153" t="s">
        <v>129</v>
      </c>
      <c r="AE1153" s="97"/>
    </row>
    <row r="1154" spans="1:31" ht="14.4" customHeight="1" x14ac:dyDescent="0.3">
      <c r="A1154" t="s">
        <v>3013</v>
      </c>
      <c r="B1154" t="s">
        <v>3014</v>
      </c>
      <c r="C1154"/>
      <c r="D1154"/>
      <c r="E1154"/>
      <c r="F1154"/>
      <c r="G1154" t="s">
        <v>2162</v>
      </c>
      <c r="H1154" t="s">
        <v>132</v>
      </c>
      <c r="I1154" t="s">
        <v>2</v>
      </c>
      <c r="J1154" t="s">
        <v>133</v>
      </c>
      <c r="K1154" t="s">
        <v>52</v>
      </c>
      <c r="L1154" t="s">
        <v>3015</v>
      </c>
      <c r="M1154" t="s">
        <v>134</v>
      </c>
      <c r="N1154" t="s">
        <v>135</v>
      </c>
      <c r="O1154"/>
      <c r="P1154"/>
      <c r="Q1154" t="s">
        <v>168</v>
      </c>
      <c r="R1154"/>
      <c r="S1154"/>
      <c r="T1154" t="s">
        <v>2165</v>
      </c>
      <c r="U1154" t="s">
        <v>137</v>
      </c>
      <c r="V1154" t="s">
        <v>419</v>
      </c>
      <c r="W1154"/>
      <c r="X1154" t="s">
        <v>105</v>
      </c>
      <c r="Y1154"/>
      <c r="Z1154"/>
      <c r="AA1154" t="s">
        <v>2163</v>
      </c>
      <c r="AB1154" t="s">
        <v>2</v>
      </c>
      <c r="AC1154" t="s">
        <v>138</v>
      </c>
      <c r="AD1154" t="s">
        <v>129</v>
      </c>
      <c r="AE1154" s="97"/>
    </row>
    <row r="1155" spans="1:31" ht="14.4" customHeight="1" x14ac:dyDescent="0.3">
      <c r="A1155" t="s">
        <v>3016</v>
      </c>
      <c r="B1155" t="s">
        <v>3017</v>
      </c>
      <c r="C1155"/>
      <c r="D1155"/>
      <c r="E1155"/>
      <c r="F1155"/>
      <c r="G1155" t="s">
        <v>2162</v>
      </c>
      <c r="H1155" t="s">
        <v>132</v>
      </c>
      <c r="I1155" t="s">
        <v>2</v>
      </c>
      <c r="J1155" t="s">
        <v>133</v>
      </c>
      <c r="K1155" t="s">
        <v>52</v>
      </c>
      <c r="L1155" t="s">
        <v>3015</v>
      </c>
      <c r="M1155" t="s">
        <v>134</v>
      </c>
      <c r="N1155" t="s">
        <v>135</v>
      </c>
      <c r="O1155"/>
      <c r="P1155"/>
      <c r="Q1155" t="s">
        <v>168</v>
      </c>
      <c r="R1155"/>
      <c r="S1155"/>
      <c r="T1155" t="s">
        <v>2165</v>
      </c>
      <c r="U1155" t="s">
        <v>137</v>
      </c>
      <c r="V1155" t="s">
        <v>419</v>
      </c>
      <c r="W1155"/>
      <c r="X1155" t="s">
        <v>105</v>
      </c>
      <c r="Y1155"/>
      <c r="Z1155"/>
      <c r="AA1155" t="s">
        <v>2163</v>
      </c>
      <c r="AB1155" t="s">
        <v>2</v>
      </c>
      <c r="AC1155" t="s">
        <v>138</v>
      </c>
      <c r="AD1155" t="s">
        <v>129</v>
      </c>
      <c r="AE1155" s="97"/>
    </row>
    <row r="1156" spans="1:31" ht="14.4" customHeight="1" x14ac:dyDescent="0.3">
      <c r="A1156" t="s">
        <v>3018</v>
      </c>
      <c r="B1156" t="s">
        <v>3019</v>
      </c>
      <c r="C1156"/>
      <c r="D1156"/>
      <c r="E1156"/>
      <c r="F1156"/>
      <c r="G1156" t="s">
        <v>2162</v>
      </c>
      <c r="H1156" t="s">
        <v>132</v>
      </c>
      <c r="I1156" t="s">
        <v>2</v>
      </c>
      <c r="J1156" t="s">
        <v>133</v>
      </c>
      <c r="K1156" t="s">
        <v>52</v>
      </c>
      <c r="L1156" t="s">
        <v>3015</v>
      </c>
      <c r="M1156" t="s">
        <v>134</v>
      </c>
      <c r="N1156" t="s">
        <v>135</v>
      </c>
      <c r="O1156"/>
      <c r="P1156"/>
      <c r="Q1156" t="s">
        <v>168</v>
      </c>
      <c r="R1156"/>
      <c r="S1156"/>
      <c r="T1156" t="s">
        <v>2165</v>
      </c>
      <c r="U1156" t="s">
        <v>137</v>
      </c>
      <c r="V1156" t="s">
        <v>419</v>
      </c>
      <c r="W1156"/>
      <c r="X1156" t="s">
        <v>105</v>
      </c>
      <c r="Y1156"/>
      <c r="Z1156"/>
      <c r="AA1156" t="s">
        <v>2163</v>
      </c>
      <c r="AB1156" t="s">
        <v>2</v>
      </c>
      <c r="AC1156" t="s">
        <v>138</v>
      </c>
      <c r="AD1156" t="s">
        <v>129</v>
      </c>
      <c r="AE1156" s="97"/>
    </row>
    <row r="1157" spans="1:31" ht="14.4" customHeight="1" x14ac:dyDescent="0.3">
      <c r="A1157" t="s">
        <v>3020</v>
      </c>
      <c r="B1157" t="s">
        <v>3021</v>
      </c>
      <c r="C1157"/>
      <c r="D1157"/>
      <c r="E1157"/>
      <c r="F1157"/>
      <c r="G1157" t="s">
        <v>2162</v>
      </c>
      <c r="H1157" t="s">
        <v>132</v>
      </c>
      <c r="I1157" t="s">
        <v>2</v>
      </c>
      <c r="J1157" t="s">
        <v>133</v>
      </c>
      <c r="K1157" t="s">
        <v>52</v>
      </c>
      <c r="L1157" t="s">
        <v>3015</v>
      </c>
      <c r="M1157" t="s">
        <v>134</v>
      </c>
      <c r="N1157" t="s">
        <v>135</v>
      </c>
      <c r="O1157"/>
      <c r="P1157"/>
      <c r="Q1157" t="s">
        <v>168</v>
      </c>
      <c r="R1157"/>
      <c r="S1157"/>
      <c r="T1157" t="s">
        <v>2165</v>
      </c>
      <c r="U1157" t="s">
        <v>137</v>
      </c>
      <c r="V1157" t="s">
        <v>419</v>
      </c>
      <c r="W1157"/>
      <c r="X1157" t="s">
        <v>105</v>
      </c>
      <c r="Y1157"/>
      <c r="Z1157"/>
      <c r="AA1157" t="s">
        <v>2163</v>
      </c>
      <c r="AB1157" t="s">
        <v>2</v>
      </c>
      <c r="AC1157" t="s">
        <v>138</v>
      </c>
      <c r="AD1157" t="s">
        <v>129</v>
      </c>
      <c r="AE1157" s="97"/>
    </row>
    <row r="1158" spans="1:31" ht="14.4" customHeight="1" x14ac:dyDescent="0.3">
      <c r="A1158" t="s">
        <v>3022</v>
      </c>
      <c r="B1158" t="s">
        <v>3023</v>
      </c>
      <c r="C1158"/>
      <c r="D1158"/>
      <c r="E1158"/>
      <c r="F1158"/>
      <c r="G1158" t="s">
        <v>2162</v>
      </c>
      <c r="H1158" t="s">
        <v>132</v>
      </c>
      <c r="I1158" t="s">
        <v>2</v>
      </c>
      <c r="J1158" t="s">
        <v>133</v>
      </c>
      <c r="K1158" t="s">
        <v>52</v>
      </c>
      <c r="L1158" t="s">
        <v>3024</v>
      </c>
      <c r="M1158" t="s">
        <v>134</v>
      </c>
      <c r="N1158" t="s">
        <v>135</v>
      </c>
      <c r="O1158"/>
      <c r="P1158"/>
      <c r="Q1158" t="s">
        <v>168</v>
      </c>
      <c r="R1158"/>
      <c r="S1158"/>
      <c r="T1158" t="s">
        <v>2165</v>
      </c>
      <c r="U1158" t="s">
        <v>137</v>
      </c>
      <c r="V1158" t="s">
        <v>423</v>
      </c>
      <c r="W1158"/>
      <c r="X1158" t="s">
        <v>112</v>
      </c>
      <c r="Y1158"/>
      <c r="Z1158"/>
      <c r="AA1158" t="s">
        <v>2163</v>
      </c>
      <c r="AB1158" t="s">
        <v>2</v>
      </c>
      <c r="AC1158" t="s">
        <v>138</v>
      </c>
      <c r="AD1158" t="s">
        <v>129</v>
      </c>
      <c r="AE1158" s="97"/>
    </row>
    <row r="1159" spans="1:31" ht="14.4" customHeight="1" x14ac:dyDescent="0.3">
      <c r="A1159" t="s">
        <v>3025</v>
      </c>
      <c r="B1159" t="s">
        <v>3026</v>
      </c>
      <c r="C1159"/>
      <c r="D1159"/>
      <c r="E1159"/>
      <c r="F1159"/>
      <c r="G1159" t="s">
        <v>2162</v>
      </c>
      <c r="H1159" t="s">
        <v>132</v>
      </c>
      <c r="I1159" t="s">
        <v>2</v>
      </c>
      <c r="J1159" t="s">
        <v>133</v>
      </c>
      <c r="K1159" t="s">
        <v>52</v>
      </c>
      <c r="L1159" t="s">
        <v>3024</v>
      </c>
      <c r="M1159" t="s">
        <v>134</v>
      </c>
      <c r="N1159" t="s">
        <v>135</v>
      </c>
      <c r="O1159"/>
      <c r="P1159"/>
      <c r="Q1159" t="s">
        <v>168</v>
      </c>
      <c r="R1159"/>
      <c r="S1159"/>
      <c r="T1159" t="s">
        <v>2165</v>
      </c>
      <c r="U1159" t="s">
        <v>137</v>
      </c>
      <c r="V1159" t="s">
        <v>423</v>
      </c>
      <c r="W1159"/>
      <c r="X1159" t="s">
        <v>112</v>
      </c>
      <c r="Y1159"/>
      <c r="Z1159"/>
      <c r="AA1159" t="s">
        <v>2163</v>
      </c>
      <c r="AB1159" t="s">
        <v>2</v>
      </c>
      <c r="AC1159" t="s">
        <v>138</v>
      </c>
      <c r="AD1159" t="s">
        <v>129</v>
      </c>
      <c r="AE1159" s="97"/>
    </row>
    <row r="1160" spans="1:31" ht="14.4" customHeight="1" x14ac:dyDescent="0.3">
      <c r="A1160" t="s">
        <v>3027</v>
      </c>
      <c r="B1160" t="s">
        <v>3028</v>
      </c>
      <c r="C1160"/>
      <c r="D1160"/>
      <c r="E1160"/>
      <c r="F1160"/>
      <c r="G1160" t="s">
        <v>2162</v>
      </c>
      <c r="H1160" t="s">
        <v>132</v>
      </c>
      <c r="I1160" t="s">
        <v>2</v>
      </c>
      <c r="J1160" t="s">
        <v>133</v>
      </c>
      <c r="K1160" t="s">
        <v>52</v>
      </c>
      <c r="L1160" t="s">
        <v>3024</v>
      </c>
      <c r="M1160" t="s">
        <v>134</v>
      </c>
      <c r="N1160" t="s">
        <v>135</v>
      </c>
      <c r="O1160"/>
      <c r="P1160"/>
      <c r="Q1160" t="s">
        <v>168</v>
      </c>
      <c r="R1160"/>
      <c r="S1160"/>
      <c r="T1160" t="s">
        <v>2165</v>
      </c>
      <c r="U1160" t="s">
        <v>137</v>
      </c>
      <c r="V1160" t="s">
        <v>423</v>
      </c>
      <c r="W1160"/>
      <c r="X1160" t="s">
        <v>112</v>
      </c>
      <c r="Y1160"/>
      <c r="Z1160"/>
      <c r="AA1160" t="s">
        <v>2163</v>
      </c>
      <c r="AB1160" t="s">
        <v>2</v>
      </c>
      <c r="AC1160" t="s">
        <v>138</v>
      </c>
      <c r="AD1160" t="s">
        <v>129</v>
      </c>
      <c r="AE1160" s="97"/>
    </row>
    <row r="1161" spans="1:31" ht="14.4" customHeight="1" x14ac:dyDescent="0.3">
      <c r="A1161" t="s">
        <v>3029</v>
      </c>
      <c r="B1161" t="s">
        <v>3030</v>
      </c>
      <c r="C1161"/>
      <c r="D1161"/>
      <c r="E1161"/>
      <c r="F1161"/>
      <c r="G1161" t="s">
        <v>2162</v>
      </c>
      <c r="H1161" t="s">
        <v>132</v>
      </c>
      <c r="I1161" t="s">
        <v>2</v>
      </c>
      <c r="J1161" t="s">
        <v>133</v>
      </c>
      <c r="K1161" t="s">
        <v>52</v>
      </c>
      <c r="L1161" t="s">
        <v>3024</v>
      </c>
      <c r="M1161" t="s">
        <v>134</v>
      </c>
      <c r="N1161" t="s">
        <v>135</v>
      </c>
      <c r="O1161"/>
      <c r="P1161"/>
      <c r="Q1161" t="s">
        <v>168</v>
      </c>
      <c r="R1161"/>
      <c r="S1161"/>
      <c r="T1161" t="s">
        <v>2165</v>
      </c>
      <c r="U1161" t="s">
        <v>137</v>
      </c>
      <c r="V1161" t="s">
        <v>423</v>
      </c>
      <c r="W1161"/>
      <c r="X1161" t="s">
        <v>112</v>
      </c>
      <c r="Y1161"/>
      <c r="Z1161"/>
      <c r="AA1161" t="s">
        <v>2163</v>
      </c>
      <c r="AB1161" t="s">
        <v>2</v>
      </c>
      <c r="AC1161" t="s">
        <v>138</v>
      </c>
      <c r="AD1161" t="s">
        <v>129</v>
      </c>
      <c r="AE1161" s="97"/>
    </row>
    <row r="1162" spans="1:31" ht="14.4" customHeight="1" x14ac:dyDescent="0.3">
      <c r="A1162" t="s">
        <v>3031</v>
      </c>
      <c r="B1162" t="s">
        <v>3032</v>
      </c>
      <c r="C1162"/>
      <c r="D1162"/>
      <c r="E1162"/>
      <c r="F1162"/>
      <c r="G1162" t="s">
        <v>2162</v>
      </c>
      <c r="H1162" t="s">
        <v>132</v>
      </c>
      <c r="I1162" t="s">
        <v>2</v>
      </c>
      <c r="J1162" t="s">
        <v>133</v>
      </c>
      <c r="K1162" t="s">
        <v>52</v>
      </c>
      <c r="L1162" t="s">
        <v>3033</v>
      </c>
      <c r="M1162" t="s">
        <v>134</v>
      </c>
      <c r="N1162" t="s">
        <v>135</v>
      </c>
      <c r="O1162"/>
      <c r="P1162"/>
      <c r="Q1162" t="s">
        <v>168</v>
      </c>
      <c r="R1162"/>
      <c r="S1162"/>
      <c r="T1162" t="s">
        <v>2165</v>
      </c>
      <c r="U1162" t="s">
        <v>137</v>
      </c>
      <c r="V1162" t="s">
        <v>427</v>
      </c>
      <c r="W1162"/>
      <c r="X1162" t="s">
        <v>121</v>
      </c>
      <c r="Y1162"/>
      <c r="Z1162"/>
      <c r="AA1162" t="s">
        <v>2163</v>
      </c>
      <c r="AB1162" t="s">
        <v>2</v>
      </c>
      <c r="AC1162" t="s">
        <v>138</v>
      </c>
      <c r="AD1162" t="s">
        <v>130</v>
      </c>
      <c r="AE1162" s="97"/>
    </row>
    <row r="1163" spans="1:31" ht="14.4" customHeight="1" x14ac:dyDescent="0.3">
      <c r="A1163" t="s">
        <v>3034</v>
      </c>
      <c r="B1163" t="s">
        <v>3035</v>
      </c>
      <c r="C1163"/>
      <c r="D1163"/>
      <c r="E1163"/>
      <c r="F1163"/>
      <c r="G1163" t="s">
        <v>2162</v>
      </c>
      <c r="H1163" t="s">
        <v>132</v>
      </c>
      <c r="I1163" t="s">
        <v>2</v>
      </c>
      <c r="J1163" t="s">
        <v>133</v>
      </c>
      <c r="K1163" t="s">
        <v>52</v>
      </c>
      <c r="L1163" t="s">
        <v>3033</v>
      </c>
      <c r="M1163" t="s">
        <v>134</v>
      </c>
      <c r="N1163" t="s">
        <v>135</v>
      </c>
      <c r="O1163"/>
      <c r="P1163"/>
      <c r="Q1163" t="s">
        <v>168</v>
      </c>
      <c r="R1163"/>
      <c r="S1163"/>
      <c r="T1163" t="s">
        <v>2165</v>
      </c>
      <c r="U1163" t="s">
        <v>137</v>
      </c>
      <c r="V1163" t="s">
        <v>427</v>
      </c>
      <c r="W1163"/>
      <c r="X1163" t="s">
        <v>121</v>
      </c>
      <c r="Y1163"/>
      <c r="Z1163"/>
      <c r="AA1163" t="s">
        <v>2163</v>
      </c>
      <c r="AB1163" t="s">
        <v>2</v>
      </c>
      <c r="AC1163" t="s">
        <v>138</v>
      </c>
      <c r="AD1163" t="s">
        <v>130</v>
      </c>
      <c r="AE1163" s="97"/>
    </row>
    <row r="1164" spans="1:31" ht="14.4" customHeight="1" x14ac:dyDescent="0.3">
      <c r="A1164" t="s">
        <v>3036</v>
      </c>
      <c r="B1164" t="s">
        <v>3037</v>
      </c>
      <c r="C1164"/>
      <c r="D1164"/>
      <c r="E1164"/>
      <c r="F1164"/>
      <c r="G1164" t="s">
        <v>2162</v>
      </c>
      <c r="H1164" t="s">
        <v>132</v>
      </c>
      <c r="I1164" t="s">
        <v>2</v>
      </c>
      <c r="J1164" t="s">
        <v>133</v>
      </c>
      <c r="K1164" t="s">
        <v>52</v>
      </c>
      <c r="L1164" t="s">
        <v>3033</v>
      </c>
      <c r="M1164" t="s">
        <v>134</v>
      </c>
      <c r="N1164" t="s">
        <v>135</v>
      </c>
      <c r="O1164"/>
      <c r="P1164"/>
      <c r="Q1164" t="s">
        <v>168</v>
      </c>
      <c r="R1164"/>
      <c r="S1164"/>
      <c r="T1164" t="s">
        <v>2165</v>
      </c>
      <c r="U1164" t="s">
        <v>137</v>
      </c>
      <c r="V1164" t="s">
        <v>427</v>
      </c>
      <c r="W1164"/>
      <c r="X1164" t="s">
        <v>121</v>
      </c>
      <c r="Y1164"/>
      <c r="Z1164"/>
      <c r="AA1164" t="s">
        <v>2163</v>
      </c>
      <c r="AB1164" t="s">
        <v>2</v>
      </c>
      <c r="AC1164" t="s">
        <v>138</v>
      </c>
      <c r="AD1164" t="s">
        <v>130</v>
      </c>
      <c r="AE1164" s="97"/>
    </row>
    <row r="1165" spans="1:31" ht="14.4" customHeight="1" x14ac:dyDescent="0.3">
      <c r="A1165" t="s">
        <v>3038</v>
      </c>
      <c r="B1165" t="s">
        <v>3039</v>
      </c>
      <c r="C1165"/>
      <c r="D1165"/>
      <c r="E1165"/>
      <c r="F1165"/>
      <c r="G1165" t="s">
        <v>2162</v>
      </c>
      <c r="H1165" t="s">
        <v>132</v>
      </c>
      <c r="I1165" t="s">
        <v>2</v>
      </c>
      <c r="J1165" t="s">
        <v>133</v>
      </c>
      <c r="K1165" t="s">
        <v>52</v>
      </c>
      <c r="L1165" t="s">
        <v>3033</v>
      </c>
      <c r="M1165" t="s">
        <v>134</v>
      </c>
      <c r="N1165" t="s">
        <v>135</v>
      </c>
      <c r="O1165"/>
      <c r="P1165"/>
      <c r="Q1165" t="s">
        <v>168</v>
      </c>
      <c r="R1165"/>
      <c r="S1165"/>
      <c r="T1165" t="s">
        <v>2165</v>
      </c>
      <c r="U1165" t="s">
        <v>137</v>
      </c>
      <c r="V1165" t="s">
        <v>427</v>
      </c>
      <c r="W1165"/>
      <c r="X1165" t="s">
        <v>121</v>
      </c>
      <c r="Y1165"/>
      <c r="Z1165"/>
      <c r="AA1165" t="s">
        <v>2163</v>
      </c>
      <c r="AB1165" t="s">
        <v>2</v>
      </c>
      <c r="AC1165" t="s">
        <v>138</v>
      </c>
      <c r="AD1165" t="s">
        <v>130</v>
      </c>
      <c r="AE1165" s="97"/>
    </row>
    <row r="1166" spans="1:31" ht="14.4" customHeight="1" x14ac:dyDescent="0.3">
      <c r="A1166" t="s">
        <v>3040</v>
      </c>
      <c r="B1166" t="s">
        <v>3041</v>
      </c>
      <c r="C1166"/>
      <c r="D1166"/>
      <c r="E1166"/>
      <c r="F1166"/>
      <c r="G1166" t="s">
        <v>2162</v>
      </c>
      <c r="H1166" t="s">
        <v>132</v>
      </c>
      <c r="I1166" t="s">
        <v>2</v>
      </c>
      <c r="J1166" t="s">
        <v>133</v>
      </c>
      <c r="K1166" t="s">
        <v>52</v>
      </c>
      <c r="L1166" t="s">
        <v>3042</v>
      </c>
      <c r="M1166" t="s">
        <v>134</v>
      </c>
      <c r="N1166" t="s">
        <v>135</v>
      </c>
      <c r="O1166"/>
      <c r="P1166"/>
      <c r="Q1166" t="s">
        <v>168</v>
      </c>
      <c r="R1166"/>
      <c r="S1166"/>
      <c r="T1166" t="s">
        <v>2165</v>
      </c>
      <c r="U1166" t="s">
        <v>137</v>
      </c>
      <c r="V1166" t="s">
        <v>296</v>
      </c>
      <c r="W1166"/>
      <c r="X1166" t="s">
        <v>63</v>
      </c>
      <c r="Y1166"/>
      <c r="Z1166"/>
      <c r="AA1166" t="s">
        <v>2163</v>
      </c>
      <c r="AB1166" t="s">
        <v>2</v>
      </c>
      <c r="AC1166" t="s">
        <v>138</v>
      </c>
      <c r="AD1166" t="s">
        <v>128</v>
      </c>
      <c r="AE1166" s="97"/>
    </row>
    <row r="1167" spans="1:31" ht="14.4" customHeight="1" x14ac:dyDescent="0.3">
      <c r="A1167" t="s">
        <v>3043</v>
      </c>
      <c r="B1167" t="s">
        <v>3044</v>
      </c>
      <c r="C1167"/>
      <c r="D1167"/>
      <c r="E1167"/>
      <c r="F1167"/>
      <c r="G1167" t="s">
        <v>2162</v>
      </c>
      <c r="H1167" t="s">
        <v>132</v>
      </c>
      <c r="I1167" t="s">
        <v>2</v>
      </c>
      <c r="J1167" t="s">
        <v>133</v>
      </c>
      <c r="K1167" t="s">
        <v>52</v>
      </c>
      <c r="L1167" t="s">
        <v>3042</v>
      </c>
      <c r="M1167" t="s">
        <v>134</v>
      </c>
      <c r="N1167" t="s">
        <v>135</v>
      </c>
      <c r="O1167"/>
      <c r="P1167"/>
      <c r="Q1167" t="s">
        <v>168</v>
      </c>
      <c r="R1167"/>
      <c r="S1167"/>
      <c r="T1167" t="s">
        <v>2165</v>
      </c>
      <c r="U1167" t="s">
        <v>137</v>
      </c>
      <c r="V1167" t="s">
        <v>296</v>
      </c>
      <c r="W1167"/>
      <c r="X1167" t="s">
        <v>63</v>
      </c>
      <c r="Y1167"/>
      <c r="Z1167"/>
      <c r="AA1167" t="s">
        <v>2163</v>
      </c>
      <c r="AB1167" t="s">
        <v>2</v>
      </c>
      <c r="AC1167" t="s">
        <v>138</v>
      </c>
      <c r="AD1167" t="s">
        <v>128</v>
      </c>
      <c r="AE1167" s="97"/>
    </row>
    <row r="1168" spans="1:31" ht="14.4" customHeight="1" x14ac:dyDescent="0.3">
      <c r="A1168" t="s">
        <v>3045</v>
      </c>
      <c r="B1168" t="s">
        <v>3046</v>
      </c>
      <c r="C1168"/>
      <c r="D1168"/>
      <c r="E1168"/>
      <c r="F1168"/>
      <c r="G1168" t="s">
        <v>2162</v>
      </c>
      <c r="H1168" t="s">
        <v>132</v>
      </c>
      <c r="I1168" t="s">
        <v>2</v>
      </c>
      <c r="J1168" t="s">
        <v>133</v>
      </c>
      <c r="K1168" t="s">
        <v>52</v>
      </c>
      <c r="L1168" t="s">
        <v>3042</v>
      </c>
      <c r="M1168" t="s">
        <v>134</v>
      </c>
      <c r="N1168" t="s">
        <v>135</v>
      </c>
      <c r="O1168"/>
      <c r="P1168"/>
      <c r="Q1168" t="s">
        <v>168</v>
      </c>
      <c r="R1168"/>
      <c r="S1168"/>
      <c r="T1168" t="s">
        <v>2165</v>
      </c>
      <c r="U1168" t="s">
        <v>137</v>
      </c>
      <c r="V1168" t="s">
        <v>296</v>
      </c>
      <c r="W1168"/>
      <c r="X1168" t="s">
        <v>63</v>
      </c>
      <c r="Y1168"/>
      <c r="Z1168"/>
      <c r="AA1168" t="s">
        <v>2163</v>
      </c>
      <c r="AB1168" t="s">
        <v>2</v>
      </c>
      <c r="AC1168" t="s">
        <v>138</v>
      </c>
      <c r="AD1168" t="s">
        <v>128</v>
      </c>
      <c r="AE1168" s="97"/>
    </row>
    <row r="1169" spans="1:31" ht="14.4" customHeight="1" x14ac:dyDescent="0.3">
      <c r="A1169" t="s">
        <v>3047</v>
      </c>
      <c r="B1169" t="s">
        <v>3048</v>
      </c>
      <c r="C1169"/>
      <c r="D1169"/>
      <c r="E1169"/>
      <c r="F1169"/>
      <c r="G1169" t="s">
        <v>2162</v>
      </c>
      <c r="H1169" t="s">
        <v>132</v>
      </c>
      <c r="I1169" t="s">
        <v>2</v>
      </c>
      <c r="J1169" t="s">
        <v>133</v>
      </c>
      <c r="K1169" t="s">
        <v>52</v>
      </c>
      <c r="L1169" t="s">
        <v>3042</v>
      </c>
      <c r="M1169" t="s">
        <v>134</v>
      </c>
      <c r="N1169" t="s">
        <v>135</v>
      </c>
      <c r="O1169"/>
      <c r="P1169"/>
      <c r="Q1169" t="s">
        <v>168</v>
      </c>
      <c r="R1169"/>
      <c r="S1169"/>
      <c r="T1169" t="s">
        <v>2165</v>
      </c>
      <c r="U1169" t="s">
        <v>137</v>
      </c>
      <c r="V1169" t="s">
        <v>296</v>
      </c>
      <c r="W1169"/>
      <c r="X1169" t="s">
        <v>63</v>
      </c>
      <c r="Y1169"/>
      <c r="Z1169"/>
      <c r="AA1169" t="s">
        <v>2163</v>
      </c>
      <c r="AB1169" t="s">
        <v>2</v>
      </c>
      <c r="AC1169" t="s">
        <v>138</v>
      </c>
      <c r="AD1169" t="s">
        <v>128</v>
      </c>
      <c r="AE1169" s="97"/>
    </row>
    <row r="1170" spans="1:31" ht="14.4" customHeight="1" x14ac:dyDescent="0.3">
      <c r="A1170" t="s">
        <v>3049</v>
      </c>
      <c r="B1170" t="s">
        <v>3050</v>
      </c>
      <c r="C1170"/>
      <c r="D1170"/>
      <c r="E1170"/>
      <c r="F1170"/>
      <c r="G1170" t="s">
        <v>2162</v>
      </c>
      <c r="H1170" t="s">
        <v>132</v>
      </c>
      <c r="I1170" t="s">
        <v>2</v>
      </c>
      <c r="J1170" t="s">
        <v>133</v>
      </c>
      <c r="K1170" t="s">
        <v>52</v>
      </c>
      <c r="L1170" t="s">
        <v>3042</v>
      </c>
      <c r="M1170" t="s">
        <v>134</v>
      </c>
      <c r="N1170" t="s">
        <v>135</v>
      </c>
      <c r="O1170"/>
      <c r="P1170"/>
      <c r="Q1170" t="s">
        <v>168</v>
      </c>
      <c r="R1170"/>
      <c r="S1170"/>
      <c r="T1170" t="s">
        <v>2165</v>
      </c>
      <c r="U1170" t="s">
        <v>137</v>
      </c>
      <c r="V1170" t="s">
        <v>296</v>
      </c>
      <c r="W1170"/>
      <c r="X1170" t="s">
        <v>63</v>
      </c>
      <c r="Y1170"/>
      <c r="Z1170"/>
      <c r="AA1170" t="s">
        <v>2163</v>
      </c>
      <c r="AB1170" t="s">
        <v>2</v>
      </c>
      <c r="AC1170" t="s">
        <v>138</v>
      </c>
      <c r="AD1170" t="s">
        <v>128</v>
      </c>
      <c r="AE1170" s="97"/>
    </row>
    <row r="1171" spans="1:31" ht="14.4" customHeight="1" x14ac:dyDescent="0.3">
      <c r="A1171" t="s">
        <v>3051</v>
      </c>
      <c r="B1171" t="s">
        <v>3052</v>
      </c>
      <c r="C1171"/>
      <c r="D1171"/>
      <c r="E1171"/>
      <c r="F1171"/>
      <c r="G1171" t="s">
        <v>2162</v>
      </c>
      <c r="H1171" t="s">
        <v>132</v>
      </c>
      <c r="I1171" t="s">
        <v>2</v>
      </c>
      <c r="J1171" t="s">
        <v>133</v>
      </c>
      <c r="K1171" t="s">
        <v>52</v>
      </c>
      <c r="L1171" t="s">
        <v>3042</v>
      </c>
      <c r="M1171" t="s">
        <v>134</v>
      </c>
      <c r="N1171" t="s">
        <v>135</v>
      </c>
      <c r="O1171"/>
      <c r="P1171"/>
      <c r="Q1171" t="s">
        <v>168</v>
      </c>
      <c r="R1171"/>
      <c r="S1171"/>
      <c r="T1171" t="s">
        <v>2165</v>
      </c>
      <c r="U1171" t="s">
        <v>137</v>
      </c>
      <c r="V1171" t="s">
        <v>296</v>
      </c>
      <c r="W1171"/>
      <c r="X1171" t="s">
        <v>63</v>
      </c>
      <c r="Y1171"/>
      <c r="Z1171"/>
      <c r="AA1171" t="s">
        <v>2163</v>
      </c>
      <c r="AB1171" t="s">
        <v>2</v>
      </c>
      <c r="AC1171" t="s">
        <v>138</v>
      </c>
      <c r="AD1171" t="s">
        <v>128</v>
      </c>
      <c r="AE1171" s="97"/>
    </row>
    <row r="1172" spans="1:31" ht="14.4" customHeight="1" x14ac:dyDescent="0.3">
      <c r="A1172" t="s">
        <v>3053</v>
      </c>
      <c r="B1172" t="s">
        <v>3054</v>
      </c>
      <c r="C1172"/>
      <c r="D1172"/>
      <c r="E1172"/>
      <c r="F1172"/>
      <c r="G1172" t="s">
        <v>2162</v>
      </c>
      <c r="H1172" t="s">
        <v>132</v>
      </c>
      <c r="I1172" t="s">
        <v>2</v>
      </c>
      <c r="J1172" t="s">
        <v>133</v>
      </c>
      <c r="K1172" t="s">
        <v>52</v>
      </c>
      <c r="L1172" t="s">
        <v>3055</v>
      </c>
      <c r="M1172" t="s">
        <v>134</v>
      </c>
      <c r="N1172" t="s">
        <v>135</v>
      </c>
      <c r="O1172"/>
      <c r="P1172"/>
      <c r="Q1172" t="s">
        <v>168</v>
      </c>
      <c r="R1172"/>
      <c r="S1172"/>
      <c r="T1172" t="s">
        <v>2165</v>
      </c>
      <c r="U1172" t="s">
        <v>137</v>
      </c>
      <c r="V1172" t="s">
        <v>300</v>
      </c>
      <c r="W1172"/>
      <c r="X1172" t="s">
        <v>72</v>
      </c>
      <c r="Y1172"/>
      <c r="Z1172"/>
      <c r="AA1172" t="s">
        <v>2163</v>
      </c>
      <c r="AB1172" t="s">
        <v>2</v>
      </c>
      <c r="AC1172" t="s">
        <v>138</v>
      </c>
      <c r="AD1172" t="s">
        <v>128</v>
      </c>
      <c r="AE1172" s="97"/>
    </row>
    <row r="1173" spans="1:31" ht="14.4" customHeight="1" x14ac:dyDescent="0.3">
      <c r="A1173" t="s">
        <v>3056</v>
      </c>
      <c r="B1173" t="s">
        <v>3057</v>
      </c>
      <c r="C1173"/>
      <c r="D1173"/>
      <c r="E1173"/>
      <c r="F1173"/>
      <c r="G1173" t="s">
        <v>2162</v>
      </c>
      <c r="H1173" t="s">
        <v>132</v>
      </c>
      <c r="I1173" t="s">
        <v>2</v>
      </c>
      <c r="J1173" t="s">
        <v>133</v>
      </c>
      <c r="K1173" t="s">
        <v>52</v>
      </c>
      <c r="L1173" t="s">
        <v>3055</v>
      </c>
      <c r="M1173" t="s">
        <v>134</v>
      </c>
      <c r="N1173" t="s">
        <v>135</v>
      </c>
      <c r="O1173"/>
      <c r="P1173"/>
      <c r="Q1173" t="s">
        <v>168</v>
      </c>
      <c r="R1173"/>
      <c r="S1173"/>
      <c r="T1173" t="s">
        <v>2165</v>
      </c>
      <c r="U1173" t="s">
        <v>137</v>
      </c>
      <c r="V1173" t="s">
        <v>300</v>
      </c>
      <c r="W1173"/>
      <c r="X1173" t="s">
        <v>72</v>
      </c>
      <c r="Y1173"/>
      <c r="Z1173"/>
      <c r="AA1173" t="s">
        <v>2163</v>
      </c>
      <c r="AB1173" t="s">
        <v>2</v>
      </c>
      <c r="AC1173" t="s">
        <v>138</v>
      </c>
      <c r="AD1173" t="s">
        <v>128</v>
      </c>
      <c r="AE1173" s="97"/>
    </row>
    <row r="1174" spans="1:31" ht="14.4" customHeight="1" x14ac:dyDescent="0.3">
      <c r="A1174" t="s">
        <v>3058</v>
      </c>
      <c r="B1174" t="s">
        <v>3059</v>
      </c>
      <c r="C1174"/>
      <c r="D1174"/>
      <c r="E1174"/>
      <c r="F1174"/>
      <c r="G1174" t="s">
        <v>2162</v>
      </c>
      <c r="H1174" t="s">
        <v>132</v>
      </c>
      <c r="I1174" t="s">
        <v>2</v>
      </c>
      <c r="J1174" t="s">
        <v>133</v>
      </c>
      <c r="K1174" t="s">
        <v>52</v>
      </c>
      <c r="L1174" t="s">
        <v>3055</v>
      </c>
      <c r="M1174" t="s">
        <v>134</v>
      </c>
      <c r="N1174" t="s">
        <v>135</v>
      </c>
      <c r="O1174"/>
      <c r="P1174"/>
      <c r="Q1174" t="s">
        <v>168</v>
      </c>
      <c r="R1174"/>
      <c r="S1174"/>
      <c r="T1174" t="s">
        <v>2165</v>
      </c>
      <c r="U1174" t="s">
        <v>137</v>
      </c>
      <c r="V1174" t="s">
        <v>300</v>
      </c>
      <c r="W1174"/>
      <c r="X1174" t="s">
        <v>72</v>
      </c>
      <c r="Y1174"/>
      <c r="Z1174"/>
      <c r="AA1174" t="s">
        <v>2163</v>
      </c>
      <c r="AB1174" t="s">
        <v>2</v>
      </c>
      <c r="AC1174" t="s">
        <v>138</v>
      </c>
      <c r="AD1174" t="s">
        <v>128</v>
      </c>
      <c r="AE1174" s="97"/>
    </row>
    <row r="1175" spans="1:31" ht="14.4" customHeight="1" x14ac:dyDescent="0.3">
      <c r="A1175" t="s">
        <v>3060</v>
      </c>
      <c r="B1175" t="s">
        <v>3061</v>
      </c>
      <c r="C1175"/>
      <c r="D1175"/>
      <c r="E1175"/>
      <c r="F1175"/>
      <c r="G1175" t="s">
        <v>2162</v>
      </c>
      <c r="H1175" t="s">
        <v>132</v>
      </c>
      <c r="I1175" t="s">
        <v>2</v>
      </c>
      <c r="J1175" t="s">
        <v>133</v>
      </c>
      <c r="K1175" t="s">
        <v>52</v>
      </c>
      <c r="L1175" t="s">
        <v>3055</v>
      </c>
      <c r="M1175" t="s">
        <v>134</v>
      </c>
      <c r="N1175" t="s">
        <v>135</v>
      </c>
      <c r="O1175"/>
      <c r="P1175"/>
      <c r="Q1175" t="s">
        <v>168</v>
      </c>
      <c r="R1175"/>
      <c r="S1175"/>
      <c r="T1175" t="s">
        <v>2165</v>
      </c>
      <c r="U1175" t="s">
        <v>137</v>
      </c>
      <c r="V1175" t="s">
        <v>300</v>
      </c>
      <c r="W1175"/>
      <c r="X1175" t="s">
        <v>72</v>
      </c>
      <c r="Y1175"/>
      <c r="Z1175"/>
      <c r="AA1175" t="s">
        <v>2163</v>
      </c>
      <c r="AB1175" t="s">
        <v>2</v>
      </c>
      <c r="AC1175" t="s">
        <v>138</v>
      </c>
      <c r="AD1175" t="s">
        <v>128</v>
      </c>
      <c r="AE1175" s="97"/>
    </row>
    <row r="1176" spans="1:31" ht="14.4" customHeight="1" x14ac:dyDescent="0.3">
      <c r="A1176" t="s">
        <v>3062</v>
      </c>
      <c r="B1176" t="s">
        <v>3063</v>
      </c>
      <c r="C1176"/>
      <c r="D1176"/>
      <c r="E1176"/>
      <c r="F1176"/>
      <c r="G1176" t="s">
        <v>2162</v>
      </c>
      <c r="H1176" t="s">
        <v>132</v>
      </c>
      <c r="I1176" t="s">
        <v>2</v>
      </c>
      <c r="J1176" t="s">
        <v>133</v>
      </c>
      <c r="K1176" t="s">
        <v>52</v>
      </c>
      <c r="L1176" t="s">
        <v>3055</v>
      </c>
      <c r="M1176" t="s">
        <v>134</v>
      </c>
      <c r="N1176" t="s">
        <v>135</v>
      </c>
      <c r="O1176"/>
      <c r="P1176"/>
      <c r="Q1176" t="s">
        <v>168</v>
      </c>
      <c r="R1176"/>
      <c r="S1176"/>
      <c r="T1176" t="s">
        <v>2165</v>
      </c>
      <c r="U1176" t="s">
        <v>137</v>
      </c>
      <c r="V1176" t="s">
        <v>300</v>
      </c>
      <c r="W1176"/>
      <c r="X1176" t="s">
        <v>72</v>
      </c>
      <c r="Y1176"/>
      <c r="Z1176"/>
      <c r="AA1176" t="s">
        <v>2163</v>
      </c>
      <c r="AB1176" t="s">
        <v>2</v>
      </c>
      <c r="AC1176" t="s">
        <v>138</v>
      </c>
      <c r="AD1176" t="s">
        <v>128</v>
      </c>
      <c r="AE1176" s="97"/>
    </row>
    <row r="1177" spans="1:31" ht="14.4" customHeight="1" x14ac:dyDescent="0.3">
      <c r="A1177" t="s">
        <v>3064</v>
      </c>
      <c r="B1177" t="s">
        <v>3065</v>
      </c>
      <c r="C1177"/>
      <c r="D1177"/>
      <c r="E1177"/>
      <c r="F1177"/>
      <c r="G1177" t="s">
        <v>2162</v>
      </c>
      <c r="H1177" t="s">
        <v>132</v>
      </c>
      <c r="I1177" t="s">
        <v>2</v>
      </c>
      <c r="J1177" t="s">
        <v>133</v>
      </c>
      <c r="K1177" t="s">
        <v>52</v>
      </c>
      <c r="L1177" t="s">
        <v>3055</v>
      </c>
      <c r="M1177" t="s">
        <v>134</v>
      </c>
      <c r="N1177" t="s">
        <v>135</v>
      </c>
      <c r="O1177"/>
      <c r="P1177"/>
      <c r="Q1177" t="s">
        <v>168</v>
      </c>
      <c r="R1177"/>
      <c r="S1177"/>
      <c r="T1177" t="s">
        <v>2165</v>
      </c>
      <c r="U1177" t="s">
        <v>137</v>
      </c>
      <c r="V1177" t="s">
        <v>300</v>
      </c>
      <c r="W1177"/>
      <c r="X1177" t="s">
        <v>72</v>
      </c>
      <c r="Y1177"/>
      <c r="Z1177"/>
      <c r="AA1177" t="s">
        <v>2163</v>
      </c>
      <c r="AB1177" t="s">
        <v>2</v>
      </c>
      <c r="AC1177" t="s">
        <v>138</v>
      </c>
      <c r="AD1177" t="s">
        <v>128</v>
      </c>
      <c r="AE1177" s="97"/>
    </row>
    <row r="1178" spans="1:31" ht="14.4" customHeight="1" x14ac:dyDescent="0.3">
      <c r="A1178" t="s">
        <v>3066</v>
      </c>
      <c r="B1178" t="s">
        <v>3067</v>
      </c>
      <c r="C1178"/>
      <c r="D1178"/>
      <c r="E1178"/>
      <c r="F1178"/>
      <c r="G1178" t="s">
        <v>2162</v>
      </c>
      <c r="H1178" t="s">
        <v>132</v>
      </c>
      <c r="I1178" t="s">
        <v>2</v>
      </c>
      <c r="J1178" t="s">
        <v>133</v>
      </c>
      <c r="K1178" t="s">
        <v>52</v>
      </c>
      <c r="L1178" t="s">
        <v>3068</v>
      </c>
      <c r="M1178" t="s">
        <v>134</v>
      </c>
      <c r="N1178" t="s">
        <v>135</v>
      </c>
      <c r="O1178"/>
      <c r="P1178"/>
      <c r="Q1178" t="s">
        <v>168</v>
      </c>
      <c r="R1178"/>
      <c r="S1178"/>
      <c r="T1178" t="s">
        <v>2165</v>
      </c>
      <c r="U1178" t="s">
        <v>137</v>
      </c>
      <c r="V1178" t="s">
        <v>304</v>
      </c>
      <c r="W1178"/>
      <c r="X1178" t="s">
        <v>81</v>
      </c>
      <c r="Y1178"/>
      <c r="Z1178"/>
      <c r="AA1178" t="s">
        <v>2163</v>
      </c>
      <c r="AB1178" t="s">
        <v>2</v>
      </c>
      <c r="AC1178" t="s">
        <v>138</v>
      </c>
      <c r="AD1178" t="s">
        <v>129</v>
      </c>
      <c r="AE1178" s="97"/>
    </row>
    <row r="1179" spans="1:31" ht="14.4" customHeight="1" x14ac:dyDescent="0.3">
      <c r="A1179" t="s">
        <v>3069</v>
      </c>
      <c r="B1179" t="s">
        <v>3070</v>
      </c>
      <c r="C1179"/>
      <c r="D1179"/>
      <c r="E1179"/>
      <c r="F1179"/>
      <c r="G1179" t="s">
        <v>2162</v>
      </c>
      <c r="H1179" t="s">
        <v>132</v>
      </c>
      <c r="I1179" t="s">
        <v>2</v>
      </c>
      <c r="J1179" t="s">
        <v>133</v>
      </c>
      <c r="K1179" t="s">
        <v>52</v>
      </c>
      <c r="L1179" t="s">
        <v>3068</v>
      </c>
      <c r="M1179" t="s">
        <v>134</v>
      </c>
      <c r="N1179" t="s">
        <v>135</v>
      </c>
      <c r="O1179"/>
      <c r="P1179"/>
      <c r="Q1179" t="s">
        <v>168</v>
      </c>
      <c r="R1179"/>
      <c r="S1179"/>
      <c r="T1179" t="s">
        <v>2165</v>
      </c>
      <c r="U1179" t="s">
        <v>137</v>
      </c>
      <c r="V1179" t="s">
        <v>304</v>
      </c>
      <c r="W1179"/>
      <c r="X1179" t="s">
        <v>81</v>
      </c>
      <c r="Y1179"/>
      <c r="Z1179"/>
      <c r="AA1179" t="s">
        <v>2163</v>
      </c>
      <c r="AB1179" t="s">
        <v>2</v>
      </c>
      <c r="AC1179" t="s">
        <v>138</v>
      </c>
      <c r="AD1179" t="s">
        <v>129</v>
      </c>
      <c r="AE1179" s="97"/>
    </row>
    <row r="1180" spans="1:31" ht="14.4" customHeight="1" x14ac:dyDescent="0.3">
      <c r="A1180" t="s">
        <v>3071</v>
      </c>
      <c r="B1180" t="s">
        <v>3072</v>
      </c>
      <c r="C1180"/>
      <c r="D1180"/>
      <c r="E1180"/>
      <c r="F1180"/>
      <c r="G1180" t="s">
        <v>2162</v>
      </c>
      <c r="H1180" t="s">
        <v>132</v>
      </c>
      <c r="I1180" t="s">
        <v>2</v>
      </c>
      <c r="J1180" t="s">
        <v>133</v>
      </c>
      <c r="K1180" t="s">
        <v>52</v>
      </c>
      <c r="L1180" t="s">
        <v>3068</v>
      </c>
      <c r="M1180" t="s">
        <v>134</v>
      </c>
      <c r="N1180" t="s">
        <v>135</v>
      </c>
      <c r="O1180"/>
      <c r="P1180"/>
      <c r="Q1180" t="s">
        <v>168</v>
      </c>
      <c r="R1180"/>
      <c r="S1180"/>
      <c r="T1180" t="s">
        <v>2165</v>
      </c>
      <c r="U1180" t="s">
        <v>137</v>
      </c>
      <c r="V1180" t="s">
        <v>304</v>
      </c>
      <c r="W1180"/>
      <c r="X1180" t="s">
        <v>81</v>
      </c>
      <c r="Y1180"/>
      <c r="Z1180"/>
      <c r="AA1180" t="s">
        <v>2163</v>
      </c>
      <c r="AB1180" t="s">
        <v>2</v>
      </c>
      <c r="AC1180" t="s">
        <v>138</v>
      </c>
      <c r="AD1180" t="s">
        <v>129</v>
      </c>
      <c r="AE1180" s="97"/>
    </row>
    <row r="1181" spans="1:31" ht="14.4" customHeight="1" x14ac:dyDescent="0.3">
      <c r="A1181" t="s">
        <v>3073</v>
      </c>
      <c r="B1181" t="s">
        <v>3074</v>
      </c>
      <c r="C1181"/>
      <c r="D1181"/>
      <c r="E1181"/>
      <c r="F1181"/>
      <c r="G1181" t="s">
        <v>2162</v>
      </c>
      <c r="H1181" t="s">
        <v>132</v>
      </c>
      <c r="I1181" t="s">
        <v>2</v>
      </c>
      <c r="J1181" t="s">
        <v>133</v>
      </c>
      <c r="K1181" t="s">
        <v>52</v>
      </c>
      <c r="L1181" t="s">
        <v>3068</v>
      </c>
      <c r="M1181" t="s">
        <v>134</v>
      </c>
      <c r="N1181" t="s">
        <v>135</v>
      </c>
      <c r="O1181"/>
      <c r="P1181"/>
      <c r="Q1181" t="s">
        <v>168</v>
      </c>
      <c r="R1181"/>
      <c r="S1181"/>
      <c r="T1181" t="s">
        <v>2165</v>
      </c>
      <c r="U1181" t="s">
        <v>137</v>
      </c>
      <c r="V1181" t="s">
        <v>304</v>
      </c>
      <c r="W1181"/>
      <c r="X1181" t="s">
        <v>81</v>
      </c>
      <c r="Y1181"/>
      <c r="Z1181"/>
      <c r="AA1181" t="s">
        <v>2163</v>
      </c>
      <c r="AB1181" t="s">
        <v>2</v>
      </c>
      <c r="AC1181" t="s">
        <v>138</v>
      </c>
      <c r="AD1181" t="s">
        <v>129</v>
      </c>
      <c r="AE1181" s="97"/>
    </row>
    <row r="1182" spans="1:31" ht="14.4" customHeight="1" x14ac:dyDescent="0.3">
      <c r="A1182" t="s">
        <v>3075</v>
      </c>
      <c r="B1182" t="s">
        <v>3076</v>
      </c>
      <c r="C1182"/>
      <c r="D1182"/>
      <c r="E1182"/>
      <c r="F1182"/>
      <c r="G1182" t="s">
        <v>2162</v>
      </c>
      <c r="H1182" t="s">
        <v>132</v>
      </c>
      <c r="I1182" t="s">
        <v>2</v>
      </c>
      <c r="J1182" t="s">
        <v>133</v>
      </c>
      <c r="K1182" t="s">
        <v>52</v>
      </c>
      <c r="L1182" t="s">
        <v>3068</v>
      </c>
      <c r="M1182" t="s">
        <v>134</v>
      </c>
      <c r="N1182" t="s">
        <v>135</v>
      </c>
      <c r="O1182"/>
      <c r="P1182"/>
      <c r="Q1182" t="s">
        <v>168</v>
      </c>
      <c r="R1182"/>
      <c r="S1182"/>
      <c r="T1182" t="s">
        <v>2165</v>
      </c>
      <c r="U1182" t="s">
        <v>137</v>
      </c>
      <c r="V1182" t="s">
        <v>304</v>
      </c>
      <c r="W1182"/>
      <c r="X1182" t="s">
        <v>81</v>
      </c>
      <c r="Y1182"/>
      <c r="Z1182"/>
      <c r="AA1182" t="s">
        <v>2163</v>
      </c>
      <c r="AB1182" t="s">
        <v>2</v>
      </c>
      <c r="AC1182" t="s">
        <v>138</v>
      </c>
      <c r="AD1182" t="s">
        <v>129</v>
      </c>
      <c r="AE1182" s="97"/>
    </row>
    <row r="1183" spans="1:31" ht="14.4" customHeight="1" x14ac:dyDescent="0.3">
      <c r="A1183" t="s">
        <v>3077</v>
      </c>
      <c r="B1183" t="s">
        <v>3078</v>
      </c>
      <c r="C1183"/>
      <c r="D1183"/>
      <c r="E1183"/>
      <c r="F1183"/>
      <c r="G1183" t="s">
        <v>2162</v>
      </c>
      <c r="H1183" t="s">
        <v>132</v>
      </c>
      <c r="I1183" t="s">
        <v>2</v>
      </c>
      <c r="J1183" t="s">
        <v>133</v>
      </c>
      <c r="K1183" t="s">
        <v>52</v>
      </c>
      <c r="L1183" t="s">
        <v>3068</v>
      </c>
      <c r="M1183" t="s">
        <v>134</v>
      </c>
      <c r="N1183" t="s">
        <v>135</v>
      </c>
      <c r="O1183"/>
      <c r="P1183"/>
      <c r="Q1183" t="s">
        <v>168</v>
      </c>
      <c r="R1183"/>
      <c r="S1183"/>
      <c r="T1183" t="s">
        <v>2165</v>
      </c>
      <c r="U1183" t="s">
        <v>137</v>
      </c>
      <c r="V1183" t="s">
        <v>304</v>
      </c>
      <c r="W1183"/>
      <c r="X1183" t="s">
        <v>81</v>
      </c>
      <c r="Y1183"/>
      <c r="Z1183"/>
      <c r="AA1183" t="s">
        <v>2163</v>
      </c>
      <c r="AB1183" t="s">
        <v>2</v>
      </c>
      <c r="AC1183" t="s">
        <v>138</v>
      </c>
      <c r="AD1183" t="s">
        <v>129</v>
      </c>
      <c r="AE1183" s="97"/>
    </row>
    <row r="1184" spans="1:31" ht="14.4" customHeight="1" x14ac:dyDescent="0.3">
      <c r="A1184" t="s">
        <v>3079</v>
      </c>
      <c r="B1184" t="s">
        <v>3080</v>
      </c>
      <c r="C1184"/>
      <c r="D1184"/>
      <c r="E1184"/>
      <c r="F1184"/>
      <c r="G1184" t="s">
        <v>2162</v>
      </c>
      <c r="H1184" t="s">
        <v>132</v>
      </c>
      <c r="I1184" t="s">
        <v>2</v>
      </c>
      <c r="J1184" t="s">
        <v>133</v>
      </c>
      <c r="K1184" t="s">
        <v>52</v>
      </c>
      <c r="L1184" t="s">
        <v>3081</v>
      </c>
      <c r="M1184" t="s">
        <v>134</v>
      </c>
      <c r="N1184" t="s">
        <v>135</v>
      </c>
      <c r="O1184"/>
      <c r="P1184"/>
      <c r="Q1184" t="s">
        <v>168</v>
      </c>
      <c r="R1184"/>
      <c r="S1184"/>
      <c r="T1184" t="s">
        <v>2165</v>
      </c>
      <c r="U1184" t="s">
        <v>137</v>
      </c>
      <c r="V1184" t="s">
        <v>308</v>
      </c>
      <c r="W1184"/>
      <c r="X1184" t="s">
        <v>90</v>
      </c>
      <c r="Y1184"/>
      <c r="Z1184"/>
      <c r="AA1184" t="s">
        <v>2163</v>
      </c>
      <c r="AB1184" t="s">
        <v>2</v>
      </c>
      <c r="AC1184" t="s">
        <v>138</v>
      </c>
      <c r="AD1184" t="s">
        <v>129</v>
      </c>
      <c r="AE1184" s="97"/>
    </row>
    <row r="1185" spans="1:31" ht="14.4" customHeight="1" x14ac:dyDescent="0.3">
      <c r="A1185" t="s">
        <v>3082</v>
      </c>
      <c r="B1185" t="s">
        <v>3083</v>
      </c>
      <c r="C1185"/>
      <c r="D1185"/>
      <c r="E1185"/>
      <c r="F1185"/>
      <c r="G1185" t="s">
        <v>2162</v>
      </c>
      <c r="H1185" t="s">
        <v>132</v>
      </c>
      <c r="I1185" t="s">
        <v>2</v>
      </c>
      <c r="J1185" t="s">
        <v>133</v>
      </c>
      <c r="K1185" t="s">
        <v>52</v>
      </c>
      <c r="L1185" t="s">
        <v>3081</v>
      </c>
      <c r="M1185" t="s">
        <v>134</v>
      </c>
      <c r="N1185" t="s">
        <v>135</v>
      </c>
      <c r="O1185"/>
      <c r="P1185"/>
      <c r="Q1185" t="s">
        <v>168</v>
      </c>
      <c r="R1185"/>
      <c r="S1185"/>
      <c r="T1185" t="s">
        <v>2165</v>
      </c>
      <c r="U1185" t="s">
        <v>137</v>
      </c>
      <c r="V1185" t="s">
        <v>308</v>
      </c>
      <c r="W1185"/>
      <c r="X1185" t="s">
        <v>90</v>
      </c>
      <c r="Y1185"/>
      <c r="Z1185"/>
      <c r="AA1185" t="s">
        <v>2163</v>
      </c>
      <c r="AB1185" t="s">
        <v>2</v>
      </c>
      <c r="AC1185" t="s">
        <v>138</v>
      </c>
      <c r="AD1185" t="s">
        <v>129</v>
      </c>
      <c r="AE1185" s="97"/>
    </row>
    <row r="1186" spans="1:31" ht="14.4" customHeight="1" x14ac:dyDescent="0.3">
      <c r="A1186" t="s">
        <v>3084</v>
      </c>
      <c r="B1186" t="s">
        <v>3085</v>
      </c>
      <c r="C1186"/>
      <c r="D1186"/>
      <c r="E1186"/>
      <c r="F1186"/>
      <c r="G1186" t="s">
        <v>2162</v>
      </c>
      <c r="H1186" t="s">
        <v>132</v>
      </c>
      <c r="I1186" t="s">
        <v>2</v>
      </c>
      <c r="J1186" t="s">
        <v>133</v>
      </c>
      <c r="K1186" t="s">
        <v>52</v>
      </c>
      <c r="L1186" t="s">
        <v>3081</v>
      </c>
      <c r="M1186" t="s">
        <v>134</v>
      </c>
      <c r="N1186" t="s">
        <v>135</v>
      </c>
      <c r="O1186"/>
      <c r="P1186"/>
      <c r="Q1186" t="s">
        <v>168</v>
      </c>
      <c r="R1186"/>
      <c r="S1186"/>
      <c r="T1186" t="s">
        <v>2165</v>
      </c>
      <c r="U1186" t="s">
        <v>137</v>
      </c>
      <c r="V1186" t="s">
        <v>308</v>
      </c>
      <c r="W1186"/>
      <c r="X1186" t="s">
        <v>90</v>
      </c>
      <c r="Y1186"/>
      <c r="Z1186"/>
      <c r="AA1186" t="s">
        <v>2163</v>
      </c>
      <c r="AB1186" t="s">
        <v>2</v>
      </c>
      <c r="AC1186" t="s">
        <v>138</v>
      </c>
      <c r="AD1186" t="s">
        <v>129</v>
      </c>
      <c r="AE1186" s="97"/>
    </row>
    <row r="1187" spans="1:31" ht="14.4" customHeight="1" x14ac:dyDescent="0.3">
      <c r="A1187" t="s">
        <v>3086</v>
      </c>
      <c r="B1187" t="s">
        <v>3087</v>
      </c>
      <c r="C1187"/>
      <c r="D1187"/>
      <c r="E1187"/>
      <c r="F1187"/>
      <c r="G1187" t="s">
        <v>2162</v>
      </c>
      <c r="H1187" t="s">
        <v>132</v>
      </c>
      <c r="I1187" t="s">
        <v>2</v>
      </c>
      <c r="J1187" t="s">
        <v>133</v>
      </c>
      <c r="K1187" t="s">
        <v>52</v>
      </c>
      <c r="L1187" t="s">
        <v>3081</v>
      </c>
      <c r="M1187" t="s">
        <v>134</v>
      </c>
      <c r="N1187" t="s">
        <v>135</v>
      </c>
      <c r="O1187"/>
      <c r="P1187"/>
      <c r="Q1187" t="s">
        <v>168</v>
      </c>
      <c r="R1187"/>
      <c r="S1187"/>
      <c r="T1187" t="s">
        <v>2165</v>
      </c>
      <c r="U1187" t="s">
        <v>137</v>
      </c>
      <c r="V1187" t="s">
        <v>308</v>
      </c>
      <c r="W1187"/>
      <c r="X1187" t="s">
        <v>90</v>
      </c>
      <c r="Y1187"/>
      <c r="Z1187"/>
      <c r="AA1187" t="s">
        <v>2163</v>
      </c>
      <c r="AB1187" t="s">
        <v>2</v>
      </c>
      <c r="AC1187" t="s">
        <v>138</v>
      </c>
      <c r="AD1187" t="s">
        <v>129</v>
      </c>
      <c r="AE1187" s="97"/>
    </row>
    <row r="1188" spans="1:31" ht="14.4" customHeight="1" x14ac:dyDescent="0.3">
      <c r="A1188" t="s">
        <v>3088</v>
      </c>
      <c r="B1188" t="s">
        <v>3089</v>
      </c>
      <c r="C1188"/>
      <c r="D1188"/>
      <c r="E1188"/>
      <c r="F1188"/>
      <c r="G1188" t="s">
        <v>2162</v>
      </c>
      <c r="H1188" t="s">
        <v>132</v>
      </c>
      <c r="I1188" t="s">
        <v>2</v>
      </c>
      <c r="J1188" t="s">
        <v>133</v>
      </c>
      <c r="K1188" t="s">
        <v>52</v>
      </c>
      <c r="L1188" t="s">
        <v>3081</v>
      </c>
      <c r="M1188" t="s">
        <v>134</v>
      </c>
      <c r="N1188" t="s">
        <v>135</v>
      </c>
      <c r="O1188"/>
      <c r="P1188"/>
      <c r="Q1188" t="s">
        <v>168</v>
      </c>
      <c r="R1188"/>
      <c r="S1188"/>
      <c r="T1188" t="s">
        <v>2165</v>
      </c>
      <c r="U1188" t="s">
        <v>137</v>
      </c>
      <c r="V1188" t="s">
        <v>308</v>
      </c>
      <c r="W1188"/>
      <c r="X1188" t="s">
        <v>90</v>
      </c>
      <c r="Y1188"/>
      <c r="Z1188"/>
      <c r="AA1188" t="s">
        <v>2163</v>
      </c>
      <c r="AB1188" t="s">
        <v>2</v>
      </c>
      <c r="AC1188" t="s">
        <v>138</v>
      </c>
      <c r="AD1188" t="s">
        <v>129</v>
      </c>
      <c r="AE1188" s="97"/>
    </row>
    <row r="1189" spans="1:31" ht="14.4" customHeight="1" x14ac:dyDescent="0.3">
      <c r="A1189" t="s">
        <v>3090</v>
      </c>
      <c r="B1189" t="s">
        <v>3091</v>
      </c>
      <c r="C1189"/>
      <c r="D1189"/>
      <c r="E1189"/>
      <c r="F1189"/>
      <c r="G1189" t="s">
        <v>2162</v>
      </c>
      <c r="H1189" t="s">
        <v>132</v>
      </c>
      <c r="I1189" t="s">
        <v>2</v>
      </c>
      <c r="J1189" t="s">
        <v>133</v>
      </c>
      <c r="K1189" t="s">
        <v>52</v>
      </c>
      <c r="L1189" t="s">
        <v>3081</v>
      </c>
      <c r="M1189" t="s">
        <v>134</v>
      </c>
      <c r="N1189" t="s">
        <v>135</v>
      </c>
      <c r="O1189"/>
      <c r="P1189"/>
      <c r="Q1189" t="s">
        <v>168</v>
      </c>
      <c r="R1189"/>
      <c r="S1189"/>
      <c r="T1189" t="s">
        <v>2165</v>
      </c>
      <c r="U1189" t="s">
        <v>137</v>
      </c>
      <c r="V1189" t="s">
        <v>308</v>
      </c>
      <c r="W1189"/>
      <c r="X1189" t="s">
        <v>90</v>
      </c>
      <c r="Y1189"/>
      <c r="Z1189"/>
      <c r="AA1189" t="s">
        <v>2163</v>
      </c>
      <c r="AB1189" t="s">
        <v>2</v>
      </c>
      <c r="AC1189" t="s">
        <v>138</v>
      </c>
      <c r="AD1189" t="s">
        <v>129</v>
      </c>
      <c r="AE1189" s="97"/>
    </row>
    <row r="1190" spans="1:31" ht="14.4" customHeight="1" x14ac:dyDescent="0.3">
      <c r="A1190" t="s">
        <v>3092</v>
      </c>
      <c r="B1190" t="s">
        <v>3093</v>
      </c>
      <c r="C1190"/>
      <c r="D1190"/>
      <c r="E1190"/>
      <c r="F1190"/>
      <c r="G1190" t="s">
        <v>2162</v>
      </c>
      <c r="H1190" t="s">
        <v>132</v>
      </c>
      <c r="I1190" t="s">
        <v>2</v>
      </c>
      <c r="J1190" t="s">
        <v>133</v>
      </c>
      <c r="K1190" t="s">
        <v>52</v>
      </c>
      <c r="L1190" t="s">
        <v>3094</v>
      </c>
      <c r="M1190" t="s">
        <v>134</v>
      </c>
      <c r="N1190" t="s">
        <v>135</v>
      </c>
      <c r="O1190"/>
      <c r="P1190"/>
      <c r="Q1190" t="s">
        <v>168</v>
      </c>
      <c r="R1190"/>
      <c r="S1190"/>
      <c r="T1190" t="s">
        <v>2165</v>
      </c>
      <c r="U1190" t="s">
        <v>137</v>
      </c>
      <c r="V1190" t="s">
        <v>312</v>
      </c>
      <c r="W1190"/>
      <c r="X1190" t="s">
        <v>99</v>
      </c>
      <c r="Y1190"/>
      <c r="Z1190"/>
      <c r="AA1190" t="s">
        <v>2163</v>
      </c>
      <c r="AB1190" t="s">
        <v>2</v>
      </c>
      <c r="AC1190" t="s">
        <v>138</v>
      </c>
      <c r="AD1190" t="s">
        <v>129</v>
      </c>
      <c r="AE1190" s="97"/>
    </row>
    <row r="1191" spans="1:31" ht="14.4" customHeight="1" x14ac:dyDescent="0.3">
      <c r="A1191" t="s">
        <v>3095</v>
      </c>
      <c r="B1191" t="s">
        <v>3096</v>
      </c>
      <c r="C1191"/>
      <c r="D1191"/>
      <c r="E1191"/>
      <c r="F1191"/>
      <c r="G1191" t="s">
        <v>2162</v>
      </c>
      <c r="H1191" t="s">
        <v>132</v>
      </c>
      <c r="I1191" t="s">
        <v>2</v>
      </c>
      <c r="J1191" t="s">
        <v>133</v>
      </c>
      <c r="K1191" t="s">
        <v>52</v>
      </c>
      <c r="L1191" t="s">
        <v>3094</v>
      </c>
      <c r="M1191" t="s">
        <v>134</v>
      </c>
      <c r="N1191" t="s">
        <v>135</v>
      </c>
      <c r="O1191"/>
      <c r="P1191"/>
      <c r="Q1191" t="s">
        <v>168</v>
      </c>
      <c r="R1191"/>
      <c r="S1191"/>
      <c r="T1191" t="s">
        <v>2165</v>
      </c>
      <c r="U1191" t="s">
        <v>137</v>
      </c>
      <c r="V1191" t="s">
        <v>312</v>
      </c>
      <c r="W1191"/>
      <c r="X1191" t="s">
        <v>99</v>
      </c>
      <c r="Y1191"/>
      <c r="Z1191"/>
      <c r="AA1191" t="s">
        <v>2163</v>
      </c>
      <c r="AB1191" t="s">
        <v>2</v>
      </c>
      <c r="AC1191" t="s">
        <v>138</v>
      </c>
      <c r="AD1191" t="s">
        <v>129</v>
      </c>
      <c r="AE1191" s="97"/>
    </row>
    <row r="1192" spans="1:31" ht="14.4" customHeight="1" x14ac:dyDescent="0.3">
      <c r="A1192" t="s">
        <v>3097</v>
      </c>
      <c r="B1192" t="s">
        <v>3098</v>
      </c>
      <c r="C1192"/>
      <c r="D1192"/>
      <c r="E1192"/>
      <c r="F1192"/>
      <c r="G1192" t="s">
        <v>2162</v>
      </c>
      <c r="H1192" t="s">
        <v>132</v>
      </c>
      <c r="I1192" t="s">
        <v>2</v>
      </c>
      <c r="J1192" t="s">
        <v>133</v>
      </c>
      <c r="K1192" t="s">
        <v>52</v>
      </c>
      <c r="L1192" t="s">
        <v>3094</v>
      </c>
      <c r="M1192" t="s">
        <v>134</v>
      </c>
      <c r="N1192" t="s">
        <v>135</v>
      </c>
      <c r="O1192"/>
      <c r="P1192"/>
      <c r="Q1192" t="s">
        <v>168</v>
      </c>
      <c r="R1192"/>
      <c r="S1192"/>
      <c r="T1192" t="s">
        <v>2165</v>
      </c>
      <c r="U1192" t="s">
        <v>137</v>
      </c>
      <c r="V1192" t="s">
        <v>312</v>
      </c>
      <c r="W1192"/>
      <c r="X1192" t="s">
        <v>99</v>
      </c>
      <c r="Y1192"/>
      <c r="Z1192"/>
      <c r="AA1192" t="s">
        <v>2163</v>
      </c>
      <c r="AB1192" t="s">
        <v>2</v>
      </c>
      <c r="AC1192" t="s">
        <v>138</v>
      </c>
      <c r="AD1192" t="s">
        <v>129</v>
      </c>
      <c r="AE1192" s="97"/>
    </row>
    <row r="1193" spans="1:31" ht="14.4" customHeight="1" x14ac:dyDescent="0.3">
      <c r="A1193" t="s">
        <v>3099</v>
      </c>
      <c r="B1193" t="s">
        <v>3100</v>
      </c>
      <c r="C1193"/>
      <c r="D1193"/>
      <c r="E1193"/>
      <c r="F1193"/>
      <c r="G1193" t="s">
        <v>2162</v>
      </c>
      <c r="H1193" t="s">
        <v>132</v>
      </c>
      <c r="I1193" t="s">
        <v>2</v>
      </c>
      <c r="J1193" t="s">
        <v>133</v>
      </c>
      <c r="K1193" t="s">
        <v>52</v>
      </c>
      <c r="L1193" t="s">
        <v>3094</v>
      </c>
      <c r="M1193" t="s">
        <v>134</v>
      </c>
      <c r="N1193" t="s">
        <v>135</v>
      </c>
      <c r="O1193"/>
      <c r="P1193"/>
      <c r="Q1193" t="s">
        <v>168</v>
      </c>
      <c r="R1193"/>
      <c r="S1193"/>
      <c r="T1193" t="s">
        <v>2165</v>
      </c>
      <c r="U1193" t="s">
        <v>137</v>
      </c>
      <c r="V1193" t="s">
        <v>312</v>
      </c>
      <c r="W1193"/>
      <c r="X1193" t="s">
        <v>99</v>
      </c>
      <c r="Y1193"/>
      <c r="Z1193"/>
      <c r="AA1193" t="s">
        <v>2163</v>
      </c>
      <c r="AB1193" t="s">
        <v>2</v>
      </c>
      <c r="AC1193" t="s">
        <v>138</v>
      </c>
      <c r="AD1193" t="s">
        <v>129</v>
      </c>
      <c r="AE1193" s="97"/>
    </row>
    <row r="1194" spans="1:31" ht="14.4" customHeight="1" x14ac:dyDescent="0.3">
      <c r="A1194" t="s">
        <v>3101</v>
      </c>
      <c r="B1194" t="s">
        <v>3102</v>
      </c>
      <c r="C1194"/>
      <c r="D1194"/>
      <c r="E1194"/>
      <c r="F1194"/>
      <c r="G1194" t="s">
        <v>2162</v>
      </c>
      <c r="H1194" t="s">
        <v>132</v>
      </c>
      <c r="I1194" t="s">
        <v>2</v>
      </c>
      <c r="J1194" t="s">
        <v>133</v>
      </c>
      <c r="K1194" t="s">
        <v>52</v>
      </c>
      <c r="L1194" t="s">
        <v>3094</v>
      </c>
      <c r="M1194" t="s">
        <v>134</v>
      </c>
      <c r="N1194" t="s">
        <v>135</v>
      </c>
      <c r="O1194"/>
      <c r="P1194"/>
      <c r="Q1194" t="s">
        <v>168</v>
      </c>
      <c r="R1194"/>
      <c r="S1194"/>
      <c r="T1194" t="s">
        <v>2165</v>
      </c>
      <c r="U1194" t="s">
        <v>137</v>
      </c>
      <c r="V1194" t="s">
        <v>312</v>
      </c>
      <c r="W1194"/>
      <c r="X1194" t="s">
        <v>99</v>
      </c>
      <c r="Y1194"/>
      <c r="Z1194"/>
      <c r="AA1194" t="s">
        <v>2163</v>
      </c>
      <c r="AB1194" t="s">
        <v>2</v>
      </c>
      <c r="AC1194" t="s">
        <v>138</v>
      </c>
      <c r="AD1194" t="s">
        <v>129</v>
      </c>
      <c r="AE1194" s="97"/>
    </row>
    <row r="1195" spans="1:31" ht="14.4" customHeight="1" x14ac:dyDescent="0.3">
      <c r="A1195" t="s">
        <v>3103</v>
      </c>
      <c r="B1195" t="s">
        <v>3104</v>
      </c>
      <c r="C1195"/>
      <c r="D1195"/>
      <c r="E1195"/>
      <c r="F1195"/>
      <c r="G1195" t="s">
        <v>2162</v>
      </c>
      <c r="H1195" t="s">
        <v>132</v>
      </c>
      <c r="I1195" t="s">
        <v>2</v>
      </c>
      <c r="J1195" t="s">
        <v>133</v>
      </c>
      <c r="K1195" t="s">
        <v>52</v>
      </c>
      <c r="L1195" t="s">
        <v>3094</v>
      </c>
      <c r="M1195" t="s">
        <v>134</v>
      </c>
      <c r="N1195" t="s">
        <v>135</v>
      </c>
      <c r="O1195"/>
      <c r="P1195"/>
      <c r="Q1195" t="s">
        <v>168</v>
      </c>
      <c r="R1195"/>
      <c r="S1195"/>
      <c r="T1195" t="s">
        <v>2165</v>
      </c>
      <c r="U1195" t="s">
        <v>137</v>
      </c>
      <c r="V1195" t="s">
        <v>312</v>
      </c>
      <c r="W1195"/>
      <c r="X1195" t="s">
        <v>99</v>
      </c>
      <c r="Y1195"/>
      <c r="Z1195"/>
      <c r="AA1195" t="s">
        <v>2163</v>
      </c>
      <c r="AB1195" t="s">
        <v>2</v>
      </c>
      <c r="AC1195" t="s">
        <v>138</v>
      </c>
      <c r="AD1195" t="s">
        <v>129</v>
      </c>
      <c r="AE1195" s="97"/>
    </row>
    <row r="1196" spans="1:31" ht="14.4" customHeight="1" x14ac:dyDescent="0.3">
      <c r="A1196" t="s">
        <v>3105</v>
      </c>
      <c r="B1196" t="s">
        <v>3106</v>
      </c>
      <c r="C1196"/>
      <c r="D1196"/>
      <c r="E1196"/>
      <c r="F1196"/>
      <c r="G1196" t="s">
        <v>2162</v>
      </c>
      <c r="H1196" t="s">
        <v>132</v>
      </c>
      <c r="I1196" t="s">
        <v>2</v>
      </c>
      <c r="J1196" t="s">
        <v>133</v>
      </c>
      <c r="K1196" t="s">
        <v>52</v>
      </c>
      <c r="L1196" t="s">
        <v>3107</v>
      </c>
      <c r="M1196" t="s">
        <v>134</v>
      </c>
      <c r="N1196" t="s">
        <v>135</v>
      </c>
      <c r="O1196"/>
      <c r="P1196"/>
      <c r="Q1196" t="s">
        <v>168</v>
      </c>
      <c r="R1196"/>
      <c r="S1196"/>
      <c r="T1196" t="s">
        <v>2165</v>
      </c>
      <c r="U1196" t="s">
        <v>137</v>
      </c>
      <c r="V1196" t="s">
        <v>316</v>
      </c>
      <c r="W1196"/>
      <c r="X1196" t="s">
        <v>108</v>
      </c>
      <c r="Y1196"/>
      <c r="Z1196"/>
      <c r="AA1196" t="s">
        <v>2163</v>
      </c>
      <c r="AB1196" t="s">
        <v>2</v>
      </c>
      <c r="AC1196" t="s">
        <v>138</v>
      </c>
      <c r="AD1196" t="s">
        <v>129</v>
      </c>
      <c r="AE1196" s="97"/>
    </row>
    <row r="1197" spans="1:31" ht="14.4" customHeight="1" x14ac:dyDescent="0.3">
      <c r="A1197" t="s">
        <v>3108</v>
      </c>
      <c r="B1197" t="s">
        <v>3109</v>
      </c>
      <c r="C1197"/>
      <c r="D1197"/>
      <c r="E1197"/>
      <c r="F1197"/>
      <c r="G1197" t="s">
        <v>2162</v>
      </c>
      <c r="H1197" t="s">
        <v>132</v>
      </c>
      <c r="I1197" t="s">
        <v>2</v>
      </c>
      <c r="J1197" t="s">
        <v>133</v>
      </c>
      <c r="K1197" t="s">
        <v>52</v>
      </c>
      <c r="L1197" t="s">
        <v>3107</v>
      </c>
      <c r="M1197" t="s">
        <v>134</v>
      </c>
      <c r="N1197" t="s">
        <v>135</v>
      </c>
      <c r="O1197"/>
      <c r="P1197"/>
      <c r="Q1197" t="s">
        <v>168</v>
      </c>
      <c r="R1197"/>
      <c r="S1197"/>
      <c r="T1197" t="s">
        <v>2165</v>
      </c>
      <c r="U1197" t="s">
        <v>137</v>
      </c>
      <c r="V1197" t="s">
        <v>316</v>
      </c>
      <c r="W1197"/>
      <c r="X1197" t="s">
        <v>108</v>
      </c>
      <c r="Y1197"/>
      <c r="Z1197"/>
      <c r="AA1197" t="s">
        <v>2163</v>
      </c>
      <c r="AB1197" t="s">
        <v>2</v>
      </c>
      <c r="AC1197" t="s">
        <v>138</v>
      </c>
      <c r="AD1197" t="s">
        <v>129</v>
      </c>
      <c r="AE1197" s="97"/>
    </row>
    <row r="1198" spans="1:31" ht="14.4" customHeight="1" x14ac:dyDescent="0.3">
      <c r="A1198" t="s">
        <v>3110</v>
      </c>
      <c r="B1198" t="s">
        <v>3111</v>
      </c>
      <c r="C1198"/>
      <c r="D1198"/>
      <c r="E1198"/>
      <c r="F1198"/>
      <c r="G1198" t="s">
        <v>2162</v>
      </c>
      <c r="H1198" t="s">
        <v>132</v>
      </c>
      <c r="I1198" t="s">
        <v>2</v>
      </c>
      <c r="J1198" t="s">
        <v>133</v>
      </c>
      <c r="K1198" t="s">
        <v>52</v>
      </c>
      <c r="L1198" t="s">
        <v>3107</v>
      </c>
      <c r="M1198" t="s">
        <v>134</v>
      </c>
      <c r="N1198" t="s">
        <v>135</v>
      </c>
      <c r="O1198"/>
      <c r="P1198"/>
      <c r="Q1198" t="s">
        <v>168</v>
      </c>
      <c r="R1198"/>
      <c r="S1198"/>
      <c r="T1198" t="s">
        <v>2165</v>
      </c>
      <c r="U1198" t="s">
        <v>137</v>
      </c>
      <c r="V1198" t="s">
        <v>316</v>
      </c>
      <c r="W1198"/>
      <c r="X1198" t="s">
        <v>108</v>
      </c>
      <c r="Y1198"/>
      <c r="Z1198"/>
      <c r="AA1198" t="s">
        <v>2163</v>
      </c>
      <c r="AB1198" t="s">
        <v>2</v>
      </c>
      <c r="AC1198" t="s">
        <v>138</v>
      </c>
      <c r="AD1198" t="s">
        <v>129</v>
      </c>
      <c r="AE1198" s="97"/>
    </row>
    <row r="1199" spans="1:31" ht="14.4" customHeight="1" x14ac:dyDescent="0.3">
      <c r="A1199" t="s">
        <v>3112</v>
      </c>
      <c r="B1199" t="s">
        <v>3113</v>
      </c>
      <c r="C1199"/>
      <c r="D1199"/>
      <c r="E1199"/>
      <c r="F1199"/>
      <c r="G1199" t="s">
        <v>2162</v>
      </c>
      <c r="H1199" t="s">
        <v>132</v>
      </c>
      <c r="I1199" t="s">
        <v>2</v>
      </c>
      <c r="J1199" t="s">
        <v>133</v>
      </c>
      <c r="K1199" t="s">
        <v>52</v>
      </c>
      <c r="L1199" t="s">
        <v>3107</v>
      </c>
      <c r="M1199" t="s">
        <v>134</v>
      </c>
      <c r="N1199" t="s">
        <v>135</v>
      </c>
      <c r="O1199"/>
      <c r="P1199"/>
      <c r="Q1199" t="s">
        <v>168</v>
      </c>
      <c r="R1199"/>
      <c r="S1199"/>
      <c r="T1199" t="s">
        <v>2165</v>
      </c>
      <c r="U1199" t="s">
        <v>137</v>
      </c>
      <c r="V1199" t="s">
        <v>316</v>
      </c>
      <c r="W1199"/>
      <c r="X1199" t="s">
        <v>108</v>
      </c>
      <c r="Y1199"/>
      <c r="Z1199"/>
      <c r="AA1199" t="s">
        <v>2163</v>
      </c>
      <c r="AB1199" t="s">
        <v>2</v>
      </c>
      <c r="AC1199" t="s">
        <v>138</v>
      </c>
      <c r="AD1199" t="s">
        <v>129</v>
      </c>
      <c r="AE1199" s="97"/>
    </row>
    <row r="1200" spans="1:31" ht="14.4" customHeight="1" x14ac:dyDescent="0.3">
      <c r="A1200" t="s">
        <v>3114</v>
      </c>
      <c r="B1200" t="s">
        <v>3115</v>
      </c>
      <c r="C1200"/>
      <c r="D1200"/>
      <c r="E1200"/>
      <c r="F1200"/>
      <c r="G1200" t="s">
        <v>2162</v>
      </c>
      <c r="H1200" t="s">
        <v>132</v>
      </c>
      <c r="I1200" t="s">
        <v>2</v>
      </c>
      <c r="J1200" t="s">
        <v>133</v>
      </c>
      <c r="K1200" t="s">
        <v>52</v>
      </c>
      <c r="L1200" t="s">
        <v>3107</v>
      </c>
      <c r="M1200" t="s">
        <v>134</v>
      </c>
      <c r="N1200" t="s">
        <v>135</v>
      </c>
      <c r="O1200"/>
      <c r="P1200"/>
      <c r="Q1200" t="s">
        <v>168</v>
      </c>
      <c r="R1200"/>
      <c r="S1200"/>
      <c r="T1200" t="s">
        <v>2165</v>
      </c>
      <c r="U1200" t="s">
        <v>137</v>
      </c>
      <c r="V1200" t="s">
        <v>316</v>
      </c>
      <c r="W1200"/>
      <c r="X1200" t="s">
        <v>108</v>
      </c>
      <c r="Y1200"/>
      <c r="Z1200"/>
      <c r="AA1200" t="s">
        <v>2163</v>
      </c>
      <c r="AB1200" t="s">
        <v>2</v>
      </c>
      <c r="AC1200" t="s">
        <v>138</v>
      </c>
      <c r="AD1200" t="s">
        <v>129</v>
      </c>
      <c r="AE1200" s="97"/>
    </row>
    <row r="1201" spans="1:31" ht="14.4" customHeight="1" x14ac:dyDescent="0.3">
      <c r="A1201" t="s">
        <v>3116</v>
      </c>
      <c r="B1201" t="s">
        <v>3117</v>
      </c>
      <c r="C1201"/>
      <c r="D1201"/>
      <c r="E1201"/>
      <c r="F1201"/>
      <c r="G1201" t="s">
        <v>2162</v>
      </c>
      <c r="H1201" t="s">
        <v>132</v>
      </c>
      <c r="I1201" t="s">
        <v>2</v>
      </c>
      <c r="J1201" t="s">
        <v>133</v>
      </c>
      <c r="K1201" t="s">
        <v>52</v>
      </c>
      <c r="L1201" t="s">
        <v>3107</v>
      </c>
      <c r="M1201" t="s">
        <v>134</v>
      </c>
      <c r="N1201" t="s">
        <v>135</v>
      </c>
      <c r="O1201"/>
      <c r="P1201"/>
      <c r="Q1201" t="s">
        <v>168</v>
      </c>
      <c r="R1201"/>
      <c r="S1201"/>
      <c r="T1201" t="s">
        <v>2165</v>
      </c>
      <c r="U1201" t="s">
        <v>137</v>
      </c>
      <c r="V1201" t="s">
        <v>316</v>
      </c>
      <c r="W1201"/>
      <c r="X1201" t="s">
        <v>108</v>
      </c>
      <c r="Y1201"/>
      <c r="Z1201"/>
      <c r="AA1201" t="s">
        <v>2163</v>
      </c>
      <c r="AB1201" t="s">
        <v>2</v>
      </c>
      <c r="AC1201" t="s">
        <v>138</v>
      </c>
      <c r="AD1201" t="s">
        <v>129</v>
      </c>
      <c r="AE1201" s="97"/>
    </row>
    <row r="1202" spans="1:31" ht="14.4" customHeight="1" x14ac:dyDescent="0.3">
      <c r="A1202" t="s">
        <v>3118</v>
      </c>
      <c r="B1202" t="s">
        <v>3119</v>
      </c>
      <c r="C1202"/>
      <c r="D1202"/>
      <c r="E1202"/>
      <c r="F1202"/>
      <c r="G1202" t="s">
        <v>2162</v>
      </c>
      <c r="H1202" t="s">
        <v>132</v>
      </c>
      <c r="I1202" t="s">
        <v>2</v>
      </c>
      <c r="J1202" t="s">
        <v>133</v>
      </c>
      <c r="K1202" t="s">
        <v>52</v>
      </c>
      <c r="L1202" t="s">
        <v>3120</v>
      </c>
      <c r="M1202" t="s">
        <v>134</v>
      </c>
      <c r="N1202" t="s">
        <v>135</v>
      </c>
      <c r="O1202"/>
      <c r="P1202"/>
      <c r="Q1202" t="s">
        <v>168</v>
      </c>
      <c r="R1202"/>
      <c r="S1202"/>
      <c r="T1202" t="s">
        <v>2165</v>
      </c>
      <c r="U1202" t="s">
        <v>137</v>
      </c>
      <c r="V1202" t="s">
        <v>320</v>
      </c>
      <c r="W1202"/>
      <c r="X1202" t="s">
        <v>117</v>
      </c>
      <c r="Y1202"/>
      <c r="Z1202"/>
      <c r="AA1202" t="s">
        <v>2163</v>
      </c>
      <c r="AB1202" t="s">
        <v>2</v>
      </c>
      <c r="AC1202" t="s">
        <v>138</v>
      </c>
      <c r="AD1202" t="s">
        <v>130</v>
      </c>
      <c r="AE1202" s="97"/>
    </row>
    <row r="1203" spans="1:31" ht="14.4" customHeight="1" x14ac:dyDescent="0.3">
      <c r="A1203" t="s">
        <v>3121</v>
      </c>
      <c r="B1203" t="s">
        <v>3122</v>
      </c>
      <c r="C1203"/>
      <c r="D1203"/>
      <c r="E1203"/>
      <c r="F1203"/>
      <c r="G1203" t="s">
        <v>2162</v>
      </c>
      <c r="H1203" t="s">
        <v>132</v>
      </c>
      <c r="I1203" t="s">
        <v>2</v>
      </c>
      <c r="J1203" t="s">
        <v>133</v>
      </c>
      <c r="K1203" t="s">
        <v>52</v>
      </c>
      <c r="L1203" t="s">
        <v>3120</v>
      </c>
      <c r="M1203" t="s">
        <v>134</v>
      </c>
      <c r="N1203" t="s">
        <v>135</v>
      </c>
      <c r="O1203"/>
      <c r="P1203"/>
      <c r="Q1203" t="s">
        <v>168</v>
      </c>
      <c r="R1203"/>
      <c r="S1203"/>
      <c r="T1203" t="s">
        <v>2165</v>
      </c>
      <c r="U1203" t="s">
        <v>137</v>
      </c>
      <c r="V1203" t="s">
        <v>320</v>
      </c>
      <c r="W1203"/>
      <c r="X1203" t="s">
        <v>117</v>
      </c>
      <c r="Y1203"/>
      <c r="Z1203"/>
      <c r="AA1203" t="s">
        <v>2163</v>
      </c>
      <c r="AB1203" t="s">
        <v>2</v>
      </c>
      <c r="AC1203" t="s">
        <v>138</v>
      </c>
      <c r="AD1203" t="s">
        <v>130</v>
      </c>
      <c r="AE1203" s="97"/>
    </row>
    <row r="1204" spans="1:31" ht="14.4" customHeight="1" x14ac:dyDescent="0.3">
      <c r="A1204" t="s">
        <v>3123</v>
      </c>
      <c r="B1204" t="s">
        <v>3124</v>
      </c>
      <c r="C1204"/>
      <c r="D1204"/>
      <c r="E1204"/>
      <c r="F1204"/>
      <c r="G1204" t="s">
        <v>2162</v>
      </c>
      <c r="H1204" t="s">
        <v>132</v>
      </c>
      <c r="I1204" t="s">
        <v>2</v>
      </c>
      <c r="J1204" t="s">
        <v>133</v>
      </c>
      <c r="K1204" t="s">
        <v>52</v>
      </c>
      <c r="L1204" t="s">
        <v>3120</v>
      </c>
      <c r="M1204" t="s">
        <v>134</v>
      </c>
      <c r="N1204" t="s">
        <v>135</v>
      </c>
      <c r="O1204"/>
      <c r="P1204"/>
      <c r="Q1204" t="s">
        <v>168</v>
      </c>
      <c r="R1204"/>
      <c r="S1204"/>
      <c r="T1204" t="s">
        <v>2165</v>
      </c>
      <c r="U1204" t="s">
        <v>137</v>
      </c>
      <c r="V1204" t="s">
        <v>320</v>
      </c>
      <c r="W1204"/>
      <c r="X1204" t="s">
        <v>117</v>
      </c>
      <c r="Y1204"/>
      <c r="Z1204"/>
      <c r="AA1204" t="s">
        <v>2163</v>
      </c>
      <c r="AB1204" t="s">
        <v>2</v>
      </c>
      <c r="AC1204" t="s">
        <v>138</v>
      </c>
      <c r="AD1204" t="s">
        <v>130</v>
      </c>
      <c r="AE1204" s="97"/>
    </row>
    <row r="1205" spans="1:31" ht="14.4" customHeight="1" x14ac:dyDescent="0.3">
      <c r="A1205" t="s">
        <v>3125</v>
      </c>
      <c r="B1205" t="s">
        <v>3126</v>
      </c>
      <c r="C1205"/>
      <c r="D1205"/>
      <c r="E1205"/>
      <c r="F1205"/>
      <c r="G1205" t="s">
        <v>2162</v>
      </c>
      <c r="H1205" t="s">
        <v>132</v>
      </c>
      <c r="I1205" t="s">
        <v>2</v>
      </c>
      <c r="J1205" t="s">
        <v>133</v>
      </c>
      <c r="K1205" t="s">
        <v>52</v>
      </c>
      <c r="L1205" t="s">
        <v>3120</v>
      </c>
      <c r="M1205" t="s">
        <v>134</v>
      </c>
      <c r="N1205" t="s">
        <v>135</v>
      </c>
      <c r="O1205"/>
      <c r="P1205"/>
      <c r="Q1205" t="s">
        <v>168</v>
      </c>
      <c r="R1205"/>
      <c r="S1205"/>
      <c r="T1205" t="s">
        <v>2165</v>
      </c>
      <c r="U1205" t="s">
        <v>137</v>
      </c>
      <c r="V1205" t="s">
        <v>320</v>
      </c>
      <c r="W1205"/>
      <c r="X1205" t="s">
        <v>117</v>
      </c>
      <c r="Y1205"/>
      <c r="Z1205"/>
      <c r="AA1205" t="s">
        <v>2163</v>
      </c>
      <c r="AB1205" t="s">
        <v>2</v>
      </c>
      <c r="AC1205" t="s">
        <v>138</v>
      </c>
      <c r="AD1205" t="s">
        <v>130</v>
      </c>
      <c r="AE1205" s="97"/>
    </row>
    <row r="1206" spans="1:31" ht="14.4" customHeight="1" x14ac:dyDescent="0.3">
      <c r="A1206" t="s">
        <v>3127</v>
      </c>
      <c r="B1206" t="s">
        <v>3128</v>
      </c>
      <c r="C1206"/>
      <c r="D1206"/>
      <c r="E1206"/>
      <c r="F1206"/>
      <c r="G1206" t="s">
        <v>2162</v>
      </c>
      <c r="H1206" t="s">
        <v>132</v>
      </c>
      <c r="I1206" t="s">
        <v>2</v>
      </c>
      <c r="J1206" t="s">
        <v>133</v>
      </c>
      <c r="K1206" t="s">
        <v>52</v>
      </c>
      <c r="L1206" t="s">
        <v>3120</v>
      </c>
      <c r="M1206" t="s">
        <v>134</v>
      </c>
      <c r="N1206" t="s">
        <v>135</v>
      </c>
      <c r="O1206"/>
      <c r="P1206"/>
      <c r="Q1206" t="s">
        <v>168</v>
      </c>
      <c r="R1206"/>
      <c r="S1206"/>
      <c r="T1206" t="s">
        <v>2165</v>
      </c>
      <c r="U1206" t="s">
        <v>137</v>
      </c>
      <c r="V1206" t="s">
        <v>320</v>
      </c>
      <c r="W1206"/>
      <c r="X1206" t="s">
        <v>117</v>
      </c>
      <c r="Y1206"/>
      <c r="Z1206"/>
      <c r="AA1206" t="s">
        <v>2163</v>
      </c>
      <c r="AB1206" t="s">
        <v>2</v>
      </c>
      <c r="AC1206" t="s">
        <v>138</v>
      </c>
      <c r="AD1206" t="s">
        <v>130</v>
      </c>
      <c r="AE1206" s="97"/>
    </row>
    <row r="1207" spans="1:31" ht="14.4" customHeight="1" x14ac:dyDescent="0.3">
      <c r="A1207" t="s">
        <v>3129</v>
      </c>
      <c r="B1207" t="s">
        <v>3130</v>
      </c>
      <c r="C1207"/>
      <c r="D1207"/>
      <c r="E1207"/>
      <c r="F1207"/>
      <c r="G1207" t="s">
        <v>2162</v>
      </c>
      <c r="H1207" t="s">
        <v>132</v>
      </c>
      <c r="I1207" t="s">
        <v>2</v>
      </c>
      <c r="J1207" t="s">
        <v>133</v>
      </c>
      <c r="K1207" t="s">
        <v>52</v>
      </c>
      <c r="L1207" t="s">
        <v>3120</v>
      </c>
      <c r="M1207" t="s">
        <v>134</v>
      </c>
      <c r="N1207" t="s">
        <v>135</v>
      </c>
      <c r="O1207"/>
      <c r="P1207"/>
      <c r="Q1207" t="s">
        <v>168</v>
      </c>
      <c r="R1207"/>
      <c r="S1207"/>
      <c r="T1207" t="s">
        <v>2165</v>
      </c>
      <c r="U1207" t="s">
        <v>137</v>
      </c>
      <c r="V1207" t="s">
        <v>320</v>
      </c>
      <c r="W1207"/>
      <c r="X1207" t="s">
        <v>117</v>
      </c>
      <c r="Y1207"/>
      <c r="Z1207"/>
      <c r="AA1207" t="s">
        <v>2163</v>
      </c>
      <c r="AB1207" t="s">
        <v>2</v>
      </c>
      <c r="AC1207" t="s">
        <v>138</v>
      </c>
      <c r="AD1207" t="s">
        <v>130</v>
      </c>
      <c r="AE1207" s="97"/>
    </row>
    <row r="1208" spans="1:31" ht="14.4" customHeight="1" x14ac:dyDescent="0.3">
      <c r="A1208" t="s">
        <v>3131</v>
      </c>
      <c r="B1208" t="s">
        <v>3132</v>
      </c>
      <c r="C1208"/>
      <c r="D1208"/>
      <c r="E1208"/>
      <c r="F1208"/>
      <c r="G1208" t="s">
        <v>2162</v>
      </c>
      <c r="H1208" t="s">
        <v>132</v>
      </c>
      <c r="I1208" t="s">
        <v>2</v>
      </c>
      <c r="J1208" t="s">
        <v>133</v>
      </c>
      <c r="K1208" t="s">
        <v>52</v>
      </c>
      <c r="L1208" t="s">
        <v>3133</v>
      </c>
      <c r="M1208" t="s">
        <v>134</v>
      </c>
      <c r="N1208" t="s">
        <v>135</v>
      </c>
      <c r="O1208"/>
      <c r="P1208"/>
      <c r="Q1208" t="s">
        <v>168</v>
      </c>
      <c r="R1208"/>
      <c r="S1208"/>
      <c r="T1208" t="s">
        <v>2165</v>
      </c>
      <c r="U1208" t="s">
        <v>137</v>
      </c>
      <c r="V1208" t="s">
        <v>147</v>
      </c>
      <c r="W1208"/>
      <c r="X1208" t="s">
        <v>70</v>
      </c>
      <c r="Y1208"/>
      <c r="Z1208"/>
      <c r="AA1208" t="s">
        <v>2163</v>
      </c>
      <c r="AB1208" t="s">
        <v>2</v>
      </c>
      <c r="AC1208" t="s">
        <v>138</v>
      </c>
      <c r="AD1208" t="s">
        <v>128</v>
      </c>
      <c r="AE1208" s="97"/>
    </row>
    <row r="1209" spans="1:31" ht="14.4" customHeight="1" x14ac:dyDescent="0.3">
      <c r="A1209" t="s">
        <v>3134</v>
      </c>
      <c r="B1209" t="s">
        <v>3135</v>
      </c>
      <c r="C1209"/>
      <c r="D1209"/>
      <c r="E1209"/>
      <c r="F1209"/>
      <c r="G1209" t="s">
        <v>2162</v>
      </c>
      <c r="H1209" t="s">
        <v>132</v>
      </c>
      <c r="I1209" t="s">
        <v>2</v>
      </c>
      <c r="J1209" t="s">
        <v>133</v>
      </c>
      <c r="K1209" t="s">
        <v>52</v>
      </c>
      <c r="L1209" t="s">
        <v>3133</v>
      </c>
      <c r="M1209" t="s">
        <v>134</v>
      </c>
      <c r="N1209" t="s">
        <v>135</v>
      </c>
      <c r="O1209"/>
      <c r="P1209"/>
      <c r="Q1209" t="s">
        <v>168</v>
      </c>
      <c r="R1209"/>
      <c r="S1209"/>
      <c r="T1209" t="s">
        <v>2165</v>
      </c>
      <c r="U1209" t="s">
        <v>137</v>
      </c>
      <c r="V1209" t="s">
        <v>147</v>
      </c>
      <c r="W1209"/>
      <c r="X1209" t="s">
        <v>70</v>
      </c>
      <c r="Y1209"/>
      <c r="Z1209"/>
      <c r="AA1209" t="s">
        <v>2163</v>
      </c>
      <c r="AB1209" t="s">
        <v>2</v>
      </c>
      <c r="AC1209" t="s">
        <v>138</v>
      </c>
      <c r="AD1209" t="s">
        <v>128</v>
      </c>
      <c r="AE1209" s="97"/>
    </row>
    <row r="1210" spans="1:31" ht="14.4" customHeight="1" x14ac:dyDescent="0.3">
      <c r="A1210" t="s">
        <v>3136</v>
      </c>
      <c r="B1210" t="s">
        <v>3137</v>
      </c>
      <c r="C1210"/>
      <c r="D1210"/>
      <c r="E1210"/>
      <c r="F1210"/>
      <c r="G1210" t="s">
        <v>2162</v>
      </c>
      <c r="H1210" t="s">
        <v>132</v>
      </c>
      <c r="I1210" t="s">
        <v>2</v>
      </c>
      <c r="J1210" t="s">
        <v>133</v>
      </c>
      <c r="K1210" t="s">
        <v>52</v>
      </c>
      <c r="L1210" t="s">
        <v>3133</v>
      </c>
      <c r="M1210" t="s">
        <v>134</v>
      </c>
      <c r="N1210" t="s">
        <v>135</v>
      </c>
      <c r="O1210"/>
      <c r="P1210"/>
      <c r="Q1210" t="s">
        <v>168</v>
      </c>
      <c r="R1210"/>
      <c r="S1210"/>
      <c r="T1210" t="s">
        <v>2165</v>
      </c>
      <c r="U1210" t="s">
        <v>137</v>
      </c>
      <c r="V1210" t="s">
        <v>147</v>
      </c>
      <c r="W1210"/>
      <c r="X1210" t="s">
        <v>70</v>
      </c>
      <c r="Y1210"/>
      <c r="Z1210"/>
      <c r="AA1210" t="s">
        <v>2163</v>
      </c>
      <c r="AB1210" t="s">
        <v>2</v>
      </c>
      <c r="AC1210" t="s">
        <v>138</v>
      </c>
      <c r="AD1210" t="s">
        <v>128</v>
      </c>
      <c r="AE1210" s="97"/>
    </row>
    <row r="1211" spans="1:31" ht="14.4" customHeight="1" x14ac:dyDescent="0.3">
      <c r="A1211" t="s">
        <v>3138</v>
      </c>
      <c r="B1211" t="s">
        <v>3139</v>
      </c>
      <c r="C1211"/>
      <c r="D1211"/>
      <c r="E1211"/>
      <c r="F1211"/>
      <c r="G1211" t="s">
        <v>2162</v>
      </c>
      <c r="H1211" t="s">
        <v>132</v>
      </c>
      <c r="I1211" t="s">
        <v>2</v>
      </c>
      <c r="J1211" t="s">
        <v>133</v>
      </c>
      <c r="K1211" t="s">
        <v>52</v>
      </c>
      <c r="L1211" t="s">
        <v>3140</v>
      </c>
      <c r="M1211" t="s">
        <v>134</v>
      </c>
      <c r="N1211" t="s">
        <v>135</v>
      </c>
      <c r="O1211"/>
      <c r="P1211"/>
      <c r="Q1211" t="s">
        <v>168</v>
      </c>
      <c r="R1211"/>
      <c r="S1211"/>
      <c r="T1211" t="s">
        <v>2165</v>
      </c>
      <c r="U1211" t="s">
        <v>137</v>
      </c>
      <c r="V1211" t="s">
        <v>147</v>
      </c>
      <c r="W1211"/>
      <c r="X1211" t="s">
        <v>70</v>
      </c>
      <c r="Y1211"/>
      <c r="Z1211"/>
      <c r="AA1211" t="s">
        <v>2163</v>
      </c>
      <c r="AB1211" t="s">
        <v>2</v>
      </c>
      <c r="AC1211" t="s">
        <v>138</v>
      </c>
      <c r="AD1211" t="s">
        <v>128</v>
      </c>
      <c r="AE1211" s="97"/>
    </row>
    <row r="1212" spans="1:31" ht="14.4" customHeight="1" x14ac:dyDescent="0.3">
      <c r="A1212" t="s">
        <v>3141</v>
      </c>
      <c r="B1212" t="s">
        <v>3142</v>
      </c>
      <c r="C1212"/>
      <c r="D1212"/>
      <c r="E1212"/>
      <c r="F1212"/>
      <c r="G1212" t="s">
        <v>2162</v>
      </c>
      <c r="H1212" t="s">
        <v>132</v>
      </c>
      <c r="I1212" t="s">
        <v>2</v>
      </c>
      <c r="J1212" t="s">
        <v>133</v>
      </c>
      <c r="K1212" t="s">
        <v>52</v>
      </c>
      <c r="L1212" t="s">
        <v>3140</v>
      </c>
      <c r="M1212" t="s">
        <v>134</v>
      </c>
      <c r="N1212" t="s">
        <v>135</v>
      </c>
      <c r="O1212"/>
      <c r="P1212"/>
      <c r="Q1212" t="s">
        <v>168</v>
      </c>
      <c r="R1212"/>
      <c r="S1212"/>
      <c r="T1212" t="s">
        <v>2165</v>
      </c>
      <c r="U1212" t="s">
        <v>137</v>
      </c>
      <c r="V1212" t="s">
        <v>147</v>
      </c>
      <c r="W1212"/>
      <c r="X1212" t="s">
        <v>70</v>
      </c>
      <c r="Y1212"/>
      <c r="Z1212"/>
      <c r="AA1212" t="s">
        <v>2163</v>
      </c>
      <c r="AB1212" t="s">
        <v>2</v>
      </c>
      <c r="AC1212" t="s">
        <v>138</v>
      </c>
      <c r="AD1212" t="s">
        <v>128</v>
      </c>
      <c r="AE1212" s="97"/>
    </row>
    <row r="1213" spans="1:31" ht="14.4" customHeight="1" x14ac:dyDescent="0.3">
      <c r="A1213" t="s">
        <v>3143</v>
      </c>
      <c r="B1213" t="s">
        <v>3144</v>
      </c>
      <c r="C1213"/>
      <c r="D1213"/>
      <c r="E1213"/>
      <c r="F1213"/>
      <c r="G1213" t="s">
        <v>2162</v>
      </c>
      <c r="H1213" t="s">
        <v>132</v>
      </c>
      <c r="I1213" t="s">
        <v>2</v>
      </c>
      <c r="J1213" t="s">
        <v>133</v>
      </c>
      <c r="K1213" t="s">
        <v>52</v>
      </c>
      <c r="L1213" t="s">
        <v>3140</v>
      </c>
      <c r="M1213" t="s">
        <v>134</v>
      </c>
      <c r="N1213" t="s">
        <v>135</v>
      </c>
      <c r="O1213"/>
      <c r="P1213"/>
      <c r="Q1213" t="s">
        <v>168</v>
      </c>
      <c r="R1213"/>
      <c r="S1213"/>
      <c r="T1213" t="s">
        <v>2165</v>
      </c>
      <c r="U1213" t="s">
        <v>137</v>
      </c>
      <c r="V1213" t="s">
        <v>147</v>
      </c>
      <c r="W1213"/>
      <c r="X1213" t="s">
        <v>70</v>
      </c>
      <c r="Y1213"/>
      <c r="Z1213"/>
      <c r="AA1213" t="s">
        <v>2163</v>
      </c>
      <c r="AB1213" t="s">
        <v>2</v>
      </c>
      <c r="AC1213" t="s">
        <v>138</v>
      </c>
      <c r="AD1213" t="s">
        <v>128</v>
      </c>
      <c r="AE1213" s="97"/>
    </row>
    <row r="1214" spans="1:31" ht="14.4" customHeight="1" x14ac:dyDescent="0.3">
      <c r="A1214" t="s">
        <v>3145</v>
      </c>
      <c r="B1214" t="s">
        <v>3146</v>
      </c>
      <c r="C1214"/>
      <c r="D1214"/>
      <c r="E1214"/>
      <c r="F1214"/>
      <c r="G1214" t="s">
        <v>2162</v>
      </c>
      <c r="H1214" t="s">
        <v>132</v>
      </c>
      <c r="I1214" t="s">
        <v>2</v>
      </c>
      <c r="J1214" t="s">
        <v>133</v>
      </c>
      <c r="K1214" t="s">
        <v>52</v>
      </c>
      <c r="L1214" t="s">
        <v>3147</v>
      </c>
      <c r="M1214" t="s">
        <v>134</v>
      </c>
      <c r="N1214" t="s">
        <v>135</v>
      </c>
      <c r="O1214"/>
      <c r="P1214"/>
      <c r="Q1214" t="s">
        <v>168</v>
      </c>
      <c r="R1214"/>
      <c r="S1214"/>
      <c r="T1214" t="s">
        <v>2165</v>
      </c>
      <c r="U1214" t="s">
        <v>137</v>
      </c>
      <c r="V1214" t="s">
        <v>147</v>
      </c>
      <c r="W1214"/>
      <c r="X1214" t="s">
        <v>70</v>
      </c>
      <c r="Y1214"/>
      <c r="Z1214"/>
      <c r="AA1214" t="s">
        <v>2163</v>
      </c>
      <c r="AB1214" t="s">
        <v>2</v>
      </c>
      <c r="AC1214" t="s">
        <v>138</v>
      </c>
      <c r="AD1214" t="s">
        <v>128</v>
      </c>
      <c r="AE1214" s="97"/>
    </row>
    <row r="1215" spans="1:31" ht="14.4" customHeight="1" x14ac:dyDescent="0.3">
      <c r="A1215" t="s">
        <v>3148</v>
      </c>
      <c r="B1215" t="s">
        <v>3149</v>
      </c>
      <c r="C1215"/>
      <c r="D1215"/>
      <c r="E1215"/>
      <c r="F1215"/>
      <c r="G1215" t="s">
        <v>2162</v>
      </c>
      <c r="H1215" t="s">
        <v>132</v>
      </c>
      <c r="I1215" t="s">
        <v>2</v>
      </c>
      <c r="J1215" t="s">
        <v>133</v>
      </c>
      <c r="K1215" t="s">
        <v>52</v>
      </c>
      <c r="L1215" t="s">
        <v>3147</v>
      </c>
      <c r="M1215" t="s">
        <v>134</v>
      </c>
      <c r="N1215" t="s">
        <v>135</v>
      </c>
      <c r="O1215"/>
      <c r="P1215"/>
      <c r="Q1215" t="s">
        <v>168</v>
      </c>
      <c r="R1215"/>
      <c r="S1215"/>
      <c r="T1215" t="s">
        <v>2165</v>
      </c>
      <c r="U1215" t="s">
        <v>137</v>
      </c>
      <c r="V1215" t="s">
        <v>147</v>
      </c>
      <c r="W1215"/>
      <c r="X1215" t="s">
        <v>70</v>
      </c>
      <c r="Y1215"/>
      <c r="Z1215"/>
      <c r="AA1215" t="s">
        <v>2163</v>
      </c>
      <c r="AB1215" t="s">
        <v>2</v>
      </c>
      <c r="AC1215" t="s">
        <v>138</v>
      </c>
      <c r="AD1215" t="s">
        <v>128</v>
      </c>
      <c r="AE1215" s="97"/>
    </row>
    <row r="1216" spans="1:31" ht="14.4" customHeight="1" x14ac:dyDescent="0.3">
      <c r="A1216" t="s">
        <v>3150</v>
      </c>
      <c r="B1216" t="s">
        <v>3151</v>
      </c>
      <c r="C1216"/>
      <c r="D1216"/>
      <c r="E1216"/>
      <c r="F1216"/>
      <c r="G1216" t="s">
        <v>2162</v>
      </c>
      <c r="H1216" t="s">
        <v>132</v>
      </c>
      <c r="I1216" t="s">
        <v>2</v>
      </c>
      <c r="J1216" t="s">
        <v>133</v>
      </c>
      <c r="K1216" t="s">
        <v>52</v>
      </c>
      <c r="L1216" t="s">
        <v>3147</v>
      </c>
      <c r="M1216" t="s">
        <v>134</v>
      </c>
      <c r="N1216" t="s">
        <v>135</v>
      </c>
      <c r="O1216"/>
      <c r="P1216"/>
      <c r="Q1216" t="s">
        <v>168</v>
      </c>
      <c r="R1216"/>
      <c r="S1216"/>
      <c r="T1216" t="s">
        <v>2165</v>
      </c>
      <c r="U1216" t="s">
        <v>137</v>
      </c>
      <c r="V1216" t="s">
        <v>147</v>
      </c>
      <c r="W1216"/>
      <c r="X1216" t="s">
        <v>70</v>
      </c>
      <c r="Y1216"/>
      <c r="Z1216"/>
      <c r="AA1216" t="s">
        <v>2163</v>
      </c>
      <c r="AB1216" t="s">
        <v>2</v>
      </c>
      <c r="AC1216" t="s">
        <v>138</v>
      </c>
      <c r="AD1216" t="s">
        <v>128</v>
      </c>
      <c r="AE1216" s="97"/>
    </row>
    <row r="1217" spans="1:31" ht="14.4" customHeight="1" x14ac:dyDescent="0.3">
      <c r="A1217" t="s">
        <v>3152</v>
      </c>
      <c r="B1217" t="s">
        <v>3153</v>
      </c>
      <c r="C1217"/>
      <c r="D1217"/>
      <c r="E1217"/>
      <c r="F1217"/>
      <c r="G1217" t="s">
        <v>2162</v>
      </c>
      <c r="H1217" t="s">
        <v>132</v>
      </c>
      <c r="I1217" t="s">
        <v>2</v>
      </c>
      <c r="J1217" t="s">
        <v>133</v>
      </c>
      <c r="K1217" t="s">
        <v>52</v>
      </c>
      <c r="L1217" t="s">
        <v>3154</v>
      </c>
      <c r="M1217" t="s">
        <v>134</v>
      </c>
      <c r="N1217" t="s">
        <v>135</v>
      </c>
      <c r="O1217"/>
      <c r="P1217"/>
      <c r="Q1217" t="s">
        <v>168</v>
      </c>
      <c r="R1217"/>
      <c r="S1217"/>
      <c r="T1217" t="s">
        <v>2165</v>
      </c>
      <c r="U1217" t="s">
        <v>137</v>
      </c>
      <c r="V1217" t="s">
        <v>156</v>
      </c>
      <c r="W1217"/>
      <c r="X1217" t="s">
        <v>97</v>
      </c>
      <c r="Y1217"/>
      <c r="Z1217"/>
      <c r="AA1217" t="s">
        <v>2163</v>
      </c>
      <c r="AB1217" t="s">
        <v>2</v>
      </c>
      <c r="AC1217" t="s">
        <v>138</v>
      </c>
      <c r="AD1217" t="s">
        <v>129</v>
      </c>
      <c r="AE1217" s="97"/>
    </row>
    <row r="1218" spans="1:31" ht="14.4" customHeight="1" x14ac:dyDescent="0.3">
      <c r="A1218" t="s">
        <v>3155</v>
      </c>
      <c r="B1218" t="s">
        <v>3156</v>
      </c>
      <c r="C1218"/>
      <c r="D1218"/>
      <c r="E1218"/>
      <c r="F1218"/>
      <c r="G1218" t="s">
        <v>2162</v>
      </c>
      <c r="H1218" t="s">
        <v>132</v>
      </c>
      <c r="I1218" t="s">
        <v>2</v>
      </c>
      <c r="J1218" t="s">
        <v>133</v>
      </c>
      <c r="K1218" t="s">
        <v>52</v>
      </c>
      <c r="L1218" t="s">
        <v>3154</v>
      </c>
      <c r="M1218" t="s">
        <v>134</v>
      </c>
      <c r="N1218" t="s">
        <v>135</v>
      </c>
      <c r="O1218"/>
      <c r="P1218"/>
      <c r="Q1218" t="s">
        <v>168</v>
      </c>
      <c r="R1218"/>
      <c r="S1218"/>
      <c r="T1218" t="s">
        <v>2165</v>
      </c>
      <c r="U1218" t="s">
        <v>137</v>
      </c>
      <c r="V1218" t="s">
        <v>156</v>
      </c>
      <c r="W1218"/>
      <c r="X1218" t="s">
        <v>97</v>
      </c>
      <c r="Y1218"/>
      <c r="Z1218"/>
      <c r="AA1218" t="s">
        <v>2163</v>
      </c>
      <c r="AB1218" t="s">
        <v>2</v>
      </c>
      <c r="AC1218" t="s">
        <v>138</v>
      </c>
      <c r="AD1218" t="s">
        <v>129</v>
      </c>
      <c r="AE1218" s="97"/>
    </row>
    <row r="1219" spans="1:31" ht="14.4" customHeight="1" x14ac:dyDescent="0.3">
      <c r="A1219" t="s">
        <v>3157</v>
      </c>
      <c r="B1219" t="s">
        <v>3158</v>
      </c>
      <c r="C1219"/>
      <c r="D1219"/>
      <c r="E1219"/>
      <c r="F1219"/>
      <c r="G1219" t="s">
        <v>2162</v>
      </c>
      <c r="H1219" t="s">
        <v>132</v>
      </c>
      <c r="I1219" t="s">
        <v>2</v>
      </c>
      <c r="J1219" t="s">
        <v>133</v>
      </c>
      <c r="K1219" t="s">
        <v>52</v>
      </c>
      <c r="L1219" t="s">
        <v>3154</v>
      </c>
      <c r="M1219" t="s">
        <v>134</v>
      </c>
      <c r="N1219" t="s">
        <v>135</v>
      </c>
      <c r="O1219"/>
      <c r="P1219"/>
      <c r="Q1219" t="s">
        <v>168</v>
      </c>
      <c r="R1219"/>
      <c r="S1219"/>
      <c r="T1219" t="s">
        <v>2165</v>
      </c>
      <c r="U1219" t="s">
        <v>137</v>
      </c>
      <c r="V1219" t="s">
        <v>156</v>
      </c>
      <c r="W1219"/>
      <c r="X1219" t="s">
        <v>97</v>
      </c>
      <c r="Y1219"/>
      <c r="Z1219"/>
      <c r="AA1219" t="s">
        <v>2163</v>
      </c>
      <c r="AB1219" t="s">
        <v>2</v>
      </c>
      <c r="AC1219" t="s">
        <v>138</v>
      </c>
      <c r="AD1219" t="s">
        <v>129</v>
      </c>
      <c r="AE1219" s="97"/>
    </row>
    <row r="1220" spans="1:31" ht="14.4" customHeight="1" x14ac:dyDescent="0.3">
      <c r="A1220" t="s">
        <v>3159</v>
      </c>
      <c r="B1220" t="s">
        <v>3160</v>
      </c>
      <c r="C1220"/>
      <c r="D1220"/>
      <c r="E1220"/>
      <c r="F1220"/>
      <c r="G1220" t="s">
        <v>2162</v>
      </c>
      <c r="H1220" t="s">
        <v>132</v>
      </c>
      <c r="I1220" t="s">
        <v>2</v>
      </c>
      <c r="J1220" t="s">
        <v>133</v>
      </c>
      <c r="K1220" t="s">
        <v>52</v>
      </c>
      <c r="L1220" t="s">
        <v>3161</v>
      </c>
      <c r="M1220" t="s">
        <v>134</v>
      </c>
      <c r="N1220" t="s">
        <v>135</v>
      </c>
      <c r="O1220"/>
      <c r="P1220"/>
      <c r="Q1220" t="s">
        <v>168</v>
      </c>
      <c r="R1220"/>
      <c r="S1220"/>
      <c r="T1220" t="s">
        <v>2165</v>
      </c>
      <c r="U1220" t="s">
        <v>137</v>
      </c>
      <c r="V1220" t="s">
        <v>156</v>
      </c>
      <c r="W1220"/>
      <c r="X1220" t="s">
        <v>97</v>
      </c>
      <c r="Y1220"/>
      <c r="Z1220"/>
      <c r="AA1220" t="s">
        <v>2163</v>
      </c>
      <c r="AB1220" t="s">
        <v>2</v>
      </c>
      <c r="AC1220" t="s">
        <v>138</v>
      </c>
      <c r="AD1220" t="s">
        <v>129</v>
      </c>
      <c r="AE1220" s="97"/>
    </row>
    <row r="1221" spans="1:31" ht="14.4" customHeight="1" x14ac:dyDescent="0.3">
      <c r="A1221" t="s">
        <v>3162</v>
      </c>
      <c r="B1221" t="s">
        <v>3163</v>
      </c>
      <c r="C1221"/>
      <c r="D1221"/>
      <c r="E1221"/>
      <c r="F1221"/>
      <c r="G1221" t="s">
        <v>2162</v>
      </c>
      <c r="H1221" t="s">
        <v>132</v>
      </c>
      <c r="I1221" t="s">
        <v>2</v>
      </c>
      <c r="J1221" t="s">
        <v>133</v>
      </c>
      <c r="K1221" t="s">
        <v>52</v>
      </c>
      <c r="L1221" t="s">
        <v>3161</v>
      </c>
      <c r="M1221" t="s">
        <v>134</v>
      </c>
      <c r="N1221" t="s">
        <v>135</v>
      </c>
      <c r="O1221"/>
      <c r="P1221"/>
      <c r="Q1221" t="s">
        <v>168</v>
      </c>
      <c r="R1221"/>
      <c r="S1221"/>
      <c r="T1221" t="s">
        <v>2165</v>
      </c>
      <c r="U1221" t="s">
        <v>137</v>
      </c>
      <c r="V1221" t="s">
        <v>156</v>
      </c>
      <c r="W1221"/>
      <c r="X1221" t="s">
        <v>97</v>
      </c>
      <c r="Y1221"/>
      <c r="Z1221"/>
      <c r="AA1221" t="s">
        <v>2163</v>
      </c>
      <c r="AB1221" t="s">
        <v>2</v>
      </c>
      <c r="AC1221" t="s">
        <v>138</v>
      </c>
      <c r="AD1221" t="s">
        <v>129</v>
      </c>
      <c r="AE1221" s="97"/>
    </row>
    <row r="1222" spans="1:31" ht="14.4" customHeight="1" x14ac:dyDescent="0.3">
      <c r="A1222" t="s">
        <v>3164</v>
      </c>
      <c r="B1222" t="s">
        <v>3165</v>
      </c>
      <c r="C1222"/>
      <c r="D1222"/>
      <c r="E1222"/>
      <c r="F1222"/>
      <c r="G1222" t="s">
        <v>2162</v>
      </c>
      <c r="H1222" t="s">
        <v>132</v>
      </c>
      <c r="I1222" t="s">
        <v>2</v>
      </c>
      <c r="J1222" t="s">
        <v>133</v>
      </c>
      <c r="K1222" t="s">
        <v>52</v>
      </c>
      <c r="L1222" t="s">
        <v>3161</v>
      </c>
      <c r="M1222" t="s">
        <v>134</v>
      </c>
      <c r="N1222" t="s">
        <v>135</v>
      </c>
      <c r="O1222"/>
      <c r="P1222"/>
      <c r="Q1222" t="s">
        <v>168</v>
      </c>
      <c r="R1222"/>
      <c r="S1222"/>
      <c r="T1222" t="s">
        <v>2165</v>
      </c>
      <c r="U1222" t="s">
        <v>137</v>
      </c>
      <c r="V1222" t="s">
        <v>156</v>
      </c>
      <c r="W1222"/>
      <c r="X1222" t="s">
        <v>97</v>
      </c>
      <c r="Y1222"/>
      <c r="Z1222"/>
      <c r="AA1222" t="s">
        <v>2163</v>
      </c>
      <c r="AB1222" t="s">
        <v>2</v>
      </c>
      <c r="AC1222" t="s">
        <v>138</v>
      </c>
      <c r="AD1222" t="s">
        <v>129</v>
      </c>
      <c r="AE1222" s="97"/>
    </row>
    <row r="1223" spans="1:31" ht="14.4" customHeight="1" x14ac:dyDescent="0.3">
      <c r="A1223" t="s">
        <v>3166</v>
      </c>
      <c r="B1223" t="s">
        <v>3167</v>
      </c>
      <c r="C1223"/>
      <c r="D1223"/>
      <c r="E1223"/>
      <c r="F1223"/>
      <c r="G1223" t="s">
        <v>2162</v>
      </c>
      <c r="H1223" t="s">
        <v>132</v>
      </c>
      <c r="I1223" t="s">
        <v>2</v>
      </c>
      <c r="J1223" t="s">
        <v>133</v>
      </c>
      <c r="K1223" t="s">
        <v>52</v>
      </c>
      <c r="L1223" t="s">
        <v>3168</v>
      </c>
      <c r="M1223" t="s">
        <v>134</v>
      </c>
      <c r="N1223" t="s">
        <v>135</v>
      </c>
      <c r="O1223"/>
      <c r="P1223"/>
      <c r="Q1223" t="s">
        <v>168</v>
      </c>
      <c r="R1223"/>
      <c r="S1223"/>
      <c r="T1223" t="s">
        <v>2165</v>
      </c>
      <c r="U1223" t="s">
        <v>137</v>
      </c>
      <c r="V1223" t="s">
        <v>162</v>
      </c>
      <c r="W1223"/>
      <c r="X1223" t="s">
        <v>113</v>
      </c>
      <c r="Y1223"/>
      <c r="Z1223"/>
      <c r="AA1223" t="s">
        <v>2163</v>
      </c>
      <c r="AB1223" t="s">
        <v>2</v>
      </c>
      <c r="AC1223" t="s">
        <v>138</v>
      </c>
      <c r="AD1223" t="s">
        <v>129</v>
      </c>
      <c r="AE1223" s="97"/>
    </row>
    <row r="1224" spans="1:31" ht="14.4" customHeight="1" x14ac:dyDescent="0.3">
      <c r="A1224" t="s">
        <v>3169</v>
      </c>
      <c r="B1224" t="s">
        <v>3170</v>
      </c>
      <c r="C1224"/>
      <c r="D1224"/>
      <c r="E1224"/>
      <c r="F1224"/>
      <c r="G1224" t="s">
        <v>2162</v>
      </c>
      <c r="H1224" t="s">
        <v>132</v>
      </c>
      <c r="I1224" t="s">
        <v>2</v>
      </c>
      <c r="J1224" t="s">
        <v>133</v>
      </c>
      <c r="K1224" t="s">
        <v>52</v>
      </c>
      <c r="L1224" t="s">
        <v>3168</v>
      </c>
      <c r="M1224" t="s">
        <v>134</v>
      </c>
      <c r="N1224" t="s">
        <v>135</v>
      </c>
      <c r="O1224"/>
      <c r="P1224"/>
      <c r="Q1224" t="s">
        <v>168</v>
      </c>
      <c r="R1224"/>
      <c r="S1224"/>
      <c r="T1224" t="s">
        <v>2165</v>
      </c>
      <c r="U1224" t="s">
        <v>137</v>
      </c>
      <c r="V1224" t="s">
        <v>162</v>
      </c>
      <c r="W1224"/>
      <c r="X1224" t="s">
        <v>113</v>
      </c>
      <c r="Y1224"/>
      <c r="Z1224"/>
      <c r="AA1224" t="s">
        <v>2163</v>
      </c>
      <c r="AB1224" t="s">
        <v>2</v>
      </c>
      <c r="AC1224" t="s">
        <v>138</v>
      </c>
      <c r="AD1224" t="s">
        <v>129</v>
      </c>
      <c r="AE1224" s="97"/>
    </row>
    <row r="1225" spans="1:31" ht="14.4" customHeight="1" x14ac:dyDescent="0.3">
      <c r="A1225" t="s">
        <v>3171</v>
      </c>
      <c r="B1225" t="s">
        <v>3172</v>
      </c>
      <c r="C1225"/>
      <c r="D1225"/>
      <c r="E1225"/>
      <c r="F1225"/>
      <c r="G1225" t="s">
        <v>2162</v>
      </c>
      <c r="H1225" t="s">
        <v>132</v>
      </c>
      <c r="I1225" t="s">
        <v>2</v>
      </c>
      <c r="J1225" t="s">
        <v>133</v>
      </c>
      <c r="K1225" t="s">
        <v>52</v>
      </c>
      <c r="L1225" t="s">
        <v>3168</v>
      </c>
      <c r="M1225" t="s">
        <v>134</v>
      </c>
      <c r="N1225" t="s">
        <v>135</v>
      </c>
      <c r="O1225"/>
      <c r="P1225"/>
      <c r="Q1225" t="s">
        <v>168</v>
      </c>
      <c r="R1225"/>
      <c r="S1225"/>
      <c r="T1225" t="s">
        <v>2165</v>
      </c>
      <c r="U1225" t="s">
        <v>137</v>
      </c>
      <c r="V1225" t="s">
        <v>162</v>
      </c>
      <c r="W1225"/>
      <c r="X1225" t="s">
        <v>113</v>
      </c>
      <c r="Y1225"/>
      <c r="Z1225"/>
      <c r="AA1225" t="s">
        <v>2163</v>
      </c>
      <c r="AB1225" t="s">
        <v>2</v>
      </c>
      <c r="AC1225" t="s">
        <v>138</v>
      </c>
      <c r="AD1225" t="s">
        <v>129</v>
      </c>
      <c r="AE1225" s="97"/>
    </row>
    <row r="1226" spans="1:31" ht="14.4" customHeight="1" x14ac:dyDescent="0.3">
      <c r="A1226" t="s">
        <v>3173</v>
      </c>
      <c r="B1226" t="s">
        <v>3174</v>
      </c>
      <c r="C1226"/>
      <c r="D1226"/>
      <c r="E1226"/>
      <c r="F1226"/>
      <c r="G1226" t="s">
        <v>2162</v>
      </c>
      <c r="H1226" t="s">
        <v>132</v>
      </c>
      <c r="I1226" t="s">
        <v>2</v>
      </c>
      <c r="J1226" t="s">
        <v>133</v>
      </c>
      <c r="K1226" t="s">
        <v>52</v>
      </c>
      <c r="L1226" t="s">
        <v>3175</v>
      </c>
      <c r="M1226" t="s">
        <v>134</v>
      </c>
      <c r="N1226" t="s">
        <v>135</v>
      </c>
      <c r="O1226"/>
      <c r="P1226"/>
      <c r="Q1226" t="s">
        <v>168</v>
      </c>
      <c r="R1226"/>
      <c r="S1226"/>
      <c r="T1226" t="s">
        <v>2165</v>
      </c>
      <c r="U1226" t="s">
        <v>137</v>
      </c>
      <c r="V1226" t="s">
        <v>162</v>
      </c>
      <c r="W1226"/>
      <c r="X1226" t="s">
        <v>113</v>
      </c>
      <c r="Y1226"/>
      <c r="Z1226"/>
      <c r="AA1226" t="s">
        <v>2163</v>
      </c>
      <c r="AB1226" t="s">
        <v>2</v>
      </c>
      <c r="AC1226" t="s">
        <v>138</v>
      </c>
      <c r="AD1226" t="s">
        <v>129</v>
      </c>
      <c r="AE1226" s="97"/>
    </row>
    <row r="1227" spans="1:31" ht="14.4" customHeight="1" x14ac:dyDescent="0.3">
      <c r="A1227" t="s">
        <v>3176</v>
      </c>
      <c r="B1227" t="s">
        <v>3177</v>
      </c>
      <c r="C1227"/>
      <c r="D1227"/>
      <c r="E1227"/>
      <c r="F1227"/>
      <c r="G1227" t="s">
        <v>2162</v>
      </c>
      <c r="H1227" t="s">
        <v>132</v>
      </c>
      <c r="I1227" t="s">
        <v>2</v>
      </c>
      <c r="J1227" t="s">
        <v>133</v>
      </c>
      <c r="K1227" t="s">
        <v>52</v>
      </c>
      <c r="L1227" t="s">
        <v>3175</v>
      </c>
      <c r="M1227" t="s">
        <v>134</v>
      </c>
      <c r="N1227" t="s">
        <v>135</v>
      </c>
      <c r="O1227"/>
      <c r="P1227"/>
      <c r="Q1227" t="s">
        <v>168</v>
      </c>
      <c r="R1227"/>
      <c r="S1227"/>
      <c r="T1227" t="s">
        <v>2165</v>
      </c>
      <c r="U1227" t="s">
        <v>137</v>
      </c>
      <c r="V1227" t="s">
        <v>162</v>
      </c>
      <c r="W1227"/>
      <c r="X1227" t="s">
        <v>113</v>
      </c>
      <c r="Y1227"/>
      <c r="Z1227"/>
      <c r="AA1227" t="s">
        <v>2163</v>
      </c>
      <c r="AB1227" t="s">
        <v>2</v>
      </c>
      <c r="AC1227" t="s">
        <v>138</v>
      </c>
      <c r="AD1227" t="s">
        <v>129</v>
      </c>
      <c r="AE1227" s="97"/>
    </row>
    <row r="1228" spans="1:31" ht="14.4" customHeight="1" x14ac:dyDescent="0.3">
      <c r="A1228" t="s">
        <v>3178</v>
      </c>
      <c r="B1228" t="s">
        <v>3179</v>
      </c>
      <c r="C1228"/>
      <c r="D1228"/>
      <c r="E1228"/>
      <c r="F1228"/>
      <c r="G1228" t="s">
        <v>2162</v>
      </c>
      <c r="H1228" t="s">
        <v>132</v>
      </c>
      <c r="I1228" t="s">
        <v>2</v>
      </c>
      <c r="J1228" t="s">
        <v>133</v>
      </c>
      <c r="K1228" t="s">
        <v>52</v>
      </c>
      <c r="L1228" t="s">
        <v>3175</v>
      </c>
      <c r="M1228" t="s">
        <v>134</v>
      </c>
      <c r="N1228" t="s">
        <v>135</v>
      </c>
      <c r="O1228"/>
      <c r="P1228"/>
      <c r="Q1228" t="s">
        <v>168</v>
      </c>
      <c r="R1228"/>
      <c r="S1228"/>
      <c r="T1228" t="s">
        <v>2165</v>
      </c>
      <c r="U1228" t="s">
        <v>137</v>
      </c>
      <c r="V1228" t="s">
        <v>162</v>
      </c>
      <c r="W1228"/>
      <c r="X1228" t="s">
        <v>113</v>
      </c>
      <c r="Y1228"/>
      <c r="Z1228"/>
      <c r="AA1228" t="s">
        <v>2163</v>
      </c>
      <c r="AB1228" t="s">
        <v>2</v>
      </c>
      <c r="AC1228" t="s">
        <v>138</v>
      </c>
      <c r="AD1228" t="s">
        <v>129</v>
      </c>
      <c r="AE1228" s="97"/>
    </row>
    <row r="1229" spans="1:31" ht="14.4" customHeight="1" x14ac:dyDescent="0.3">
      <c r="A1229" t="s">
        <v>3180</v>
      </c>
      <c r="B1229" t="s">
        <v>3181</v>
      </c>
      <c r="C1229"/>
      <c r="D1229"/>
      <c r="E1229"/>
      <c r="F1229"/>
      <c r="G1229" t="s">
        <v>2162</v>
      </c>
      <c r="H1229" t="s">
        <v>132</v>
      </c>
      <c r="I1229" t="s">
        <v>2</v>
      </c>
      <c r="J1229" t="s">
        <v>133</v>
      </c>
      <c r="K1229" t="s">
        <v>52</v>
      </c>
      <c r="L1229" t="s">
        <v>3182</v>
      </c>
      <c r="M1229" t="s">
        <v>134</v>
      </c>
      <c r="N1229" t="s">
        <v>135</v>
      </c>
      <c r="O1229"/>
      <c r="P1229"/>
      <c r="Q1229" t="s">
        <v>168</v>
      </c>
      <c r="R1229"/>
      <c r="S1229"/>
      <c r="T1229" t="s">
        <v>2165</v>
      </c>
      <c r="U1229" t="s">
        <v>137</v>
      </c>
      <c r="V1229" t="s">
        <v>352</v>
      </c>
      <c r="W1229"/>
      <c r="X1229" t="s">
        <v>56</v>
      </c>
      <c r="Y1229"/>
      <c r="Z1229"/>
      <c r="AA1229" t="s">
        <v>2163</v>
      </c>
      <c r="AB1229" t="s">
        <v>2</v>
      </c>
      <c r="AC1229" t="s">
        <v>138</v>
      </c>
      <c r="AD1229" t="s">
        <v>128</v>
      </c>
      <c r="AE1229" s="97"/>
    </row>
    <row r="1230" spans="1:31" ht="14.4" customHeight="1" x14ac:dyDescent="0.3">
      <c r="A1230" t="s">
        <v>3183</v>
      </c>
      <c r="B1230" t="s">
        <v>3184</v>
      </c>
      <c r="C1230"/>
      <c r="D1230"/>
      <c r="E1230"/>
      <c r="F1230"/>
      <c r="G1230" t="s">
        <v>2162</v>
      </c>
      <c r="H1230" t="s">
        <v>132</v>
      </c>
      <c r="I1230" t="s">
        <v>2</v>
      </c>
      <c r="J1230" t="s">
        <v>133</v>
      </c>
      <c r="K1230" t="s">
        <v>52</v>
      </c>
      <c r="L1230" t="s">
        <v>3185</v>
      </c>
      <c r="M1230" t="s">
        <v>134</v>
      </c>
      <c r="N1230" t="s">
        <v>135</v>
      </c>
      <c r="O1230"/>
      <c r="P1230"/>
      <c r="Q1230" t="s">
        <v>168</v>
      </c>
      <c r="R1230"/>
      <c r="S1230"/>
      <c r="T1230" t="s">
        <v>2165</v>
      </c>
      <c r="U1230" t="s">
        <v>137</v>
      </c>
      <c r="V1230" t="s">
        <v>358</v>
      </c>
      <c r="W1230"/>
      <c r="X1230" t="s">
        <v>124</v>
      </c>
      <c r="Y1230"/>
      <c r="Z1230"/>
      <c r="AA1230" t="s">
        <v>2163</v>
      </c>
      <c r="AB1230" t="s">
        <v>2</v>
      </c>
      <c r="AC1230" t="s">
        <v>138</v>
      </c>
      <c r="AD1230" t="s">
        <v>130</v>
      </c>
      <c r="AE1230" s="97"/>
    </row>
    <row r="1231" spans="1:31" ht="14.4" customHeight="1" x14ac:dyDescent="0.3">
      <c r="A1231" t="s">
        <v>3186</v>
      </c>
      <c r="B1231" t="s">
        <v>3187</v>
      </c>
      <c r="C1231"/>
      <c r="D1231"/>
      <c r="E1231"/>
      <c r="F1231"/>
      <c r="G1231" t="s">
        <v>2162</v>
      </c>
      <c r="H1231" t="s">
        <v>132</v>
      </c>
      <c r="I1231" t="s">
        <v>2</v>
      </c>
      <c r="J1231" t="s">
        <v>133</v>
      </c>
      <c r="K1231" t="s">
        <v>52</v>
      </c>
      <c r="L1231" t="s">
        <v>3188</v>
      </c>
      <c r="M1231" t="s">
        <v>134</v>
      </c>
      <c r="N1231" t="s">
        <v>135</v>
      </c>
      <c r="O1231"/>
      <c r="P1231"/>
      <c r="Q1231" t="s">
        <v>168</v>
      </c>
      <c r="R1231"/>
      <c r="S1231"/>
      <c r="T1231" t="s">
        <v>2165</v>
      </c>
      <c r="U1231" t="s">
        <v>137</v>
      </c>
      <c r="V1231" t="s">
        <v>358</v>
      </c>
      <c r="W1231"/>
      <c r="X1231" t="s">
        <v>124</v>
      </c>
      <c r="Y1231"/>
      <c r="Z1231"/>
      <c r="AA1231" t="s">
        <v>2163</v>
      </c>
      <c r="AB1231" t="s">
        <v>2</v>
      </c>
      <c r="AC1231" t="s">
        <v>138</v>
      </c>
      <c r="AD1231" t="s">
        <v>130</v>
      </c>
      <c r="AE1231" s="97"/>
    </row>
    <row r="1232" spans="1:31" ht="14.4" customHeight="1" x14ac:dyDescent="0.3">
      <c r="A1232" t="s">
        <v>3189</v>
      </c>
      <c r="B1232" t="s">
        <v>3190</v>
      </c>
      <c r="C1232"/>
      <c r="D1232"/>
      <c r="E1232"/>
      <c r="F1232"/>
      <c r="G1232" t="s">
        <v>2162</v>
      </c>
      <c r="H1232" t="s">
        <v>132</v>
      </c>
      <c r="I1232" t="s">
        <v>2</v>
      </c>
      <c r="J1232" t="s">
        <v>133</v>
      </c>
      <c r="K1232" t="s">
        <v>52</v>
      </c>
      <c r="L1232" t="s">
        <v>3191</v>
      </c>
      <c r="M1232" t="s">
        <v>134</v>
      </c>
      <c r="N1232" t="s">
        <v>135</v>
      </c>
      <c r="O1232"/>
      <c r="P1232"/>
      <c r="Q1232" t="s">
        <v>168</v>
      </c>
      <c r="R1232"/>
      <c r="S1232"/>
      <c r="T1232" t="s">
        <v>2165</v>
      </c>
      <c r="U1232" t="s">
        <v>137</v>
      </c>
      <c r="V1232" t="s">
        <v>358</v>
      </c>
      <c r="W1232"/>
      <c r="X1232" t="s">
        <v>124</v>
      </c>
      <c r="Y1232"/>
      <c r="Z1232"/>
      <c r="AA1232" t="s">
        <v>2163</v>
      </c>
      <c r="AB1232" t="s">
        <v>2</v>
      </c>
      <c r="AC1232" t="s">
        <v>138</v>
      </c>
      <c r="AD1232" t="s">
        <v>130</v>
      </c>
      <c r="AE1232" s="97"/>
    </row>
    <row r="1233" spans="1:31" ht="14.4" customHeight="1" x14ac:dyDescent="0.3">
      <c r="A1233" t="s">
        <v>3192</v>
      </c>
      <c r="B1233" t="s">
        <v>3193</v>
      </c>
      <c r="C1233"/>
      <c r="D1233"/>
      <c r="E1233"/>
      <c r="F1233"/>
      <c r="G1233" t="s">
        <v>2162</v>
      </c>
      <c r="H1233" t="s">
        <v>132</v>
      </c>
      <c r="I1233" t="s">
        <v>2</v>
      </c>
      <c r="J1233" t="s">
        <v>133</v>
      </c>
      <c r="K1233" t="s">
        <v>52</v>
      </c>
      <c r="L1233" t="s">
        <v>3194</v>
      </c>
      <c r="M1233" t="s">
        <v>134</v>
      </c>
      <c r="N1233" t="s">
        <v>135</v>
      </c>
      <c r="O1233"/>
      <c r="P1233"/>
      <c r="Q1233" t="s">
        <v>168</v>
      </c>
      <c r="R1233"/>
      <c r="S1233"/>
      <c r="T1233" t="s">
        <v>2165</v>
      </c>
      <c r="U1233" t="s">
        <v>137</v>
      </c>
      <c r="V1233" t="s">
        <v>358</v>
      </c>
      <c r="W1233"/>
      <c r="X1233" t="s">
        <v>124</v>
      </c>
      <c r="Y1233"/>
      <c r="Z1233"/>
      <c r="AA1233" t="s">
        <v>2163</v>
      </c>
      <c r="AB1233" t="s">
        <v>2</v>
      </c>
      <c r="AC1233" t="s">
        <v>138</v>
      </c>
      <c r="AD1233" t="s">
        <v>130</v>
      </c>
      <c r="AE1233" s="97"/>
    </row>
    <row r="1234" spans="1:31" ht="14.4" customHeight="1" x14ac:dyDescent="0.3">
      <c r="A1234" t="s">
        <v>3195</v>
      </c>
      <c r="B1234" t="s">
        <v>3196</v>
      </c>
      <c r="C1234"/>
      <c r="D1234"/>
      <c r="E1234"/>
      <c r="F1234"/>
      <c r="G1234" t="s">
        <v>2162</v>
      </c>
      <c r="H1234" t="s">
        <v>132</v>
      </c>
      <c r="I1234" t="s">
        <v>2</v>
      </c>
      <c r="J1234" t="s">
        <v>133</v>
      </c>
      <c r="K1234" t="s">
        <v>52</v>
      </c>
      <c r="L1234" t="s">
        <v>3197</v>
      </c>
      <c r="M1234" t="s">
        <v>134</v>
      </c>
      <c r="N1234" t="s">
        <v>135</v>
      </c>
      <c r="O1234"/>
      <c r="P1234"/>
      <c r="Q1234" t="s">
        <v>168</v>
      </c>
      <c r="R1234"/>
      <c r="S1234"/>
      <c r="T1234" t="s">
        <v>2165</v>
      </c>
      <c r="U1234" t="s">
        <v>137</v>
      </c>
      <c r="V1234" t="s">
        <v>358</v>
      </c>
      <c r="W1234"/>
      <c r="X1234" t="s">
        <v>124</v>
      </c>
      <c r="Y1234"/>
      <c r="Z1234"/>
      <c r="AA1234" t="s">
        <v>2163</v>
      </c>
      <c r="AB1234" t="s">
        <v>2</v>
      </c>
      <c r="AC1234" t="s">
        <v>138</v>
      </c>
      <c r="AD1234" t="s">
        <v>130</v>
      </c>
      <c r="AE1234" s="97"/>
    </row>
    <row r="1235" spans="1:31" ht="14.4" customHeight="1" x14ac:dyDescent="0.3">
      <c r="A1235" t="s">
        <v>3198</v>
      </c>
      <c r="B1235" t="s">
        <v>3199</v>
      </c>
      <c r="C1235"/>
      <c r="D1235"/>
      <c r="E1235"/>
      <c r="F1235"/>
      <c r="G1235" t="s">
        <v>2162</v>
      </c>
      <c r="H1235" t="s">
        <v>132</v>
      </c>
      <c r="I1235" t="s">
        <v>2</v>
      </c>
      <c r="J1235" t="s">
        <v>133</v>
      </c>
      <c r="K1235" t="s">
        <v>52</v>
      </c>
      <c r="L1235" t="s">
        <v>3200</v>
      </c>
      <c r="M1235" t="s">
        <v>134</v>
      </c>
      <c r="N1235" t="s">
        <v>135</v>
      </c>
      <c r="O1235"/>
      <c r="P1235"/>
      <c r="Q1235" t="s">
        <v>168</v>
      </c>
      <c r="R1235"/>
      <c r="S1235"/>
      <c r="T1235" t="s">
        <v>2165</v>
      </c>
      <c r="U1235" t="s">
        <v>137</v>
      </c>
      <c r="V1235" t="s">
        <v>358</v>
      </c>
      <c r="W1235"/>
      <c r="X1235" t="s">
        <v>124</v>
      </c>
      <c r="Y1235"/>
      <c r="Z1235"/>
      <c r="AA1235" t="s">
        <v>2163</v>
      </c>
      <c r="AB1235" t="s">
        <v>2</v>
      </c>
      <c r="AC1235" t="s">
        <v>138</v>
      </c>
      <c r="AD1235" t="s">
        <v>130</v>
      </c>
      <c r="AE1235" s="97"/>
    </row>
    <row r="1236" spans="1:31" ht="14.4" customHeight="1" x14ac:dyDescent="0.3">
      <c r="A1236" t="s">
        <v>3201</v>
      </c>
      <c r="B1236" t="s">
        <v>3202</v>
      </c>
      <c r="C1236"/>
      <c r="D1236"/>
      <c r="E1236"/>
      <c r="F1236"/>
      <c r="G1236" t="s">
        <v>2162</v>
      </c>
      <c r="H1236" t="s">
        <v>132</v>
      </c>
      <c r="I1236" t="s">
        <v>2</v>
      </c>
      <c r="J1236" t="s">
        <v>133</v>
      </c>
      <c r="K1236" t="s">
        <v>52</v>
      </c>
      <c r="L1236" t="s">
        <v>3203</v>
      </c>
      <c r="M1236" t="s">
        <v>134</v>
      </c>
      <c r="N1236" t="s">
        <v>135</v>
      </c>
      <c r="O1236"/>
      <c r="P1236"/>
      <c r="Q1236" t="s">
        <v>168</v>
      </c>
      <c r="R1236"/>
      <c r="S1236"/>
      <c r="T1236" t="s">
        <v>2165</v>
      </c>
      <c r="U1236" t="s">
        <v>137</v>
      </c>
      <c r="V1236" t="s">
        <v>358</v>
      </c>
      <c r="W1236"/>
      <c r="X1236" t="s">
        <v>124</v>
      </c>
      <c r="Y1236"/>
      <c r="Z1236"/>
      <c r="AA1236" t="s">
        <v>2163</v>
      </c>
      <c r="AB1236" t="s">
        <v>2</v>
      </c>
      <c r="AC1236" t="s">
        <v>138</v>
      </c>
      <c r="AD1236" t="s">
        <v>130</v>
      </c>
      <c r="AE1236" s="97"/>
    </row>
    <row r="1237" spans="1:31" ht="14.4" customHeight="1" x14ac:dyDescent="0.3">
      <c r="A1237" t="s">
        <v>3204</v>
      </c>
      <c r="B1237" t="s">
        <v>3205</v>
      </c>
      <c r="C1237"/>
      <c r="D1237"/>
      <c r="E1237"/>
      <c r="F1237"/>
      <c r="G1237" t="s">
        <v>2162</v>
      </c>
      <c r="H1237" t="s">
        <v>132</v>
      </c>
      <c r="I1237" t="s">
        <v>2</v>
      </c>
      <c r="J1237" t="s">
        <v>133</v>
      </c>
      <c r="K1237" t="s">
        <v>52</v>
      </c>
      <c r="L1237" t="s">
        <v>3206</v>
      </c>
      <c r="M1237" t="s">
        <v>134</v>
      </c>
      <c r="N1237" t="s">
        <v>135</v>
      </c>
      <c r="O1237"/>
      <c r="P1237"/>
      <c r="Q1237" t="s">
        <v>168</v>
      </c>
      <c r="R1237"/>
      <c r="S1237"/>
      <c r="T1237" t="s">
        <v>2165</v>
      </c>
      <c r="U1237" t="s">
        <v>137</v>
      </c>
      <c r="V1237" t="s">
        <v>358</v>
      </c>
      <c r="W1237"/>
      <c r="X1237" t="s">
        <v>124</v>
      </c>
      <c r="Y1237"/>
      <c r="Z1237"/>
      <c r="AA1237" t="s">
        <v>2163</v>
      </c>
      <c r="AB1237" t="s">
        <v>2</v>
      </c>
      <c r="AC1237" t="s">
        <v>138</v>
      </c>
      <c r="AD1237" t="s">
        <v>130</v>
      </c>
      <c r="AE1237" s="97"/>
    </row>
    <row r="1238" spans="1:31" ht="14.4" customHeight="1" x14ac:dyDescent="0.3">
      <c r="A1238" t="s">
        <v>3207</v>
      </c>
      <c r="B1238" t="s">
        <v>3208</v>
      </c>
      <c r="C1238"/>
      <c r="D1238"/>
      <c r="E1238"/>
      <c r="F1238"/>
      <c r="G1238" t="s">
        <v>2162</v>
      </c>
      <c r="H1238" t="s">
        <v>132</v>
      </c>
      <c r="I1238" t="s">
        <v>2</v>
      </c>
      <c r="J1238" t="s">
        <v>133</v>
      </c>
      <c r="K1238" t="s">
        <v>52</v>
      </c>
      <c r="L1238" t="s">
        <v>3185</v>
      </c>
      <c r="M1238" t="s">
        <v>134</v>
      </c>
      <c r="N1238" t="s">
        <v>135</v>
      </c>
      <c r="O1238"/>
      <c r="P1238"/>
      <c r="Q1238" t="s">
        <v>168</v>
      </c>
      <c r="R1238"/>
      <c r="S1238"/>
      <c r="T1238" t="s">
        <v>2165</v>
      </c>
      <c r="U1238" t="s">
        <v>137</v>
      </c>
      <c r="V1238" t="s">
        <v>358</v>
      </c>
      <c r="W1238"/>
      <c r="X1238" t="s">
        <v>124</v>
      </c>
      <c r="Y1238"/>
      <c r="Z1238"/>
      <c r="AA1238" t="s">
        <v>2163</v>
      </c>
      <c r="AB1238" t="s">
        <v>2</v>
      </c>
      <c r="AC1238" t="s">
        <v>138</v>
      </c>
      <c r="AD1238" t="s">
        <v>130</v>
      </c>
      <c r="AE1238" s="97"/>
    </row>
    <row r="1239" spans="1:31" ht="14.4" customHeight="1" x14ac:dyDescent="0.3">
      <c r="A1239" t="s">
        <v>3209</v>
      </c>
      <c r="B1239" t="s">
        <v>3210</v>
      </c>
      <c r="C1239"/>
      <c r="D1239"/>
      <c r="E1239"/>
      <c r="F1239"/>
      <c r="G1239" t="s">
        <v>2162</v>
      </c>
      <c r="H1239" t="s">
        <v>132</v>
      </c>
      <c r="I1239" t="s">
        <v>2</v>
      </c>
      <c r="J1239" t="s">
        <v>133</v>
      </c>
      <c r="K1239" t="s">
        <v>52</v>
      </c>
      <c r="L1239" t="s">
        <v>3188</v>
      </c>
      <c r="M1239" t="s">
        <v>134</v>
      </c>
      <c r="N1239" t="s">
        <v>135</v>
      </c>
      <c r="O1239"/>
      <c r="P1239"/>
      <c r="Q1239" t="s">
        <v>168</v>
      </c>
      <c r="R1239"/>
      <c r="S1239"/>
      <c r="T1239" t="s">
        <v>2165</v>
      </c>
      <c r="U1239" t="s">
        <v>137</v>
      </c>
      <c r="V1239" t="s">
        <v>358</v>
      </c>
      <c r="W1239"/>
      <c r="X1239" t="s">
        <v>124</v>
      </c>
      <c r="Y1239"/>
      <c r="Z1239"/>
      <c r="AA1239" t="s">
        <v>2163</v>
      </c>
      <c r="AB1239" t="s">
        <v>2</v>
      </c>
      <c r="AC1239" t="s">
        <v>138</v>
      </c>
      <c r="AD1239" t="s">
        <v>130</v>
      </c>
      <c r="AE1239" s="97"/>
    </row>
    <row r="1240" spans="1:31" ht="14.4" customHeight="1" x14ac:dyDescent="0.3">
      <c r="A1240" t="s">
        <v>3211</v>
      </c>
      <c r="B1240" t="s">
        <v>3212</v>
      </c>
      <c r="C1240"/>
      <c r="D1240"/>
      <c r="E1240"/>
      <c r="F1240"/>
      <c r="G1240" t="s">
        <v>2162</v>
      </c>
      <c r="H1240" t="s">
        <v>132</v>
      </c>
      <c r="I1240" t="s">
        <v>2</v>
      </c>
      <c r="J1240" t="s">
        <v>133</v>
      </c>
      <c r="K1240" t="s">
        <v>52</v>
      </c>
      <c r="L1240" t="s">
        <v>3191</v>
      </c>
      <c r="M1240" t="s">
        <v>134</v>
      </c>
      <c r="N1240" t="s">
        <v>135</v>
      </c>
      <c r="O1240"/>
      <c r="P1240"/>
      <c r="Q1240" t="s">
        <v>168</v>
      </c>
      <c r="R1240"/>
      <c r="S1240"/>
      <c r="T1240" t="s">
        <v>2165</v>
      </c>
      <c r="U1240" t="s">
        <v>137</v>
      </c>
      <c r="V1240" t="s">
        <v>358</v>
      </c>
      <c r="W1240"/>
      <c r="X1240" t="s">
        <v>124</v>
      </c>
      <c r="Y1240"/>
      <c r="Z1240"/>
      <c r="AA1240" t="s">
        <v>2163</v>
      </c>
      <c r="AB1240" t="s">
        <v>2</v>
      </c>
      <c r="AC1240" t="s">
        <v>138</v>
      </c>
      <c r="AD1240" t="s">
        <v>130</v>
      </c>
      <c r="AE1240" s="97"/>
    </row>
    <row r="1241" spans="1:31" ht="14.4" customHeight="1" x14ac:dyDescent="0.3">
      <c r="A1241" t="s">
        <v>3213</v>
      </c>
      <c r="B1241" t="s">
        <v>3214</v>
      </c>
      <c r="C1241"/>
      <c r="D1241"/>
      <c r="E1241"/>
      <c r="F1241"/>
      <c r="G1241" t="s">
        <v>2162</v>
      </c>
      <c r="H1241" t="s">
        <v>132</v>
      </c>
      <c r="I1241" t="s">
        <v>2</v>
      </c>
      <c r="J1241" t="s">
        <v>133</v>
      </c>
      <c r="K1241" t="s">
        <v>52</v>
      </c>
      <c r="L1241" t="s">
        <v>3194</v>
      </c>
      <c r="M1241" t="s">
        <v>134</v>
      </c>
      <c r="N1241" t="s">
        <v>135</v>
      </c>
      <c r="O1241"/>
      <c r="P1241"/>
      <c r="Q1241" t="s">
        <v>168</v>
      </c>
      <c r="R1241"/>
      <c r="S1241"/>
      <c r="T1241" t="s">
        <v>2165</v>
      </c>
      <c r="U1241" t="s">
        <v>137</v>
      </c>
      <c r="V1241" t="s">
        <v>358</v>
      </c>
      <c r="W1241"/>
      <c r="X1241" t="s">
        <v>124</v>
      </c>
      <c r="Y1241"/>
      <c r="Z1241"/>
      <c r="AA1241" t="s">
        <v>2163</v>
      </c>
      <c r="AB1241" t="s">
        <v>2</v>
      </c>
      <c r="AC1241" t="s">
        <v>138</v>
      </c>
      <c r="AD1241" t="s">
        <v>130</v>
      </c>
      <c r="AE1241" s="97"/>
    </row>
    <row r="1242" spans="1:31" ht="14.4" customHeight="1" x14ac:dyDescent="0.3">
      <c r="A1242" t="s">
        <v>3215</v>
      </c>
      <c r="B1242" t="s">
        <v>3216</v>
      </c>
      <c r="C1242"/>
      <c r="D1242"/>
      <c r="E1242"/>
      <c r="F1242"/>
      <c r="G1242" t="s">
        <v>2162</v>
      </c>
      <c r="H1242" t="s">
        <v>132</v>
      </c>
      <c r="I1242" t="s">
        <v>2</v>
      </c>
      <c r="J1242" t="s">
        <v>133</v>
      </c>
      <c r="K1242" t="s">
        <v>52</v>
      </c>
      <c r="L1242" t="s">
        <v>3197</v>
      </c>
      <c r="M1242" t="s">
        <v>134</v>
      </c>
      <c r="N1242" t="s">
        <v>135</v>
      </c>
      <c r="O1242"/>
      <c r="P1242"/>
      <c r="Q1242" t="s">
        <v>168</v>
      </c>
      <c r="R1242"/>
      <c r="S1242"/>
      <c r="T1242" t="s">
        <v>2165</v>
      </c>
      <c r="U1242" t="s">
        <v>137</v>
      </c>
      <c r="V1242" t="s">
        <v>358</v>
      </c>
      <c r="W1242"/>
      <c r="X1242" t="s">
        <v>124</v>
      </c>
      <c r="Y1242"/>
      <c r="Z1242"/>
      <c r="AA1242" t="s">
        <v>2163</v>
      </c>
      <c r="AB1242" t="s">
        <v>2</v>
      </c>
      <c r="AC1242" t="s">
        <v>138</v>
      </c>
      <c r="AD1242" t="s">
        <v>130</v>
      </c>
      <c r="AE1242" s="97"/>
    </row>
    <row r="1243" spans="1:31" ht="14.4" customHeight="1" x14ac:dyDescent="0.3">
      <c r="A1243" t="s">
        <v>3217</v>
      </c>
      <c r="B1243" t="s">
        <v>3218</v>
      </c>
      <c r="C1243"/>
      <c r="D1243"/>
      <c r="E1243"/>
      <c r="F1243"/>
      <c r="G1243" t="s">
        <v>2162</v>
      </c>
      <c r="H1243" t="s">
        <v>132</v>
      </c>
      <c r="I1243" t="s">
        <v>2</v>
      </c>
      <c r="J1243" t="s">
        <v>133</v>
      </c>
      <c r="K1243" t="s">
        <v>52</v>
      </c>
      <c r="L1243" t="s">
        <v>3200</v>
      </c>
      <c r="M1243" t="s">
        <v>134</v>
      </c>
      <c r="N1243" t="s">
        <v>135</v>
      </c>
      <c r="O1243"/>
      <c r="P1243"/>
      <c r="Q1243" t="s">
        <v>168</v>
      </c>
      <c r="R1243"/>
      <c r="S1243"/>
      <c r="T1243" t="s">
        <v>2165</v>
      </c>
      <c r="U1243" t="s">
        <v>137</v>
      </c>
      <c r="V1243" t="s">
        <v>358</v>
      </c>
      <c r="W1243"/>
      <c r="X1243" t="s">
        <v>124</v>
      </c>
      <c r="Y1243"/>
      <c r="Z1243"/>
      <c r="AA1243" t="s">
        <v>2163</v>
      </c>
      <c r="AB1243" t="s">
        <v>2</v>
      </c>
      <c r="AC1243" t="s">
        <v>138</v>
      </c>
      <c r="AD1243" t="s">
        <v>130</v>
      </c>
      <c r="AE1243" s="97"/>
    </row>
    <row r="1244" spans="1:31" ht="14.4" customHeight="1" x14ac:dyDescent="0.3">
      <c r="A1244" t="s">
        <v>3219</v>
      </c>
      <c r="B1244" t="s">
        <v>3220</v>
      </c>
      <c r="C1244"/>
      <c r="D1244"/>
      <c r="E1244"/>
      <c r="F1244"/>
      <c r="G1244" t="s">
        <v>2162</v>
      </c>
      <c r="H1244" t="s">
        <v>132</v>
      </c>
      <c r="I1244" t="s">
        <v>2</v>
      </c>
      <c r="J1244" t="s">
        <v>133</v>
      </c>
      <c r="K1244" t="s">
        <v>52</v>
      </c>
      <c r="L1244" t="s">
        <v>3203</v>
      </c>
      <c r="M1244" t="s">
        <v>134</v>
      </c>
      <c r="N1244" t="s">
        <v>135</v>
      </c>
      <c r="O1244"/>
      <c r="P1244"/>
      <c r="Q1244" t="s">
        <v>168</v>
      </c>
      <c r="R1244"/>
      <c r="S1244"/>
      <c r="T1244" t="s">
        <v>2165</v>
      </c>
      <c r="U1244" t="s">
        <v>137</v>
      </c>
      <c r="V1244" t="s">
        <v>358</v>
      </c>
      <c r="W1244"/>
      <c r="X1244" t="s">
        <v>124</v>
      </c>
      <c r="Y1244"/>
      <c r="Z1244"/>
      <c r="AA1244" t="s">
        <v>2163</v>
      </c>
      <c r="AB1244" t="s">
        <v>2</v>
      </c>
      <c r="AC1244" t="s">
        <v>138</v>
      </c>
      <c r="AD1244" t="s">
        <v>130</v>
      </c>
      <c r="AE1244" s="97"/>
    </row>
    <row r="1245" spans="1:31" ht="14.4" customHeight="1" x14ac:dyDescent="0.3">
      <c r="A1245" t="s">
        <v>3223</v>
      </c>
      <c r="B1245" t="s">
        <v>3224</v>
      </c>
      <c r="C1245"/>
      <c r="D1245"/>
      <c r="E1245"/>
      <c r="F1245"/>
      <c r="G1245" t="s">
        <v>2162</v>
      </c>
      <c r="H1245" t="s">
        <v>132</v>
      </c>
      <c r="I1245" t="s">
        <v>2</v>
      </c>
      <c r="J1245" t="s">
        <v>133</v>
      </c>
      <c r="K1245" t="s">
        <v>52</v>
      </c>
      <c r="L1245" t="s">
        <v>3225</v>
      </c>
      <c r="M1245" t="s">
        <v>134</v>
      </c>
      <c r="N1245" t="s">
        <v>135</v>
      </c>
      <c r="O1245"/>
      <c r="P1245"/>
      <c r="Q1245" t="s">
        <v>168</v>
      </c>
      <c r="R1245"/>
      <c r="S1245"/>
      <c r="T1245" t="s">
        <v>2165</v>
      </c>
      <c r="U1245" t="s">
        <v>137</v>
      </c>
      <c r="V1245" t="s">
        <v>1190</v>
      </c>
      <c r="W1245"/>
      <c r="X1245" t="s">
        <v>67</v>
      </c>
      <c r="Y1245"/>
      <c r="Z1245"/>
      <c r="AA1245" t="s">
        <v>2163</v>
      </c>
      <c r="AB1245" t="s">
        <v>2</v>
      </c>
      <c r="AC1245" t="s">
        <v>138</v>
      </c>
      <c r="AD1245" t="s">
        <v>128</v>
      </c>
      <c r="AE1245" s="97"/>
    </row>
    <row r="1246" spans="1:31" ht="14.4" customHeight="1" x14ac:dyDescent="0.3">
      <c r="A1246" t="s">
        <v>3226</v>
      </c>
      <c r="B1246" t="s">
        <v>3227</v>
      </c>
      <c r="C1246"/>
      <c r="D1246"/>
      <c r="E1246"/>
      <c r="F1246"/>
      <c r="G1246" t="s">
        <v>2162</v>
      </c>
      <c r="H1246" t="s">
        <v>132</v>
      </c>
      <c r="I1246" t="s">
        <v>2</v>
      </c>
      <c r="J1246" t="s">
        <v>133</v>
      </c>
      <c r="K1246" t="s">
        <v>52</v>
      </c>
      <c r="L1246" t="s">
        <v>3228</v>
      </c>
      <c r="M1246" t="s">
        <v>134</v>
      </c>
      <c r="N1246" t="s">
        <v>135</v>
      </c>
      <c r="O1246"/>
      <c r="P1246"/>
      <c r="Q1246" t="s">
        <v>168</v>
      </c>
      <c r="R1246"/>
      <c r="S1246"/>
      <c r="T1246" t="s">
        <v>2165</v>
      </c>
      <c r="U1246" t="s">
        <v>137</v>
      </c>
      <c r="V1246" t="s">
        <v>1194</v>
      </c>
      <c r="W1246"/>
      <c r="X1246" t="s">
        <v>75</v>
      </c>
      <c r="Y1246"/>
      <c r="Z1246"/>
      <c r="AA1246" t="s">
        <v>2163</v>
      </c>
      <c r="AB1246" t="s">
        <v>2</v>
      </c>
      <c r="AC1246" t="s">
        <v>138</v>
      </c>
      <c r="AD1246" t="s">
        <v>128</v>
      </c>
      <c r="AE1246" s="97"/>
    </row>
    <row r="1247" spans="1:31" ht="14.4" customHeight="1" x14ac:dyDescent="0.3">
      <c r="A1247" t="s">
        <v>3229</v>
      </c>
      <c r="B1247" t="s">
        <v>3230</v>
      </c>
      <c r="C1247"/>
      <c r="D1247"/>
      <c r="E1247"/>
      <c r="F1247"/>
      <c r="G1247" t="s">
        <v>2162</v>
      </c>
      <c r="H1247" t="s">
        <v>132</v>
      </c>
      <c r="I1247" t="s">
        <v>2</v>
      </c>
      <c r="J1247" t="s">
        <v>133</v>
      </c>
      <c r="K1247" t="s">
        <v>52</v>
      </c>
      <c r="L1247" t="s">
        <v>3231</v>
      </c>
      <c r="M1247" t="s">
        <v>134</v>
      </c>
      <c r="N1247" t="s">
        <v>135</v>
      </c>
      <c r="O1247"/>
      <c r="P1247"/>
      <c r="Q1247" t="s">
        <v>168</v>
      </c>
      <c r="R1247"/>
      <c r="S1247"/>
      <c r="T1247" t="s">
        <v>2165</v>
      </c>
      <c r="U1247" t="s">
        <v>137</v>
      </c>
      <c r="V1247" t="s">
        <v>1198</v>
      </c>
      <c r="W1247"/>
      <c r="X1247" t="s">
        <v>86</v>
      </c>
      <c r="Y1247"/>
      <c r="Z1247"/>
      <c r="AA1247" t="s">
        <v>2163</v>
      </c>
      <c r="AB1247" t="s">
        <v>2</v>
      </c>
      <c r="AC1247" t="s">
        <v>138</v>
      </c>
      <c r="AD1247" t="s">
        <v>129</v>
      </c>
      <c r="AE1247" s="97"/>
    </row>
    <row r="1248" spans="1:31" ht="14.4" customHeight="1" x14ac:dyDescent="0.3">
      <c r="A1248" t="s">
        <v>3232</v>
      </c>
      <c r="B1248" t="s">
        <v>3233</v>
      </c>
      <c r="C1248"/>
      <c r="D1248"/>
      <c r="E1248"/>
      <c r="F1248"/>
      <c r="G1248" t="s">
        <v>2162</v>
      </c>
      <c r="H1248" t="s">
        <v>132</v>
      </c>
      <c r="I1248" t="s">
        <v>2</v>
      </c>
      <c r="J1248" t="s">
        <v>133</v>
      </c>
      <c r="K1248" t="s">
        <v>52</v>
      </c>
      <c r="L1248" t="s">
        <v>3234</v>
      </c>
      <c r="M1248" t="s">
        <v>134</v>
      </c>
      <c r="N1248" t="s">
        <v>135</v>
      </c>
      <c r="O1248"/>
      <c r="P1248"/>
      <c r="Q1248" t="s">
        <v>168</v>
      </c>
      <c r="R1248"/>
      <c r="S1248"/>
      <c r="T1248" t="s">
        <v>2165</v>
      </c>
      <c r="U1248" t="s">
        <v>137</v>
      </c>
      <c r="V1248" t="s">
        <v>1202</v>
      </c>
      <c r="W1248"/>
      <c r="X1248" t="s">
        <v>95</v>
      </c>
      <c r="Y1248"/>
      <c r="Z1248"/>
      <c r="AA1248" t="s">
        <v>2163</v>
      </c>
      <c r="AB1248" t="s">
        <v>2</v>
      </c>
      <c r="AC1248" t="s">
        <v>138</v>
      </c>
      <c r="AD1248" t="s">
        <v>129</v>
      </c>
      <c r="AE1248" s="97"/>
    </row>
    <row r="1249" spans="1:31" ht="14.4" customHeight="1" x14ac:dyDescent="0.3">
      <c r="A1249" t="s">
        <v>3235</v>
      </c>
      <c r="B1249" t="s">
        <v>3236</v>
      </c>
      <c r="C1249"/>
      <c r="D1249"/>
      <c r="E1249"/>
      <c r="F1249"/>
      <c r="G1249" t="s">
        <v>2162</v>
      </c>
      <c r="H1249" t="s">
        <v>132</v>
      </c>
      <c r="I1249" t="s">
        <v>2</v>
      </c>
      <c r="J1249" t="s">
        <v>133</v>
      </c>
      <c r="K1249" t="s">
        <v>52</v>
      </c>
      <c r="L1249" t="s">
        <v>3237</v>
      </c>
      <c r="M1249" t="s">
        <v>134</v>
      </c>
      <c r="N1249" t="s">
        <v>135</v>
      </c>
      <c r="O1249"/>
      <c r="P1249"/>
      <c r="Q1249" t="s">
        <v>168</v>
      </c>
      <c r="R1249"/>
      <c r="S1249"/>
      <c r="T1249" t="s">
        <v>2165</v>
      </c>
      <c r="U1249" t="s">
        <v>137</v>
      </c>
      <c r="V1249" t="s">
        <v>1206</v>
      </c>
      <c r="W1249"/>
      <c r="X1249" t="s">
        <v>104</v>
      </c>
      <c r="Y1249"/>
      <c r="Z1249"/>
      <c r="AA1249" t="s">
        <v>2163</v>
      </c>
      <c r="AB1249" t="s">
        <v>2</v>
      </c>
      <c r="AC1249" t="s">
        <v>138</v>
      </c>
      <c r="AD1249" t="s">
        <v>129</v>
      </c>
      <c r="AE1249" s="97"/>
    </row>
    <row r="1250" spans="1:31" ht="14.4" customHeight="1" x14ac:dyDescent="0.3">
      <c r="A1250" t="s">
        <v>3238</v>
      </c>
      <c r="B1250" t="s">
        <v>3239</v>
      </c>
      <c r="C1250"/>
      <c r="D1250"/>
      <c r="E1250"/>
      <c r="F1250"/>
      <c r="G1250" t="s">
        <v>2162</v>
      </c>
      <c r="H1250" t="s">
        <v>132</v>
      </c>
      <c r="I1250" t="s">
        <v>2</v>
      </c>
      <c r="J1250" t="s">
        <v>133</v>
      </c>
      <c r="K1250" t="s">
        <v>52</v>
      </c>
      <c r="L1250" t="s">
        <v>3240</v>
      </c>
      <c r="M1250" t="s">
        <v>134</v>
      </c>
      <c r="N1250" t="s">
        <v>135</v>
      </c>
      <c r="O1250"/>
      <c r="P1250"/>
      <c r="Q1250" t="s">
        <v>168</v>
      </c>
      <c r="R1250"/>
      <c r="S1250"/>
      <c r="T1250" t="s">
        <v>2165</v>
      </c>
      <c r="U1250" t="s">
        <v>137</v>
      </c>
      <c r="V1250" t="s">
        <v>1210</v>
      </c>
      <c r="W1250"/>
      <c r="X1250" t="s">
        <v>111</v>
      </c>
      <c r="Y1250"/>
      <c r="Z1250"/>
      <c r="AA1250" t="s">
        <v>2163</v>
      </c>
      <c r="AB1250" t="s">
        <v>2</v>
      </c>
      <c r="AC1250" t="s">
        <v>138</v>
      </c>
      <c r="AD1250" t="s">
        <v>129</v>
      </c>
      <c r="AE1250" s="97"/>
    </row>
    <row r="1251" spans="1:31" ht="14.4" customHeight="1" x14ac:dyDescent="0.3">
      <c r="A1251" t="s">
        <v>3241</v>
      </c>
      <c r="B1251" t="s">
        <v>3242</v>
      </c>
      <c r="C1251"/>
      <c r="D1251"/>
      <c r="E1251"/>
      <c r="F1251"/>
      <c r="G1251" t="s">
        <v>2162</v>
      </c>
      <c r="H1251" t="s">
        <v>132</v>
      </c>
      <c r="I1251" t="s">
        <v>2</v>
      </c>
      <c r="J1251" t="s">
        <v>133</v>
      </c>
      <c r="K1251" t="s">
        <v>52</v>
      </c>
      <c r="L1251" t="s">
        <v>3243</v>
      </c>
      <c r="M1251" t="s">
        <v>134</v>
      </c>
      <c r="N1251" t="s">
        <v>135</v>
      </c>
      <c r="O1251"/>
      <c r="P1251"/>
      <c r="Q1251" t="s">
        <v>168</v>
      </c>
      <c r="R1251"/>
      <c r="S1251"/>
      <c r="T1251" t="s">
        <v>2165</v>
      </c>
      <c r="U1251" t="s">
        <v>137</v>
      </c>
      <c r="V1251" t="s">
        <v>1214</v>
      </c>
      <c r="W1251"/>
      <c r="X1251" t="s">
        <v>120</v>
      </c>
      <c r="Y1251"/>
      <c r="Z1251"/>
      <c r="AA1251" t="s">
        <v>2163</v>
      </c>
      <c r="AB1251" t="s">
        <v>2</v>
      </c>
      <c r="AC1251" t="s">
        <v>138</v>
      </c>
      <c r="AD1251" t="s">
        <v>130</v>
      </c>
      <c r="AE1251" s="97"/>
    </row>
    <row r="1252" spans="1:31" ht="14.4" customHeight="1" x14ac:dyDescent="0.3">
      <c r="A1252" t="s">
        <v>3244</v>
      </c>
      <c r="B1252" t="s">
        <v>3245</v>
      </c>
      <c r="C1252"/>
      <c r="D1252"/>
      <c r="E1252"/>
      <c r="F1252"/>
      <c r="G1252" t="s">
        <v>2162</v>
      </c>
      <c r="H1252" t="s">
        <v>132</v>
      </c>
      <c r="I1252" t="s">
        <v>2</v>
      </c>
      <c r="J1252" t="s">
        <v>133</v>
      </c>
      <c r="K1252" t="s">
        <v>52</v>
      </c>
      <c r="L1252" t="s">
        <v>3246</v>
      </c>
      <c r="M1252" t="s">
        <v>134</v>
      </c>
      <c r="N1252" t="s">
        <v>135</v>
      </c>
      <c r="O1252"/>
      <c r="P1252"/>
      <c r="Q1252" t="s">
        <v>168</v>
      </c>
      <c r="R1252"/>
      <c r="S1252"/>
      <c r="T1252" t="s">
        <v>2165</v>
      </c>
      <c r="U1252" t="s">
        <v>137</v>
      </c>
      <c r="V1252" t="s">
        <v>147</v>
      </c>
      <c r="W1252"/>
      <c r="X1252" t="s">
        <v>70</v>
      </c>
      <c r="Y1252"/>
      <c r="Z1252"/>
      <c r="AA1252" t="s">
        <v>2163</v>
      </c>
      <c r="AB1252" t="s">
        <v>2</v>
      </c>
      <c r="AC1252" t="s">
        <v>138</v>
      </c>
      <c r="AD1252" t="s">
        <v>128</v>
      </c>
      <c r="AE1252" s="97"/>
    </row>
    <row r="1253" spans="1:31" ht="14.4" customHeight="1" x14ac:dyDescent="0.3">
      <c r="A1253" t="s">
        <v>3247</v>
      </c>
      <c r="B1253" t="s">
        <v>3248</v>
      </c>
      <c r="C1253"/>
      <c r="D1253"/>
      <c r="E1253"/>
      <c r="F1253"/>
      <c r="G1253" t="s">
        <v>2162</v>
      </c>
      <c r="H1253" t="s">
        <v>132</v>
      </c>
      <c r="I1253" t="s">
        <v>2</v>
      </c>
      <c r="J1253" t="s">
        <v>133</v>
      </c>
      <c r="K1253" t="s">
        <v>52</v>
      </c>
      <c r="L1253" t="s">
        <v>3246</v>
      </c>
      <c r="M1253" t="s">
        <v>134</v>
      </c>
      <c r="N1253" t="s">
        <v>135</v>
      </c>
      <c r="O1253"/>
      <c r="P1253"/>
      <c r="Q1253" t="s">
        <v>168</v>
      </c>
      <c r="R1253"/>
      <c r="S1253"/>
      <c r="T1253" t="s">
        <v>2165</v>
      </c>
      <c r="U1253" t="s">
        <v>137</v>
      </c>
      <c r="V1253" t="s">
        <v>147</v>
      </c>
      <c r="W1253"/>
      <c r="X1253" t="s">
        <v>70</v>
      </c>
      <c r="Y1253"/>
      <c r="Z1253"/>
      <c r="AA1253" t="s">
        <v>2163</v>
      </c>
      <c r="AB1253" t="s">
        <v>2</v>
      </c>
      <c r="AC1253" t="s">
        <v>138</v>
      </c>
      <c r="AD1253" t="s">
        <v>128</v>
      </c>
      <c r="AE1253" s="97"/>
    </row>
    <row r="1254" spans="1:31" ht="14.4" customHeight="1" x14ac:dyDescent="0.3">
      <c r="A1254" t="s">
        <v>3249</v>
      </c>
      <c r="B1254" t="s">
        <v>3250</v>
      </c>
      <c r="C1254"/>
      <c r="D1254"/>
      <c r="E1254"/>
      <c r="F1254"/>
      <c r="G1254" t="s">
        <v>2162</v>
      </c>
      <c r="H1254" t="s">
        <v>132</v>
      </c>
      <c r="I1254" t="s">
        <v>2</v>
      </c>
      <c r="J1254" t="s">
        <v>133</v>
      </c>
      <c r="K1254" t="s">
        <v>52</v>
      </c>
      <c r="L1254" t="s">
        <v>3251</v>
      </c>
      <c r="M1254" t="s">
        <v>134</v>
      </c>
      <c r="N1254" t="s">
        <v>135</v>
      </c>
      <c r="O1254"/>
      <c r="P1254"/>
      <c r="Q1254" t="s">
        <v>168</v>
      </c>
      <c r="R1254"/>
      <c r="S1254"/>
      <c r="T1254" t="s">
        <v>2165</v>
      </c>
      <c r="U1254" t="s">
        <v>137</v>
      </c>
      <c r="V1254" t="s">
        <v>147</v>
      </c>
      <c r="W1254"/>
      <c r="X1254" t="s">
        <v>70</v>
      </c>
      <c r="Y1254"/>
      <c r="Z1254"/>
      <c r="AA1254" t="s">
        <v>2163</v>
      </c>
      <c r="AB1254" t="s">
        <v>2</v>
      </c>
      <c r="AC1254" t="s">
        <v>138</v>
      </c>
      <c r="AD1254" t="s">
        <v>128</v>
      </c>
      <c r="AE1254" s="97"/>
    </row>
    <row r="1255" spans="1:31" ht="14.4" customHeight="1" x14ac:dyDescent="0.3">
      <c r="A1255" t="s">
        <v>3252</v>
      </c>
      <c r="B1255" t="s">
        <v>3253</v>
      </c>
      <c r="C1255"/>
      <c r="D1255"/>
      <c r="E1255"/>
      <c r="F1255"/>
      <c r="G1255" t="s">
        <v>2162</v>
      </c>
      <c r="H1255" t="s">
        <v>132</v>
      </c>
      <c r="I1255" t="s">
        <v>2</v>
      </c>
      <c r="J1255" t="s">
        <v>133</v>
      </c>
      <c r="K1255" t="s">
        <v>52</v>
      </c>
      <c r="L1255" t="s">
        <v>3254</v>
      </c>
      <c r="M1255" t="s">
        <v>134</v>
      </c>
      <c r="N1255" t="s">
        <v>135</v>
      </c>
      <c r="O1255"/>
      <c r="P1255"/>
      <c r="Q1255" t="s">
        <v>168</v>
      </c>
      <c r="R1255"/>
      <c r="S1255"/>
      <c r="T1255" t="s">
        <v>2165</v>
      </c>
      <c r="U1255" t="s">
        <v>137</v>
      </c>
      <c r="V1255" t="s">
        <v>150</v>
      </c>
      <c r="W1255"/>
      <c r="X1255" t="s">
        <v>76</v>
      </c>
      <c r="Y1255"/>
      <c r="Z1255"/>
      <c r="AA1255" t="s">
        <v>2163</v>
      </c>
      <c r="AB1255" t="s">
        <v>2</v>
      </c>
      <c r="AC1255" t="s">
        <v>138</v>
      </c>
      <c r="AD1255" t="s">
        <v>128</v>
      </c>
      <c r="AE1255" s="97"/>
    </row>
    <row r="1256" spans="1:31" ht="14.4" customHeight="1" x14ac:dyDescent="0.3">
      <c r="A1256" t="s">
        <v>3255</v>
      </c>
      <c r="B1256" t="s">
        <v>3256</v>
      </c>
      <c r="C1256"/>
      <c r="D1256"/>
      <c r="E1256"/>
      <c r="F1256"/>
      <c r="G1256" t="s">
        <v>2162</v>
      </c>
      <c r="H1256" t="s">
        <v>132</v>
      </c>
      <c r="I1256" t="s">
        <v>2</v>
      </c>
      <c r="J1256" t="s">
        <v>133</v>
      </c>
      <c r="K1256" t="s">
        <v>52</v>
      </c>
      <c r="L1256" t="s">
        <v>3254</v>
      </c>
      <c r="M1256" t="s">
        <v>134</v>
      </c>
      <c r="N1256" t="s">
        <v>135</v>
      </c>
      <c r="O1256"/>
      <c r="P1256"/>
      <c r="Q1256" t="s">
        <v>168</v>
      </c>
      <c r="R1256"/>
      <c r="S1256"/>
      <c r="T1256" t="s">
        <v>2165</v>
      </c>
      <c r="U1256" t="s">
        <v>137</v>
      </c>
      <c r="V1256" t="s">
        <v>150</v>
      </c>
      <c r="W1256"/>
      <c r="X1256" t="s">
        <v>76</v>
      </c>
      <c r="Y1256"/>
      <c r="Z1256"/>
      <c r="AA1256" t="s">
        <v>2163</v>
      </c>
      <c r="AB1256" t="s">
        <v>2</v>
      </c>
      <c r="AC1256" t="s">
        <v>138</v>
      </c>
      <c r="AD1256" t="s">
        <v>128</v>
      </c>
      <c r="AE1256" s="97"/>
    </row>
    <row r="1257" spans="1:31" ht="14.4" customHeight="1" x14ac:dyDescent="0.3">
      <c r="A1257" t="s">
        <v>3257</v>
      </c>
      <c r="B1257" t="s">
        <v>3258</v>
      </c>
      <c r="C1257"/>
      <c r="D1257"/>
      <c r="E1257"/>
      <c r="F1257"/>
      <c r="G1257" t="s">
        <v>2162</v>
      </c>
      <c r="H1257" t="s">
        <v>132</v>
      </c>
      <c r="I1257" t="s">
        <v>2</v>
      </c>
      <c r="J1257" t="s">
        <v>133</v>
      </c>
      <c r="K1257" t="s">
        <v>52</v>
      </c>
      <c r="L1257" t="s">
        <v>3259</v>
      </c>
      <c r="M1257" t="s">
        <v>134</v>
      </c>
      <c r="N1257" t="s">
        <v>135</v>
      </c>
      <c r="O1257"/>
      <c r="P1257"/>
      <c r="Q1257" t="s">
        <v>168</v>
      </c>
      <c r="R1257"/>
      <c r="S1257"/>
      <c r="T1257" t="s">
        <v>2165</v>
      </c>
      <c r="U1257" t="s">
        <v>137</v>
      </c>
      <c r="V1257" t="s">
        <v>150</v>
      </c>
      <c r="W1257"/>
      <c r="X1257" t="s">
        <v>76</v>
      </c>
      <c r="Y1257"/>
      <c r="Z1257"/>
      <c r="AA1257" t="s">
        <v>2163</v>
      </c>
      <c r="AB1257" t="s">
        <v>2</v>
      </c>
      <c r="AC1257" t="s">
        <v>138</v>
      </c>
      <c r="AD1257" t="s">
        <v>128</v>
      </c>
      <c r="AE1257" s="97"/>
    </row>
    <row r="1258" spans="1:31" ht="14.4" customHeight="1" x14ac:dyDescent="0.3">
      <c r="A1258" t="s">
        <v>3260</v>
      </c>
      <c r="B1258" t="s">
        <v>3261</v>
      </c>
      <c r="C1258"/>
      <c r="D1258"/>
      <c r="E1258"/>
      <c r="F1258"/>
      <c r="G1258" t="s">
        <v>2162</v>
      </c>
      <c r="H1258" t="s">
        <v>132</v>
      </c>
      <c r="I1258" t="s">
        <v>2</v>
      </c>
      <c r="J1258" t="s">
        <v>133</v>
      </c>
      <c r="K1258" t="s">
        <v>52</v>
      </c>
      <c r="L1258" t="s">
        <v>3262</v>
      </c>
      <c r="M1258" t="s">
        <v>134</v>
      </c>
      <c r="N1258" t="s">
        <v>135</v>
      </c>
      <c r="O1258"/>
      <c r="P1258"/>
      <c r="Q1258" t="s">
        <v>168</v>
      </c>
      <c r="R1258"/>
      <c r="S1258"/>
      <c r="T1258" t="s">
        <v>2165</v>
      </c>
      <c r="U1258" t="s">
        <v>137</v>
      </c>
      <c r="V1258" t="s">
        <v>153</v>
      </c>
      <c r="W1258"/>
      <c r="X1258" t="s">
        <v>88</v>
      </c>
      <c r="Y1258"/>
      <c r="Z1258"/>
      <c r="AA1258" t="s">
        <v>2163</v>
      </c>
      <c r="AB1258" t="s">
        <v>2</v>
      </c>
      <c r="AC1258" t="s">
        <v>138</v>
      </c>
      <c r="AD1258" t="s">
        <v>129</v>
      </c>
      <c r="AE1258" s="97"/>
    </row>
    <row r="1259" spans="1:31" ht="14.4" customHeight="1" x14ac:dyDescent="0.3">
      <c r="A1259" t="s">
        <v>3263</v>
      </c>
      <c r="B1259" t="s">
        <v>3264</v>
      </c>
      <c r="C1259"/>
      <c r="D1259"/>
      <c r="E1259"/>
      <c r="F1259"/>
      <c r="G1259" t="s">
        <v>2162</v>
      </c>
      <c r="H1259" t="s">
        <v>132</v>
      </c>
      <c r="I1259" t="s">
        <v>2</v>
      </c>
      <c r="J1259" t="s">
        <v>133</v>
      </c>
      <c r="K1259" t="s">
        <v>52</v>
      </c>
      <c r="L1259" t="s">
        <v>3262</v>
      </c>
      <c r="M1259" t="s">
        <v>134</v>
      </c>
      <c r="N1259" t="s">
        <v>135</v>
      </c>
      <c r="O1259"/>
      <c r="P1259"/>
      <c r="Q1259" t="s">
        <v>168</v>
      </c>
      <c r="R1259"/>
      <c r="S1259"/>
      <c r="T1259" t="s">
        <v>2165</v>
      </c>
      <c r="U1259" t="s">
        <v>137</v>
      </c>
      <c r="V1259" t="s">
        <v>153</v>
      </c>
      <c r="W1259"/>
      <c r="X1259" t="s">
        <v>88</v>
      </c>
      <c r="Y1259"/>
      <c r="Z1259"/>
      <c r="AA1259" t="s">
        <v>2163</v>
      </c>
      <c r="AB1259" t="s">
        <v>2</v>
      </c>
      <c r="AC1259" t="s">
        <v>138</v>
      </c>
      <c r="AD1259" t="s">
        <v>129</v>
      </c>
      <c r="AE1259" s="97"/>
    </row>
    <row r="1260" spans="1:31" ht="14.4" customHeight="1" x14ac:dyDescent="0.3">
      <c r="A1260" t="s">
        <v>3265</v>
      </c>
      <c r="B1260" t="s">
        <v>3266</v>
      </c>
      <c r="C1260"/>
      <c r="D1260"/>
      <c r="E1260"/>
      <c r="F1260"/>
      <c r="G1260" t="s">
        <v>2162</v>
      </c>
      <c r="H1260" t="s">
        <v>132</v>
      </c>
      <c r="I1260" t="s">
        <v>2</v>
      </c>
      <c r="J1260" t="s">
        <v>133</v>
      </c>
      <c r="K1260" t="s">
        <v>52</v>
      </c>
      <c r="L1260" t="s">
        <v>3267</v>
      </c>
      <c r="M1260" t="s">
        <v>134</v>
      </c>
      <c r="N1260" t="s">
        <v>135</v>
      </c>
      <c r="O1260"/>
      <c r="P1260"/>
      <c r="Q1260" t="s">
        <v>168</v>
      </c>
      <c r="R1260"/>
      <c r="S1260"/>
      <c r="T1260" t="s">
        <v>2165</v>
      </c>
      <c r="U1260" t="s">
        <v>137</v>
      </c>
      <c r="V1260" t="s">
        <v>153</v>
      </c>
      <c r="W1260"/>
      <c r="X1260" t="s">
        <v>88</v>
      </c>
      <c r="Y1260"/>
      <c r="Z1260"/>
      <c r="AA1260" t="s">
        <v>2163</v>
      </c>
      <c r="AB1260" t="s">
        <v>2</v>
      </c>
      <c r="AC1260" t="s">
        <v>138</v>
      </c>
      <c r="AD1260" t="s">
        <v>129</v>
      </c>
      <c r="AE1260" s="97"/>
    </row>
    <row r="1261" spans="1:31" ht="14.4" customHeight="1" x14ac:dyDescent="0.3">
      <c r="A1261" t="s">
        <v>3268</v>
      </c>
      <c r="B1261" t="s">
        <v>3269</v>
      </c>
      <c r="C1261"/>
      <c r="D1261"/>
      <c r="E1261"/>
      <c r="F1261"/>
      <c r="G1261" t="s">
        <v>2162</v>
      </c>
      <c r="H1261" t="s">
        <v>132</v>
      </c>
      <c r="I1261" t="s">
        <v>2</v>
      </c>
      <c r="J1261" t="s">
        <v>133</v>
      </c>
      <c r="K1261" t="s">
        <v>52</v>
      </c>
      <c r="L1261" t="s">
        <v>3270</v>
      </c>
      <c r="M1261" t="s">
        <v>134</v>
      </c>
      <c r="N1261" t="s">
        <v>135</v>
      </c>
      <c r="O1261"/>
      <c r="P1261"/>
      <c r="Q1261" t="s">
        <v>168</v>
      </c>
      <c r="R1261"/>
      <c r="S1261"/>
      <c r="T1261" t="s">
        <v>2165</v>
      </c>
      <c r="U1261" t="s">
        <v>137</v>
      </c>
      <c r="V1261" t="s">
        <v>156</v>
      </c>
      <c r="W1261"/>
      <c r="X1261" t="s">
        <v>97</v>
      </c>
      <c r="Y1261"/>
      <c r="Z1261"/>
      <c r="AA1261" t="s">
        <v>2163</v>
      </c>
      <c r="AB1261" t="s">
        <v>2</v>
      </c>
      <c r="AC1261" t="s">
        <v>138</v>
      </c>
      <c r="AD1261" t="s">
        <v>129</v>
      </c>
      <c r="AE1261" s="97"/>
    </row>
    <row r="1262" spans="1:31" ht="14.4" customHeight="1" x14ac:dyDescent="0.3">
      <c r="A1262" t="s">
        <v>3271</v>
      </c>
      <c r="B1262" t="s">
        <v>3272</v>
      </c>
      <c r="C1262"/>
      <c r="D1262"/>
      <c r="E1262"/>
      <c r="F1262"/>
      <c r="G1262" t="s">
        <v>2162</v>
      </c>
      <c r="H1262" t="s">
        <v>132</v>
      </c>
      <c r="I1262" t="s">
        <v>2</v>
      </c>
      <c r="J1262" t="s">
        <v>133</v>
      </c>
      <c r="K1262" t="s">
        <v>52</v>
      </c>
      <c r="L1262" t="s">
        <v>3270</v>
      </c>
      <c r="M1262" t="s">
        <v>134</v>
      </c>
      <c r="N1262" t="s">
        <v>135</v>
      </c>
      <c r="O1262"/>
      <c r="P1262"/>
      <c r="Q1262" t="s">
        <v>168</v>
      </c>
      <c r="R1262"/>
      <c r="S1262"/>
      <c r="T1262" t="s">
        <v>2165</v>
      </c>
      <c r="U1262" t="s">
        <v>137</v>
      </c>
      <c r="V1262" t="s">
        <v>156</v>
      </c>
      <c r="W1262"/>
      <c r="X1262" t="s">
        <v>97</v>
      </c>
      <c r="Y1262"/>
      <c r="Z1262"/>
      <c r="AA1262" t="s">
        <v>2163</v>
      </c>
      <c r="AB1262" t="s">
        <v>2</v>
      </c>
      <c r="AC1262" t="s">
        <v>138</v>
      </c>
      <c r="AD1262" t="s">
        <v>129</v>
      </c>
      <c r="AE1262" s="97"/>
    </row>
    <row r="1263" spans="1:31" ht="14.4" customHeight="1" x14ac:dyDescent="0.3">
      <c r="A1263" t="s">
        <v>3273</v>
      </c>
      <c r="B1263" t="s">
        <v>3274</v>
      </c>
      <c r="C1263"/>
      <c r="D1263"/>
      <c r="E1263"/>
      <c r="F1263"/>
      <c r="G1263" t="s">
        <v>2162</v>
      </c>
      <c r="H1263" t="s">
        <v>132</v>
      </c>
      <c r="I1263" t="s">
        <v>2</v>
      </c>
      <c r="J1263" t="s">
        <v>133</v>
      </c>
      <c r="K1263" t="s">
        <v>52</v>
      </c>
      <c r="L1263" t="s">
        <v>3275</v>
      </c>
      <c r="M1263" t="s">
        <v>134</v>
      </c>
      <c r="N1263" t="s">
        <v>135</v>
      </c>
      <c r="O1263"/>
      <c r="P1263"/>
      <c r="Q1263" t="s">
        <v>168</v>
      </c>
      <c r="R1263"/>
      <c r="S1263"/>
      <c r="T1263" t="s">
        <v>2165</v>
      </c>
      <c r="U1263" t="s">
        <v>137</v>
      </c>
      <c r="V1263" t="s">
        <v>156</v>
      </c>
      <c r="W1263"/>
      <c r="X1263" t="s">
        <v>97</v>
      </c>
      <c r="Y1263"/>
      <c r="Z1263"/>
      <c r="AA1263" t="s">
        <v>2163</v>
      </c>
      <c r="AB1263" t="s">
        <v>2</v>
      </c>
      <c r="AC1263" t="s">
        <v>138</v>
      </c>
      <c r="AD1263" t="s">
        <v>129</v>
      </c>
      <c r="AE1263" s="97"/>
    </row>
    <row r="1264" spans="1:31" ht="14.4" customHeight="1" x14ac:dyDescent="0.3">
      <c r="A1264" t="s">
        <v>3276</v>
      </c>
      <c r="B1264" t="s">
        <v>3277</v>
      </c>
      <c r="C1264"/>
      <c r="D1264"/>
      <c r="E1264"/>
      <c r="F1264"/>
      <c r="G1264" t="s">
        <v>2162</v>
      </c>
      <c r="H1264" t="s">
        <v>132</v>
      </c>
      <c r="I1264" t="s">
        <v>2</v>
      </c>
      <c r="J1264" t="s">
        <v>133</v>
      </c>
      <c r="K1264" t="s">
        <v>52</v>
      </c>
      <c r="L1264" t="s">
        <v>3278</v>
      </c>
      <c r="M1264" t="s">
        <v>134</v>
      </c>
      <c r="N1264" t="s">
        <v>135</v>
      </c>
      <c r="O1264"/>
      <c r="P1264"/>
      <c r="Q1264" t="s">
        <v>168</v>
      </c>
      <c r="R1264"/>
      <c r="S1264"/>
      <c r="T1264" t="s">
        <v>2165</v>
      </c>
      <c r="U1264" t="s">
        <v>137</v>
      </c>
      <c r="V1264" t="s">
        <v>159</v>
      </c>
      <c r="W1264"/>
      <c r="X1264" t="s">
        <v>106</v>
      </c>
      <c r="Y1264"/>
      <c r="Z1264"/>
      <c r="AA1264" t="s">
        <v>2163</v>
      </c>
      <c r="AB1264" t="s">
        <v>2</v>
      </c>
      <c r="AC1264" t="s">
        <v>138</v>
      </c>
      <c r="AD1264" t="s">
        <v>129</v>
      </c>
      <c r="AE1264" s="97"/>
    </row>
    <row r="1265" spans="1:31" ht="14.4" customHeight="1" x14ac:dyDescent="0.3">
      <c r="A1265" t="s">
        <v>3279</v>
      </c>
      <c r="B1265" t="s">
        <v>3280</v>
      </c>
      <c r="C1265"/>
      <c r="D1265"/>
      <c r="E1265"/>
      <c r="F1265"/>
      <c r="G1265" t="s">
        <v>2162</v>
      </c>
      <c r="H1265" t="s">
        <v>132</v>
      </c>
      <c r="I1265" t="s">
        <v>2</v>
      </c>
      <c r="J1265" t="s">
        <v>133</v>
      </c>
      <c r="K1265" t="s">
        <v>52</v>
      </c>
      <c r="L1265" t="s">
        <v>3278</v>
      </c>
      <c r="M1265" t="s">
        <v>134</v>
      </c>
      <c r="N1265" t="s">
        <v>135</v>
      </c>
      <c r="O1265"/>
      <c r="P1265"/>
      <c r="Q1265" t="s">
        <v>168</v>
      </c>
      <c r="R1265"/>
      <c r="S1265"/>
      <c r="T1265" t="s">
        <v>2165</v>
      </c>
      <c r="U1265" t="s">
        <v>137</v>
      </c>
      <c r="V1265" t="s">
        <v>159</v>
      </c>
      <c r="W1265"/>
      <c r="X1265" t="s">
        <v>106</v>
      </c>
      <c r="Y1265"/>
      <c r="Z1265"/>
      <c r="AA1265" t="s">
        <v>2163</v>
      </c>
      <c r="AB1265" t="s">
        <v>2</v>
      </c>
      <c r="AC1265" t="s">
        <v>138</v>
      </c>
      <c r="AD1265" t="s">
        <v>129</v>
      </c>
      <c r="AE1265" s="97"/>
    </row>
    <row r="1266" spans="1:31" ht="14.4" customHeight="1" x14ac:dyDescent="0.3">
      <c r="A1266" t="s">
        <v>3281</v>
      </c>
      <c r="B1266" t="s">
        <v>3282</v>
      </c>
      <c r="C1266"/>
      <c r="D1266"/>
      <c r="E1266"/>
      <c r="F1266"/>
      <c r="G1266" t="s">
        <v>2162</v>
      </c>
      <c r="H1266" t="s">
        <v>132</v>
      </c>
      <c r="I1266" t="s">
        <v>2</v>
      </c>
      <c r="J1266" t="s">
        <v>133</v>
      </c>
      <c r="K1266" t="s">
        <v>52</v>
      </c>
      <c r="L1266" t="s">
        <v>3283</v>
      </c>
      <c r="M1266" t="s">
        <v>134</v>
      </c>
      <c r="N1266" t="s">
        <v>135</v>
      </c>
      <c r="O1266"/>
      <c r="P1266"/>
      <c r="Q1266" t="s">
        <v>168</v>
      </c>
      <c r="R1266"/>
      <c r="S1266"/>
      <c r="T1266" t="s">
        <v>2165</v>
      </c>
      <c r="U1266" t="s">
        <v>137</v>
      </c>
      <c r="V1266" t="s">
        <v>159</v>
      </c>
      <c r="W1266"/>
      <c r="X1266" t="s">
        <v>106</v>
      </c>
      <c r="Y1266"/>
      <c r="Z1266"/>
      <c r="AA1266" t="s">
        <v>2163</v>
      </c>
      <c r="AB1266" t="s">
        <v>2</v>
      </c>
      <c r="AC1266" t="s">
        <v>138</v>
      </c>
      <c r="AD1266" t="s">
        <v>129</v>
      </c>
      <c r="AE1266" s="97"/>
    </row>
    <row r="1267" spans="1:31" ht="14.4" customHeight="1" x14ac:dyDescent="0.3">
      <c r="A1267" t="s">
        <v>3284</v>
      </c>
      <c r="B1267" t="s">
        <v>3285</v>
      </c>
      <c r="C1267"/>
      <c r="D1267"/>
      <c r="E1267"/>
      <c r="F1267"/>
      <c r="G1267" t="s">
        <v>2162</v>
      </c>
      <c r="H1267" t="s">
        <v>132</v>
      </c>
      <c r="I1267" t="s">
        <v>2</v>
      </c>
      <c r="J1267" t="s">
        <v>133</v>
      </c>
      <c r="K1267" t="s">
        <v>52</v>
      </c>
      <c r="L1267" t="s">
        <v>3286</v>
      </c>
      <c r="M1267" t="s">
        <v>134</v>
      </c>
      <c r="N1267" t="s">
        <v>135</v>
      </c>
      <c r="O1267"/>
      <c r="P1267"/>
      <c r="Q1267" t="s">
        <v>168</v>
      </c>
      <c r="R1267"/>
      <c r="S1267"/>
      <c r="T1267" t="s">
        <v>2165</v>
      </c>
      <c r="U1267" t="s">
        <v>137</v>
      </c>
      <c r="V1267" t="s">
        <v>162</v>
      </c>
      <c r="W1267"/>
      <c r="X1267" t="s">
        <v>113</v>
      </c>
      <c r="Y1267"/>
      <c r="Z1267"/>
      <c r="AA1267" t="s">
        <v>2163</v>
      </c>
      <c r="AB1267" t="s">
        <v>2</v>
      </c>
      <c r="AC1267" t="s">
        <v>138</v>
      </c>
      <c r="AD1267" t="s">
        <v>129</v>
      </c>
      <c r="AE1267" s="97"/>
    </row>
    <row r="1268" spans="1:31" ht="14.4" customHeight="1" x14ac:dyDescent="0.3">
      <c r="A1268" t="s">
        <v>3287</v>
      </c>
      <c r="B1268" t="s">
        <v>3288</v>
      </c>
      <c r="C1268"/>
      <c r="D1268"/>
      <c r="E1268"/>
      <c r="F1268"/>
      <c r="G1268" t="s">
        <v>2162</v>
      </c>
      <c r="H1268" t="s">
        <v>132</v>
      </c>
      <c r="I1268" t="s">
        <v>2</v>
      </c>
      <c r="J1268" t="s">
        <v>133</v>
      </c>
      <c r="K1268" t="s">
        <v>52</v>
      </c>
      <c r="L1268" t="s">
        <v>3286</v>
      </c>
      <c r="M1268" t="s">
        <v>134</v>
      </c>
      <c r="N1268" t="s">
        <v>135</v>
      </c>
      <c r="O1268"/>
      <c r="P1268"/>
      <c r="Q1268" t="s">
        <v>168</v>
      </c>
      <c r="R1268"/>
      <c r="S1268"/>
      <c r="T1268" t="s">
        <v>2165</v>
      </c>
      <c r="U1268" t="s">
        <v>137</v>
      </c>
      <c r="V1268" t="s">
        <v>162</v>
      </c>
      <c r="W1268"/>
      <c r="X1268" t="s">
        <v>113</v>
      </c>
      <c r="Y1268"/>
      <c r="Z1268"/>
      <c r="AA1268" t="s">
        <v>2163</v>
      </c>
      <c r="AB1268" t="s">
        <v>2</v>
      </c>
      <c r="AC1268" t="s">
        <v>138</v>
      </c>
      <c r="AD1268" t="s">
        <v>129</v>
      </c>
      <c r="AE1268" s="97"/>
    </row>
    <row r="1269" spans="1:31" ht="14.4" customHeight="1" x14ac:dyDescent="0.3">
      <c r="A1269" t="s">
        <v>3289</v>
      </c>
      <c r="B1269" t="s">
        <v>3290</v>
      </c>
      <c r="C1269"/>
      <c r="D1269"/>
      <c r="E1269"/>
      <c r="F1269"/>
      <c r="G1269" t="s">
        <v>2162</v>
      </c>
      <c r="H1269" t="s">
        <v>132</v>
      </c>
      <c r="I1269" t="s">
        <v>2</v>
      </c>
      <c r="J1269" t="s">
        <v>133</v>
      </c>
      <c r="K1269" t="s">
        <v>52</v>
      </c>
      <c r="L1269" t="s">
        <v>3291</v>
      </c>
      <c r="M1269" t="s">
        <v>134</v>
      </c>
      <c r="N1269" t="s">
        <v>135</v>
      </c>
      <c r="O1269"/>
      <c r="P1269"/>
      <c r="Q1269" t="s">
        <v>168</v>
      </c>
      <c r="R1269"/>
      <c r="S1269"/>
      <c r="T1269" t="s">
        <v>2165</v>
      </c>
      <c r="U1269" t="s">
        <v>137</v>
      </c>
      <c r="V1269" t="s">
        <v>162</v>
      </c>
      <c r="W1269"/>
      <c r="X1269" t="s">
        <v>113</v>
      </c>
      <c r="Y1269"/>
      <c r="Z1269"/>
      <c r="AA1269" t="s">
        <v>2163</v>
      </c>
      <c r="AB1269" t="s">
        <v>2</v>
      </c>
      <c r="AC1269" t="s">
        <v>138</v>
      </c>
      <c r="AD1269" t="s">
        <v>129</v>
      </c>
      <c r="AE1269" s="97"/>
    </row>
    <row r="1270" spans="1:31" ht="14.4" customHeight="1" x14ac:dyDescent="0.3">
      <c r="A1270" t="s">
        <v>3292</v>
      </c>
      <c r="B1270" t="s">
        <v>3293</v>
      </c>
      <c r="C1270"/>
      <c r="D1270"/>
      <c r="E1270"/>
      <c r="F1270"/>
      <c r="G1270" t="s">
        <v>2162</v>
      </c>
      <c r="H1270" t="s">
        <v>132</v>
      </c>
      <c r="I1270" t="s">
        <v>2</v>
      </c>
      <c r="J1270" t="s">
        <v>133</v>
      </c>
      <c r="K1270" t="s">
        <v>52</v>
      </c>
      <c r="L1270" t="s">
        <v>3294</v>
      </c>
      <c r="M1270" t="s">
        <v>134</v>
      </c>
      <c r="N1270" t="s">
        <v>135</v>
      </c>
      <c r="O1270"/>
      <c r="P1270"/>
      <c r="Q1270" t="s">
        <v>168</v>
      </c>
      <c r="R1270"/>
      <c r="S1270"/>
      <c r="T1270" t="s">
        <v>2165</v>
      </c>
      <c r="U1270" t="s">
        <v>137</v>
      </c>
      <c r="V1270" t="s">
        <v>165</v>
      </c>
      <c r="W1270"/>
      <c r="X1270" t="s">
        <v>122</v>
      </c>
      <c r="Y1270"/>
      <c r="Z1270"/>
      <c r="AA1270" t="s">
        <v>2163</v>
      </c>
      <c r="AB1270" t="s">
        <v>2</v>
      </c>
      <c r="AC1270" t="s">
        <v>138</v>
      </c>
      <c r="AD1270" t="s">
        <v>130</v>
      </c>
      <c r="AE1270" s="97"/>
    </row>
    <row r="1271" spans="1:31" ht="14.4" customHeight="1" x14ac:dyDescent="0.3">
      <c r="A1271" t="s">
        <v>3295</v>
      </c>
      <c r="B1271" t="s">
        <v>3296</v>
      </c>
      <c r="C1271"/>
      <c r="D1271"/>
      <c r="E1271"/>
      <c r="F1271"/>
      <c r="G1271" t="s">
        <v>2162</v>
      </c>
      <c r="H1271" t="s">
        <v>132</v>
      </c>
      <c r="I1271" t="s">
        <v>2</v>
      </c>
      <c r="J1271" t="s">
        <v>133</v>
      </c>
      <c r="K1271" t="s">
        <v>52</v>
      </c>
      <c r="L1271" t="s">
        <v>3294</v>
      </c>
      <c r="M1271" t="s">
        <v>134</v>
      </c>
      <c r="N1271" t="s">
        <v>135</v>
      </c>
      <c r="O1271"/>
      <c r="P1271"/>
      <c r="Q1271" t="s">
        <v>168</v>
      </c>
      <c r="R1271"/>
      <c r="S1271"/>
      <c r="T1271" t="s">
        <v>2165</v>
      </c>
      <c r="U1271" t="s">
        <v>137</v>
      </c>
      <c r="V1271" t="s">
        <v>165</v>
      </c>
      <c r="W1271"/>
      <c r="X1271" t="s">
        <v>122</v>
      </c>
      <c r="Y1271"/>
      <c r="Z1271"/>
      <c r="AA1271" t="s">
        <v>2163</v>
      </c>
      <c r="AB1271" t="s">
        <v>2</v>
      </c>
      <c r="AC1271" t="s">
        <v>138</v>
      </c>
      <c r="AD1271" t="s">
        <v>130</v>
      </c>
      <c r="AE1271" s="97"/>
    </row>
    <row r="1272" spans="1:31" ht="14.4" customHeight="1" x14ac:dyDescent="0.3">
      <c r="A1272" t="s">
        <v>3297</v>
      </c>
      <c r="B1272" t="s">
        <v>3298</v>
      </c>
      <c r="C1272"/>
      <c r="D1272"/>
      <c r="E1272"/>
      <c r="F1272"/>
      <c r="G1272" t="s">
        <v>2162</v>
      </c>
      <c r="H1272" t="s">
        <v>132</v>
      </c>
      <c r="I1272" t="s">
        <v>2</v>
      </c>
      <c r="J1272" t="s">
        <v>133</v>
      </c>
      <c r="K1272" t="s">
        <v>52</v>
      </c>
      <c r="L1272" t="s">
        <v>3299</v>
      </c>
      <c r="M1272" t="s">
        <v>134</v>
      </c>
      <c r="N1272" t="s">
        <v>135</v>
      </c>
      <c r="O1272"/>
      <c r="P1272"/>
      <c r="Q1272" t="s">
        <v>168</v>
      </c>
      <c r="R1272"/>
      <c r="S1272"/>
      <c r="T1272" t="s">
        <v>2165</v>
      </c>
      <c r="U1272" t="s">
        <v>137</v>
      </c>
      <c r="V1272" t="s">
        <v>165</v>
      </c>
      <c r="W1272"/>
      <c r="X1272" t="s">
        <v>122</v>
      </c>
      <c r="Y1272"/>
      <c r="Z1272"/>
      <c r="AA1272" t="s">
        <v>2163</v>
      </c>
      <c r="AB1272" t="s">
        <v>2</v>
      </c>
      <c r="AC1272" t="s">
        <v>138</v>
      </c>
      <c r="AD1272" t="s">
        <v>130</v>
      </c>
      <c r="AE1272" s="97"/>
    </row>
    <row r="1273" spans="1:31" ht="14.4" customHeight="1" x14ac:dyDescent="0.3">
      <c r="A1273" t="s">
        <v>3300</v>
      </c>
      <c r="B1273" t="s">
        <v>3301</v>
      </c>
      <c r="C1273"/>
      <c r="D1273"/>
      <c r="E1273"/>
      <c r="F1273"/>
      <c r="G1273" t="s">
        <v>2162</v>
      </c>
      <c r="H1273" t="s">
        <v>132</v>
      </c>
      <c r="I1273" t="s">
        <v>2</v>
      </c>
      <c r="J1273" t="s">
        <v>133</v>
      </c>
      <c r="K1273" t="s">
        <v>52</v>
      </c>
      <c r="L1273" t="s">
        <v>3302</v>
      </c>
      <c r="M1273" t="s">
        <v>134</v>
      </c>
      <c r="N1273" t="s">
        <v>135</v>
      </c>
      <c r="O1273"/>
      <c r="P1273"/>
      <c r="Q1273" t="s">
        <v>168</v>
      </c>
      <c r="R1273"/>
      <c r="S1273"/>
      <c r="T1273" t="s">
        <v>2165</v>
      </c>
      <c r="U1273" t="s">
        <v>137</v>
      </c>
      <c r="V1273" t="s">
        <v>1967</v>
      </c>
      <c r="W1273"/>
      <c r="X1273" t="s">
        <v>125</v>
      </c>
      <c r="Y1273"/>
      <c r="Z1273"/>
      <c r="AA1273" t="s">
        <v>2163</v>
      </c>
      <c r="AB1273" t="s">
        <v>2</v>
      </c>
      <c r="AC1273" t="s">
        <v>138</v>
      </c>
      <c r="AD1273" t="s">
        <v>131</v>
      </c>
      <c r="AE1273" s="97"/>
    </row>
    <row r="1274" spans="1:31" ht="14.4" customHeight="1" x14ac:dyDescent="0.3">
      <c r="A1274" t="s">
        <v>3303</v>
      </c>
      <c r="B1274" t="s">
        <v>3304</v>
      </c>
      <c r="C1274"/>
      <c r="D1274"/>
      <c r="E1274"/>
      <c r="F1274"/>
      <c r="G1274" t="s">
        <v>2162</v>
      </c>
      <c r="H1274" t="s">
        <v>132</v>
      </c>
      <c r="I1274" t="s">
        <v>2</v>
      </c>
      <c r="J1274" t="s">
        <v>133</v>
      </c>
      <c r="K1274" t="s">
        <v>52</v>
      </c>
      <c r="L1274" t="s">
        <v>3305</v>
      </c>
      <c r="M1274" t="s">
        <v>134</v>
      </c>
      <c r="N1274" t="s">
        <v>135</v>
      </c>
      <c r="O1274"/>
      <c r="P1274"/>
      <c r="Q1274" t="s">
        <v>168</v>
      </c>
      <c r="R1274"/>
      <c r="S1274"/>
      <c r="T1274" t="s">
        <v>2165</v>
      </c>
      <c r="U1274" t="s">
        <v>137</v>
      </c>
      <c r="V1274" t="s">
        <v>1967</v>
      </c>
      <c r="W1274"/>
      <c r="X1274" t="s">
        <v>125</v>
      </c>
      <c r="Y1274"/>
      <c r="Z1274"/>
      <c r="AA1274" t="s">
        <v>2163</v>
      </c>
      <c r="AB1274" t="s">
        <v>2</v>
      </c>
      <c r="AC1274" t="s">
        <v>138</v>
      </c>
      <c r="AD1274" t="s">
        <v>131</v>
      </c>
      <c r="AE1274" s="97"/>
    </row>
    <row r="1275" spans="1:31" ht="14.4" customHeight="1" x14ac:dyDescent="0.3">
      <c r="A1275" t="s">
        <v>3306</v>
      </c>
      <c r="B1275" t="s">
        <v>3307</v>
      </c>
      <c r="C1275"/>
      <c r="D1275"/>
      <c r="E1275"/>
      <c r="F1275"/>
      <c r="G1275" t="s">
        <v>2162</v>
      </c>
      <c r="H1275" t="s">
        <v>132</v>
      </c>
      <c r="I1275" t="s">
        <v>2</v>
      </c>
      <c r="J1275" t="s">
        <v>133</v>
      </c>
      <c r="K1275" t="s">
        <v>52</v>
      </c>
      <c r="L1275" t="s">
        <v>3308</v>
      </c>
      <c r="M1275" t="s">
        <v>134</v>
      </c>
      <c r="N1275" t="s">
        <v>135</v>
      </c>
      <c r="O1275"/>
      <c r="P1275"/>
      <c r="Q1275" t="s">
        <v>168</v>
      </c>
      <c r="R1275"/>
      <c r="S1275"/>
      <c r="T1275" t="s">
        <v>2165</v>
      </c>
      <c r="U1275" t="s">
        <v>137</v>
      </c>
      <c r="V1275" t="s">
        <v>1259</v>
      </c>
      <c r="W1275"/>
      <c r="X1275" t="s">
        <v>126</v>
      </c>
      <c r="Y1275"/>
      <c r="Z1275"/>
      <c r="AA1275" t="s">
        <v>2163</v>
      </c>
      <c r="AB1275" t="s">
        <v>2</v>
      </c>
      <c r="AC1275" t="s">
        <v>138</v>
      </c>
      <c r="AD1275" t="s">
        <v>131</v>
      </c>
      <c r="AE1275" s="97"/>
    </row>
    <row r="1276" spans="1:31" ht="14.4" customHeight="1" x14ac:dyDescent="0.3">
      <c r="A1276" t="s">
        <v>3309</v>
      </c>
      <c r="B1276" t="s">
        <v>3310</v>
      </c>
      <c r="C1276"/>
      <c r="D1276"/>
      <c r="E1276"/>
      <c r="F1276"/>
      <c r="G1276" t="s">
        <v>2162</v>
      </c>
      <c r="H1276" t="s">
        <v>132</v>
      </c>
      <c r="I1276" t="s">
        <v>2</v>
      </c>
      <c r="J1276" t="s">
        <v>133</v>
      </c>
      <c r="K1276" t="s">
        <v>52</v>
      </c>
      <c r="L1276" t="s">
        <v>1558</v>
      </c>
      <c r="M1276" t="s">
        <v>134</v>
      </c>
      <c r="N1276" t="s">
        <v>135</v>
      </c>
      <c r="O1276"/>
      <c r="P1276"/>
      <c r="Q1276" t="s">
        <v>168</v>
      </c>
      <c r="R1276"/>
      <c r="S1276"/>
      <c r="T1276" t="s">
        <v>2165</v>
      </c>
      <c r="U1276" t="s">
        <v>137</v>
      </c>
      <c r="V1276" t="s">
        <v>1259</v>
      </c>
      <c r="W1276"/>
      <c r="X1276" t="s">
        <v>126</v>
      </c>
      <c r="Y1276"/>
      <c r="Z1276"/>
      <c r="AA1276" t="s">
        <v>2163</v>
      </c>
      <c r="AB1276" t="s">
        <v>2</v>
      </c>
      <c r="AC1276" t="s">
        <v>138</v>
      </c>
      <c r="AD1276" t="s">
        <v>131</v>
      </c>
      <c r="AE1276" s="97"/>
    </row>
    <row r="1277" spans="1:31" ht="14.4" customHeight="1" x14ac:dyDescent="0.3">
      <c r="A1277" t="s">
        <v>3311</v>
      </c>
      <c r="B1277" t="s">
        <v>3312</v>
      </c>
      <c r="C1277"/>
      <c r="D1277"/>
      <c r="E1277"/>
      <c r="F1277"/>
      <c r="G1277" t="s">
        <v>2162</v>
      </c>
      <c r="H1277" t="s">
        <v>132</v>
      </c>
      <c r="I1277" t="s">
        <v>2</v>
      </c>
      <c r="J1277" t="s">
        <v>133</v>
      </c>
      <c r="K1277" t="s">
        <v>52</v>
      </c>
      <c r="L1277" t="s">
        <v>1558</v>
      </c>
      <c r="M1277" t="s">
        <v>134</v>
      </c>
      <c r="N1277" t="s">
        <v>135</v>
      </c>
      <c r="O1277"/>
      <c r="P1277"/>
      <c r="Q1277" t="s">
        <v>168</v>
      </c>
      <c r="R1277"/>
      <c r="S1277"/>
      <c r="T1277" t="s">
        <v>2165</v>
      </c>
      <c r="U1277" t="s">
        <v>137</v>
      </c>
      <c r="V1277" t="s">
        <v>1259</v>
      </c>
      <c r="W1277"/>
      <c r="X1277" t="s">
        <v>126</v>
      </c>
      <c r="Y1277"/>
      <c r="Z1277"/>
      <c r="AA1277" t="s">
        <v>2163</v>
      </c>
      <c r="AB1277" t="s">
        <v>2</v>
      </c>
      <c r="AC1277" t="s">
        <v>138</v>
      </c>
      <c r="AD1277" t="s">
        <v>131</v>
      </c>
      <c r="AE1277" s="97"/>
    </row>
    <row r="1278" spans="1:31" ht="14.4" customHeight="1" x14ac:dyDescent="0.3">
      <c r="A1278" t="s">
        <v>3313</v>
      </c>
      <c r="B1278" t="s">
        <v>3314</v>
      </c>
      <c r="C1278"/>
      <c r="D1278"/>
      <c r="E1278"/>
      <c r="F1278"/>
      <c r="G1278" t="s">
        <v>2162</v>
      </c>
      <c r="H1278" t="s">
        <v>132</v>
      </c>
      <c r="I1278" t="s">
        <v>2</v>
      </c>
      <c r="J1278" t="s">
        <v>133</v>
      </c>
      <c r="K1278" t="s">
        <v>52</v>
      </c>
      <c r="L1278" t="s">
        <v>1558</v>
      </c>
      <c r="M1278" t="s">
        <v>134</v>
      </c>
      <c r="N1278" t="s">
        <v>135</v>
      </c>
      <c r="O1278"/>
      <c r="P1278"/>
      <c r="Q1278" t="s">
        <v>168</v>
      </c>
      <c r="R1278"/>
      <c r="S1278"/>
      <c r="T1278" t="s">
        <v>2165</v>
      </c>
      <c r="U1278" t="s">
        <v>137</v>
      </c>
      <c r="V1278" t="s">
        <v>1259</v>
      </c>
      <c r="W1278"/>
      <c r="X1278" t="s">
        <v>126</v>
      </c>
      <c r="Y1278"/>
      <c r="Z1278"/>
      <c r="AA1278" t="s">
        <v>2163</v>
      </c>
      <c r="AB1278" t="s">
        <v>2</v>
      </c>
      <c r="AC1278" t="s">
        <v>138</v>
      </c>
      <c r="AD1278" t="s">
        <v>131</v>
      </c>
      <c r="AE1278" s="97"/>
    </row>
    <row r="1279" spans="1:31" ht="14.4" customHeight="1" x14ac:dyDescent="0.3">
      <c r="A1279" t="s">
        <v>3315</v>
      </c>
      <c r="B1279" t="s">
        <v>3316</v>
      </c>
      <c r="C1279"/>
      <c r="D1279"/>
      <c r="E1279"/>
      <c r="F1279"/>
      <c r="G1279" t="s">
        <v>2162</v>
      </c>
      <c r="H1279" t="s">
        <v>132</v>
      </c>
      <c r="I1279" t="s">
        <v>2</v>
      </c>
      <c r="J1279" t="s">
        <v>133</v>
      </c>
      <c r="K1279" t="s">
        <v>52</v>
      </c>
      <c r="L1279" t="s">
        <v>1567</v>
      </c>
      <c r="M1279" t="s">
        <v>134</v>
      </c>
      <c r="N1279" t="s">
        <v>135</v>
      </c>
      <c r="O1279"/>
      <c r="P1279"/>
      <c r="Q1279" t="s">
        <v>168</v>
      </c>
      <c r="R1279"/>
      <c r="S1279"/>
      <c r="T1279" t="s">
        <v>2165</v>
      </c>
      <c r="U1279" t="s">
        <v>137</v>
      </c>
      <c r="V1279" t="s">
        <v>1259</v>
      </c>
      <c r="W1279"/>
      <c r="X1279" t="s">
        <v>126</v>
      </c>
      <c r="Y1279"/>
      <c r="Z1279"/>
      <c r="AA1279" t="s">
        <v>2163</v>
      </c>
      <c r="AB1279" t="s">
        <v>2</v>
      </c>
      <c r="AC1279" t="s">
        <v>138</v>
      </c>
      <c r="AD1279" t="s">
        <v>131</v>
      </c>
      <c r="AE1279" s="97"/>
    </row>
    <row r="1280" spans="1:31" ht="14.4" customHeight="1" x14ac:dyDescent="0.3">
      <c r="A1280" t="s">
        <v>3317</v>
      </c>
      <c r="B1280" t="s">
        <v>3318</v>
      </c>
      <c r="C1280"/>
      <c r="D1280"/>
      <c r="E1280"/>
      <c r="F1280"/>
      <c r="G1280" t="s">
        <v>2162</v>
      </c>
      <c r="H1280" t="s">
        <v>132</v>
      </c>
      <c r="I1280" t="s">
        <v>2</v>
      </c>
      <c r="J1280" t="s">
        <v>133</v>
      </c>
      <c r="K1280" t="s">
        <v>52</v>
      </c>
      <c r="L1280" t="s">
        <v>1570</v>
      </c>
      <c r="M1280" t="s">
        <v>134</v>
      </c>
      <c r="N1280" t="s">
        <v>135</v>
      </c>
      <c r="O1280"/>
      <c r="P1280"/>
      <c r="Q1280" t="s">
        <v>168</v>
      </c>
      <c r="R1280"/>
      <c r="S1280"/>
      <c r="T1280" t="s">
        <v>2165</v>
      </c>
      <c r="U1280" t="s">
        <v>137</v>
      </c>
      <c r="V1280" t="s">
        <v>1249</v>
      </c>
      <c r="W1280"/>
      <c r="X1280" t="s">
        <v>61</v>
      </c>
      <c r="Y1280"/>
      <c r="Z1280"/>
      <c r="AA1280" t="s">
        <v>2163</v>
      </c>
      <c r="AB1280" t="s">
        <v>2</v>
      </c>
      <c r="AC1280" t="s">
        <v>138</v>
      </c>
      <c r="AD1280" t="s">
        <v>128</v>
      </c>
      <c r="AE1280" s="97"/>
    </row>
    <row r="1281" spans="1:31" ht="14.4" customHeight="1" x14ac:dyDescent="0.3">
      <c r="A1281" t="s">
        <v>3319</v>
      </c>
      <c r="B1281" t="s">
        <v>3320</v>
      </c>
      <c r="C1281"/>
      <c r="D1281"/>
      <c r="E1281"/>
      <c r="F1281"/>
      <c r="G1281" t="s">
        <v>2162</v>
      </c>
      <c r="H1281" t="s">
        <v>132</v>
      </c>
      <c r="I1281" t="s">
        <v>2</v>
      </c>
      <c r="J1281" t="s">
        <v>133</v>
      </c>
      <c r="K1281" t="s">
        <v>52</v>
      </c>
      <c r="L1281" t="s">
        <v>3321</v>
      </c>
      <c r="M1281" t="s">
        <v>134</v>
      </c>
      <c r="N1281" t="s">
        <v>135</v>
      </c>
      <c r="O1281"/>
      <c r="P1281"/>
      <c r="Q1281" t="s">
        <v>168</v>
      </c>
      <c r="R1281"/>
      <c r="S1281"/>
      <c r="T1281" t="s">
        <v>2165</v>
      </c>
      <c r="U1281" t="s">
        <v>137</v>
      </c>
      <c r="V1281" t="s">
        <v>1249</v>
      </c>
      <c r="W1281"/>
      <c r="X1281" t="s">
        <v>61</v>
      </c>
      <c r="Y1281"/>
      <c r="Z1281"/>
      <c r="AA1281" t="s">
        <v>2163</v>
      </c>
      <c r="AB1281" t="s">
        <v>2</v>
      </c>
      <c r="AC1281" t="s">
        <v>138</v>
      </c>
      <c r="AD1281" t="s">
        <v>128</v>
      </c>
      <c r="AE1281" s="97"/>
    </row>
    <row r="1282" spans="1:31" ht="14.4" customHeight="1" x14ac:dyDescent="0.3">
      <c r="A1282" t="s">
        <v>3322</v>
      </c>
      <c r="B1282" t="s">
        <v>3323</v>
      </c>
      <c r="C1282"/>
      <c r="D1282"/>
      <c r="E1282"/>
      <c r="F1282"/>
      <c r="G1282" t="s">
        <v>2162</v>
      </c>
      <c r="H1282" t="s">
        <v>132</v>
      </c>
      <c r="I1282" t="s">
        <v>2</v>
      </c>
      <c r="J1282" t="s">
        <v>133</v>
      </c>
      <c r="K1282" t="s">
        <v>52</v>
      </c>
      <c r="L1282" t="s">
        <v>1577</v>
      </c>
      <c r="M1282" t="s">
        <v>134</v>
      </c>
      <c r="N1282" t="s">
        <v>135</v>
      </c>
      <c r="O1282"/>
      <c r="P1282"/>
      <c r="Q1282" t="s">
        <v>168</v>
      </c>
      <c r="R1282"/>
      <c r="S1282"/>
      <c r="T1282" t="s">
        <v>2165</v>
      </c>
      <c r="U1282" t="s">
        <v>137</v>
      </c>
      <c r="V1282" t="s">
        <v>1263</v>
      </c>
      <c r="W1282"/>
      <c r="X1282" t="s">
        <v>69</v>
      </c>
      <c r="Y1282"/>
      <c r="Z1282"/>
      <c r="AA1282" t="s">
        <v>2163</v>
      </c>
      <c r="AB1282" t="s">
        <v>2</v>
      </c>
      <c r="AC1282" t="s">
        <v>138</v>
      </c>
      <c r="AD1282" t="s">
        <v>128</v>
      </c>
      <c r="AE1282" s="97"/>
    </row>
    <row r="1283" spans="1:31" ht="14.4" customHeight="1" x14ac:dyDescent="0.3">
      <c r="A1283" t="s">
        <v>3324</v>
      </c>
      <c r="B1283" t="s">
        <v>3325</v>
      </c>
      <c r="C1283"/>
      <c r="D1283"/>
      <c r="E1283"/>
      <c r="F1283"/>
      <c r="G1283" t="s">
        <v>2162</v>
      </c>
      <c r="H1283" t="s">
        <v>132</v>
      </c>
      <c r="I1283" t="s">
        <v>2</v>
      </c>
      <c r="J1283" t="s">
        <v>133</v>
      </c>
      <c r="K1283" t="s">
        <v>52</v>
      </c>
      <c r="L1283" t="s">
        <v>3326</v>
      </c>
      <c r="M1283" t="s">
        <v>134</v>
      </c>
      <c r="N1283" t="s">
        <v>135</v>
      </c>
      <c r="O1283"/>
      <c r="P1283"/>
      <c r="Q1283" t="s">
        <v>168</v>
      </c>
      <c r="R1283"/>
      <c r="S1283"/>
      <c r="T1283" t="s">
        <v>2165</v>
      </c>
      <c r="U1283" t="s">
        <v>137</v>
      </c>
      <c r="V1283" t="s">
        <v>1967</v>
      </c>
      <c r="W1283"/>
      <c r="X1283" t="s">
        <v>125</v>
      </c>
      <c r="Y1283"/>
      <c r="Z1283"/>
      <c r="AA1283" t="s">
        <v>2163</v>
      </c>
      <c r="AB1283" t="s">
        <v>2</v>
      </c>
      <c r="AC1283" t="s">
        <v>138</v>
      </c>
      <c r="AD1283" t="s">
        <v>131</v>
      </c>
      <c r="AE1283" s="97"/>
    </row>
    <row r="1284" spans="1:31" ht="14.4" customHeight="1" x14ac:dyDescent="0.3">
      <c r="A1284" t="s">
        <v>3327</v>
      </c>
      <c r="B1284" t="s">
        <v>3328</v>
      </c>
      <c r="C1284"/>
      <c r="D1284"/>
      <c r="E1284"/>
      <c r="F1284"/>
      <c r="G1284" t="s">
        <v>2162</v>
      </c>
      <c r="H1284" t="s">
        <v>132</v>
      </c>
      <c r="I1284" t="s">
        <v>2</v>
      </c>
      <c r="J1284" t="s">
        <v>133</v>
      </c>
      <c r="K1284" t="s">
        <v>52</v>
      </c>
      <c r="L1284" t="s">
        <v>3326</v>
      </c>
      <c r="M1284" t="s">
        <v>134</v>
      </c>
      <c r="N1284" t="s">
        <v>135</v>
      </c>
      <c r="O1284"/>
      <c r="P1284"/>
      <c r="Q1284" t="s">
        <v>168</v>
      </c>
      <c r="R1284"/>
      <c r="S1284"/>
      <c r="T1284" t="s">
        <v>2165</v>
      </c>
      <c r="U1284" t="s">
        <v>137</v>
      </c>
      <c r="V1284" t="s">
        <v>1967</v>
      </c>
      <c r="W1284"/>
      <c r="X1284" t="s">
        <v>125</v>
      </c>
      <c r="Y1284"/>
      <c r="Z1284"/>
      <c r="AA1284" t="s">
        <v>2163</v>
      </c>
      <c r="AB1284" t="s">
        <v>2</v>
      </c>
      <c r="AC1284" t="s">
        <v>138</v>
      </c>
      <c r="AD1284" t="s">
        <v>131</v>
      </c>
      <c r="AE1284" s="97"/>
    </row>
    <row r="1285" spans="1:31" ht="14.4" customHeight="1" x14ac:dyDescent="0.3">
      <c r="A1285" t="s">
        <v>3329</v>
      </c>
      <c r="B1285" t="s">
        <v>3330</v>
      </c>
      <c r="C1285"/>
      <c r="D1285"/>
      <c r="E1285"/>
      <c r="F1285"/>
      <c r="G1285" t="s">
        <v>2162</v>
      </c>
      <c r="H1285" t="s">
        <v>132</v>
      </c>
      <c r="I1285" t="s">
        <v>2</v>
      </c>
      <c r="J1285" t="s">
        <v>133</v>
      </c>
      <c r="K1285" t="s">
        <v>52</v>
      </c>
      <c r="L1285" t="s">
        <v>3331</v>
      </c>
      <c r="M1285" t="s">
        <v>134</v>
      </c>
      <c r="N1285" t="s">
        <v>135</v>
      </c>
      <c r="O1285"/>
      <c r="P1285"/>
      <c r="Q1285" t="s">
        <v>168</v>
      </c>
      <c r="R1285"/>
      <c r="S1285"/>
      <c r="T1285" t="s">
        <v>2165</v>
      </c>
      <c r="U1285" t="s">
        <v>137</v>
      </c>
      <c r="V1285" t="s">
        <v>1967</v>
      </c>
      <c r="W1285"/>
      <c r="X1285" t="s">
        <v>125</v>
      </c>
      <c r="Y1285"/>
      <c r="Z1285"/>
      <c r="AA1285" t="s">
        <v>2163</v>
      </c>
      <c r="AB1285" t="s">
        <v>2</v>
      </c>
      <c r="AC1285" t="s">
        <v>138</v>
      </c>
      <c r="AD1285" t="s">
        <v>131</v>
      </c>
      <c r="AE1285" s="97"/>
    </row>
    <row r="1286" spans="1:31" ht="14.4" customHeight="1" x14ac:dyDescent="0.3">
      <c r="A1286" t="s">
        <v>3332</v>
      </c>
      <c r="B1286" t="s">
        <v>3333</v>
      </c>
      <c r="C1286"/>
      <c r="D1286"/>
      <c r="E1286"/>
      <c r="F1286"/>
      <c r="G1286" t="s">
        <v>2162</v>
      </c>
      <c r="H1286" t="s">
        <v>132</v>
      </c>
      <c r="I1286" t="s">
        <v>2</v>
      </c>
      <c r="J1286" t="s">
        <v>133</v>
      </c>
      <c r="K1286" t="s">
        <v>52</v>
      </c>
      <c r="L1286" t="s">
        <v>3331</v>
      </c>
      <c r="M1286" t="s">
        <v>134</v>
      </c>
      <c r="N1286" t="s">
        <v>135</v>
      </c>
      <c r="O1286"/>
      <c r="P1286"/>
      <c r="Q1286" t="s">
        <v>168</v>
      </c>
      <c r="R1286"/>
      <c r="S1286"/>
      <c r="T1286" t="s">
        <v>2165</v>
      </c>
      <c r="U1286" t="s">
        <v>137</v>
      </c>
      <c r="V1286" t="s">
        <v>1967</v>
      </c>
      <c r="W1286"/>
      <c r="X1286" t="s">
        <v>125</v>
      </c>
      <c r="Y1286"/>
      <c r="Z1286"/>
      <c r="AA1286" t="s">
        <v>2163</v>
      </c>
      <c r="AB1286" t="s">
        <v>2</v>
      </c>
      <c r="AC1286" t="s">
        <v>138</v>
      </c>
      <c r="AD1286" t="s">
        <v>131</v>
      </c>
      <c r="AE1286" s="97"/>
    </row>
    <row r="1287" spans="1:31" ht="14.4" customHeight="1" x14ac:dyDescent="0.3">
      <c r="A1287" t="s">
        <v>3334</v>
      </c>
      <c r="B1287" t="s">
        <v>3335</v>
      </c>
      <c r="C1287"/>
      <c r="D1287"/>
      <c r="E1287"/>
      <c r="F1287"/>
      <c r="G1287" t="s">
        <v>2162</v>
      </c>
      <c r="H1287" t="s">
        <v>132</v>
      </c>
      <c r="I1287" t="s">
        <v>2</v>
      </c>
      <c r="J1287" t="s">
        <v>133</v>
      </c>
      <c r="K1287" t="s">
        <v>52</v>
      </c>
      <c r="L1287" t="s">
        <v>3336</v>
      </c>
      <c r="M1287" t="s">
        <v>134</v>
      </c>
      <c r="N1287" t="s">
        <v>135</v>
      </c>
      <c r="O1287"/>
      <c r="P1287"/>
      <c r="Q1287" t="s">
        <v>168</v>
      </c>
      <c r="R1287"/>
      <c r="S1287"/>
      <c r="T1287" t="s">
        <v>2165</v>
      </c>
      <c r="U1287" t="s">
        <v>137</v>
      </c>
      <c r="V1287" t="s">
        <v>1967</v>
      </c>
      <c r="W1287"/>
      <c r="X1287" t="s">
        <v>125</v>
      </c>
      <c r="Y1287"/>
      <c r="Z1287"/>
      <c r="AA1287" t="s">
        <v>2163</v>
      </c>
      <c r="AB1287" t="s">
        <v>2</v>
      </c>
      <c r="AC1287" t="s">
        <v>138</v>
      </c>
      <c r="AD1287" t="s">
        <v>131</v>
      </c>
      <c r="AE1287" s="97"/>
    </row>
    <row r="1288" spans="1:31" ht="14.4" customHeight="1" x14ac:dyDescent="0.3">
      <c r="A1288" t="s">
        <v>3337</v>
      </c>
      <c r="B1288" t="s">
        <v>3338</v>
      </c>
      <c r="C1288"/>
      <c r="D1288"/>
      <c r="E1288"/>
      <c r="F1288"/>
      <c r="G1288" t="s">
        <v>2162</v>
      </c>
      <c r="H1288" t="s">
        <v>132</v>
      </c>
      <c r="I1288" t="s">
        <v>2</v>
      </c>
      <c r="J1288" t="s">
        <v>133</v>
      </c>
      <c r="K1288" t="s">
        <v>52</v>
      </c>
      <c r="L1288" t="s">
        <v>3336</v>
      </c>
      <c r="M1288" t="s">
        <v>134</v>
      </c>
      <c r="N1288" t="s">
        <v>135</v>
      </c>
      <c r="O1288"/>
      <c r="P1288"/>
      <c r="Q1288" t="s">
        <v>168</v>
      </c>
      <c r="R1288"/>
      <c r="S1288"/>
      <c r="T1288" t="s">
        <v>2165</v>
      </c>
      <c r="U1288" t="s">
        <v>137</v>
      </c>
      <c r="V1288" t="s">
        <v>1967</v>
      </c>
      <c r="W1288"/>
      <c r="X1288" t="s">
        <v>125</v>
      </c>
      <c r="Y1288"/>
      <c r="Z1288"/>
      <c r="AA1288" t="s">
        <v>2163</v>
      </c>
      <c r="AB1288" t="s">
        <v>2</v>
      </c>
      <c r="AC1288" t="s">
        <v>138</v>
      </c>
      <c r="AD1288" t="s">
        <v>131</v>
      </c>
      <c r="AE1288" s="97"/>
    </row>
    <row r="1289" spans="1:31" ht="14.4" customHeight="1" x14ac:dyDescent="0.3">
      <c r="A1289" t="s">
        <v>3339</v>
      </c>
      <c r="B1289" t="s">
        <v>3340</v>
      </c>
      <c r="C1289"/>
      <c r="D1289"/>
      <c r="E1289"/>
      <c r="F1289"/>
      <c r="G1289" t="s">
        <v>2162</v>
      </c>
      <c r="H1289" t="s">
        <v>132</v>
      </c>
      <c r="I1289" t="s">
        <v>2</v>
      </c>
      <c r="J1289" t="s">
        <v>133</v>
      </c>
      <c r="K1289" t="s">
        <v>52</v>
      </c>
      <c r="L1289" t="s">
        <v>3336</v>
      </c>
      <c r="M1289" t="s">
        <v>134</v>
      </c>
      <c r="N1289" t="s">
        <v>135</v>
      </c>
      <c r="O1289"/>
      <c r="P1289"/>
      <c r="Q1289" t="s">
        <v>168</v>
      </c>
      <c r="R1289"/>
      <c r="S1289"/>
      <c r="T1289" t="s">
        <v>2165</v>
      </c>
      <c r="U1289" t="s">
        <v>137</v>
      </c>
      <c r="V1289" t="s">
        <v>1967</v>
      </c>
      <c r="W1289"/>
      <c r="X1289" t="s">
        <v>125</v>
      </c>
      <c r="Y1289"/>
      <c r="Z1289"/>
      <c r="AA1289" t="s">
        <v>2163</v>
      </c>
      <c r="AB1289" t="s">
        <v>2</v>
      </c>
      <c r="AC1289" t="s">
        <v>138</v>
      </c>
      <c r="AD1289" t="s">
        <v>131</v>
      </c>
      <c r="AE1289" s="97"/>
    </row>
    <row r="1290" spans="1:31" ht="14.4" customHeight="1" x14ac:dyDescent="0.3">
      <c r="A1290" t="s">
        <v>3341</v>
      </c>
      <c r="B1290" t="s">
        <v>3342</v>
      </c>
      <c r="C1290"/>
      <c r="D1290"/>
      <c r="E1290"/>
      <c r="F1290"/>
      <c r="G1290" t="s">
        <v>2162</v>
      </c>
      <c r="H1290" t="s">
        <v>132</v>
      </c>
      <c r="I1290" t="s">
        <v>2</v>
      </c>
      <c r="J1290" t="s">
        <v>133</v>
      </c>
      <c r="K1290" t="s">
        <v>52</v>
      </c>
      <c r="L1290" t="s">
        <v>3336</v>
      </c>
      <c r="M1290" t="s">
        <v>134</v>
      </c>
      <c r="N1290" t="s">
        <v>135</v>
      </c>
      <c r="O1290"/>
      <c r="P1290"/>
      <c r="Q1290" t="s">
        <v>168</v>
      </c>
      <c r="R1290"/>
      <c r="S1290"/>
      <c r="T1290" t="s">
        <v>2165</v>
      </c>
      <c r="U1290" t="s">
        <v>137</v>
      </c>
      <c r="V1290" t="s">
        <v>1967</v>
      </c>
      <c r="W1290"/>
      <c r="X1290" t="s">
        <v>125</v>
      </c>
      <c r="Y1290"/>
      <c r="Z1290"/>
      <c r="AA1290" t="s">
        <v>2163</v>
      </c>
      <c r="AB1290" t="s">
        <v>2</v>
      </c>
      <c r="AC1290" t="s">
        <v>138</v>
      </c>
      <c r="AD1290" t="s">
        <v>131</v>
      </c>
      <c r="AE1290" s="97"/>
    </row>
    <row r="1291" spans="1:31" ht="14.4" customHeight="1" x14ac:dyDescent="0.3">
      <c r="A1291" t="s">
        <v>3343</v>
      </c>
      <c r="B1291" t="s">
        <v>3344</v>
      </c>
      <c r="C1291"/>
      <c r="D1291"/>
      <c r="E1291"/>
      <c r="F1291"/>
      <c r="G1291" t="s">
        <v>2162</v>
      </c>
      <c r="H1291" t="s">
        <v>132</v>
      </c>
      <c r="I1291" t="s">
        <v>2</v>
      </c>
      <c r="J1291" t="s">
        <v>133</v>
      </c>
      <c r="K1291" t="s">
        <v>52</v>
      </c>
      <c r="L1291" t="s">
        <v>3336</v>
      </c>
      <c r="M1291" t="s">
        <v>134</v>
      </c>
      <c r="N1291" t="s">
        <v>135</v>
      </c>
      <c r="O1291"/>
      <c r="P1291"/>
      <c r="Q1291" t="s">
        <v>168</v>
      </c>
      <c r="R1291"/>
      <c r="S1291"/>
      <c r="T1291" t="s">
        <v>2165</v>
      </c>
      <c r="U1291" t="s">
        <v>137</v>
      </c>
      <c r="V1291" t="s">
        <v>1967</v>
      </c>
      <c r="W1291"/>
      <c r="X1291" t="s">
        <v>125</v>
      </c>
      <c r="Y1291"/>
      <c r="Z1291"/>
      <c r="AA1291" t="s">
        <v>2163</v>
      </c>
      <c r="AB1291" t="s">
        <v>2</v>
      </c>
      <c r="AC1291" t="s">
        <v>138</v>
      </c>
      <c r="AD1291" t="s">
        <v>131</v>
      </c>
      <c r="AE1291" s="97"/>
    </row>
    <row r="1292" spans="1:31" ht="14.4" customHeight="1" x14ac:dyDescent="0.3">
      <c r="A1292" t="s">
        <v>3345</v>
      </c>
      <c r="B1292" t="s">
        <v>3346</v>
      </c>
      <c r="C1292"/>
      <c r="D1292"/>
      <c r="E1292"/>
      <c r="F1292"/>
      <c r="G1292" t="s">
        <v>2162</v>
      </c>
      <c r="H1292" t="s">
        <v>132</v>
      </c>
      <c r="I1292" t="s">
        <v>2</v>
      </c>
      <c r="J1292" t="s">
        <v>133</v>
      </c>
      <c r="K1292" t="s">
        <v>52</v>
      </c>
      <c r="L1292" t="s">
        <v>3347</v>
      </c>
      <c r="M1292" t="s">
        <v>134</v>
      </c>
      <c r="N1292" t="s">
        <v>135</v>
      </c>
      <c r="O1292"/>
      <c r="P1292"/>
      <c r="Q1292" t="s">
        <v>168</v>
      </c>
      <c r="R1292"/>
      <c r="S1292"/>
      <c r="T1292" t="s">
        <v>2165</v>
      </c>
      <c r="U1292" t="s">
        <v>137</v>
      </c>
      <c r="V1292" t="s">
        <v>1967</v>
      </c>
      <c r="W1292"/>
      <c r="X1292" t="s">
        <v>125</v>
      </c>
      <c r="Y1292"/>
      <c r="Z1292"/>
      <c r="AA1292" t="s">
        <v>2163</v>
      </c>
      <c r="AB1292" t="s">
        <v>2</v>
      </c>
      <c r="AC1292" t="s">
        <v>138</v>
      </c>
      <c r="AD1292" t="s">
        <v>131</v>
      </c>
      <c r="AE1292" s="97"/>
    </row>
    <row r="1293" spans="1:31" ht="14.4" customHeight="1" x14ac:dyDescent="0.3">
      <c r="A1293" t="s">
        <v>3348</v>
      </c>
      <c r="B1293" t="s">
        <v>3349</v>
      </c>
      <c r="C1293"/>
      <c r="D1293"/>
      <c r="E1293"/>
      <c r="F1293"/>
      <c r="G1293" t="s">
        <v>2162</v>
      </c>
      <c r="H1293" t="s">
        <v>132</v>
      </c>
      <c r="I1293" t="s">
        <v>2</v>
      </c>
      <c r="J1293" t="s">
        <v>133</v>
      </c>
      <c r="K1293" t="s">
        <v>52</v>
      </c>
      <c r="L1293" t="s">
        <v>3347</v>
      </c>
      <c r="M1293" t="s">
        <v>134</v>
      </c>
      <c r="N1293" t="s">
        <v>135</v>
      </c>
      <c r="O1293"/>
      <c r="P1293"/>
      <c r="Q1293" t="s">
        <v>168</v>
      </c>
      <c r="R1293"/>
      <c r="S1293"/>
      <c r="T1293" t="s">
        <v>2165</v>
      </c>
      <c r="U1293" t="s">
        <v>137</v>
      </c>
      <c r="V1293" t="s">
        <v>1967</v>
      </c>
      <c r="W1293"/>
      <c r="X1293" t="s">
        <v>125</v>
      </c>
      <c r="Y1293"/>
      <c r="Z1293"/>
      <c r="AA1293" t="s">
        <v>2163</v>
      </c>
      <c r="AB1293" t="s">
        <v>2</v>
      </c>
      <c r="AC1293" t="s">
        <v>138</v>
      </c>
      <c r="AD1293" t="s">
        <v>131</v>
      </c>
      <c r="AE1293" s="97"/>
    </row>
    <row r="1294" spans="1:31" ht="14.4" customHeight="1" x14ac:dyDescent="0.3">
      <c r="A1294" t="s">
        <v>3350</v>
      </c>
      <c r="B1294" t="s">
        <v>3351</v>
      </c>
      <c r="C1294"/>
      <c r="D1294"/>
      <c r="E1294"/>
      <c r="F1294"/>
      <c r="G1294" t="s">
        <v>2162</v>
      </c>
      <c r="H1294" t="s">
        <v>132</v>
      </c>
      <c r="I1294" t="s">
        <v>2</v>
      </c>
      <c r="J1294" t="s">
        <v>133</v>
      </c>
      <c r="K1294" t="s">
        <v>52</v>
      </c>
      <c r="L1294" t="s">
        <v>3347</v>
      </c>
      <c r="M1294" t="s">
        <v>134</v>
      </c>
      <c r="N1294" t="s">
        <v>135</v>
      </c>
      <c r="O1294"/>
      <c r="P1294"/>
      <c r="Q1294" t="s">
        <v>168</v>
      </c>
      <c r="R1294"/>
      <c r="S1294"/>
      <c r="T1294" t="s">
        <v>2165</v>
      </c>
      <c r="U1294" t="s">
        <v>137</v>
      </c>
      <c r="V1294" t="s">
        <v>1967</v>
      </c>
      <c r="W1294"/>
      <c r="X1294" t="s">
        <v>125</v>
      </c>
      <c r="Y1294"/>
      <c r="Z1294"/>
      <c r="AA1294" t="s">
        <v>2163</v>
      </c>
      <c r="AB1294" t="s">
        <v>2</v>
      </c>
      <c r="AC1294" t="s">
        <v>138</v>
      </c>
      <c r="AD1294" t="s">
        <v>131</v>
      </c>
      <c r="AE1294" s="97"/>
    </row>
    <row r="1295" spans="1:31" ht="14.4" customHeight="1" x14ac:dyDescent="0.3">
      <c r="A1295" t="s">
        <v>3352</v>
      </c>
      <c r="B1295" t="s">
        <v>3353</v>
      </c>
      <c r="C1295"/>
      <c r="D1295"/>
      <c r="E1295"/>
      <c r="F1295"/>
      <c r="G1295" t="s">
        <v>2162</v>
      </c>
      <c r="H1295" t="s">
        <v>132</v>
      </c>
      <c r="I1295" t="s">
        <v>2</v>
      </c>
      <c r="J1295" t="s">
        <v>133</v>
      </c>
      <c r="K1295" t="s">
        <v>52</v>
      </c>
      <c r="L1295" t="s">
        <v>3347</v>
      </c>
      <c r="M1295" t="s">
        <v>134</v>
      </c>
      <c r="N1295" t="s">
        <v>135</v>
      </c>
      <c r="O1295"/>
      <c r="P1295"/>
      <c r="Q1295" t="s">
        <v>168</v>
      </c>
      <c r="R1295"/>
      <c r="S1295"/>
      <c r="T1295" t="s">
        <v>2165</v>
      </c>
      <c r="U1295" t="s">
        <v>137</v>
      </c>
      <c r="V1295" t="s">
        <v>1967</v>
      </c>
      <c r="W1295"/>
      <c r="X1295" t="s">
        <v>125</v>
      </c>
      <c r="Y1295"/>
      <c r="Z1295"/>
      <c r="AA1295" t="s">
        <v>2163</v>
      </c>
      <c r="AB1295" t="s">
        <v>2</v>
      </c>
      <c r="AC1295" t="s">
        <v>138</v>
      </c>
      <c r="AD1295" t="s">
        <v>131</v>
      </c>
      <c r="AE1295" s="97"/>
    </row>
    <row r="1296" spans="1:31" ht="14.4" customHeight="1" x14ac:dyDescent="0.3">
      <c r="A1296" t="s">
        <v>3354</v>
      </c>
      <c r="B1296" t="s">
        <v>3355</v>
      </c>
      <c r="C1296"/>
      <c r="D1296"/>
      <c r="E1296"/>
      <c r="F1296"/>
      <c r="G1296" t="s">
        <v>2162</v>
      </c>
      <c r="H1296" t="s">
        <v>132</v>
      </c>
      <c r="I1296" t="s">
        <v>2</v>
      </c>
      <c r="J1296" t="s">
        <v>133</v>
      </c>
      <c r="K1296" t="s">
        <v>52</v>
      </c>
      <c r="L1296" t="s">
        <v>3347</v>
      </c>
      <c r="M1296" t="s">
        <v>134</v>
      </c>
      <c r="N1296" t="s">
        <v>135</v>
      </c>
      <c r="O1296"/>
      <c r="P1296"/>
      <c r="Q1296" t="s">
        <v>168</v>
      </c>
      <c r="R1296"/>
      <c r="S1296"/>
      <c r="T1296" t="s">
        <v>2165</v>
      </c>
      <c r="U1296" t="s">
        <v>137</v>
      </c>
      <c r="V1296" t="s">
        <v>1967</v>
      </c>
      <c r="W1296"/>
      <c r="X1296" t="s">
        <v>125</v>
      </c>
      <c r="Y1296"/>
      <c r="Z1296"/>
      <c r="AA1296" t="s">
        <v>2163</v>
      </c>
      <c r="AB1296" t="s">
        <v>2</v>
      </c>
      <c r="AC1296" t="s">
        <v>138</v>
      </c>
      <c r="AD1296" t="s">
        <v>131</v>
      </c>
      <c r="AE1296" s="97"/>
    </row>
    <row r="1297" spans="1:31" ht="14.4" customHeight="1" x14ac:dyDescent="0.3">
      <c r="A1297" t="s">
        <v>3356</v>
      </c>
      <c r="B1297" t="s">
        <v>3357</v>
      </c>
      <c r="C1297"/>
      <c r="D1297"/>
      <c r="E1297"/>
      <c r="F1297"/>
      <c r="G1297" t="s">
        <v>2162</v>
      </c>
      <c r="H1297" t="s">
        <v>132</v>
      </c>
      <c r="I1297" t="s">
        <v>2</v>
      </c>
      <c r="J1297" t="s">
        <v>133</v>
      </c>
      <c r="K1297" t="s">
        <v>52</v>
      </c>
      <c r="L1297" t="s">
        <v>3358</v>
      </c>
      <c r="M1297" t="s">
        <v>134</v>
      </c>
      <c r="N1297" t="s">
        <v>135</v>
      </c>
      <c r="O1297"/>
      <c r="P1297"/>
      <c r="Q1297" t="s">
        <v>168</v>
      </c>
      <c r="R1297"/>
      <c r="S1297"/>
      <c r="T1297" t="s">
        <v>2165</v>
      </c>
      <c r="U1297" t="s">
        <v>137</v>
      </c>
      <c r="V1297" t="s">
        <v>1239</v>
      </c>
      <c r="W1297"/>
      <c r="X1297" t="s">
        <v>127</v>
      </c>
      <c r="Y1297"/>
      <c r="Z1297"/>
      <c r="AA1297" t="s">
        <v>2163</v>
      </c>
      <c r="AB1297" t="s">
        <v>2</v>
      </c>
      <c r="AC1297" t="s">
        <v>138</v>
      </c>
      <c r="AD1297" t="s">
        <v>131</v>
      </c>
      <c r="AE1297" s="97"/>
    </row>
    <row r="1298" spans="1:31" ht="14.4" customHeight="1" x14ac:dyDescent="0.3">
      <c r="A1298" t="s">
        <v>3359</v>
      </c>
      <c r="B1298" t="s">
        <v>3360</v>
      </c>
      <c r="C1298"/>
      <c r="D1298"/>
      <c r="E1298"/>
      <c r="F1298"/>
      <c r="G1298" t="s">
        <v>2162</v>
      </c>
      <c r="H1298" t="s">
        <v>132</v>
      </c>
      <c r="I1298" t="s">
        <v>2</v>
      </c>
      <c r="J1298" t="s">
        <v>133</v>
      </c>
      <c r="K1298" t="s">
        <v>52</v>
      </c>
      <c r="L1298" t="s">
        <v>3358</v>
      </c>
      <c r="M1298" t="s">
        <v>134</v>
      </c>
      <c r="N1298" t="s">
        <v>135</v>
      </c>
      <c r="O1298"/>
      <c r="P1298"/>
      <c r="Q1298" t="s">
        <v>168</v>
      </c>
      <c r="R1298"/>
      <c r="S1298"/>
      <c r="T1298" t="s">
        <v>2165</v>
      </c>
      <c r="U1298" t="s">
        <v>137</v>
      </c>
      <c r="V1298" t="s">
        <v>1239</v>
      </c>
      <c r="W1298"/>
      <c r="X1298" t="s">
        <v>127</v>
      </c>
      <c r="Y1298"/>
      <c r="Z1298"/>
      <c r="AA1298" t="s">
        <v>2163</v>
      </c>
      <c r="AB1298" t="s">
        <v>2</v>
      </c>
      <c r="AC1298" t="s">
        <v>138</v>
      </c>
      <c r="AD1298" t="s">
        <v>131</v>
      </c>
      <c r="AE1298" s="97"/>
    </row>
    <row r="1299" spans="1:31" ht="14.4" customHeight="1" x14ac:dyDescent="0.3">
      <c r="A1299" t="s">
        <v>3361</v>
      </c>
      <c r="B1299" t="s">
        <v>3362</v>
      </c>
      <c r="C1299"/>
      <c r="D1299"/>
      <c r="E1299"/>
      <c r="F1299"/>
      <c r="G1299" t="s">
        <v>2162</v>
      </c>
      <c r="H1299" t="s">
        <v>132</v>
      </c>
      <c r="I1299" t="s">
        <v>2</v>
      </c>
      <c r="J1299" t="s">
        <v>133</v>
      </c>
      <c r="K1299" t="s">
        <v>52</v>
      </c>
      <c r="L1299" t="s">
        <v>3358</v>
      </c>
      <c r="M1299" t="s">
        <v>134</v>
      </c>
      <c r="N1299" t="s">
        <v>135</v>
      </c>
      <c r="O1299"/>
      <c r="P1299"/>
      <c r="Q1299" t="s">
        <v>168</v>
      </c>
      <c r="R1299"/>
      <c r="S1299"/>
      <c r="T1299" t="s">
        <v>2165</v>
      </c>
      <c r="U1299" t="s">
        <v>137</v>
      </c>
      <c r="V1299" t="s">
        <v>1239</v>
      </c>
      <c r="W1299"/>
      <c r="X1299" t="s">
        <v>127</v>
      </c>
      <c r="Y1299"/>
      <c r="Z1299"/>
      <c r="AA1299" t="s">
        <v>2163</v>
      </c>
      <c r="AB1299" t="s">
        <v>2</v>
      </c>
      <c r="AC1299" t="s">
        <v>138</v>
      </c>
      <c r="AD1299" t="s">
        <v>131</v>
      </c>
      <c r="AE1299" s="97"/>
    </row>
    <row r="1300" spans="1:31" ht="14.4" customHeight="1" x14ac:dyDescent="0.3">
      <c r="A1300" t="s">
        <v>3363</v>
      </c>
      <c r="B1300" t="s">
        <v>3364</v>
      </c>
      <c r="C1300"/>
      <c r="D1300"/>
      <c r="E1300"/>
      <c r="F1300"/>
      <c r="G1300" t="s">
        <v>2162</v>
      </c>
      <c r="H1300" t="s">
        <v>132</v>
      </c>
      <c r="I1300" t="s">
        <v>2</v>
      </c>
      <c r="J1300" t="s">
        <v>133</v>
      </c>
      <c r="K1300" t="s">
        <v>52</v>
      </c>
      <c r="L1300" t="s">
        <v>3358</v>
      </c>
      <c r="M1300" t="s">
        <v>134</v>
      </c>
      <c r="N1300" t="s">
        <v>135</v>
      </c>
      <c r="O1300"/>
      <c r="P1300"/>
      <c r="Q1300" t="s">
        <v>168</v>
      </c>
      <c r="R1300"/>
      <c r="S1300"/>
      <c r="T1300" t="s">
        <v>2165</v>
      </c>
      <c r="U1300" t="s">
        <v>137</v>
      </c>
      <c r="V1300" t="s">
        <v>1239</v>
      </c>
      <c r="W1300"/>
      <c r="X1300" t="s">
        <v>127</v>
      </c>
      <c r="Y1300"/>
      <c r="Z1300"/>
      <c r="AA1300" t="s">
        <v>2163</v>
      </c>
      <c r="AB1300" t="s">
        <v>2</v>
      </c>
      <c r="AC1300" t="s">
        <v>138</v>
      </c>
      <c r="AD1300" t="s">
        <v>131</v>
      </c>
      <c r="AE1300" s="97"/>
    </row>
    <row r="1301" spans="1:31" ht="14.4" customHeight="1" x14ac:dyDescent="0.3">
      <c r="A1301" t="s">
        <v>3371</v>
      </c>
      <c r="B1301" t="s">
        <v>3372</v>
      </c>
      <c r="C1301"/>
      <c r="D1301"/>
      <c r="E1301"/>
      <c r="F1301"/>
      <c r="G1301" t="s">
        <v>2162</v>
      </c>
      <c r="H1301" t="s">
        <v>132</v>
      </c>
      <c r="I1301" t="s">
        <v>2</v>
      </c>
      <c r="J1301" t="s">
        <v>133</v>
      </c>
      <c r="K1301" t="s">
        <v>52</v>
      </c>
      <c r="L1301" t="s">
        <v>3373</v>
      </c>
      <c r="M1301" t="s">
        <v>134</v>
      </c>
      <c r="N1301" t="s">
        <v>135</v>
      </c>
      <c r="O1301"/>
      <c r="P1301"/>
      <c r="Q1301" t="s">
        <v>168</v>
      </c>
      <c r="R1301"/>
      <c r="S1301"/>
      <c r="T1301" t="s">
        <v>2165</v>
      </c>
      <c r="U1301" t="s">
        <v>137</v>
      </c>
      <c r="V1301" t="s">
        <v>1249</v>
      </c>
      <c r="W1301"/>
      <c r="X1301" t="s">
        <v>61</v>
      </c>
      <c r="Y1301"/>
      <c r="Z1301"/>
      <c r="AA1301" t="s">
        <v>2163</v>
      </c>
      <c r="AB1301" t="s">
        <v>2</v>
      </c>
      <c r="AC1301" t="s">
        <v>138</v>
      </c>
      <c r="AD1301" t="s">
        <v>128</v>
      </c>
      <c r="AE1301" s="97"/>
    </row>
    <row r="1302" spans="1:31" ht="14.4" customHeight="1" x14ac:dyDescent="0.3">
      <c r="A1302" t="s">
        <v>3374</v>
      </c>
      <c r="B1302" t="s">
        <v>3375</v>
      </c>
      <c r="C1302"/>
      <c r="D1302"/>
      <c r="E1302"/>
      <c r="F1302"/>
      <c r="G1302" t="s">
        <v>2162</v>
      </c>
      <c r="H1302" t="s">
        <v>132</v>
      </c>
      <c r="I1302" t="s">
        <v>2</v>
      </c>
      <c r="J1302" t="s">
        <v>133</v>
      </c>
      <c r="K1302" t="s">
        <v>52</v>
      </c>
      <c r="L1302" t="s">
        <v>3373</v>
      </c>
      <c r="M1302" t="s">
        <v>134</v>
      </c>
      <c r="N1302" t="s">
        <v>135</v>
      </c>
      <c r="O1302"/>
      <c r="P1302"/>
      <c r="Q1302" t="s">
        <v>168</v>
      </c>
      <c r="R1302"/>
      <c r="S1302"/>
      <c r="T1302" t="s">
        <v>2165</v>
      </c>
      <c r="U1302" t="s">
        <v>137</v>
      </c>
      <c r="V1302" t="s">
        <v>1249</v>
      </c>
      <c r="W1302"/>
      <c r="X1302" t="s">
        <v>61</v>
      </c>
      <c r="Y1302"/>
      <c r="Z1302"/>
      <c r="AA1302" t="s">
        <v>2163</v>
      </c>
      <c r="AB1302" t="s">
        <v>2</v>
      </c>
      <c r="AC1302" t="s">
        <v>138</v>
      </c>
      <c r="AD1302" t="s">
        <v>128</v>
      </c>
      <c r="AE1302" s="97"/>
    </row>
    <row r="1303" spans="1:31" ht="14.4" customHeight="1" x14ac:dyDescent="0.3">
      <c r="A1303" t="s">
        <v>3376</v>
      </c>
      <c r="B1303" t="s">
        <v>3377</v>
      </c>
      <c r="C1303"/>
      <c r="D1303"/>
      <c r="E1303"/>
      <c r="F1303"/>
      <c r="G1303" t="s">
        <v>2162</v>
      </c>
      <c r="H1303" t="s">
        <v>132</v>
      </c>
      <c r="I1303" t="s">
        <v>2</v>
      </c>
      <c r="J1303" t="s">
        <v>133</v>
      </c>
      <c r="K1303" t="s">
        <v>52</v>
      </c>
      <c r="L1303" t="s">
        <v>3373</v>
      </c>
      <c r="M1303" t="s">
        <v>134</v>
      </c>
      <c r="N1303" t="s">
        <v>135</v>
      </c>
      <c r="O1303"/>
      <c r="P1303"/>
      <c r="Q1303" t="s">
        <v>168</v>
      </c>
      <c r="R1303"/>
      <c r="S1303"/>
      <c r="T1303" t="s">
        <v>2165</v>
      </c>
      <c r="U1303" t="s">
        <v>137</v>
      </c>
      <c r="V1303" t="s">
        <v>1249</v>
      </c>
      <c r="W1303"/>
      <c r="X1303" t="s">
        <v>61</v>
      </c>
      <c r="Y1303"/>
      <c r="Z1303"/>
      <c r="AA1303" t="s">
        <v>2163</v>
      </c>
      <c r="AB1303" t="s">
        <v>2</v>
      </c>
      <c r="AC1303" t="s">
        <v>138</v>
      </c>
      <c r="AD1303" t="s">
        <v>128</v>
      </c>
      <c r="AE1303" s="97"/>
    </row>
    <row r="1304" spans="1:31" ht="14.4" customHeight="1" x14ac:dyDescent="0.3">
      <c r="A1304" t="s">
        <v>3378</v>
      </c>
      <c r="B1304" t="s">
        <v>3379</v>
      </c>
      <c r="C1304"/>
      <c r="D1304"/>
      <c r="E1304"/>
      <c r="F1304"/>
      <c r="G1304" t="s">
        <v>2162</v>
      </c>
      <c r="H1304" t="s">
        <v>132</v>
      </c>
      <c r="I1304" t="s">
        <v>2</v>
      </c>
      <c r="J1304" t="s">
        <v>133</v>
      </c>
      <c r="K1304" t="s">
        <v>52</v>
      </c>
      <c r="L1304" t="s">
        <v>3373</v>
      </c>
      <c r="M1304" t="s">
        <v>134</v>
      </c>
      <c r="N1304" t="s">
        <v>135</v>
      </c>
      <c r="O1304"/>
      <c r="P1304"/>
      <c r="Q1304" t="s">
        <v>168</v>
      </c>
      <c r="R1304"/>
      <c r="S1304"/>
      <c r="T1304" t="s">
        <v>2165</v>
      </c>
      <c r="U1304" t="s">
        <v>137</v>
      </c>
      <c r="V1304" t="s">
        <v>1249</v>
      </c>
      <c r="W1304"/>
      <c r="X1304" t="s">
        <v>61</v>
      </c>
      <c r="Y1304"/>
      <c r="Z1304"/>
      <c r="AA1304" t="s">
        <v>2163</v>
      </c>
      <c r="AB1304" t="s">
        <v>2</v>
      </c>
      <c r="AC1304" t="s">
        <v>138</v>
      </c>
      <c r="AD1304" t="s">
        <v>128</v>
      </c>
      <c r="AE1304" s="97"/>
    </row>
    <row r="1305" spans="1:31" ht="14.4" customHeight="1" x14ac:dyDescent="0.3">
      <c r="A1305" t="s">
        <v>3386</v>
      </c>
      <c r="B1305" t="s">
        <v>3387</v>
      </c>
      <c r="C1305"/>
      <c r="D1305"/>
      <c r="E1305"/>
      <c r="F1305"/>
      <c r="G1305" t="s">
        <v>2162</v>
      </c>
      <c r="H1305" t="s">
        <v>132</v>
      </c>
      <c r="I1305" t="s">
        <v>2</v>
      </c>
      <c r="J1305" t="s">
        <v>133</v>
      </c>
      <c r="K1305" t="s">
        <v>52</v>
      </c>
      <c r="L1305" t="s">
        <v>3388</v>
      </c>
      <c r="M1305" t="s">
        <v>134</v>
      </c>
      <c r="N1305" t="s">
        <v>135</v>
      </c>
      <c r="O1305"/>
      <c r="P1305"/>
      <c r="Q1305" t="s">
        <v>168</v>
      </c>
      <c r="R1305"/>
      <c r="S1305"/>
      <c r="T1305" t="s">
        <v>2164</v>
      </c>
      <c r="U1305" t="s">
        <v>137</v>
      </c>
      <c r="V1305" t="s">
        <v>1259</v>
      </c>
      <c r="W1305"/>
      <c r="X1305" t="s">
        <v>126</v>
      </c>
      <c r="Y1305"/>
      <c r="Z1305"/>
      <c r="AA1305" t="s">
        <v>2163</v>
      </c>
      <c r="AB1305" t="s">
        <v>2</v>
      </c>
      <c r="AC1305" t="s">
        <v>138</v>
      </c>
      <c r="AD1305" t="s">
        <v>131</v>
      </c>
      <c r="AE1305" s="97"/>
    </row>
    <row r="1306" spans="1:31" ht="14.4" customHeight="1" x14ac:dyDescent="0.3">
      <c r="A1306" t="s">
        <v>3389</v>
      </c>
      <c r="B1306" t="s">
        <v>3390</v>
      </c>
      <c r="C1306"/>
      <c r="D1306"/>
      <c r="E1306"/>
      <c r="F1306"/>
      <c r="G1306" t="s">
        <v>2162</v>
      </c>
      <c r="H1306" t="s">
        <v>132</v>
      </c>
      <c r="I1306" t="s">
        <v>2</v>
      </c>
      <c r="J1306" t="s">
        <v>133</v>
      </c>
      <c r="K1306" t="s">
        <v>52</v>
      </c>
      <c r="L1306" t="s">
        <v>3391</v>
      </c>
      <c r="M1306" t="s">
        <v>134</v>
      </c>
      <c r="N1306" t="s">
        <v>135</v>
      </c>
      <c r="O1306"/>
      <c r="P1306"/>
      <c r="Q1306" t="s">
        <v>168</v>
      </c>
      <c r="R1306"/>
      <c r="S1306"/>
      <c r="T1306" t="s">
        <v>2164</v>
      </c>
      <c r="U1306" t="s">
        <v>137</v>
      </c>
      <c r="V1306" t="s">
        <v>1259</v>
      </c>
      <c r="W1306"/>
      <c r="X1306" t="s">
        <v>126</v>
      </c>
      <c r="Y1306"/>
      <c r="Z1306"/>
      <c r="AA1306" t="s">
        <v>2163</v>
      </c>
      <c r="AB1306" t="s">
        <v>2</v>
      </c>
      <c r="AC1306" t="s">
        <v>138</v>
      </c>
      <c r="AD1306" t="s">
        <v>131</v>
      </c>
      <c r="AE1306" s="97"/>
    </row>
    <row r="1307" spans="1:31" ht="14.4" customHeight="1" x14ac:dyDescent="0.3">
      <c r="A1307" t="s">
        <v>3392</v>
      </c>
      <c r="B1307" t="s">
        <v>3393</v>
      </c>
      <c r="C1307"/>
      <c r="D1307"/>
      <c r="E1307"/>
      <c r="F1307"/>
      <c r="G1307" t="s">
        <v>2162</v>
      </c>
      <c r="H1307" t="s">
        <v>132</v>
      </c>
      <c r="I1307" t="s">
        <v>2</v>
      </c>
      <c r="J1307" t="s">
        <v>133</v>
      </c>
      <c r="K1307" t="s">
        <v>52</v>
      </c>
      <c r="L1307" t="s">
        <v>3394</v>
      </c>
      <c r="M1307" t="s">
        <v>134</v>
      </c>
      <c r="N1307" t="s">
        <v>135</v>
      </c>
      <c r="O1307"/>
      <c r="P1307"/>
      <c r="Q1307" t="s">
        <v>168</v>
      </c>
      <c r="R1307"/>
      <c r="S1307"/>
      <c r="T1307" t="s">
        <v>2164</v>
      </c>
      <c r="U1307" t="s">
        <v>137</v>
      </c>
      <c r="V1307" t="s">
        <v>1263</v>
      </c>
      <c r="W1307"/>
      <c r="X1307" t="s">
        <v>69</v>
      </c>
      <c r="Y1307"/>
      <c r="Z1307"/>
      <c r="AA1307" t="s">
        <v>2163</v>
      </c>
      <c r="AB1307" t="s">
        <v>2</v>
      </c>
      <c r="AC1307" t="s">
        <v>138</v>
      </c>
      <c r="AD1307" t="s">
        <v>128</v>
      </c>
      <c r="AE1307" s="97"/>
    </row>
    <row r="1308" spans="1:31" ht="14.4" customHeight="1" x14ac:dyDescent="0.3">
      <c r="A1308" t="s">
        <v>3395</v>
      </c>
      <c r="B1308" t="s">
        <v>3396</v>
      </c>
      <c r="C1308"/>
      <c r="D1308"/>
      <c r="E1308"/>
      <c r="F1308"/>
      <c r="G1308" t="s">
        <v>2162</v>
      </c>
      <c r="H1308" t="s">
        <v>132</v>
      </c>
      <c r="I1308" t="s">
        <v>2</v>
      </c>
      <c r="J1308" t="s">
        <v>133</v>
      </c>
      <c r="K1308" t="s">
        <v>52</v>
      </c>
      <c r="L1308" t="s">
        <v>3397</v>
      </c>
      <c r="M1308" t="s">
        <v>134</v>
      </c>
      <c r="N1308" t="s">
        <v>135</v>
      </c>
      <c r="O1308"/>
      <c r="P1308"/>
      <c r="Q1308" t="s">
        <v>168</v>
      </c>
      <c r="R1308"/>
      <c r="S1308"/>
      <c r="T1308" t="s">
        <v>2164</v>
      </c>
      <c r="U1308" t="s">
        <v>137</v>
      </c>
      <c r="V1308" t="s">
        <v>1263</v>
      </c>
      <c r="W1308"/>
      <c r="X1308" t="s">
        <v>69</v>
      </c>
      <c r="Y1308"/>
      <c r="Z1308"/>
      <c r="AA1308" t="s">
        <v>2163</v>
      </c>
      <c r="AB1308" t="s">
        <v>2</v>
      </c>
      <c r="AC1308" t="s">
        <v>138</v>
      </c>
      <c r="AD1308" t="s">
        <v>128</v>
      </c>
      <c r="AE1308" s="97"/>
    </row>
    <row r="1309" spans="1:31" ht="14.4" customHeight="1" x14ac:dyDescent="0.3">
      <c r="A1309" t="s">
        <v>3398</v>
      </c>
      <c r="B1309" t="s">
        <v>3399</v>
      </c>
      <c r="C1309"/>
      <c r="D1309"/>
      <c r="E1309"/>
      <c r="F1309"/>
      <c r="G1309" t="s">
        <v>2162</v>
      </c>
      <c r="H1309" t="s">
        <v>132</v>
      </c>
      <c r="I1309" t="s">
        <v>2</v>
      </c>
      <c r="J1309" t="s">
        <v>133</v>
      </c>
      <c r="K1309" t="s">
        <v>52</v>
      </c>
      <c r="L1309" t="s">
        <v>3400</v>
      </c>
      <c r="M1309" t="s">
        <v>134</v>
      </c>
      <c r="N1309" t="s">
        <v>135</v>
      </c>
      <c r="O1309"/>
      <c r="P1309"/>
      <c r="Q1309" t="s">
        <v>168</v>
      </c>
      <c r="R1309"/>
      <c r="S1309"/>
      <c r="T1309" t="s">
        <v>2164</v>
      </c>
      <c r="U1309" t="s">
        <v>137</v>
      </c>
      <c r="V1309" t="s">
        <v>1259</v>
      </c>
      <c r="W1309"/>
      <c r="X1309" t="s">
        <v>126</v>
      </c>
      <c r="Y1309"/>
      <c r="Z1309"/>
      <c r="AA1309" t="s">
        <v>2163</v>
      </c>
      <c r="AB1309" t="s">
        <v>2</v>
      </c>
      <c r="AC1309" t="s">
        <v>138</v>
      </c>
      <c r="AD1309" t="s">
        <v>131</v>
      </c>
      <c r="AE1309" s="97"/>
    </row>
    <row r="1310" spans="1:31" ht="14.4" customHeight="1" x14ac:dyDescent="0.3">
      <c r="A1310" t="s">
        <v>3401</v>
      </c>
      <c r="B1310" t="s">
        <v>3402</v>
      </c>
      <c r="C1310"/>
      <c r="D1310"/>
      <c r="E1310"/>
      <c r="F1310"/>
      <c r="G1310" t="s">
        <v>2162</v>
      </c>
      <c r="H1310" t="s">
        <v>132</v>
      </c>
      <c r="I1310" t="s">
        <v>2</v>
      </c>
      <c r="J1310" t="s">
        <v>133</v>
      </c>
      <c r="K1310" t="s">
        <v>52</v>
      </c>
      <c r="L1310" t="s">
        <v>3403</v>
      </c>
      <c r="M1310" t="s">
        <v>134</v>
      </c>
      <c r="N1310" t="s">
        <v>135</v>
      </c>
      <c r="O1310"/>
      <c r="P1310"/>
      <c r="Q1310" t="s">
        <v>168</v>
      </c>
      <c r="R1310"/>
      <c r="S1310"/>
      <c r="T1310" t="s">
        <v>2164</v>
      </c>
      <c r="U1310" t="s">
        <v>137</v>
      </c>
      <c r="V1310" t="s">
        <v>1259</v>
      </c>
      <c r="W1310"/>
      <c r="X1310" t="s">
        <v>126</v>
      </c>
      <c r="Y1310"/>
      <c r="Z1310"/>
      <c r="AA1310" t="s">
        <v>2163</v>
      </c>
      <c r="AB1310" t="s">
        <v>2</v>
      </c>
      <c r="AC1310" t="s">
        <v>138</v>
      </c>
      <c r="AD1310" t="s">
        <v>131</v>
      </c>
      <c r="AE1310" s="97"/>
    </row>
    <row r="1311" spans="1:31" ht="14.4" customHeight="1" x14ac:dyDescent="0.3">
      <c r="A1311" t="s">
        <v>3404</v>
      </c>
      <c r="B1311" t="s">
        <v>3405</v>
      </c>
      <c r="C1311"/>
      <c r="D1311"/>
      <c r="E1311"/>
      <c r="F1311"/>
      <c r="G1311" t="s">
        <v>2162</v>
      </c>
      <c r="H1311" t="s">
        <v>132</v>
      </c>
      <c r="I1311" t="s">
        <v>2</v>
      </c>
      <c r="J1311" t="s">
        <v>133</v>
      </c>
      <c r="K1311" t="s">
        <v>52</v>
      </c>
      <c r="L1311" t="s">
        <v>3406</v>
      </c>
      <c r="M1311" t="s">
        <v>134</v>
      </c>
      <c r="N1311" t="s">
        <v>135</v>
      </c>
      <c r="O1311"/>
      <c r="P1311"/>
      <c r="Q1311" t="s">
        <v>168</v>
      </c>
      <c r="R1311"/>
      <c r="S1311"/>
      <c r="T1311" t="s">
        <v>2164</v>
      </c>
      <c r="U1311" t="s">
        <v>137</v>
      </c>
      <c r="V1311" t="s">
        <v>1263</v>
      </c>
      <c r="W1311"/>
      <c r="X1311" t="s">
        <v>69</v>
      </c>
      <c r="Y1311"/>
      <c r="Z1311"/>
      <c r="AA1311" t="s">
        <v>2163</v>
      </c>
      <c r="AB1311" t="s">
        <v>2</v>
      </c>
      <c r="AC1311" t="s">
        <v>138</v>
      </c>
      <c r="AD1311" t="s">
        <v>128</v>
      </c>
      <c r="AE1311" s="97"/>
    </row>
    <row r="1312" spans="1:31" ht="14.4" customHeight="1" x14ac:dyDescent="0.3">
      <c r="A1312" t="s">
        <v>3407</v>
      </c>
      <c r="B1312" t="s">
        <v>3408</v>
      </c>
      <c r="C1312"/>
      <c r="D1312"/>
      <c r="E1312"/>
      <c r="F1312"/>
      <c r="G1312" t="s">
        <v>2162</v>
      </c>
      <c r="H1312" t="s">
        <v>132</v>
      </c>
      <c r="I1312" t="s">
        <v>2</v>
      </c>
      <c r="J1312" t="s">
        <v>133</v>
      </c>
      <c r="K1312" t="s">
        <v>52</v>
      </c>
      <c r="L1312" t="s">
        <v>3409</v>
      </c>
      <c r="M1312" t="s">
        <v>134</v>
      </c>
      <c r="N1312" t="s">
        <v>135</v>
      </c>
      <c r="O1312"/>
      <c r="P1312"/>
      <c r="Q1312" t="s">
        <v>168</v>
      </c>
      <c r="R1312"/>
      <c r="S1312"/>
      <c r="T1312" t="s">
        <v>2164</v>
      </c>
      <c r="U1312" t="s">
        <v>137</v>
      </c>
      <c r="V1312" t="s">
        <v>1263</v>
      </c>
      <c r="W1312"/>
      <c r="X1312" t="s">
        <v>69</v>
      </c>
      <c r="Y1312"/>
      <c r="Z1312"/>
      <c r="AA1312" t="s">
        <v>2163</v>
      </c>
      <c r="AB1312" t="s">
        <v>2</v>
      </c>
      <c r="AC1312" t="s">
        <v>138</v>
      </c>
      <c r="AD1312" t="s">
        <v>128</v>
      </c>
      <c r="AE1312" s="97"/>
    </row>
    <row r="1313" spans="1:31" ht="14.4" customHeight="1" x14ac:dyDescent="0.3">
      <c r="A1313" t="s">
        <v>3410</v>
      </c>
      <c r="B1313" t="s">
        <v>3411</v>
      </c>
      <c r="C1313"/>
      <c r="D1313"/>
      <c r="E1313"/>
      <c r="F1313"/>
      <c r="G1313" t="s">
        <v>2162</v>
      </c>
      <c r="H1313" t="s">
        <v>132</v>
      </c>
      <c r="I1313" t="s">
        <v>2</v>
      </c>
      <c r="J1313" t="s">
        <v>133</v>
      </c>
      <c r="K1313" t="s">
        <v>52</v>
      </c>
      <c r="L1313" t="s">
        <v>3412</v>
      </c>
      <c r="M1313" t="s">
        <v>134</v>
      </c>
      <c r="N1313" t="s">
        <v>135</v>
      </c>
      <c r="O1313"/>
      <c r="P1313"/>
      <c r="Q1313" t="s">
        <v>168</v>
      </c>
      <c r="R1313"/>
      <c r="S1313"/>
      <c r="T1313" t="s">
        <v>2164</v>
      </c>
      <c r="U1313" t="s">
        <v>137</v>
      </c>
      <c r="V1313" t="s">
        <v>1259</v>
      </c>
      <c r="W1313"/>
      <c r="X1313" t="s">
        <v>126</v>
      </c>
      <c r="Y1313"/>
      <c r="Z1313"/>
      <c r="AA1313" t="s">
        <v>2163</v>
      </c>
      <c r="AB1313" t="s">
        <v>2</v>
      </c>
      <c r="AC1313" t="s">
        <v>138</v>
      </c>
      <c r="AD1313" t="s">
        <v>131</v>
      </c>
      <c r="AE1313" s="97"/>
    </row>
    <row r="1314" spans="1:31" ht="14.4" customHeight="1" x14ac:dyDescent="0.3">
      <c r="A1314" t="s">
        <v>3413</v>
      </c>
      <c r="B1314" t="s">
        <v>3414</v>
      </c>
      <c r="C1314"/>
      <c r="D1314"/>
      <c r="E1314"/>
      <c r="F1314"/>
      <c r="G1314" t="s">
        <v>2162</v>
      </c>
      <c r="H1314" t="s">
        <v>132</v>
      </c>
      <c r="I1314" t="s">
        <v>2</v>
      </c>
      <c r="J1314" t="s">
        <v>133</v>
      </c>
      <c r="K1314" t="s">
        <v>52</v>
      </c>
      <c r="L1314" t="s">
        <v>3415</v>
      </c>
      <c r="M1314" t="s">
        <v>134</v>
      </c>
      <c r="N1314" t="s">
        <v>135</v>
      </c>
      <c r="O1314"/>
      <c r="P1314"/>
      <c r="Q1314" t="s">
        <v>168</v>
      </c>
      <c r="R1314"/>
      <c r="S1314"/>
      <c r="T1314" t="s">
        <v>2164</v>
      </c>
      <c r="U1314" t="s">
        <v>137</v>
      </c>
      <c r="V1314" t="s">
        <v>1259</v>
      </c>
      <c r="W1314"/>
      <c r="X1314" t="s">
        <v>126</v>
      </c>
      <c r="Y1314"/>
      <c r="Z1314"/>
      <c r="AA1314" t="s">
        <v>2163</v>
      </c>
      <c r="AB1314" t="s">
        <v>2</v>
      </c>
      <c r="AC1314" t="s">
        <v>138</v>
      </c>
      <c r="AD1314" t="s">
        <v>131</v>
      </c>
      <c r="AE1314" s="97"/>
    </row>
    <row r="1315" spans="1:31" ht="14.4" customHeight="1" x14ac:dyDescent="0.3">
      <c r="A1315" t="s">
        <v>3416</v>
      </c>
      <c r="B1315" t="s">
        <v>3417</v>
      </c>
      <c r="C1315"/>
      <c r="D1315"/>
      <c r="E1315"/>
      <c r="F1315"/>
      <c r="G1315" t="s">
        <v>2162</v>
      </c>
      <c r="H1315" t="s">
        <v>132</v>
      </c>
      <c r="I1315" t="s">
        <v>2</v>
      </c>
      <c r="J1315" t="s">
        <v>133</v>
      </c>
      <c r="K1315" t="s">
        <v>52</v>
      </c>
      <c r="L1315" t="s">
        <v>3418</v>
      </c>
      <c r="M1315" t="s">
        <v>134</v>
      </c>
      <c r="N1315" t="s">
        <v>135</v>
      </c>
      <c r="O1315"/>
      <c r="P1315"/>
      <c r="Q1315" t="s">
        <v>168</v>
      </c>
      <c r="R1315"/>
      <c r="S1315"/>
      <c r="T1315" t="s">
        <v>2164</v>
      </c>
      <c r="U1315" t="s">
        <v>137</v>
      </c>
      <c r="V1315" t="s">
        <v>1263</v>
      </c>
      <c r="W1315"/>
      <c r="X1315" t="s">
        <v>69</v>
      </c>
      <c r="Y1315"/>
      <c r="Z1315"/>
      <c r="AA1315" t="s">
        <v>2163</v>
      </c>
      <c r="AB1315" t="s">
        <v>2</v>
      </c>
      <c r="AC1315" t="s">
        <v>138</v>
      </c>
      <c r="AD1315" t="s">
        <v>128</v>
      </c>
      <c r="AE1315" s="97"/>
    </row>
    <row r="1316" spans="1:31" ht="14.4" customHeight="1" x14ac:dyDescent="0.3">
      <c r="A1316" t="s">
        <v>3419</v>
      </c>
      <c r="B1316" t="s">
        <v>3420</v>
      </c>
      <c r="C1316"/>
      <c r="D1316"/>
      <c r="E1316"/>
      <c r="F1316"/>
      <c r="G1316" t="s">
        <v>2162</v>
      </c>
      <c r="H1316" t="s">
        <v>132</v>
      </c>
      <c r="I1316" t="s">
        <v>2</v>
      </c>
      <c r="J1316" t="s">
        <v>133</v>
      </c>
      <c r="K1316" t="s">
        <v>52</v>
      </c>
      <c r="L1316" t="s">
        <v>3421</v>
      </c>
      <c r="M1316" t="s">
        <v>134</v>
      </c>
      <c r="N1316" t="s">
        <v>135</v>
      </c>
      <c r="O1316"/>
      <c r="P1316"/>
      <c r="Q1316" t="s">
        <v>168</v>
      </c>
      <c r="R1316"/>
      <c r="S1316"/>
      <c r="T1316" t="s">
        <v>2164</v>
      </c>
      <c r="U1316" t="s">
        <v>137</v>
      </c>
      <c r="V1316" t="s">
        <v>1263</v>
      </c>
      <c r="W1316"/>
      <c r="X1316" t="s">
        <v>69</v>
      </c>
      <c r="Y1316"/>
      <c r="Z1316"/>
      <c r="AA1316" t="s">
        <v>2163</v>
      </c>
      <c r="AB1316" t="s">
        <v>2</v>
      </c>
      <c r="AC1316" t="s">
        <v>138</v>
      </c>
      <c r="AD1316" t="s">
        <v>128</v>
      </c>
      <c r="AE1316" s="97"/>
    </row>
    <row r="1317" spans="1:31" ht="14.4" customHeight="1" x14ac:dyDescent="0.3">
      <c r="A1317" t="s">
        <v>3422</v>
      </c>
      <c r="B1317" t="s">
        <v>3423</v>
      </c>
      <c r="C1317"/>
      <c r="D1317"/>
      <c r="E1317"/>
      <c r="F1317"/>
      <c r="G1317" t="s">
        <v>2162</v>
      </c>
      <c r="H1317" t="s">
        <v>132</v>
      </c>
      <c r="I1317" t="s">
        <v>2</v>
      </c>
      <c r="J1317" t="s">
        <v>133</v>
      </c>
      <c r="K1317" t="s">
        <v>52</v>
      </c>
      <c r="L1317" t="s">
        <v>3424</v>
      </c>
      <c r="M1317" t="s">
        <v>134</v>
      </c>
      <c r="N1317" t="s">
        <v>135</v>
      </c>
      <c r="O1317"/>
      <c r="P1317"/>
      <c r="Q1317" t="s">
        <v>168</v>
      </c>
      <c r="R1317"/>
      <c r="S1317"/>
      <c r="T1317" t="s">
        <v>2164</v>
      </c>
      <c r="U1317" t="s">
        <v>137</v>
      </c>
      <c r="V1317" t="s">
        <v>1259</v>
      </c>
      <c r="W1317"/>
      <c r="X1317" t="s">
        <v>126</v>
      </c>
      <c r="Y1317"/>
      <c r="Z1317"/>
      <c r="AA1317" t="s">
        <v>2163</v>
      </c>
      <c r="AB1317" t="s">
        <v>2</v>
      </c>
      <c r="AC1317" t="s">
        <v>138</v>
      </c>
      <c r="AD1317" t="s">
        <v>131</v>
      </c>
      <c r="AE1317" s="97"/>
    </row>
    <row r="1318" spans="1:31" ht="14.4" customHeight="1" x14ac:dyDescent="0.3">
      <c r="A1318" t="s">
        <v>3425</v>
      </c>
      <c r="B1318" t="s">
        <v>3426</v>
      </c>
      <c r="C1318"/>
      <c r="D1318"/>
      <c r="E1318"/>
      <c r="F1318"/>
      <c r="G1318" t="s">
        <v>2162</v>
      </c>
      <c r="H1318" t="s">
        <v>132</v>
      </c>
      <c r="I1318" t="s">
        <v>2</v>
      </c>
      <c r="J1318" t="s">
        <v>133</v>
      </c>
      <c r="K1318" t="s">
        <v>52</v>
      </c>
      <c r="L1318" t="s">
        <v>3427</v>
      </c>
      <c r="M1318" t="s">
        <v>134</v>
      </c>
      <c r="N1318" t="s">
        <v>135</v>
      </c>
      <c r="O1318"/>
      <c r="P1318"/>
      <c r="Q1318" t="s">
        <v>168</v>
      </c>
      <c r="R1318"/>
      <c r="S1318"/>
      <c r="T1318" t="s">
        <v>2164</v>
      </c>
      <c r="U1318" t="s">
        <v>137</v>
      </c>
      <c r="V1318" t="s">
        <v>1259</v>
      </c>
      <c r="W1318"/>
      <c r="X1318" t="s">
        <v>126</v>
      </c>
      <c r="Y1318"/>
      <c r="Z1318"/>
      <c r="AA1318" t="s">
        <v>2163</v>
      </c>
      <c r="AB1318" t="s">
        <v>2</v>
      </c>
      <c r="AC1318" t="s">
        <v>138</v>
      </c>
      <c r="AD1318" t="s">
        <v>131</v>
      </c>
      <c r="AE1318" s="97"/>
    </row>
    <row r="1319" spans="1:31" ht="14.4" customHeight="1" x14ac:dyDescent="0.3">
      <c r="A1319" t="s">
        <v>3428</v>
      </c>
      <c r="B1319" t="s">
        <v>3429</v>
      </c>
      <c r="C1319"/>
      <c r="D1319"/>
      <c r="E1319"/>
      <c r="F1319"/>
      <c r="G1319" t="s">
        <v>2162</v>
      </c>
      <c r="H1319" t="s">
        <v>132</v>
      </c>
      <c r="I1319" t="s">
        <v>2</v>
      </c>
      <c r="J1319" t="s">
        <v>133</v>
      </c>
      <c r="K1319" t="s">
        <v>52</v>
      </c>
      <c r="L1319" t="s">
        <v>3430</v>
      </c>
      <c r="M1319" t="s">
        <v>134</v>
      </c>
      <c r="N1319" t="s">
        <v>135</v>
      </c>
      <c r="O1319"/>
      <c r="P1319"/>
      <c r="Q1319" t="s">
        <v>168</v>
      </c>
      <c r="R1319"/>
      <c r="S1319"/>
      <c r="T1319" t="s">
        <v>2164</v>
      </c>
      <c r="U1319" t="s">
        <v>137</v>
      </c>
      <c r="V1319" t="s">
        <v>1263</v>
      </c>
      <c r="W1319"/>
      <c r="X1319" t="s">
        <v>69</v>
      </c>
      <c r="Y1319"/>
      <c r="Z1319"/>
      <c r="AA1319" t="s">
        <v>2163</v>
      </c>
      <c r="AB1319" t="s">
        <v>2</v>
      </c>
      <c r="AC1319" t="s">
        <v>138</v>
      </c>
      <c r="AD1319" t="s">
        <v>128</v>
      </c>
      <c r="AE1319" s="97"/>
    </row>
    <row r="1320" spans="1:31" ht="14.4" customHeight="1" x14ac:dyDescent="0.3">
      <c r="A1320" t="s">
        <v>3431</v>
      </c>
      <c r="B1320" t="s">
        <v>3432</v>
      </c>
      <c r="C1320"/>
      <c r="D1320"/>
      <c r="E1320"/>
      <c r="F1320"/>
      <c r="G1320" t="s">
        <v>2162</v>
      </c>
      <c r="H1320" t="s">
        <v>132</v>
      </c>
      <c r="I1320" t="s">
        <v>2</v>
      </c>
      <c r="J1320" t="s">
        <v>133</v>
      </c>
      <c r="K1320" t="s">
        <v>52</v>
      </c>
      <c r="L1320" t="s">
        <v>3433</v>
      </c>
      <c r="M1320" t="s">
        <v>134</v>
      </c>
      <c r="N1320" t="s">
        <v>135</v>
      </c>
      <c r="O1320"/>
      <c r="P1320"/>
      <c r="Q1320" t="s">
        <v>168</v>
      </c>
      <c r="R1320"/>
      <c r="S1320"/>
      <c r="T1320" t="s">
        <v>2164</v>
      </c>
      <c r="U1320" t="s">
        <v>137</v>
      </c>
      <c r="V1320" t="s">
        <v>1263</v>
      </c>
      <c r="W1320"/>
      <c r="X1320" t="s">
        <v>69</v>
      </c>
      <c r="Y1320"/>
      <c r="Z1320"/>
      <c r="AA1320" t="s">
        <v>2163</v>
      </c>
      <c r="AB1320" t="s">
        <v>2</v>
      </c>
      <c r="AC1320" t="s">
        <v>138</v>
      </c>
      <c r="AD1320" t="s">
        <v>128</v>
      </c>
      <c r="AE1320" s="97"/>
    </row>
    <row r="1321" spans="1:31" ht="14.4" customHeight="1" x14ac:dyDescent="0.3">
      <c r="A1321" t="s">
        <v>3434</v>
      </c>
      <c r="B1321" t="s">
        <v>3435</v>
      </c>
      <c r="C1321"/>
      <c r="D1321"/>
      <c r="E1321"/>
      <c r="F1321"/>
      <c r="G1321" t="s">
        <v>2162</v>
      </c>
      <c r="H1321" t="s">
        <v>132</v>
      </c>
      <c r="I1321" t="s">
        <v>2</v>
      </c>
      <c r="J1321" t="s">
        <v>133</v>
      </c>
      <c r="K1321" t="s">
        <v>52</v>
      </c>
      <c r="L1321" t="s">
        <v>3436</v>
      </c>
      <c r="M1321" t="s">
        <v>134</v>
      </c>
      <c r="N1321" t="s">
        <v>135</v>
      </c>
      <c r="O1321"/>
      <c r="P1321"/>
      <c r="Q1321" t="s">
        <v>168</v>
      </c>
      <c r="R1321"/>
      <c r="S1321"/>
      <c r="T1321"/>
      <c r="U1321" t="s">
        <v>137</v>
      </c>
      <c r="V1321" t="s">
        <v>358</v>
      </c>
      <c r="W1321"/>
      <c r="X1321" t="s">
        <v>124</v>
      </c>
      <c r="Y1321"/>
      <c r="Z1321"/>
      <c r="AA1321" t="s">
        <v>2163</v>
      </c>
      <c r="AB1321" t="s">
        <v>2</v>
      </c>
      <c r="AC1321" t="s">
        <v>138</v>
      </c>
      <c r="AD1321" t="s">
        <v>130</v>
      </c>
      <c r="AE1321" s="97"/>
    </row>
    <row r="1322" spans="1:31" ht="14.4" customHeight="1" x14ac:dyDescent="0.3">
      <c r="A1322" t="s">
        <v>3440</v>
      </c>
      <c r="B1322" t="s">
        <v>3441</v>
      </c>
      <c r="C1322"/>
      <c r="D1322"/>
      <c r="E1322"/>
      <c r="F1322"/>
      <c r="G1322" t="s">
        <v>3437</v>
      </c>
      <c r="H1322" t="s">
        <v>132</v>
      </c>
      <c r="I1322" t="s">
        <v>2</v>
      </c>
      <c r="J1322" t="s">
        <v>133</v>
      </c>
      <c r="K1322" t="s">
        <v>52</v>
      </c>
      <c r="L1322" t="s">
        <v>3442</v>
      </c>
      <c r="M1322" t="s">
        <v>134</v>
      </c>
      <c r="N1322" t="s">
        <v>135</v>
      </c>
      <c r="O1322"/>
      <c r="P1322"/>
      <c r="Q1322" t="s">
        <v>291</v>
      </c>
      <c r="R1322"/>
      <c r="S1322"/>
      <c r="T1322" t="s">
        <v>3438</v>
      </c>
      <c r="U1322" t="s">
        <v>137</v>
      </c>
      <c r="V1322" t="s">
        <v>352</v>
      </c>
      <c r="W1322"/>
      <c r="X1322" t="s">
        <v>56</v>
      </c>
      <c r="Y1322"/>
      <c r="Z1322"/>
      <c r="AA1322" t="s">
        <v>3439</v>
      </c>
      <c r="AB1322" t="s">
        <v>2</v>
      </c>
      <c r="AC1322" t="s">
        <v>138</v>
      </c>
      <c r="AD1322" t="s">
        <v>128</v>
      </c>
      <c r="AE1322" s="97"/>
    </row>
    <row r="1323" spans="1:31" ht="14.4" customHeight="1" x14ac:dyDescent="0.3">
      <c r="A1323" t="s">
        <v>3443</v>
      </c>
      <c r="B1323" t="s">
        <v>3444</v>
      </c>
      <c r="C1323"/>
      <c r="D1323"/>
      <c r="E1323"/>
      <c r="F1323"/>
      <c r="G1323" t="s">
        <v>3437</v>
      </c>
      <c r="H1323" t="s">
        <v>132</v>
      </c>
      <c r="I1323" t="s">
        <v>2</v>
      </c>
      <c r="J1323" t="s">
        <v>133</v>
      </c>
      <c r="K1323" t="s">
        <v>52</v>
      </c>
      <c r="L1323" t="s">
        <v>3442</v>
      </c>
      <c r="M1323" t="s">
        <v>134</v>
      </c>
      <c r="N1323" t="s">
        <v>135</v>
      </c>
      <c r="O1323"/>
      <c r="P1323"/>
      <c r="Q1323" t="s">
        <v>291</v>
      </c>
      <c r="R1323"/>
      <c r="S1323"/>
      <c r="T1323" t="s">
        <v>3438</v>
      </c>
      <c r="U1323" t="s">
        <v>137</v>
      </c>
      <c r="V1323" t="s">
        <v>352</v>
      </c>
      <c r="W1323"/>
      <c r="X1323" t="s">
        <v>56</v>
      </c>
      <c r="Y1323"/>
      <c r="Z1323"/>
      <c r="AA1323" t="s">
        <v>3439</v>
      </c>
      <c r="AB1323" t="s">
        <v>2</v>
      </c>
      <c r="AC1323" t="s">
        <v>138</v>
      </c>
      <c r="AD1323" t="s">
        <v>128</v>
      </c>
      <c r="AE1323" s="97"/>
    </row>
    <row r="1324" spans="1:31" ht="14.4" customHeight="1" x14ac:dyDescent="0.3">
      <c r="A1324" t="s">
        <v>3445</v>
      </c>
      <c r="B1324" t="s">
        <v>3446</v>
      </c>
      <c r="C1324"/>
      <c r="D1324"/>
      <c r="E1324"/>
      <c r="F1324"/>
      <c r="G1324" t="s">
        <v>3437</v>
      </c>
      <c r="H1324" t="s">
        <v>132</v>
      </c>
      <c r="I1324" t="s">
        <v>2</v>
      </c>
      <c r="J1324" t="s">
        <v>133</v>
      </c>
      <c r="K1324" t="s">
        <v>52</v>
      </c>
      <c r="L1324" t="s">
        <v>3447</v>
      </c>
      <c r="M1324" t="s">
        <v>134</v>
      </c>
      <c r="N1324" t="s">
        <v>135</v>
      </c>
      <c r="O1324"/>
      <c r="P1324"/>
      <c r="Q1324" t="s">
        <v>291</v>
      </c>
      <c r="R1324"/>
      <c r="S1324"/>
      <c r="T1324" t="s">
        <v>3438</v>
      </c>
      <c r="U1324" t="s">
        <v>137</v>
      </c>
      <c r="V1324" t="s">
        <v>352</v>
      </c>
      <c r="W1324"/>
      <c r="X1324" t="s">
        <v>56</v>
      </c>
      <c r="Y1324"/>
      <c r="Z1324"/>
      <c r="AA1324" t="s">
        <v>3439</v>
      </c>
      <c r="AB1324" t="s">
        <v>2</v>
      </c>
      <c r="AC1324" t="s">
        <v>138</v>
      </c>
      <c r="AD1324" t="s">
        <v>128</v>
      </c>
      <c r="AE1324" s="97"/>
    </row>
    <row r="1325" spans="1:31" ht="14.4" customHeight="1" x14ac:dyDescent="0.3">
      <c r="A1325" t="s">
        <v>6926</v>
      </c>
      <c r="B1325" t="s">
        <v>6927</v>
      </c>
      <c r="C1325"/>
      <c r="D1325"/>
      <c r="E1325"/>
      <c r="F1325"/>
      <c r="G1325" t="s">
        <v>3437</v>
      </c>
      <c r="H1325" t="s">
        <v>132</v>
      </c>
      <c r="I1325" t="s">
        <v>2</v>
      </c>
      <c r="J1325" t="s">
        <v>133</v>
      </c>
      <c r="K1325" t="s">
        <v>52</v>
      </c>
      <c r="L1325" t="s">
        <v>3447</v>
      </c>
      <c r="M1325" t="s">
        <v>134</v>
      </c>
      <c r="N1325" t="s">
        <v>135</v>
      </c>
      <c r="O1325"/>
      <c r="P1325"/>
      <c r="Q1325" t="s">
        <v>291</v>
      </c>
      <c r="R1325"/>
      <c r="S1325" t="s">
        <v>291</v>
      </c>
      <c r="T1325"/>
      <c r="U1325" t="s">
        <v>137</v>
      </c>
      <c r="V1325" t="s">
        <v>352</v>
      </c>
      <c r="W1325"/>
      <c r="X1325" t="s">
        <v>56</v>
      </c>
      <c r="Y1325"/>
      <c r="Z1325"/>
      <c r="AA1325" t="s">
        <v>3439</v>
      </c>
      <c r="AB1325" t="s">
        <v>2</v>
      </c>
      <c r="AC1325" t="s">
        <v>138</v>
      </c>
      <c r="AD1325" t="s">
        <v>128</v>
      </c>
      <c r="AE1325" s="97"/>
    </row>
    <row r="1326" spans="1:31" ht="14.4" customHeight="1" x14ac:dyDescent="0.3">
      <c r="A1326" t="s">
        <v>3448</v>
      </c>
      <c r="B1326" t="s">
        <v>3449</v>
      </c>
      <c r="C1326"/>
      <c r="D1326"/>
      <c r="E1326"/>
      <c r="F1326"/>
      <c r="G1326" t="s">
        <v>3450</v>
      </c>
      <c r="H1326" t="s">
        <v>132</v>
      </c>
      <c r="I1326" t="s">
        <v>2</v>
      </c>
      <c r="J1326" t="s">
        <v>133</v>
      </c>
      <c r="K1326" t="s">
        <v>52</v>
      </c>
      <c r="L1326" t="s">
        <v>3451</v>
      </c>
      <c r="M1326" t="s">
        <v>134</v>
      </c>
      <c r="N1326" t="s">
        <v>135</v>
      </c>
      <c r="O1326"/>
      <c r="P1326"/>
      <c r="Q1326" t="s">
        <v>291</v>
      </c>
      <c r="R1326"/>
      <c r="S1326"/>
      <c r="T1326" t="s">
        <v>1912</v>
      </c>
      <c r="U1326" t="s">
        <v>137</v>
      </c>
      <c r="V1326" t="s">
        <v>739</v>
      </c>
      <c r="W1326"/>
      <c r="X1326" t="s">
        <v>118</v>
      </c>
      <c r="Y1326"/>
      <c r="Z1326"/>
      <c r="AA1326" t="s">
        <v>3451</v>
      </c>
      <c r="AB1326" t="s">
        <v>2</v>
      </c>
      <c r="AC1326" t="s">
        <v>138</v>
      </c>
      <c r="AD1326" t="s">
        <v>130</v>
      </c>
      <c r="AE1326" s="97"/>
    </row>
    <row r="1327" spans="1:31" ht="14.4" customHeight="1" x14ac:dyDescent="0.3">
      <c r="A1327" t="s">
        <v>3452</v>
      </c>
      <c r="B1327" t="s">
        <v>3453</v>
      </c>
      <c r="C1327"/>
      <c r="D1327"/>
      <c r="E1327"/>
      <c r="F1327"/>
      <c r="G1327" t="s">
        <v>3450</v>
      </c>
      <c r="H1327" t="s">
        <v>132</v>
      </c>
      <c r="I1327" t="s">
        <v>2</v>
      </c>
      <c r="J1327" t="s">
        <v>133</v>
      </c>
      <c r="K1327" t="s">
        <v>52</v>
      </c>
      <c r="L1327" t="s">
        <v>3451</v>
      </c>
      <c r="M1327" t="s">
        <v>134</v>
      </c>
      <c r="N1327" t="s">
        <v>135</v>
      </c>
      <c r="O1327"/>
      <c r="P1327"/>
      <c r="Q1327" t="s">
        <v>291</v>
      </c>
      <c r="R1327"/>
      <c r="S1327"/>
      <c r="T1327" t="s">
        <v>1896</v>
      </c>
      <c r="U1327" t="s">
        <v>137</v>
      </c>
      <c r="V1327" t="s">
        <v>715</v>
      </c>
      <c r="W1327"/>
      <c r="X1327" t="s">
        <v>82</v>
      </c>
      <c r="Y1327"/>
      <c r="Z1327"/>
      <c r="AA1327" t="s">
        <v>3451</v>
      </c>
      <c r="AB1327" t="s">
        <v>2</v>
      </c>
      <c r="AC1327" t="s">
        <v>138</v>
      </c>
      <c r="AD1327" t="s">
        <v>129</v>
      </c>
      <c r="AE1327" s="97"/>
    </row>
    <row r="1328" spans="1:31" ht="14.4" customHeight="1" x14ac:dyDescent="0.3">
      <c r="A1328" t="s">
        <v>3454</v>
      </c>
      <c r="B1328" t="s">
        <v>3455</v>
      </c>
      <c r="C1328"/>
      <c r="D1328"/>
      <c r="E1328"/>
      <c r="F1328"/>
      <c r="G1328" t="s">
        <v>3450</v>
      </c>
      <c r="H1328" t="s">
        <v>132</v>
      </c>
      <c r="I1328" t="s">
        <v>2</v>
      </c>
      <c r="J1328" t="s">
        <v>133</v>
      </c>
      <c r="K1328" t="s">
        <v>52</v>
      </c>
      <c r="L1328" t="s">
        <v>3451</v>
      </c>
      <c r="M1328" t="s">
        <v>134</v>
      </c>
      <c r="N1328" t="s">
        <v>135</v>
      </c>
      <c r="O1328"/>
      <c r="P1328"/>
      <c r="Q1328" t="s">
        <v>291</v>
      </c>
      <c r="R1328"/>
      <c r="S1328"/>
      <c r="T1328" t="s">
        <v>1908</v>
      </c>
      <c r="U1328" t="s">
        <v>137</v>
      </c>
      <c r="V1328" t="s">
        <v>733</v>
      </c>
      <c r="W1328"/>
      <c r="X1328" t="s">
        <v>109</v>
      </c>
      <c r="Y1328"/>
      <c r="Z1328"/>
      <c r="AA1328" t="s">
        <v>3451</v>
      </c>
      <c r="AB1328" t="s">
        <v>2</v>
      </c>
      <c r="AC1328" t="s">
        <v>138</v>
      </c>
      <c r="AD1328" t="s">
        <v>129</v>
      </c>
      <c r="AE1328" s="97"/>
    </row>
    <row r="1329" spans="1:31" ht="14.4" customHeight="1" x14ac:dyDescent="0.3">
      <c r="A1329" t="s">
        <v>3456</v>
      </c>
      <c r="B1329" t="s">
        <v>3457</v>
      </c>
      <c r="C1329"/>
      <c r="D1329"/>
      <c r="E1329"/>
      <c r="F1329"/>
      <c r="G1329" t="s">
        <v>3450</v>
      </c>
      <c r="H1329" t="s">
        <v>132</v>
      </c>
      <c r="I1329" t="s">
        <v>2</v>
      </c>
      <c r="J1329" t="s">
        <v>133</v>
      </c>
      <c r="K1329" t="s">
        <v>52</v>
      </c>
      <c r="L1329" t="s">
        <v>3451</v>
      </c>
      <c r="M1329" t="s">
        <v>134</v>
      </c>
      <c r="N1329" t="s">
        <v>135</v>
      </c>
      <c r="O1329"/>
      <c r="P1329"/>
      <c r="Q1329" t="s">
        <v>291</v>
      </c>
      <c r="R1329"/>
      <c r="S1329"/>
      <c r="T1329" t="s">
        <v>1892</v>
      </c>
      <c r="U1329" t="s">
        <v>137</v>
      </c>
      <c r="V1329" t="s">
        <v>709</v>
      </c>
      <c r="W1329"/>
      <c r="X1329" t="s">
        <v>73</v>
      </c>
      <c r="Y1329"/>
      <c r="Z1329"/>
      <c r="AA1329" t="s">
        <v>3451</v>
      </c>
      <c r="AB1329" t="s">
        <v>2</v>
      </c>
      <c r="AC1329" t="s">
        <v>138</v>
      </c>
      <c r="AD1329" t="s">
        <v>128</v>
      </c>
      <c r="AE1329" s="97"/>
    </row>
    <row r="1330" spans="1:31" ht="14.4" customHeight="1" x14ac:dyDescent="0.3">
      <c r="A1330" t="s">
        <v>3458</v>
      </c>
      <c r="B1330" t="s">
        <v>3459</v>
      </c>
      <c r="C1330"/>
      <c r="D1330"/>
      <c r="E1330"/>
      <c r="F1330"/>
      <c r="G1330" t="s">
        <v>3450</v>
      </c>
      <c r="H1330" t="s">
        <v>132</v>
      </c>
      <c r="I1330" t="s">
        <v>2</v>
      </c>
      <c r="J1330" t="s">
        <v>133</v>
      </c>
      <c r="K1330" t="s">
        <v>52</v>
      </c>
      <c r="L1330" t="s">
        <v>3451</v>
      </c>
      <c r="M1330" t="s">
        <v>134</v>
      </c>
      <c r="N1330" t="s">
        <v>135</v>
      </c>
      <c r="O1330"/>
      <c r="P1330"/>
      <c r="Q1330" t="s">
        <v>291</v>
      </c>
      <c r="R1330"/>
      <c r="S1330"/>
      <c r="T1330" t="s">
        <v>1896</v>
      </c>
      <c r="U1330" t="s">
        <v>137</v>
      </c>
      <c r="V1330" t="s">
        <v>715</v>
      </c>
      <c r="W1330"/>
      <c r="X1330" t="s">
        <v>82</v>
      </c>
      <c r="Y1330"/>
      <c r="Z1330"/>
      <c r="AA1330" t="s">
        <v>3451</v>
      </c>
      <c r="AB1330" t="s">
        <v>2</v>
      </c>
      <c r="AC1330" t="s">
        <v>138</v>
      </c>
      <c r="AD1330" t="s">
        <v>129</v>
      </c>
      <c r="AE1330" s="97"/>
    </row>
    <row r="1331" spans="1:31" ht="14.4" customHeight="1" x14ac:dyDescent="0.3">
      <c r="A1331" t="s">
        <v>3460</v>
      </c>
      <c r="B1331" t="s">
        <v>3461</v>
      </c>
      <c r="C1331"/>
      <c r="D1331"/>
      <c r="E1331"/>
      <c r="F1331"/>
      <c r="G1331" t="s">
        <v>3450</v>
      </c>
      <c r="H1331" t="s">
        <v>132</v>
      </c>
      <c r="I1331" t="s">
        <v>2</v>
      </c>
      <c r="J1331" t="s">
        <v>133</v>
      </c>
      <c r="K1331" t="s">
        <v>52</v>
      </c>
      <c r="L1331" t="s">
        <v>3451</v>
      </c>
      <c r="M1331" t="s">
        <v>134</v>
      </c>
      <c r="N1331" t="s">
        <v>135</v>
      </c>
      <c r="O1331"/>
      <c r="P1331"/>
      <c r="Q1331" t="s">
        <v>291</v>
      </c>
      <c r="R1331"/>
      <c r="S1331"/>
      <c r="T1331" t="s">
        <v>1888</v>
      </c>
      <c r="U1331" t="s">
        <v>137</v>
      </c>
      <c r="V1331" t="s">
        <v>703</v>
      </c>
      <c r="W1331"/>
      <c r="X1331" t="s">
        <v>62</v>
      </c>
      <c r="Y1331"/>
      <c r="Z1331"/>
      <c r="AA1331" t="s">
        <v>3451</v>
      </c>
      <c r="AB1331" t="s">
        <v>2</v>
      </c>
      <c r="AC1331" t="s">
        <v>138</v>
      </c>
      <c r="AD1331" t="s">
        <v>128</v>
      </c>
      <c r="AE1331" s="97"/>
    </row>
    <row r="1332" spans="1:31" ht="14.4" customHeight="1" x14ac:dyDescent="0.3">
      <c r="A1332" t="s">
        <v>3462</v>
      </c>
      <c r="B1332" t="s">
        <v>3463</v>
      </c>
      <c r="C1332"/>
      <c r="D1332"/>
      <c r="E1332"/>
      <c r="F1332"/>
      <c r="G1332" t="s">
        <v>3450</v>
      </c>
      <c r="H1332" t="s">
        <v>132</v>
      </c>
      <c r="I1332" t="s">
        <v>2</v>
      </c>
      <c r="J1332" t="s">
        <v>133</v>
      </c>
      <c r="K1332" t="s">
        <v>52</v>
      </c>
      <c r="L1332" t="s">
        <v>3451</v>
      </c>
      <c r="M1332" t="s">
        <v>134</v>
      </c>
      <c r="N1332" t="s">
        <v>135</v>
      </c>
      <c r="O1332"/>
      <c r="P1332"/>
      <c r="Q1332" t="s">
        <v>291</v>
      </c>
      <c r="R1332"/>
      <c r="S1332"/>
      <c r="T1332" t="s">
        <v>1900</v>
      </c>
      <c r="U1332" t="s">
        <v>137</v>
      </c>
      <c r="V1332" t="s">
        <v>721</v>
      </c>
      <c r="W1332"/>
      <c r="X1332" t="s">
        <v>91</v>
      </c>
      <c r="Y1332"/>
      <c r="Z1332"/>
      <c r="AA1332" t="s">
        <v>3451</v>
      </c>
      <c r="AB1332" t="s">
        <v>2</v>
      </c>
      <c r="AC1332" t="s">
        <v>138</v>
      </c>
      <c r="AD1332" t="s">
        <v>129</v>
      </c>
      <c r="AE1332" s="97"/>
    </row>
    <row r="1333" spans="1:31" ht="14.4" customHeight="1" x14ac:dyDescent="0.3">
      <c r="A1333" t="s">
        <v>3464</v>
      </c>
      <c r="B1333" t="s">
        <v>3465</v>
      </c>
      <c r="C1333"/>
      <c r="D1333"/>
      <c r="E1333"/>
      <c r="F1333"/>
      <c r="G1333" t="s">
        <v>3450</v>
      </c>
      <c r="H1333" t="s">
        <v>132</v>
      </c>
      <c r="I1333" t="s">
        <v>2</v>
      </c>
      <c r="J1333" t="s">
        <v>133</v>
      </c>
      <c r="K1333" t="s">
        <v>52</v>
      </c>
      <c r="L1333" t="s">
        <v>3451</v>
      </c>
      <c r="M1333" t="s">
        <v>134</v>
      </c>
      <c r="N1333" t="s">
        <v>135</v>
      </c>
      <c r="O1333"/>
      <c r="P1333"/>
      <c r="Q1333" t="s">
        <v>291</v>
      </c>
      <c r="R1333"/>
      <c r="S1333"/>
      <c r="T1333" t="s">
        <v>1896</v>
      </c>
      <c r="U1333" t="s">
        <v>137</v>
      </c>
      <c r="V1333" t="s">
        <v>715</v>
      </c>
      <c r="W1333"/>
      <c r="X1333" t="s">
        <v>82</v>
      </c>
      <c r="Y1333"/>
      <c r="Z1333"/>
      <c r="AA1333" t="s">
        <v>3451</v>
      </c>
      <c r="AB1333" t="s">
        <v>2</v>
      </c>
      <c r="AC1333" t="s">
        <v>138</v>
      </c>
      <c r="AD1333" t="s">
        <v>129</v>
      </c>
      <c r="AE1333" s="97"/>
    </row>
    <row r="1334" spans="1:31" ht="14.4" customHeight="1" x14ac:dyDescent="0.3">
      <c r="A1334" t="s">
        <v>3466</v>
      </c>
      <c r="B1334" t="s">
        <v>3467</v>
      </c>
      <c r="C1334"/>
      <c r="D1334"/>
      <c r="E1334"/>
      <c r="F1334"/>
      <c r="G1334" t="s">
        <v>3450</v>
      </c>
      <c r="H1334" t="s">
        <v>132</v>
      </c>
      <c r="I1334" t="s">
        <v>2</v>
      </c>
      <c r="J1334" t="s">
        <v>133</v>
      </c>
      <c r="K1334" t="s">
        <v>52</v>
      </c>
      <c r="L1334" t="s">
        <v>3451</v>
      </c>
      <c r="M1334" t="s">
        <v>134</v>
      </c>
      <c r="N1334" t="s">
        <v>135</v>
      </c>
      <c r="O1334"/>
      <c r="P1334"/>
      <c r="Q1334" t="s">
        <v>291</v>
      </c>
      <c r="R1334"/>
      <c r="S1334"/>
      <c r="T1334" t="s">
        <v>1912</v>
      </c>
      <c r="U1334" t="s">
        <v>137</v>
      </c>
      <c r="V1334" t="s">
        <v>739</v>
      </c>
      <c r="W1334"/>
      <c r="X1334" t="s">
        <v>118</v>
      </c>
      <c r="Y1334"/>
      <c r="Z1334"/>
      <c r="AA1334" t="s">
        <v>3451</v>
      </c>
      <c r="AB1334" t="s">
        <v>2</v>
      </c>
      <c r="AC1334" t="s">
        <v>138</v>
      </c>
      <c r="AD1334" t="s">
        <v>130</v>
      </c>
      <c r="AE1334" s="97"/>
    </row>
    <row r="1335" spans="1:31" ht="14.4" customHeight="1" x14ac:dyDescent="0.3">
      <c r="A1335" t="s">
        <v>3468</v>
      </c>
      <c r="B1335" t="s">
        <v>3469</v>
      </c>
      <c r="C1335"/>
      <c r="D1335"/>
      <c r="E1335"/>
      <c r="F1335"/>
      <c r="G1335" t="s">
        <v>3450</v>
      </c>
      <c r="H1335" t="s">
        <v>132</v>
      </c>
      <c r="I1335" t="s">
        <v>2</v>
      </c>
      <c r="J1335" t="s">
        <v>133</v>
      </c>
      <c r="K1335" t="s">
        <v>52</v>
      </c>
      <c r="L1335" t="s">
        <v>3451</v>
      </c>
      <c r="M1335" t="s">
        <v>134</v>
      </c>
      <c r="N1335" t="s">
        <v>135</v>
      </c>
      <c r="O1335"/>
      <c r="P1335"/>
      <c r="Q1335" t="s">
        <v>291</v>
      </c>
      <c r="R1335"/>
      <c r="S1335"/>
      <c r="T1335" t="s">
        <v>1904</v>
      </c>
      <c r="U1335" t="s">
        <v>137</v>
      </c>
      <c r="V1335" t="s">
        <v>727</v>
      </c>
      <c r="W1335"/>
      <c r="X1335" t="s">
        <v>100</v>
      </c>
      <c r="Y1335"/>
      <c r="Z1335"/>
      <c r="AA1335" t="s">
        <v>3451</v>
      </c>
      <c r="AB1335" t="s">
        <v>2</v>
      </c>
      <c r="AC1335" t="s">
        <v>138</v>
      </c>
      <c r="AD1335" t="s">
        <v>129</v>
      </c>
      <c r="AE1335" s="97"/>
    </row>
    <row r="1336" spans="1:31" ht="14.4" customHeight="1" x14ac:dyDescent="0.3">
      <c r="A1336" t="s">
        <v>3470</v>
      </c>
      <c r="B1336" t="s">
        <v>3471</v>
      </c>
      <c r="C1336"/>
      <c r="D1336"/>
      <c r="E1336"/>
      <c r="F1336"/>
      <c r="G1336" t="s">
        <v>3450</v>
      </c>
      <c r="H1336" t="s">
        <v>132</v>
      </c>
      <c r="I1336" t="s">
        <v>2</v>
      </c>
      <c r="J1336" t="s">
        <v>133</v>
      </c>
      <c r="K1336" t="s">
        <v>52</v>
      </c>
      <c r="L1336" t="s">
        <v>3451</v>
      </c>
      <c r="M1336" t="s">
        <v>134</v>
      </c>
      <c r="N1336" t="s">
        <v>135</v>
      </c>
      <c r="O1336"/>
      <c r="P1336"/>
      <c r="Q1336" t="s">
        <v>291</v>
      </c>
      <c r="R1336"/>
      <c r="S1336"/>
      <c r="T1336" t="s">
        <v>1888</v>
      </c>
      <c r="U1336" t="s">
        <v>137</v>
      </c>
      <c r="V1336" t="s">
        <v>703</v>
      </c>
      <c r="W1336"/>
      <c r="X1336" t="s">
        <v>62</v>
      </c>
      <c r="Y1336"/>
      <c r="Z1336"/>
      <c r="AA1336" t="s">
        <v>3451</v>
      </c>
      <c r="AB1336" t="s">
        <v>2</v>
      </c>
      <c r="AC1336" t="s">
        <v>138</v>
      </c>
      <c r="AD1336" t="s">
        <v>128</v>
      </c>
      <c r="AE1336" s="97"/>
    </row>
    <row r="1337" spans="1:31" ht="14.4" customHeight="1" x14ac:dyDescent="0.3">
      <c r="A1337" t="s">
        <v>3472</v>
      </c>
      <c r="B1337" t="s">
        <v>3473</v>
      </c>
      <c r="C1337"/>
      <c r="D1337"/>
      <c r="E1337"/>
      <c r="F1337"/>
      <c r="G1337" t="s">
        <v>3450</v>
      </c>
      <c r="H1337" t="s">
        <v>132</v>
      </c>
      <c r="I1337" t="s">
        <v>2</v>
      </c>
      <c r="J1337" t="s">
        <v>133</v>
      </c>
      <c r="K1337" t="s">
        <v>52</v>
      </c>
      <c r="L1337" t="s">
        <v>3451</v>
      </c>
      <c r="M1337" t="s">
        <v>134</v>
      </c>
      <c r="N1337" t="s">
        <v>135</v>
      </c>
      <c r="O1337"/>
      <c r="P1337"/>
      <c r="Q1337" t="s">
        <v>291</v>
      </c>
      <c r="R1337"/>
      <c r="S1337"/>
      <c r="T1337" t="s">
        <v>1900</v>
      </c>
      <c r="U1337" t="s">
        <v>137</v>
      </c>
      <c r="V1337" t="s">
        <v>721</v>
      </c>
      <c r="W1337"/>
      <c r="X1337" t="s">
        <v>91</v>
      </c>
      <c r="Y1337"/>
      <c r="Z1337"/>
      <c r="AA1337" t="s">
        <v>3451</v>
      </c>
      <c r="AB1337" t="s">
        <v>2</v>
      </c>
      <c r="AC1337" t="s">
        <v>138</v>
      </c>
      <c r="AD1337" t="s">
        <v>129</v>
      </c>
      <c r="AE1337" s="97"/>
    </row>
    <row r="1338" spans="1:31" ht="14.4" customHeight="1" x14ac:dyDescent="0.3">
      <c r="A1338" t="s">
        <v>3474</v>
      </c>
      <c r="B1338" t="s">
        <v>3475</v>
      </c>
      <c r="C1338"/>
      <c r="D1338"/>
      <c r="E1338"/>
      <c r="F1338"/>
      <c r="G1338" t="s">
        <v>3450</v>
      </c>
      <c r="H1338" t="s">
        <v>132</v>
      </c>
      <c r="I1338" t="s">
        <v>2</v>
      </c>
      <c r="J1338" t="s">
        <v>133</v>
      </c>
      <c r="K1338" t="s">
        <v>52</v>
      </c>
      <c r="L1338" t="s">
        <v>3451</v>
      </c>
      <c r="M1338" t="s">
        <v>134</v>
      </c>
      <c r="N1338" t="s">
        <v>135</v>
      </c>
      <c r="O1338"/>
      <c r="P1338"/>
      <c r="Q1338" t="s">
        <v>291</v>
      </c>
      <c r="R1338"/>
      <c r="S1338"/>
      <c r="T1338" t="s">
        <v>1892</v>
      </c>
      <c r="U1338" t="s">
        <v>137</v>
      </c>
      <c r="V1338" t="s">
        <v>709</v>
      </c>
      <c r="W1338"/>
      <c r="X1338" t="s">
        <v>73</v>
      </c>
      <c r="Y1338"/>
      <c r="Z1338"/>
      <c r="AA1338" t="s">
        <v>3451</v>
      </c>
      <c r="AB1338" t="s">
        <v>2</v>
      </c>
      <c r="AC1338" t="s">
        <v>138</v>
      </c>
      <c r="AD1338" t="s">
        <v>128</v>
      </c>
      <c r="AE1338" s="97"/>
    </row>
    <row r="1339" spans="1:31" ht="14.4" customHeight="1" x14ac:dyDescent="0.3">
      <c r="A1339" t="s">
        <v>3476</v>
      </c>
      <c r="B1339" t="s">
        <v>3477</v>
      </c>
      <c r="C1339"/>
      <c r="D1339"/>
      <c r="E1339"/>
      <c r="F1339"/>
      <c r="G1339" t="s">
        <v>3450</v>
      </c>
      <c r="H1339" t="s">
        <v>132</v>
      </c>
      <c r="I1339" t="s">
        <v>2</v>
      </c>
      <c r="J1339" t="s">
        <v>133</v>
      </c>
      <c r="K1339" t="s">
        <v>52</v>
      </c>
      <c r="L1339" t="s">
        <v>3451</v>
      </c>
      <c r="M1339" t="s">
        <v>134</v>
      </c>
      <c r="N1339" t="s">
        <v>135</v>
      </c>
      <c r="O1339"/>
      <c r="P1339"/>
      <c r="Q1339" t="s">
        <v>291</v>
      </c>
      <c r="R1339"/>
      <c r="S1339"/>
      <c r="T1339" t="s">
        <v>1904</v>
      </c>
      <c r="U1339" t="s">
        <v>137</v>
      </c>
      <c r="V1339" t="s">
        <v>727</v>
      </c>
      <c r="W1339"/>
      <c r="X1339" t="s">
        <v>100</v>
      </c>
      <c r="Y1339"/>
      <c r="Z1339"/>
      <c r="AA1339" t="s">
        <v>3451</v>
      </c>
      <c r="AB1339" t="s">
        <v>2</v>
      </c>
      <c r="AC1339" t="s">
        <v>138</v>
      </c>
      <c r="AD1339" t="s">
        <v>129</v>
      </c>
      <c r="AE1339" s="97"/>
    </row>
    <row r="1340" spans="1:31" ht="14.4" customHeight="1" x14ac:dyDescent="0.3">
      <c r="A1340" t="s">
        <v>3478</v>
      </c>
      <c r="B1340" t="s">
        <v>3479</v>
      </c>
      <c r="C1340"/>
      <c r="D1340"/>
      <c r="E1340"/>
      <c r="F1340"/>
      <c r="G1340" t="s">
        <v>3450</v>
      </c>
      <c r="H1340" t="s">
        <v>132</v>
      </c>
      <c r="I1340" t="s">
        <v>2</v>
      </c>
      <c r="J1340" t="s">
        <v>133</v>
      </c>
      <c r="K1340" t="s">
        <v>52</v>
      </c>
      <c r="L1340" t="s">
        <v>3451</v>
      </c>
      <c r="M1340" t="s">
        <v>134</v>
      </c>
      <c r="N1340" t="s">
        <v>135</v>
      </c>
      <c r="O1340"/>
      <c r="P1340"/>
      <c r="Q1340" t="s">
        <v>291</v>
      </c>
      <c r="R1340"/>
      <c r="S1340"/>
      <c r="T1340" t="s">
        <v>1900</v>
      </c>
      <c r="U1340" t="s">
        <v>137</v>
      </c>
      <c r="V1340" t="s">
        <v>721</v>
      </c>
      <c r="W1340"/>
      <c r="X1340" t="s">
        <v>91</v>
      </c>
      <c r="Y1340"/>
      <c r="Z1340"/>
      <c r="AA1340" t="s">
        <v>3451</v>
      </c>
      <c r="AB1340" t="s">
        <v>2</v>
      </c>
      <c r="AC1340" t="s">
        <v>138</v>
      </c>
      <c r="AD1340" t="s">
        <v>129</v>
      </c>
      <c r="AE1340" s="97"/>
    </row>
    <row r="1341" spans="1:31" ht="14.4" customHeight="1" x14ac:dyDescent="0.3">
      <c r="A1341" t="s">
        <v>3480</v>
      </c>
      <c r="B1341" t="s">
        <v>3481</v>
      </c>
      <c r="C1341"/>
      <c r="D1341"/>
      <c r="E1341"/>
      <c r="F1341"/>
      <c r="G1341" t="s">
        <v>3450</v>
      </c>
      <c r="H1341" t="s">
        <v>132</v>
      </c>
      <c r="I1341" t="s">
        <v>2</v>
      </c>
      <c r="J1341" t="s">
        <v>133</v>
      </c>
      <c r="K1341" t="s">
        <v>52</v>
      </c>
      <c r="L1341" t="s">
        <v>3451</v>
      </c>
      <c r="M1341" t="s">
        <v>134</v>
      </c>
      <c r="N1341" t="s">
        <v>135</v>
      </c>
      <c r="O1341"/>
      <c r="P1341"/>
      <c r="Q1341" t="s">
        <v>291</v>
      </c>
      <c r="R1341"/>
      <c r="S1341"/>
      <c r="T1341" t="s">
        <v>1908</v>
      </c>
      <c r="U1341" t="s">
        <v>137</v>
      </c>
      <c r="V1341" t="s">
        <v>733</v>
      </c>
      <c r="W1341"/>
      <c r="X1341" t="s">
        <v>109</v>
      </c>
      <c r="Y1341"/>
      <c r="Z1341"/>
      <c r="AA1341" t="s">
        <v>3451</v>
      </c>
      <c r="AB1341" t="s">
        <v>2</v>
      </c>
      <c r="AC1341" t="s">
        <v>138</v>
      </c>
      <c r="AD1341" t="s">
        <v>129</v>
      </c>
      <c r="AE1341" s="97"/>
    </row>
    <row r="1342" spans="1:31" ht="14.4" customHeight="1" x14ac:dyDescent="0.3">
      <c r="A1342" t="s">
        <v>3482</v>
      </c>
      <c r="B1342" t="s">
        <v>3483</v>
      </c>
      <c r="C1342"/>
      <c r="D1342"/>
      <c r="E1342"/>
      <c r="F1342"/>
      <c r="G1342" t="s">
        <v>3450</v>
      </c>
      <c r="H1342" t="s">
        <v>132</v>
      </c>
      <c r="I1342" t="s">
        <v>2</v>
      </c>
      <c r="J1342" t="s">
        <v>133</v>
      </c>
      <c r="K1342" t="s">
        <v>52</v>
      </c>
      <c r="L1342" t="s">
        <v>3451</v>
      </c>
      <c r="M1342" t="s">
        <v>134</v>
      </c>
      <c r="N1342" t="s">
        <v>135</v>
      </c>
      <c r="O1342"/>
      <c r="P1342"/>
      <c r="Q1342" t="s">
        <v>291</v>
      </c>
      <c r="R1342"/>
      <c r="S1342"/>
      <c r="T1342" t="s">
        <v>1904</v>
      </c>
      <c r="U1342" t="s">
        <v>137</v>
      </c>
      <c r="V1342" t="s">
        <v>727</v>
      </c>
      <c r="W1342"/>
      <c r="X1342" t="s">
        <v>100</v>
      </c>
      <c r="Y1342"/>
      <c r="Z1342"/>
      <c r="AA1342" t="s">
        <v>3451</v>
      </c>
      <c r="AB1342" t="s">
        <v>2</v>
      </c>
      <c r="AC1342" t="s">
        <v>138</v>
      </c>
      <c r="AD1342" t="s">
        <v>129</v>
      </c>
      <c r="AE1342" s="97"/>
    </row>
    <row r="1343" spans="1:31" ht="14.4" customHeight="1" x14ac:dyDescent="0.3">
      <c r="A1343" t="s">
        <v>3484</v>
      </c>
      <c r="B1343" t="s">
        <v>3485</v>
      </c>
      <c r="C1343"/>
      <c r="D1343"/>
      <c r="E1343"/>
      <c r="F1343"/>
      <c r="G1343" t="s">
        <v>3450</v>
      </c>
      <c r="H1343" t="s">
        <v>132</v>
      </c>
      <c r="I1343" t="s">
        <v>2</v>
      </c>
      <c r="J1343" t="s">
        <v>133</v>
      </c>
      <c r="K1343" t="s">
        <v>52</v>
      </c>
      <c r="L1343" t="s">
        <v>3451</v>
      </c>
      <c r="M1343" t="s">
        <v>134</v>
      </c>
      <c r="N1343" t="s">
        <v>135</v>
      </c>
      <c r="O1343"/>
      <c r="P1343"/>
      <c r="Q1343" t="s">
        <v>291</v>
      </c>
      <c r="R1343"/>
      <c r="S1343"/>
      <c r="T1343" t="s">
        <v>1892</v>
      </c>
      <c r="U1343" t="s">
        <v>137</v>
      </c>
      <c r="V1343" t="s">
        <v>709</v>
      </c>
      <c r="W1343"/>
      <c r="X1343" t="s">
        <v>73</v>
      </c>
      <c r="Y1343"/>
      <c r="Z1343"/>
      <c r="AA1343" t="s">
        <v>3451</v>
      </c>
      <c r="AB1343" t="s">
        <v>2</v>
      </c>
      <c r="AC1343" t="s">
        <v>138</v>
      </c>
      <c r="AD1343" t="s">
        <v>128</v>
      </c>
      <c r="AE1343" s="97"/>
    </row>
    <row r="1344" spans="1:31" ht="14.4" customHeight="1" x14ac:dyDescent="0.3">
      <c r="A1344" t="s">
        <v>3486</v>
      </c>
      <c r="B1344" t="s">
        <v>3487</v>
      </c>
      <c r="C1344"/>
      <c r="D1344"/>
      <c r="E1344"/>
      <c r="F1344"/>
      <c r="G1344" t="s">
        <v>3450</v>
      </c>
      <c r="H1344" t="s">
        <v>132</v>
      </c>
      <c r="I1344" t="s">
        <v>2</v>
      </c>
      <c r="J1344" t="s">
        <v>133</v>
      </c>
      <c r="K1344" t="s">
        <v>52</v>
      </c>
      <c r="L1344" t="s">
        <v>3451</v>
      </c>
      <c r="M1344" t="s">
        <v>134</v>
      </c>
      <c r="N1344" t="s">
        <v>135</v>
      </c>
      <c r="O1344"/>
      <c r="P1344"/>
      <c r="Q1344" t="s">
        <v>291</v>
      </c>
      <c r="R1344"/>
      <c r="S1344"/>
      <c r="T1344" t="s">
        <v>1888</v>
      </c>
      <c r="U1344" t="s">
        <v>137</v>
      </c>
      <c r="V1344" t="s">
        <v>703</v>
      </c>
      <c r="W1344"/>
      <c r="X1344" t="s">
        <v>62</v>
      </c>
      <c r="Y1344"/>
      <c r="Z1344"/>
      <c r="AA1344" t="s">
        <v>3451</v>
      </c>
      <c r="AB1344" t="s">
        <v>2</v>
      </c>
      <c r="AC1344" t="s">
        <v>138</v>
      </c>
      <c r="AD1344" t="s">
        <v>128</v>
      </c>
      <c r="AE1344" s="97"/>
    </row>
    <row r="1345" spans="1:31" ht="14.4" customHeight="1" x14ac:dyDescent="0.3">
      <c r="A1345" t="s">
        <v>3488</v>
      </c>
      <c r="B1345" t="s">
        <v>3489</v>
      </c>
      <c r="C1345"/>
      <c r="D1345"/>
      <c r="E1345"/>
      <c r="F1345"/>
      <c r="G1345" t="s">
        <v>3450</v>
      </c>
      <c r="H1345" t="s">
        <v>132</v>
      </c>
      <c r="I1345" t="s">
        <v>2</v>
      </c>
      <c r="J1345" t="s">
        <v>133</v>
      </c>
      <c r="K1345" t="s">
        <v>52</v>
      </c>
      <c r="L1345" t="s">
        <v>3451</v>
      </c>
      <c r="M1345" t="s">
        <v>134</v>
      </c>
      <c r="N1345" t="s">
        <v>135</v>
      </c>
      <c r="O1345"/>
      <c r="P1345"/>
      <c r="Q1345" t="s">
        <v>291</v>
      </c>
      <c r="R1345"/>
      <c r="S1345"/>
      <c r="T1345" t="s">
        <v>1908</v>
      </c>
      <c r="U1345" t="s">
        <v>137</v>
      </c>
      <c r="V1345" t="s">
        <v>733</v>
      </c>
      <c r="W1345"/>
      <c r="X1345" t="s">
        <v>109</v>
      </c>
      <c r="Y1345"/>
      <c r="Z1345"/>
      <c r="AA1345" t="s">
        <v>3451</v>
      </c>
      <c r="AB1345" t="s">
        <v>2</v>
      </c>
      <c r="AC1345" t="s">
        <v>138</v>
      </c>
      <c r="AD1345" t="s">
        <v>129</v>
      </c>
      <c r="AE1345" s="97"/>
    </row>
    <row r="1346" spans="1:31" ht="14.4" customHeight="1" x14ac:dyDescent="0.3">
      <c r="A1346" t="s">
        <v>3490</v>
      </c>
      <c r="B1346" t="s">
        <v>3491</v>
      </c>
      <c r="C1346"/>
      <c r="D1346"/>
      <c r="E1346"/>
      <c r="F1346"/>
      <c r="G1346" t="s">
        <v>3450</v>
      </c>
      <c r="H1346" t="s">
        <v>132</v>
      </c>
      <c r="I1346" t="s">
        <v>2</v>
      </c>
      <c r="J1346" t="s">
        <v>133</v>
      </c>
      <c r="K1346" t="s">
        <v>52</v>
      </c>
      <c r="L1346" t="s">
        <v>3451</v>
      </c>
      <c r="M1346" t="s">
        <v>134</v>
      </c>
      <c r="N1346" t="s">
        <v>135</v>
      </c>
      <c r="O1346"/>
      <c r="P1346"/>
      <c r="Q1346" t="s">
        <v>291</v>
      </c>
      <c r="R1346"/>
      <c r="S1346"/>
      <c r="T1346" t="s">
        <v>1888</v>
      </c>
      <c r="U1346" t="s">
        <v>137</v>
      </c>
      <c r="V1346" t="s">
        <v>703</v>
      </c>
      <c r="W1346"/>
      <c r="X1346" t="s">
        <v>62</v>
      </c>
      <c r="Y1346"/>
      <c r="Z1346"/>
      <c r="AA1346" t="s">
        <v>3451</v>
      </c>
      <c r="AB1346" t="s">
        <v>2</v>
      </c>
      <c r="AC1346" t="s">
        <v>138</v>
      </c>
      <c r="AD1346" t="s">
        <v>128</v>
      </c>
      <c r="AE1346" s="97"/>
    </row>
    <row r="1347" spans="1:31" ht="14.4" customHeight="1" x14ac:dyDescent="0.3">
      <c r="A1347" t="s">
        <v>3492</v>
      </c>
      <c r="B1347" t="s">
        <v>3493</v>
      </c>
      <c r="C1347"/>
      <c r="D1347"/>
      <c r="E1347"/>
      <c r="F1347"/>
      <c r="G1347" t="s">
        <v>3450</v>
      </c>
      <c r="H1347" t="s">
        <v>132</v>
      </c>
      <c r="I1347" t="s">
        <v>2</v>
      </c>
      <c r="J1347" t="s">
        <v>133</v>
      </c>
      <c r="K1347" t="s">
        <v>52</v>
      </c>
      <c r="L1347" t="s">
        <v>3451</v>
      </c>
      <c r="M1347" t="s">
        <v>134</v>
      </c>
      <c r="N1347" t="s">
        <v>135</v>
      </c>
      <c r="O1347"/>
      <c r="P1347"/>
      <c r="Q1347" t="s">
        <v>291</v>
      </c>
      <c r="R1347"/>
      <c r="S1347"/>
      <c r="T1347" t="s">
        <v>1892</v>
      </c>
      <c r="U1347" t="s">
        <v>137</v>
      </c>
      <c r="V1347" t="s">
        <v>709</v>
      </c>
      <c r="W1347"/>
      <c r="X1347" t="s">
        <v>73</v>
      </c>
      <c r="Y1347"/>
      <c r="Z1347"/>
      <c r="AA1347" t="s">
        <v>3451</v>
      </c>
      <c r="AB1347" t="s">
        <v>2</v>
      </c>
      <c r="AC1347" t="s">
        <v>138</v>
      </c>
      <c r="AD1347" t="s">
        <v>128</v>
      </c>
      <c r="AE1347" s="97"/>
    </row>
    <row r="1348" spans="1:31" ht="14.4" customHeight="1" x14ac:dyDescent="0.3">
      <c r="A1348" t="s">
        <v>3494</v>
      </c>
      <c r="B1348" t="s">
        <v>3495</v>
      </c>
      <c r="C1348"/>
      <c r="D1348"/>
      <c r="E1348"/>
      <c r="F1348"/>
      <c r="G1348" t="s">
        <v>3450</v>
      </c>
      <c r="H1348" t="s">
        <v>132</v>
      </c>
      <c r="I1348" t="s">
        <v>2</v>
      </c>
      <c r="J1348" t="s">
        <v>133</v>
      </c>
      <c r="K1348" t="s">
        <v>52</v>
      </c>
      <c r="L1348" t="s">
        <v>3451</v>
      </c>
      <c r="M1348" t="s">
        <v>134</v>
      </c>
      <c r="N1348" t="s">
        <v>135</v>
      </c>
      <c r="O1348"/>
      <c r="P1348"/>
      <c r="Q1348" t="s">
        <v>291</v>
      </c>
      <c r="R1348"/>
      <c r="S1348"/>
      <c r="T1348" t="s">
        <v>1896</v>
      </c>
      <c r="U1348" t="s">
        <v>137</v>
      </c>
      <c r="V1348" t="s">
        <v>715</v>
      </c>
      <c r="W1348"/>
      <c r="X1348" t="s">
        <v>82</v>
      </c>
      <c r="Y1348"/>
      <c r="Z1348"/>
      <c r="AA1348" t="s">
        <v>3451</v>
      </c>
      <c r="AB1348" t="s">
        <v>2</v>
      </c>
      <c r="AC1348" t="s">
        <v>138</v>
      </c>
      <c r="AD1348" t="s">
        <v>129</v>
      </c>
      <c r="AE1348" s="97"/>
    </row>
    <row r="1349" spans="1:31" ht="14.4" customHeight="1" x14ac:dyDescent="0.3">
      <c r="A1349" t="s">
        <v>3496</v>
      </c>
      <c r="B1349" t="s">
        <v>3497</v>
      </c>
      <c r="C1349"/>
      <c r="D1349"/>
      <c r="E1349"/>
      <c r="F1349"/>
      <c r="G1349" t="s">
        <v>3450</v>
      </c>
      <c r="H1349" t="s">
        <v>132</v>
      </c>
      <c r="I1349" t="s">
        <v>2</v>
      </c>
      <c r="J1349" t="s">
        <v>133</v>
      </c>
      <c r="K1349" t="s">
        <v>52</v>
      </c>
      <c r="L1349" t="s">
        <v>3451</v>
      </c>
      <c r="M1349" t="s">
        <v>134</v>
      </c>
      <c r="N1349" t="s">
        <v>135</v>
      </c>
      <c r="O1349"/>
      <c r="P1349"/>
      <c r="Q1349" t="s">
        <v>291</v>
      </c>
      <c r="R1349"/>
      <c r="S1349"/>
      <c r="T1349" t="s">
        <v>1900</v>
      </c>
      <c r="U1349" t="s">
        <v>137</v>
      </c>
      <c r="V1349" t="s">
        <v>721</v>
      </c>
      <c r="W1349"/>
      <c r="X1349" t="s">
        <v>91</v>
      </c>
      <c r="Y1349"/>
      <c r="Z1349"/>
      <c r="AA1349" t="s">
        <v>3451</v>
      </c>
      <c r="AB1349" t="s">
        <v>2</v>
      </c>
      <c r="AC1349" t="s">
        <v>138</v>
      </c>
      <c r="AD1349" t="s">
        <v>129</v>
      </c>
      <c r="AE1349" s="97"/>
    </row>
    <row r="1350" spans="1:31" ht="14.4" customHeight="1" x14ac:dyDescent="0.3">
      <c r="A1350" t="s">
        <v>3498</v>
      </c>
      <c r="B1350" t="s">
        <v>3499</v>
      </c>
      <c r="C1350"/>
      <c r="D1350"/>
      <c r="E1350"/>
      <c r="F1350"/>
      <c r="G1350" t="s">
        <v>3450</v>
      </c>
      <c r="H1350" t="s">
        <v>132</v>
      </c>
      <c r="I1350" t="s">
        <v>2</v>
      </c>
      <c r="J1350" t="s">
        <v>133</v>
      </c>
      <c r="K1350" t="s">
        <v>52</v>
      </c>
      <c r="L1350" t="s">
        <v>3451</v>
      </c>
      <c r="M1350" t="s">
        <v>134</v>
      </c>
      <c r="N1350" t="s">
        <v>135</v>
      </c>
      <c r="O1350"/>
      <c r="P1350"/>
      <c r="Q1350" t="s">
        <v>291</v>
      </c>
      <c r="R1350"/>
      <c r="S1350"/>
      <c r="T1350" t="s">
        <v>1904</v>
      </c>
      <c r="U1350" t="s">
        <v>137</v>
      </c>
      <c r="V1350" t="s">
        <v>727</v>
      </c>
      <c r="W1350"/>
      <c r="X1350" t="s">
        <v>100</v>
      </c>
      <c r="Y1350"/>
      <c r="Z1350"/>
      <c r="AA1350" t="s">
        <v>3451</v>
      </c>
      <c r="AB1350" t="s">
        <v>2</v>
      </c>
      <c r="AC1350" t="s">
        <v>138</v>
      </c>
      <c r="AD1350" t="s">
        <v>129</v>
      </c>
      <c r="AE1350" s="97"/>
    </row>
    <row r="1351" spans="1:31" ht="14.4" customHeight="1" x14ac:dyDescent="0.3">
      <c r="A1351" t="s">
        <v>3500</v>
      </c>
      <c r="B1351" t="s">
        <v>3501</v>
      </c>
      <c r="C1351"/>
      <c r="D1351"/>
      <c r="E1351"/>
      <c r="F1351"/>
      <c r="G1351" t="s">
        <v>3450</v>
      </c>
      <c r="H1351" t="s">
        <v>132</v>
      </c>
      <c r="I1351" t="s">
        <v>2</v>
      </c>
      <c r="J1351" t="s">
        <v>133</v>
      </c>
      <c r="K1351" t="s">
        <v>52</v>
      </c>
      <c r="L1351" t="s">
        <v>3451</v>
      </c>
      <c r="M1351" t="s">
        <v>134</v>
      </c>
      <c r="N1351" t="s">
        <v>135</v>
      </c>
      <c r="O1351"/>
      <c r="P1351"/>
      <c r="Q1351" t="s">
        <v>291</v>
      </c>
      <c r="R1351"/>
      <c r="S1351"/>
      <c r="T1351" t="s">
        <v>1908</v>
      </c>
      <c r="U1351" t="s">
        <v>137</v>
      </c>
      <c r="V1351" t="s">
        <v>733</v>
      </c>
      <c r="W1351"/>
      <c r="X1351" t="s">
        <v>109</v>
      </c>
      <c r="Y1351"/>
      <c r="Z1351"/>
      <c r="AA1351" t="s">
        <v>3451</v>
      </c>
      <c r="AB1351" t="s">
        <v>2</v>
      </c>
      <c r="AC1351" t="s">
        <v>138</v>
      </c>
      <c r="AD1351" t="s">
        <v>129</v>
      </c>
      <c r="AE1351" s="97"/>
    </row>
    <row r="1352" spans="1:31" ht="14.4" customHeight="1" x14ac:dyDescent="0.3">
      <c r="A1352" t="s">
        <v>3502</v>
      </c>
      <c r="B1352" t="s">
        <v>3503</v>
      </c>
      <c r="C1352"/>
      <c r="D1352"/>
      <c r="E1352"/>
      <c r="F1352"/>
      <c r="G1352" t="s">
        <v>3450</v>
      </c>
      <c r="H1352" t="s">
        <v>132</v>
      </c>
      <c r="I1352" t="s">
        <v>2</v>
      </c>
      <c r="J1352" t="s">
        <v>133</v>
      </c>
      <c r="K1352" t="s">
        <v>52</v>
      </c>
      <c r="L1352" t="s">
        <v>3451</v>
      </c>
      <c r="M1352" t="s">
        <v>134</v>
      </c>
      <c r="N1352" t="s">
        <v>135</v>
      </c>
      <c r="O1352"/>
      <c r="P1352"/>
      <c r="Q1352" t="s">
        <v>291</v>
      </c>
      <c r="R1352"/>
      <c r="S1352"/>
      <c r="T1352" t="s">
        <v>1912</v>
      </c>
      <c r="U1352" t="s">
        <v>137</v>
      </c>
      <c r="V1352" t="s">
        <v>739</v>
      </c>
      <c r="W1352"/>
      <c r="X1352" t="s">
        <v>118</v>
      </c>
      <c r="Y1352"/>
      <c r="Z1352"/>
      <c r="AA1352" t="s">
        <v>3451</v>
      </c>
      <c r="AB1352" t="s">
        <v>2</v>
      </c>
      <c r="AC1352" t="s">
        <v>138</v>
      </c>
      <c r="AD1352" t="s">
        <v>130</v>
      </c>
      <c r="AE1352" s="97"/>
    </row>
    <row r="1353" spans="1:31" ht="14.4" customHeight="1" x14ac:dyDescent="0.3">
      <c r="A1353" t="s">
        <v>3504</v>
      </c>
      <c r="B1353" t="s">
        <v>3505</v>
      </c>
      <c r="C1353"/>
      <c r="D1353"/>
      <c r="E1353"/>
      <c r="F1353"/>
      <c r="G1353" t="s">
        <v>3450</v>
      </c>
      <c r="H1353" t="s">
        <v>132</v>
      </c>
      <c r="I1353" t="s">
        <v>2</v>
      </c>
      <c r="J1353" t="s">
        <v>133</v>
      </c>
      <c r="K1353" t="s">
        <v>52</v>
      </c>
      <c r="L1353" t="s">
        <v>3451</v>
      </c>
      <c r="M1353" t="s">
        <v>134</v>
      </c>
      <c r="N1353" t="s">
        <v>135</v>
      </c>
      <c r="O1353"/>
      <c r="P1353"/>
      <c r="Q1353" t="s">
        <v>291</v>
      </c>
      <c r="R1353"/>
      <c r="S1353"/>
      <c r="T1353" t="s">
        <v>1912</v>
      </c>
      <c r="U1353" t="s">
        <v>137</v>
      </c>
      <c r="V1353" t="s">
        <v>739</v>
      </c>
      <c r="W1353"/>
      <c r="X1353" t="s">
        <v>118</v>
      </c>
      <c r="Y1353"/>
      <c r="Z1353"/>
      <c r="AA1353" t="s">
        <v>3451</v>
      </c>
      <c r="AB1353" t="s">
        <v>2</v>
      </c>
      <c r="AC1353" t="s">
        <v>138</v>
      </c>
      <c r="AD1353" t="s">
        <v>130</v>
      </c>
      <c r="AE1353" s="97"/>
    </row>
    <row r="1354" spans="1:31" ht="14.4" customHeight="1" x14ac:dyDescent="0.3">
      <c r="A1354" t="s">
        <v>3508</v>
      </c>
      <c r="B1354" t="s">
        <v>3509</v>
      </c>
      <c r="C1354"/>
      <c r="D1354"/>
      <c r="E1354"/>
      <c r="F1354"/>
      <c r="G1354" t="s">
        <v>3506</v>
      </c>
      <c r="H1354" t="s">
        <v>132</v>
      </c>
      <c r="I1354" t="s">
        <v>2</v>
      </c>
      <c r="J1354" t="s">
        <v>133</v>
      </c>
      <c r="K1354" t="s">
        <v>52</v>
      </c>
      <c r="L1354" t="s">
        <v>3510</v>
      </c>
      <c r="M1354" t="s">
        <v>134</v>
      </c>
      <c r="N1354" t="s">
        <v>135</v>
      </c>
      <c r="O1354"/>
      <c r="P1354"/>
      <c r="Q1354" t="s">
        <v>291</v>
      </c>
      <c r="R1354"/>
      <c r="S1354"/>
      <c r="T1354" t="s">
        <v>1896</v>
      </c>
      <c r="U1354" t="s">
        <v>137</v>
      </c>
      <c r="V1354" t="s">
        <v>715</v>
      </c>
      <c r="W1354"/>
      <c r="X1354" t="s">
        <v>82</v>
      </c>
      <c r="Y1354"/>
      <c r="Z1354"/>
      <c r="AA1354" t="s">
        <v>3507</v>
      </c>
      <c r="AB1354" t="s">
        <v>2</v>
      </c>
      <c r="AC1354" t="s">
        <v>138</v>
      </c>
      <c r="AD1354" t="s">
        <v>129</v>
      </c>
      <c r="AE1354" s="97"/>
    </row>
    <row r="1355" spans="1:31" ht="14.4" customHeight="1" x14ac:dyDescent="0.3">
      <c r="A1355" t="s">
        <v>3511</v>
      </c>
      <c r="B1355" t="s">
        <v>3512</v>
      </c>
      <c r="C1355"/>
      <c r="D1355"/>
      <c r="E1355"/>
      <c r="F1355"/>
      <c r="G1355" t="s">
        <v>3506</v>
      </c>
      <c r="H1355" t="s">
        <v>132</v>
      </c>
      <c r="I1355" t="s">
        <v>2</v>
      </c>
      <c r="J1355" t="s">
        <v>133</v>
      </c>
      <c r="K1355" t="s">
        <v>52</v>
      </c>
      <c r="L1355" t="s">
        <v>3510</v>
      </c>
      <c r="M1355" t="s">
        <v>134</v>
      </c>
      <c r="N1355" t="s">
        <v>135</v>
      </c>
      <c r="O1355"/>
      <c r="P1355"/>
      <c r="Q1355" t="s">
        <v>291</v>
      </c>
      <c r="R1355"/>
      <c r="S1355"/>
      <c r="T1355" t="s">
        <v>1908</v>
      </c>
      <c r="U1355" t="s">
        <v>137</v>
      </c>
      <c r="V1355" t="s">
        <v>733</v>
      </c>
      <c r="W1355"/>
      <c r="X1355" t="s">
        <v>109</v>
      </c>
      <c r="Y1355"/>
      <c r="Z1355"/>
      <c r="AA1355" t="s">
        <v>3507</v>
      </c>
      <c r="AB1355" t="s">
        <v>2</v>
      </c>
      <c r="AC1355" t="s">
        <v>138</v>
      </c>
      <c r="AD1355" t="s">
        <v>129</v>
      </c>
      <c r="AE1355" s="97"/>
    </row>
    <row r="1356" spans="1:31" ht="14.4" customHeight="1" x14ac:dyDescent="0.3">
      <c r="A1356" t="s">
        <v>3513</v>
      </c>
      <c r="B1356" t="s">
        <v>3514</v>
      </c>
      <c r="C1356"/>
      <c r="D1356"/>
      <c r="E1356"/>
      <c r="F1356"/>
      <c r="G1356" t="s">
        <v>3506</v>
      </c>
      <c r="H1356" t="s">
        <v>132</v>
      </c>
      <c r="I1356" t="s">
        <v>2</v>
      </c>
      <c r="J1356" t="s">
        <v>133</v>
      </c>
      <c r="K1356" t="s">
        <v>52</v>
      </c>
      <c r="L1356" t="s">
        <v>3510</v>
      </c>
      <c r="M1356" t="s">
        <v>134</v>
      </c>
      <c r="N1356" t="s">
        <v>135</v>
      </c>
      <c r="O1356"/>
      <c r="P1356"/>
      <c r="Q1356" t="s">
        <v>291</v>
      </c>
      <c r="R1356"/>
      <c r="S1356"/>
      <c r="T1356" t="s">
        <v>1904</v>
      </c>
      <c r="U1356" t="s">
        <v>137</v>
      </c>
      <c r="V1356" t="s">
        <v>727</v>
      </c>
      <c r="W1356"/>
      <c r="X1356" t="s">
        <v>100</v>
      </c>
      <c r="Y1356"/>
      <c r="Z1356"/>
      <c r="AA1356" t="s">
        <v>3507</v>
      </c>
      <c r="AB1356" t="s">
        <v>2</v>
      </c>
      <c r="AC1356" t="s">
        <v>138</v>
      </c>
      <c r="AD1356" t="s">
        <v>129</v>
      </c>
      <c r="AE1356" s="97"/>
    </row>
    <row r="1357" spans="1:31" ht="14.4" customHeight="1" x14ac:dyDescent="0.3">
      <c r="A1357" t="s">
        <v>3515</v>
      </c>
      <c r="B1357" t="s">
        <v>3516</v>
      </c>
      <c r="C1357"/>
      <c r="D1357"/>
      <c r="E1357"/>
      <c r="F1357"/>
      <c r="G1357" t="s">
        <v>3506</v>
      </c>
      <c r="H1357" t="s">
        <v>132</v>
      </c>
      <c r="I1357" t="s">
        <v>2</v>
      </c>
      <c r="J1357" t="s">
        <v>133</v>
      </c>
      <c r="K1357" t="s">
        <v>52</v>
      </c>
      <c r="L1357" t="s">
        <v>3510</v>
      </c>
      <c r="M1357" t="s">
        <v>134</v>
      </c>
      <c r="N1357" t="s">
        <v>135</v>
      </c>
      <c r="O1357"/>
      <c r="P1357"/>
      <c r="Q1357" t="s">
        <v>291</v>
      </c>
      <c r="R1357"/>
      <c r="S1357"/>
      <c r="T1357" t="s">
        <v>1900</v>
      </c>
      <c r="U1357" t="s">
        <v>137</v>
      </c>
      <c r="V1357" t="s">
        <v>721</v>
      </c>
      <c r="W1357"/>
      <c r="X1357" t="s">
        <v>91</v>
      </c>
      <c r="Y1357"/>
      <c r="Z1357"/>
      <c r="AA1357" t="s">
        <v>3507</v>
      </c>
      <c r="AB1357" t="s">
        <v>2</v>
      </c>
      <c r="AC1357" t="s">
        <v>138</v>
      </c>
      <c r="AD1357" t="s">
        <v>129</v>
      </c>
      <c r="AE1357" s="97"/>
    </row>
    <row r="1358" spans="1:31" ht="14.4" customHeight="1" x14ac:dyDescent="0.3">
      <c r="A1358" t="s">
        <v>3517</v>
      </c>
      <c r="B1358" t="s">
        <v>3518</v>
      </c>
      <c r="C1358"/>
      <c r="D1358"/>
      <c r="E1358"/>
      <c r="F1358"/>
      <c r="G1358" t="s">
        <v>3506</v>
      </c>
      <c r="H1358" t="s">
        <v>132</v>
      </c>
      <c r="I1358" t="s">
        <v>2</v>
      </c>
      <c r="J1358" t="s">
        <v>133</v>
      </c>
      <c r="K1358" t="s">
        <v>52</v>
      </c>
      <c r="L1358" t="s">
        <v>3510</v>
      </c>
      <c r="M1358" t="s">
        <v>134</v>
      </c>
      <c r="N1358" t="s">
        <v>135</v>
      </c>
      <c r="O1358"/>
      <c r="P1358"/>
      <c r="Q1358" t="s">
        <v>291</v>
      </c>
      <c r="R1358"/>
      <c r="S1358"/>
      <c r="T1358" t="s">
        <v>1888</v>
      </c>
      <c r="U1358" t="s">
        <v>137</v>
      </c>
      <c r="V1358" t="s">
        <v>703</v>
      </c>
      <c r="W1358"/>
      <c r="X1358" t="s">
        <v>62</v>
      </c>
      <c r="Y1358"/>
      <c r="Z1358"/>
      <c r="AA1358" t="s">
        <v>3507</v>
      </c>
      <c r="AB1358" t="s">
        <v>2</v>
      </c>
      <c r="AC1358" t="s">
        <v>138</v>
      </c>
      <c r="AD1358" t="s">
        <v>128</v>
      </c>
      <c r="AE1358" s="97"/>
    </row>
    <row r="1359" spans="1:31" ht="14.4" customHeight="1" x14ac:dyDescent="0.3">
      <c r="A1359" t="s">
        <v>3519</v>
      </c>
      <c r="B1359" t="s">
        <v>3520</v>
      </c>
      <c r="C1359"/>
      <c r="D1359"/>
      <c r="E1359"/>
      <c r="F1359"/>
      <c r="G1359" t="s">
        <v>3506</v>
      </c>
      <c r="H1359" t="s">
        <v>132</v>
      </c>
      <c r="I1359" t="s">
        <v>2</v>
      </c>
      <c r="J1359" t="s">
        <v>133</v>
      </c>
      <c r="K1359" t="s">
        <v>52</v>
      </c>
      <c r="L1359" t="s">
        <v>3510</v>
      </c>
      <c r="M1359" t="s">
        <v>134</v>
      </c>
      <c r="N1359" t="s">
        <v>135</v>
      </c>
      <c r="O1359"/>
      <c r="P1359"/>
      <c r="Q1359" t="s">
        <v>291</v>
      </c>
      <c r="R1359"/>
      <c r="S1359"/>
      <c r="T1359" t="s">
        <v>1912</v>
      </c>
      <c r="U1359" t="s">
        <v>137</v>
      </c>
      <c r="V1359" t="s">
        <v>739</v>
      </c>
      <c r="W1359"/>
      <c r="X1359" t="s">
        <v>118</v>
      </c>
      <c r="Y1359"/>
      <c r="Z1359"/>
      <c r="AA1359" t="s">
        <v>3507</v>
      </c>
      <c r="AB1359" t="s">
        <v>2</v>
      </c>
      <c r="AC1359" t="s">
        <v>138</v>
      </c>
      <c r="AD1359" t="s">
        <v>130</v>
      </c>
      <c r="AE1359" s="97"/>
    </row>
    <row r="1360" spans="1:31" ht="14.4" customHeight="1" x14ac:dyDescent="0.3">
      <c r="A1360" t="s">
        <v>3521</v>
      </c>
      <c r="B1360" t="s">
        <v>3522</v>
      </c>
      <c r="C1360"/>
      <c r="D1360"/>
      <c r="E1360"/>
      <c r="F1360"/>
      <c r="G1360" t="s">
        <v>3506</v>
      </c>
      <c r="H1360" t="s">
        <v>132</v>
      </c>
      <c r="I1360" t="s">
        <v>2</v>
      </c>
      <c r="J1360" t="s">
        <v>133</v>
      </c>
      <c r="K1360" t="s">
        <v>52</v>
      </c>
      <c r="L1360" t="s">
        <v>3510</v>
      </c>
      <c r="M1360" t="s">
        <v>134</v>
      </c>
      <c r="N1360" t="s">
        <v>135</v>
      </c>
      <c r="O1360"/>
      <c r="P1360"/>
      <c r="Q1360" t="s">
        <v>291</v>
      </c>
      <c r="R1360"/>
      <c r="S1360"/>
      <c r="T1360" t="s">
        <v>1908</v>
      </c>
      <c r="U1360" t="s">
        <v>137</v>
      </c>
      <c r="V1360" t="s">
        <v>733</v>
      </c>
      <c r="W1360"/>
      <c r="X1360" t="s">
        <v>109</v>
      </c>
      <c r="Y1360"/>
      <c r="Z1360"/>
      <c r="AA1360" t="s">
        <v>3507</v>
      </c>
      <c r="AB1360" t="s">
        <v>2</v>
      </c>
      <c r="AC1360" t="s">
        <v>138</v>
      </c>
      <c r="AD1360" t="s">
        <v>129</v>
      </c>
      <c r="AE1360" s="97"/>
    </row>
    <row r="1361" spans="1:31" ht="14.4" customHeight="1" x14ac:dyDescent="0.3">
      <c r="A1361" t="s">
        <v>3523</v>
      </c>
      <c r="B1361" t="s">
        <v>3524</v>
      </c>
      <c r="C1361"/>
      <c r="D1361"/>
      <c r="E1361"/>
      <c r="F1361"/>
      <c r="G1361" t="s">
        <v>3506</v>
      </c>
      <c r="H1361" t="s">
        <v>132</v>
      </c>
      <c r="I1361" t="s">
        <v>2</v>
      </c>
      <c r="J1361" t="s">
        <v>133</v>
      </c>
      <c r="K1361" t="s">
        <v>52</v>
      </c>
      <c r="L1361" t="s">
        <v>3510</v>
      </c>
      <c r="M1361" t="s">
        <v>134</v>
      </c>
      <c r="N1361" t="s">
        <v>135</v>
      </c>
      <c r="O1361"/>
      <c r="P1361"/>
      <c r="Q1361" t="s">
        <v>291</v>
      </c>
      <c r="R1361"/>
      <c r="S1361"/>
      <c r="T1361" t="s">
        <v>1912</v>
      </c>
      <c r="U1361" t="s">
        <v>137</v>
      </c>
      <c r="V1361" t="s">
        <v>739</v>
      </c>
      <c r="W1361"/>
      <c r="X1361" t="s">
        <v>118</v>
      </c>
      <c r="Y1361"/>
      <c r="Z1361"/>
      <c r="AA1361" t="s">
        <v>3507</v>
      </c>
      <c r="AB1361" t="s">
        <v>2</v>
      </c>
      <c r="AC1361" t="s">
        <v>138</v>
      </c>
      <c r="AD1361" t="s">
        <v>130</v>
      </c>
      <c r="AE1361" s="97"/>
    </row>
    <row r="1362" spans="1:31" ht="14.4" customHeight="1" x14ac:dyDescent="0.3">
      <c r="A1362" t="s">
        <v>3525</v>
      </c>
      <c r="B1362" t="s">
        <v>3526</v>
      </c>
      <c r="C1362"/>
      <c r="D1362"/>
      <c r="E1362"/>
      <c r="F1362"/>
      <c r="G1362" t="s">
        <v>3506</v>
      </c>
      <c r="H1362" t="s">
        <v>132</v>
      </c>
      <c r="I1362" t="s">
        <v>2</v>
      </c>
      <c r="J1362" t="s">
        <v>133</v>
      </c>
      <c r="K1362" t="s">
        <v>52</v>
      </c>
      <c r="L1362" t="s">
        <v>3510</v>
      </c>
      <c r="M1362" t="s">
        <v>134</v>
      </c>
      <c r="N1362" t="s">
        <v>135</v>
      </c>
      <c r="O1362"/>
      <c r="P1362"/>
      <c r="Q1362" t="s">
        <v>291</v>
      </c>
      <c r="R1362"/>
      <c r="S1362"/>
      <c r="T1362" t="s">
        <v>1888</v>
      </c>
      <c r="U1362" t="s">
        <v>137</v>
      </c>
      <c r="V1362" t="s">
        <v>703</v>
      </c>
      <c r="W1362"/>
      <c r="X1362" t="s">
        <v>62</v>
      </c>
      <c r="Y1362"/>
      <c r="Z1362"/>
      <c r="AA1362" t="s">
        <v>3507</v>
      </c>
      <c r="AB1362" t="s">
        <v>2</v>
      </c>
      <c r="AC1362" t="s">
        <v>138</v>
      </c>
      <c r="AD1362" t="s">
        <v>128</v>
      </c>
      <c r="AE1362" s="97"/>
    </row>
    <row r="1363" spans="1:31" ht="14.4" customHeight="1" x14ac:dyDescent="0.3">
      <c r="A1363" t="s">
        <v>3527</v>
      </c>
      <c r="B1363" t="s">
        <v>3528</v>
      </c>
      <c r="C1363"/>
      <c r="D1363"/>
      <c r="E1363"/>
      <c r="F1363"/>
      <c r="G1363" t="s">
        <v>3506</v>
      </c>
      <c r="H1363" t="s">
        <v>132</v>
      </c>
      <c r="I1363" t="s">
        <v>2</v>
      </c>
      <c r="J1363" t="s">
        <v>133</v>
      </c>
      <c r="K1363" t="s">
        <v>52</v>
      </c>
      <c r="L1363" t="s">
        <v>3510</v>
      </c>
      <c r="M1363" t="s">
        <v>134</v>
      </c>
      <c r="N1363" t="s">
        <v>135</v>
      </c>
      <c r="O1363"/>
      <c r="P1363"/>
      <c r="Q1363" t="s">
        <v>291</v>
      </c>
      <c r="R1363"/>
      <c r="S1363"/>
      <c r="T1363" t="s">
        <v>1896</v>
      </c>
      <c r="U1363" t="s">
        <v>137</v>
      </c>
      <c r="V1363" t="s">
        <v>715</v>
      </c>
      <c r="W1363"/>
      <c r="X1363" t="s">
        <v>82</v>
      </c>
      <c r="Y1363"/>
      <c r="Z1363"/>
      <c r="AA1363" t="s">
        <v>3507</v>
      </c>
      <c r="AB1363" t="s">
        <v>2</v>
      </c>
      <c r="AC1363" t="s">
        <v>138</v>
      </c>
      <c r="AD1363" t="s">
        <v>129</v>
      </c>
      <c r="AE1363" s="97"/>
    </row>
    <row r="1364" spans="1:31" ht="14.4" customHeight="1" x14ac:dyDescent="0.3">
      <c r="A1364" t="s">
        <v>3529</v>
      </c>
      <c r="B1364" t="s">
        <v>3530</v>
      </c>
      <c r="C1364"/>
      <c r="D1364"/>
      <c r="E1364"/>
      <c r="F1364"/>
      <c r="G1364" t="s">
        <v>3506</v>
      </c>
      <c r="H1364" t="s">
        <v>132</v>
      </c>
      <c r="I1364" t="s">
        <v>2</v>
      </c>
      <c r="J1364" t="s">
        <v>133</v>
      </c>
      <c r="K1364" t="s">
        <v>52</v>
      </c>
      <c r="L1364" t="s">
        <v>3510</v>
      </c>
      <c r="M1364" t="s">
        <v>134</v>
      </c>
      <c r="N1364" t="s">
        <v>135</v>
      </c>
      <c r="O1364"/>
      <c r="P1364"/>
      <c r="Q1364" t="s">
        <v>291</v>
      </c>
      <c r="R1364"/>
      <c r="S1364"/>
      <c r="T1364" t="s">
        <v>1900</v>
      </c>
      <c r="U1364" t="s">
        <v>137</v>
      </c>
      <c r="V1364" t="s">
        <v>721</v>
      </c>
      <c r="W1364"/>
      <c r="X1364" t="s">
        <v>91</v>
      </c>
      <c r="Y1364"/>
      <c r="Z1364"/>
      <c r="AA1364" t="s">
        <v>3507</v>
      </c>
      <c r="AB1364" t="s">
        <v>2</v>
      </c>
      <c r="AC1364" t="s">
        <v>138</v>
      </c>
      <c r="AD1364" t="s">
        <v>129</v>
      </c>
      <c r="AE1364" s="97"/>
    </row>
    <row r="1365" spans="1:31" ht="14.4" customHeight="1" x14ac:dyDescent="0.3">
      <c r="A1365" t="s">
        <v>3531</v>
      </c>
      <c r="B1365" t="s">
        <v>3532</v>
      </c>
      <c r="C1365"/>
      <c r="D1365"/>
      <c r="E1365"/>
      <c r="F1365"/>
      <c r="G1365" t="s">
        <v>3506</v>
      </c>
      <c r="H1365" t="s">
        <v>132</v>
      </c>
      <c r="I1365" t="s">
        <v>2</v>
      </c>
      <c r="J1365" t="s">
        <v>133</v>
      </c>
      <c r="K1365" t="s">
        <v>52</v>
      </c>
      <c r="L1365" t="s">
        <v>3510</v>
      </c>
      <c r="M1365" t="s">
        <v>134</v>
      </c>
      <c r="N1365" t="s">
        <v>135</v>
      </c>
      <c r="O1365"/>
      <c r="P1365"/>
      <c r="Q1365" t="s">
        <v>291</v>
      </c>
      <c r="R1365"/>
      <c r="S1365"/>
      <c r="T1365" t="s">
        <v>1904</v>
      </c>
      <c r="U1365" t="s">
        <v>137</v>
      </c>
      <c r="V1365" t="s">
        <v>727</v>
      </c>
      <c r="W1365"/>
      <c r="X1365" t="s">
        <v>100</v>
      </c>
      <c r="Y1365"/>
      <c r="Z1365"/>
      <c r="AA1365" t="s">
        <v>3507</v>
      </c>
      <c r="AB1365" t="s">
        <v>2</v>
      </c>
      <c r="AC1365" t="s">
        <v>138</v>
      </c>
      <c r="AD1365" t="s">
        <v>129</v>
      </c>
      <c r="AE1365" s="97"/>
    </row>
    <row r="1366" spans="1:31" ht="14.4" customHeight="1" x14ac:dyDescent="0.3">
      <c r="A1366" t="s">
        <v>3533</v>
      </c>
      <c r="B1366" t="s">
        <v>3534</v>
      </c>
      <c r="C1366"/>
      <c r="D1366"/>
      <c r="E1366"/>
      <c r="F1366"/>
      <c r="G1366" t="s">
        <v>3506</v>
      </c>
      <c r="H1366" t="s">
        <v>132</v>
      </c>
      <c r="I1366" t="s">
        <v>2</v>
      </c>
      <c r="J1366" t="s">
        <v>133</v>
      </c>
      <c r="K1366" t="s">
        <v>52</v>
      </c>
      <c r="L1366" t="s">
        <v>3510</v>
      </c>
      <c r="M1366" t="s">
        <v>134</v>
      </c>
      <c r="N1366" t="s">
        <v>135</v>
      </c>
      <c r="O1366"/>
      <c r="P1366"/>
      <c r="Q1366" t="s">
        <v>291</v>
      </c>
      <c r="R1366"/>
      <c r="S1366"/>
      <c r="T1366" t="s">
        <v>1888</v>
      </c>
      <c r="U1366" t="s">
        <v>137</v>
      </c>
      <c r="V1366" t="s">
        <v>703</v>
      </c>
      <c r="W1366"/>
      <c r="X1366" t="s">
        <v>62</v>
      </c>
      <c r="Y1366"/>
      <c r="Z1366"/>
      <c r="AA1366" t="s">
        <v>3507</v>
      </c>
      <c r="AB1366" t="s">
        <v>2</v>
      </c>
      <c r="AC1366" t="s">
        <v>138</v>
      </c>
      <c r="AD1366" t="s">
        <v>128</v>
      </c>
      <c r="AE1366" s="97"/>
    </row>
    <row r="1367" spans="1:31" ht="14.4" customHeight="1" x14ac:dyDescent="0.3">
      <c r="A1367" t="s">
        <v>3535</v>
      </c>
      <c r="B1367" t="s">
        <v>3536</v>
      </c>
      <c r="C1367"/>
      <c r="D1367"/>
      <c r="E1367"/>
      <c r="F1367"/>
      <c r="G1367" t="s">
        <v>3506</v>
      </c>
      <c r="H1367" t="s">
        <v>132</v>
      </c>
      <c r="I1367" t="s">
        <v>2</v>
      </c>
      <c r="J1367" t="s">
        <v>133</v>
      </c>
      <c r="K1367" t="s">
        <v>52</v>
      </c>
      <c r="L1367" t="s">
        <v>3510</v>
      </c>
      <c r="M1367" t="s">
        <v>134</v>
      </c>
      <c r="N1367" t="s">
        <v>135</v>
      </c>
      <c r="O1367"/>
      <c r="P1367"/>
      <c r="Q1367" t="s">
        <v>291</v>
      </c>
      <c r="R1367"/>
      <c r="S1367"/>
      <c r="T1367" t="s">
        <v>1908</v>
      </c>
      <c r="U1367" t="s">
        <v>137</v>
      </c>
      <c r="V1367" t="s">
        <v>733</v>
      </c>
      <c r="W1367"/>
      <c r="X1367" t="s">
        <v>109</v>
      </c>
      <c r="Y1367"/>
      <c r="Z1367"/>
      <c r="AA1367" t="s">
        <v>3507</v>
      </c>
      <c r="AB1367" t="s">
        <v>2</v>
      </c>
      <c r="AC1367" t="s">
        <v>138</v>
      </c>
      <c r="AD1367" t="s">
        <v>129</v>
      </c>
      <c r="AE1367" s="97"/>
    </row>
    <row r="1368" spans="1:31" ht="14.4" customHeight="1" x14ac:dyDescent="0.3">
      <c r="A1368" t="s">
        <v>3537</v>
      </c>
      <c r="B1368" t="s">
        <v>3538</v>
      </c>
      <c r="C1368"/>
      <c r="D1368"/>
      <c r="E1368"/>
      <c r="F1368"/>
      <c r="G1368" t="s">
        <v>3506</v>
      </c>
      <c r="H1368" t="s">
        <v>132</v>
      </c>
      <c r="I1368" t="s">
        <v>2</v>
      </c>
      <c r="J1368" t="s">
        <v>133</v>
      </c>
      <c r="K1368" t="s">
        <v>52</v>
      </c>
      <c r="L1368" t="s">
        <v>3510</v>
      </c>
      <c r="M1368" t="s">
        <v>134</v>
      </c>
      <c r="N1368" t="s">
        <v>135</v>
      </c>
      <c r="O1368"/>
      <c r="P1368"/>
      <c r="Q1368" t="s">
        <v>291</v>
      </c>
      <c r="R1368"/>
      <c r="S1368"/>
      <c r="T1368" t="s">
        <v>1896</v>
      </c>
      <c r="U1368" t="s">
        <v>137</v>
      </c>
      <c r="V1368" t="s">
        <v>715</v>
      </c>
      <c r="W1368"/>
      <c r="X1368" t="s">
        <v>82</v>
      </c>
      <c r="Y1368"/>
      <c r="Z1368"/>
      <c r="AA1368" t="s">
        <v>3507</v>
      </c>
      <c r="AB1368" t="s">
        <v>2</v>
      </c>
      <c r="AC1368" t="s">
        <v>138</v>
      </c>
      <c r="AD1368" t="s">
        <v>129</v>
      </c>
      <c r="AE1368" s="97"/>
    </row>
    <row r="1369" spans="1:31" ht="14.4" customHeight="1" x14ac:dyDescent="0.3">
      <c r="A1369" t="s">
        <v>3539</v>
      </c>
      <c r="B1369" t="s">
        <v>3540</v>
      </c>
      <c r="C1369"/>
      <c r="D1369"/>
      <c r="E1369"/>
      <c r="F1369"/>
      <c r="G1369" t="s">
        <v>3506</v>
      </c>
      <c r="H1369" t="s">
        <v>132</v>
      </c>
      <c r="I1369" t="s">
        <v>2</v>
      </c>
      <c r="J1369" t="s">
        <v>133</v>
      </c>
      <c r="K1369" t="s">
        <v>52</v>
      </c>
      <c r="L1369" t="s">
        <v>3510</v>
      </c>
      <c r="M1369" t="s">
        <v>134</v>
      </c>
      <c r="N1369" t="s">
        <v>135</v>
      </c>
      <c r="O1369"/>
      <c r="P1369"/>
      <c r="Q1369" t="s">
        <v>291</v>
      </c>
      <c r="R1369"/>
      <c r="S1369"/>
      <c r="T1369" t="s">
        <v>1912</v>
      </c>
      <c r="U1369" t="s">
        <v>137</v>
      </c>
      <c r="V1369" t="s">
        <v>739</v>
      </c>
      <c r="W1369"/>
      <c r="X1369" t="s">
        <v>118</v>
      </c>
      <c r="Y1369"/>
      <c r="Z1369"/>
      <c r="AA1369" t="s">
        <v>3507</v>
      </c>
      <c r="AB1369" t="s">
        <v>2</v>
      </c>
      <c r="AC1369" t="s">
        <v>138</v>
      </c>
      <c r="AD1369" t="s">
        <v>130</v>
      </c>
      <c r="AE1369" s="97"/>
    </row>
    <row r="1370" spans="1:31" ht="14.4" customHeight="1" x14ac:dyDescent="0.3">
      <c r="A1370" t="s">
        <v>3541</v>
      </c>
      <c r="B1370" t="s">
        <v>3542</v>
      </c>
      <c r="C1370"/>
      <c r="D1370"/>
      <c r="E1370"/>
      <c r="F1370"/>
      <c r="G1370" t="s">
        <v>3506</v>
      </c>
      <c r="H1370" t="s">
        <v>132</v>
      </c>
      <c r="I1370" t="s">
        <v>2</v>
      </c>
      <c r="J1370" t="s">
        <v>133</v>
      </c>
      <c r="K1370" t="s">
        <v>52</v>
      </c>
      <c r="L1370" t="s">
        <v>3510</v>
      </c>
      <c r="M1370" t="s">
        <v>134</v>
      </c>
      <c r="N1370" t="s">
        <v>135</v>
      </c>
      <c r="O1370"/>
      <c r="P1370"/>
      <c r="Q1370" t="s">
        <v>291</v>
      </c>
      <c r="R1370"/>
      <c r="S1370"/>
      <c r="T1370" t="s">
        <v>1900</v>
      </c>
      <c r="U1370" t="s">
        <v>137</v>
      </c>
      <c r="V1370" t="s">
        <v>721</v>
      </c>
      <c r="W1370"/>
      <c r="X1370" t="s">
        <v>91</v>
      </c>
      <c r="Y1370"/>
      <c r="Z1370"/>
      <c r="AA1370" t="s">
        <v>3507</v>
      </c>
      <c r="AB1370" t="s">
        <v>2</v>
      </c>
      <c r="AC1370" t="s">
        <v>138</v>
      </c>
      <c r="AD1370" t="s">
        <v>129</v>
      </c>
      <c r="AE1370" s="97"/>
    </row>
    <row r="1371" spans="1:31" ht="14.4" customHeight="1" x14ac:dyDescent="0.3">
      <c r="A1371" t="s">
        <v>3543</v>
      </c>
      <c r="B1371" t="s">
        <v>3544</v>
      </c>
      <c r="C1371"/>
      <c r="D1371"/>
      <c r="E1371"/>
      <c r="F1371"/>
      <c r="G1371" t="s">
        <v>3506</v>
      </c>
      <c r="H1371" t="s">
        <v>132</v>
      </c>
      <c r="I1371" t="s">
        <v>2</v>
      </c>
      <c r="J1371" t="s">
        <v>133</v>
      </c>
      <c r="K1371" t="s">
        <v>52</v>
      </c>
      <c r="L1371" t="s">
        <v>3510</v>
      </c>
      <c r="M1371" t="s">
        <v>134</v>
      </c>
      <c r="N1371" t="s">
        <v>135</v>
      </c>
      <c r="O1371"/>
      <c r="P1371"/>
      <c r="Q1371" t="s">
        <v>291</v>
      </c>
      <c r="R1371"/>
      <c r="S1371"/>
      <c r="T1371" t="s">
        <v>1904</v>
      </c>
      <c r="U1371" t="s">
        <v>137</v>
      </c>
      <c r="V1371" t="s">
        <v>727</v>
      </c>
      <c r="W1371"/>
      <c r="X1371" t="s">
        <v>100</v>
      </c>
      <c r="Y1371"/>
      <c r="Z1371"/>
      <c r="AA1371" t="s">
        <v>3507</v>
      </c>
      <c r="AB1371" t="s">
        <v>2</v>
      </c>
      <c r="AC1371" t="s">
        <v>138</v>
      </c>
      <c r="AD1371" t="s">
        <v>129</v>
      </c>
      <c r="AE1371" s="97"/>
    </row>
    <row r="1372" spans="1:31" ht="14.4" customHeight="1" x14ac:dyDescent="0.3">
      <c r="A1372" t="s">
        <v>3545</v>
      </c>
      <c r="B1372" t="s">
        <v>3546</v>
      </c>
      <c r="C1372"/>
      <c r="D1372"/>
      <c r="E1372"/>
      <c r="F1372"/>
      <c r="G1372" t="s">
        <v>3506</v>
      </c>
      <c r="H1372" t="s">
        <v>132</v>
      </c>
      <c r="I1372" t="s">
        <v>2</v>
      </c>
      <c r="J1372" t="s">
        <v>133</v>
      </c>
      <c r="K1372" t="s">
        <v>52</v>
      </c>
      <c r="L1372" t="s">
        <v>3510</v>
      </c>
      <c r="M1372" t="s">
        <v>134</v>
      </c>
      <c r="N1372" t="s">
        <v>135</v>
      </c>
      <c r="O1372"/>
      <c r="P1372"/>
      <c r="Q1372" t="s">
        <v>291</v>
      </c>
      <c r="R1372"/>
      <c r="S1372"/>
      <c r="T1372" t="s">
        <v>1900</v>
      </c>
      <c r="U1372" t="s">
        <v>137</v>
      </c>
      <c r="V1372" t="s">
        <v>721</v>
      </c>
      <c r="W1372"/>
      <c r="X1372" t="s">
        <v>91</v>
      </c>
      <c r="Y1372"/>
      <c r="Z1372"/>
      <c r="AA1372" t="s">
        <v>3507</v>
      </c>
      <c r="AB1372" t="s">
        <v>2</v>
      </c>
      <c r="AC1372" t="s">
        <v>138</v>
      </c>
      <c r="AD1372" t="s">
        <v>129</v>
      </c>
      <c r="AE1372" s="97"/>
    </row>
    <row r="1373" spans="1:31" ht="14.4" customHeight="1" x14ac:dyDescent="0.3">
      <c r="A1373" t="s">
        <v>3547</v>
      </c>
      <c r="B1373" t="s">
        <v>3548</v>
      </c>
      <c r="C1373"/>
      <c r="D1373"/>
      <c r="E1373"/>
      <c r="F1373"/>
      <c r="G1373" t="s">
        <v>3506</v>
      </c>
      <c r="H1373" t="s">
        <v>132</v>
      </c>
      <c r="I1373" t="s">
        <v>2</v>
      </c>
      <c r="J1373" t="s">
        <v>133</v>
      </c>
      <c r="K1373" t="s">
        <v>52</v>
      </c>
      <c r="L1373" t="s">
        <v>3510</v>
      </c>
      <c r="M1373" t="s">
        <v>134</v>
      </c>
      <c r="N1373" t="s">
        <v>135</v>
      </c>
      <c r="O1373"/>
      <c r="P1373"/>
      <c r="Q1373" t="s">
        <v>291</v>
      </c>
      <c r="R1373"/>
      <c r="S1373"/>
      <c r="T1373" t="s">
        <v>1888</v>
      </c>
      <c r="U1373" t="s">
        <v>137</v>
      </c>
      <c r="V1373" t="s">
        <v>703</v>
      </c>
      <c r="W1373"/>
      <c r="X1373" t="s">
        <v>62</v>
      </c>
      <c r="Y1373"/>
      <c r="Z1373"/>
      <c r="AA1373" t="s">
        <v>3507</v>
      </c>
      <c r="AB1373" t="s">
        <v>2</v>
      </c>
      <c r="AC1373" t="s">
        <v>138</v>
      </c>
      <c r="AD1373" t="s">
        <v>128</v>
      </c>
      <c r="AE1373" s="97"/>
    </row>
    <row r="1374" spans="1:31" ht="14.4" customHeight="1" x14ac:dyDescent="0.3">
      <c r="A1374" t="s">
        <v>3549</v>
      </c>
      <c r="B1374" t="s">
        <v>3550</v>
      </c>
      <c r="C1374"/>
      <c r="D1374"/>
      <c r="E1374"/>
      <c r="F1374"/>
      <c r="G1374" t="s">
        <v>3506</v>
      </c>
      <c r="H1374" t="s">
        <v>132</v>
      </c>
      <c r="I1374" t="s">
        <v>2</v>
      </c>
      <c r="J1374" t="s">
        <v>133</v>
      </c>
      <c r="K1374" t="s">
        <v>52</v>
      </c>
      <c r="L1374" t="s">
        <v>3510</v>
      </c>
      <c r="M1374" t="s">
        <v>134</v>
      </c>
      <c r="N1374" t="s">
        <v>135</v>
      </c>
      <c r="O1374"/>
      <c r="P1374"/>
      <c r="Q1374" t="s">
        <v>291</v>
      </c>
      <c r="R1374"/>
      <c r="S1374"/>
      <c r="T1374" t="s">
        <v>1896</v>
      </c>
      <c r="U1374" t="s">
        <v>137</v>
      </c>
      <c r="V1374" t="s">
        <v>715</v>
      </c>
      <c r="W1374"/>
      <c r="X1374" t="s">
        <v>82</v>
      </c>
      <c r="Y1374"/>
      <c r="Z1374"/>
      <c r="AA1374" t="s">
        <v>3507</v>
      </c>
      <c r="AB1374" t="s">
        <v>2</v>
      </c>
      <c r="AC1374" t="s">
        <v>138</v>
      </c>
      <c r="AD1374" t="s">
        <v>129</v>
      </c>
      <c r="AE1374" s="97"/>
    </row>
    <row r="1375" spans="1:31" ht="14.4" customHeight="1" x14ac:dyDescent="0.3">
      <c r="A1375" t="s">
        <v>3551</v>
      </c>
      <c r="B1375" t="s">
        <v>3552</v>
      </c>
      <c r="C1375"/>
      <c r="D1375"/>
      <c r="E1375"/>
      <c r="F1375"/>
      <c r="G1375" t="s">
        <v>3506</v>
      </c>
      <c r="H1375" t="s">
        <v>132</v>
      </c>
      <c r="I1375" t="s">
        <v>2</v>
      </c>
      <c r="J1375" t="s">
        <v>133</v>
      </c>
      <c r="K1375" t="s">
        <v>52</v>
      </c>
      <c r="L1375" t="s">
        <v>3510</v>
      </c>
      <c r="M1375" t="s">
        <v>134</v>
      </c>
      <c r="N1375" t="s">
        <v>135</v>
      </c>
      <c r="O1375"/>
      <c r="P1375"/>
      <c r="Q1375" t="s">
        <v>291</v>
      </c>
      <c r="R1375"/>
      <c r="S1375"/>
      <c r="T1375" t="s">
        <v>1904</v>
      </c>
      <c r="U1375" t="s">
        <v>137</v>
      </c>
      <c r="V1375" t="s">
        <v>727</v>
      </c>
      <c r="W1375"/>
      <c r="X1375" t="s">
        <v>100</v>
      </c>
      <c r="Y1375"/>
      <c r="Z1375"/>
      <c r="AA1375" t="s">
        <v>3507</v>
      </c>
      <c r="AB1375" t="s">
        <v>2</v>
      </c>
      <c r="AC1375" t="s">
        <v>138</v>
      </c>
      <c r="AD1375" t="s">
        <v>129</v>
      </c>
      <c r="AE1375" s="97"/>
    </row>
    <row r="1376" spans="1:31" ht="14.4" customHeight="1" x14ac:dyDescent="0.3">
      <c r="A1376" t="s">
        <v>3553</v>
      </c>
      <c r="B1376" t="s">
        <v>3554</v>
      </c>
      <c r="C1376"/>
      <c r="D1376"/>
      <c r="E1376"/>
      <c r="F1376"/>
      <c r="G1376" t="s">
        <v>3506</v>
      </c>
      <c r="H1376" t="s">
        <v>132</v>
      </c>
      <c r="I1376" t="s">
        <v>2</v>
      </c>
      <c r="J1376" t="s">
        <v>133</v>
      </c>
      <c r="K1376" t="s">
        <v>52</v>
      </c>
      <c r="L1376" t="s">
        <v>3510</v>
      </c>
      <c r="M1376" t="s">
        <v>134</v>
      </c>
      <c r="N1376" t="s">
        <v>135</v>
      </c>
      <c r="O1376"/>
      <c r="P1376"/>
      <c r="Q1376" t="s">
        <v>291</v>
      </c>
      <c r="R1376"/>
      <c r="S1376"/>
      <c r="T1376" t="s">
        <v>1908</v>
      </c>
      <c r="U1376" t="s">
        <v>137</v>
      </c>
      <c r="V1376" t="s">
        <v>733</v>
      </c>
      <c r="W1376"/>
      <c r="X1376" t="s">
        <v>109</v>
      </c>
      <c r="Y1376"/>
      <c r="Z1376"/>
      <c r="AA1376" t="s">
        <v>3507</v>
      </c>
      <c r="AB1376" t="s">
        <v>2</v>
      </c>
      <c r="AC1376" t="s">
        <v>138</v>
      </c>
      <c r="AD1376" t="s">
        <v>129</v>
      </c>
      <c r="AE1376" s="97"/>
    </row>
    <row r="1377" spans="1:31" ht="14.4" customHeight="1" x14ac:dyDescent="0.3">
      <c r="A1377" t="s">
        <v>3555</v>
      </c>
      <c r="B1377" t="s">
        <v>3556</v>
      </c>
      <c r="C1377"/>
      <c r="D1377"/>
      <c r="E1377"/>
      <c r="F1377"/>
      <c r="G1377" t="s">
        <v>3506</v>
      </c>
      <c r="H1377" t="s">
        <v>132</v>
      </c>
      <c r="I1377" t="s">
        <v>2</v>
      </c>
      <c r="J1377" t="s">
        <v>133</v>
      </c>
      <c r="K1377" t="s">
        <v>52</v>
      </c>
      <c r="L1377" t="s">
        <v>3510</v>
      </c>
      <c r="M1377" t="s">
        <v>134</v>
      </c>
      <c r="N1377" t="s">
        <v>135</v>
      </c>
      <c r="O1377"/>
      <c r="P1377"/>
      <c r="Q1377" t="s">
        <v>291</v>
      </c>
      <c r="R1377"/>
      <c r="S1377"/>
      <c r="T1377" t="s">
        <v>1912</v>
      </c>
      <c r="U1377" t="s">
        <v>137</v>
      </c>
      <c r="V1377" t="s">
        <v>739</v>
      </c>
      <c r="W1377"/>
      <c r="X1377" t="s">
        <v>118</v>
      </c>
      <c r="Y1377"/>
      <c r="Z1377"/>
      <c r="AA1377" t="s">
        <v>3507</v>
      </c>
      <c r="AB1377" t="s">
        <v>2</v>
      </c>
      <c r="AC1377" t="s">
        <v>138</v>
      </c>
      <c r="AD1377" t="s">
        <v>130</v>
      </c>
      <c r="AE1377" s="97"/>
    </row>
    <row r="1378" spans="1:31" ht="14.4" customHeight="1" x14ac:dyDescent="0.3">
      <c r="A1378" t="s">
        <v>3557</v>
      </c>
      <c r="B1378" t="s">
        <v>3558</v>
      </c>
      <c r="C1378"/>
      <c r="D1378"/>
      <c r="E1378"/>
      <c r="F1378"/>
      <c r="G1378" t="s">
        <v>3506</v>
      </c>
      <c r="H1378" t="s">
        <v>132</v>
      </c>
      <c r="I1378" t="s">
        <v>2</v>
      </c>
      <c r="J1378" t="s">
        <v>133</v>
      </c>
      <c r="K1378" t="s">
        <v>52</v>
      </c>
      <c r="L1378" t="s">
        <v>3510</v>
      </c>
      <c r="M1378" t="s">
        <v>134</v>
      </c>
      <c r="N1378" t="s">
        <v>135</v>
      </c>
      <c r="O1378"/>
      <c r="P1378"/>
      <c r="Q1378" t="s">
        <v>291</v>
      </c>
      <c r="R1378"/>
      <c r="S1378"/>
      <c r="T1378" t="s">
        <v>1892</v>
      </c>
      <c r="U1378" t="s">
        <v>137</v>
      </c>
      <c r="V1378" t="s">
        <v>709</v>
      </c>
      <c r="W1378"/>
      <c r="X1378" t="s">
        <v>73</v>
      </c>
      <c r="Y1378"/>
      <c r="Z1378"/>
      <c r="AA1378" t="s">
        <v>3507</v>
      </c>
      <c r="AB1378" t="s">
        <v>2</v>
      </c>
      <c r="AC1378" t="s">
        <v>138</v>
      </c>
      <c r="AD1378" t="s">
        <v>128</v>
      </c>
      <c r="AE1378" s="97"/>
    </row>
    <row r="1379" spans="1:31" ht="14.4" customHeight="1" x14ac:dyDescent="0.3">
      <c r="A1379" t="s">
        <v>3559</v>
      </c>
      <c r="B1379" t="s">
        <v>3560</v>
      </c>
      <c r="C1379"/>
      <c r="D1379"/>
      <c r="E1379"/>
      <c r="F1379"/>
      <c r="G1379" t="s">
        <v>3506</v>
      </c>
      <c r="H1379" t="s">
        <v>132</v>
      </c>
      <c r="I1379" t="s">
        <v>2</v>
      </c>
      <c r="J1379" t="s">
        <v>133</v>
      </c>
      <c r="K1379" t="s">
        <v>52</v>
      </c>
      <c r="L1379" t="s">
        <v>3510</v>
      </c>
      <c r="M1379" t="s">
        <v>134</v>
      </c>
      <c r="N1379" t="s">
        <v>135</v>
      </c>
      <c r="O1379"/>
      <c r="P1379"/>
      <c r="Q1379" t="s">
        <v>291</v>
      </c>
      <c r="R1379"/>
      <c r="S1379"/>
      <c r="T1379" t="s">
        <v>1892</v>
      </c>
      <c r="U1379" t="s">
        <v>137</v>
      </c>
      <c r="V1379" t="s">
        <v>709</v>
      </c>
      <c r="W1379"/>
      <c r="X1379" t="s">
        <v>73</v>
      </c>
      <c r="Y1379"/>
      <c r="Z1379"/>
      <c r="AA1379" t="s">
        <v>3507</v>
      </c>
      <c r="AB1379" t="s">
        <v>2</v>
      </c>
      <c r="AC1379" t="s">
        <v>138</v>
      </c>
      <c r="AD1379" t="s">
        <v>128</v>
      </c>
      <c r="AE1379" s="97"/>
    </row>
    <row r="1380" spans="1:31" ht="14.4" customHeight="1" x14ac:dyDescent="0.3">
      <c r="A1380" t="s">
        <v>3561</v>
      </c>
      <c r="B1380" t="s">
        <v>3562</v>
      </c>
      <c r="C1380"/>
      <c r="D1380"/>
      <c r="E1380"/>
      <c r="F1380"/>
      <c r="G1380" t="s">
        <v>3506</v>
      </c>
      <c r="H1380" t="s">
        <v>132</v>
      </c>
      <c r="I1380" t="s">
        <v>2</v>
      </c>
      <c r="J1380" t="s">
        <v>133</v>
      </c>
      <c r="K1380" t="s">
        <v>52</v>
      </c>
      <c r="L1380" t="s">
        <v>3510</v>
      </c>
      <c r="M1380" t="s">
        <v>134</v>
      </c>
      <c r="N1380" t="s">
        <v>135</v>
      </c>
      <c r="O1380"/>
      <c r="P1380"/>
      <c r="Q1380" t="s">
        <v>291</v>
      </c>
      <c r="R1380"/>
      <c r="S1380"/>
      <c r="T1380" t="s">
        <v>1892</v>
      </c>
      <c r="U1380" t="s">
        <v>137</v>
      </c>
      <c r="V1380" t="s">
        <v>709</v>
      </c>
      <c r="W1380"/>
      <c r="X1380" t="s">
        <v>73</v>
      </c>
      <c r="Y1380"/>
      <c r="Z1380"/>
      <c r="AA1380" t="s">
        <v>3507</v>
      </c>
      <c r="AB1380" t="s">
        <v>2</v>
      </c>
      <c r="AC1380" t="s">
        <v>138</v>
      </c>
      <c r="AD1380" t="s">
        <v>128</v>
      </c>
      <c r="AE1380" s="97"/>
    </row>
    <row r="1381" spans="1:31" ht="14.4" customHeight="1" x14ac:dyDescent="0.3">
      <c r="A1381" t="s">
        <v>3563</v>
      </c>
      <c r="B1381" t="s">
        <v>3564</v>
      </c>
      <c r="C1381"/>
      <c r="D1381"/>
      <c r="E1381"/>
      <c r="F1381"/>
      <c r="G1381" t="s">
        <v>3506</v>
      </c>
      <c r="H1381" t="s">
        <v>132</v>
      </c>
      <c r="I1381" t="s">
        <v>2</v>
      </c>
      <c r="J1381" t="s">
        <v>133</v>
      </c>
      <c r="K1381" t="s">
        <v>52</v>
      </c>
      <c r="L1381" t="s">
        <v>3510</v>
      </c>
      <c r="M1381" t="s">
        <v>134</v>
      </c>
      <c r="N1381" t="s">
        <v>135</v>
      </c>
      <c r="O1381"/>
      <c r="P1381"/>
      <c r="Q1381" t="s">
        <v>291</v>
      </c>
      <c r="R1381"/>
      <c r="S1381"/>
      <c r="T1381" t="s">
        <v>1892</v>
      </c>
      <c r="U1381" t="s">
        <v>137</v>
      </c>
      <c r="V1381" t="s">
        <v>709</v>
      </c>
      <c r="W1381"/>
      <c r="X1381" t="s">
        <v>73</v>
      </c>
      <c r="Y1381"/>
      <c r="Z1381"/>
      <c r="AA1381" t="s">
        <v>3507</v>
      </c>
      <c r="AB1381" t="s">
        <v>2</v>
      </c>
      <c r="AC1381" t="s">
        <v>138</v>
      </c>
      <c r="AD1381" t="s">
        <v>128</v>
      </c>
      <c r="AE1381" s="97"/>
    </row>
    <row r="1382" spans="1:31" ht="14.4" customHeight="1" x14ac:dyDescent="0.3">
      <c r="A1382" t="s">
        <v>3568</v>
      </c>
      <c r="B1382" t="s">
        <v>3569</v>
      </c>
      <c r="C1382"/>
      <c r="D1382"/>
      <c r="E1382"/>
      <c r="F1382"/>
      <c r="G1382" t="s">
        <v>3565</v>
      </c>
      <c r="H1382" t="s">
        <v>132</v>
      </c>
      <c r="I1382" t="s">
        <v>2</v>
      </c>
      <c r="J1382" t="s">
        <v>133</v>
      </c>
      <c r="K1382" t="s">
        <v>52</v>
      </c>
      <c r="L1382" t="s">
        <v>3566</v>
      </c>
      <c r="M1382" t="s">
        <v>134</v>
      </c>
      <c r="N1382" t="s">
        <v>135</v>
      </c>
      <c r="O1382"/>
      <c r="P1382"/>
      <c r="Q1382" t="s">
        <v>291</v>
      </c>
      <c r="R1382"/>
      <c r="S1382"/>
      <c r="T1382" t="s">
        <v>2056</v>
      </c>
      <c r="U1382" t="s">
        <v>137</v>
      </c>
      <c r="V1382" t="s">
        <v>1259</v>
      </c>
      <c r="W1382"/>
      <c r="X1382" t="s">
        <v>126</v>
      </c>
      <c r="Y1382"/>
      <c r="Z1382"/>
      <c r="AA1382" t="s">
        <v>3567</v>
      </c>
      <c r="AB1382" t="s">
        <v>2</v>
      </c>
      <c r="AC1382" t="s">
        <v>138</v>
      </c>
      <c r="AD1382" t="s">
        <v>131</v>
      </c>
      <c r="AE1382" s="97"/>
    </row>
    <row r="1383" spans="1:31" ht="14.4" customHeight="1" x14ac:dyDescent="0.3">
      <c r="A1383" t="s">
        <v>3570</v>
      </c>
      <c r="B1383" t="s">
        <v>3571</v>
      </c>
      <c r="C1383"/>
      <c r="D1383"/>
      <c r="E1383"/>
      <c r="F1383"/>
      <c r="G1383" t="s">
        <v>3565</v>
      </c>
      <c r="H1383" t="s">
        <v>132</v>
      </c>
      <c r="I1383" t="s">
        <v>2</v>
      </c>
      <c r="J1383" t="s">
        <v>133</v>
      </c>
      <c r="K1383" t="s">
        <v>52</v>
      </c>
      <c r="L1383" t="s">
        <v>3566</v>
      </c>
      <c r="M1383" t="s">
        <v>134</v>
      </c>
      <c r="N1383" t="s">
        <v>135</v>
      </c>
      <c r="O1383"/>
      <c r="P1383"/>
      <c r="Q1383" t="s">
        <v>291</v>
      </c>
      <c r="R1383"/>
      <c r="S1383"/>
      <c r="T1383" t="s">
        <v>2056</v>
      </c>
      <c r="U1383" t="s">
        <v>137</v>
      </c>
      <c r="V1383" t="s">
        <v>1263</v>
      </c>
      <c r="W1383"/>
      <c r="X1383" t="s">
        <v>69</v>
      </c>
      <c r="Y1383"/>
      <c r="Z1383"/>
      <c r="AA1383" t="s">
        <v>3567</v>
      </c>
      <c r="AB1383" t="s">
        <v>2</v>
      </c>
      <c r="AC1383" t="s">
        <v>138</v>
      </c>
      <c r="AD1383" t="s">
        <v>128</v>
      </c>
      <c r="AE1383" s="97"/>
    </row>
    <row r="1384" spans="1:31" ht="14.4" customHeight="1" x14ac:dyDescent="0.3">
      <c r="A1384" t="s">
        <v>3572</v>
      </c>
      <c r="B1384" t="s">
        <v>3573</v>
      </c>
      <c r="C1384"/>
      <c r="D1384"/>
      <c r="E1384"/>
      <c r="F1384"/>
      <c r="G1384" t="s">
        <v>3565</v>
      </c>
      <c r="H1384" t="s">
        <v>132</v>
      </c>
      <c r="I1384" t="s">
        <v>2</v>
      </c>
      <c r="J1384" t="s">
        <v>133</v>
      </c>
      <c r="K1384" t="s">
        <v>52</v>
      </c>
      <c r="L1384" t="s">
        <v>3566</v>
      </c>
      <c r="M1384" t="s">
        <v>134</v>
      </c>
      <c r="N1384" t="s">
        <v>135</v>
      </c>
      <c r="O1384"/>
      <c r="P1384"/>
      <c r="Q1384" t="s">
        <v>291</v>
      </c>
      <c r="R1384"/>
      <c r="S1384"/>
      <c r="T1384" t="s">
        <v>2047</v>
      </c>
      <c r="U1384" t="s">
        <v>137</v>
      </c>
      <c r="V1384" t="s">
        <v>1259</v>
      </c>
      <c r="W1384"/>
      <c r="X1384" t="s">
        <v>126</v>
      </c>
      <c r="Y1384"/>
      <c r="Z1384"/>
      <c r="AA1384" t="s">
        <v>3567</v>
      </c>
      <c r="AB1384" t="s">
        <v>2</v>
      </c>
      <c r="AC1384" t="s">
        <v>138</v>
      </c>
      <c r="AD1384" t="s">
        <v>131</v>
      </c>
      <c r="AE1384" s="97"/>
    </row>
    <row r="1385" spans="1:31" ht="14.4" customHeight="1" x14ac:dyDescent="0.3">
      <c r="A1385" t="s">
        <v>3574</v>
      </c>
      <c r="B1385" t="s">
        <v>3575</v>
      </c>
      <c r="C1385"/>
      <c r="D1385"/>
      <c r="E1385"/>
      <c r="F1385"/>
      <c r="G1385" t="s">
        <v>3565</v>
      </c>
      <c r="H1385" t="s">
        <v>132</v>
      </c>
      <c r="I1385" t="s">
        <v>2</v>
      </c>
      <c r="J1385" t="s">
        <v>133</v>
      </c>
      <c r="K1385" t="s">
        <v>52</v>
      </c>
      <c r="L1385" t="s">
        <v>3566</v>
      </c>
      <c r="M1385" t="s">
        <v>134</v>
      </c>
      <c r="N1385" t="s">
        <v>135</v>
      </c>
      <c r="O1385"/>
      <c r="P1385"/>
      <c r="Q1385" t="s">
        <v>291</v>
      </c>
      <c r="R1385"/>
      <c r="S1385"/>
      <c r="T1385" t="s">
        <v>2047</v>
      </c>
      <c r="U1385" t="s">
        <v>137</v>
      </c>
      <c r="V1385" t="s">
        <v>1263</v>
      </c>
      <c r="W1385"/>
      <c r="X1385" t="s">
        <v>69</v>
      </c>
      <c r="Y1385"/>
      <c r="Z1385"/>
      <c r="AA1385" t="s">
        <v>3567</v>
      </c>
      <c r="AB1385" t="s">
        <v>2</v>
      </c>
      <c r="AC1385" t="s">
        <v>138</v>
      </c>
      <c r="AD1385" t="s">
        <v>128</v>
      </c>
      <c r="AE1385" s="97"/>
    </row>
    <row r="1386" spans="1:31" ht="14.4" customHeight="1" x14ac:dyDescent="0.3">
      <c r="A1386" t="s">
        <v>3576</v>
      </c>
      <c r="B1386" t="s">
        <v>3577</v>
      </c>
      <c r="C1386"/>
      <c r="D1386"/>
      <c r="E1386"/>
      <c r="F1386"/>
      <c r="G1386" t="s">
        <v>3565</v>
      </c>
      <c r="H1386" t="s">
        <v>132</v>
      </c>
      <c r="I1386" t="s">
        <v>2</v>
      </c>
      <c r="J1386" t="s">
        <v>133</v>
      </c>
      <c r="K1386" t="s">
        <v>52</v>
      </c>
      <c r="L1386" t="s">
        <v>3566</v>
      </c>
      <c r="M1386" t="s">
        <v>134</v>
      </c>
      <c r="N1386" t="s">
        <v>135</v>
      </c>
      <c r="O1386"/>
      <c r="P1386"/>
      <c r="Q1386" t="s">
        <v>291</v>
      </c>
      <c r="R1386"/>
      <c r="S1386"/>
      <c r="T1386" t="s">
        <v>2047</v>
      </c>
      <c r="U1386" t="s">
        <v>137</v>
      </c>
      <c r="V1386" t="s">
        <v>1259</v>
      </c>
      <c r="W1386"/>
      <c r="X1386" t="s">
        <v>126</v>
      </c>
      <c r="Y1386"/>
      <c r="Z1386"/>
      <c r="AA1386" t="s">
        <v>3567</v>
      </c>
      <c r="AB1386" t="s">
        <v>2</v>
      </c>
      <c r="AC1386" t="s">
        <v>138</v>
      </c>
      <c r="AD1386" t="s">
        <v>131</v>
      </c>
      <c r="AE1386" s="97"/>
    </row>
    <row r="1387" spans="1:31" ht="14.4" customHeight="1" x14ac:dyDescent="0.3">
      <c r="A1387" t="s">
        <v>3578</v>
      </c>
      <c r="B1387" t="s">
        <v>3579</v>
      </c>
      <c r="C1387"/>
      <c r="D1387"/>
      <c r="E1387"/>
      <c r="F1387"/>
      <c r="G1387" t="s">
        <v>3565</v>
      </c>
      <c r="H1387" t="s">
        <v>132</v>
      </c>
      <c r="I1387" t="s">
        <v>2</v>
      </c>
      <c r="J1387" t="s">
        <v>133</v>
      </c>
      <c r="K1387" t="s">
        <v>52</v>
      </c>
      <c r="L1387" t="s">
        <v>3566</v>
      </c>
      <c r="M1387" t="s">
        <v>134</v>
      </c>
      <c r="N1387" t="s">
        <v>135</v>
      </c>
      <c r="O1387"/>
      <c r="P1387"/>
      <c r="Q1387" t="s">
        <v>291</v>
      </c>
      <c r="R1387"/>
      <c r="S1387"/>
      <c r="T1387" t="s">
        <v>2047</v>
      </c>
      <c r="U1387" t="s">
        <v>137</v>
      </c>
      <c r="V1387" t="s">
        <v>1263</v>
      </c>
      <c r="W1387"/>
      <c r="X1387" t="s">
        <v>69</v>
      </c>
      <c r="Y1387"/>
      <c r="Z1387"/>
      <c r="AA1387" t="s">
        <v>3567</v>
      </c>
      <c r="AB1387" t="s">
        <v>2</v>
      </c>
      <c r="AC1387" t="s">
        <v>138</v>
      </c>
      <c r="AD1387" t="s">
        <v>128</v>
      </c>
      <c r="AE1387" s="97"/>
    </row>
    <row r="1388" spans="1:31" ht="14.4" customHeight="1" x14ac:dyDescent="0.3">
      <c r="A1388" t="s">
        <v>3580</v>
      </c>
      <c r="B1388" t="s">
        <v>3581</v>
      </c>
      <c r="C1388"/>
      <c r="D1388"/>
      <c r="E1388"/>
      <c r="F1388"/>
      <c r="G1388" t="s">
        <v>3565</v>
      </c>
      <c r="H1388" t="s">
        <v>132</v>
      </c>
      <c r="I1388" t="s">
        <v>2</v>
      </c>
      <c r="J1388" t="s">
        <v>133</v>
      </c>
      <c r="K1388" t="s">
        <v>52</v>
      </c>
      <c r="L1388" t="s">
        <v>3566</v>
      </c>
      <c r="M1388" t="s">
        <v>134</v>
      </c>
      <c r="N1388" t="s">
        <v>135</v>
      </c>
      <c r="O1388"/>
      <c r="P1388"/>
      <c r="Q1388" t="s">
        <v>291</v>
      </c>
      <c r="R1388"/>
      <c r="S1388"/>
      <c r="T1388" t="s">
        <v>2056</v>
      </c>
      <c r="U1388" t="s">
        <v>137</v>
      </c>
      <c r="V1388" t="s">
        <v>1263</v>
      </c>
      <c r="W1388"/>
      <c r="X1388" t="s">
        <v>69</v>
      </c>
      <c r="Y1388"/>
      <c r="Z1388"/>
      <c r="AA1388" t="s">
        <v>3567</v>
      </c>
      <c r="AB1388" t="s">
        <v>2</v>
      </c>
      <c r="AC1388" t="s">
        <v>138</v>
      </c>
      <c r="AD1388" t="s">
        <v>128</v>
      </c>
      <c r="AE1388" s="97"/>
    </row>
    <row r="1389" spans="1:31" ht="14.4" customHeight="1" x14ac:dyDescent="0.3">
      <c r="A1389" t="s">
        <v>3582</v>
      </c>
      <c r="B1389" t="s">
        <v>3583</v>
      </c>
      <c r="C1389"/>
      <c r="D1389"/>
      <c r="E1389"/>
      <c r="F1389"/>
      <c r="G1389" t="s">
        <v>3565</v>
      </c>
      <c r="H1389" t="s">
        <v>132</v>
      </c>
      <c r="I1389" t="s">
        <v>2</v>
      </c>
      <c r="J1389" t="s">
        <v>133</v>
      </c>
      <c r="K1389" t="s">
        <v>52</v>
      </c>
      <c r="L1389" t="s">
        <v>3566</v>
      </c>
      <c r="M1389" t="s">
        <v>134</v>
      </c>
      <c r="N1389" t="s">
        <v>135</v>
      </c>
      <c r="O1389"/>
      <c r="P1389"/>
      <c r="Q1389" t="s">
        <v>291</v>
      </c>
      <c r="R1389"/>
      <c r="S1389"/>
      <c r="T1389" t="s">
        <v>2056</v>
      </c>
      <c r="U1389" t="s">
        <v>137</v>
      </c>
      <c r="V1389" t="s">
        <v>1259</v>
      </c>
      <c r="W1389"/>
      <c r="X1389" t="s">
        <v>126</v>
      </c>
      <c r="Y1389"/>
      <c r="Z1389"/>
      <c r="AA1389" t="s">
        <v>3567</v>
      </c>
      <c r="AB1389" t="s">
        <v>2</v>
      </c>
      <c r="AC1389" t="s">
        <v>138</v>
      </c>
      <c r="AD1389" t="s">
        <v>131</v>
      </c>
      <c r="AE1389" s="97"/>
    </row>
    <row r="1390" spans="1:31" ht="14.4" customHeight="1" x14ac:dyDescent="0.3">
      <c r="A1390" t="s">
        <v>3586</v>
      </c>
      <c r="B1390" t="s">
        <v>3587</v>
      </c>
      <c r="C1390"/>
      <c r="D1390"/>
      <c r="E1390"/>
      <c r="F1390"/>
      <c r="G1390" t="s">
        <v>3584</v>
      </c>
      <c r="H1390" t="s">
        <v>132</v>
      </c>
      <c r="I1390" t="s">
        <v>2</v>
      </c>
      <c r="J1390" t="s">
        <v>133</v>
      </c>
      <c r="K1390" t="s">
        <v>52</v>
      </c>
      <c r="L1390" t="s">
        <v>3588</v>
      </c>
      <c r="M1390" t="s">
        <v>134</v>
      </c>
      <c r="N1390" t="s">
        <v>135</v>
      </c>
      <c r="O1390"/>
      <c r="P1390"/>
      <c r="Q1390" t="s">
        <v>291</v>
      </c>
      <c r="R1390"/>
      <c r="S1390"/>
      <c r="T1390" t="s">
        <v>2155</v>
      </c>
      <c r="U1390" t="s">
        <v>137</v>
      </c>
      <c r="V1390" t="s">
        <v>358</v>
      </c>
      <c r="W1390"/>
      <c r="X1390" t="s">
        <v>124</v>
      </c>
      <c r="Y1390"/>
      <c r="Z1390"/>
      <c r="AA1390" t="s">
        <v>3585</v>
      </c>
      <c r="AB1390" t="s">
        <v>2</v>
      </c>
      <c r="AC1390" t="s">
        <v>138</v>
      </c>
      <c r="AD1390" t="s">
        <v>130</v>
      </c>
      <c r="AE1390" s="97"/>
    </row>
    <row r="1391" spans="1:31" ht="14.4" customHeight="1" x14ac:dyDescent="0.3">
      <c r="A1391" t="s">
        <v>3589</v>
      </c>
      <c r="B1391" t="s">
        <v>3590</v>
      </c>
      <c r="C1391"/>
      <c r="D1391"/>
      <c r="E1391"/>
      <c r="F1391"/>
      <c r="G1391" t="s">
        <v>3584</v>
      </c>
      <c r="H1391" t="s">
        <v>132</v>
      </c>
      <c r="I1391" t="s">
        <v>2</v>
      </c>
      <c r="J1391" t="s">
        <v>133</v>
      </c>
      <c r="K1391" t="s">
        <v>52</v>
      </c>
      <c r="L1391" t="s">
        <v>3588</v>
      </c>
      <c r="M1391" t="s">
        <v>134</v>
      </c>
      <c r="N1391" t="s">
        <v>135</v>
      </c>
      <c r="O1391"/>
      <c r="P1391"/>
      <c r="Q1391" t="s">
        <v>291</v>
      </c>
      <c r="R1391"/>
      <c r="S1391"/>
      <c r="T1391" t="s">
        <v>2155</v>
      </c>
      <c r="U1391" t="s">
        <v>137</v>
      </c>
      <c r="V1391" t="s">
        <v>358</v>
      </c>
      <c r="W1391"/>
      <c r="X1391" t="s">
        <v>124</v>
      </c>
      <c r="Y1391"/>
      <c r="Z1391"/>
      <c r="AA1391" t="s">
        <v>3585</v>
      </c>
      <c r="AB1391" t="s">
        <v>2</v>
      </c>
      <c r="AC1391" t="s">
        <v>138</v>
      </c>
      <c r="AD1391" t="s">
        <v>130</v>
      </c>
      <c r="AE1391" s="97"/>
    </row>
    <row r="1392" spans="1:31" ht="14.4" customHeight="1" x14ac:dyDescent="0.3">
      <c r="A1392" t="s">
        <v>3591</v>
      </c>
      <c r="B1392" t="s">
        <v>3592</v>
      </c>
      <c r="C1392"/>
      <c r="D1392"/>
      <c r="E1392"/>
      <c r="F1392"/>
      <c r="G1392" t="s">
        <v>3584</v>
      </c>
      <c r="H1392" t="s">
        <v>132</v>
      </c>
      <c r="I1392" t="s">
        <v>2</v>
      </c>
      <c r="J1392" t="s">
        <v>133</v>
      </c>
      <c r="K1392" t="s">
        <v>52</v>
      </c>
      <c r="L1392" t="s">
        <v>3588</v>
      </c>
      <c r="M1392" t="s">
        <v>134</v>
      </c>
      <c r="N1392" t="s">
        <v>135</v>
      </c>
      <c r="O1392"/>
      <c r="P1392"/>
      <c r="Q1392" t="s">
        <v>291</v>
      </c>
      <c r="R1392"/>
      <c r="S1392"/>
      <c r="T1392" t="s">
        <v>2155</v>
      </c>
      <c r="U1392" t="s">
        <v>137</v>
      </c>
      <c r="V1392" t="s">
        <v>358</v>
      </c>
      <c r="W1392"/>
      <c r="X1392" t="s">
        <v>124</v>
      </c>
      <c r="Y1392"/>
      <c r="Z1392"/>
      <c r="AA1392" t="s">
        <v>3585</v>
      </c>
      <c r="AB1392" t="s">
        <v>2</v>
      </c>
      <c r="AC1392" t="s">
        <v>138</v>
      </c>
      <c r="AD1392" t="s">
        <v>130</v>
      </c>
      <c r="AE1392" s="97"/>
    </row>
    <row r="1393" spans="1:31" ht="14.4" customHeight="1" x14ac:dyDescent="0.3">
      <c r="A1393" t="s">
        <v>3593</v>
      </c>
      <c r="B1393" t="s">
        <v>3594</v>
      </c>
      <c r="C1393"/>
      <c r="D1393"/>
      <c r="E1393"/>
      <c r="F1393"/>
      <c r="G1393" t="s">
        <v>3584</v>
      </c>
      <c r="H1393" t="s">
        <v>132</v>
      </c>
      <c r="I1393" t="s">
        <v>2</v>
      </c>
      <c r="J1393" t="s">
        <v>133</v>
      </c>
      <c r="K1393" t="s">
        <v>52</v>
      </c>
      <c r="L1393" t="s">
        <v>3588</v>
      </c>
      <c r="M1393" t="s">
        <v>134</v>
      </c>
      <c r="N1393" t="s">
        <v>135</v>
      </c>
      <c r="O1393"/>
      <c r="P1393"/>
      <c r="Q1393" t="s">
        <v>291</v>
      </c>
      <c r="R1393"/>
      <c r="S1393"/>
      <c r="T1393" t="s">
        <v>2155</v>
      </c>
      <c r="U1393" t="s">
        <v>137</v>
      </c>
      <c r="V1393" t="s">
        <v>358</v>
      </c>
      <c r="W1393"/>
      <c r="X1393" t="s">
        <v>124</v>
      </c>
      <c r="Y1393"/>
      <c r="Z1393"/>
      <c r="AA1393" t="s">
        <v>3585</v>
      </c>
      <c r="AB1393" t="s">
        <v>2</v>
      </c>
      <c r="AC1393" t="s">
        <v>138</v>
      </c>
      <c r="AD1393" t="s">
        <v>130</v>
      </c>
      <c r="AE1393" s="97"/>
    </row>
    <row r="1394" spans="1:31" ht="14.4" customHeight="1" x14ac:dyDescent="0.3">
      <c r="A1394" t="s">
        <v>3595</v>
      </c>
      <c r="B1394" t="s">
        <v>3596</v>
      </c>
      <c r="C1394"/>
      <c r="D1394"/>
      <c r="E1394"/>
      <c r="F1394"/>
      <c r="G1394" t="s">
        <v>3584</v>
      </c>
      <c r="H1394" t="s">
        <v>132</v>
      </c>
      <c r="I1394" t="s">
        <v>2</v>
      </c>
      <c r="J1394" t="s">
        <v>133</v>
      </c>
      <c r="K1394" t="s">
        <v>52</v>
      </c>
      <c r="L1394" t="s">
        <v>3588</v>
      </c>
      <c r="M1394" t="s">
        <v>134</v>
      </c>
      <c r="N1394" t="s">
        <v>135</v>
      </c>
      <c r="O1394"/>
      <c r="P1394"/>
      <c r="Q1394" t="s">
        <v>291</v>
      </c>
      <c r="R1394"/>
      <c r="S1394"/>
      <c r="T1394" t="s">
        <v>2155</v>
      </c>
      <c r="U1394" t="s">
        <v>137</v>
      </c>
      <c r="V1394" t="s">
        <v>358</v>
      </c>
      <c r="W1394"/>
      <c r="X1394" t="s">
        <v>124</v>
      </c>
      <c r="Y1394"/>
      <c r="Z1394"/>
      <c r="AA1394" t="s">
        <v>3585</v>
      </c>
      <c r="AB1394" t="s">
        <v>2</v>
      </c>
      <c r="AC1394" t="s">
        <v>138</v>
      </c>
      <c r="AD1394" t="s">
        <v>130</v>
      </c>
      <c r="AE1394" s="97"/>
    </row>
    <row r="1395" spans="1:31" ht="14.4" customHeight="1" x14ac:dyDescent="0.3">
      <c r="A1395" t="s">
        <v>3597</v>
      </c>
      <c r="B1395" t="s">
        <v>3598</v>
      </c>
      <c r="C1395"/>
      <c r="D1395"/>
      <c r="E1395"/>
      <c r="F1395"/>
      <c r="G1395" t="s">
        <v>3584</v>
      </c>
      <c r="H1395" t="s">
        <v>132</v>
      </c>
      <c r="I1395" t="s">
        <v>2</v>
      </c>
      <c r="J1395" t="s">
        <v>133</v>
      </c>
      <c r="K1395" t="s">
        <v>52</v>
      </c>
      <c r="L1395" t="s">
        <v>3588</v>
      </c>
      <c r="M1395" t="s">
        <v>134</v>
      </c>
      <c r="N1395" t="s">
        <v>135</v>
      </c>
      <c r="O1395"/>
      <c r="P1395"/>
      <c r="Q1395" t="s">
        <v>291</v>
      </c>
      <c r="R1395"/>
      <c r="S1395"/>
      <c r="T1395" t="s">
        <v>2155</v>
      </c>
      <c r="U1395" t="s">
        <v>137</v>
      </c>
      <c r="V1395" t="s">
        <v>358</v>
      </c>
      <c r="W1395"/>
      <c r="X1395" t="s">
        <v>124</v>
      </c>
      <c r="Y1395"/>
      <c r="Z1395"/>
      <c r="AA1395" t="s">
        <v>3585</v>
      </c>
      <c r="AB1395" t="s">
        <v>2</v>
      </c>
      <c r="AC1395" t="s">
        <v>138</v>
      </c>
      <c r="AD1395" t="s">
        <v>130</v>
      </c>
      <c r="AE1395" s="97"/>
    </row>
    <row r="1396" spans="1:31" ht="14.4" customHeight="1" x14ac:dyDescent="0.3">
      <c r="A1396" t="s">
        <v>3599</v>
      </c>
      <c r="B1396" t="s">
        <v>3600</v>
      </c>
      <c r="C1396"/>
      <c r="D1396"/>
      <c r="E1396"/>
      <c r="F1396"/>
      <c r="G1396" t="s">
        <v>3584</v>
      </c>
      <c r="H1396" t="s">
        <v>132</v>
      </c>
      <c r="I1396" t="s">
        <v>2</v>
      </c>
      <c r="J1396" t="s">
        <v>133</v>
      </c>
      <c r="K1396" t="s">
        <v>52</v>
      </c>
      <c r="L1396" t="s">
        <v>3588</v>
      </c>
      <c r="M1396" t="s">
        <v>134</v>
      </c>
      <c r="N1396" t="s">
        <v>135</v>
      </c>
      <c r="O1396"/>
      <c r="P1396"/>
      <c r="Q1396" t="s">
        <v>291</v>
      </c>
      <c r="R1396"/>
      <c r="S1396"/>
      <c r="T1396" t="s">
        <v>2155</v>
      </c>
      <c r="U1396" t="s">
        <v>137</v>
      </c>
      <c r="V1396" t="s">
        <v>358</v>
      </c>
      <c r="W1396"/>
      <c r="X1396" t="s">
        <v>124</v>
      </c>
      <c r="Y1396"/>
      <c r="Z1396"/>
      <c r="AA1396" t="s">
        <v>3585</v>
      </c>
      <c r="AB1396" t="s">
        <v>2</v>
      </c>
      <c r="AC1396" t="s">
        <v>138</v>
      </c>
      <c r="AD1396" t="s">
        <v>130</v>
      </c>
      <c r="AE1396" s="97"/>
    </row>
    <row r="1397" spans="1:31" ht="14.4" customHeight="1" x14ac:dyDescent="0.3">
      <c r="A1397" t="s">
        <v>3601</v>
      </c>
      <c r="B1397" t="s">
        <v>3602</v>
      </c>
      <c r="C1397"/>
      <c r="D1397"/>
      <c r="E1397"/>
      <c r="F1397"/>
      <c r="G1397" t="s">
        <v>3584</v>
      </c>
      <c r="H1397" t="s">
        <v>132</v>
      </c>
      <c r="I1397" t="s">
        <v>2</v>
      </c>
      <c r="J1397" t="s">
        <v>133</v>
      </c>
      <c r="K1397" t="s">
        <v>52</v>
      </c>
      <c r="L1397" t="s">
        <v>3588</v>
      </c>
      <c r="M1397" t="s">
        <v>134</v>
      </c>
      <c r="N1397" t="s">
        <v>135</v>
      </c>
      <c r="O1397"/>
      <c r="P1397"/>
      <c r="Q1397" t="s">
        <v>291</v>
      </c>
      <c r="R1397"/>
      <c r="S1397"/>
      <c r="T1397" t="s">
        <v>2155</v>
      </c>
      <c r="U1397" t="s">
        <v>137</v>
      </c>
      <c r="V1397" t="s">
        <v>358</v>
      </c>
      <c r="W1397"/>
      <c r="X1397" t="s">
        <v>124</v>
      </c>
      <c r="Y1397"/>
      <c r="Z1397"/>
      <c r="AA1397" t="s">
        <v>3585</v>
      </c>
      <c r="AB1397" t="s">
        <v>2</v>
      </c>
      <c r="AC1397" t="s">
        <v>138</v>
      </c>
      <c r="AD1397" t="s">
        <v>130</v>
      </c>
      <c r="AE1397" s="97"/>
    </row>
    <row r="1398" spans="1:31" ht="14.4" customHeight="1" x14ac:dyDescent="0.3">
      <c r="A1398" t="s">
        <v>3607</v>
      </c>
      <c r="B1398" t="s">
        <v>3608</v>
      </c>
      <c r="C1398"/>
      <c r="D1398"/>
      <c r="E1398"/>
      <c r="F1398"/>
      <c r="G1398" t="s">
        <v>3604</v>
      </c>
      <c r="H1398" t="s">
        <v>132</v>
      </c>
      <c r="I1398" t="s">
        <v>2</v>
      </c>
      <c r="J1398" t="s">
        <v>133</v>
      </c>
      <c r="K1398" t="s">
        <v>52</v>
      </c>
      <c r="L1398" t="s">
        <v>3605</v>
      </c>
      <c r="M1398" t="s">
        <v>134</v>
      </c>
      <c r="N1398" t="s">
        <v>135</v>
      </c>
      <c r="O1398"/>
      <c r="P1398"/>
      <c r="Q1398" t="s">
        <v>291</v>
      </c>
      <c r="R1398"/>
      <c r="S1398"/>
      <c r="T1398" t="s">
        <v>3603</v>
      </c>
      <c r="U1398" t="s">
        <v>137</v>
      </c>
      <c r="V1398" t="s">
        <v>358</v>
      </c>
      <c r="W1398"/>
      <c r="X1398" t="s">
        <v>124</v>
      </c>
      <c r="Y1398"/>
      <c r="Z1398"/>
      <c r="AA1398" t="s">
        <v>3606</v>
      </c>
      <c r="AB1398" t="s">
        <v>2</v>
      </c>
      <c r="AC1398" t="s">
        <v>138</v>
      </c>
      <c r="AD1398" t="s">
        <v>130</v>
      </c>
      <c r="AE1398" s="97"/>
    </row>
    <row r="1399" spans="1:31" ht="14.4" customHeight="1" x14ac:dyDescent="0.3">
      <c r="A1399" t="s">
        <v>3609</v>
      </c>
      <c r="B1399" t="s">
        <v>3610</v>
      </c>
      <c r="C1399"/>
      <c r="D1399"/>
      <c r="E1399"/>
      <c r="F1399"/>
      <c r="G1399" t="s">
        <v>3604</v>
      </c>
      <c r="H1399" t="s">
        <v>132</v>
      </c>
      <c r="I1399" t="s">
        <v>2</v>
      </c>
      <c r="J1399" t="s">
        <v>133</v>
      </c>
      <c r="K1399" t="s">
        <v>52</v>
      </c>
      <c r="L1399" t="s">
        <v>3611</v>
      </c>
      <c r="M1399" t="s">
        <v>134</v>
      </c>
      <c r="N1399" t="s">
        <v>135</v>
      </c>
      <c r="O1399"/>
      <c r="P1399"/>
      <c r="Q1399" t="s">
        <v>291</v>
      </c>
      <c r="R1399"/>
      <c r="S1399"/>
      <c r="T1399" t="s">
        <v>2155</v>
      </c>
      <c r="U1399" t="s">
        <v>137</v>
      </c>
      <c r="V1399" t="s">
        <v>358</v>
      </c>
      <c r="W1399"/>
      <c r="X1399" t="s">
        <v>124</v>
      </c>
      <c r="Y1399"/>
      <c r="Z1399"/>
      <c r="AA1399" t="s">
        <v>3606</v>
      </c>
      <c r="AB1399" t="s">
        <v>2</v>
      </c>
      <c r="AC1399" t="s">
        <v>138</v>
      </c>
      <c r="AD1399" t="s">
        <v>130</v>
      </c>
      <c r="AE1399" s="97"/>
    </row>
    <row r="1400" spans="1:31" ht="14.4" customHeight="1" x14ac:dyDescent="0.3">
      <c r="A1400" t="s">
        <v>3612</v>
      </c>
      <c r="B1400" t="s">
        <v>3613</v>
      </c>
      <c r="C1400"/>
      <c r="D1400"/>
      <c r="E1400"/>
      <c r="F1400"/>
      <c r="G1400" t="s">
        <v>3604</v>
      </c>
      <c r="H1400" t="s">
        <v>132</v>
      </c>
      <c r="I1400" t="s">
        <v>2</v>
      </c>
      <c r="J1400" t="s">
        <v>133</v>
      </c>
      <c r="K1400" t="s">
        <v>52</v>
      </c>
      <c r="L1400" t="s">
        <v>3614</v>
      </c>
      <c r="M1400" t="s">
        <v>134</v>
      </c>
      <c r="N1400" t="s">
        <v>135</v>
      </c>
      <c r="O1400"/>
      <c r="P1400"/>
      <c r="Q1400" t="s">
        <v>291</v>
      </c>
      <c r="R1400"/>
      <c r="S1400"/>
      <c r="T1400"/>
      <c r="U1400" t="s">
        <v>137</v>
      </c>
      <c r="V1400" t="s">
        <v>147</v>
      </c>
      <c r="W1400"/>
      <c r="X1400" t="s">
        <v>70</v>
      </c>
      <c r="Y1400"/>
      <c r="Z1400"/>
      <c r="AA1400" t="s">
        <v>3606</v>
      </c>
      <c r="AB1400" t="s">
        <v>2</v>
      </c>
      <c r="AC1400" t="s">
        <v>138</v>
      </c>
      <c r="AD1400" t="s">
        <v>128</v>
      </c>
      <c r="AE1400" s="97"/>
    </row>
    <row r="1401" spans="1:31" ht="14.4" customHeight="1" x14ac:dyDescent="0.3">
      <c r="A1401" t="s">
        <v>3615</v>
      </c>
      <c r="B1401" t="s">
        <v>3616</v>
      </c>
      <c r="C1401"/>
      <c r="D1401"/>
      <c r="E1401"/>
      <c r="F1401"/>
      <c r="G1401" t="s">
        <v>3604</v>
      </c>
      <c r="H1401" t="s">
        <v>132</v>
      </c>
      <c r="I1401" t="s">
        <v>2</v>
      </c>
      <c r="J1401" t="s">
        <v>133</v>
      </c>
      <c r="K1401" t="s">
        <v>52</v>
      </c>
      <c r="L1401" t="s">
        <v>3614</v>
      </c>
      <c r="M1401" t="s">
        <v>134</v>
      </c>
      <c r="N1401" t="s">
        <v>135</v>
      </c>
      <c r="O1401"/>
      <c r="P1401"/>
      <c r="Q1401" t="s">
        <v>291</v>
      </c>
      <c r="R1401"/>
      <c r="S1401"/>
      <c r="T1401"/>
      <c r="U1401" t="s">
        <v>137</v>
      </c>
      <c r="V1401" t="s">
        <v>156</v>
      </c>
      <c r="W1401"/>
      <c r="X1401" t="s">
        <v>97</v>
      </c>
      <c r="Y1401"/>
      <c r="Z1401"/>
      <c r="AA1401" t="s">
        <v>3606</v>
      </c>
      <c r="AB1401" t="s">
        <v>2</v>
      </c>
      <c r="AC1401" t="s">
        <v>138</v>
      </c>
      <c r="AD1401" t="s">
        <v>129</v>
      </c>
      <c r="AE1401" s="97"/>
    </row>
    <row r="1402" spans="1:31" ht="14.4" customHeight="1" x14ac:dyDescent="0.3">
      <c r="A1402" t="s">
        <v>3617</v>
      </c>
      <c r="B1402" t="s">
        <v>3618</v>
      </c>
      <c r="C1402"/>
      <c r="D1402"/>
      <c r="E1402"/>
      <c r="F1402"/>
      <c r="G1402" t="s">
        <v>3604</v>
      </c>
      <c r="H1402" t="s">
        <v>132</v>
      </c>
      <c r="I1402" t="s">
        <v>2</v>
      </c>
      <c r="J1402" t="s">
        <v>133</v>
      </c>
      <c r="K1402" t="s">
        <v>52</v>
      </c>
      <c r="L1402" t="s">
        <v>3614</v>
      </c>
      <c r="M1402" t="s">
        <v>134</v>
      </c>
      <c r="N1402" t="s">
        <v>135</v>
      </c>
      <c r="O1402"/>
      <c r="P1402"/>
      <c r="Q1402" t="s">
        <v>291</v>
      </c>
      <c r="R1402"/>
      <c r="S1402"/>
      <c r="T1402"/>
      <c r="U1402" t="s">
        <v>137</v>
      </c>
      <c r="V1402" t="s">
        <v>162</v>
      </c>
      <c r="W1402"/>
      <c r="X1402" t="s">
        <v>113</v>
      </c>
      <c r="Y1402"/>
      <c r="Z1402"/>
      <c r="AA1402" t="s">
        <v>3606</v>
      </c>
      <c r="AB1402" t="s">
        <v>2</v>
      </c>
      <c r="AC1402" t="s">
        <v>138</v>
      </c>
      <c r="AD1402" t="s">
        <v>129</v>
      </c>
      <c r="AE1402" s="97"/>
    </row>
    <row r="1403" spans="1:31" ht="14.4" customHeight="1" x14ac:dyDescent="0.3">
      <c r="A1403" t="s">
        <v>6770</v>
      </c>
      <c r="B1403" t="s">
        <v>6771</v>
      </c>
      <c r="C1403"/>
      <c r="D1403"/>
      <c r="E1403"/>
      <c r="F1403"/>
      <c r="G1403" t="s">
        <v>3604</v>
      </c>
      <c r="H1403" t="s">
        <v>132</v>
      </c>
      <c r="I1403" t="s">
        <v>2</v>
      </c>
      <c r="J1403" t="s">
        <v>133</v>
      </c>
      <c r="K1403" t="s">
        <v>52</v>
      </c>
      <c r="L1403" t="s">
        <v>6772</v>
      </c>
      <c r="M1403" t="s">
        <v>134</v>
      </c>
      <c r="N1403" t="s">
        <v>135</v>
      </c>
      <c r="O1403"/>
      <c r="P1403"/>
      <c r="Q1403" t="s">
        <v>291</v>
      </c>
      <c r="R1403"/>
      <c r="S1403" t="s">
        <v>291</v>
      </c>
      <c r="T1403"/>
      <c r="U1403" t="s">
        <v>137</v>
      </c>
      <c r="V1403" t="s">
        <v>352</v>
      </c>
      <c r="W1403"/>
      <c r="X1403" t="s">
        <v>56</v>
      </c>
      <c r="Y1403"/>
      <c r="Z1403"/>
      <c r="AA1403" t="s">
        <v>3606</v>
      </c>
      <c r="AB1403" t="s">
        <v>2</v>
      </c>
      <c r="AC1403" t="s">
        <v>138</v>
      </c>
      <c r="AD1403" t="s">
        <v>128</v>
      </c>
      <c r="AE1403" s="97"/>
    </row>
    <row r="1404" spans="1:31" ht="14.4" customHeight="1" x14ac:dyDescent="0.3">
      <c r="A1404" t="s">
        <v>3620</v>
      </c>
      <c r="B1404" t="s">
        <v>1886</v>
      </c>
      <c r="C1404"/>
      <c r="D1404"/>
      <c r="E1404"/>
      <c r="F1404"/>
      <c r="G1404" t="s">
        <v>3619</v>
      </c>
      <c r="H1404" t="s">
        <v>132</v>
      </c>
      <c r="I1404" t="s">
        <v>2</v>
      </c>
      <c r="J1404" t="s">
        <v>133</v>
      </c>
      <c r="K1404" t="s">
        <v>52</v>
      </c>
      <c r="L1404" t="s">
        <v>1887</v>
      </c>
      <c r="M1404" t="s">
        <v>134</v>
      </c>
      <c r="N1404" t="s">
        <v>135</v>
      </c>
      <c r="O1404"/>
      <c r="P1404"/>
      <c r="Q1404" t="s">
        <v>140</v>
      </c>
      <c r="R1404"/>
      <c r="S1404"/>
      <c r="T1404" t="s">
        <v>1888</v>
      </c>
      <c r="U1404" t="s">
        <v>137</v>
      </c>
      <c r="V1404" t="s">
        <v>147</v>
      </c>
      <c r="W1404"/>
      <c r="X1404" t="s">
        <v>70</v>
      </c>
      <c r="Y1404"/>
      <c r="Z1404"/>
      <c r="AA1404" t="s">
        <v>1884</v>
      </c>
      <c r="AB1404" t="s">
        <v>3</v>
      </c>
      <c r="AC1404" t="s">
        <v>138</v>
      </c>
      <c r="AD1404" t="s">
        <v>128</v>
      </c>
      <c r="AE1404" s="97"/>
    </row>
    <row r="1405" spans="1:31" ht="14.4" customHeight="1" x14ac:dyDescent="0.3">
      <c r="A1405" t="s">
        <v>3621</v>
      </c>
      <c r="B1405" t="s">
        <v>1890</v>
      </c>
      <c r="C1405"/>
      <c r="D1405"/>
      <c r="E1405"/>
      <c r="F1405"/>
      <c r="G1405" t="s">
        <v>3619</v>
      </c>
      <c r="H1405" t="s">
        <v>132</v>
      </c>
      <c r="I1405" t="s">
        <v>2</v>
      </c>
      <c r="J1405" t="s">
        <v>133</v>
      </c>
      <c r="K1405" t="s">
        <v>52</v>
      </c>
      <c r="L1405" t="s">
        <v>1891</v>
      </c>
      <c r="M1405" t="s">
        <v>134</v>
      </c>
      <c r="N1405" t="s">
        <v>135</v>
      </c>
      <c r="O1405"/>
      <c r="P1405"/>
      <c r="Q1405" t="s">
        <v>140</v>
      </c>
      <c r="R1405"/>
      <c r="S1405"/>
      <c r="T1405" t="s">
        <v>1892</v>
      </c>
      <c r="U1405" t="s">
        <v>137</v>
      </c>
      <c r="V1405" t="s">
        <v>150</v>
      </c>
      <c r="W1405"/>
      <c r="X1405" t="s">
        <v>76</v>
      </c>
      <c r="Y1405"/>
      <c r="Z1405"/>
      <c r="AA1405" t="s">
        <v>1884</v>
      </c>
      <c r="AB1405" t="s">
        <v>3</v>
      </c>
      <c r="AC1405" t="s">
        <v>138</v>
      </c>
      <c r="AD1405" t="s">
        <v>128</v>
      </c>
      <c r="AE1405" s="97"/>
    </row>
    <row r="1406" spans="1:31" ht="14.4" customHeight="1" x14ac:dyDescent="0.3">
      <c r="A1406" t="s">
        <v>3622</v>
      </c>
      <c r="B1406" t="s">
        <v>1894</v>
      </c>
      <c r="C1406"/>
      <c r="D1406"/>
      <c r="E1406"/>
      <c r="F1406"/>
      <c r="G1406" t="s">
        <v>3619</v>
      </c>
      <c r="H1406" t="s">
        <v>132</v>
      </c>
      <c r="I1406" t="s">
        <v>2</v>
      </c>
      <c r="J1406" t="s">
        <v>133</v>
      </c>
      <c r="K1406" t="s">
        <v>52</v>
      </c>
      <c r="L1406" t="s">
        <v>1895</v>
      </c>
      <c r="M1406" t="s">
        <v>134</v>
      </c>
      <c r="N1406" t="s">
        <v>135</v>
      </c>
      <c r="O1406"/>
      <c r="P1406"/>
      <c r="Q1406" t="s">
        <v>140</v>
      </c>
      <c r="R1406"/>
      <c r="S1406"/>
      <c r="T1406" t="s">
        <v>1896</v>
      </c>
      <c r="U1406" t="s">
        <v>137</v>
      </c>
      <c r="V1406" t="s">
        <v>153</v>
      </c>
      <c r="W1406"/>
      <c r="X1406" t="s">
        <v>88</v>
      </c>
      <c r="Y1406"/>
      <c r="Z1406"/>
      <c r="AA1406" t="s">
        <v>1884</v>
      </c>
      <c r="AB1406" t="s">
        <v>3</v>
      </c>
      <c r="AC1406" t="s">
        <v>138</v>
      </c>
      <c r="AD1406" t="s">
        <v>129</v>
      </c>
      <c r="AE1406" s="97"/>
    </row>
    <row r="1407" spans="1:31" ht="14.4" customHeight="1" x14ac:dyDescent="0.3">
      <c r="A1407" t="s">
        <v>3623</v>
      </c>
      <c r="B1407" t="s">
        <v>1898</v>
      </c>
      <c r="C1407"/>
      <c r="D1407"/>
      <c r="E1407"/>
      <c r="F1407"/>
      <c r="G1407" t="s">
        <v>3619</v>
      </c>
      <c r="H1407" t="s">
        <v>132</v>
      </c>
      <c r="I1407" t="s">
        <v>2</v>
      </c>
      <c r="J1407" t="s">
        <v>133</v>
      </c>
      <c r="K1407" t="s">
        <v>52</v>
      </c>
      <c r="L1407" t="s">
        <v>1899</v>
      </c>
      <c r="M1407" t="s">
        <v>134</v>
      </c>
      <c r="N1407" t="s">
        <v>135</v>
      </c>
      <c r="O1407"/>
      <c r="P1407"/>
      <c r="Q1407" t="s">
        <v>140</v>
      </c>
      <c r="R1407"/>
      <c r="S1407"/>
      <c r="T1407" t="s">
        <v>1900</v>
      </c>
      <c r="U1407" t="s">
        <v>137</v>
      </c>
      <c r="V1407" t="s">
        <v>156</v>
      </c>
      <c r="W1407"/>
      <c r="X1407" t="s">
        <v>97</v>
      </c>
      <c r="Y1407"/>
      <c r="Z1407"/>
      <c r="AA1407" t="s">
        <v>1884</v>
      </c>
      <c r="AB1407" t="s">
        <v>3</v>
      </c>
      <c r="AC1407" t="s">
        <v>138</v>
      </c>
      <c r="AD1407" t="s">
        <v>129</v>
      </c>
      <c r="AE1407" s="97"/>
    </row>
    <row r="1408" spans="1:31" ht="14.4" customHeight="1" x14ac:dyDescent="0.3">
      <c r="A1408" t="s">
        <v>3624</v>
      </c>
      <c r="B1408" t="s">
        <v>1902</v>
      </c>
      <c r="C1408"/>
      <c r="D1408"/>
      <c r="E1408"/>
      <c r="F1408"/>
      <c r="G1408" t="s">
        <v>3619</v>
      </c>
      <c r="H1408" t="s">
        <v>132</v>
      </c>
      <c r="I1408" t="s">
        <v>2</v>
      </c>
      <c r="J1408" t="s">
        <v>133</v>
      </c>
      <c r="K1408" t="s">
        <v>52</v>
      </c>
      <c r="L1408" t="s">
        <v>1903</v>
      </c>
      <c r="M1408" t="s">
        <v>134</v>
      </c>
      <c r="N1408" t="s">
        <v>135</v>
      </c>
      <c r="O1408"/>
      <c r="P1408"/>
      <c r="Q1408" t="s">
        <v>140</v>
      </c>
      <c r="R1408"/>
      <c r="S1408"/>
      <c r="T1408" t="s">
        <v>1904</v>
      </c>
      <c r="U1408" t="s">
        <v>137</v>
      </c>
      <c r="V1408" t="s">
        <v>159</v>
      </c>
      <c r="W1408"/>
      <c r="X1408" t="s">
        <v>106</v>
      </c>
      <c r="Y1408"/>
      <c r="Z1408"/>
      <c r="AA1408" t="s">
        <v>1884</v>
      </c>
      <c r="AB1408" t="s">
        <v>3</v>
      </c>
      <c r="AC1408" t="s">
        <v>138</v>
      </c>
      <c r="AD1408" t="s">
        <v>129</v>
      </c>
      <c r="AE1408" s="97"/>
    </row>
    <row r="1409" spans="1:31" ht="14.4" customHeight="1" x14ac:dyDescent="0.3">
      <c r="A1409" t="s">
        <v>3625</v>
      </c>
      <c r="B1409" t="s">
        <v>1906</v>
      </c>
      <c r="C1409"/>
      <c r="D1409"/>
      <c r="E1409"/>
      <c r="F1409"/>
      <c r="G1409" t="s">
        <v>3619</v>
      </c>
      <c r="H1409" t="s">
        <v>132</v>
      </c>
      <c r="I1409" t="s">
        <v>2</v>
      </c>
      <c r="J1409" t="s">
        <v>133</v>
      </c>
      <c r="K1409" t="s">
        <v>52</v>
      </c>
      <c r="L1409" t="s">
        <v>1907</v>
      </c>
      <c r="M1409" t="s">
        <v>134</v>
      </c>
      <c r="N1409" t="s">
        <v>135</v>
      </c>
      <c r="O1409"/>
      <c r="P1409"/>
      <c r="Q1409" t="s">
        <v>140</v>
      </c>
      <c r="R1409"/>
      <c r="S1409"/>
      <c r="T1409" t="s">
        <v>1908</v>
      </c>
      <c r="U1409" t="s">
        <v>137</v>
      </c>
      <c r="V1409" t="s">
        <v>162</v>
      </c>
      <c r="W1409"/>
      <c r="X1409" t="s">
        <v>113</v>
      </c>
      <c r="Y1409"/>
      <c r="Z1409"/>
      <c r="AA1409" t="s">
        <v>1884</v>
      </c>
      <c r="AB1409" t="s">
        <v>3</v>
      </c>
      <c r="AC1409" t="s">
        <v>138</v>
      </c>
      <c r="AD1409" t="s">
        <v>129</v>
      </c>
      <c r="AE1409" s="97"/>
    </row>
    <row r="1410" spans="1:31" ht="14.4" customHeight="1" x14ac:dyDescent="0.3">
      <c r="A1410" t="s">
        <v>3626</v>
      </c>
      <c r="B1410" t="s">
        <v>1910</v>
      </c>
      <c r="C1410"/>
      <c r="D1410"/>
      <c r="E1410"/>
      <c r="F1410"/>
      <c r="G1410" t="s">
        <v>3619</v>
      </c>
      <c r="H1410" t="s">
        <v>132</v>
      </c>
      <c r="I1410" t="s">
        <v>2</v>
      </c>
      <c r="J1410" t="s">
        <v>133</v>
      </c>
      <c r="K1410" t="s">
        <v>52</v>
      </c>
      <c r="L1410" t="s">
        <v>1911</v>
      </c>
      <c r="M1410" t="s">
        <v>134</v>
      </c>
      <c r="N1410" t="s">
        <v>135</v>
      </c>
      <c r="O1410"/>
      <c r="P1410"/>
      <c r="Q1410" t="s">
        <v>140</v>
      </c>
      <c r="R1410"/>
      <c r="S1410"/>
      <c r="T1410" t="s">
        <v>1912</v>
      </c>
      <c r="U1410" t="s">
        <v>137</v>
      </c>
      <c r="V1410" t="s">
        <v>165</v>
      </c>
      <c r="W1410"/>
      <c r="X1410" t="s">
        <v>122</v>
      </c>
      <c r="Y1410"/>
      <c r="Z1410"/>
      <c r="AA1410" t="s">
        <v>1884</v>
      </c>
      <c r="AB1410" t="s">
        <v>3</v>
      </c>
      <c r="AC1410" t="s">
        <v>138</v>
      </c>
      <c r="AD1410" t="s">
        <v>130</v>
      </c>
      <c r="AE1410" s="97"/>
    </row>
    <row r="1411" spans="1:31" ht="14.4" customHeight="1" x14ac:dyDescent="0.3">
      <c r="A1411" t="s">
        <v>3627</v>
      </c>
      <c r="B1411" t="s">
        <v>1914</v>
      </c>
      <c r="C1411"/>
      <c r="D1411"/>
      <c r="E1411"/>
      <c r="F1411"/>
      <c r="G1411" t="s">
        <v>3619</v>
      </c>
      <c r="H1411" t="s">
        <v>132</v>
      </c>
      <c r="I1411" t="s">
        <v>2</v>
      </c>
      <c r="J1411" t="s">
        <v>133</v>
      </c>
      <c r="K1411" t="s">
        <v>52</v>
      </c>
      <c r="L1411" t="s">
        <v>1915</v>
      </c>
      <c r="M1411" t="s">
        <v>134</v>
      </c>
      <c r="N1411" t="s">
        <v>135</v>
      </c>
      <c r="O1411"/>
      <c r="P1411"/>
      <c r="Q1411" t="s">
        <v>140</v>
      </c>
      <c r="R1411"/>
      <c r="S1411"/>
      <c r="T1411" t="s">
        <v>1916</v>
      </c>
      <c r="U1411" t="s">
        <v>137</v>
      </c>
      <c r="V1411" t="s">
        <v>362</v>
      </c>
      <c r="W1411"/>
      <c r="X1411" t="s">
        <v>58</v>
      </c>
      <c r="Y1411"/>
      <c r="Z1411"/>
      <c r="AA1411" t="s">
        <v>1884</v>
      </c>
      <c r="AB1411" t="s">
        <v>3</v>
      </c>
      <c r="AC1411" t="s">
        <v>138</v>
      </c>
      <c r="AD1411" t="s">
        <v>128</v>
      </c>
      <c r="AE1411" s="97"/>
    </row>
    <row r="1412" spans="1:31" ht="14.4" customHeight="1" x14ac:dyDescent="0.3">
      <c r="A1412" t="s">
        <v>3628</v>
      </c>
      <c r="B1412" t="s">
        <v>1918</v>
      </c>
      <c r="C1412"/>
      <c r="D1412"/>
      <c r="E1412"/>
      <c r="F1412"/>
      <c r="G1412" t="s">
        <v>3619</v>
      </c>
      <c r="H1412" t="s">
        <v>132</v>
      </c>
      <c r="I1412" t="s">
        <v>2</v>
      </c>
      <c r="J1412" t="s">
        <v>133</v>
      </c>
      <c r="K1412" t="s">
        <v>52</v>
      </c>
      <c r="L1412" t="s">
        <v>1919</v>
      </c>
      <c r="M1412" t="s">
        <v>134</v>
      </c>
      <c r="N1412" t="s">
        <v>135</v>
      </c>
      <c r="O1412"/>
      <c r="P1412"/>
      <c r="Q1412" t="s">
        <v>140</v>
      </c>
      <c r="R1412"/>
      <c r="S1412"/>
      <c r="T1412" t="s">
        <v>1920</v>
      </c>
      <c r="U1412" t="s">
        <v>137</v>
      </c>
      <c r="V1412" t="s">
        <v>403</v>
      </c>
      <c r="W1412"/>
      <c r="X1412" t="s">
        <v>68</v>
      </c>
      <c r="Y1412"/>
      <c r="Z1412"/>
      <c r="AA1412" t="s">
        <v>1884</v>
      </c>
      <c r="AB1412" t="s">
        <v>3</v>
      </c>
      <c r="AC1412" t="s">
        <v>138</v>
      </c>
      <c r="AD1412" t="s">
        <v>128</v>
      </c>
      <c r="AE1412" s="97"/>
    </row>
    <row r="1413" spans="1:31" ht="14.4" customHeight="1" x14ac:dyDescent="0.3">
      <c r="A1413" t="s">
        <v>3629</v>
      </c>
      <c r="B1413" t="s">
        <v>1922</v>
      </c>
      <c r="C1413"/>
      <c r="D1413"/>
      <c r="E1413"/>
      <c r="F1413"/>
      <c r="G1413" t="s">
        <v>3619</v>
      </c>
      <c r="H1413" t="s">
        <v>132</v>
      </c>
      <c r="I1413" t="s">
        <v>2</v>
      </c>
      <c r="J1413" t="s">
        <v>133</v>
      </c>
      <c r="K1413" t="s">
        <v>52</v>
      </c>
      <c r="L1413" t="s">
        <v>1919</v>
      </c>
      <c r="M1413" t="s">
        <v>134</v>
      </c>
      <c r="N1413" t="s">
        <v>135</v>
      </c>
      <c r="O1413"/>
      <c r="P1413"/>
      <c r="Q1413" t="s">
        <v>140</v>
      </c>
      <c r="R1413"/>
      <c r="S1413"/>
      <c r="T1413" t="s">
        <v>1920</v>
      </c>
      <c r="U1413" t="s">
        <v>137</v>
      </c>
      <c r="V1413" t="s">
        <v>407</v>
      </c>
      <c r="W1413"/>
      <c r="X1413" t="s">
        <v>77</v>
      </c>
      <c r="Y1413"/>
      <c r="Z1413"/>
      <c r="AA1413" t="s">
        <v>1884</v>
      </c>
      <c r="AB1413" t="s">
        <v>3</v>
      </c>
      <c r="AC1413" t="s">
        <v>138</v>
      </c>
      <c r="AD1413" t="s">
        <v>128</v>
      </c>
      <c r="AE1413" s="97"/>
    </row>
    <row r="1414" spans="1:31" ht="14.4" customHeight="1" x14ac:dyDescent="0.3">
      <c r="A1414" t="s">
        <v>3630</v>
      </c>
      <c r="B1414" t="s">
        <v>1924</v>
      </c>
      <c r="C1414"/>
      <c r="D1414"/>
      <c r="E1414"/>
      <c r="F1414"/>
      <c r="G1414" t="s">
        <v>3619</v>
      </c>
      <c r="H1414" t="s">
        <v>132</v>
      </c>
      <c r="I1414" t="s">
        <v>2</v>
      </c>
      <c r="J1414" t="s">
        <v>133</v>
      </c>
      <c r="K1414" t="s">
        <v>52</v>
      </c>
      <c r="L1414" t="s">
        <v>1919</v>
      </c>
      <c r="M1414" t="s">
        <v>134</v>
      </c>
      <c r="N1414" t="s">
        <v>135</v>
      </c>
      <c r="O1414"/>
      <c r="P1414"/>
      <c r="Q1414" t="s">
        <v>140</v>
      </c>
      <c r="R1414"/>
      <c r="S1414"/>
      <c r="T1414" t="s">
        <v>1920</v>
      </c>
      <c r="U1414" t="s">
        <v>137</v>
      </c>
      <c r="V1414" t="s">
        <v>411</v>
      </c>
      <c r="W1414"/>
      <c r="X1414" t="s">
        <v>87</v>
      </c>
      <c r="Y1414"/>
      <c r="Z1414"/>
      <c r="AA1414" t="s">
        <v>1884</v>
      </c>
      <c r="AB1414" t="s">
        <v>3</v>
      </c>
      <c r="AC1414" t="s">
        <v>138</v>
      </c>
      <c r="AD1414" t="s">
        <v>129</v>
      </c>
      <c r="AE1414" s="97"/>
    </row>
    <row r="1415" spans="1:31" ht="14.4" customHeight="1" x14ac:dyDescent="0.3">
      <c r="A1415" t="s">
        <v>3631</v>
      </c>
      <c r="B1415" t="s">
        <v>1926</v>
      </c>
      <c r="C1415"/>
      <c r="D1415"/>
      <c r="E1415"/>
      <c r="F1415"/>
      <c r="G1415" t="s">
        <v>3619</v>
      </c>
      <c r="H1415" t="s">
        <v>132</v>
      </c>
      <c r="I1415" t="s">
        <v>2</v>
      </c>
      <c r="J1415" t="s">
        <v>133</v>
      </c>
      <c r="K1415" t="s">
        <v>52</v>
      </c>
      <c r="L1415" t="s">
        <v>1919</v>
      </c>
      <c r="M1415" t="s">
        <v>134</v>
      </c>
      <c r="N1415" t="s">
        <v>135</v>
      </c>
      <c r="O1415"/>
      <c r="P1415"/>
      <c r="Q1415" t="s">
        <v>140</v>
      </c>
      <c r="R1415"/>
      <c r="S1415"/>
      <c r="T1415" t="s">
        <v>1920</v>
      </c>
      <c r="U1415" t="s">
        <v>137</v>
      </c>
      <c r="V1415" t="s">
        <v>415</v>
      </c>
      <c r="W1415"/>
      <c r="X1415" t="s">
        <v>96</v>
      </c>
      <c r="Y1415"/>
      <c r="Z1415"/>
      <c r="AA1415" t="s">
        <v>1884</v>
      </c>
      <c r="AB1415" t="s">
        <v>3</v>
      </c>
      <c r="AC1415" t="s">
        <v>138</v>
      </c>
      <c r="AD1415" t="s">
        <v>129</v>
      </c>
      <c r="AE1415" s="97"/>
    </row>
    <row r="1416" spans="1:31" ht="14.4" customHeight="1" x14ac:dyDescent="0.3">
      <c r="A1416" t="s">
        <v>3632</v>
      </c>
      <c r="B1416" t="s">
        <v>1928</v>
      </c>
      <c r="C1416"/>
      <c r="D1416"/>
      <c r="E1416"/>
      <c r="F1416"/>
      <c r="G1416" t="s">
        <v>3619</v>
      </c>
      <c r="H1416" t="s">
        <v>132</v>
      </c>
      <c r="I1416" t="s">
        <v>2</v>
      </c>
      <c r="J1416" t="s">
        <v>133</v>
      </c>
      <c r="K1416" t="s">
        <v>52</v>
      </c>
      <c r="L1416" t="s">
        <v>1919</v>
      </c>
      <c r="M1416" t="s">
        <v>134</v>
      </c>
      <c r="N1416" t="s">
        <v>135</v>
      </c>
      <c r="O1416"/>
      <c r="P1416"/>
      <c r="Q1416" t="s">
        <v>140</v>
      </c>
      <c r="R1416"/>
      <c r="S1416"/>
      <c r="T1416" t="s">
        <v>1920</v>
      </c>
      <c r="U1416" t="s">
        <v>137</v>
      </c>
      <c r="V1416" t="s">
        <v>419</v>
      </c>
      <c r="W1416"/>
      <c r="X1416" t="s">
        <v>105</v>
      </c>
      <c r="Y1416"/>
      <c r="Z1416"/>
      <c r="AA1416" t="s">
        <v>1884</v>
      </c>
      <c r="AB1416" t="s">
        <v>3</v>
      </c>
      <c r="AC1416" t="s">
        <v>138</v>
      </c>
      <c r="AD1416" t="s">
        <v>129</v>
      </c>
      <c r="AE1416" s="97"/>
    </row>
    <row r="1417" spans="1:31" ht="14.4" customHeight="1" x14ac:dyDescent="0.3">
      <c r="A1417" t="s">
        <v>3633</v>
      </c>
      <c r="B1417" t="s">
        <v>1930</v>
      </c>
      <c r="C1417"/>
      <c r="D1417"/>
      <c r="E1417"/>
      <c r="F1417"/>
      <c r="G1417" t="s">
        <v>3619</v>
      </c>
      <c r="H1417" t="s">
        <v>132</v>
      </c>
      <c r="I1417" t="s">
        <v>2</v>
      </c>
      <c r="J1417" t="s">
        <v>133</v>
      </c>
      <c r="K1417" t="s">
        <v>52</v>
      </c>
      <c r="L1417" t="s">
        <v>1919</v>
      </c>
      <c r="M1417" t="s">
        <v>134</v>
      </c>
      <c r="N1417" t="s">
        <v>135</v>
      </c>
      <c r="O1417"/>
      <c r="P1417"/>
      <c r="Q1417" t="s">
        <v>140</v>
      </c>
      <c r="R1417"/>
      <c r="S1417"/>
      <c r="T1417" t="s">
        <v>1920</v>
      </c>
      <c r="U1417" t="s">
        <v>137</v>
      </c>
      <c r="V1417" t="s">
        <v>423</v>
      </c>
      <c r="W1417"/>
      <c r="X1417" t="s">
        <v>112</v>
      </c>
      <c r="Y1417"/>
      <c r="Z1417"/>
      <c r="AA1417" t="s">
        <v>1884</v>
      </c>
      <c r="AB1417" t="s">
        <v>3</v>
      </c>
      <c r="AC1417" t="s">
        <v>138</v>
      </c>
      <c r="AD1417" t="s">
        <v>129</v>
      </c>
      <c r="AE1417" s="97"/>
    </row>
    <row r="1418" spans="1:31" ht="14.4" customHeight="1" x14ac:dyDescent="0.3">
      <c r="A1418" t="s">
        <v>3634</v>
      </c>
      <c r="B1418" t="s">
        <v>1932</v>
      </c>
      <c r="C1418"/>
      <c r="D1418"/>
      <c r="E1418"/>
      <c r="F1418"/>
      <c r="G1418" t="s">
        <v>3619</v>
      </c>
      <c r="H1418" t="s">
        <v>132</v>
      </c>
      <c r="I1418" t="s">
        <v>2</v>
      </c>
      <c r="J1418" t="s">
        <v>133</v>
      </c>
      <c r="K1418" t="s">
        <v>52</v>
      </c>
      <c r="L1418" t="s">
        <v>1919</v>
      </c>
      <c r="M1418" t="s">
        <v>134</v>
      </c>
      <c r="N1418" t="s">
        <v>135</v>
      </c>
      <c r="O1418"/>
      <c r="P1418"/>
      <c r="Q1418" t="s">
        <v>140</v>
      </c>
      <c r="R1418"/>
      <c r="S1418"/>
      <c r="T1418" t="s">
        <v>1920</v>
      </c>
      <c r="U1418" t="s">
        <v>137</v>
      </c>
      <c r="V1418" t="s">
        <v>427</v>
      </c>
      <c r="W1418"/>
      <c r="X1418" t="s">
        <v>121</v>
      </c>
      <c r="Y1418"/>
      <c r="Z1418"/>
      <c r="AA1418" t="s">
        <v>1884</v>
      </c>
      <c r="AB1418" t="s">
        <v>3</v>
      </c>
      <c r="AC1418" t="s">
        <v>138</v>
      </c>
      <c r="AD1418" t="s">
        <v>130</v>
      </c>
      <c r="AE1418" s="97"/>
    </row>
    <row r="1419" spans="1:31" ht="14.4" customHeight="1" x14ac:dyDescent="0.3">
      <c r="A1419" t="s">
        <v>3635</v>
      </c>
      <c r="B1419" t="s">
        <v>1934</v>
      </c>
      <c r="C1419"/>
      <c r="D1419"/>
      <c r="E1419"/>
      <c r="F1419"/>
      <c r="G1419" t="s">
        <v>3619</v>
      </c>
      <c r="H1419" t="s">
        <v>132</v>
      </c>
      <c r="I1419" t="s">
        <v>2</v>
      </c>
      <c r="J1419" t="s">
        <v>133</v>
      </c>
      <c r="K1419" t="s">
        <v>52</v>
      </c>
      <c r="L1419" t="s">
        <v>1935</v>
      </c>
      <c r="M1419" t="s">
        <v>134</v>
      </c>
      <c r="N1419" t="s">
        <v>135</v>
      </c>
      <c r="O1419"/>
      <c r="P1419"/>
      <c r="Q1419" t="s">
        <v>140</v>
      </c>
      <c r="R1419"/>
      <c r="S1419"/>
      <c r="T1419" t="s">
        <v>1936</v>
      </c>
      <c r="U1419" t="s">
        <v>137</v>
      </c>
      <c r="V1419" t="s">
        <v>640</v>
      </c>
      <c r="W1419"/>
      <c r="X1419" t="s">
        <v>66</v>
      </c>
      <c r="Y1419"/>
      <c r="Z1419"/>
      <c r="AA1419" t="s">
        <v>1884</v>
      </c>
      <c r="AB1419" t="s">
        <v>3</v>
      </c>
      <c r="AC1419" t="s">
        <v>138</v>
      </c>
      <c r="AD1419" t="s">
        <v>128</v>
      </c>
      <c r="AE1419" s="97"/>
    </row>
    <row r="1420" spans="1:31" ht="14.4" customHeight="1" x14ac:dyDescent="0.3">
      <c r="A1420" t="s">
        <v>3636</v>
      </c>
      <c r="B1420" t="s">
        <v>1938</v>
      </c>
      <c r="C1420"/>
      <c r="D1420"/>
      <c r="E1420"/>
      <c r="F1420"/>
      <c r="G1420" t="s">
        <v>3619</v>
      </c>
      <c r="H1420" t="s">
        <v>132</v>
      </c>
      <c r="I1420" t="s">
        <v>2</v>
      </c>
      <c r="J1420" t="s">
        <v>133</v>
      </c>
      <c r="K1420" t="s">
        <v>52</v>
      </c>
      <c r="L1420" t="s">
        <v>1935</v>
      </c>
      <c r="M1420" t="s">
        <v>134</v>
      </c>
      <c r="N1420" t="s">
        <v>135</v>
      </c>
      <c r="O1420"/>
      <c r="P1420"/>
      <c r="Q1420" t="s">
        <v>140</v>
      </c>
      <c r="R1420"/>
      <c r="S1420"/>
      <c r="T1420" t="s">
        <v>1936</v>
      </c>
      <c r="U1420" t="s">
        <v>137</v>
      </c>
      <c r="V1420" t="s">
        <v>646</v>
      </c>
      <c r="W1420"/>
      <c r="X1420" t="s">
        <v>74</v>
      </c>
      <c r="Y1420"/>
      <c r="Z1420"/>
      <c r="AA1420" t="s">
        <v>1884</v>
      </c>
      <c r="AB1420" t="s">
        <v>3</v>
      </c>
      <c r="AC1420" t="s">
        <v>138</v>
      </c>
      <c r="AD1420" t="s">
        <v>128</v>
      </c>
      <c r="AE1420" s="97"/>
    </row>
    <row r="1421" spans="1:31" ht="14.4" customHeight="1" x14ac:dyDescent="0.3">
      <c r="A1421" t="s">
        <v>3637</v>
      </c>
      <c r="B1421" t="s">
        <v>1940</v>
      </c>
      <c r="C1421"/>
      <c r="D1421"/>
      <c r="E1421"/>
      <c r="F1421"/>
      <c r="G1421" t="s">
        <v>3619</v>
      </c>
      <c r="H1421" t="s">
        <v>132</v>
      </c>
      <c r="I1421" t="s">
        <v>2</v>
      </c>
      <c r="J1421" t="s">
        <v>133</v>
      </c>
      <c r="K1421" t="s">
        <v>52</v>
      </c>
      <c r="L1421" t="s">
        <v>1935</v>
      </c>
      <c r="M1421" t="s">
        <v>134</v>
      </c>
      <c r="N1421" t="s">
        <v>135</v>
      </c>
      <c r="O1421"/>
      <c r="P1421"/>
      <c r="Q1421" t="s">
        <v>140</v>
      </c>
      <c r="R1421"/>
      <c r="S1421"/>
      <c r="T1421" t="s">
        <v>1936</v>
      </c>
      <c r="U1421" t="s">
        <v>137</v>
      </c>
      <c r="V1421" t="s">
        <v>652</v>
      </c>
      <c r="W1421"/>
      <c r="X1421" t="s">
        <v>85</v>
      </c>
      <c r="Y1421"/>
      <c r="Z1421"/>
      <c r="AA1421" t="s">
        <v>1884</v>
      </c>
      <c r="AB1421" t="s">
        <v>3</v>
      </c>
      <c r="AC1421" t="s">
        <v>138</v>
      </c>
      <c r="AD1421" t="s">
        <v>129</v>
      </c>
      <c r="AE1421" s="97"/>
    </row>
    <row r="1422" spans="1:31" ht="14.4" customHeight="1" x14ac:dyDescent="0.3">
      <c r="A1422" t="s">
        <v>3638</v>
      </c>
      <c r="B1422" t="s">
        <v>1942</v>
      </c>
      <c r="C1422"/>
      <c r="D1422"/>
      <c r="E1422"/>
      <c r="F1422"/>
      <c r="G1422" t="s">
        <v>3619</v>
      </c>
      <c r="H1422" t="s">
        <v>132</v>
      </c>
      <c r="I1422" t="s">
        <v>2</v>
      </c>
      <c r="J1422" t="s">
        <v>133</v>
      </c>
      <c r="K1422" t="s">
        <v>52</v>
      </c>
      <c r="L1422" t="s">
        <v>1935</v>
      </c>
      <c r="M1422" t="s">
        <v>134</v>
      </c>
      <c r="N1422" t="s">
        <v>135</v>
      </c>
      <c r="O1422"/>
      <c r="P1422"/>
      <c r="Q1422" t="s">
        <v>140</v>
      </c>
      <c r="R1422"/>
      <c r="S1422"/>
      <c r="T1422" t="s">
        <v>1936</v>
      </c>
      <c r="U1422" t="s">
        <v>137</v>
      </c>
      <c r="V1422" t="s">
        <v>658</v>
      </c>
      <c r="W1422"/>
      <c r="X1422" t="s">
        <v>94</v>
      </c>
      <c r="Y1422"/>
      <c r="Z1422"/>
      <c r="AA1422" t="s">
        <v>1884</v>
      </c>
      <c r="AB1422" t="s">
        <v>3</v>
      </c>
      <c r="AC1422" t="s">
        <v>138</v>
      </c>
      <c r="AD1422" t="s">
        <v>129</v>
      </c>
      <c r="AE1422" s="97"/>
    </row>
    <row r="1423" spans="1:31" ht="14.4" customHeight="1" x14ac:dyDescent="0.3">
      <c r="A1423" t="s">
        <v>3639</v>
      </c>
      <c r="B1423" t="s">
        <v>1944</v>
      </c>
      <c r="C1423"/>
      <c r="D1423"/>
      <c r="E1423"/>
      <c r="F1423"/>
      <c r="G1423" t="s">
        <v>3619</v>
      </c>
      <c r="H1423" t="s">
        <v>132</v>
      </c>
      <c r="I1423" t="s">
        <v>2</v>
      </c>
      <c r="J1423" t="s">
        <v>133</v>
      </c>
      <c r="K1423" t="s">
        <v>52</v>
      </c>
      <c r="L1423" t="s">
        <v>1935</v>
      </c>
      <c r="M1423" t="s">
        <v>134</v>
      </c>
      <c r="N1423" t="s">
        <v>135</v>
      </c>
      <c r="O1423"/>
      <c r="P1423"/>
      <c r="Q1423" t="s">
        <v>140</v>
      </c>
      <c r="R1423"/>
      <c r="S1423"/>
      <c r="T1423" t="s">
        <v>1936</v>
      </c>
      <c r="U1423" t="s">
        <v>137</v>
      </c>
      <c r="V1423" t="s">
        <v>664</v>
      </c>
      <c r="W1423"/>
      <c r="X1423" t="s">
        <v>103</v>
      </c>
      <c r="Y1423"/>
      <c r="Z1423"/>
      <c r="AA1423" t="s">
        <v>1884</v>
      </c>
      <c r="AB1423" t="s">
        <v>3</v>
      </c>
      <c r="AC1423" t="s">
        <v>138</v>
      </c>
      <c r="AD1423" t="s">
        <v>129</v>
      </c>
      <c r="AE1423" s="97"/>
    </row>
    <row r="1424" spans="1:31" ht="14.4" customHeight="1" x14ac:dyDescent="0.3">
      <c r="A1424" t="s">
        <v>3640</v>
      </c>
      <c r="B1424" t="s">
        <v>1946</v>
      </c>
      <c r="C1424"/>
      <c r="D1424"/>
      <c r="E1424"/>
      <c r="F1424"/>
      <c r="G1424" t="s">
        <v>3619</v>
      </c>
      <c r="H1424" t="s">
        <v>132</v>
      </c>
      <c r="I1424" t="s">
        <v>2</v>
      </c>
      <c r="J1424" t="s">
        <v>133</v>
      </c>
      <c r="K1424" t="s">
        <v>52</v>
      </c>
      <c r="L1424" t="s">
        <v>1935</v>
      </c>
      <c r="M1424" t="s">
        <v>134</v>
      </c>
      <c r="N1424" t="s">
        <v>135</v>
      </c>
      <c r="O1424"/>
      <c r="P1424"/>
      <c r="Q1424" t="s">
        <v>140</v>
      </c>
      <c r="R1424"/>
      <c r="S1424"/>
      <c r="T1424" t="s">
        <v>1936</v>
      </c>
      <c r="U1424" t="s">
        <v>137</v>
      </c>
      <c r="V1424" t="s">
        <v>670</v>
      </c>
      <c r="W1424"/>
      <c r="X1424" t="s">
        <v>110</v>
      </c>
      <c r="Y1424"/>
      <c r="Z1424"/>
      <c r="AA1424" t="s">
        <v>1884</v>
      </c>
      <c r="AB1424" t="s">
        <v>3</v>
      </c>
      <c r="AC1424" t="s">
        <v>138</v>
      </c>
      <c r="AD1424" t="s">
        <v>129</v>
      </c>
      <c r="AE1424" s="97"/>
    </row>
    <row r="1425" spans="1:31" ht="14.4" customHeight="1" x14ac:dyDescent="0.3">
      <c r="A1425" t="s">
        <v>3641</v>
      </c>
      <c r="B1425" t="s">
        <v>1948</v>
      </c>
      <c r="C1425"/>
      <c r="D1425"/>
      <c r="E1425"/>
      <c r="F1425"/>
      <c r="G1425" t="s">
        <v>3619</v>
      </c>
      <c r="H1425" t="s">
        <v>132</v>
      </c>
      <c r="I1425" t="s">
        <v>2</v>
      </c>
      <c r="J1425" t="s">
        <v>133</v>
      </c>
      <c r="K1425" t="s">
        <v>52</v>
      </c>
      <c r="L1425" t="s">
        <v>1949</v>
      </c>
      <c r="M1425" t="s">
        <v>134</v>
      </c>
      <c r="N1425" t="s">
        <v>135</v>
      </c>
      <c r="O1425"/>
      <c r="P1425"/>
      <c r="Q1425" t="s">
        <v>140</v>
      </c>
      <c r="R1425"/>
      <c r="S1425"/>
      <c r="T1425" t="s">
        <v>1950</v>
      </c>
      <c r="U1425" t="s">
        <v>137</v>
      </c>
      <c r="V1425" t="s">
        <v>1190</v>
      </c>
      <c r="W1425"/>
      <c r="X1425" t="s">
        <v>67</v>
      </c>
      <c r="Y1425"/>
      <c r="Z1425"/>
      <c r="AA1425" t="s">
        <v>1884</v>
      </c>
      <c r="AB1425" t="s">
        <v>3</v>
      </c>
      <c r="AC1425" t="s">
        <v>138</v>
      </c>
      <c r="AD1425" t="s">
        <v>128</v>
      </c>
      <c r="AE1425" s="97"/>
    </row>
    <row r="1426" spans="1:31" ht="14.4" customHeight="1" x14ac:dyDescent="0.3">
      <c r="A1426" t="s">
        <v>3642</v>
      </c>
      <c r="B1426" t="s">
        <v>1952</v>
      </c>
      <c r="C1426"/>
      <c r="D1426"/>
      <c r="E1426"/>
      <c r="F1426"/>
      <c r="G1426" t="s">
        <v>3619</v>
      </c>
      <c r="H1426" t="s">
        <v>132</v>
      </c>
      <c r="I1426" t="s">
        <v>2</v>
      </c>
      <c r="J1426" t="s">
        <v>133</v>
      </c>
      <c r="K1426" t="s">
        <v>52</v>
      </c>
      <c r="L1426" t="s">
        <v>1949</v>
      </c>
      <c r="M1426" t="s">
        <v>134</v>
      </c>
      <c r="N1426" t="s">
        <v>135</v>
      </c>
      <c r="O1426"/>
      <c r="P1426"/>
      <c r="Q1426" t="s">
        <v>140</v>
      </c>
      <c r="R1426"/>
      <c r="S1426"/>
      <c r="T1426" t="s">
        <v>1950</v>
      </c>
      <c r="U1426" t="s">
        <v>137</v>
      </c>
      <c r="V1426" t="s">
        <v>1194</v>
      </c>
      <c r="W1426"/>
      <c r="X1426" t="s">
        <v>75</v>
      </c>
      <c r="Y1426"/>
      <c r="Z1426"/>
      <c r="AA1426" t="s">
        <v>1884</v>
      </c>
      <c r="AB1426" t="s">
        <v>3</v>
      </c>
      <c r="AC1426" t="s">
        <v>138</v>
      </c>
      <c r="AD1426" t="s">
        <v>128</v>
      </c>
      <c r="AE1426" s="97"/>
    </row>
    <row r="1427" spans="1:31" ht="14.4" customHeight="1" x14ac:dyDescent="0.3">
      <c r="A1427" t="s">
        <v>3643</v>
      </c>
      <c r="B1427" t="s">
        <v>1954</v>
      </c>
      <c r="C1427"/>
      <c r="D1427"/>
      <c r="E1427"/>
      <c r="F1427"/>
      <c r="G1427" t="s">
        <v>3619</v>
      </c>
      <c r="H1427" t="s">
        <v>132</v>
      </c>
      <c r="I1427" t="s">
        <v>2</v>
      </c>
      <c r="J1427" t="s">
        <v>133</v>
      </c>
      <c r="K1427" t="s">
        <v>52</v>
      </c>
      <c r="L1427" t="s">
        <v>1949</v>
      </c>
      <c r="M1427" t="s">
        <v>134</v>
      </c>
      <c r="N1427" t="s">
        <v>135</v>
      </c>
      <c r="O1427"/>
      <c r="P1427"/>
      <c r="Q1427" t="s">
        <v>140</v>
      </c>
      <c r="R1427"/>
      <c r="S1427"/>
      <c r="T1427" t="s">
        <v>1950</v>
      </c>
      <c r="U1427" t="s">
        <v>137</v>
      </c>
      <c r="V1427" t="s">
        <v>1198</v>
      </c>
      <c r="W1427"/>
      <c r="X1427" t="s">
        <v>86</v>
      </c>
      <c r="Y1427"/>
      <c r="Z1427"/>
      <c r="AA1427" t="s">
        <v>1884</v>
      </c>
      <c r="AB1427" t="s">
        <v>3</v>
      </c>
      <c r="AC1427" t="s">
        <v>138</v>
      </c>
      <c r="AD1427" t="s">
        <v>129</v>
      </c>
      <c r="AE1427" s="97"/>
    </row>
    <row r="1428" spans="1:31" ht="14.4" customHeight="1" x14ac:dyDescent="0.3">
      <c r="A1428" t="s">
        <v>3644</v>
      </c>
      <c r="B1428" t="s">
        <v>1956</v>
      </c>
      <c r="C1428"/>
      <c r="D1428"/>
      <c r="E1428"/>
      <c r="F1428"/>
      <c r="G1428" t="s">
        <v>3619</v>
      </c>
      <c r="H1428" t="s">
        <v>132</v>
      </c>
      <c r="I1428" t="s">
        <v>2</v>
      </c>
      <c r="J1428" t="s">
        <v>133</v>
      </c>
      <c r="K1428" t="s">
        <v>52</v>
      </c>
      <c r="L1428" t="s">
        <v>1949</v>
      </c>
      <c r="M1428" t="s">
        <v>134</v>
      </c>
      <c r="N1428" t="s">
        <v>135</v>
      </c>
      <c r="O1428"/>
      <c r="P1428"/>
      <c r="Q1428" t="s">
        <v>140</v>
      </c>
      <c r="R1428"/>
      <c r="S1428"/>
      <c r="T1428" t="s">
        <v>1950</v>
      </c>
      <c r="U1428" t="s">
        <v>137</v>
      </c>
      <c r="V1428" t="s">
        <v>1202</v>
      </c>
      <c r="W1428"/>
      <c r="X1428" t="s">
        <v>95</v>
      </c>
      <c r="Y1428"/>
      <c r="Z1428"/>
      <c r="AA1428" t="s">
        <v>1884</v>
      </c>
      <c r="AB1428" t="s">
        <v>3</v>
      </c>
      <c r="AC1428" t="s">
        <v>138</v>
      </c>
      <c r="AD1428" t="s">
        <v>129</v>
      </c>
      <c r="AE1428" s="97"/>
    </row>
    <row r="1429" spans="1:31" ht="14.4" customHeight="1" x14ac:dyDescent="0.3">
      <c r="A1429" t="s">
        <v>3645</v>
      </c>
      <c r="B1429" t="s">
        <v>1958</v>
      </c>
      <c r="C1429"/>
      <c r="D1429"/>
      <c r="E1429"/>
      <c r="F1429"/>
      <c r="G1429" t="s">
        <v>3619</v>
      </c>
      <c r="H1429" t="s">
        <v>132</v>
      </c>
      <c r="I1429" t="s">
        <v>2</v>
      </c>
      <c r="J1429" t="s">
        <v>133</v>
      </c>
      <c r="K1429" t="s">
        <v>52</v>
      </c>
      <c r="L1429" t="s">
        <v>1949</v>
      </c>
      <c r="M1429" t="s">
        <v>134</v>
      </c>
      <c r="N1429" t="s">
        <v>135</v>
      </c>
      <c r="O1429"/>
      <c r="P1429"/>
      <c r="Q1429" t="s">
        <v>140</v>
      </c>
      <c r="R1429"/>
      <c r="S1429"/>
      <c r="T1429" t="s">
        <v>1950</v>
      </c>
      <c r="U1429" t="s">
        <v>137</v>
      </c>
      <c r="V1429" t="s">
        <v>1206</v>
      </c>
      <c r="W1429"/>
      <c r="X1429" t="s">
        <v>104</v>
      </c>
      <c r="Y1429"/>
      <c r="Z1429"/>
      <c r="AA1429" t="s">
        <v>1884</v>
      </c>
      <c r="AB1429" t="s">
        <v>3</v>
      </c>
      <c r="AC1429" t="s">
        <v>138</v>
      </c>
      <c r="AD1429" t="s">
        <v>129</v>
      </c>
      <c r="AE1429" s="97"/>
    </row>
    <row r="1430" spans="1:31" ht="14.4" customHeight="1" x14ac:dyDescent="0.3">
      <c r="A1430" t="s">
        <v>3646</v>
      </c>
      <c r="B1430" t="s">
        <v>1960</v>
      </c>
      <c r="C1430"/>
      <c r="D1430"/>
      <c r="E1430"/>
      <c r="F1430"/>
      <c r="G1430" t="s">
        <v>3619</v>
      </c>
      <c r="H1430" t="s">
        <v>132</v>
      </c>
      <c r="I1430" t="s">
        <v>2</v>
      </c>
      <c r="J1430" t="s">
        <v>133</v>
      </c>
      <c r="K1430" t="s">
        <v>52</v>
      </c>
      <c r="L1430" t="s">
        <v>1949</v>
      </c>
      <c r="M1430" t="s">
        <v>134</v>
      </c>
      <c r="N1430" t="s">
        <v>135</v>
      </c>
      <c r="O1430"/>
      <c r="P1430"/>
      <c r="Q1430" t="s">
        <v>140</v>
      </c>
      <c r="R1430"/>
      <c r="S1430"/>
      <c r="T1430" t="s">
        <v>1950</v>
      </c>
      <c r="U1430" t="s">
        <v>137</v>
      </c>
      <c r="V1430" t="s">
        <v>1210</v>
      </c>
      <c r="W1430"/>
      <c r="X1430" t="s">
        <v>111</v>
      </c>
      <c r="Y1430"/>
      <c r="Z1430"/>
      <c r="AA1430" t="s">
        <v>1884</v>
      </c>
      <c r="AB1430" t="s">
        <v>3</v>
      </c>
      <c r="AC1430" t="s">
        <v>138</v>
      </c>
      <c r="AD1430" t="s">
        <v>129</v>
      </c>
      <c r="AE1430" s="97"/>
    </row>
    <row r="1431" spans="1:31" ht="14.4" customHeight="1" x14ac:dyDescent="0.3">
      <c r="A1431" t="s">
        <v>3647</v>
      </c>
      <c r="B1431" t="s">
        <v>1962</v>
      </c>
      <c r="C1431"/>
      <c r="D1431"/>
      <c r="E1431"/>
      <c r="F1431"/>
      <c r="G1431" t="s">
        <v>3619</v>
      </c>
      <c r="H1431" t="s">
        <v>132</v>
      </c>
      <c r="I1431" t="s">
        <v>2</v>
      </c>
      <c r="J1431" t="s">
        <v>133</v>
      </c>
      <c r="K1431" t="s">
        <v>52</v>
      </c>
      <c r="L1431" t="s">
        <v>1949</v>
      </c>
      <c r="M1431" t="s">
        <v>134</v>
      </c>
      <c r="N1431" t="s">
        <v>135</v>
      </c>
      <c r="O1431"/>
      <c r="P1431"/>
      <c r="Q1431" t="s">
        <v>140</v>
      </c>
      <c r="R1431"/>
      <c r="S1431"/>
      <c r="T1431" t="s">
        <v>1950</v>
      </c>
      <c r="U1431" t="s">
        <v>137</v>
      </c>
      <c r="V1431" t="s">
        <v>1214</v>
      </c>
      <c r="W1431"/>
      <c r="X1431" t="s">
        <v>120</v>
      </c>
      <c r="Y1431"/>
      <c r="Z1431"/>
      <c r="AA1431" t="s">
        <v>1884</v>
      </c>
      <c r="AB1431" t="s">
        <v>3</v>
      </c>
      <c r="AC1431" t="s">
        <v>138</v>
      </c>
      <c r="AD1431" t="s">
        <v>130</v>
      </c>
      <c r="AE1431" s="97"/>
    </row>
    <row r="1432" spans="1:31" ht="14.4" customHeight="1" x14ac:dyDescent="0.3">
      <c r="A1432" t="s">
        <v>3648</v>
      </c>
      <c r="B1432" t="s">
        <v>1964</v>
      </c>
      <c r="C1432"/>
      <c r="D1432"/>
      <c r="E1432"/>
      <c r="F1432"/>
      <c r="G1432" t="s">
        <v>3619</v>
      </c>
      <c r="H1432" t="s">
        <v>132</v>
      </c>
      <c r="I1432" t="s">
        <v>2</v>
      </c>
      <c r="J1432" t="s">
        <v>133</v>
      </c>
      <c r="K1432" t="s">
        <v>52</v>
      </c>
      <c r="L1432" t="s">
        <v>1965</v>
      </c>
      <c r="M1432" t="s">
        <v>134</v>
      </c>
      <c r="N1432" t="s">
        <v>135</v>
      </c>
      <c r="O1432"/>
      <c r="P1432"/>
      <c r="Q1432" t="s">
        <v>140</v>
      </c>
      <c r="R1432"/>
      <c r="S1432"/>
      <c r="T1432" t="s">
        <v>1966</v>
      </c>
      <c r="U1432" t="s">
        <v>137</v>
      </c>
      <c r="V1432" t="s">
        <v>1967</v>
      </c>
      <c r="W1432"/>
      <c r="X1432" t="s">
        <v>125</v>
      </c>
      <c r="Y1432"/>
      <c r="Z1432"/>
      <c r="AA1432" t="s">
        <v>1884</v>
      </c>
      <c r="AB1432" t="s">
        <v>3</v>
      </c>
      <c r="AC1432" t="s">
        <v>138</v>
      </c>
      <c r="AD1432" t="s">
        <v>131</v>
      </c>
      <c r="AE1432" s="97"/>
    </row>
    <row r="1433" spans="1:31" ht="14.4" customHeight="1" x14ac:dyDescent="0.3">
      <c r="A1433" t="s">
        <v>3649</v>
      </c>
      <c r="B1433" t="s">
        <v>1969</v>
      </c>
      <c r="C1433"/>
      <c r="D1433"/>
      <c r="E1433"/>
      <c r="F1433"/>
      <c r="G1433" t="s">
        <v>3619</v>
      </c>
      <c r="H1433" t="s">
        <v>132</v>
      </c>
      <c r="I1433" t="s">
        <v>2</v>
      </c>
      <c r="J1433" t="s">
        <v>133</v>
      </c>
      <c r="K1433" t="s">
        <v>52</v>
      </c>
      <c r="L1433" t="s">
        <v>1970</v>
      </c>
      <c r="M1433" t="s">
        <v>134</v>
      </c>
      <c r="N1433" t="s">
        <v>135</v>
      </c>
      <c r="O1433"/>
      <c r="P1433"/>
      <c r="Q1433" t="s">
        <v>140</v>
      </c>
      <c r="R1433"/>
      <c r="S1433"/>
      <c r="T1433" t="s">
        <v>1966</v>
      </c>
      <c r="U1433" t="s">
        <v>137</v>
      </c>
      <c r="V1433" t="s">
        <v>1967</v>
      </c>
      <c r="W1433"/>
      <c r="X1433" t="s">
        <v>125</v>
      </c>
      <c r="Y1433"/>
      <c r="Z1433"/>
      <c r="AA1433" t="s">
        <v>1884</v>
      </c>
      <c r="AB1433" t="s">
        <v>3</v>
      </c>
      <c r="AC1433" t="s">
        <v>138</v>
      </c>
      <c r="AD1433" t="s">
        <v>131</v>
      </c>
      <c r="AE1433" s="97"/>
    </row>
    <row r="1434" spans="1:31" ht="14.4" customHeight="1" x14ac:dyDescent="0.3">
      <c r="A1434" t="s">
        <v>3650</v>
      </c>
      <c r="B1434" t="s">
        <v>1972</v>
      </c>
      <c r="C1434"/>
      <c r="D1434"/>
      <c r="E1434"/>
      <c r="F1434"/>
      <c r="G1434" t="s">
        <v>3619</v>
      </c>
      <c r="H1434" t="s">
        <v>132</v>
      </c>
      <c r="I1434" t="s">
        <v>2</v>
      </c>
      <c r="J1434" t="s">
        <v>133</v>
      </c>
      <c r="K1434" t="s">
        <v>52</v>
      </c>
      <c r="L1434" t="s">
        <v>1973</v>
      </c>
      <c r="M1434" t="s">
        <v>134</v>
      </c>
      <c r="N1434" t="s">
        <v>135</v>
      </c>
      <c r="O1434"/>
      <c r="P1434"/>
      <c r="Q1434" t="s">
        <v>140</v>
      </c>
      <c r="R1434"/>
      <c r="S1434"/>
      <c r="T1434" t="s">
        <v>1974</v>
      </c>
      <c r="U1434" t="s">
        <v>137</v>
      </c>
      <c r="V1434" t="s">
        <v>703</v>
      </c>
      <c r="W1434"/>
      <c r="X1434" t="s">
        <v>62</v>
      </c>
      <c r="Y1434"/>
      <c r="Z1434"/>
      <c r="AA1434" t="s">
        <v>1884</v>
      </c>
      <c r="AB1434" t="s">
        <v>3</v>
      </c>
      <c r="AC1434" t="s">
        <v>138</v>
      </c>
      <c r="AD1434" t="s">
        <v>128</v>
      </c>
      <c r="AE1434" s="97"/>
    </row>
    <row r="1435" spans="1:31" ht="14.4" customHeight="1" x14ac:dyDescent="0.3">
      <c r="A1435" t="s">
        <v>3651</v>
      </c>
      <c r="B1435" t="s">
        <v>1976</v>
      </c>
      <c r="C1435"/>
      <c r="D1435"/>
      <c r="E1435"/>
      <c r="F1435"/>
      <c r="G1435" t="s">
        <v>3619</v>
      </c>
      <c r="H1435" t="s">
        <v>132</v>
      </c>
      <c r="I1435" t="s">
        <v>2</v>
      </c>
      <c r="J1435" t="s">
        <v>133</v>
      </c>
      <c r="K1435" t="s">
        <v>52</v>
      </c>
      <c r="L1435" t="s">
        <v>1973</v>
      </c>
      <c r="M1435" t="s">
        <v>134</v>
      </c>
      <c r="N1435" t="s">
        <v>135</v>
      </c>
      <c r="O1435"/>
      <c r="P1435"/>
      <c r="Q1435" t="s">
        <v>140</v>
      </c>
      <c r="R1435"/>
      <c r="S1435"/>
      <c r="T1435" t="s">
        <v>1974</v>
      </c>
      <c r="U1435" t="s">
        <v>137</v>
      </c>
      <c r="V1435" t="s">
        <v>703</v>
      </c>
      <c r="W1435"/>
      <c r="X1435" t="s">
        <v>62</v>
      </c>
      <c r="Y1435"/>
      <c r="Z1435"/>
      <c r="AA1435" t="s">
        <v>1884</v>
      </c>
      <c r="AB1435" t="s">
        <v>3</v>
      </c>
      <c r="AC1435" t="s">
        <v>138</v>
      </c>
      <c r="AD1435" t="s">
        <v>128</v>
      </c>
      <c r="AE1435" s="97"/>
    </row>
    <row r="1436" spans="1:31" ht="14.4" customHeight="1" x14ac:dyDescent="0.3">
      <c r="A1436" t="s">
        <v>3652</v>
      </c>
      <c r="B1436" t="s">
        <v>1978</v>
      </c>
      <c r="C1436"/>
      <c r="D1436"/>
      <c r="E1436"/>
      <c r="F1436"/>
      <c r="G1436" t="s">
        <v>3619</v>
      </c>
      <c r="H1436" t="s">
        <v>132</v>
      </c>
      <c r="I1436" t="s">
        <v>2</v>
      </c>
      <c r="J1436" t="s">
        <v>133</v>
      </c>
      <c r="K1436" t="s">
        <v>52</v>
      </c>
      <c r="L1436" t="s">
        <v>1979</v>
      </c>
      <c r="M1436" t="s">
        <v>134</v>
      </c>
      <c r="N1436" t="s">
        <v>135</v>
      </c>
      <c r="O1436"/>
      <c r="P1436"/>
      <c r="Q1436" t="s">
        <v>140</v>
      </c>
      <c r="R1436"/>
      <c r="S1436"/>
      <c r="T1436" t="s">
        <v>1888</v>
      </c>
      <c r="U1436" t="s">
        <v>137</v>
      </c>
      <c r="V1436" t="s">
        <v>147</v>
      </c>
      <c r="W1436"/>
      <c r="X1436" t="s">
        <v>70</v>
      </c>
      <c r="Y1436"/>
      <c r="Z1436"/>
      <c r="AA1436" t="s">
        <v>1884</v>
      </c>
      <c r="AB1436" t="s">
        <v>3</v>
      </c>
      <c r="AC1436" t="s">
        <v>138</v>
      </c>
      <c r="AD1436" t="s">
        <v>128</v>
      </c>
      <c r="AE1436" s="97"/>
    </row>
    <row r="1437" spans="1:31" ht="14.4" customHeight="1" x14ac:dyDescent="0.3">
      <c r="A1437" t="s">
        <v>3653</v>
      </c>
      <c r="B1437" t="s">
        <v>1981</v>
      </c>
      <c r="C1437"/>
      <c r="D1437"/>
      <c r="E1437"/>
      <c r="F1437"/>
      <c r="G1437" t="s">
        <v>3619</v>
      </c>
      <c r="H1437" t="s">
        <v>132</v>
      </c>
      <c r="I1437" t="s">
        <v>2</v>
      </c>
      <c r="J1437" t="s">
        <v>133</v>
      </c>
      <c r="K1437" t="s">
        <v>52</v>
      </c>
      <c r="L1437" t="s">
        <v>1979</v>
      </c>
      <c r="M1437" t="s">
        <v>134</v>
      </c>
      <c r="N1437" t="s">
        <v>135</v>
      </c>
      <c r="O1437"/>
      <c r="P1437"/>
      <c r="Q1437" t="s">
        <v>140</v>
      </c>
      <c r="R1437"/>
      <c r="S1437"/>
      <c r="T1437" t="s">
        <v>1892</v>
      </c>
      <c r="U1437" t="s">
        <v>137</v>
      </c>
      <c r="V1437" t="s">
        <v>150</v>
      </c>
      <c r="W1437"/>
      <c r="X1437" t="s">
        <v>76</v>
      </c>
      <c r="Y1437"/>
      <c r="Z1437"/>
      <c r="AA1437" t="s">
        <v>1884</v>
      </c>
      <c r="AB1437" t="s">
        <v>3</v>
      </c>
      <c r="AC1437" t="s">
        <v>138</v>
      </c>
      <c r="AD1437" t="s">
        <v>128</v>
      </c>
      <c r="AE1437" s="97"/>
    </row>
    <row r="1438" spans="1:31" ht="14.4" customHeight="1" x14ac:dyDescent="0.3">
      <c r="A1438" t="s">
        <v>3654</v>
      </c>
      <c r="B1438" t="s">
        <v>1983</v>
      </c>
      <c r="C1438"/>
      <c r="D1438"/>
      <c r="E1438"/>
      <c r="F1438"/>
      <c r="G1438" t="s">
        <v>3619</v>
      </c>
      <c r="H1438" t="s">
        <v>132</v>
      </c>
      <c r="I1438" t="s">
        <v>2</v>
      </c>
      <c r="J1438" t="s">
        <v>133</v>
      </c>
      <c r="K1438" t="s">
        <v>52</v>
      </c>
      <c r="L1438" t="s">
        <v>1979</v>
      </c>
      <c r="M1438" t="s">
        <v>134</v>
      </c>
      <c r="N1438" t="s">
        <v>135</v>
      </c>
      <c r="O1438"/>
      <c r="P1438"/>
      <c r="Q1438" t="s">
        <v>140</v>
      </c>
      <c r="R1438"/>
      <c r="S1438"/>
      <c r="T1438" t="s">
        <v>1896</v>
      </c>
      <c r="U1438" t="s">
        <v>137</v>
      </c>
      <c r="V1438" t="s">
        <v>153</v>
      </c>
      <c r="W1438"/>
      <c r="X1438" t="s">
        <v>88</v>
      </c>
      <c r="Y1438"/>
      <c r="Z1438"/>
      <c r="AA1438" t="s">
        <v>1884</v>
      </c>
      <c r="AB1438" t="s">
        <v>3</v>
      </c>
      <c r="AC1438" t="s">
        <v>138</v>
      </c>
      <c r="AD1438" t="s">
        <v>129</v>
      </c>
      <c r="AE1438" s="97"/>
    </row>
    <row r="1439" spans="1:31" ht="14.4" customHeight="1" x14ac:dyDescent="0.3">
      <c r="A1439" t="s">
        <v>3655</v>
      </c>
      <c r="B1439" t="s">
        <v>1985</v>
      </c>
      <c r="C1439"/>
      <c r="D1439"/>
      <c r="E1439"/>
      <c r="F1439"/>
      <c r="G1439" t="s">
        <v>3619</v>
      </c>
      <c r="H1439" t="s">
        <v>132</v>
      </c>
      <c r="I1439" t="s">
        <v>2</v>
      </c>
      <c r="J1439" t="s">
        <v>133</v>
      </c>
      <c r="K1439" t="s">
        <v>52</v>
      </c>
      <c r="L1439" t="s">
        <v>1979</v>
      </c>
      <c r="M1439" t="s">
        <v>134</v>
      </c>
      <c r="N1439" t="s">
        <v>135</v>
      </c>
      <c r="O1439"/>
      <c r="P1439"/>
      <c r="Q1439" t="s">
        <v>140</v>
      </c>
      <c r="R1439"/>
      <c r="S1439"/>
      <c r="T1439" t="s">
        <v>1900</v>
      </c>
      <c r="U1439" t="s">
        <v>137</v>
      </c>
      <c r="V1439" t="s">
        <v>156</v>
      </c>
      <c r="W1439"/>
      <c r="X1439" t="s">
        <v>97</v>
      </c>
      <c r="Y1439"/>
      <c r="Z1439"/>
      <c r="AA1439" t="s">
        <v>1884</v>
      </c>
      <c r="AB1439" t="s">
        <v>3</v>
      </c>
      <c r="AC1439" t="s">
        <v>138</v>
      </c>
      <c r="AD1439" t="s">
        <v>129</v>
      </c>
      <c r="AE1439" s="97"/>
    </row>
    <row r="1440" spans="1:31" ht="14.4" customHeight="1" x14ac:dyDescent="0.3">
      <c r="A1440" t="s">
        <v>3656</v>
      </c>
      <c r="B1440" t="s">
        <v>1987</v>
      </c>
      <c r="C1440"/>
      <c r="D1440"/>
      <c r="E1440"/>
      <c r="F1440"/>
      <c r="G1440" t="s">
        <v>3619</v>
      </c>
      <c r="H1440" t="s">
        <v>132</v>
      </c>
      <c r="I1440" t="s">
        <v>2</v>
      </c>
      <c r="J1440" t="s">
        <v>133</v>
      </c>
      <c r="K1440" t="s">
        <v>52</v>
      </c>
      <c r="L1440" t="s">
        <v>1979</v>
      </c>
      <c r="M1440" t="s">
        <v>134</v>
      </c>
      <c r="N1440" t="s">
        <v>135</v>
      </c>
      <c r="O1440"/>
      <c r="P1440"/>
      <c r="Q1440" t="s">
        <v>140</v>
      </c>
      <c r="R1440"/>
      <c r="S1440"/>
      <c r="T1440" t="s">
        <v>1904</v>
      </c>
      <c r="U1440" t="s">
        <v>137</v>
      </c>
      <c r="V1440" t="s">
        <v>159</v>
      </c>
      <c r="W1440"/>
      <c r="X1440" t="s">
        <v>106</v>
      </c>
      <c r="Y1440"/>
      <c r="Z1440"/>
      <c r="AA1440" t="s">
        <v>1884</v>
      </c>
      <c r="AB1440" t="s">
        <v>3</v>
      </c>
      <c r="AC1440" t="s">
        <v>138</v>
      </c>
      <c r="AD1440" t="s">
        <v>129</v>
      </c>
      <c r="AE1440" s="97"/>
    </row>
    <row r="1441" spans="1:31" ht="14.4" customHeight="1" x14ac:dyDescent="0.3">
      <c r="A1441" t="s">
        <v>3657</v>
      </c>
      <c r="B1441" t="s">
        <v>1989</v>
      </c>
      <c r="C1441"/>
      <c r="D1441"/>
      <c r="E1441"/>
      <c r="F1441"/>
      <c r="G1441" t="s">
        <v>3619</v>
      </c>
      <c r="H1441" t="s">
        <v>132</v>
      </c>
      <c r="I1441" t="s">
        <v>2</v>
      </c>
      <c r="J1441" t="s">
        <v>133</v>
      </c>
      <c r="K1441" t="s">
        <v>52</v>
      </c>
      <c r="L1441" t="s">
        <v>1979</v>
      </c>
      <c r="M1441" t="s">
        <v>134</v>
      </c>
      <c r="N1441" t="s">
        <v>135</v>
      </c>
      <c r="O1441"/>
      <c r="P1441"/>
      <c r="Q1441" t="s">
        <v>140</v>
      </c>
      <c r="R1441"/>
      <c r="S1441"/>
      <c r="T1441" t="s">
        <v>1908</v>
      </c>
      <c r="U1441" t="s">
        <v>137</v>
      </c>
      <c r="V1441" t="s">
        <v>162</v>
      </c>
      <c r="W1441"/>
      <c r="X1441" t="s">
        <v>113</v>
      </c>
      <c r="Y1441"/>
      <c r="Z1441"/>
      <c r="AA1441" t="s">
        <v>1884</v>
      </c>
      <c r="AB1441" t="s">
        <v>3</v>
      </c>
      <c r="AC1441" t="s">
        <v>138</v>
      </c>
      <c r="AD1441" t="s">
        <v>129</v>
      </c>
      <c r="AE1441" s="97"/>
    </row>
    <row r="1442" spans="1:31" ht="14.4" customHeight="1" x14ac:dyDescent="0.3">
      <c r="A1442" t="s">
        <v>3658</v>
      </c>
      <c r="B1442" t="s">
        <v>1991</v>
      </c>
      <c r="C1442"/>
      <c r="D1442"/>
      <c r="E1442"/>
      <c r="F1442"/>
      <c r="G1442" t="s">
        <v>3619</v>
      </c>
      <c r="H1442" t="s">
        <v>132</v>
      </c>
      <c r="I1442" t="s">
        <v>2</v>
      </c>
      <c r="J1442" t="s">
        <v>133</v>
      </c>
      <c r="K1442" t="s">
        <v>52</v>
      </c>
      <c r="L1442" t="s">
        <v>1979</v>
      </c>
      <c r="M1442" t="s">
        <v>134</v>
      </c>
      <c r="N1442" t="s">
        <v>135</v>
      </c>
      <c r="O1442"/>
      <c r="P1442"/>
      <c r="Q1442" t="s">
        <v>140</v>
      </c>
      <c r="R1442"/>
      <c r="S1442"/>
      <c r="T1442" t="s">
        <v>1912</v>
      </c>
      <c r="U1442" t="s">
        <v>137</v>
      </c>
      <c r="V1442" t="s">
        <v>165</v>
      </c>
      <c r="W1442"/>
      <c r="X1442" t="s">
        <v>122</v>
      </c>
      <c r="Y1442"/>
      <c r="Z1442"/>
      <c r="AA1442" t="s">
        <v>1884</v>
      </c>
      <c r="AB1442" t="s">
        <v>3</v>
      </c>
      <c r="AC1442" t="s">
        <v>138</v>
      </c>
      <c r="AD1442" t="s">
        <v>130</v>
      </c>
      <c r="AE1442" s="97"/>
    </row>
    <row r="1443" spans="1:31" ht="14.4" customHeight="1" x14ac:dyDescent="0.3">
      <c r="A1443" t="s">
        <v>3659</v>
      </c>
      <c r="B1443" t="s">
        <v>1993</v>
      </c>
      <c r="C1443"/>
      <c r="D1443"/>
      <c r="E1443"/>
      <c r="F1443"/>
      <c r="G1443" t="s">
        <v>3619</v>
      </c>
      <c r="H1443" t="s">
        <v>132</v>
      </c>
      <c r="I1443" t="s">
        <v>2</v>
      </c>
      <c r="J1443" t="s">
        <v>133</v>
      </c>
      <c r="K1443" t="s">
        <v>52</v>
      </c>
      <c r="L1443" t="s">
        <v>1979</v>
      </c>
      <c r="M1443" t="s">
        <v>134</v>
      </c>
      <c r="N1443" t="s">
        <v>135</v>
      </c>
      <c r="O1443"/>
      <c r="P1443"/>
      <c r="Q1443" t="s">
        <v>140</v>
      </c>
      <c r="R1443"/>
      <c r="S1443"/>
      <c r="T1443" t="s">
        <v>1888</v>
      </c>
      <c r="U1443" t="s">
        <v>137</v>
      </c>
      <c r="V1443" t="s">
        <v>147</v>
      </c>
      <c r="W1443"/>
      <c r="X1443" t="s">
        <v>70</v>
      </c>
      <c r="Y1443"/>
      <c r="Z1443"/>
      <c r="AA1443" t="s">
        <v>1884</v>
      </c>
      <c r="AB1443" t="s">
        <v>3</v>
      </c>
      <c r="AC1443" t="s">
        <v>138</v>
      </c>
      <c r="AD1443" t="s">
        <v>128</v>
      </c>
      <c r="AE1443" s="97"/>
    </row>
    <row r="1444" spans="1:31" ht="14.4" customHeight="1" x14ac:dyDescent="0.3">
      <c r="A1444" t="s">
        <v>3660</v>
      </c>
      <c r="B1444" t="s">
        <v>1995</v>
      </c>
      <c r="C1444"/>
      <c r="D1444"/>
      <c r="E1444"/>
      <c r="F1444"/>
      <c r="G1444" t="s">
        <v>3619</v>
      </c>
      <c r="H1444" t="s">
        <v>132</v>
      </c>
      <c r="I1444" t="s">
        <v>2</v>
      </c>
      <c r="J1444" t="s">
        <v>133</v>
      </c>
      <c r="K1444" t="s">
        <v>52</v>
      </c>
      <c r="L1444" t="s">
        <v>1979</v>
      </c>
      <c r="M1444" t="s">
        <v>134</v>
      </c>
      <c r="N1444" t="s">
        <v>135</v>
      </c>
      <c r="O1444"/>
      <c r="P1444"/>
      <c r="Q1444" t="s">
        <v>140</v>
      </c>
      <c r="R1444"/>
      <c r="S1444"/>
      <c r="T1444" t="s">
        <v>1892</v>
      </c>
      <c r="U1444" t="s">
        <v>137</v>
      </c>
      <c r="V1444" t="s">
        <v>150</v>
      </c>
      <c r="W1444"/>
      <c r="X1444" t="s">
        <v>76</v>
      </c>
      <c r="Y1444"/>
      <c r="Z1444"/>
      <c r="AA1444" t="s">
        <v>1884</v>
      </c>
      <c r="AB1444" t="s">
        <v>3</v>
      </c>
      <c r="AC1444" t="s">
        <v>138</v>
      </c>
      <c r="AD1444" t="s">
        <v>128</v>
      </c>
      <c r="AE1444" s="97"/>
    </row>
    <row r="1445" spans="1:31" ht="14.4" customHeight="1" x14ac:dyDescent="0.3">
      <c r="A1445" t="s">
        <v>3661</v>
      </c>
      <c r="B1445" t="s">
        <v>1997</v>
      </c>
      <c r="C1445"/>
      <c r="D1445"/>
      <c r="E1445"/>
      <c r="F1445"/>
      <c r="G1445" t="s">
        <v>3619</v>
      </c>
      <c r="H1445" t="s">
        <v>132</v>
      </c>
      <c r="I1445" t="s">
        <v>2</v>
      </c>
      <c r="J1445" t="s">
        <v>133</v>
      </c>
      <c r="K1445" t="s">
        <v>52</v>
      </c>
      <c r="L1445" t="s">
        <v>1979</v>
      </c>
      <c r="M1445" t="s">
        <v>134</v>
      </c>
      <c r="N1445" t="s">
        <v>135</v>
      </c>
      <c r="O1445"/>
      <c r="P1445"/>
      <c r="Q1445" t="s">
        <v>140</v>
      </c>
      <c r="R1445"/>
      <c r="S1445"/>
      <c r="T1445" t="s">
        <v>1896</v>
      </c>
      <c r="U1445" t="s">
        <v>137</v>
      </c>
      <c r="V1445" t="s">
        <v>153</v>
      </c>
      <c r="W1445"/>
      <c r="X1445" t="s">
        <v>88</v>
      </c>
      <c r="Y1445"/>
      <c r="Z1445"/>
      <c r="AA1445" t="s">
        <v>1884</v>
      </c>
      <c r="AB1445" t="s">
        <v>3</v>
      </c>
      <c r="AC1445" t="s">
        <v>138</v>
      </c>
      <c r="AD1445" t="s">
        <v>129</v>
      </c>
      <c r="AE1445" s="97"/>
    </row>
    <row r="1446" spans="1:31" ht="14.4" customHeight="1" x14ac:dyDescent="0.3">
      <c r="A1446" t="s">
        <v>3662</v>
      </c>
      <c r="B1446" t="s">
        <v>1999</v>
      </c>
      <c r="C1446"/>
      <c r="D1446"/>
      <c r="E1446"/>
      <c r="F1446"/>
      <c r="G1446" t="s">
        <v>3619</v>
      </c>
      <c r="H1446" t="s">
        <v>132</v>
      </c>
      <c r="I1446" t="s">
        <v>2</v>
      </c>
      <c r="J1446" t="s">
        <v>133</v>
      </c>
      <c r="K1446" t="s">
        <v>52</v>
      </c>
      <c r="L1446" t="s">
        <v>1979</v>
      </c>
      <c r="M1446" t="s">
        <v>134</v>
      </c>
      <c r="N1446" t="s">
        <v>135</v>
      </c>
      <c r="O1446"/>
      <c r="P1446"/>
      <c r="Q1446" t="s">
        <v>140</v>
      </c>
      <c r="R1446"/>
      <c r="S1446"/>
      <c r="T1446" t="s">
        <v>1900</v>
      </c>
      <c r="U1446" t="s">
        <v>137</v>
      </c>
      <c r="V1446" t="s">
        <v>156</v>
      </c>
      <c r="W1446"/>
      <c r="X1446" t="s">
        <v>97</v>
      </c>
      <c r="Y1446"/>
      <c r="Z1446"/>
      <c r="AA1446" t="s">
        <v>1884</v>
      </c>
      <c r="AB1446" t="s">
        <v>3</v>
      </c>
      <c r="AC1446" t="s">
        <v>138</v>
      </c>
      <c r="AD1446" t="s">
        <v>129</v>
      </c>
      <c r="AE1446" s="97"/>
    </row>
    <row r="1447" spans="1:31" ht="14.4" customHeight="1" x14ac:dyDescent="0.3">
      <c r="A1447" t="s">
        <v>3663</v>
      </c>
      <c r="B1447" t="s">
        <v>2001</v>
      </c>
      <c r="C1447"/>
      <c r="D1447"/>
      <c r="E1447"/>
      <c r="F1447"/>
      <c r="G1447" t="s">
        <v>3619</v>
      </c>
      <c r="H1447" t="s">
        <v>132</v>
      </c>
      <c r="I1447" t="s">
        <v>2</v>
      </c>
      <c r="J1447" t="s">
        <v>133</v>
      </c>
      <c r="K1447" t="s">
        <v>52</v>
      </c>
      <c r="L1447" t="s">
        <v>1979</v>
      </c>
      <c r="M1447" t="s">
        <v>134</v>
      </c>
      <c r="N1447" t="s">
        <v>135</v>
      </c>
      <c r="O1447"/>
      <c r="P1447"/>
      <c r="Q1447" t="s">
        <v>140</v>
      </c>
      <c r="R1447"/>
      <c r="S1447"/>
      <c r="T1447" t="s">
        <v>1904</v>
      </c>
      <c r="U1447" t="s">
        <v>137</v>
      </c>
      <c r="V1447" t="s">
        <v>159</v>
      </c>
      <c r="W1447"/>
      <c r="X1447" t="s">
        <v>106</v>
      </c>
      <c r="Y1447"/>
      <c r="Z1447"/>
      <c r="AA1447" t="s">
        <v>1884</v>
      </c>
      <c r="AB1447" t="s">
        <v>3</v>
      </c>
      <c r="AC1447" t="s">
        <v>138</v>
      </c>
      <c r="AD1447" t="s">
        <v>129</v>
      </c>
      <c r="AE1447" s="97"/>
    </row>
    <row r="1448" spans="1:31" ht="14.4" customHeight="1" x14ac:dyDescent="0.3">
      <c r="A1448" t="s">
        <v>3664</v>
      </c>
      <c r="B1448" t="s">
        <v>2003</v>
      </c>
      <c r="C1448"/>
      <c r="D1448"/>
      <c r="E1448"/>
      <c r="F1448"/>
      <c r="G1448" t="s">
        <v>3619</v>
      </c>
      <c r="H1448" t="s">
        <v>132</v>
      </c>
      <c r="I1448" t="s">
        <v>2</v>
      </c>
      <c r="J1448" t="s">
        <v>133</v>
      </c>
      <c r="K1448" t="s">
        <v>52</v>
      </c>
      <c r="L1448" t="s">
        <v>1979</v>
      </c>
      <c r="M1448" t="s">
        <v>134</v>
      </c>
      <c r="N1448" t="s">
        <v>135</v>
      </c>
      <c r="O1448"/>
      <c r="P1448"/>
      <c r="Q1448" t="s">
        <v>140</v>
      </c>
      <c r="R1448"/>
      <c r="S1448"/>
      <c r="T1448" t="s">
        <v>1908</v>
      </c>
      <c r="U1448" t="s">
        <v>137</v>
      </c>
      <c r="V1448" t="s">
        <v>162</v>
      </c>
      <c r="W1448"/>
      <c r="X1448" t="s">
        <v>113</v>
      </c>
      <c r="Y1448"/>
      <c r="Z1448"/>
      <c r="AA1448" t="s">
        <v>1884</v>
      </c>
      <c r="AB1448" t="s">
        <v>3</v>
      </c>
      <c r="AC1448" t="s">
        <v>138</v>
      </c>
      <c r="AD1448" t="s">
        <v>129</v>
      </c>
      <c r="AE1448" s="97"/>
    </row>
    <row r="1449" spans="1:31" ht="14.4" customHeight="1" x14ac:dyDescent="0.3">
      <c r="A1449" t="s">
        <v>3665</v>
      </c>
      <c r="B1449" t="s">
        <v>2005</v>
      </c>
      <c r="C1449"/>
      <c r="D1449"/>
      <c r="E1449"/>
      <c r="F1449"/>
      <c r="G1449" t="s">
        <v>3619</v>
      </c>
      <c r="H1449" t="s">
        <v>132</v>
      </c>
      <c r="I1449" t="s">
        <v>2</v>
      </c>
      <c r="J1449" t="s">
        <v>133</v>
      </c>
      <c r="K1449" t="s">
        <v>52</v>
      </c>
      <c r="L1449" t="s">
        <v>1979</v>
      </c>
      <c r="M1449" t="s">
        <v>134</v>
      </c>
      <c r="N1449" t="s">
        <v>135</v>
      </c>
      <c r="O1449"/>
      <c r="P1449"/>
      <c r="Q1449" t="s">
        <v>140</v>
      </c>
      <c r="R1449"/>
      <c r="S1449"/>
      <c r="T1449" t="s">
        <v>1912</v>
      </c>
      <c r="U1449" t="s">
        <v>137</v>
      </c>
      <c r="V1449" t="s">
        <v>165</v>
      </c>
      <c r="W1449"/>
      <c r="X1449" t="s">
        <v>122</v>
      </c>
      <c r="Y1449"/>
      <c r="Z1449"/>
      <c r="AA1449" t="s">
        <v>1884</v>
      </c>
      <c r="AB1449" t="s">
        <v>3</v>
      </c>
      <c r="AC1449" t="s">
        <v>138</v>
      </c>
      <c r="AD1449" t="s">
        <v>130</v>
      </c>
      <c r="AE1449" s="97"/>
    </row>
    <row r="1450" spans="1:31" ht="14.4" customHeight="1" x14ac:dyDescent="0.3">
      <c r="A1450" t="s">
        <v>3666</v>
      </c>
      <c r="B1450" t="s">
        <v>2007</v>
      </c>
      <c r="C1450"/>
      <c r="D1450"/>
      <c r="E1450"/>
      <c r="F1450"/>
      <c r="G1450" t="s">
        <v>3619</v>
      </c>
      <c r="H1450" t="s">
        <v>132</v>
      </c>
      <c r="I1450" t="s">
        <v>2</v>
      </c>
      <c r="J1450" t="s">
        <v>133</v>
      </c>
      <c r="K1450" t="s">
        <v>52</v>
      </c>
      <c r="L1450" t="s">
        <v>1973</v>
      </c>
      <c r="M1450" t="s">
        <v>134</v>
      </c>
      <c r="N1450" t="s">
        <v>135</v>
      </c>
      <c r="O1450"/>
      <c r="P1450"/>
      <c r="Q1450" t="s">
        <v>140</v>
      </c>
      <c r="R1450"/>
      <c r="S1450"/>
      <c r="T1450" t="s">
        <v>1974</v>
      </c>
      <c r="U1450" t="s">
        <v>137</v>
      </c>
      <c r="V1450" t="s">
        <v>709</v>
      </c>
      <c r="W1450"/>
      <c r="X1450" t="s">
        <v>73</v>
      </c>
      <c r="Y1450"/>
      <c r="Z1450"/>
      <c r="AA1450" t="s">
        <v>1884</v>
      </c>
      <c r="AB1450" t="s">
        <v>3</v>
      </c>
      <c r="AC1450" t="s">
        <v>138</v>
      </c>
      <c r="AD1450" t="s">
        <v>128</v>
      </c>
      <c r="AE1450" s="97"/>
    </row>
    <row r="1451" spans="1:31" ht="14.4" customHeight="1" x14ac:dyDescent="0.3">
      <c r="A1451" t="s">
        <v>3667</v>
      </c>
      <c r="B1451" t="s">
        <v>2009</v>
      </c>
      <c r="C1451"/>
      <c r="D1451"/>
      <c r="E1451"/>
      <c r="F1451"/>
      <c r="G1451" t="s">
        <v>3619</v>
      </c>
      <c r="H1451" t="s">
        <v>132</v>
      </c>
      <c r="I1451" t="s">
        <v>2</v>
      </c>
      <c r="J1451" t="s">
        <v>133</v>
      </c>
      <c r="K1451" t="s">
        <v>52</v>
      </c>
      <c r="L1451" t="s">
        <v>1973</v>
      </c>
      <c r="M1451" t="s">
        <v>134</v>
      </c>
      <c r="N1451" t="s">
        <v>135</v>
      </c>
      <c r="O1451"/>
      <c r="P1451"/>
      <c r="Q1451" t="s">
        <v>140</v>
      </c>
      <c r="R1451"/>
      <c r="S1451"/>
      <c r="T1451" t="s">
        <v>1974</v>
      </c>
      <c r="U1451" t="s">
        <v>137</v>
      </c>
      <c r="V1451" t="s">
        <v>709</v>
      </c>
      <c r="W1451"/>
      <c r="X1451" t="s">
        <v>73</v>
      </c>
      <c r="Y1451"/>
      <c r="Z1451"/>
      <c r="AA1451" t="s">
        <v>1884</v>
      </c>
      <c r="AB1451" t="s">
        <v>3</v>
      </c>
      <c r="AC1451" t="s">
        <v>138</v>
      </c>
      <c r="AD1451" t="s">
        <v>128</v>
      </c>
      <c r="AE1451" s="97"/>
    </row>
    <row r="1452" spans="1:31" ht="14.4" customHeight="1" x14ac:dyDescent="0.3">
      <c r="A1452" t="s">
        <v>3668</v>
      </c>
      <c r="B1452" t="s">
        <v>2011</v>
      </c>
      <c r="C1452"/>
      <c r="D1452"/>
      <c r="E1452"/>
      <c r="F1452"/>
      <c r="G1452" t="s">
        <v>3619</v>
      </c>
      <c r="H1452" t="s">
        <v>132</v>
      </c>
      <c r="I1452" t="s">
        <v>2</v>
      </c>
      <c r="J1452" t="s">
        <v>133</v>
      </c>
      <c r="K1452" t="s">
        <v>52</v>
      </c>
      <c r="L1452" t="s">
        <v>1973</v>
      </c>
      <c r="M1452" t="s">
        <v>134</v>
      </c>
      <c r="N1452" t="s">
        <v>135</v>
      </c>
      <c r="O1452"/>
      <c r="P1452"/>
      <c r="Q1452" t="s">
        <v>140</v>
      </c>
      <c r="R1452"/>
      <c r="S1452"/>
      <c r="T1452" t="s">
        <v>1974</v>
      </c>
      <c r="U1452" t="s">
        <v>137</v>
      </c>
      <c r="V1452" t="s">
        <v>715</v>
      </c>
      <c r="W1452"/>
      <c r="X1452" t="s">
        <v>82</v>
      </c>
      <c r="Y1452"/>
      <c r="Z1452"/>
      <c r="AA1452" t="s">
        <v>1884</v>
      </c>
      <c r="AB1452" t="s">
        <v>3</v>
      </c>
      <c r="AC1452" t="s">
        <v>138</v>
      </c>
      <c r="AD1452" t="s">
        <v>129</v>
      </c>
      <c r="AE1452" s="97"/>
    </row>
    <row r="1453" spans="1:31" ht="14.4" customHeight="1" x14ac:dyDescent="0.3">
      <c r="A1453" t="s">
        <v>3669</v>
      </c>
      <c r="B1453" t="s">
        <v>2013</v>
      </c>
      <c r="C1453"/>
      <c r="D1453"/>
      <c r="E1453"/>
      <c r="F1453"/>
      <c r="G1453" t="s">
        <v>3619</v>
      </c>
      <c r="H1453" t="s">
        <v>132</v>
      </c>
      <c r="I1453" t="s">
        <v>2</v>
      </c>
      <c r="J1453" t="s">
        <v>133</v>
      </c>
      <c r="K1453" t="s">
        <v>52</v>
      </c>
      <c r="L1453" t="s">
        <v>1973</v>
      </c>
      <c r="M1453" t="s">
        <v>134</v>
      </c>
      <c r="N1453" t="s">
        <v>135</v>
      </c>
      <c r="O1453"/>
      <c r="P1453"/>
      <c r="Q1453" t="s">
        <v>140</v>
      </c>
      <c r="R1453"/>
      <c r="S1453"/>
      <c r="T1453" t="s">
        <v>1974</v>
      </c>
      <c r="U1453" t="s">
        <v>137</v>
      </c>
      <c r="V1453" t="s">
        <v>715</v>
      </c>
      <c r="W1453"/>
      <c r="X1453" t="s">
        <v>82</v>
      </c>
      <c r="Y1453"/>
      <c r="Z1453"/>
      <c r="AA1453" t="s">
        <v>1884</v>
      </c>
      <c r="AB1453" t="s">
        <v>3</v>
      </c>
      <c r="AC1453" t="s">
        <v>138</v>
      </c>
      <c r="AD1453" t="s">
        <v>129</v>
      </c>
      <c r="AE1453" s="97"/>
    </row>
    <row r="1454" spans="1:31" ht="14.4" customHeight="1" x14ac:dyDescent="0.3">
      <c r="A1454" t="s">
        <v>3670</v>
      </c>
      <c r="B1454" t="s">
        <v>2015</v>
      </c>
      <c r="C1454"/>
      <c r="D1454"/>
      <c r="E1454"/>
      <c r="F1454"/>
      <c r="G1454" t="s">
        <v>3619</v>
      </c>
      <c r="H1454" t="s">
        <v>132</v>
      </c>
      <c r="I1454" t="s">
        <v>2</v>
      </c>
      <c r="J1454" t="s">
        <v>133</v>
      </c>
      <c r="K1454" t="s">
        <v>52</v>
      </c>
      <c r="L1454" t="s">
        <v>1973</v>
      </c>
      <c r="M1454" t="s">
        <v>134</v>
      </c>
      <c r="N1454" t="s">
        <v>135</v>
      </c>
      <c r="O1454"/>
      <c r="P1454"/>
      <c r="Q1454" t="s">
        <v>140</v>
      </c>
      <c r="R1454"/>
      <c r="S1454"/>
      <c r="T1454" t="s">
        <v>1974</v>
      </c>
      <c r="U1454" t="s">
        <v>137</v>
      </c>
      <c r="V1454" t="s">
        <v>721</v>
      </c>
      <c r="W1454"/>
      <c r="X1454" t="s">
        <v>91</v>
      </c>
      <c r="Y1454"/>
      <c r="Z1454"/>
      <c r="AA1454" t="s">
        <v>1884</v>
      </c>
      <c r="AB1454" t="s">
        <v>3</v>
      </c>
      <c r="AC1454" t="s">
        <v>138</v>
      </c>
      <c r="AD1454" t="s">
        <v>129</v>
      </c>
      <c r="AE1454" s="97"/>
    </row>
    <row r="1455" spans="1:31" ht="14.4" customHeight="1" x14ac:dyDescent="0.3">
      <c r="A1455" t="s">
        <v>3671</v>
      </c>
      <c r="B1455" t="s">
        <v>2017</v>
      </c>
      <c r="C1455"/>
      <c r="D1455"/>
      <c r="E1455"/>
      <c r="F1455"/>
      <c r="G1455" t="s">
        <v>3619</v>
      </c>
      <c r="H1455" t="s">
        <v>132</v>
      </c>
      <c r="I1455" t="s">
        <v>2</v>
      </c>
      <c r="J1455" t="s">
        <v>133</v>
      </c>
      <c r="K1455" t="s">
        <v>52</v>
      </c>
      <c r="L1455" t="s">
        <v>1973</v>
      </c>
      <c r="M1455" t="s">
        <v>134</v>
      </c>
      <c r="N1455" t="s">
        <v>135</v>
      </c>
      <c r="O1455"/>
      <c r="P1455"/>
      <c r="Q1455" t="s">
        <v>140</v>
      </c>
      <c r="R1455"/>
      <c r="S1455"/>
      <c r="T1455" t="s">
        <v>1974</v>
      </c>
      <c r="U1455" t="s">
        <v>137</v>
      </c>
      <c r="V1455" t="s">
        <v>721</v>
      </c>
      <c r="W1455"/>
      <c r="X1455" t="s">
        <v>91</v>
      </c>
      <c r="Y1455"/>
      <c r="Z1455"/>
      <c r="AA1455" t="s">
        <v>1884</v>
      </c>
      <c r="AB1455" t="s">
        <v>3</v>
      </c>
      <c r="AC1455" t="s">
        <v>138</v>
      </c>
      <c r="AD1455" t="s">
        <v>129</v>
      </c>
      <c r="AE1455" s="97"/>
    </row>
    <row r="1456" spans="1:31" ht="14.4" customHeight="1" x14ac:dyDescent="0.3">
      <c r="A1456" t="s">
        <v>3672</v>
      </c>
      <c r="B1456" t="s">
        <v>2019</v>
      </c>
      <c r="C1456"/>
      <c r="D1456"/>
      <c r="E1456"/>
      <c r="F1456"/>
      <c r="G1456" t="s">
        <v>3619</v>
      </c>
      <c r="H1456" t="s">
        <v>132</v>
      </c>
      <c r="I1456" t="s">
        <v>2</v>
      </c>
      <c r="J1456" t="s">
        <v>133</v>
      </c>
      <c r="K1456" t="s">
        <v>52</v>
      </c>
      <c r="L1456" t="s">
        <v>1973</v>
      </c>
      <c r="M1456" t="s">
        <v>134</v>
      </c>
      <c r="N1456" t="s">
        <v>135</v>
      </c>
      <c r="O1456"/>
      <c r="P1456"/>
      <c r="Q1456" t="s">
        <v>140</v>
      </c>
      <c r="R1456"/>
      <c r="S1456"/>
      <c r="T1456" t="s">
        <v>1974</v>
      </c>
      <c r="U1456" t="s">
        <v>137</v>
      </c>
      <c r="V1456" t="s">
        <v>727</v>
      </c>
      <c r="W1456"/>
      <c r="X1456" t="s">
        <v>100</v>
      </c>
      <c r="Y1456"/>
      <c r="Z1456"/>
      <c r="AA1456" t="s">
        <v>1884</v>
      </c>
      <c r="AB1456" t="s">
        <v>3</v>
      </c>
      <c r="AC1456" t="s">
        <v>138</v>
      </c>
      <c r="AD1456" t="s">
        <v>129</v>
      </c>
      <c r="AE1456" s="97"/>
    </row>
    <row r="1457" spans="1:31" ht="14.4" customHeight="1" x14ac:dyDescent="0.3">
      <c r="A1457" t="s">
        <v>3673</v>
      </c>
      <c r="B1457" t="s">
        <v>2021</v>
      </c>
      <c r="C1457"/>
      <c r="D1457"/>
      <c r="E1457"/>
      <c r="F1457"/>
      <c r="G1457" t="s">
        <v>3619</v>
      </c>
      <c r="H1457" t="s">
        <v>132</v>
      </c>
      <c r="I1457" t="s">
        <v>2</v>
      </c>
      <c r="J1457" t="s">
        <v>133</v>
      </c>
      <c r="K1457" t="s">
        <v>52</v>
      </c>
      <c r="L1457" t="s">
        <v>1973</v>
      </c>
      <c r="M1457" t="s">
        <v>134</v>
      </c>
      <c r="N1457" t="s">
        <v>135</v>
      </c>
      <c r="O1457"/>
      <c r="P1457"/>
      <c r="Q1457" t="s">
        <v>140</v>
      </c>
      <c r="R1457"/>
      <c r="S1457"/>
      <c r="T1457" t="s">
        <v>1974</v>
      </c>
      <c r="U1457" t="s">
        <v>137</v>
      </c>
      <c r="V1457" t="s">
        <v>727</v>
      </c>
      <c r="W1457"/>
      <c r="X1457" t="s">
        <v>100</v>
      </c>
      <c r="Y1457"/>
      <c r="Z1457"/>
      <c r="AA1457" t="s">
        <v>1884</v>
      </c>
      <c r="AB1457" t="s">
        <v>3</v>
      </c>
      <c r="AC1457" t="s">
        <v>138</v>
      </c>
      <c r="AD1457" t="s">
        <v>129</v>
      </c>
      <c r="AE1457" s="97"/>
    </row>
    <row r="1458" spans="1:31" ht="14.4" customHeight="1" x14ac:dyDescent="0.3">
      <c r="A1458" t="s">
        <v>3674</v>
      </c>
      <c r="B1458" t="s">
        <v>2023</v>
      </c>
      <c r="C1458"/>
      <c r="D1458"/>
      <c r="E1458"/>
      <c r="F1458"/>
      <c r="G1458" t="s">
        <v>3619</v>
      </c>
      <c r="H1458" t="s">
        <v>132</v>
      </c>
      <c r="I1458" t="s">
        <v>2</v>
      </c>
      <c r="J1458" t="s">
        <v>133</v>
      </c>
      <c r="K1458" t="s">
        <v>52</v>
      </c>
      <c r="L1458" t="s">
        <v>1973</v>
      </c>
      <c r="M1458" t="s">
        <v>134</v>
      </c>
      <c r="N1458" t="s">
        <v>135</v>
      </c>
      <c r="O1458"/>
      <c r="P1458"/>
      <c r="Q1458" t="s">
        <v>140</v>
      </c>
      <c r="R1458"/>
      <c r="S1458"/>
      <c r="T1458" t="s">
        <v>1974</v>
      </c>
      <c r="U1458" t="s">
        <v>137</v>
      </c>
      <c r="V1458" t="s">
        <v>733</v>
      </c>
      <c r="W1458"/>
      <c r="X1458" t="s">
        <v>109</v>
      </c>
      <c r="Y1458"/>
      <c r="Z1458"/>
      <c r="AA1458" t="s">
        <v>1884</v>
      </c>
      <c r="AB1458" t="s">
        <v>3</v>
      </c>
      <c r="AC1458" t="s">
        <v>138</v>
      </c>
      <c r="AD1458" t="s">
        <v>129</v>
      </c>
      <c r="AE1458" s="97"/>
    </row>
    <row r="1459" spans="1:31" ht="14.4" customHeight="1" x14ac:dyDescent="0.3">
      <c r="A1459" t="s">
        <v>3675</v>
      </c>
      <c r="B1459" t="s">
        <v>2025</v>
      </c>
      <c r="C1459"/>
      <c r="D1459"/>
      <c r="E1459"/>
      <c r="F1459"/>
      <c r="G1459" t="s">
        <v>3619</v>
      </c>
      <c r="H1459" t="s">
        <v>132</v>
      </c>
      <c r="I1459" t="s">
        <v>2</v>
      </c>
      <c r="J1459" t="s">
        <v>133</v>
      </c>
      <c r="K1459" t="s">
        <v>52</v>
      </c>
      <c r="L1459" t="s">
        <v>1973</v>
      </c>
      <c r="M1459" t="s">
        <v>134</v>
      </c>
      <c r="N1459" t="s">
        <v>135</v>
      </c>
      <c r="O1459"/>
      <c r="P1459"/>
      <c r="Q1459" t="s">
        <v>140</v>
      </c>
      <c r="R1459"/>
      <c r="S1459"/>
      <c r="T1459" t="s">
        <v>1974</v>
      </c>
      <c r="U1459" t="s">
        <v>137</v>
      </c>
      <c r="V1459" t="s">
        <v>733</v>
      </c>
      <c r="W1459"/>
      <c r="X1459" t="s">
        <v>109</v>
      </c>
      <c r="Y1459"/>
      <c r="Z1459"/>
      <c r="AA1459" t="s">
        <v>1884</v>
      </c>
      <c r="AB1459" t="s">
        <v>3</v>
      </c>
      <c r="AC1459" t="s">
        <v>138</v>
      </c>
      <c r="AD1459" t="s">
        <v>129</v>
      </c>
      <c r="AE1459" s="97"/>
    </row>
    <row r="1460" spans="1:31" ht="14.4" customHeight="1" x14ac:dyDescent="0.3">
      <c r="A1460" t="s">
        <v>3676</v>
      </c>
      <c r="B1460" t="s">
        <v>2027</v>
      </c>
      <c r="C1460"/>
      <c r="D1460"/>
      <c r="E1460"/>
      <c r="F1460"/>
      <c r="G1460" t="s">
        <v>3619</v>
      </c>
      <c r="H1460" t="s">
        <v>132</v>
      </c>
      <c r="I1460" t="s">
        <v>2</v>
      </c>
      <c r="J1460" t="s">
        <v>133</v>
      </c>
      <c r="K1460" t="s">
        <v>52</v>
      </c>
      <c r="L1460" t="s">
        <v>1973</v>
      </c>
      <c r="M1460" t="s">
        <v>134</v>
      </c>
      <c r="N1460" t="s">
        <v>135</v>
      </c>
      <c r="O1460"/>
      <c r="P1460"/>
      <c r="Q1460" t="s">
        <v>140</v>
      </c>
      <c r="R1460"/>
      <c r="S1460"/>
      <c r="T1460" t="s">
        <v>1974</v>
      </c>
      <c r="U1460" t="s">
        <v>137</v>
      </c>
      <c r="V1460" t="s">
        <v>739</v>
      </c>
      <c r="W1460"/>
      <c r="X1460" t="s">
        <v>118</v>
      </c>
      <c r="Y1460"/>
      <c r="Z1460"/>
      <c r="AA1460" t="s">
        <v>1884</v>
      </c>
      <c r="AB1460" t="s">
        <v>3</v>
      </c>
      <c r="AC1460" t="s">
        <v>138</v>
      </c>
      <c r="AD1460" t="s">
        <v>130</v>
      </c>
      <c r="AE1460" s="97"/>
    </row>
    <row r="1461" spans="1:31" ht="14.4" customHeight="1" x14ac:dyDescent="0.3">
      <c r="A1461" t="s">
        <v>3677</v>
      </c>
      <c r="B1461" t="s">
        <v>2029</v>
      </c>
      <c r="C1461"/>
      <c r="D1461"/>
      <c r="E1461"/>
      <c r="F1461"/>
      <c r="G1461" t="s">
        <v>3619</v>
      </c>
      <c r="H1461" t="s">
        <v>132</v>
      </c>
      <c r="I1461" t="s">
        <v>2</v>
      </c>
      <c r="J1461" t="s">
        <v>133</v>
      </c>
      <c r="K1461" t="s">
        <v>52</v>
      </c>
      <c r="L1461" t="s">
        <v>1973</v>
      </c>
      <c r="M1461" t="s">
        <v>134</v>
      </c>
      <c r="N1461" t="s">
        <v>135</v>
      </c>
      <c r="O1461"/>
      <c r="P1461"/>
      <c r="Q1461" t="s">
        <v>140</v>
      </c>
      <c r="R1461"/>
      <c r="S1461"/>
      <c r="T1461" t="s">
        <v>1974</v>
      </c>
      <c r="U1461" t="s">
        <v>137</v>
      </c>
      <c r="V1461" t="s">
        <v>739</v>
      </c>
      <c r="W1461"/>
      <c r="X1461" t="s">
        <v>118</v>
      </c>
      <c r="Y1461"/>
      <c r="Z1461"/>
      <c r="AA1461" t="s">
        <v>1884</v>
      </c>
      <c r="AB1461" t="s">
        <v>3</v>
      </c>
      <c r="AC1461" t="s">
        <v>138</v>
      </c>
      <c r="AD1461" t="s">
        <v>130</v>
      </c>
      <c r="AE1461" s="97"/>
    </row>
    <row r="1462" spans="1:31" ht="14.4" customHeight="1" x14ac:dyDescent="0.3">
      <c r="A1462" t="s">
        <v>3678</v>
      </c>
      <c r="B1462" t="s">
        <v>2031</v>
      </c>
      <c r="C1462"/>
      <c r="D1462"/>
      <c r="E1462"/>
      <c r="F1462"/>
      <c r="G1462" t="s">
        <v>3619</v>
      </c>
      <c r="H1462" t="s">
        <v>132</v>
      </c>
      <c r="I1462" t="s">
        <v>2</v>
      </c>
      <c r="J1462" t="s">
        <v>133</v>
      </c>
      <c r="K1462" t="s">
        <v>52</v>
      </c>
      <c r="L1462" t="s">
        <v>2032</v>
      </c>
      <c r="M1462" t="s">
        <v>134</v>
      </c>
      <c r="N1462" t="s">
        <v>135</v>
      </c>
      <c r="O1462"/>
      <c r="P1462"/>
      <c r="Q1462" t="s">
        <v>140</v>
      </c>
      <c r="R1462"/>
      <c r="S1462"/>
      <c r="T1462" t="s">
        <v>1936</v>
      </c>
      <c r="U1462" t="s">
        <v>137</v>
      </c>
      <c r="V1462" t="s">
        <v>640</v>
      </c>
      <c r="W1462"/>
      <c r="X1462" t="s">
        <v>66</v>
      </c>
      <c r="Y1462"/>
      <c r="Z1462"/>
      <c r="AA1462" t="s">
        <v>1884</v>
      </c>
      <c r="AB1462" t="s">
        <v>3</v>
      </c>
      <c r="AC1462" t="s">
        <v>138</v>
      </c>
      <c r="AD1462" t="s">
        <v>128</v>
      </c>
      <c r="AE1462" s="97"/>
    </row>
    <row r="1463" spans="1:31" ht="14.4" customHeight="1" x14ac:dyDescent="0.3">
      <c r="A1463" t="s">
        <v>3679</v>
      </c>
      <c r="B1463" t="s">
        <v>2034</v>
      </c>
      <c r="C1463"/>
      <c r="D1463"/>
      <c r="E1463"/>
      <c r="F1463"/>
      <c r="G1463" t="s">
        <v>3619</v>
      </c>
      <c r="H1463" t="s">
        <v>132</v>
      </c>
      <c r="I1463" t="s">
        <v>2</v>
      </c>
      <c r="J1463" t="s">
        <v>133</v>
      </c>
      <c r="K1463" t="s">
        <v>52</v>
      </c>
      <c r="L1463" t="s">
        <v>2032</v>
      </c>
      <c r="M1463" t="s">
        <v>134</v>
      </c>
      <c r="N1463" t="s">
        <v>135</v>
      </c>
      <c r="O1463"/>
      <c r="P1463"/>
      <c r="Q1463" t="s">
        <v>140</v>
      </c>
      <c r="R1463"/>
      <c r="S1463"/>
      <c r="T1463" t="s">
        <v>1936</v>
      </c>
      <c r="U1463" t="s">
        <v>137</v>
      </c>
      <c r="V1463" t="s">
        <v>646</v>
      </c>
      <c r="W1463"/>
      <c r="X1463" t="s">
        <v>74</v>
      </c>
      <c r="Y1463"/>
      <c r="Z1463"/>
      <c r="AA1463" t="s">
        <v>1884</v>
      </c>
      <c r="AB1463" t="s">
        <v>3</v>
      </c>
      <c r="AC1463" t="s">
        <v>138</v>
      </c>
      <c r="AD1463" t="s">
        <v>128</v>
      </c>
      <c r="AE1463" s="97"/>
    </row>
    <row r="1464" spans="1:31" ht="14.4" customHeight="1" x14ac:dyDescent="0.3">
      <c r="A1464" t="s">
        <v>3680</v>
      </c>
      <c r="B1464" t="s">
        <v>2036</v>
      </c>
      <c r="C1464"/>
      <c r="D1464"/>
      <c r="E1464"/>
      <c r="F1464"/>
      <c r="G1464" t="s">
        <v>3619</v>
      </c>
      <c r="H1464" t="s">
        <v>132</v>
      </c>
      <c r="I1464" t="s">
        <v>2</v>
      </c>
      <c r="J1464" t="s">
        <v>133</v>
      </c>
      <c r="K1464" t="s">
        <v>52</v>
      </c>
      <c r="L1464" t="s">
        <v>2032</v>
      </c>
      <c r="M1464" t="s">
        <v>134</v>
      </c>
      <c r="N1464" t="s">
        <v>135</v>
      </c>
      <c r="O1464"/>
      <c r="P1464"/>
      <c r="Q1464" t="s">
        <v>140</v>
      </c>
      <c r="R1464"/>
      <c r="S1464"/>
      <c r="T1464" t="s">
        <v>1936</v>
      </c>
      <c r="U1464" t="s">
        <v>137</v>
      </c>
      <c r="V1464" t="s">
        <v>652</v>
      </c>
      <c r="W1464"/>
      <c r="X1464" t="s">
        <v>85</v>
      </c>
      <c r="Y1464"/>
      <c r="Z1464"/>
      <c r="AA1464" t="s">
        <v>1884</v>
      </c>
      <c r="AB1464" t="s">
        <v>3</v>
      </c>
      <c r="AC1464" t="s">
        <v>138</v>
      </c>
      <c r="AD1464" t="s">
        <v>129</v>
      </c>
      <c r="AE1464" s="97"/>
    </row>
    <row r="1465" spans="1:31" ht="14.4" customHeight="1" x14ac:dyDescent="0.3">
      <c r="A1465" t="s">
        <v>3681</v>
      </c>
      <c r="B1465" t="s">
        <v>2038</v>
      </c>
      <c r="C1465"/>
      <c r="D1465"/>
      <c r="E1465"/>
      <c r="F1465"/>
      <c r="G1465" t="s">
        <v>3619</v>
      </c>
      <c r="H1465" t="s">
        <v>132</v>
      </c>
      <c r="I1465" t="s">
        <v>2</v>
      </c>
      <c r="J1465" t="s">
        <v>133</v>
      </c>
      <c r="K1465" t="s">
        <v>52</v>
      </c>
      <c r="L1465" t="s">
        <v>2032</v>
      </c>
      <c r="M1465" t="s">
        <v>134</v>
      </c>
      <c r="N1465" t="s">
        <v>135</v>
      </c>
      <c r="O1465"/>
      <c r="P1465"/>
      <c r="Q1465" t="s">
        <v>140</v>
      </c>
      <c r="R1465"/>
      <c r="S1465"/>
      <c r="T1465" t="s">
        <v>1936</v>
      </c>
      <c r="U1465" t="s">
        <v>137</v>
      </c>
      <c r="V1465" t="s">
        <v>658</v>
      </c>
      <c r="W1465"/>
      <c r="X1465" t="s">
        <v>94</v>
      </c>
      <c r="Y1465"/>
      <c r="Z1465"/>
      <c r="AA1465" t="s">
        <v>1884</v>
      </c>
      <c r="AB1465" t="s">
        <v>3</v>
      </c>
      <c r="AC1465" t="s">
        <v>138</v>
      </c>
      <c r="AD1465" t="s">
        <v>129</v>
      </c>
      <c r="AE1465" s="97"/>
    </row>
    <row r="1466" spans="1:31" ht="14.4" customHeight="1" x14ac:dyDescent="0.3">
      <c r="A1466" t="s">
        <v>3682</v>
      </c>
      <c r="B1466" t="s">
        <v>2040</v>
      </c>
      <c r="C1466"/>
      <c r="D1466"/>
      <c r="E1466"/>
      <c r="F1466"/>
      <c r="G1466" t="s">
        <v>3619</v>
      </c>
      <c r="H1466" t="s">
        <v>132</v>
      </c>
      <c r="I1466" t="s">
        <v>2</v>
      </c>
      <c r="J1466" t="s">
        <v>133</v>
      </c>
      <c r="K1466" t="s">
        <v>52</v>
      </c>
      <c r="L1466" t="s">
        <v>2032</v>
      </c>
      <c r="M1466" t="s">
        <v>134</v>
      </c>
      <c r="N1466" t="s">
        <v>135</v>
      </c>
      <c r="O1466"/>
      <c r="P1466"/>
      <c r="Q1466" t="s">
        <v>140</v>
      </c>
      <c r="R1466"/>
      <c r="S1466"/>
      <c r="T1466" t="s">
        <v>1936</v>
      </c>
      <c r="U1466" t="s">
        <v>137</v>
      </c>
      <c r="V1466" t="s">
        <v>664</v>
      </c>
      <c r="W1466"/>
      <c r="X1466" t="s">
        <v>103</v>
      </c>
      <c r="Y1466"/>
      <c r="Z1466"/>
      <c r="AA1466" t="s">
        <v>1884</v>
      </c>
      <c r="AB1466" t="s">
        <v>3</v>
      </c>
      <c r="AC1466" t="s">
        <v>138</v>
      </c>
      <c r="AD1466" t="s">
        <v>129</v>
      </c>
      <c r="AE1466" s="97"/>
    </row>
    <row r="1467" spans="1:31" ht="14.4" customHeight="1" x14ac:dyDescent="0.3">
      <c r="A1467" t="s">
        <v>3683</v>
      </c>
      <c r="B1467" t="s">
        <v>2042</v>
      </c>
      <c r="C1467"/>
      <c r="D1467"/>
      <c r="E1467"/>
      <c r="F1467"/>
      <c r="G1467" t="s">
        <v>3619</v>
      </c>
      <c r="H1467" t="s">
        <v>132</v>
      </c>
      <c r="I1467" t="s">
        <v>2</v>
      </c>
      <c r="J1467" t="s">
        <v>133</v>
      </c>
      <c r="K1467" t="s">
        <v>52</v>
      </c>
      <c r="L1467" t="s">
        <v>2032</v>
      </c>
      <c r="M1467" t="s">
        <v>134</v>
      </c>
      <c r="N1467" t="s">
        <v>135</v>
      </c>
      <c r="O1467"/>
      <c r="P1467"/>
      <c r="Q1467" t="s">
        <v>140</v>
      </c>
      <c r="R1467"/>
      <c r="S1467"/>
      <c r="T1467" t="s">
        <v>1936</v>
      </c>
      <c r="U1467" t="s">
        <v>137</v>
      </c>
      <c r="V1467" t="s">
        <v>670</v>
      </c>
      <c r="W1467"/>
      <c r="X1467" t="s">
        <v>110</v>
      </c>
      <c r="Y1467"/>
      <c r="Z1467"/>
      <c r="AA1467" t="s">
        <v>1884</v>
      </c>
      <c r="AB1467" t="s">
        <v>3</v>
      </c>
      <c r="AC1467" t="s">
        <v>138</v>
      </c>
      <c r="AD1467" t="s">
        <v>129</v>
      </c>
      <c r="AE1467" s="97"/>
    </row>
    <row r="1468" spans="1:31" ht="14.4" customHeight="1" x14ac:dyDescent="0.3">
      <c r="A1468" t="s">
        <v>3684</v>
      </c>
      <c r="B1468" t="s">
        <v>2044</v>
      </c>
      <c r="C1468"/>
      <c r="D1468"/>
      <c r="E1468"/>
      <c r="F1468"/>
      <c r="G1468" t="s">
        <v>3619</v>
      </c>
      <c r="H1468" t="s">
        <v>132</v>
      </c>
      <c r="I1468" t="s">
        <v>2</v>
      </c>
      <c r="J1468" t="s">
        <v>133</v>
      </c>
      <c r="K1468" t="s">
        <v>52</v>
      </c>
      <c r="L1468" t="s">
        <v>2032</v>
      </c>
      <c r="M1468" t="s">
        <v>134</v>
      </c>
      <c r="N1468" t="s">
        <v>135</v>
      </c>
      <c r="O1468"/>
      <c r="P1468"/>
      <c r="Q1468" t="s">
        <v>140</v>
      </c>
      <c r="R1468"/>
      <c r="S1468"/>
      <c r="T1468" t="s">
        <v>1936</v>
      </c>
      <c r="U1468" t="s">
        <v>137</v>
      </c>
      <c r="V1468" t="s">
        <v>676</v>
      </c>
      <c r="W1468"/>
      <c r="X1468" t="s">
        <v>119</v>
      </c>
      <c r="Y1468"/>
      <c r="Z1468"/>
      <c r="AA1468" t="s">
        <v>1884</v>
      </c>
      <c r="AB1468" t="s">
        <v>3</v>
      </c>
      <c r="AC1468" t="s">
        <v>138</v>
      </c>
      <c r="AD1468" t="s">
        <v>130</v>
      </c>
      <c r="AE1468" s="97"/>
    </row>
    <row r="1469" spans="1:31" ht="14.4" customHeight="1" x14ac:dyDescent="0.3">
      <c r="A1469" t="s">
        <v>3685</v>
      </c>
      <c r="B1469" t="s">
        <v>2046</v>
      </c>
      <c r="C1469"/>
      <c r="D1469"/>
      <c r="E1469"/>
      <c r="F1469"/>
      <c r="G1469" t="s">
        <v>3619</v>
      </c>
      <c r="H1469" t="s">
        <v>132</v>
      </c>
      <c r="I1469" t="s">
        <v>2</v>
      </c>
      <c r="J1469" t="s">
        <v>133</v>
      </c>
      <c r="K1469" t="s">
        <v>52</v>
      </c>
      <c r="L1469" t="s">
        <v>1979</v>
      </c>
      <c r="M1469" t="s">
        <v>134</v>
      </c>
      <c r="N1469" t="s">
        <v>135</v>
      </c>
      <c r="O1469"/>
      <c r="P1469"/>
      <c r="Q1469" t="s">
        <v>140</v>
      </c>
      <c r="R1469"/>
      <c r="S1469"/>
      <c r="T1469" t="s">
        <v>2047</v>
      </c>
      <c r="U1469" t="s">
        <v>137</v>
      </c>
      <c r="V1469" t="s">
        <v>1279</v>
      </c>
      <c r="W1469"/>
      <c r="X1469" t="s">
        <v>71</v>
      </c>
      <c r="Y1469"/>
      <c r="Z1469"/>
      <c r="AA1469" t="s">
        <v>1884</v>
      </c>
      <c r="AB1469" t="s">
        <v>3</v>
      </c>
      <c r="AC1469" t="s">
        <v>138</v>
      </c>
      <c r="AD1469" t="s">
        <v>128</v>
      </c>
      <c r="AE1469" s="97"/>
    </row>
    <row r="1470" spans="1:31" ht="14.4" customHeight="1" x14ac:dyDescent="0.3">
      <c r="A1470" t="s">
        <v>3686</v>
      </c>
      <c r="B1470" t="s">
        <v>2049</v>
      </c>
      <c r="C1470"/>
      <c r="D1470"/>
      <c r="E1470"/>
      <c r="F1470"/>
      <c r="G1470" t="s">
        <v>3619</v>
      </c>
      <c r="H1470" t="s">
        <v>132</v>
      </c>
      <c r="I1470" t="s">
        <v>2</v>
      </c>
      <c r="J1470" t="s">
        <v>133</v>
      </c>
      <c r="K1470" t="s">
        <v>52</v>
      </c>
      <c r="L1470" t="s">
        <v>1979</v>
      </c>
      <c r="M1470" t="s">
        <v>134</v>
      </c>
      <c r="N1470" t="s">
        <v>135</v>
      </c>
      <c r="O1470"/>
      <c r="P1470"/>
      <c r="Q1470" t="s">
        <v>140</v>
      </c>
      <c r="R1470"/>
      <c r="S1470"/>
      <c r="T1470" t="s">
        <v>2047</v>
      </c>
      <c r="U1470" t="s">
        <v>137</v>
      </c>
      <c r="V1470" t="s">
        <v>1283</v>
      </c>
      <c r="W1470"/>
      <c r="X1470" t="s">
        <v>78</v>
      </c>
      <c r="Y1470"/>
      <c r="Z1470"/>
      <c r="AA1470" t="s">
        <v>1884</v>
      </c>
      <c r="AB1470" t="s">
        <v>3</v>
      </c>
      <c r="AC1470" t="s">
        <v>138</v>
      </c>
      <c r="AD1470" t="s">
        <v>128</v>
      </c>
      <c r="AE1470" s="97"/>
    </row>
    <row r="1471" spans="1:31" ht="14.4" customHeight="1" x14ac:dyDescent="0.3">
      <c r="A1471" t="s">
        <v>3687</v>
      </c>
      <c r="B1471" t="s">
        <v>2051</v>
      </c>
      <c r="C1471"/>
      <c r="D1471"/>
      <c r="E1471"/>
      <c r="F1471"/>
      <c r="G1471" t="s">
        <v>3619</v>
      </c>
      <c r="H1471" t="s">
        <v>132</v>
      </c>
      <c r="I1471" t="s">
        <v>2</v>
      </c>
      <c r="J1471" t="s">
        <v>133</v>
      </c>
      <c r="K1471" t="s">
        <v>52</v>
      </c>
      <c r="L1471" t="s">
        <v>1979</v>
      </c>
      <c r="M1471" t="s">
        <v>134</v>
      </c>
      <c r="N1471" t="s">
        <v>135</v>
      </c>
      <c r="O1471"/>
      <c r="P1471"/>
      <c r="Q1471" t="s">
        <v>140</v>
      </c>
      <c r="R1471"/>
      <c r="S1471"/>
      <c r="T1471" t="s">
        <v>2047</v>
      </c>
      <c r="U1471" t="s">
        <v>137</v>
      </c>
      <c r="V1471" t="s">
        <v>1287</v>
      </c>
      <c r="W1471"/>
      <c r="X1471" t="s">
        <v>89</v>
      </c>
      <c r="Y1471"/>
      <c r="Z1471"/>
      <c r="AA1471" t="s">
        <v>1884</v>
      </c>
      <c r="AB1471" t="s">
        <v>3</v>
      </c>
      <c r="AC1471" t="s">
        <v>138</v>
      </c>
      <c r="AD1471" t="s">
        <v>129</v>
      </c>
      <c r="AE1471" s="97"/>
    </row>
    <row r="1472" spans="1:31" ht="14.4" customHeight="1" x14ac:dyDescent="0.3">
      <c r="A1472" t="s">
        <v>3688</v>
      </c>
      <c r="B1472" t="s">
        <v>2053</v>
      </c>
      <c r="C1472"/>
      <c r="D1472"/>
      <c r="E1472"/>
      <c r="F1472"/>
      <c r="G1472" t="s">
        <v>3619</v>
      </c>
      <c r="H1472" t="s">
        <v>132</v>
      </c>
      <c r="I1472" t="s">
        <v>2</v>
      </c>
      <c r="J1472" t="s">
        <v>133</v>
      </c>
      <c r="K1472" t="s">
        <v>52</v>
      </c>
      <c r="L1472" t="s">
        <v>1979</v>
      </c>
      <c r="M1472" t="s">
        <v>134</v>
      </c>
      <c r="N1472" t="s">
        <v>135</v>
      </c>
      <c r="O1472"/>
      <c r="P1472"/>
      <c r="Q1472" t="s">
        <v>140</v>
      </c>
      <c r="R1472"/>
      <c r="S1472"/>
      <c r="T1472" t="s">
        <v>2047</v>
      </c>
      <c r="U1472" t="s">
        <v>137</v>
      </c>
      <c r="V1472" t="s">
        <v>1291</v>
      </c>
      <c r="W1472"/>
      <c r="X1472" t="s">
        <v>98</v>
      </c>
      <c r="Y1472"/>
      <c r="Z1472"/>
      <c r="AA1472" t="s">
        <v>1884</v>
      </c>
      <c r="AB1472" t="s">
        <v>3</v>
      </c>
      <c r="AC1472" t="s">
        <v>138</v>
      </c>
      <c r="AD1472" t="s">
        <v>129</v>
      </c>
      <c r="AE1472" s="97"/>
    </row>
    <row r="1473" spans="1:31" ht="14.4" customHeight="1" x14ac:dyDescent="0.3">
      <c r="A1473" t="s">
        <v>3689</v>
      </c>
      <c r="B1473" t="s">
        <v>2055</v>
      </c>
      <c r="C1473"/>
      <c r="D1473"/>
      <c r="E1473"/>
      <c r="F1473"/>
      <c r="G1473" t="s">
        <v>3619</v>
      </c>
      <c r="H1473" t="s">
        <v>132</v>
      </c>
      <c r="I1473" t="s">
        <v>2</v>
      </c>
      <c r="J1473" t="s">
        <v>133</v>
      </c>
      <c r="K1473" t="s">
        <v>52</v>
      </c>
      <c r="L1473" t="s">
        <v>1979</v>
      </c>
      <c r="M1473" t="s">
        <v>134</v>
      </c>
      <c r="N1473" t="s">
        <v>135</v>
      </c>
      <c r="O1473"/>
      <c r="P1473"/>
      <c r="Q1473" t="s">
        <v>140</v>
      </c>
      <c r="R1473"/>
      <c r="S1473"/>
      <c r="T1473" t="s">
        <v>2056</v>
      </c>
      <c r="U1473" t="s">
        <v>137</v>
      </c>
      <c r="V1473" t="s">
        <v>1295</v>
      </c>
      <c r="W1473"/>
      <c r="X1473" t="s">
        <v>107</v>
      </c>
      <c r="Y1473"/>
      <c r="Z1473"/>
      <c r="AA1473" t="s">
        <v>1884</v>
      </c>
      <c r="AB1473" t="s">
        <v>3</v>
      </c>
      <c r="AC1473" t="s">
        <v>138</v>
      </c>
      <c r="AD1473" t="s">
        <v>129</v>
      </c>
      <c r="AE1473" s="97"/>
    </row>
    <row r="1474" spans="1:31" ht="14.4" customHeight="1" x14ac:dyDescent="0.3">
      <c r="A1474" t="s">
        <v>3690</v>
      </c>
      <c r="B1474" t="s">
        <v>2058</v>
      </c>
      <c r="C1474"/>
      <c r="D1474"/>
      <c r="E1474"/>
      <c r="F1474"/>
      <c r="G1474" t="s">
        <v>3619</v>
      </c>
      <c r="H1474" t="s">
        <v>132</v>
      </c>
      <c r="I1474" t="s">
        <v>2</v>
      </c>
      <c r="J1474" t="s">
        <v>133</v>
      </c>
      <c r="K1474" t="s">
        <v>52</v>
      </c>
      <c r="L1474" t="s">
        <v>1979</v>
      </c>
      <c r="M1474" t="s">
        <v>134</v>
      </c>
      <c r="N1474" t="s">
        <v>135</v>
      </c>
      <c r="O1474"/>
      <c r="P1474"/>
      <c r="Q1474" t="s">
        <v>140</v>
      </c>
      <c r="R1474"/>
      <c r="S1474"/>
      <c r="T1474" t="s">
        <v>2056</v>
      </c>
      <c r="U1474" t="s">
        <v>137</v>
      </c>
      <c r="V1474" t="s">
        <v>1299</v>
      </c>
      <c r="W1474"/>
      <c r="X1474" t="s">
        <v>114</v>
      </c>
      <c r="Y1474"/>
      <c r="Z1474"/>
      <c r="AA1474" t="s">
        <v>1884</v>
      </c>
      <c r="AB1474" t="s">
        <v>3</v>
      </c>
      <c r="AC1474" t="s">
        <v>138</v>
      </c>
      <c r="AD1474" t="s">
        <v>129</v>
      </c>
      <c r="AE1474" s="97"/>
    </row>
    <row r="1475" spans="1:31" ht="14.4" customHeight="1" x14ac:dyDescent="0.3">
      <c r="A1475" t="s">
        <v>3691</v>
      </c>
      <c r="B1475" t="s">
        <v>2060</v>
      </c>
      <c r="C1475"/>
      <c r="D1475"/>
      <c r="E1475"/>
      <c r="F1475"/>
      <c r="G1475" t="s">
        <v>3619</v>
      </c>
      <c r="H1475" t="s">
        <v>132</v>
      </c>
      <c r="I1475" t="s">
        <v>2</v>
      </c>
      <c r="J1475" t="s">
        <v>133</v>
      </c>
      <c r="K1475" t="s">
        <v>52</v>
      </c>
      <c r="L1475" t="s">
        <v>1979</v>
      </c>
      <c r="M1475" t="s">
        <v>134</v>
      </c>
      <c r="N1475" t="s">
        <v>135</v>
      </c>
      <c r="O1475"/>
      <c r="P1475"/>
      <c r="Q1475" t="s">
        <v>140</v>
      </c>
      <c r="R1475"/>
      <c r="S1475"/>
      <c r="T1475" t="s">
        <v>2056</v>
      </c>
      <c r="U1475" t="s">
        <v>137</v>
      </c>
      <c r="V1475" t="s">
        <v>1303</v>
      </c>
      <c r="W1475"/>
      <c r="X1475" t="s">
        <v>123</v>
      </c>
      <c r="Y1475"/>
      <c r="Z1475"/>
      <c r="AA1475" t="s">
        <v>1884</v>
      </c>
      <c r="AB1475" t="s">
        <v>3</v>
      </c>
      <c r="AC1475" t="s">
        <v>138</v>
      </c>
      <c r="AD1475" t="s">
        <v>130</v>
      </c>
      <c r="AE1475" s="97"/>
    </row>
    <row r="1476" spans="1:31" ht="14.4" customHeight="1" x14ac:dyDescent="0.3">
      <c r="A1476" t="s">
        <v>3692</v>
      </c>
      <c r="B1476" t="s">
        <v>2062</v>
      </c>
      <c r="C1476"/>
      <c r="D1476"/>
      <c r="E1476"/>
      <c r="F1476"/>
      <c r="G1476" t="s">
        <v>3619</v>
      </c>
      <c r="H1476" t="s">
        <v>132</v>
      </c>
      <c r="I1476" t="s">
        <v>2</v>
      </c>
      <c r="J1476" t="s">
        <v>133</v>
      </c>
      <c r="K1476" t="s">
        <v>52</v>
      </c>
      <c r="L1476" t="s">
        <v>2063</v>
      </c>
      <c r="M1476" t="s">
        <v>134</v>
      </c>
      <c r="N1476" t="s">
        <v>135</v>
      </c>
      <c r="O1476"/>
      <c r="P1476"/>
      <c r="Q1476" t="s">
        <v>140</v>
      </c>
      <c r="R1476"/>
      <c r="S1476"/>
      <c r="T1476" t="s">
        <v>2064</v>
      </c>
      <c r="U1476" t="s">
        <v>137</v>
      </c>
      <c r="V1476" t="s">
        <v>703</v>
      </c>
      <c r="W1476"/>
      <c r="X1476" t="s">
        <v>62</v>
      </c>
      <c r="Y1476"/>
      <c r="Z1476"/>
      <c r="AA1476" t="s">
        <v>1884</v>
      </c>
      <c r="AB1476" t="s">
        <v>3</v>
      </c>
      <c r="AC1476" t="s">
        <v>138</v>
      </c>
      <c r="AD1476" t="s">
        <v>128</v>
      </c>
      <c r="AE1476" s="97"/>
    </row>
    <row r="1477" spans="1:31" ht="14.4" customHeight="1" x14ac:dyDescent="0.3">
      <c r="A1477" t="s">
        <v>3693</v>
      </c>
      <c r="B1477" t="s">
        <v>2066</v>
      </c>
      <c r="C1477"/>
      <c r="D1477"/>
      <c r="E1477"/>
      <c r="F1477"/>
      <c r="G1477" t="s">
        <v>3619</v>
      </c>
      <c r="H1477" t="s">
        <v>132</v>
      </c>
      <c r="I1477" t="s">
        <v>2</v>
      </c>
      <c r="J1477" t="s">
        <v>133</v>
      </c>
      <c r="K1477" t="s">
        <v>52</v>
      </c>
      <c r="L1477" t="s">
        <v>2063</v>
      </c>
      <c r="M1477" t="s">
        <v>134</v>
      </c>
      <c r="N1477" t="s">
        <v>135</v>
      </c>
      <c r="O1477"/>
      <c r="P1477"/>
      <c r="Q1477" t="s">
        <v>140</v>
      </c>
      <c r="R1477"/>
      <c r="S1477"/>
      <c r="T1477" t="s">
        <v>2064</v>
      </c>
      <c r="U1477" t="s">
        <v>137</v>
      </c>
      <c r="V1477" t="s">
        <v>709</v>
      </c>
      <c r="W1477"/>
      <c r="X1477" t="s">
        <v>73</v>
      </c>
      <c r="Y1477"/>
      <c r="Z1477"/>
      <c r="AA1477" t="s">
        <v>1884</v>
      </c>
      <c r="AB1477" t="s">
        <v>3</v>
      </c>
      <c r="AC1477" t="s">
        <v>138</v>
      </c>
      <c r="AD1477" t="s">
        <v>128</v>
      </c>
      <c r="AE1477" s="97"/>
    </row>
    <row r="1478" spans="1:31" ht="14.4" customHeight="1" x14ac:dyDescent="0.3">
      <c r="A1478" t="s">
        <v>3694</v>
      </c>
      <c r="B1478" t="s">
        <v>2068</v>
      </c>
      <c r="C1478"/>
      <c r="D1478"/>
      <c r="E1478"/>
      <c r="F1478"/>
      <c r="G1478" t="s">
        <v>3619</v>
      </c>
      <c r="H1478" t="s">
        <v>132</v>
      </c>
      <c r="I1478" t="s">
        <v>2</v>
      </c>
      <c r="J1478" t="s">
        <v>133</v>
      </c>
      <c r="K1478" t="s">
        <v>52</v>
      </c>
      <c r="L1478" t="s">
        <v>2063</v>
      </c>
      <c r="M1478" t="s">
        <v>134</v>
      </c>
      <c r="N1478" t="s">
        <v>135</v>
      </c>
      <c r="O1478"/>
      <c r="P1478"/>
      <c r="Q1478" t="s">
        <v>140</v>
      </c>
      <c r="R1478"/>
      <c r="S1478"/>
      <c r="T1478" t="s">
        <v>2064</v>
      </c>
      <c r="U1478" t="s">
        <v>137</v>
      </c>
      <c r="V1478" t="s">
        <v>715</v>
      </c>
      <c r="W1478"/>
      <c r="X1478" t="s">
        <v>82</v>
      </c>
      <c r="Y1478"/>
      <c r="Z1478"/>
      <c r="AA1478" t="s">
        <v>1884</v>
      </c>
      <c r="AB1478" t="s">
        <v>3</v>
      </c>
      <c r="AC1478" t="s">
        <v>138</v>
      </c>
      <c r="AD1478" t="s">
        <v>129</v>
      </c>
      <c r="AE1478" s="97"/>
    </row>
    <row r="1479" spans="1:31" ht="14.4" customHeight="1" x14ac:dyDescent="0.3">
      <c r="A1479" t="s">
        <v>3695</v>
      </c>
      <c r="B1479" t="s">
        <v>2070</v>
      </c>
      <c r="C1479"/>
      <c r="D1479"/>
      <c r="E1479"/>
      <c r="F1479"/>
      <c r="G1479" t="s">
        <v>3619</v>
      </c>
      <c r="H1479" t="s">
        <v>132</v>
      </c>
      <c r="I1479" t="s">
        <v>2</v>
      </c>
      <c r="J1479" t="s">
        <v>133</v>
      </c>
      <c r="K1479" t="s">
        <v>52</v>
      </c>
      <c r="L1479" t="s">
        <v>2063</v>
      </c>
      <c r="M1479" t="s">
        <v>134</v>
      </c>
      <c r="N1479" t="s">
        <v>135</v>
      </c>
      <c r="O1479"/>
      <c r="P1479"/>
      <c r="Q1479" t="s">
        <v>140</v>
      </c>
      <c r="R1479"/>
      <c r="S1479"/>
      <c r="T1479" t="s">
        <v>2064</v>
      </c>
      <c r="U1479" t="s">
        <v>137</v>
      </c>
      <c r="V1479" t="s">
        <v>721</v>
      </c>
      <c r="W1479"/>
      <c r="X1479" t="s">
        <v>91</v>
      </c>
      <c r="Y1479"/>
      <c r="Z1479"/>
      <c r="AA1479" t="s">
        <v>1884</v>
      </c>
      <c r="AB1479" t="s">
        <v>3</v>
      </c>
      <c r="AC1479" t="s">
        <v>138</v>
      </c>
      <c r="AD1479" t="s">
        <v>129</v>
      </c>
      <c r="AE1479" s="97"/>
    </row>
    <row r="1480" spans="1:31" ht="14.4" customHeight="1" x14ac:dyDescent="0.3">
      <c r="A1480" t="s">
        <v>3696</v>
      </c>
      <c r="B1480" t="s">
        <v>2072</v>
      </c>
      <c r="C1480"/>
      <c r="D1480"/>
      <c r="E1480"/>
      <c r="F1480"/>
      <c r="G1480" t="s">
        <v>3619</v>
      </c>
      <c r="H1480" t="s">
        <v>132</v>
      </c>
      <c r="I1480" t="s">
        <v>2</v>
      </c>
      <c r="J1480" t="s">
        <v>133</v>
      </c>
      <c r="K1480" t="s">
        <v>52</v>
      </c>
      <c r="L1480" t="s">
        <v>2063</v>
      </c>
      <c r="M1480" t="s">
        <v>134</v>
      </c>
      <c r="N1480" t="s">
        <v>135</v>
      </c>
      <c r="O1480"/>
      <c r="P1480"/>
      <c r="Q1480" t="s">
        <v>140</v>
      </c>
      <c r="R1480"/>
      <c r="S1480"/>
      <c r="T1480" t="s">
        <v>2064</v>
      </c>
      <c r="U1480" t="s">
        <v>137</v>
      </c>
      <c r="V1480" t="s">
        <v>727</v>
      </c>
      <c r="W1480"/>
      <c r="X1480" t="s">
        <v>100</v>
      </c>
      <c r="Y1480"/>
      <c r="Z1480"/>
      <c r="AA1480" t="s">
        <v>1884</v>
      </c>
      <c r="AB1480" t="s">
        <v>3</v>
      </c>
      <c r="AC1480" t="s">
        <v>138</v>
      </c>
      <c r="AD1480" t="s">
        <v>129</v>
      </c>
      <c r="AE1480" s="97"/>
    </row>
    <row r="1481" spans="1:31" ht="14.4" customHeight="1" x14ac:dyDescent="0.3">
      <c r="A1481" t="s">
        <v>3697</v>
      </c>
      <c r="B1481" t="s">
        <v>2074</v>
      </c>
      <c r="C1481"/>
      <c r="D1481"/>
      <c r="E1481"/>
      <c r="F1481"/>
      <c r="G1481" t="s">
        <v>3619</v>
      </c>
      <c r="H1481" t="s">
        <v>132</v>
      </c>
      <c r="I1481" t="s">
        <v>2</v>
      </c>
      <c r="J1481" t="s">
        <v>133</v>
      </c>
      <c r="K1481" t="s">
        <v>52</v>
      </c>
      <c r="L1481" t="s">
        <v>2063</v>
      </c>
      <c r="M1481" t="s">
        <v>134</v>
      </c>
      <c r="N1481" t="s">
        <v>135</v>
      </c>
      <c r="O1481"/>
      <c r="P1481"/>
      <c r="Q1481" t="s">
        <v>140</v>
      </c>
      <c r="R1481"/>
      <c r="S1481"/>
      <c r="T1481" t="s">
        <v>2064</v>
      </c>
      <c r="U1481" t="s">
        <v>137</v>
      </c>
      <c r="V1481" t="s">
        <v>733</v>
      </c>
      <c r="W1481"/>
      <c r="X1481" t="s">
        <v>109</v>
      </c>
      <c r="Y1481"/>
      <c r="Z1481"/>
      <c r="AA1481" t="s">
        <v>1884</v>
      </c>
      <c r="AB1481" t="s">
        <v>3</v>
      </c>
      <c r="AC1481" t="s">
        <v>138</v>
      </c>
      <c r="AD1481" t="s">
        <v>129</v>
      </c>
      <c r="AE1481" s="97"/>
    </row>
    <row r="1482" spans="1:31" ht="14.4" customHeight="1" x14ac:dyDescent="0.3">
      <c r="A1482" t="s">
        <v>3698</v>
      </c>
      <c r="B1482" t="s">
        <v>2076</v>
      </c>
      <c r="C1482"/>
      <c r="D1482"/>
      <c r="E1482"/>
      <c r="F1482"/>
      <c r="G1482" t="s">
        <v>3619</v>
      </c>
      <c r="H1482" t="s">
        <v>132</v>
      </c>
      <c r="I1482" t="s">
        <v>2</v>
      </c>
      <c r="J1482" t="s">
        <v>133</v>
      </c>
      <c r="K1482" t="s">
        <v>52</v>
      </c>
      <c r="L1482" t="s">
        <v>2063</v>
      </c>
      <c r="M1482" t="s">
        <v>134</v>
      </c>
      <c r="N1482" t="s">
        <v>135</v>
      </c>
      <c r="O1482"/>
      <c r="P1482"/>
      <c r="Q1482" t="s">
        <v>140</v>
      </c>
      <c r="R1482"/>
      <c r="S1482"/>
      <c r="T1482" t="s">
        <v>2064</v>
      </c>
      <c r="U1482" t="s">
        <v>137</v>
      </c>
      <c r="V1482" t="s">
        <v>739</v>
      </c>
      <c r="W1482"/>
      <c r="X1482" t="s">
        <v>118</v>
      </c>
      <c r="Y1482"/>
      <c r="Z1482"/>
      <c r="AA1482" t="s">
        <v>1884</v>
      </c>
      <c r="AB1482" t="s">
        <v>3</v>
      </c>
      <c r="AC1482" t="s">
        <v>138</v>
      </c>
      <c r="AD1482" t="s">
        <v>130</v>
      </c>
      <c r="AE1482" s="97"/>
    </row>
    <row r="1483" spans="1:31" ht="14.4" customHeight="1" x14ac:dyDescent="0.3">
      <c r="A1483" t="s">
        <v>3699</v>
      </c>
      <c r="B1483" t="s">
        <v>2078</v>
      </c>
      <c r="C1483"/>
      <c r="D1483"/>
      <c r="E1483"/>
      <c r="F1483"/>
      <c r="G1483" t="s">
        <v>3619</v>
      </c>
      <c r="H1483" t="s">
        <v>132</v>
      </c>
      <c r="I1483" t="s">
        <v>2</v>
      </c>
      <c r="J1483" t="s">
        <v>133</v>
      </c>
      <c r="K1483" t="s">
        <v>52</v>
      </c>
      <c r="L1483" t="s">
        <v>2063</v>
      </c>
      <c r="M1483" t="s">
        <v>134</v>
      </c>
      <c r="N1483" t="s">
        <v>135</v>
      </c>
      <c r="O1483"/>
      <c r="P1483"/>
      <c r="Q1483" t="s">
        <v>140</v>
      </c>
      <c r="R1483"/>
      <c r="S1483"/>
      <c r="T1483" t="s">
        <v>2079</v>
      </c>
      <c r="U1483" t="s">
        <v>137</v>
      </c>
      <c r="V1483" t="s">
        <v>703</v>
      </c>
      <c r="W1483"/>
      <c r="X1483" t="s">
        <v>62</v>
      </c>
      <c r="Y1483"/>
      <c r="Z1483"/>
      <c r="AA1483" t="s">
        <v>1884</v>
      </c>
      <c r="AB1483" t="s">
        <v>3</v>
      </c>
      <c r="AC1483" t="s">
        <v>138</v>
      </c>
      <c r="AD1483" t="s">
        <v>128</v>
      </c>
      <c r="AE1483" s="97"/>
    </row>
    <row r="1484" spans="1:31" ht="14.4" customHeight="1" x14ac:dyDescent="0.3">
      <c r="A1484" t="s">
        <v>3700</v>
      </c>
      <c r="B1484" t="s">
        <v>2081</v>
      </c>
      <c r="C1484"/>
      <c r="D1484"/>
      <c r="E1484"/>
      <c r="F1484"/>
      <c r="G1484" t="s">
        <v>3619</v>
      </c>
      <c r="H1484" t="s">
        <v>132</v>
      </c>
      <c r="I1484" t="s">
        <v>2</v>
      </c>
      <c r="J1484" t="s">
        <v>133</v>
      </c>
      <c r="K1484" t="s">
        <v>52</v>
      </c>
      <c r="L1484" t="s">
        <v>2063</v>
      </c>
      <c r="M1484" t="s">
        <v>134</v>
      </c>
      <c r="N1484" t="s">
        <v>135</v>
      </c>
      <c r="O1484"/>
      <c r="P1484"/>
      <c r="Q1484" t="s">
        <v>140</v>
      </c>
      <c r="R1484"/>
      <c r="S1484"/>
      <c r="T1484" t="s">
        <v>2079</v>
      </c>
      <c r="U1484" t="s">
        <v>137</v>
      </c>
      <c r="V1484" t="s">
        <v>709</v>
      </c>
      <c r="W1484"/>
      <c r="X1484" t="s">
        <v>73</v>
      </c>
      <c r="Y1484"/>
      <c r="Z1484"/>
      <c r="AA1484" t="s">
        <v>1884</v>
      </c>
      <c r="AB1484" t="s">
        <v>3</v>
      </c>
      <c r="AC1484" t="s">
        <v>138</v>
      </c>
      <c r="AD1484" t="s">
        <v>128</v>
      </c>
      <c r="AE1484" s="97"/>
    </row>
    <row r="1485" spans="1:31" ht="14.4" customHeight="1" x14ac:dyDescent="0.3">
      <c r="A1485" t="s">
        <v>3701</v>
      </c>
      <c r="B1485" t="s">
        <v>2083</v>
      </c>
      <c r="C1485"/>
      <c r="D1485"/>
      <c r="E1485"/>
      <c r="F1485"/>
      <c r="G1485" t="s">
        <v>3619</v>
      </c>
      <c r="H1485" t="s">
        <v>132</v>
      </c>
      <c r="I1485" t="s">
        <v>2</v>
      </c>
      <c r="J1485" t="s">
        <v>133</v>
      </c>
      <c r="K1485" t="s">
        <v>52</v>
      </c>
      <c r="L1485" t="s">
        <v>2063</v>
      </c>
      <c r="M1485" t="s">
        <v>134</v>
      </c>
      <c r="N1485" t="s">
        <v>135</v>
      </c>
      <c r="O1485"/>
      <c r="P1485"/>
      <c r="Q1485" t="s">
        <v>140</v>
      </c>
      <c r="R1485"/>
      <c r="S1485"/>
      <c r="T1485" t="s">
        <v>2079</v>
      </c>
      <c r="U1485" t="s">
        <v>137</v>
      </c>
      <c r="V1485" t="s">
        <v>715</v>
      </c>
      <c r="W1485"/>
      <c r="X1485" t="s">
        <v>82</v>
      </c>
      <c r="Y1485"/>
      <c r="Z1485"/>
      <c r="AA1485" t="s">
        <v>1884</v>
      </c>
      <c r="AB1485" t="s">
        <v>3</v>
      </c>
      <c r="AC1485" t="s">
        <v>138</v>
      </c>
      <c r="AD1485" t="s">
        <v>129</v>
      </c>
      <c r="AE1485" s="97"/>
    </row>
    <row r="1486" spans="1:31" ht="14.4" customHeight="1" x14ac:dyDescent="0.3">
      <c r="A1486" t="s">
        <v>3702</v>
      </c>
      <c r="B1486" t="s">
        <v>2085</v>
      </c>
      <c r="C1486"/>
      <c r="D1486"/>
      <c r="E1486"/>
      <c r="F1486"/>
      <c r="G1486" t="s">
        <v>3619</v>
      </c>
      <c r="H1486" t="s">
        <v>132</v>
      </c>
      <c r="I1486" t="s">
        <v>2</v>
      </c>
      <c r="J1486" t="s">
        <v>133</v>
      </c>
      <c r="K1486" t="s">
        <v>52</v>
      </c>
      <c r="L1486" t="s">
        <v>2063</v>
      </c>
      <c r="M1486" t="s">
        <v>134</v>
      </c>
      <c r="N1486" t="s">
        <v>135</v>
      </c>
      <c r="O1486"/>
      <c r="P1486"/>
      <c r="Q1486" t="s">
        <v>140</v>
      </c>
      <c r="R1486"/>
      <c r="S1486"/>
      <c r="T1486" t="s">
        <v>2079</v>
      </c>
      <c r="U1486" t="s">
        <v>137</v>
      </c>
      <c r="V1486" t="s">
        <v>721</v>
      </c>
      <c r="W1486"/>
      <c r="X1486" t="s">
        <v>91</v>
      </c>
      <c r="Y1486"/>
      <c r="Z1486"/>
      <c r="AA1486" t="s">
        <v>1884</v>
      </c>
      <c r="AB1486" t="s">
        <v>3</v>
      </c>
      <c r="AC1486" t="s">
        <v>138</v>
      </c>
      <c r="AD1486" t="s">
        <v>129</v>
      </c>
      <c r="AE1486" s="97"/>
    </row>
    <row r="1487" spans="1:31" ht="14.4" customHeight="1" x14ac:dyDescent="0.3">
      <c r="A1487" t="s">
        <v>3703</v>
      </c>
      <c r="B1487" t="s">
        <v>2087</v>
      </c>
      <c r="C1487"/>
      <c r="D1487"/>
      <c r="E1487"/>
      <c r="F1487"/>
      <c r="G1487" t="s">
        <v>3619</v>
      </c>
      <c r="H1487" t="s">
        <v>132</v>
      </c>
      <c r="I1487" t="s">
        <v>2</v>
      </c>
      <c r="J1487" t="s">
        <v>133</v>
      </c>
      <c r="K1487" t="s">
        <v>52</v>
      </c>
      <c r="L1487" t="s">
        <v>2063</v>
      </c>
      <c r="M1487" t="s">
        <v>134</v>
      </c>
      <c r="N1487" t="s">
        <v>135</v>
      </c>
      <c r="O1487"/>
      <c r="P1487"/>
      <c r="Q1487" t="s">
        <v>140</v>
      </c>
      <c r="R1487"/>
      <c r="S1487"/>
      <c r="T1487" t="s">
        <v>2079</v>
      </c>
      <c r="U1487" t="s">
        <v>137</v>
      </c>
      <c r="V1487" t="s">
        <v>727</v>
      </c>
      <c r="W1487"/>
      <c r="X1487" t="s">
        <v>100</v>
      </c>
      <c r="Y1487"/>
      <c r="Z1487"/>
      <c r="AA1487" t="s">
        <v>1884</v>
      </c>
      <c r="AB1487" t="s">
        <v>3</v>
      </c>
      <c r="AC1487" t="s">
        <v>138</v>
      </c>
      <c r="AD1487" t="s">
        <v>129</v>
      </c>
      <c r="AE1487" s="97"/>
    </row>
    <row r="1488" spans="1:31" ht="14.4" customHeight="1" x14ac:dyDescent="0.3">
      <c r="A1488" t="s">
        <v>3704</v>
      </c>
      <c r="B1488" t="s">
        <v>2089</v>
      </c>
      <c r="C1488"/>
      <c r="D1488"/>
      <c r="E1488"/>
      <c r="F1488"/>
      <c r="G1488" t="s">
        <v>3619</v>
      </c>
      <c r="H1488" t="s">
        <v>132</v>
      </c>
      <c r="I1488" t="s">
        <v>2</v>
      </c>
      <c r="J1488" t="s">
        <v>133</v>
      </c>
      <c r="K1488" t="s">
        <v>52</v>
      </c>
      <c r="L1488" t="s">
        <v>2063</v>
      </c>
      <c r="M1488" t="s">
        <v>134</v>
      </c>
      <c r="N1488" t="s">
        <v>135</v>
      </c>
      <c r="O1488"/>
      <c r="P1488"/>
      <c r="Q1488" t="s">
        <v>140</v>
      </c>
      <c r="R1488"/>
      <c r="S1488"/>
      <c r="T1488" t="s">
        <v>2079</v>
      </c>
      <c r="U1488" t="s">
        <v>137</v>
      </c>
      <c r="V1488" t="s">
        <v>733</v>
      </c>
      <c r="W1488"/>
      <c r="X1488" t="s">
        <v>109</v>
      </c>
      <c r="Y1488"/>
      <c r="Z1488"/>
      <c r="AA1488" t="s">
        <v>1884</v>
      </c>
      <c r="AB1488" t="s">
        <v>3</v>
      </c>
      <c r="AC1488" t="s">
        <v>138</v>
      </c>
      <c r="AD1488" t="s">
        <v>129</v>
      </c>
      <c r="AE1488" s="97"/>
    </row>
    <row r="1489" spans="1:31" ht="14.4" customHeight="1" x14ac:dyDescent="0.3">
      <c r="A1489" t="s">
        <v>3705</v>
      </c>
      <c r="B1489" t="s">
        <v>2091</v>
      </c>
      <c r="C1489"/>
      <c r="D1489"/>
      <c r="E1489"/>
      <c r="F1489"/>
      <c r="G1489" t="s">
        <v>3619</v>
      </c>
      <c r="H1489" t="s">
        <v>132</v>
      </c>
      <c r="I1489" t="s">
        <v>2</v>
      </c>
      <c r="J1489" t="s">
        <v>133</v>
      </c>
      <c r="K1489" t="s">
        <v>52</v>
      </c>
      <c r="L1489" t="s">
        <v>2063</v>
      </c>
      <c r="M1489" t="s">
        <v>134</v>
      </c>
      <c r="N1489" t="s">
        <v>135</v>
      </c>
      <c r="O1489"/>
      <c r="P1489"/>
      <c r="Q1489" t="s">
        <v>140</v>
      </c>
      <c r="R1489"/>
      <c r="S1489"/>
      <c r="T1489" t="s">
        <v>2079</v>
      </c>
      <c r="U1489" t="s">
        <v>137</v>
      </c>
      <c r="V1489" t="s">
        <v>739</v>
      </c>
      <c r="W1489"/>
      <c r="X1489" t="s">
        <v>118</v>
      </c>
      <c r="Y1489"/>
      <c r="Z1489"/>
      <c r="AA1489" t="s">
        <v>1884</v>
      </c>
      <c r="AB1489" t="s">
        <v>3</v>
      </c>
      <c r="AC1489" t="s">
        <v>138</v>
      </c>
      <c r="AD1489" t="s">
        <v>130</v>
      </c>
      <c r="AE1489" s="97"/>
    </row>
    <row r="1490" spans="1:31" ht="14.4" customHeight="1" x14ac:dyDescent="0.3">
      <c r="A1490" t="s">
        <v>3706</v>
      </c>
      <c r="B1490" t="s">
        <v>2093</v>
      </c>
      <c r="C1490"/>
      <c r="D1490"/>
      <c r="E1490"/>
      <c r="F1490"/>
      <c r="G1490" t="s">
        <v>3619</v>
      </c>
      <c r="H1490" t="s">
        <v>132</v>
      </c>
      <c r="I1490" t="s">
        <v>2</v>
      </c>
      <c r="J1490" t="s">
        <v>133</v>
      </c>
      <c r="K1490" t="s">
        <v>52</v>
      </c>
      <c r="L1490" t="s">
        <v>2094</v>
      </c>
      <c r="M1490" t="s">
        <v>134</v>
      </c>
      <c r="N1490" t="s">
        <v>135</v>
      </c>
      <c r="O1490"/>
      <c r="P1490"/>
      <c r="Q1490" t="s">
        <v>140</v>
      </c>
      <c r="R1490"/>
      <c r="S1490"/>
      <c r="T1490" t="s">
        <v>2095</v>
      </c>
      <c r="U1490" t="s">
        <v>137</v>
      </c>
      <c r="V1490" t="s">
        <v>371</v>
      </c>
      <c r="W1490"/>
      <c r="X1490" t="s">
        <v>57</v>
      </c>
      <c r="Y1490"/>
      <c r="Z1490"/>
      <c r="AA1490" t="s">
        <v>1884</v>
      </c>
      <c r="AB1490" t="s">
        <v>3</v>
      </c>
      <c r="AC1490" t="s">
        <v>138</v>
      </c>
      <c r="AD1490" t="s">
        <v>128</v>
      </c>
      <c r="AE1490" s="97"/>
    </row>
    <row r="1491" spans="1:31" ht="14.4" customHeight="1" x14ac:dyDescent="0.3">
      <c r="A1491" t="s">
        <v>3707</v>
      </c>
      <c r="B1491" t="s">
        <v>2097</v>
      </c>
      <c r="C1491"/>
      <c r="D1491"/>
      <c r="E1491"/>
      <c r="F1491"/>
      <c r="G1491" t="s">
        <v>3619</v>
      </c>
      <c r="H1491" t="s">
        <v>132</v>
      </c>
      <c r="I1491" t="s">
        <v>2</v>
      </c>
      <c r="J1491" t="s">
        <v>133</v>
      </c>
      <c r="K1491" t="s">
        <v>52</v>
      </c>
      <c r="L1491" t="s">
        <v>2098</v>
      </c>
      <c r="M1491" t="s">
        <v>134</v>
      </c>
      <c r="N1491" t="s">
        <v>135</v>
      </c>
      <c r="O1491"/>
      <c r="P1491"/>
      <c r="Q1491" t="s">
        <v>140</v>
      </c>
      <c r="R1491"/>
      <c r="S1491"/>
      <c r="T1491" t="s">
        <v>1888</v>
      </c>
      <c r="U1491" t="s">
        <v>137</v>
      </c>
      <c r="V1491" t="s">
        <v>147</v>
      </c>
      <c r="W1491"/>
      <c r="X1491" t="s">
        <v>70</v>
      </c>
      <c r="Y1491"/>
      <c r="Z1491"/>
      <c r="AA1491" t="s">
        <v>1884</v>
      </c>
      <c r="AB1491" t="s">
        <v>3</v>
      </c>
      <c r="AC1491" t="s">
        <v>138</v>
      </c>
      <c r="AD1491" t="s">
        <v>128</v>
      </c>
      <c r="AE1491" s="97"/>
    </row>
    <row r="1492" spans="1:31" ht="14.4" customHeight="1" x14ac:dyDescent="0.3">
      <c r="A1492" t="s">
        <v>3708</v>
      </c>
      <c r="B1492" t="s">
        <v>2100</v>
      </c>
      <c r="C1492"/>
      <c r="D1492"/>
      <c r="E1492"/>
      <c r="F1492"/>
      <c r="G1492" t="s">
        <v>3619</v>
      </c>
      <c r="H1492" t="s">
        <v>132</v>
      </c>
      <c r="I1492" t="s">
        <v>2</v>
      </c>
      <c r="J1492" t="s">
        <v>133</v>
      </c>
      <c r="K1492" t="s">
        <v>52</v>
      </c>
      <c r="L1492" t="s">
        <v>2098</v>
      </c>
      <c r="M1492" t="s">
        <v>134</v>
      </c>
      <c r="N1492" t="s">
        <v>135</v>
      </c>
      <c r="O1492"/>
      <c r="P1492"/>
      <c r="Q1492" t="s">
        <v>140</v>
      </c>
      <c r="R1492"/>
      <c r="S1492"/>
      <c r="T1492" t="s">
        <v>1892</v>
      </c>
      <c r="U1492" t="s">
        <v>137</v>
      </c>
      <c r="V1492" t="s">
        <v>150</v>
      </c>
      <c r="W1492"/>
      <c r="X1492" t="s">
        <v>76</v>
      </c>
      <c r="Y1492"/>
      <c r="Z1492"/>
      <c r="AA1492" t="s">
        <v>1884</v>
      </c>
      <c r="AB1492" t="s">
        <v>3</v>
      </c>
      <c r="AC1492" t="s">
        <v>138</v>
      </c>
      <c r="AD1492" t="s">
        <v>128</v>
      </c>
      <c r="AE1492" s="97"/>
    </row>
    <row r="1493" spans="1:31" ht="14.4" customHeight="1" x14ac:dyDescent="0.3">
      <c r="A1493" t="s">
        <v>3709</v>
      </c>
      <c r="B1493" t="s">
        <v>2102</v>
      </c>
      <c r="C1493"/>
      <c r="D1493"/>
      <c r="E1493"/>
      <c r="F1493"/>
      <c r="G1493" t="s">
        <v>3619</v>
      </c>
      <c r="H1493" t="s">
        <v>132</v>
      </c>
      <c r="I1493" t="s">
        <v>2</v>
      </c>
      <c r="J1493" t="s">
        <v>133</v>
      </c>
      <c r="K1493" t="s">
        <v>52</v>
      </c>
      <c r="L1493" t="s">
        <v>2098</v>
      </c>
      <c r="M1493" t="s">
        <v>134</v>
      </c>
      <c r="N1493" t="s">
        <v>135</v>
      </c>
      <c r="O1493"/>
      <c r="P1493"/>
      <c r="Q1493" t="s">
        <v>140</v>
      </c>
      <c r="R1493"/>
      <c r="S1493"/>
      <c r="T1493" t="s">
        <v>1896</v>
      </c>
      <c r="U1493" t="s">
        <v>137</v>
      </c>
      <c r="V1493" t="s">
        <v>153</v>
      </c>
      <c r="W1493"/>
      <c r="X1493" t="s">
        <v>88</v>
      </c>
      <c r="Y1493"/>
      <c r="Z1493"/>
      <c r="AA1493" t="s">
        <v>1884</v>
      </c>
      <c r="AB1493" t="s">
        <v>3</v>
      </c>
      <c r="AC1493" t="s">
        <v>138</v>
      </c>
      <c r="AD1493" t="s">
        <v>129</v>
      </c>
      <c r="AE1493" s="97"/>
    </row>
    <row r="1494" spans="1:31" ht="14.4" customHeight="1" x14ac:dyDescent="0.3">
      <c r="A1494" t="s">
        <v>3710</v>
      </c>
      <c r="B1494" t="s">
        <v>2104</v>
      </c>
      <c r="C1494"/>
      <c r="D1494"/>
      <c r="E1494"/>
      <c r="F1494"/>
      <c r="G1494" t="s">
        <v>3619</v>
      </c>
      <c r="H1494" t="s">
        <v>132</v>
      </c>
      <c r="I1494" t="s">
        <v>2</v>
      </c>
      <c r="J1494" t="s">
        <v>133</v>
      </c>
      <c r="K1494" t="s">
        <v>52</v>
      </c>
      <c r="L1494" t="s">
        <v>2098</v>
      </c>
      <c r="M1494" t="s">
        <v>134</v>
      </c>
      <c r="N1494" t="s">
        <v>135</v>
      </c>
      <c r="O1494"/>
      <c r="P1494"/>
      <c r="Q1494" t="s">
        <v>140</v>
      </c>
      <c r="R1494"/>
      <c r="S1494"/>
      <c r="T1494" t="s">
        <v>1900</v>
      </c>
      <c r="U1494" t="s">
        <v>137</v>
      </c>
      <c r="V1494" t="s">
        <v>156</v>
      </c>
      <c r="W1494"/>
      <c r="X1494" t="s">
        <v>97</v>
      </c>
      <c r="Y1494"/>
      <c r="Z1494"/>
      <c r="AA1494" t="s">
        <v>1884</v>
      </c>
      <c r="AB1494" t="s">
        <v>3</v>
      </c>
      <c r="AC1494" t="s">
        <v>138</v>
      </c>
      <c r="AD1494" t="s">
        <v>129</v>
      </c>
      <c r="AE1494" s="97"/>
    </row>
    <row r="1495" spans="1:31" ht="14.4" customHeight="1" x14ac:dyDescent="0.3">
      <c r="A1495" t="s">
        <v>3711</v>
      </c>
      <c r="B1495" t="s">
        <v>2106</v>
      </c>
      <c r="C1495"/>
      <c r="D1495"/>
      <c r="E1495"/>
      <c r="F1495"/>
      <c r="G1495" t="s">
        <v>3619</v>
      </c>
      <c r="H1495" t="s">
        <v>132</v>
      </c>
      <c r="I1495" t="s">
        <v>2</v>
      </c>
      <c r="J1495" t="s">
        <v>133</v>
      </c>
      <c r="K1495" t="s">
        <v>52</v>
      </c>
      <c r="L1495" t="s">
        <v>2098</v>
      </c>
      <c r="M1495" t="s">
        <v>134</v>
      </c>
      <c r="N1495" t="s">
        <v>135</v>
      </c>
      <c r="O1495"/>
      <c r="P1495"/>
      <c r="Q1495" t="s">
        <v>140</v>
      </c>
      <c r="R1495"/>
      <c r="S1495"/>
      <c r="T1495" t="s">
        <v>1904</v>
      </c>
      <c r="U1495" t="s">
        <v>137</v>
      </c>
      <c r="V1495" t="s">
        <v>159</v>
      </c>
      <c r="W1495"/>
      <c r="X1495" t="s">
        <v>106</v>
      </c>
      <c r="Y1495"/>
      <c r="Z1495"/>
      <c r="AA1495" t="s">
        <v>1884</v>
      </c>
      <c r="AB1495" t="s">
        <v>3</v>
      </c>
      <c r="AC1495" t="s">
        <v>138</v>
      </c>
      <c r="AD1495" t="s">
        <v>129</v>
      </c>
      <c r="AE1495" s="97"/>
    </row>
    <row r="1496" spans="1:31" ht="14.4" customHeight="1" x14ac:dyDescent="0.3">
      <c r="A1496" t="s">
        <v>3712</v>
      </c>
      <c r="B1496" t="s">
        <v>2108</v>
      </c>
      <c r="C1496"/>
      <c r="D1496"/>
      <c r="E1496"/>
      <c r="F1496"/>
      <c r="G1496" t="s">
        <v>3619</v>
      </c>
      <c r="H1496" t="s">
        <v>132</v>
      </c>
      <c r="I1496" t="s">
        <v>2</v>
      </c>
      <c r="J1496" t="s">
        <v>133</v>
      </c>
      <c r="K1496" t="s">
        <v>52</v>
      </c>
      <c r="L1496" t="s">
        <v>2098</v>
      </c>
      <c r="M1496" t="s">
        <v>134</v>
      </c>
      <c r="N1496" t="s">
        <v>135</v>
      </c>
      <c r="O1496"/>
      <c r="P1496"/>
      <c r="Q1496" t="s">
        <v>140</v>
      </c>
      <c r="R1496"/>
      <c r="S1496"/>
      <c r="T1496" t="s">
        <v>1908</v>
      </c>
      <c r="U1496" t="s">
        <v>137</v>
      </c>
      <c r="V1496" t="s">
        <v>162</v>
      </c>
      <c r="W1496"/>
      <c r="X1496" t="s">
        <v>113</v>
      </c>
      <c r="Y1496"/>
      <c r="Z1496"/>
      <c r="AA1496" t="s">
        <v>1884</v>
      </c>
      <c r="AB1496" t="s">
        <v>3</v>
      </c>
      <c r="AC1496" t="s">
        <v>138</v>
      </c>
      <c r="AD1496" t="s">
        <v>129</v>
      </c>
      <c r="AE1496" s="97"/>
    </row>
    <row r="1497" spans="1:31" ht="14.4" customHeight="1" x14ac:dyDescent="0.3">
      <c r="A1497" t="s">
        <v>3713</v>
      </c>
      <c r="B1497" t="s">
        <v>2110</v>
      </c>
      <c r="C1497"/>
      <c r="D1497"/>
      <c r="E1497"/>
      <c r="F1497"/>
      <c r="G1497" t="s">
        <v>3619</v>
      </c>
      <c r="H1497" t="s">
        <v>132</v>
      </c>
      <c r="I1497" t="s">
        <v>2</v>
      </c>
      <c r="J1497" t="s">
        <v>133</v>
      </c>
      <c r="K1497" t="s">
        <v>52</v>
      </c>
      <c r="L1497" t="s">
        <v>2098</v>
      </c>
      <c r="M1497" t="s">
        <v>134</v>
      </c>
      <c r="N1497" t="s">
        <v>135</v>
      </c>
      <c r="O1497"/>
      <c r="P1497"/>
      <c r="Q1497" t="s">
        <v>140</v>
      </c>
      <c r="R1497"/>
      <c r="S1497"/>
      <c r="T1497" t="s">
        <v>1912</v>
      </c>
      <c r="U1497" t="s">
        <v>137</v>
      </c>
      <c r="V1497" t="s">
        <v>165</v>
      </c>
      <c r="W1497"/>
      <c r="X1497" t="s">
        <v>122</v>
      </c>
      <c r="Y1497"/>
      <c r="Z1497"/>
      <c r="AA1497" t="s">
        <v>1884</v>
      </c>
      <c r="AB1497" t="s">
        <v>3</v>
      </c>
      <c r="AC1497" t="s">
        <v>138</v>
      </c>
      <c r="AD1497" t="s">
        <v>130</v>
      </c>
      <c r="AE1497" s="97"/>
    </row>
    <row r="1498" spans="1:31" ht="14.4" customHeight="1" x14ac:dyDescent="0.3">
      <c r="A1498" t="s">
        <v>3714</v>
      </c>
      <c r="B1498" t="s">
        <v>2112</v>
      </c>
      <c r="C1498"/>
      <c r="D1498"/>
      <c r="E1498"/>
      <c r="F1498"/>
      <c r="G1498" t="s">
        <v>3619</v>
      </c>
      <c r="H1498" t="s">
        <v>132</v>
      </c>
      <c r="I1498" t="s">
        <v>2</v>
      </c>
      <c r="J1498" t="s">
        <v>133</v>
      </c>
      <c r="K1498" t="s">
        <v>52</v>
      </c>
      <c r="L1498" t="s">
        <v>1935</v>
      </c>
      <c r="M1498" t="s">
        <v>134</v>
      </c>
      <c r="N1498" t="s">
        <v>135</v>
      </c>
      <c r="O1498"/>
      <c r="P1498"/>
      <c r="Q1498" t="s">
        <v>140</v>
      </c>
      <c r="R1498"/>
      <c r="S1498"/>
      <c r="T1498" t="s">
        <v>1936</v>
      </c>
      <c r="U1498" t="s">
        <v>137</v>
      </c>
      <c r="V1498" t="s">
        <v>676</v>
      </c>
      <c r="W1498"/>
      <c r="X1498" t="s">
        <v>119</v>
      </c>
      <c r="Y1498"/>
      <c r="Z1498"/>
      <c r="AA1498" t="s">
        <v>1884</v>
      </c>
      <c r="AB1498" t="s">
        <v>3</v>
      </c>
      <c r="AC1498" t="s">
        <v>138</v>
      </c>
      <c r="AD1498" t="s">
        <v>130</v>
      </c>
      <c r="AE1498" s="97"/>
    </row>
    <row r="1499" spans="1:31" ht="14.4" customHeight="1" x14ac:dyDescent="0.3">
      <c r="A1499" t="s">
        <v>3715</v>
      </c>
      <c r="B1499" t="s">
        <v>2114</v>
      </c>
      <c r="C1499"/>
      <c r="D1499"/>
      <c r="E1499"/>
      <c r="F1499"/>
      <c r="G1499" t="s">
        <v>3619</v>
      </c>
      <c r="H1499" t="s">
        <v>132</v>
      </c>
      <c r="I1499" t="s">
        <v>2</v>
      </c>
      <c r="J1499" t="s">
        <v>133</v>
      </c>
      <c r="K1499" t="s">
        <v>52</v>
      </c>
      <c r="L1499" t="s">
        <v>2115</v>
      </c>
      <c r="M1499" t="s">
        <v>134</v>
      </c>
      <c r="N1499" t="s">
        <v>135</v>
      </c>
      <c r="O1499"/>
      <c r="P1499"/>
      <c r="Q1499" t="s">
        <v>140</v>
      </c>
      <c r="R1499"/>
      <c r="S1499"/>
      <c r="T1499" t="s">
        <v>2047</v>
      </c>
      <c r="U1499" t="s">
        <v>137</v>
      </c>
      <c r="V1499" t="s">
        <v>1279</v>
      </c>
      <c r="W1499"/>
      <c r="X1499" t="s">
        <v>71</v>
      </c>
      <c r="Y1499"/>
      <c r="Z1499"/>
      <c r="AA1499" t="s">
        <v>1884</v>
      </c>
      <c r="AB1499" t="s">
        <v>3</v>
      </c>
      <c r="AC1499" t="s">
        <v>138</v>
      </c>
      <c r="AD1499" t="s">
        <v>128</v>
      </c>
      <c r="AE1499" s="97"/>
    </row>
    <row r="1500" spans="1:31" ht="14.4" customHeight="1" x14ac:dyDescent="0.3">
      <c r="A1500" t="s">
        <v>3716</v>
      </c>
      <c r="B1500" t="s">
        <v>2117</v>
      </c>
      <c r="C1500"/>
      <c r="D1500"/>
      <c r="E1500"/>
      <c r="F1500"/>
      <c r="G1500" t="s">
        <v>3619</v>
      </c>
      <c r="H1500" t="s">
        <v>132</v>
      </c>
      <c r="I1500" t="s">
        <v>2</v>
      </c>
      <c r="J1500" t="s">
        <v>133</v>
      </c>
      <c r="K1500" t="s">
        <v>52</v>
      </c>
      <c r="L1500" t="s">
        <v>2115</v>
      </c>
      <c r="M1500" t="s">
        <v>134</v>
      </c>
      <c r="N1500" t="s">
        <v>135</v>
      </c>
      <c r="O1500"/>
      <c r="P1500"/>
      <c r="Q1500" t="s">
        <v>140</v>
      </c>
      <c r="R1500"/>
      <c r="S1500"/>
      <c r="T1500" t="s">
        <v>2047</v>
      </c>
      <c r="U1500" t="s">
        <v>137</v>
      </c>
      <c r="V1500" t="s">
        <v>1283</v>
      </c>
      <c r="W1500"/>
      <c r="X1500" t="s">
        <v>78</v>
      </c>
      <c r="Y1500"/>
      <c r="Z1500"/>
      <c r="AA1500" t="s">
        <v>1884</v>
      </c>
      <c r="AB1500" t="s">
        <v>3</v>
      </c>
      <c r="AC1500" t="s">
        <v>138</v>
      </c>
      <c r="AD1500" t="s">
        <v>128</v>
      </c>
      <c r="AE1500" s="97"/>
    </row>
    <row r="1501" spans="1:31" ht="14.4" customHeight="1" x14ac:dyDescent="0.3">
      <c r="A1501" t="s">
        <v>3717</v>
      </c>
      <c r="B1501" t="s">
        <v>2119</v>
      </c>
      <c r="C1501"/>
      <c r="D1501"/>
      <c r="E1501"/>
      <c r="F1501"/>
      <c r="G1501" t="s">
        <v>3619</v>
      </c>
      <c r="H1501" t="s">
        <v>132</v>
      </c>
      <c r="I1501" t="s">
        <v>2</v>
      </c>
      <c r="J1501" t="s">
        <v>133</v>
      </c>
      <c r="K1501" t="s">
        <v>52</v>
      </c>
      <c r="L1501" t="s">
        <v>2115</v>
      </c>
      <c r="M1501" t="s">
        <v>134</v>
      </c>
      <c r="N1501" t="s">
        <v>135</v>
      </c>
      <c r="O1501"/>
      <c r="P1501"/>
      <c r="Q1501" t="s">
        <v>140</v>
      </c>
      <c r="R1501"/>
      <c r="S1501"/>
      <c r="T1501" t="s">
        <v>2047</v>
      </c>
      <c r="U1501" t="s">
        <v>137</v>
      </c>
      <c r="V1501" t="s">
        <v>1287</v>
      </c>
      <c r="W1501"/>
      <c r="X1501" t="s">
        <v>89</v>
      </c>
      <c r="Y1501"/>
      <c r="Z1501"/>
      <c r="AA1501" t="s">
        <v>1884</v>
      </c>
      <c r="AB1501" t="s">
        <v>3</v>
      </c>
      <c r="AC1501" t="s">
        <v>138</v>
      </c>
      <c r="AD1501" t="s">
        <v>129</v>
      </c>
      <c r="AE1501" s="97"/>
    </row>
    <row r="1502" spans="1:31" ht="16.2" customHeight="1" x14ac:dyDescent="0.3">
      <c r="A1502" t="s">
        <v>3718</v>
      </c>
      <c r="B1502" t="s">
        <v>2121</v>
      </c>
      <c r="C1502"/>
      <c r="D1502"/>
      <c r="E1502"/>
      <c r="F1502"/>
      <c r="G1502" t="s">
        <v>3619</v>
      </c>
      <c r="H1502" t="s">
        <v>132</v>
      </c>
      <c r="I1502" t="s">
        <v>2</v>
      </c>
      <c r="J1502" t="s">
        <v>133</v>
      </c>
      <c r="K1502" t="s">
        <v>52</v>
      </c>
      <c r="L1502" t="s">
        <v>2115</v>
      </c>
      <c r="M1502" t="s">
        <v>134</v>
      </c>
      <c r="N1502" t="s">
        <v>135</v>
      </c>
      <c r="O1502"/>
      <c r="P1502"/>
      <c r="Q1502" t="s">
        <v>140</v>
      </c>
      <c r="R1502"/>
      <c r="S1502"/>
      <c r="T1502" t="s">
        <v>2047</v>
      </c>
      <c r="U1502" t="s">
        <v>137</v>
      </c>
      <c r="V1502" t="s">
        <v>1291</v>
      </c>
      <c r="W1502"/>
      <c r="X1502" t="s">
        <v>98</v>
      </c>
      <c r="Y1502"/>
      <c r="Z1502"/>
      <c r="AA1502" t="s">
        <v>1884</v>
      </c>
      <c r="AB1502" t="s">
        <v>3</v>
      </c>
      <c r="AC1502" t="s">
        <v>138</v>
      </c>
      <c r="AD1502" t="s">
        <v>129</v>
      </c>
      <c r="AE1502" s="97"/>
    </row>
    <row r="1503" spans="1:31" ht="14.4" customHeight="1" x14ac:dyDescent="0.3">
      <c r="A1503" t="s">
        <v>3719</v>
      </c>
      <c r="B1503" t="s">
        <v>2123</v>
      </c>
      <c r="C1503"/>
      <c r="D1503"/>
      <c r="E1503"/>
      <c r="F1503"/>
      <c r="G1503" t="s">
        <v>3619</v>
      </c>
      <c r="H1503" t="s">
        <v>132</v>
      </c>
      <c r="I1503" t="s">
        <v>2</v>
      </c>
      <c r="J1503" t="s">
        <v>133</v>
      </c>
      <c r="K1503" t="s">
        <v>52</v>
      </c>
      <c r="L1503" t="s">
        <v>2115</v>
      </c>
      <c r="M1503" t="s">
        <v>134</v>
      </c>
      <c r="N1503" t="s">
        <v>135</v>
      </c>
      <c r="O1503"/>
      <c r="P1503"/>
      <c r="Q1503" t="s">
        <v>140</v>
      </c>
      <c r="R1503"/>
      <c r="S1503"/>
      <c r="T1503" t="s">
        <v>2056</v>
      </c>
      <c r="U1503" t="s">
        <v>137</v>
      </c>
      <c r="V1503" t="s">
        <v>1295</v>
      </c>
      <c r="W1503"/>
      <c r="X1503" t="s">
        <v>107</v>
      </c>
      <c r="Y1503"/>
      <c r="Z1503"/>
      <c r="AA1503" t="s">
        <v>1884</v>
      </c>
      <c r="AB1503" t="s">
        <v>3</v>
      </c>
      <c r="AC1503" t="s">
        <v>138</v>
      </c>
      <c r="AD1503" t="s">
        <v>129</v>
      </c>
      <c r="AE1503" s="97"/>
    </row>
    <row r="1504" spans="1:31" ht="14.4" customHeight="1" x14ac:dyDescent="0.3">
      <c r="A1504" t="s">
        <v>3720</v>
      </c>
      <c r="B1504" t="s">
        <v>2125</v>
      </c>
      <c r="C1504"/>
      <c r="D1504"/>
      <c r="E1504"/>
      <c r="F1504"/>
      <c r="G1504" t="s">
        <v>3619</v>
      </c>
      <c r="H1504" t="s">
        <v>132</v>
      </c>
      <c r="I1504" t="s">
        <v>2</v>
      </c>
      <c r="J1504" t="s">
        <v>133</v>
      </c>
      <c r="K1504" t="s">
        <v>52</v>
      </c>
      <c r="L1504" t="s">
        <v>2115</v>
      </c>
      <c r="M1504" t="s">
        <v>134</v>
      </c>
      <c r="N1504" t="s">
        <v>135</v>
      </c>
      <c r="O1504"/>
      <c r="P1504"/>
      <c r="Q1504" t="s">
        <v>140</v>
      </c>
      <c r="R1504"/>
      <c r="S1504"/>
      <c r="T1504" t="s">
        <v>2056</v>
      </c>
      <c r="U1504" t="s">
        <v>137</v>
      </c>
      <c r="V1504" t="s">
        <v>1299</v>
      </c>
      <c r="W1504"/>
      <c r="X1504" t="s">
        <v>114</v>
      </c>
      <c r="Y1504"/>
      <c r="Z1504"/>
      <c r="AA1504" t="s">
        <v>1884</v>
      </c>
      <c r="AB1504" t="s">
        <v>3</v>
      </c>
      <c r="AC1504" t="s">
        <v>138</v>
      </c>
      <c r="AD1504" t="s">
        <v>129</v>
      </c>
      <c r="AE1504" s="97"/>
    </row>
    <row r="1505" spans="1:31" ht="14.4" customHeight="1" x14ac:dyDescent="0.3">
      <c r="A1505" t="s">
        <v>3721</v>
      </c>
      <c r="B1505" t="s">
        <v>2127</v>
      </c>
      <c r="C1505"/>
      <c r="D1505"/>
      <c r="E1505"/>
      <c r="F1505"/>
      <c r="G1505" t="s">
        <v>3619</v>
      </c>
      <c r="H1505" t="s">
        <v>132</v>
      </c>
      <c r="I1505" t="s">
        <v>2</v>
      </c>
      <c r="J1505" t="s">
        <v>133</v>
      </c>
      <c r="K1505" t="s">
        <v>52</v>
      </c>
      <c r="L1505" t="s">
        <v>2115</v>
      </c>
      <c r="M1505" t="s">
        <v>134</v>
      </c>
      <c r="N1505" t="s">
        <v>135</v>
      </c>
      <c r="O1505"/>
      <c r="P1505"/>
      <c r="Q1505" t="s">
        <v>140</v>
      </c>
      <c r="R1505"/>
      <c r="S1505"/>
      <c r="T1505" t="s">
        <v>2056</v>
      </c>
      <c r="U1505" t="s">
        <v>137</v>
      </c>
      <c r="V1505" t="s">
        <v>1303</v>
      </c>
      <c r="W1505"/>
      <c r="X1505" t="s">
        <v>123</v>
      </c>
      <c r="Y1505"/>
      <c r="Z1505"/>
      <c r="AA1505" t="s">
        <v>1884</v>
      </c>
      <c r="AB1505" t="s">
        <v>3</v>
      </c>
      <c r="AC1505" t="s">
        <v>138</v>
      </c>
      <c r="AD1505" t="s">
        <v>130</v>
      </c>
      <c r="AE1505" s="97"/>
    </row>
    <row r="1506" spans="1:31" ht="14.4" customHeight="1" x14ac:dyDescent="0.3">
      <c r="A1506" t="s">
        <v>3722</v>
      </c>
      <c r="B1506" t="s">
        <v>2130</v>
      </c>
      <c r="C1506"/>
      <c r="D1506"/>
      <c r="E1506"/>
      <c r="F1506"/>
      <c r="G1506" t="s">
        <v>3619</v>
      </c>
      <c r="H1506" t="s">
        <v>132</v>
      </c>
      <c r="I1506" t="s">
        <v>2</v>
      </c>
      <c r="J1506" t="s">
        <v>133</v>
      </c>
      <c r="K1506" t="s">
        <v>52</v>
      </c>
      <c r="L1506" t="s">
        <v>2131</v>
      </c>
      <c r="M1506" t="s">
        <v>134</v>
      </c>
      <c r="N1506" t="s">
        <v>135</v>
      </c>
      <c r="O1506"/>
      <c r="P1506"/>
      <c r="Q1506" t="s">
        <v>140</v>
      </c>
      <c r="R1506"/>
      <c r="S1506"/>
      <c r="T1506" t="s">
        <v>2132</v>
      </c>
      <c r="U1506" t="s">
        <v>137</v>
      </c>
      <c r="V1506" t="s">
        <v>1259</v>
      </c>
      <c r="W1506"/>
      <c r="X1506" t="s">
        <v>126</v>
      </c>
      <c r="Y1506"/>
      <c r="Z1506"/>
      <c r="AA1506" t="s">
        <v>1884</v>
      </c>
      <c r="AB1506" t="s">
        <v>3</v>
      </c>
      <c r="AC1506" t="s">
        <v>138</v>
      </c>
      <c r="AD1506" t="s">
        <v>131</v>
      </c>
      <c r="AE1506" s="97"/>
    </row>
    <row r="1507" spans="1:31" ht="14.4" customHeight="1" x14ac:dyDescent="0.3">
      <c r="A1507" t="s">
        <v>3723</v>
      </c>
      <c r="B1507" t="s">
        <v>2134</v>
      </c>
      <c r="C1507"/>
      <c r="D1507"/>
      <c r="E1507"/>
      <c r="F1507"/>
      <c r="G1507" t="s">
        <v>3619</v>
      </c>
      <c r="H1507" t="s">
        <v>132</v>
      </c>
      <c r="I1507" t="s">
        <v>2</v>
      </c>
      <c r="J1507" t="s">
        <v>133</v>
      </c>
      <c r="K1507" t="s">
        <v>52</v>
      </c>
      <c r="L1507" t="s">
        <v>2135</v>
      </c>
      <c r="M1507" t="s">
        <v>134</v>
      </c>
      <c r="N1507" t="s">
        <v>135</v>
      </c>
      <c r="O1507"/>
      <c r="P1507"/>
      <c r="Q1507" t="s">
        <v>140</v>
      </c>
      <c r="R1507"/>
      <c r="S1507"/>
      <c r="T1507" t="s">
        <v>2136</v>
      </c>
      <c r="U1507" t="s">
        <v>137</v>
      </c>
      <c r="V1507" t="s">
        <v>1263</v>
      </c>
      <c r="W1507"/>
      <c r="X1507" t="s">
        <v>69</v>
      </c>
      <c r="Y1507"/>
      <c r="Z1507"/>
      <c r="AA1507" t="s">
        <v>1884</v>
      </c>
      <c r="AB1507" t="s">
        <v>3</v>
      </c>
      <c r="AC1507" t="s">
        <v>138</v>
      </c>
      <c r="AD1507" t="s">
        <v>128</v>
      </c>
      <c r="AE1507" s="97"/>
    </row>
    <row r="1508" spans="1:31" ht="14.4" customHeight="1" x14ac:dyDescent="0.3">
      <c r="A1508" t="s">
        <v>3724</v>
      </c>
      <c r="B1508" t="s">
        <v>2138</v>
      </c>
      <c r="C1508"/>
      <c r="D1508"/>
      <c r="E1508"/>
      <c r="F1508"/>
      <c r="G1508" t="s">
        <v>3619</v>
      </c>
      <c r="H1508" t="s">
        <v>132</v>
      </c>
      <c r="I1508" t="s">
        <v>2</v>
      </c>
      <c r="J1508" t="s">
        <v>133</v>
      </c>
      <c r="K1508" t="s">
        <v>52</v>
      </c>
      <c r="L1508" t="s">
        <v>2139</v>
      </c>
      <c r="M1508" t="s">
        <v>134</v>
      </c>
      <c r="N1508" t="s">
        <v>135</v>
      </c>
      <c r="O1508"/>
      <c r="P1508"/>
      <c r="Q1508" t="s">
        <v>140</v>
      </c>
      <c r="R1508"/>
      <c r="S1508"/>
      <c r="T1508" t="s">
        <v>1936</v>
      </c>
      <c r="U1508" t="s">
        <v>137</v>
      </c>
      <c r="V1508" t="s">
        <v>640</v>
      </c>
      <c r="W1508"/>
      <c r="X1508" t="s">
        <v>66</v>
      </c>
      <c r="Y1508"/>
      <c r="Z1508"/>
      <c r="AA1508" t="s">
        <v>1884</v>
      </c>
      <c r="AB1508" t="s">
        <v>3</v>
      </c>
      <c r="AC1508" t="s">
        <v>138</v>
      </c>
      <c r="AD1508" t="s">
        <v>128</v>
      </c>
      <c r="AE1508" s="97"/>
    </row>
    <row r="1509" spans="1:31" ht="14.4" customHeight="1" x14ac:dyDescent="0.3">
      <c r="A1509" t="s">
        <v>3725</v>
      </c>
      <c r="B1509" t="s">
        <v>2141</v>
      </c>
      <c r="C1509"/>
      <c r="D1509"/>
      <c r="E1509"/>
      <c r="F1509"/>
      <c r="G1509" t="s">
        <v>3619</v>
      </c>
      <c r="H1509" t="s">
        <v>132</v>
      </c>
      <c r="I1509" t="s">
        <v>2</v>
      </c>
      <c r="J1509" t="s">
        <v>133</v>
      </c>
      <c r="K1509" t="s">
        <v>52</v>
      </c>
      <c r="L1509" t="s">
        <v>2139</v>
      </c>
      <c r="M1509" t="s">
        <v>134</v>
      </c>
      <c r="N1509" t="s">
        <v>135</v>
      </c>
      <c r="O1509"/>
      <c r="P1509"/>
      <c r="Q1509" t="s">
        <v>140</v>
      </c>
      <c r="R1509"/>
      <c r="S1509"/>
      <c r="T1509" t="s">
        <v>1936</v>
      </c>
      <c r="U1509" t="s">
        <v>137</v>
      </c>
      <c r="V1509" t="s">
        <v>646</v>
      </c>
      <c r="W1509"/>
      <c r="X1509" t="s">
        <v>74</v>
      </c>
      <c r="Y1509"/>
      <c r="Z1509"/>
      <c r="AA1509" t="s">
        <v>1884</v>
      </c>
      <c r="AB1509" t="s">
        <v>3</v>
      </c>
      <c r="AC1509" t="s">
        <v>138</v>
      </c>
      <c r="AD1509" t="s">
        <v>128</v>
      </c>
      <c r="AE1509" s="97"/>
    </row>
    <row r="1510" spans="1:31" ht="14.4" customHeight="1" x14ac:dyDescent="0.3">
      <c r="A1510" t="s">
        <v>3726</v>
      </c>
      <c r="B1510" t="s">
        <v>2143</v>
      </c>
      <c r="C1510"/>
      <c r="D1510"/>
      <c r="E1510"/>
      <c r="F1510"/>
      <c r="G1510" t="s">
        <v>3619</v>
      </c>
      <c r="H1510" t="s">
        <v>132</v>
      </c>
      <c r="I1510" t="s">
        <v>2</v>
      </c>
      <c r="J1510" t="s">
        <v>133</v>
      </c>
      <c r="K1510" t="s">
        <v>52</v>
      </c>
      <c r="L1510" t="s">
        <v>2139</v>
      </c>
      <c r="M1510" t="s">
        <v>134</v>
      </c>
      <c r="N1510" t="s">
        <v>135</v>
      </c>
      <c r="O1510"/>
      <c r="P1510"/>
      <c r="Q1510" t="s">
        <v>140</v>
      </c>
      <c r="R1510"/>
      <c r="S1510"/>
      <c r="T1510" t="s">
        <v>1936</v>
      </c>
      <c r="U1510" t="s">
        <v>137</v>
      </c>
      <c r="V1510" t="s">
        <v>652</v>
      </c>
      <c r="W1510"/>
      <c r="X1510" t="s">
        <v>85</v>
      </c>
      <c r="Y1510"/>
      <c r="Z1510"/>
      <c r="AA1510" t="s">
        <v>1884</v>
      </c>
      <c r="AB1510" t="s">
        <v>3</v>
      </c>
      <c r="AC1510" t="s">
        <v>138</v>
      </c>
      <c r="AD1510" t="s">
        <v>129</v>
      </c>
      <c r="AE1510" s="97"/>
    </row>
    <row r="1511" spans="1:31" ht="14.4" customHeight="1" x14ac:dyDescent="0.3">
      <c r="A1511" t="s">
        <v>3727</v>
      </c>
      <c r="B1511" t="s">
        <v>2145</v>
      </c>
      <c r="C1511"/>
      <c r="D1511"/>
      <c r="E1511"/>
      <c r="F1511"/>
      <c r="G1511" t="s">
        <v>3619</v>
      </c>
      <c r="H1511" t="s">
        <v>132</v>
      </c>
      <c r="I1511" t="s">
        <v>2</v>
      </c>
      <c r="J1511" t="s">
        <v>133</v>
      </c>
      <c r="K1511" t="s">
        <v>52</v>
      </c>
      <c r="L1511" t="s">
        <v>2139</v>
      </c>
      <c r="M1511" t="s">
        <v>134</v>
      </c>
      <c r="N1511" t="s">
        <v>135</v>
      </c>
      <c r="O1511"/>
      <c r="P1511"/>
      <c r="Q1511" t="s">
        <v>140</v>
      </c>
      <c r="R1511"/>
      <c r="S1511"/>
      <c r="T1511" t="s">
        <v>1936</v>
      </c>
      <c r="U1511" t="s">
        <v>137</v>
      </c>
      <c r="V1511" t="s">
        <v>658</v>
      </c>
      <c r="W1511"/>
      <c r="X1511" t="s">
        <v>94</v>
      </c>
      <c r="Y1511"/>
      <c r="Z1511"/>
      <c r="AA1511" t="s">
        <v>1884</v>
      </c>
      <c r="AB1511" t="s">
        <v>3</v>
      </c>
      <c r="AC1511" t="s">
        <v>138</v>
      </c>
      <c r="AD1511" t="s">
        <v>129</v>
      </c>
      <c r="AE1511" s="97"/>
    </row>
    <row r="1512" spans="1:31" ht="14.4" customHeight="1" x14ac:dyDescent="0.3">
      <c r="A1512" t="s">
        <v>3728</v>
      </c>
      <c r="B1512" t="s">
        <v>2147</v>
      </c>
      <c r="C1512"/>
      <c r="D1512"/>
      <c r="E1512"/>
      <c r="F1512"/>
      <c r="G1512" t="s">
        <v>3619</v>
      </c>
      <c r="H1512" t="s">
        <v>132</v>
      </c>
      <c r="I1512" t="s">
        <v>2</v>
      </c>
      <c r="J1512" t="s">
        <v>133</v>
      </c>
      <c r="K1512" t="s">
        <v>52</v>
      </c>
      <c r="L1512" t="s">
        <v>2139</v>
      </c>
      <c r="M1512" t="s">
        <v>134</v>
      </c>
      <c r="N1512" t="s">
        <v>135</v>
      </c>
      <c r="O1512"/>
      <c r="P1512"/>
      <c r="Q1512" t="s">
        <v>140</v>
      </c>
      <c r="R1512"/>
      <c r="S1512"/>
      <c r="T1512" t="s">
        <v>1936</v>
      </c>
      <c r="U1512" t="s">
        <v>137</v>
      </c>
      <c r="V1512" t="s">
        <v>664</v>
      </c>
      <c r="W1512"/>
      <c r="X1512" t="s">
        <v>103</v>
      </c>
      <c r="Y1512"/>
      <c r="Z1512"/>
      <c r="AA1512" t="s">
        <v>1884</v>
      </c>
      <c r="AB1512" t="s">
        <v>3</v>
      </c>
      <c r="AC1512" t="s">
        <v>138</v>
      </c>
      <c r="AD1512" t="s">
        <v>129</v>
      </c>
      <c r="AE1512" s="97"/>
    </row>
    <row r="1513" spans="1:31" ht="14.4" customHeight="1" x14ac:dyDescent="0.3">
      <c r="A1513" t="s">
        <v>3729</v>
      </c>
      <c r="B1513" t="s">
        <v>2149</v>
      </c>
      <c r="C1513"/>
      <c r="D1513"/>
      <c r="E1513"/>
      <c r="F1513"/>
      <c r="G1513" t="s">
        <v>3619</v>
      </c>
      <c r="H1513" t="s">
        <v>132</v>
      </c>
      <c r="I1513" t="s">
        <v>2</v>
      </c>
      <c r="J1513" t="s">
        <v>133</v>
      </c>
      <c r="K1513" t="s">
        <v>52</v>
      </c>
      <c r="L1513" t="s">
        <v>2139</v>
      </c>
      <c r="M1513" t="s">
        <v>134</v>
      </c>
      <c r="N1513" t="s">
        <v>135</v>
      </c>
      <c r="O1513"/>
      <c r="P1513"/>
      <c r="Q1513" t="s">
        <v>140</v>
      </c>
      <c r="R1513"/>
      <c r="S1513"/>
      <c r="T1513" t="s">
        <v>1936</v>
      </c>
      <c r="U1513" t="s">
        <v>137</v>
      </c>
      <c r="V1513" t="s">
        <v>670</v>
      </c>
      <c r="W1513"/>
      <c r="X1513" t="s">
        <v>110</v>
      </c>
      <c r="Y1513"/>
      <c r="Z1513"/>
      <c r="AA1513" t="s">
        <v>1884</v>
      </c>
      <c r="AB1513" t="s">
        <v>3</v>
      </c>
      <c r="AC1513" t="s">
        <v>138</v>
      </c>
      <c r="AD1513" t="s">
        <v>129</v>
      </c>
      <c r="AE1513" s="97"/>
    </row>
    <row r="1514" spans="1:31" ht="14.4" customHeight="1" x14ac:dyDescent="0.3">
      <c r="A1514" t="s">
        <v>3730</v>
      </c>
      <c r="B1514" t="s">
        <v>2151</v>
      </c>
      <c r="C1514"/>
      <c r="D1514"/>
      <c r="E1514"/>
      <c r="F1514"/>
      <c r="G1514" t="s">
        <v>3619</v>
      </c>
      <c r="H1514" t="s">
        <v>132</v>
      </c>
      <c r="I1514" t="s">
        <v>2</v>
      </c>
      <c r="J1514" t="s">
        <v>133</v>
      </c>
      <c r="K1514" t="s">
        <v>52</v>
      </c>
      <c r="L1514" t="s">
        <v>2139</v>
      </c>
      <c r="M1514" t="s">
        <v>134</v>
      </c>
      <c r="N1514" t="s">
        <v>135</v>
      </c>
      <c r="O1514"/>
      <c r="P1514"/>
      <c r="Q1514" t="s">
        <v>140</v>
      </c>
      <c r="R1514"/>
      <c r="S1514"/>
      <c r="T1514" t="s">
        <v>1936</v>
      </c>
      <c r="U1514" t="s">
        <v>137</v>
      </c>
      <c r="V1514" t="s">
        <v>676</v>
      </c>
      <c r="W1514"/>
      <c r="X1514" t="s">
        <v>119</v>
      </c>
      <c r="Y1514"/>
      <c r="Z1514"/>
      <c r="AA1514" t="s">
        <v>1884</v>
      </c>
      <c r="AB1514" t="s">
        <v>3</v>
      </c>
      <c r="AC1514" t="s">
        <v>138</v>
      </c>
      <c r="AD1514" t="s">
        <v>130</v>
      </c>
      <c r="AE1514" s="97"/>
    </row>
    <row r="1515" spans="1:31" ht="14.4" customHeight="1" x14ac:dyDescent="0.3">
      <c r="A1515" t="s">
        <v>3734</v>
      </c>
      <c r="B1515" t="s">
        <v>3735</v>
      </c>
      <c r="C1515"/>
      <c r="D1515"/>
      <c r="E1515"/>
      <c r="F1515"/>
      <c r="G1515" t="s">
        <v>3736</v>
      </c>
      <c r="H1515" t="s">
        <v>132</v>
      </c>
      <c r="I1515" t="s">
        <v>3</v>
      </c>
      <c r="J1515" t="s">
        <v>133</v>
      </c>
      <c r="K1515" t="s">
        <v>53</v>
      </c>
      <c r="L1515" t="s">
        <v>3737</v>
      </c>
      <c r="M1515" t="s">
        <v>134</v>
      </c>
      <c r="N1515" t="s">
        <v>135</v>
      </c>
      <c r="O1515"/>
      <c r="P1515"/>
      <c r="Q1515" t="s">
        <v>1766</v>
      </c>
      <c r="R1515"/>
      <c r="S1515"/>
      <c r="T1515" t="s">
        <v>3738</v>
      </c>
      <c r="U1515" t="s">
        <v>137</v>
      </c>
      <c r="V1515" t="s">
        <v>1279</v>
      </c>
      <c r="W1515" s="9">
        <v>46111.504838576388</v>
      </c>
      <c r="X1515" t="s">
        <v>71</v>
      </c>
      <c r="Y1515"/>
      <c r="Z1515"/>
      <c r="AA1515" t="s">
        <v>3739</v>
      </c>
      <c r="AB1515" t="s">
        <v>3</v>
      </c>
      <c r="AC1515" t="s">
        <v>24</v>
      </c>
      <c r="AD1515" t="s">
        <v>128</v>
      </c>
      <c r="AE1515" s="97"/>
    </row>
    <row r="1516" spans="1:31" ht="14.4" customHeight="1" x14ac:dyDescent="0.3">
      <c r="A1516" t="s">
        <v>3740</v>
      </c>
      <c r="B1516" t="s">
        <v>3741</v>
      </c>
      <c r="C1516"/>
      <c r="D1516"/>
      <c r="E1516"/>
      <c r="F1516"/>
      <c r="G1516" t="s">
        <v>3736</v>
      </c>
      <c r="H1516" t="s">
        <v>132</v>
      </c>
      <c r="I1516" t="s">
        <v>3</v>
      </c>
      <c r="J1516" t="s">
        <v>133</v>
      </c>
      <c r="K1516" t="s">
        <v>53</v>
      </c>
      <c r="L1516" t="s">
        <v>3737</v>
      </c>
      <c r="M1516" t="s">
        <v>134</v>
      </c>
      <c r="N1516" t="s">
        <v>135</v>
      </c>
      <c r="O1516"/>
      <c r="P1516"/>
      <c r="Q1516" t="s">
        <v>1766</v>
      </c>
      <c r="R1516"/>
      <c r="S1516"/>
      <c r="T1516" t="s">
        <v>3738</v>
      </c>
      <c r="U1516" t="s">
        <v>137</v>
      </c>
      <c r="V1516" t="s">
        <v>1283</v>
      </c>
      <c r="W1516" s="9">
        <v>46111.505287881948</v>
      </c>
      <c r="X1516" t="s">
        <v>78</v>
      </c>
      <c r="Y1516"/>
      <c r="Z1516"/>
      <c r="AA1516" t="s">
        <v>3739</v>
      </c>
      <c r="AB1516" t="s">
        <v>3</v>
      </c>
      <c r="AC1516" t="s">
        <v>24</v>
      </c>
      <c r="AD1516" t="s">
        <v>128</v>
      </c>
      <c r="AE1516" s="97"/>
    </row>
    <row r="1517" spans="1:31" ht="14.4" customHeight="1" x14ac:dyDescent="0.3">
      <c r="A1517" t="s">
        <v>3742</v>
      </c>
      <c r="B1517" t="s">
        <v>3743</v>
      </c>
      <c r="C1517"/>
      <c r="D1517"/>
      <c r="E1517"/>
      <c r="F1517"/>
      <c r="G1517" t="s">
        <v>3736</v>
      </c>
      <c r="H1517" t="s">
        <v>132</v>
      </c>
      <c r="I1517" t="s">
        <v>3</v>
      </c>
      <c r="J1517" t="s">
        <v>133</v>
      </c>
      <c r="K1517" t="s">
        <v>53</v>
      </c>
      <c r="L1517" t="s">
        <v>3737</v>
      </c>
      <c r="M1517" t="s">
        <v>134</v>
      </c>
      <c r="N1517" t="s">
        <v>135</v>
      </c>
      <c r="O1517"/>
      <c r="P1517"/>
      <c r="Q1517" t="s">
        <v>1766</v>
      </c>
      <c r="R1517"/>
      <c r="S1517"/>
      <c r="T1517" t="s">
        <v>3738</v>
      </c>
      <c r="U1517" t="s">
        <v>137</v>
      </c>
      <c r="V1517" t="s">
        <v>1287</v>
      </c>
      <c r="W1517" s="9">
        <v>46111.505540891201</v>
      </c>
      <c r="X1517" t="s">
        <v>89</v>
      </c>
      <c r="Y1517"/>
      <c r="Z1517"/>
      <c r="AA1517" t="s">
        <v>3739</v>
      </c>
      <c r="AB1517" t="s">
        <v>3</v>
      </c>
      <c r="AC1517" t="s">
        <v>24</v>
      </c>
      <c r="AD1517" t="s">
        <v>129</v>
      </c>
      <c r="AE1517" s="97"/>
    </row>
    <row r="1518" spans="1:31" ht="14.4" customHeight="1" x14ac:dyDescent="0.3">
      <c r="A1518" t="s">
        <v>3744</v>
      </c>
      <c r="B1518" t="s">
        <v>3745</v>
      </c>
      <c r="C1518"/>
      <c r="D1518"/>
      <c r="E1518"/>
      <c r="F1518"/>
      <c r="G1518" t="s">
        <v>3736</v>
      </c>
      <c r="H1518" t="s">
        <v>132</v>
      </c>
      <c r="I1518" t="s">
        <v>3</v>
      </c>
      <c r="J1518" t="s">
        <v>133</v>
      </c>
      <c r="K1518" t="s">
        <v>53</v>
      </c>
      <c r="L1518" t="s">
        <v>3737</v>
      </c>
      <c r="M1518" t="s">
        <v>134</v>
      </c>
      <c r="N1518" t="s">
        <v>135</v>
      </c>
      <c r="O1518"/>
      <c r="P1518"/>
      <c r="Q1518" t="s">
        <v>1766</v>
      </c>
      <c r="R1518"/>
      <c r="S1518"/>
      <c r="T1518" t="s">
        <v>3738</v>
      </c>
      <c r="U1518" t="s">
        <v>137</v>
      </c>
      <c r="V1518" t="s">
        <v>1291</v>
      </c>
      <c r="W1518" s="9">
        <v>46111.505864039354</v>
      </c>
      <c r="X1518" t="s">
        <v>98</v>
      </c>
      <c r="Y1518"/>
      <c r="Z1518"/>
      <c r="AA1518" t="s">
        <v>3739</v>
      </c>
      <c r="AB1518" t="s">
        <v>3</v>
      </c>
      <c r="AC1518" t="s">
        <v>24</v>
      </c>
      <c r="AD1518" t="s">
        <v>129</v>
      </c>
      <c r="AE1518" s="97"/>
    </row>
    <row r="1519" spans="1:31" ht="14.4" customHeight="1" x14ac:dyDescent="0.3">
      <c r="A1519" t="s">
        <v>3746</v>
      </c>
      <c r="B1519" t="s">
        <v>3747</v>
      </c>
      <c r="C1519"/>
      <c r="D1519"/>
      <c r="E1519"/>
      <c r="F1519"/>
      <c r="G1519" t="s">
        <v>3736</v>
      </c>
      <c r="H1519" t="s">
        <v>132</v>
      </c>
      <c r="I1519" t="s">
        <v>3</v>
      </c>
      <c r="J1519" t="s">
        <v>133</v>
      </c>
      <c r="K1519" t="s">
        <v>53</v>
      </c>
      <c r="L1519" t="s">
        <v>3737</v>
      </c>
      <c r="M1519" t="s">
        <v>134</v>
      </c>
      <c r="N1519" t="s">
        <v>135</v>
      </c>
      <c r="O1519"/>
      <c r="P1519"/>
      <c r="Q1519" t="s">
        <v>1766</v>
      </c>
      <c r="R1519"/>
      <c r="S1519"/>
      <c r="T1519" t="s">
        <v>3738</v>
      </c>
      <c r="U1519" t="s">
        <v>137</v>
      </c>
      <c r="V1519" t="s">
        <v>1295</v>
      </c>
      <c r="W1519" s="9">
        <v>46117.479258298612</v>
      </c>
      <c r="X1519" t="s">
        <v>107</v>
      </c>
      <c r="Y1519"/>
      <c r="Z1519"/>
      <c r="AA1519" t="s">
        <v>3739</v>
      </c>
      <c r="AB1519" t="s">
        <v>3</v>
      </c>
      <c r="AC1519" t="s">
        <v>24</v>
      </c>
      <c r="AD1519" t="s">
        <v>129</v>
      </c>
      <c r="AE1519" s="97"/>
    </row>
    <row r="1520" spans="1:31" ht="14.4" customHeight="1" x14ac:dyDescent="0.3">
      <c r="A1520" t="s">
        <v>3748</v>
      </c>
      <c r="B1520" t="s">
        <v>3749</v>
      </c>
      <c r="C1520"/>
      <c r="D1520"/>
      <c r="E1520"/>
      <c r="F1520"/>
      <c r="G1520" t="s">
        <v>3736</v>
      </c>
      <c r="H1520" t="s">
        <v>132</v>
      </c>
      <c r="I1520" t="s">
        <v>3</v>
      </c>
      <c r="J1520" t="s">
        <v>133</v>
      </c>
      <c r="K1520" t="s">
        <v>53</v>
      </c>
      <c r="L1520" t="s">
        <v>3737</v>
      </c>
      <c r="M1520" t="s">
        <v>134</v>
      </c>
      <c r="N1520" t="s">
        <v>135</v>
      </c>
      <c r="O1520"/>
      <c r="P1520"/>
      <c r="Q1520" t="s">
        <v>1766</v>
      </c>
      <c r="R1520"/>
      <c r="S1520"/>
      <c r="T1520" t="s">
        <v>3738</v>
      </c>
      <c r="U1520" t="s">
        <v>137</v>
      </c>
      <c r="V1520" t="s">
        <v>1299</v>
      </c>
      <c r="W1520" s="9">
        <v>46111.507978935188</v>
      </c>
      <c r="X1520" t="s">
        <v>114</v>
      </c>
      <c r="Y1520"/>
      <c r="Z1520"/>
      <c r="AA1520" t="s">
        <v>3739</v>
      </c>
      <c r="AB1520" t="s">
        <v>3</v>
      </c>
      <c r="AC1520" t="s">
        <v>24</v>
      </c>
      <c r="AD1520" t="s">
        <v>129</v>
      </c>
      <c r="AE1520" s="97"/>
    </row>
    <row r="1521" spans="1:31" ht="14.4" customHeight="1" x14ac:dyDescent="0.3">
      <c r="A1521" t="s">
        <v>3750</v>
      </c>
      <c r="B1521" t="s">
        <v>3751</v>
      </c>
      <c r="C1521"/>
      <c r="D1521"/>
      <c r="E1521"/>
      <c r="F1521"/>
      <c r="G1521" t="s">
        <v>3736</v>
      </c>
      <c r="H1521" t="s">
        <v>132</v>
      </c>
      <c r="I1521" t="s">
        <v>3</v>
      </c>
      <c r="J1521" t="s">
        <v>133</v>
      </c>
      <c r="K1521" t="s">
        <v>53</v>
      </c>
      <c r="L1521" t="s">
        <v>3737</v>
      </c>
      <c r="M1521" t="s">
        <v>134</v>
      </c>
      <c r="N1521" t="s">
        <v>135</v>
      </c>
      <c r="O1521"/>
      <c r="P1521"/>
      <c r="Q1521" t="s">
        <v>1766</v>
      </c>
      <c r="R1521"/>
      <c r="S1521"/>
      <c r="T1521" t="s">
        <v>3738</v>
      </c>
      <c r="U1521" t="s">
        <v>137</v>
      </c>
      <c r="V1521" t="s">
        <v>1303</v>
      </c>
      <c r="W1521" s="9">
        <v>46111.50829957176</v>
      </c>
      <c r="X1521" t="s">
        <v>123</v>
      </c>
      <c r="Y1521"/>
      <c r="Z1521"/>
      <c r="AA1521" t="s">
        <v>3739</v>
      </c>
      <c r="AB1521" t="s">
        <v>3</v>
      </c>
      <c r="AC1521" t="s">
        <v>24</v>
      </c>
      <c r="AD1521" t="s">
        <v>130</v>
      </c>
      <c r="AE1521" s="97"/>
    </row>
    <row r="1522" spans="1:31" ht="14.4" customHeight="1" x14ac:dyDescent="0.3">
      <c r="A1522" t="s">
        <v>3753</v>
      </c>
      <c r="B1522" t="s">
        <v>1886</v>
      </c>
      <c r="C1522"/>
      <c r="D1522"/>
      <c r="E1522"/>
      <c r="F1522"/>
      <c r="G1522" t="s">
        <v>3752</v>
      </c>
      <c r="H1522" t="s">
        <v>132</v>
      </c>
      <c r="I1522" t="s">
        <v>3</v>
      </c>
      <c r="J1522" t="s">
        <v>133</v>
      </c>
      <c r="K1522" t="s">
        <v>53</v>
      </c>
      <c r="L1522" t="s">
        <v>1887</v>
      </c>
      <c r="M1522" t="s">
        <v>134</v>
      </c>
      <c r="N1522" t="s">
        <v>135</v>
      </c>
      <c r="O1522"/>
      <c r="P1522"/>
      <c r="Q1522" t="s">
        <v>140</v>
      </c>
      <c r="R1522"/>
      <c r="S1522"/>
      <c r="T1522" t="s">
        <v>1888</v>
      </c>
      <c r="U1522" t="s">
        <v>137</v>
      </c>
      <c r="V1522" t="s">
        <v>147</v>
      </c>
      <c r="W1522" s="9">
        <v>46067.230888078702</v>
      </c>
      <c r="X1522" t="s">
        <v>70</v>
      </c>
      <c r="Y1522"/>
      <c r="Z1522"/>
      <c r="AA1522" t="s">
        <v>1884</v>
      </c>
      <c r="AB1522" t="s">
        <v>3</v>
      </c>
      <c r="AC1522" t="s">
        <v>24</v>
      </c>
      <c r="AD1522" t="s">
        <v>128</v>
      </c>
      <c r="AE1522" s="97"/>
    </row>
    <row r="1523" spans="1:31" ht="14.4" customHeight="1" x14ac:dyDescent="0.3">
      <c r="A1523" t="s">
        <v>3754</v>
      </c>
      <c r="B1523" t="s">
        <v>1890</v>
      </c>
      <c r="C1523"/>
      <c r="D1523"/>
      <c r="E1523"/>
      <c r="F1523"/>
      <c r="G1523" t="s">
        <v>3752</v>
      </c>
      <c r="H1523" t="s">
        <v>132</v>
      </c>
      <c r="I1523" t="s">
        <v>3</v>
      </c>
      <c r="J1523" t="s">
        <v>133</v>
      </c>
      <c r="K1523" t="s">
        <v>53</v>
      </c>
      <c r="L1523" t="s">
        <v>1891</v>
      </c>
      <c r="M1523" t="s">
        <v>134</v>
      </c>
      <c r="N1523" t="s">
        <v>135</v>
      </c>
      <c r="O1523"/>
      <c r="P1523"/>
      <c r="Q1523" t="s">
        <v>140</v>
      </c>
      <c r="R1523"/>
      <c r="S1523"/>
      <c r="T1523" t="s">
        <v>1892</v>
      </c>
      <c r="U1523" t="s">
        <v>137</v>
      </c>
      <c r="V1523" t="s">
        <v>150</v>
      </c>
      <c r="W1523" s="9">
        <v>46067.231154594905</v>
      </c>
      <c r="X1523" t="s">
        <v>76</v>
      </c>
      <c r="Y1523"/>
      <c r="Z1523"/>
      <c r="AA1523" t="s">
        <v>1884</v>
      </c>
      <c r="AB1523" t="s">
        <v>3</v>
      </c>
      <c r="AC1523" t="s">
        <v>24</v>
      </c>
      <c r="AD1523" t="s">
        <v>128</v>
      </c>
      <c r="AE1523" s="97"/>
    </row>
    <row r="1524" spans="1:31" ht="14.4" customHeight="1" x14ac:dyDescent="0.3">
      <c r="A1524" t="s">
        <v>3755</v>
      </c>
      <c r="B1524" t="s">
        <v>1894</v>
      </c>
      <c r="C1524"/>
      <c r="D1524"/>
      <c r="E1524"/>
      <c r="F1524"/>
      <c r="G1524" t="s">
        <v>3752</v>
      </c>
      <c r="H1524" t="s">
        <v>132</v>
      </c>
      <c r="I1524" t="s">
        <v>3</v>
      </c>
      <c r="J1524" t="s">
        <v>133</v>
      </c>
      <c r="K1524" t="s">
        <v>53</v>
      </c>
      <c r="L1524" t="s">
        <v>1895</v>
      </c>
      <c r="M1524" t="s">
        <v>134</v>
      </c>
      <c r="N1524" t="s">
        <v>135</v>
      </c>
      <c r="O1524"/>
      <c r="P1524"/>
      <c r="Q1524" t="s">
        <v>140</v>
      </c>
      <c r="R1524"/>
      <c r="S1524"/>
      <c r="T1524" t="s">
        <v>1896</v>
      </c>
      <c r="U1524" t="s">
        <v>137</v>
      </c>
      <c r="V1524" t="s">
        <v>153</v>
      </c>
      <c r="W1524" s="9">
        <v>46067.231448761573</v>
      </c>
      <c r="X1524" t="s">
        <v>88</v>
      </c>
      <c r="Y1524"/>
      <c r="Z1524"/>
      <c r="AA1524" t="s">
        <v>1884</v>
      </c>
      <c r="AB1524" t="s">
        <v>3</v>
      </c>
      <c r="AC1524" t="s">
        <v>24</v>
      </c>
      <c r="AD1524" t="s">
        <v>129</v>
      </c>
      <c r="AE1524" s="97"/>
    </row>
    <row r="1525" spans="1:31" ht="14.4" customHeight="1" x14ac:dyDescent="0.3">
      <c r="A1525" t="s">
        <v>3756</v>
      </c>
      <c r="B1525" t="s">
        <v>1898</v>
      </c>
      <c r="C1525"/>
      <c r="D1525"/>
      <c r="E1525"/>
      <c r="F1525"/>
      <c r="G1525" t="s">
        <v>3752</v>
      </c>
      <c r="H1525" t="s">
        <v>132</v>
      </c>
      <c r="I1525" t="s">
        <v>3</v>
      </c>
      <c r="J1525" t="s">
        <v>133</v>
      </c>
      <c r="K1525" t="s">
        <v>53</v>
      </c>
      <c r="L1525" t="s">
        <v>1899</v>
      </c>
      <c r="M1525" t="s">
        <v>134</v>
      </c>
      <c r="N1525" t="s">
        <v>135</v>
      </c>
      <c r="O1525"/>
      <c r="P1525"/>
      <c r="Q1525" t="s">
        <v>140</v>
      </c>
      <c r="R1525"/>
      <c r="S1525"/>
      <c r="T1525" t="s">
        <v>1900</v>
      </c>
      <c r="U1525" t="s">
        <v>137</v>
      </c>
      <c r="V1525" t="s">
        <v>156</v>
      </c>
      <c r="W1525" s="9">
        <v>46067.231721793978</v>
      </c>
      <c r="X1525" t="s">
        <v>97</v>
      </c>
      <c r="Y1525"/>
      <c r="Z1525"/>
      <c r="AA1525" t="s">
        <v>1884</v>
      </c>
      <c r="AB1525" t="s">
        <v>3</v>
      </c>
      <c r="AC1525" t="s">
        <v>24</v>
      </c>
      <c r="AD1525" t="s">
        <v>129</v>
      </c>
      <c r="AE1525" s="97"/>
    </row>
    <row r="1526" spans="1:31" ht="14.4" customHeight="1" x14ac:dyDescent="0.3">
      <c r="A1526" t="s">
        <v>3757</v>
      </c>
      <c r="B1526" t="s">
        <v>1902</v>
      </c>
      <c r="C1526"/>
      <c r="D1526"/>
      <c r="E1526"/>
      <c r="F1526"/>
      <c r="G1526" t="s">
        <v>3752</v>
      </c>
      <c r="H1526" t="s">
        <v>132</v>
      </c>
      <c r="I1526" t="s">
        <v>3</v>
      </c>
      <c r="J1526" t="s">
        <v>133</v>
      </c>
      <c r="K1526" t="s">
        <v>53</v>
      </c>
      <c r="L1526" t="s">
        <v>1903</v>
      </c>
      <c r="M1526" t="s">
        <v>134</v>
      </c>
      <c r="N1526" t="s">
        <v>135</v>
      </c>
      <c r="O1526"/>
      <c r="P1526"/>
      <c r="Q1526" t="s">
        <v>140</v>
      </c>
      <c r="R1526"/>
      <c r="S1526"/>
      <c r="T1526" t="s">
        <v>1904</v>
      </c>
      <c r="U1526" t="s">
        <v>137</v>
      </c>
      <c r="V1526" t="s">
        <v>159</v>
      </c>
      <c r="W1526" s="9">
        <v>46067.231959178243</v>
      </c>
      <c r="X1526" t="s">
        <v>106</v>
      </c>
      <c r="Y1526"/>
      <c r="Z1526"/>
      <c r="AA1526" t="s">
        <v>1884</v>
      </c>
      <c r="AB1526" t="s">
        <v>3</v>
      </c>
      <c r="AC1526" t="s">
        <v>24</v>
      </c>
      <c r="AD1526" t="s">
        <v>129</v>
      </c>
      <c r="AE1526" s="97"/>
    </row>
    <row r="1527" spans="1:31" ht="14.4" customHeight="1" x14ac:dyDescent="0.3">
      <c r="A1527" t="s">
        <v>3758</v>
      </c>
      <c r="B1527" t="s">
        <v>1906</v>
      </c>
      <c r="C1527"/>
      <c r="D1527"/>
      <c r="E1527"/>
      <c r="F1527"/>
      <c r="G1527" t="s">
        <v>3752</v>
      </c>
      <c r="H1527" t="s">
        <v>132</v>
      </c>
      <c r="I1527" t="s">
        <v>3</v>
      </c>
      <c r="J1527" t="s">
        <v>133</v>
      </c>
      <c r="K1527" t="s">
        <v>53</v>
      </c>
      <c r="L1527" t="s">
        <v>1907</v>
      </c>
      <c r="M1527" t="s">
        <v>134</v>
      </c>
      <c r="N1527" t="s">
        <v>135</v>
      </c>
      <c r="O1527"/>
      <c r="P1527"/>
      <c r="Q1527" t="s">
        <v>140</v>
      </c>
      <c r="R1527"/>
      <c r="S1527"/>
      <c r="T1527" t="s">
        <v>1908</v>
      </c>
      <c r="U1527" t="s">
        <v>137</v>
      </c>
      <c r="V1527" t="s">
        <v>162</v>
      </c>
      <c r="W1527" s="9">
        <v>46067.234034340276</v>
      </c>
      <c r="X1527" t="s">
        <v>113</v>
      </c>
      <c r="Y1527"/>
      <c r="Z1527"/>
      <c r="AA1527" t="s">
        <v>1884</v>
      </c>
      <c r="AB1527" t="s">
        <v>3</v>
      </c>
      <c r="AC1527" t="s">
        <v>24</v>
      </c>
      <c r="AD1527" t="s">
        <v>129</v>
      </c>
      <c r="AE1527" s="97"/>
    </row>
    <row r="1528" spans="1:31" ht="14.4" customHeight="1" x14ac:dyDescent="0.3">
      <c r="A1528" t="s">
        <v>3759</v>
      </c>
      <c r="B1528" t="s">
        <v>1910</v>
      </c>
      <c r="C1528"/>
      <c r="D1528"/>
      <c r="E1528"/>
      <c r="F1528"/>
      <c r="G1528" t="s">
        <v>3752</v>
      </c>
      <c r="H1528" t="s">
        <v>132</v>
      </c>
      <c r="I1528" t="s">
        <v>3</v>
      </c>
      <c r="J1528" t="s">
        <v>133</v>
      </c>
      <c r="K1528" t="s">
        <v>53</v>
      </c>
      <c r="L1528" t="s">
        <v>1911</v>
      </c>
      <c r="M1528" t="s">
        <v>134</v>
      </c>
      <c r="N1528" t="s">
        <v>135</v>
      </c>
      <c r="O1528"/>
      <c r="P1528"/>
      <c r="Q1528" t="s">
        <v>140</v>
      </c>
      <c r="R1528"/>
      <c r="S1528"/>
      <c r="T1528" t="s">
        <v>1912</v>
      </c>
      <c r="U1528" t="s">
        <v>137</v>
      </c>
      <c r="V1528" t="s">
        <v>165</v>
      </c>
      <c r="W1528" s="9">
        <v>46067.234347951387</v>
      </c>
      <c r="X1528" t="s">
        <v>122</v>
      </c>
      <c r="Y1528"/>
      <c r="Z1528"/>
      <c r="AA1528" t="s">
        <v>1884</v>
      </c>
      <c r="AB1528" t="s">
        <v>3</v>
      </c>
      <c r="AC1528" t="s">
        <v>24</v>
      </c>
      <c r="AD1528" t="s">
        <v>130</v>
      </c>
      <c r="AE1528" s="97"/>
    </row>
    <row r="1529" spans="1:31" ht="14.4" customHeight="1" x14ac:dyDescent="0.3">
      <c r="A1529" t="s">
        <v>3760</v>
      </c>
      <c r="B1529" t="s">
        <v>1914</v>
      </c>
      <c r="C1529"/>
      <c r="D1529"/>
      <c r="E1529"/>
      <c r="F1529"/>
      <c r="G1529" t="s">
        <v>3752</v>
      </c>
      <c r="H1529" t="s">
        <v>132</v>
      </c>
      <c r="I1529" t="s">
        <v>3</v>
      </c>
      <c r="J1529" t="s">
        <v>133</v>
      </c>
      <c r="K1529" t="s">
        <v>53</v>
      </c>
      <c r="L1529" t="s">
        <v>1915</v>
      </c>
      <c r="M1529" t="s">
        <v>134</v>
      </c>
      <c r="N1529" t="s">
        <v>135</v>
      </c>
      <c r="O1529"/>
      <c r="P1529"/>
      <c r="Q1529" t="s">
        <v>140</v>
      </c>
      <c r="R1529"/>
      <c r="S1529"/>
      <c r="T1529" t="s">
        <v>1916</v>
      </c>
      <c r="U1529" t="s">
        <v>137</v>
      </c>
      <c r="V1529" t="s">
        <v>362</v>
      </c>
      <c r="W1529" s="9">
        <v>46125.290504247685</v>
      </c>
      <c r="X1529" t="s">
        <v>58</v>
      </c>
      <c r="Y1529"/>
      <c r="Z1529"/>
      <c r="AA1529" t="s">
        <v>1884</v>
      </c>
      <c r="AB1529" t="s">
        <v>3</v>
      </c>
      <c r="AC1529" t="s">
        <v>24</v>
      </c>
      <c r="AD1529" t="s">
        <v>128</v>
      </c>
      <c r="AE1529" s="97"/>
    </row>
    <row r="1530" spans="1:31" ht="14.4" customHeight="1" x14ac:dyDescent="0.3">
      <c r="A1530" t="s">
        <v>3761</v>
      </c>
      <c r="B1530" t="s">
        <v>1918</v>
      </c>
      <c r="C1530"/>
      <c r="D1530"/>
      <c r="E1530"/>
      <c r="F1530"/>
      <c r="G1530" t="s">
        <v>3752</v>
      </c>
      <c r="H1530" t="s">
        <v>132</v>
      </c>
      <c r="I1530" t="s">
        <v>3</v>
      </c>
      <c r="J1530" t="s">
        <v>133</v>
      </c>
      <c r="K1530" t="s">
        <v>53</v>
      </c>
      <c r="L1530" t="s">
        <v>1919</v>
      </c>
      <c r="M1530" t="s">
        <v>134</v>
      </c>
      <c r="N1530" t="s">
        <v>135</v>
      </c>
      <c r="O1530"/>
      <c r="P1530"/>
      <c r="Q1530" t="s">
        <v>140</v>
      </c>
      <c r="R1530"/>
      <c r="S1530"/>
      <c r="T1530" t="s">
        <v>1920</v>
      </c>
      <c r="U1530" t="s">
        <v>137</v>
      </c>
      <c r="V1530" t="s">
        <v>403</v>
      </c>
      <c r="W1530" s="9">
        <v>46046.534168090278</v>
      </c>
      <c r="X1530" t="s">
        <v>68</v>
      </c>
      <c r="Y1530"/>
      <c r="Z1530"/>
      <c r="AA1530" t="s">
        <v>1884</v>
      </c>
      <c r="AB1530" t="s">
        <v>3</v>
      </c>
      <c r="AC1530" t="s">
        <v>24</v>
      </c>
      <c r="AD1530" t="s">
        <v>128</v>
      </c>
      <c r="AE1530" s="97"/>
    </row>
    <row r="1531" spans="1:31" ht="14.4" customHeight="1" x14ac:dyDescent="0.3">
      <c r="A1531" t="s">
        <v>3762</v>
      </c>
      <c r="B1531" t="s">
        <v>1922</v>
      </c>
      <c r="C1531"/>
      <c r="D1531"/>
      <c r="E1531"/>
      <c r="F1531"/>
      <c r="G1531" t="s">
        <v>3752</v>
      </c>
      <c r="H1531" t="s">
        <v>132</v>
      </c>
      <c r="I1531" t="s">
        <v>3</v>
      </c>
      <c r="J1531" t="s">
        <v>133</v>
      </c>
      <c r="K1531" t="s">
        <v>53</v>
      </c>
      <c r="L1531" t="s">
        <v>1919</v>
      </c>
      <c r="M1531" t="s">
        <v>134</v>
      </c>
      <c r="N1531" t="s">
        <v>135</v>
      </c>
      <c r="O1531"/>
      <c r="P1531"/>
      <c r="Q1531" t="s">
        <v>140</v>
      </c>
      <c r="R1531"/>
      <c r="S1531"/>
      <c r="T1531" t="s">
        <v>1920</v>
      </c>
      <c r="U1531" t="s">
        <v>137</v>
      </c>
      <c r="V1531" t="s">
        <v>407</v>
      </c>
      <c r="W1531" s="9">
        <v>46046.534981099539</v>
      </c>
      <c r="X1531" t="s">
        <v>77</v>
      </c>
      <c r="Y1531"/>
      <c r="Z1531"/>
      <c r="AA1531" t="s">
        <v>1884</v>
      </c>
      <c r="AB1531" t="s">
        <v>3</v>
      </c>
      <c r="AC1531" t="s">
        <v>24</v>
      </c>
      <c r="AD1531" t="s">
        <v>128</v>
      </c>
      <c r="AE1531" s="97"/>
    </row>
    <row r="1532" spans="1:31" ht="14.4" customHeight="1" x14ac:dyDescent="0.3">
      <c r="A1532" t="s">
        <v>3763</v>
      </c>
      <c r="B1532" t="s">
        <v>1924</v>
      </c>
      <c r="C1532"/>
      <c r="D1532"/>
      <c r="E1532"/>
      <c r="F1532"/>
      <c r="G1532" t="s">
        <v>3752</v>
      </c>
      <c r="H1532" t="s">
        <v>132</v>
      </c>
      <c r="I1532" t="s">
        <v>3</v>
      </c>
      <c r="J1532" t="s">
        <v>133</v>
      </c>
      <c r="K1532" t="s">
        <v>53</v>
      </c>
      <c r="L1532" t="s">
        <v>1919</v>
      </c>
      <c r="M1532" t="s">
        <v>134</v>
      </c>
      <c r="N1532" t="s">
        <v>135</v>
      </c>
      <c r="O1532"/>
      <c r="P1532"/>
      <c r="Q1532" t="s">
        <v>140</v>
      </c>
      <c r="R1532"/>
      <c r="S1532"/>
      <c r="T1532" t="s">
        <v>1920</v>
      </c>
      <c r="U1532" t="s">
        <v>137</v>
      </c>
      <c r="V1532" t="s">
        <v>411</v>
      </c>
      <c r="W1532" s="9">
        <v>46046.535600659721</v>
      </c>
      <c r="X1532" t="s">
        <v>87</v>
      </c>
      <c r="Y1532"/>
      <c r="Z1532"/>
      <c r="AA1532" t="s">
        <v>1884</v>
      </c>
      <c r="AB1532" t="s">
        <v>3</v>
      </c>
      <c r="AC1532" t="s">
        <v>24</v>
      </c>
      <c r="AD1532" t="s">
        <v>129</v>
      </c>
      <c r="AE1532" s="97"/>
    </row>
    <row r="1533" spans="1:31" ht="14.4" customHeight="1" x14ac:dyDescent="0.3">
      <c r="A1533" t="s">
        <v>3764</v>
      </c>
      <c r="B1533" t="s">
        <v>1926</v>
      </c>
      <c r="C1533"/>
      <c r="D1533"/>
      <c r="E1533"/>
      <c r="F1533"/>
      <c r="G1533" t="s">
        <v>3752</v>
      </c>
      <c r="H1533" t="s">
        <v>132</v>
      </c>
      <c r="I1533" t="s">
        <v>3</v>
      </c>
      <c r="J1533" t="s">
        <v>133</v>
      </c>
      <c r="K1533" t="s">
        <v>53</v>
      </c>
      <c r="L1533" t="s">
        <v>1919</v>
      </c>
      <c r="M1533" t="s">
        <v>134</v>
      </c>
      <c r="N1533" t="s">
        <v>135</v>
      </c>
      <c r="O1533"/>
      <c r="P1533"/>
      <c r="Q1533" t="s">
        <v>140</v>
      </c>
      <c r="R1533"/>
      <c r="S1533"/>
      <c r="T1533" t="s">
        <v>1920</v>
      </c>
      <c r="U1533" t="s">
        <v>137</v>
      </c>
      <c r="V1533" t="s">
        <v>415</v>
      </c>
      <c r="W1533" s="9">
        <v>46046.536142627316</v>
      </c>
      <c r="X1533" t="s">
        <v>96</v>
      </c>
      <c r="Y1533"/>
      <c r="Z1533"/>
      <c r="AA1533" t="s">
        <v>1884</v>
      </c>
      <c r="AB1533" t="s">
        <v>3</v>
      </c>
      <c r="AC1533" t="s">
        <v>24</v>
      </c>
      <c r="AD1533" t="s">
        <v>129</v>
      </c>
      <c r="AE1533" s="97"/>
    </row>
    <row r="1534" spans="1:31" ht="14.4" customHeight="1" x14ac:dyDescent="0.3">
      <c r="A1534" t="s">
        <v>3765</v>
      </c>
      <c r="B1534" t="s">
        <v>1928</v>
      </c>
      <c r="C1534"/>
      <c r="D1534"/>
      <c r="E1534"/>
      <c r="F1534"/>
      <c r="G1534" t="s">
        <v>3752</v>
      </c>
      <c r="H1534" t="s">
        <v>132</v>
      </c>
      <c r="I1534" t="s">
        <v>3</v>
      </c>
      <c r="J1534" t="s">
        <v>133</v>
      </c>
      <c r="K1534" t="s">
        <v>53</v>
      </c>
      <c r="L1534" t="s">
        <v>1919</v>
      </c>
      <c r="M1534" t="s">
        <v>134</v>
      </c>
      <c r="N1534" t="s">
        <v>135</v>
      </c>
      <c r="O1534"/>
      <c r="P1534"/>
      <c r="Q1534" t="s">
        <v>140</v>
      </c>
      <c r="R1534"/>
      <c r="S1534"/>
      <c r="T1534" t="s">
        <v>1920</v>
      </c>
      <c r="U1534" t="s">
        <v>137</v>
      </c>
      <c r="V1534" t="s">
        <v>419</v>
      </c>
      <c r="W1534" s="9">
        <v>46046.536904247689</v>
      </c>
      <c r="X1534" t="s">
        <v>105</v>
      </c>
      <c r="Y1534"/>
      <c r="Z1534"/>
      <c r="AA1534" t="s">
        <v>1884</v>
      </c>
      <c r="AB1534" t="s">
        <v>3</v>
      </c>
      <c r="AC1534" t="s">
        <v>24</v>
      </c>
      <c r="AD1534" t="s">
        <v>129</v>
      </c>
      <c r="AE1534" s="97"/>
    </row>
    <row r="1535" spans="1:31" ht="14.4" customHeight="1" x14ac:dyDescent="0.3">
      <c r="A1535" t="s">
        <v>3766</v>
      </c>
      <c r="B1535" t="s">
        <v>1930</v>
      </c>
      <c r="C1535"/>
      <c r="D1535"/>
      <c r="E1535"/>
      <c r="F1535"/>
      <c r="G1535" t="s">
        <v>3752</v>
      </c>
      <c r="H1535" t="s">
        <v>132</v>
      </c>
      <c r="I1535" t="s">
        <v>3</v>
      </c>
      <c r="J1535" t="s">
        <v>133</v>
      </c>
      <c r="K1535" t="s">
        <v>53</v>
      </c>
      <c r="L1535" t="s">
        <v>1919</v>
      </c>
      <c r="M1535" t="s">
        <v>134</v>
      </c>
      <c r="N1535" t="s">
        <v>135</v>
      </c>
      <c r="O1535"/>
      <c r="P1535"/>
      <c r="Q1535" t="s">
        <v>140</v>
      </c>
      <c r="R1535"/>
      <c r="S1535"/>
      <c r="T1535" t="s">
        <v>1920</v>
      </c>
      <c r="U1535" t="s">
        <v>137</v>
      </c>
      <c r="V1535" t="s">
        <v>423</v>
      </c>
      <c r="W1535" s="9">
        <v>46046.537346180558</v>
      </c>
      <c r="X1535" t="s">
        <v>112</v>
      </c>
      <c r="Y1535"/>
      <c r="Z1535"/>
      <c r="AA1535" t="s">
        <v>1884</v>
      </c>
      <c r="AB1535" t="s">
        <v>3</v>
      </c>
      <c r="AC1535" t="s">
        <v>24</v>
      </c>
      <c r="AD1535" t="s">
        <v>129</v>
      </c>
      <c r="AE1535" s="97"/>
    </row>
    <row r="1536" spans="1:31" ht="14.4" customHeight="1" x14ac:dyDescent="0.3">
      <c r="A1536" t="s">
        <v>3767</v>
      </c>
      <c r="B1536" t="s">
        <v>1932</v>
      </c>
      <c r="C1536"/>
      <c r="D1536"/>
      <c r="E1536"/>
      <c r="F1536"/>
      <c r="G1536" t="s">
        <v>3752</v>
      </c>
      <c r="H1536" t="s">
        <v>132</v>
      </c>
      <c r="I1536" t="s">
        <v>3</v>
      </c>
      <c r="J1536" t="s">
        <v>133</v>
      </c>
      <c r="K1536" t="s">
        <v>53</v>
      </c>
      <c r="L1536" t="s">
        <v>1919</v>
      </c>
      <c r="M1536" t="s">
        <v>134</v>
      </c>
      <c r="N1536" t="s">
        <v>135</v>
      </c>
      <c r="O1536"/>
      <c r="P1536"/>
      <c r="Q1536" t="s">
        <v>140</v>
      </c>
      <c r="R1536"/>
      <c r="S1536"/>
      <c r="T1536" t="s">
        <v>1920</v>
      </c>
      <c r="U1536" t="s">
        <v>137</v>
      </c>
      <c r="V1536" t="s">
        <v>427</v>
      </c>
      <c r="W1536" s="9">
        <v>46046.537692129627</v>
      </c>
      <c r="X1536" t="s">
        <v>121</v>
      </c>
      <c r="Y1536"/>
      <c r="Z1536"/>
      <c r="AA1536" t="s">
        <v>1884</v>
      </c>
      <c r="AB1536" t="s">
        <v>3</v>
      </c>
      <c r="AC1536" t="s">
        <v>24</v>
      </c>
      <c r="AD1536" t="s">
        <v>130</v>
      </c>
      <c r="AE1536" s="97"/>
    </row>
    <row r="1537" spans="1:31" ht="14.4" customHeight="1" x14ac:dyDescent="0.3">
      <c r="A1537" t="s">
        <v>3768</v>
      </c>
      <c r="B1537" t="s">
        <v>1934</v>
      </c>
      <c r="C1537"/>
      <c r="D1537"/>
      <c r="E1537"/>
      <c r="F1537"/>
      <c r="G1537" t="s">
        <v>3752</v>
      </c>
      <c r="H1537" t="s">
        <v>132</v>
      </c>
      <c r="I1537" t="s">
        <v>3</v>
      </c>
      <c r="J1537" t="s">
        <v>133</v>
      </c>
      <c r="K1537" t="s">
        <v>53</v>
      </c>
      <c r="L1537" t="s">
        <v>1935</v>
      </c>
      <c r="M1537" t="s">
        <v>134</v>
      </c>
      <c r="N1537" t="s">
        <v>135</v>
      </c>
      <c r="O1537"/>
      <c r="P1537"/>
      <c r="Q1537" t="s">
        <v>140</v>
      </c>
      <c r="R1537"/>
      <c r="S1537"/>
      <c r="T1537" t="s">
        <v>1936</v>
      </c>
      <c r="U1537" t="s">
        <v>137</v>
      </c>
      <c r="V1537" t="s">
        <v>640</v>
      </c>
      <c r="W1537" s="9">
        <v>46046.538140706019</v>
      </c>
      <c r="X1537" t="s">
        <v>66</v>
      </c>
      <c r="Y1537"/>
      <c r="Z1537"/>
      <c r="AA1537" t="s">
        <v>1884</v>
      </c>
      <c r="AB1537" t="s">
        <v>3</v>
      </c>
      <c r="AC1537" t="s">
        <v>24</v>
      </c>
      <c r="AD1537" t="s">
        <v>128</v>
      </c>
      <c r="AE1537" s="97"/>
    </row>
    <row r="1538" spans="1:31" ht="14.4" customHeight="1" x14ac:dyDescent="0.3">
      <c r="A1538" t="s">
        <v>3769</v>
      </c>
      <c r="B1538" t="s">
        <v>1938</v>
      </c>
      <c r="C1538"/>
      <c r="D1538"/>
      <c r="E1538"/>
      <c r="F1538"/>
      <c r="G1538" t="s">
        <v>3752</v>
      </c>
      <c r="H1538" t="s">
        <v>132</v>
      </c>
      <c r="I1538" t="s">
        <v>3</v>
      </c>
      <c r="J1538" t="s">
        <v>133</v>
      </c>
      <c r="K1538" t="s">
        <v>53</v>
      </c>
      <c r="L1538" t="s">
        <v>1935</v>
      </c>
      <c r="M1538" t="s">
        <v>134</v>
      </c>
      <c r="N1538" t="s">
        <v>135</v>
      </c>
      <c r="O1538"/>
      <c r="P1538"/>
      <c r="Q1538" t="s">
        <v>140</v>
      </c>
      <c r="R1538"/>
      <c r="S1538"/>
      <c r="T1538" t="s">
        <v>1936</v>
      </c>
      <c r="U1538" t="s">
        <v>137</v>
      </c>
      <c r="V1538" t="s">
        <v>646</v>
      </c>
      <c r="W1538" s="9">
        <v>46046.538459872689</v>
      </c>
      <c r="X1538" t="s">
        <v>74</v>
      </c>
      <c r="Y1538"/>
      <c r="Z1538"/>
      <c r="AA1538" t="s">
        <v>1884</v>
      </c>
      <c r="AB1538" t="s">
        <v>3</v>
      </c>
      <c r="AC1538" t="s">
        <v>24</v>
      </c>
      <c r="AD1538" t="s">
        <v>128</v>
      </c>
      <c r="AE1538" s="97"/>
    </row>
    <row r="1539" spans="1:31" ht="14.4" customHeight="1" x14ac:dyDescent="0.3">
      <c r="A1539" t="s">
        <v>3770</v>
      </c>
      <c r="B1539" t="s">
        <v>1940</v>
      </c>
      <c r="C1539"/>
      <c r="D1539"/>
      <c r="E1539"/>
      <c r="F1539"/>
      <c r="G1539" t="s">
        <v>3752</v>
      </c>
      <c r="H1539" t="s">
        <v>132</v>
      </c>
      <c r="I1539" t="s">
        <v>3</v>
      </c>
      <c r="J1539" t="s">
        <v>133</v>
      </c>
      <c r="K1539" t="s">
        <v>53</v>
      </c>
      <c r="L1539" t="s">
        <v>1935</v>
      </c>
      <c r="M1539" t="s">
        <v>134</v>
      </c>
      <c r="N1539" t="s">
        <v>135</v>
      </c>
      <c r="O1539"/>
      <c r="P1539"/>
      <c r="Q1539" t="s">
        <v>140</v>
      </c>
      <c r="R1539"/>
      <c r="S1539"/>
      <c r="T1539" t="s">
        <v>1936</v>
      </c>
      <c r="U1539" t="s">
        <v>137</v>
      </c>
      <c r="V1539" t="s">
        <v>652</v>
      </c>
      <c r="W1539" s="9">
        <v>46046.547713194443</v>
      </c>
      <c r="X1539" t="s">
        <v>85</v>
      </c>
      <c r="Y1539"/>
      <c r="Z1539"/>
      <c r="AA1539" t="s">
        <v>1884</v>
      </c>
      <c r="AB1539" t="s">
        <v>3</v>
      </c>
      <c r="AC1539" t="s">
        <v>24</v>
      </c>
      <c r="AD1539" t="s">
        <v>129</v>
      </c>
      <c r="AE1539" s="97"/>
    </row>
    <row r="1540" spans="1:31" ht="14.4" customHeight="1" x14ac:dyDescent="0.3">
      <c r="A1540" t="s">
        <v>3771</v>
      </c>
      <c r="B1540" t="s">
        <v>1942</v>
      </c>
      <c r="C1540"/>
      <c r="D1540"/>
      <c r="E1540"/>
      <c r="F1540"/>
      <c r="G1540" t="s">
        <v>3752</v>
      </c>
      <c r="H1540" t="s">
        <v>132</v>
      </c>
      <c r="I1540" t="s">
        <v>3</v>
      </c>
      <c r="J1540" t="s">
        <v>133</v>
      </c>
      <c r="K1540" t="s">
        <v>53</v>
      </c>
      <c r="L1540" t="s">
        <v>1935</v>
      </c>
      <c r="M1540" t="s">
        <v>134</v>
      </c>
      <c r="N1540" t="s">
        <v>135</v>
      </c>
      <c r="O1540"/>
      <c r="P1540"/>
      <c r="Q1540" t="s">
        <v>140</v>
      </c>
      <c r="R1540"/>
      <c r="S1540"/>
      <c r="T1540" t="s">
        <v>1936</v>
      </c>
      <c r="U1540" t="s">
        <v>137</v>
      </c>
      <c r="V1540" t="s">
        <v>658</v>
      </c>
      <c r="W1540" s="9">
        <v>46046.54803510417</v>
      </c>
      <c r="X1540" t="s">
        <v>94</v>
      </c>
      <c r="Y1540"/>
      <c r="Z1540"/>
      <c r="AA1540" t="s">
        <v>1884</v>
      </c>
      <c r="AB1540" t="s">
        <v>3</v>
      </c>
      <c r="AC1540" t="s">
        <v>24</v>
      </c>
      <c r="AD1540" t="s">
        <v>129</v>
      </c>
      <c r="AE1540" s="97"/>
    </row>
    <row r="1541" spans="1:31" ht="14.4" customHeight="1" x14ac:dyDescent="0.3">
      <c r="A1541" t="s">
        <v>3772</v>
      </c>
      <c r="B1541" t="s">
        <v>1944</v>
      </c>
      <c r="C1541"/>
      <c r="D1541"/>
      <c r="E1541"/>
      <c r="F1541"/>
      <c r="G1541" t="s">
        <v>3752</v>
      </c>
      <c r="H1541" t="s">
        <v>132</v>
      </c>
      <c r="I1541" t="s">
        <v>3</v>
      </c>
      <c r="J1541" t="s">
        <v>133</v>
      </c>
      <c r="K1541" t="s">
        <v>53</v>
      </c>
      <c r="L1541" t="s">
        <v>1935</v>
      </c>
      <c r="M1541" t="s">
        <v>134</v>
      </c>
      <c r="N1541" t="s">
        <v>135</v>
      </c>
      <c r="O1541"/>
      <c r="P1541"/>
      <c r="Q1541" t="s">
        <v>140</v>
      </c>
      <c r="R1541"/>
      <c r="S1541"/>
      <c r="T1541" t="s">
        <v>1936</v>
      </c>
      <c r="U1541" t="s">
        <v>137</v>
      </c>
      <c r="V1541" t="s">
        <v>664</v>
      </c>
      <c r="W1541" s="9">
        <v>46046.548417094906</v>
      </c>
      <c r="X1541" t="s">
        <v>103</v>
      </c>
      <c r="Y1541"/>
      <c r="Z1541"/>
      <c r="AA1541" t="s">
        <v>1884</v>
      </c>
      <c r="AB1541" t="s">
        <v>3</v>
      </c>
      <c r="AC1541" t="s">
        <v>24</v>
      </c>
      <c r="AD1541" t="s">
        <v>129</v>
      </c>
      <c r="AE1541" s="97"/>
    </row>
    <row r="1542" spans="1:31" ht="14.4" customHeight="1" x14ac:dyDescent="0.3">
      <c r="A1542" t="s">
        <v>3773</v>
      </c>
      <c r="B1542" t="s">
        <v>1946</v>
      </c>
      <c r="C1542"/>
      <c r="D1542"/>
      <c r="E1542"/>
      <c r="F1542"/>
      <c r="G1542" t="s">
        <v>3752</v>
      </c>
      <c r="H1542" t="s">
        <v>132</v>
      </c>
      <c r="I1542" t="s">
        <v>3</v>
      </c>
      <c r="J1542" t="s">
        <v>133</v>
      </c>
      <c r="K1542" t="s">
        <v>53</v>
      </c>
      <c r="L1542" t="s">
        <v>1935</v>
      </c>
      <c r="M1542" t="s">
        <v>134</v>
      </c>
      <c r="N1542" t="s">
        <v>135</v>
      </c>
      <c r="O1542"/>
      <c r="P1542"/>
      <c r="Q1542" t="s">
        <v>140</v>
      </c>
      <c r="R1542"/>
      <c r="S1542"/>
      <c r="T1542" t="s">
        <v>1936</v>
      </c>
      <c r="U1542" t="s">
        <v>137</v>
      </c>
      <c r="V1542" t="s">
        <v>670</v>
      </c>
      <c r="W1542" s="9">
        <v>46046.538875543978</v>
      </c>
      <c r="X1542" t="s">
        <v>110</v>
      </c>
      <c r="Y1542"/>
      <c r="Z1542"/>
      <c r="AA1542" t="s">
        <v>1884</v>
      </c>
      <c r="AB1542" t="s">
        <v>3</v>
      </c>
      <c r="AC1542" t="s">
        <v>24</v>
      </c>
      <c r="AD1542" t="s">
        <v>129</v>
      </c>
      <c r="AE1542" s="97"/>
    </row>
    <row r="1543" spans="1:31" ht="14.4" customHeight="1" x14ac:dyDescent="0.3">
      <c r="A1543" t="s">
        <v>3774</v>
      </c>
      <c r="B1543" t="s">
        <v>1948</v>
      </c>
      <c r="C1543"/>
      <c r="D1543"/>
      <c r="E1543"/>
      <c r="F1543"/>
      <c r="G1543" t="s">
        <v>3752</v>
      </c>
      <c r="H1543" t="s">
        <v>132</v>
      </c>
      <c r="I1543" t="s">
        <v>3</v>
      </c>
      <c r="J1543" t="s">
        <v>133</v>
      </c>
      <c r="K1543" t="s">
        <v>53</v>
      </c>
      <c r="L1543" t="s">
        <v>1949</v>
      </c>
      <c r="M1543" t="s">
        <v>134</v>
      </c>
      <c r="N1543" t="s">
        <v>135</v>
      </c>
      <c r="O1543"/>
      <c r="P1543"/>
      <c r="Q1543" t="s">
        <v>140</v>
      </c>
      <c r="R1543"/>
      <c r="S1543"/>
      <c r="T1543" t="s">
        <v>1950</v>
      </c>
      <c r="U1543" t="s">
        <v>137</v>
      </c>
      <c r="V1543" t="s">
        <v>1190</v>
      </c>
      <c r="W1543" s="9">
        <v>46111.496258946761</v>
      </c>
      <c r="X1543" t="s">
        <v>67</v>
      </c>
      <c r="Y1543"/>
      <c r="Z1543"/>
      <c r="AA1543" t="s">
        <v>1884</v>
      </c>
      <c r="AB1543" t="s">
        <v>3</v>
      </c>
      <c r="AC1543" t="s">
        <v>24</v>
      </c>
      <c r="AD1543" t="s">
        <v>128</v>
      </c>
      <c r="AE1543" s="97"/>
    </row>
    <row r="1544" spans="1:31" ht="14.4" customHeight="1" x14ac:dyDescent="0.3">
      <c r="A1544" t="s">
        <v>3775</v>
      </c>
      <c r="B1544" t="s">
        <v>1952</v>
      </c>
      <c r="C1544"/>
      <c r="D1544"/>
      <c r="E1544"/>
      <c r="F1544"/>
      <c r="G1544" t="s">
        <v>3752</v>
      </c>
      <c r="H1544" t="s">
        <v>132</v>
      </c>
      <c r="I1544" t="s">
        <v>3</v>
      </c>
      <c r="J1544" t="s">
        <v>133</v>
      </c>
      <c r="K1544" t="s">
        <v>53</v>
      </c>
      <c r="L1544" t="s">
        <v>1949</v>
      </c>
      <c r="M1544" t="s">
        <v>134</v>
      </c>
      <c r="N1544" t="s">
        <v>135</v>
      </c>
      <c r="O1544"/>
      <c r="P1544"/>
      <c r="Q1544" t="s">
        <v>140</v>
      </c>
      <c r="R1544"/>
      <c r="S1544"/>
      <c r="T1544" t="s">
        <v>1950</v>
      </c>
      <c r="U1544" t="s">
        <v>137</v>
      </c>
      <c r="V1544" t="s">
        <v>1194</v>
      </c>
      <c r="W1544" s="9">
        <v>46111.498169872684</v>
      </c>
      <c r="X1544" t="s">
        <v>75</v>
      </c>
      <c r="Y1544"/>
      <c r="Z1544"/>
      <c r="AA1544" t="s">
        <v>1884</v>
      </c>
      <c r="AB1544" t="s">
        <v>3</v>
      </c>
      <c r="AC1544" t="s">
        <v>24</v>
      </c>
      <c r="AD1544" t="s">
        <v>128</v>
      </c>
      <c r="AE1544" s="97"/>
    </row>
    <row r="1545" spans="1:31" ht="14.4" customHeight="1" x14ac:dyDescent="0.3">
      <c r="A1545" t="s">
        <v>3776</v>
      </c>
      <c r="B1545" t="s">
        <v>1954</v>
      </c>
      <c r="C1545"/>
      <c r="D1545"/>
      <c r="E1545"/>
      <c r="F1545"/>
      <c r="G1545" t="s">
        <v>3752</v>
      </c>
      <c r="H1545" t="s">
        <v>132</v>
      </c>
      <c r="I1545" t="s">
        <v>3</v>
      </c>
      <c r="J1545" t="s">
        <v>133</v>
      </c>
      <c r="K1545" t="s">
        <v>53</v>
      </c>
      <c r="L1545" t="s">
        <v>1949</v>
      </c>
      <c r="M1545" t="s">
        <v>134</v>
      </c>
      <c r="N1545" t="s">
        <v>135</v>
      </c>
      <c r="O1545"/>
      <c r="P1545"/>
      <c r="Q1545" t="s">
        <v>140</v>
      </c>
      <c r="R1545"/>
      <c r="S1545"/>
      <c r="T1545" t="s">
        <v>1950</v>
      </c>
      <c r="U1545" t="s">
        <v>137</v>
      </c>
      <c r="V1545" t="s">
        <v>1198</v>
      </c>
      <c r="W1545" s="9">
        <v>46111.500964039355</v>
      </c>
      <c r="X1545" t="s">
        <v>86</v>
      </c>
      <c r="Y1545"/>
      <c r="Z1545"/>
      <c r="AA1545" t="s">
        <v>1884</v>
      </c>
      <c r="AB1545" t="s">
        <v>3</v>
      </c>
      <c r="AC1545" t="s">
        <v>24</v>
      </c>
      <c r="AD1545" t="s">
        <v>129</v>
      </c>
      <c r="AE1545" s="97"/>
    </row>
    <row r="1546" spans="1:31" ht="14.4" customHeight="1" x14ac:dyDescent="0.3">
      <c r="A1546" t="s">
        <v>3777</v>
      </c>
      <c r="B1546" t="s">
        <v>1956</v>
      </c>
      <c r="C1546"/>
      <c r="D1546"/>
      <c r="E1546"/>
      <c r="F1546"/>
      <c r="G1546" t="s">
        <v>3752</v>
      </c>
      <c r="H1546" t="s">
        <v>132</v>
      </c>
      <c r="I1546" t="s">
        <v>3</v>
      </c>
      <c r="J1546" t="s">
        <v>133</v>
      </c>
      <c r="K1546" t="s">
        <v>53</v>
      </c>
      <c r="L1546" t="s">
        <v>1949</v>
      </c>
      <c r="M1546" t="s">
        <v>134</v>
      </c>
      <c r="N1546" t="s">
        <v>135</v>
      </c>
      <c r="O1546"/>
      <c r="P1546"/>
      <c r="Q1546" t="s">
        <v>140</v>
      </c>
      <c r="R1546"/>
      <c r="S1546"/>
      <c r="T1546" t="s">
        <v>1950</v>
      </c>
      <c r="U1546" t="s">
        <v>137</v>
      </c>
      <c r="V1546" t="s">
        <v>1202</v>
      </c>
      <c r="W1546" s="9">
        <v>46111.501191435185</v>
      </c>
      <c r="X1546" t="s">
        <v>95</v>
      </c>
      <c r="Y1546"/>
      <c r="Z1546"/>
      <c r="AA1546" t="s">
        <v>1884</v>
      </c>
      <c r="AB1546" t="s">
        <v>3</v>
      </c>
      <c r="AC1546" t="s">
        <v>24</v>
      </c>
      <c r="AD1546" t="s">
        <v>129</v>
      </c>
      <c r="AE1546" s="97"/>
    </row>
    <row r="1547" spans="1:31" ht="14.4" customHeight="1" x14ac:dyDescent="0.3">
      <c r="A1547" t="s">
        <v>3778</v>
      </c>
      <c r="B1547" t="s">
        <v>1958</v>
      </c>
      <c r="C1547"/>
      <c r="D1547"/>
      <c r="E1547"/>
      <c r="F1547"/>
      <c r="G1547" t="s">
        <v>3752</v>
      </c>
      <c r="H1547" t="s">
        <v>132</v>
      </c>
      <c r="I1547" t="s">
        <v>3</v>
      </c>
      <c r="J1547" t="s">
        <v>133</v>
      </c>
      <c r="K1547" t="s">
        <v>53</v>
      </c>
      <c r="L1547" t="s">
        <v>1949</v>
      </c>
      <c r="M1547" t="s">
        <v>134</v>
      </c>
      <c r="N1547" t="s">
        <v>135</v>
      </c>
      <c r="O1547"/>
      <c r="P1547"/>
      <c r="Q1547" t="s">
        <v>140</v>
      </c>
      <c r="R1547"/>
      <c r="S1547"/>
      <c r="T1547" t="s">
        <v>1950</v>
      </c>
      <c r="U1547" t="s">
        <v>137</v>
      </c>
      <c r="V1547" t="s">
        <v>1206</v>
      </c>
      <c r="W1547" s="9">
        <v>46111.500370717593</v>
      </c>
      <c r="X1547" t="s">
        <v>104</v>
      </c>
      <c r="Y1547"/>
      <c r="Z1547"/>
      <c r="AA1547" t="s">
        <v>1884</v>
      </c>
      <c r="AB1547" t="s">
        <v>3</v>
      </c>
      <c r="AC1547" t="s">
        <v>24</v>
      </c>
      <c r="AD1547" t="s">
        <v>129</v>
      </c>
      <c r="AE1547" s="97"/>
    </row>
    <row r="1548" spans="1:31" ht="14.4" customHeight="1" x14ac:dyDescent="0.3">
      <c r="A1548" t="s">
        <v>3779</v>
      </c>
      <c r="B1548" t="s">
        <v>1960</v>
      </c>
      <c r="C1548"/>
      <c r="D1548"/>
      <c r="E1548"/>
      <c r="F1548"/>
      <c r="G1548" t="s">
        <v>3752</v>
      </c>
      <c r="H1548" t="s">
        <v>132</v>
      </c>
      <c r="I1548" t="s">
        <v>3</v>
      </c>
      <c r="J1548" t="s">
        <v>133</v>
      </c>
      <c r="K1548" t="s">
        <v>53</v>
      </c>
      <c r="L1548" t="s">
        <v>1949</v>
      </c>
      <c r="M1548" t="s">
        <v>134</v>
      </c>
      <c r="N1548" t="s">
        <v>135</v>
      </c>
      <c r="O1548"/>
      <c r="P1548"/>
      <c r="Q1548" t="s">
        <v>140</v>
      </c>
      <c r="R1548"/>
      <c r="S1548"/>
      <c r="T1548" t="s">
        <v>1950</v>
      </c>
      <c r="U1548" t="s">
        <v>137</v>
      </c>
      <c r="V1548" t="s">
        <v>1210</v>
      </c>
      <c r="W1548" s="9">
        <v>46111.499976620369</v>
      </c>
      <c r="X1548" t="s">
        <v>111</v>
      </c>
      <c r="Y1548"/>
      <c r="Z1548"/>
      <c r="AA1548" t="s">
        <v>1884</v>
      </c>
      <c r="AB1548" t="s">
        <v>3</v>
      </c>
      <c r="AC1548" t="s">
        <v>24</v>
      </c>
      <c r="AD1548" t="s">
        <v>129</v>
      </c>
      <c r="AE1548" s="97"/>
    </row>
    <row r="1549" spans="1:31" ht="14.4" customHeight="1" x14ac:dyDescent="0.3">
      <c r="A1549" t="s">
        <v>3780</v>
      </c>
      <c r="B1549" t="s">
        <v>1962</v>
      </c>
      <c r="C1549"/>
      <c r="D1549"/>
      <c r="E1549"/>
      <c r="F1549"/>
      <c r="G1549" t="s">
        <v>3752</v>
      </c>
      <c r="H1549" t="s">
        <v>132</v>
      </c>
      <c r="I1549" t="s">
        <v>3</v>
      </c>
      <c r="J1549" t="s">
        <v>133</v>
      </c>
      <c r="K1549" t="s">
        <v>53</v>
      </c>
      <c r="L1549" t="s">
        <v>1949</v>
      </c>
      <c r="M1549" t="s">
        <v>134</v>
      </c>
      <c r="N1549" t="s">
        <v>135</v>
      </c>
      <c r="O1549"/>
      <c r="P1549"/>
      <c r="Q1549" t="s">
        <v>140</v>
      </c>
      <c r="R1549"/>
      <c r="S1549"/>
      <c r="T1549" t="s">
        <v>1950</v>
      </c>
      <c r="U1549" t="s">
        <v>137</v>
      </c>
      <c r="V1549" t="s">
        <v>1214</v>
      </c>
      <c r="W1549" s="9">
        <v>46111.499629710648</v>
      </c>
      <c r="X1549" t="s">
        <v>120</v>
      </c>
      <c r="Y1549"/>
      <c r="Z1549"/>
      <c r="AA1549" t="s">
        <v>1884</v>
      </c>
      <c r="AB1549" t="s">
        <v>3</v>
      </c>
      <c r="AC1549" t="s">
        <v>24</v>
      </c>
      <c r="AD1549" t="s">
        <v>130</v>
      </c>
      <c r="AE1549" s="97"/>
    </row>
    <row r="1550" spans="1:31" ht="14.4" customHeight="1" x14ac:dyDescent="0.3">
      <c r="A1550" t="s">
        <v>3781</v>
      </c>
      <c r="B1550" t="s">
        <v>1964</v>
      </c>
      <c r="C1550"/>
      <c r="D1550"/>
      <c r="E1550"/>
      <c r="F1550"/>
      <c r="G1550" t="s">
        <v>3752</v>
      </c>
      <c r="H1550" t="s">
        <v>132</v>
      </c>
      <c r="I1550" t="s">
        <v>3</v>
      </c>
      <c r="J1550" t="s">
        <v>133</v>
      </c>
      <c r="K1550" t="s">
        <v>53</v>
      </c>
      <c r="L1550" t="s">
        <v>1965</v>
      </c>
      <c r="M1550" t="s">
        <v>134</v>
      </c>
      <c r="N1550" t="s">
        <v>135</v>
      </c>
      <c r="O1550"/>
      <c r="P1550"/>
      <c r="Q1550" t="s">
        <v>140</v>
      </c>
      <c r="R1550"/>
      <c r="S1550" t="s">
        <v>140</v>
      </c>
      <c r="T1550" t="s">
        <v>1966</v>
      </c>
      <c r="U1550" t="s">
        <v>137</v>
      </c>
      <c r="V1550" t="s">
        <v>1967</v>
      </c>
      <c r="W1550" s="9">
        <v>46135.436715243057</v>
      </c>
      <c r="X1550" t="s">
        <v>125</v>
      </c>
      <c r="Y1550"/>
      <c r="Z1550"/>
      <c r="AA1550" t="s">
        <v>1884</v>
      </c>
      <c r="AB1550" t="s">
        <v>3</v>
      </c>
      <c r="AC1550" t="s">
        <v>24</v>
      </c>
      <c r="AD1550" t="s">
        <v>131</v>
      </c>
      <c r="AE1550" s="97"/>
    </row>
    <row r="1551" spans="1:31" ht="14.4" customHeight="1" x14ac:dyDescent="0.3">
      <c r="A1551" t="s">
        <v>3782</v>
      </c>
      <c r="B1551" t="s">
        <v>1969</v>
      </c>
      <c r="C1551"/>
      <c r="D1551"/>
      <c r="E1551"/>
      <c r="F1551"/>
      <c r="G1551" t="s">
        <v>3752</v>
      </c>
      <c r="H1551" t="s">
        <v>132</v>
      </c>
      <c r="I1551" t="s">
        <v>3</v>
      </c>
      <c r="J1551" t="s">
        <v>133</v>
      </c>
      <c r="K1551" t="s">
        <v>53</v>
      </c>
      <c r="L1551" t="s">
        <v>1970</v>
      </c>
      <c r="M1551" t="s">
        <v>134</v>
      </c>
      <c r="N1551" t="s">
        <v>135</v>
      </c>
      <c r="O1551"/>
      <c r="P1551"/>
      <c r="Q1551" t="s">
        <v>140</v>
      </c>
      <c r="R1551"/>
      <c r="S1551" t="s">
        <v>140</v>
      </c>
      <c r="T1551" t="s">
        <v>1966</v>
      </c>
      <c r="U1551" t="s">
        <v>137</v>
      </c>
      <c r="V1551" t="s">
        <v>1967</v>
      </c>
      <c r="W1551" s="9">
        <v>46135.437120104165</v>
      </c>
      <c r="X1551" t="s">
        <v>125</v>
      </c>
      <c r="Y1551"/>
      <c r="Z1551"/>
      <c r="AA1551" t="s">
        <v>1884</v>
      </c>
      <c r="AB1551" t="s">
        <v>3</v>
      </c>
      <c r="AC1551" t="s">
        <v>24</v>
      </c>
      <c r="AD1551" t="s">
        <v>131</v>
      </c>
      <c r="AE1551" s="97"/>
    </row>
    <row r="1552" spans="1:31" ht="14.4" customHeight="1" x14ac:dyDescent="0.3">
      <c r="A1552" t="s">
        <v>3783</v>
      </c>
      <c r="B1552" t="s">
        <v>1972</v>
      </c>
      <c r="C1552"/>
      <c r="D1552"/>
      <c r="E1552"/>
      <c r="F1552"/>
      <c r="G1552" t="s">
        <v>3752</v>
      </c>
      <c r="H1552" t="s">
        <v>132</v>
      </c>
      <c r="I1552" t="s">
        <v>3</v>
      </c>
      <c r="J1552" t="s">
        <v>133</v>
      </c>
      <c r="K1552" t="s">
        <v>53</v>
      </c>
      <c r="L1552" t="s">
        <v>1973</v>
      </c>
      <c r="M1552" t="s">
        <v>134</v>
      </c>
      <c r="N1552" t="s">
        <v>135</v>
      </c>
      <c r="O1552"/>
      <c r="P1552"/>
      <c r="Q1552" t="s">
        <v>140</v>
      </c>
      <c r="R1552"/>
      <c r="S1552"/>
      <c r="T1552" t="s">
        <v>1974</v>
      </c>
      <c r="U1552" t="s">
        <v>137</v>
      </c>
      <c r="V1552" t="s">
        <v>703</v>
      </c>
      <c r="W1552" s="9">
        <v>46203.575330590276</v>
      </c>
      <c r="X1552" t="s">
        <v>62</v>
      </c>
      <c r="Y1552"/>
      <c r="Z1552"/>
      <c r="AA1552" t="s">
        <v>1884</v>
      </c>
      <c r="AB1552" t="s">
        <v>3</v>
      </c>
      <c r="AC1552" t="s">
        <v>24</v>
      </c>
      <c r="AD1552" t="s">
        <v>128</v>
      </c>
      <c r="AE1552" s="97"/>
    </row>
    <row r="1553" spans="1:31" ht="14.4" customHeight="1" x14ac:dyDescent="0.3">
      <c r="A1553" t="s">
        <v>3784</v>
      </c>
      <c r="B1553" t="s">
        <v>1976</v>
      </c>
      <c r="C1553"/>
      <c r="D1553"/>
      <c r="E1553"/>
      <c r="F1553"/>
      <c r="G1553" t="s">
        <v>3752</v>
      </c>
      <c r="H1553" t="s">
        <v>132</v>
      </c>
      <c r="I1553" t="s">
        <v>3</v>
      </c>
      <c r="J1553" t="s">
        <v>133</v>
      </c>
      <c r="K1553" t="s">
        <v>53</v>
      </c>
      <c r="L1553" t="s">
        <v>1973</v>
      </c>
      <c r="M1553" t="s">
        <v>134</v>
      </c>
      <c r="N1553" t="s">
        <v>135</v>
      </c>
      <c r="O1553"/>
      <c r="P1553"/>
      <c r="Q1553" t="s">
        <v>140</v>
      </c>
      <c r="R1553"/>
      <c r="S1553"/>
      <c r="T1553" t="s">
        <v>1974</v>
      </c>
      <c r="U1553" t="s">
        <v>137</v>
      </c>
      <c r="V1553" t="s">
        <v>703</v>
      </c>
      <c r="W1553" s="9">
        <v>46203.575727430558</v>
      </c>
      <c r="X1553" t="s">
        <v>62</v>
      </c>
      <c r="Y1553"/>
      <c r="Z1553"/>
      <c r="AA1553" t="s">
        <v>1884</v>
      </c>
      <c r="AB1553" t="s">
        <v>3</v>
      </c>
      <c r="AC1553" t="s">
        <v>24</v>
      </c>
      <c r="AD1553" t="s">
        <v>128</v>
      </c>
      <c r="AE1553" s="97"/>
    </row>
    <row r="1554" spans="1:31" ht="14.4" customHeight="1" x14ac:dyDescent="0.3">
      <c r="A1554" t="s">
        <v>3785</v>
      </c>
      <c r="B1554" t="s">
        <v>1978</v>
      </c>
      <c r="C1554"/>
      <c r="D1554"/>
      <c r="E1554"/>
      <c r="F1554"/>
      <c r="G1554" t="s">
        <v>3752</v>
      </c>
      <c r="H1554" t="s">
        <v>132</v>
      </c>
      <c r="I1554" t="s">
        <v>3</v>
      </c>
      <c r="J1554" t="s">
        <v>133</v>
      </c>
      <c r="K1554" t="s">
        <v>53</v>
      </c>
      <c r="L1554" t="s">
        <v>1979</v>
      </c>
      <c r="M1554" t="s">
        <v>134</v>
      </c>
      <c r="N1554" t="s">
        <v>135</v>
      </c>
      <c r="O1554"/>
      <c r="P1554"/>
      <c r="Q1554" t="s">
        <v>140</v>
      </c>
      <c r="R1554"/>
      <c r="S1554"/>
      <c r="T1554" t="s">
        <v>1888</v>
      </c>
      <c r="U1554" t="s">
        <v>137</v>
      </c>
      <c r="V1554" t="s">
        <v>147</v>
      </c>
      <c r="W1554" s="9">
        <v>46116.318368518521</v>
      </c>
      <c r="X1554" t="s">
        <v>70</v>
      </c>
      <c r="Y1554"/>
      <c r="Z1554"/>
      <c r="AA1554" t="s">
        <v>1884</v>
      </c>
      <c r="AB1554" t="s">
        <v>3</v>
      </c>
      <c r="AC1554" t="s">
        <v>24</v>
      </c>
      <c r="AD1554" t="s">
        <v>128</v>
      </c>
      <c r="AE1554" s="97"/>
    </row>
    <row r="1555" spans="1:31" ht="14.4" customHeight="1" x14ac:dyDescent="0.3">
      <c r="A1555" t="s">
        <v>3786</v>
      </c>
      <c r="B1555" t="s">
        <v>1981</v>
      </c>
      <c r="C1555"/>
      <c r="D1555"/>
      <c r="E1555"/>
      <c r="F1555"/>
      <c r="G1555" t="s">
        <v>3752</v>
      </c>
      <c r="H1555" t="s">
        <v>132</v>
      </c>
      <c r="I1555" t="s">
        <v>3</v>
      </c>
      <c r="J1555" t="s">
        <v>133</v>
      </c>
      <c r="K1555" t="s">
        <v>53</v>
      </c>
      <c r="L1555" t="s">
        <v>1979</v>
      </c>
      <c r="M1555" t="s">
        <v>134</v>
      </c>
      <c r="N1555" t="s">
        <v>135</v>
      </c>
      <c r="O1555"/>
      <c r="P1555"/>
      <c r="Q1555" t="s">
        <v>140</v>
      </c>
      <c r="R1555"/>
      <c r="S1555"/>
      <c r="T1555" t="s">
        <v>1892</v>
      </c>
      <c r="U1555" t="s">
        <v>137</v>
      </c>
      <c r="V1555" t="s">
        <v>150</v>
      </c>
      <c r="W1555" s="9">
        <v>46116.456831331016</v>
      </c>
      <c r="X1555" t="s">
        <v>76</v>
      </c>
      <c r="Y1555"/>
      <c r="Z1555"/>
      <c r="AA1555" t="s">
        <v>1884</v>
      </c>
      <c r="AB1555" t="s">
        <v>3</v>
      </c>
      <c r="AC1555" t="s">
        <v>24</v>
      </c>
      <c r="AD1555" t="s">
        <v>128</v>
      </c>
      <c r="AE1555" s="97"/>
    </row>
    <row r="1556" spans="1:31" ht="14.4" customHeight="1" x14ac:dyDescent="0.3">
      <c r="A1556" t="s">
        <v>3787</v>
      </c>
      <c r="B1556" t="s">
        <v>1983</v>
      </c>
      <c r="C1556"/>
      <c r="D1556"/>
      <c r="E1556"/>
      <c r="F1556"/>
      <c r="G1556" t="s">
        <v>3752</v>
      </c>
      <c r="H1556" t="s">
        <v>132</v>
      </c>
      <c r="I1556" t="s">
        <v>3</v>
      </c>
      <c r="J1556" t="s">
        <v>133</v>
      </c>
      <c r="K1556" t="s">
        <v>53</v>
      </c>
      <c r="L1556" t="s">
        <v>1979</v>
      </c>
      <c r="M1556" t="s">
        <v>134</v>
      </c>
      <c r="N1556" t="s">
        <v>135</v>
      </c>
      <c r="O1556"/>
      <c r="P1556"/>
      <c r="Q1556" t="s">
        <v>140</v>
      </c>
      <c r="R1556"/>
      <c r="S1556"/>
      <c r="T1556" t="s">
        <v>1896</v>
      </c>
      <c r="U1556" t="s">
        <v>137</v>
      </c>
      <c r="V1556" t="s">
        <v>153</v>
      </c>
      <c r="W1556" s="9">
        <v>46116.457511111112</v>
      </c>
      <c r="X1556" t="s">
        <v>88</v>
      </c>
      <c r="Y1556"/>
      <c r="Z1556"/>
      <c r="AA1556" t="s">
        <v>1884</v>
      </c>
      <c r="AB1556" t="s">
        <v>3</v>
      </c>
      <c r="AC1556" t="s">
        <v>24</v>
      </c>
      <c r="AD1556" t="s">
        <v>129</v>
      </c>
      <c r="AE1556" s="97"/>
    </row>
    <row r="1557" spans="1:31" ht="14.4" customHeight="1" x14ac:dyDescent="0.3">
      <c r="A1557" t="s">
        <v>3788</v>
      </c>
      <c r="B1557" t="s">
        <v>1985</v>
      </c>
      <c r="C1557"/>
      <c r="D1557"/>
      <c r="E1557"/>
      <c r="F1557"/>
      <c r="G1557" t="s">
        <v>3752</v>
      </c>
      <c r="H1557" t="s">
        <v>132</v>
      </c>
      <c r="I1557" t="s">
        <v>3</v>
      </c>
      <c r="J1557" t="s">
        <v>133</v>
      </c>
      <c r="K1557" t="s">
        <v>53</v>
      </c>
      <c r="L1557" t="s">
        <v>1979</v>
      </c>
      <c r="M1557" t="s">
        <v>134</v>
      </c>
      <c r="N1557" t="s">
        <v>135</v>
      </c>
      <c r="O1557"/>
      <c r="P1557"/>
      <c r="Q1557" t="s">
        <v>140</v>
      </c>
      <c r="R1557"/>
      <c r="S1557"/>
      <c r="T1557" t="s">
        <v>1900</v>
      </c>
      <c r="U1557" t="s">
        <v>137</v>
      </c>
      <c r="V1557" t="s">
        <v>156</v>
      </c>
      <c r="W1557" s="9">
        <v>46117.471256481484</v>
      </c>
      <c r="X1557" t="s">
        <v>97</v>
      </c>
      <c r="Y1557"/>
      <c r="Z1557"/>
      <c r="AA1557" t="s">
        <v>1884</v>
      </c>
      <c r="AB1557" t="s">
        <v>3</v>
      </c>
      <c r="AC1557" t="s">
        <v>24</v>
      </c>
      <c r="AD1557" t="s">
        <v>129</v>
      </c>
      <c r="AE1557" s="97"/>
    </row>
    <row r="1558" spans="1:31" ht="14.4" customHeight="1" x14ac:dyDescent="0.3">
      <c r="A1558" t="s">
        <v>3789</v>
      </c>
      <c r="B1558" t="s">
        <v>1987</v>
      </c>
      <c r="C1558"/>
      <c r="D1558"/>
      <c r="E1558"/>
      <c r="F1558"/>
      <c r="G1558" t="s">
        <v>3752</v>
      </c>
      <c r="H1558" t="s">
        <v>132</v>
      </c>
      <c r="I1558" t="s">
        <v>3</v>
      </c>
      <c r="J1558" t="s">
        <v>133</v>
      </c>
      <c r="K1558" t="s">
        <v>53</v>
      </c>
      <c r="L1558" t="s">
        <v>1979</v>
      </c>
      <c r="M1558" t="s">
        <v>134</v>
      </c>
      <c r="N1558" t="s">
        <v>135</v>
      </c>
      <c r="O1558"/>
      <c r="P1558"/>
      <c r="Q1558" t="s">
        <v>140</v>
      </c>
      <c r="R1558"/>
      <c r="S1558"/>
      <c r="T1558" t="s">
        <v>1904</v>
      </c>
      <c r="U1558" t="s">
        <v>137</v>
      </c>
      <c r="V1558" t="s">
        <v>159</v>
      </c>
      <c r="W1558" s="9">
        <v>46117.471715312502</v>
      </c>
      <c r="X1558" t="s">
        <v>106</v>
      </c>
      <c r="Y1558"/>
      <c r="Z1558"/>
      <c r="AA1558" t="s">
        <v>1884</v>
      </c>
      <c r="AB1558" t="s">
        <v>3</v>
      </c>
      <c r="AC1558" t="s">
        <v>24</v>
      </c>
      <c r="AD1558" t="s">
        <v>129</v>
      </c>
      <c r="AE1558" s="97"/>
    </row>
    <row r="1559" spans="1:31" ht="14.4" customHeight="1" x14ac:dyDescent="0.3">
      <c r="A1559" t="s">
        <v>3790</v>
      </c>
      <c r="B1559" t="s">
        <v>1989</v>
      </c>
      <c r="C1559"/>
      <c r="D1559"/>
      <c r="E1559"/>
      <c r="F1559"/>
      <c r="G1559" t="s">
        <v>3752</v>
      </c>
      <c r="H1559" t="s">
        <v>132</v>
      </c>
      <c r="I1559" t="s">
        <v>3</v>
      </c>
      <c r="J1559" t="s">
        <v>133</v>
      </c>
      <c r="K1559" t="s">
        <v>53</v>
      </c>
      <c r="L1559" t="s">
        <v>1979</v>
      </c>
      <c r="M1559" t="s">
        <v>134</v>
      </c>
      <c r="N1559" t="s">
        <v>135</v>
      </c>
      <c r="O1559"/>
      <c r="P1559"/>
      <c r="Q1559" t="s">
        <v>140</v>
      </c>
      <c r="R1559"/>
      <c r="S1559"/>
      <c r="T1559" t="s">
        <v>1908</v>
      </c>
      <c r="U1559" t="s">
        <v>137</v>
      </c>
      <c r="V1559" t="s">
        <v>162</v>
      </c>
      <c r="W1559" s="9">
        <v>46117.472441168982</v>
      </c>
      <c r="X1559" t="s">
        <v>113</v>
      </c>
      <c r="Y1559"/>
      <c r="Z1559"/>
      <c r="AA1559" t="s">
        <v>1884</v>
      </c>
      <c r="AB1559" t="s">
        <v>3</v>
      </c>
      <c r="AC1559" t="s">
        <v>24</v>
      </c>
      <c r="AD1559" t="s">
        <v>129</v>
      </c>
      <c r="AE1559" s="97"/>
    </row>
    <row r="1560" spans="1:31" ht="14.4" customHeight="1" x14ac:dyDescent="0.3">
      <c r="A1560" t="s">
        <v>3791</v>
      </c>
      <c r="B1560" t="s">
        <v>1991</v>
      </c>
      <c r="C1560"/>
      <c r="D1560"/>
      <c r="E1560"/>
      <c r="F1560"/>
      <c r="G1560" t="s">
        <v>3752</v>
      </c>
      <c r="H1560" t="s">
        <v>132</v>
      </c>
      <c r="I1560" t="s">
        <v>3</v>
      </c>
      <c r="J1560" t="s">
        <v>133</v>
      </c>
      <c r="K1560" t="s">
        <v>53</v>
      </c>
      <c r="L1560" t="s">
        <v>1979</v>
      </c>
      <c r="M1560" t="s">
        <v>134</v>
      </c>
      <c r="N1560" t="s">
        <v>135</v>
      </c>
      <c r="O1560"/>
      <c r="P1560"/>
      <c r="Q1560" t="s">
        <v>140</v>
      </c>
      <c r="R1560"/>
      <c r="S1560"/>
      <c r="T1560" t="s">
        <v>1912</v>
      </c>
      <c r="U1560" t="s">
        <v>137</v>
      </c>
      <c r="V1560" t="s">
        <v>165</v>
      </c>
      <c r="W1560" s="9">
        <v>46117.47307565972</v>
      </c>
      <c r="X1560" t="s">
        <v>122</v>
      </c>
      <c r="Y1560"/>
      <c r="Z1560"/>
      <c r="AA1560" t="s">
        <v>1884</v>
      </c>
      <c r="AB1560" t="s">
        <v>3</v>
      </c>
      <c r="AC1560" t="s">
        <v>24</v>
      </c>
      <c r="AD1560" t="s">
        <v>130</v>
      </c>
      <c r="AE1560" s="97"/>
    </row>
    <row r="1561" spans="1:31" ht="14.4" customHeight="1" x14ac:dyDescent="0.3">
      <c r="A1561" t="s">
        <v>3792</v>
      </c>
      <c r="B1561" t="s">
        <v>1993</v>
      </c>
      <c r="C1561"/>
      <c r="D1561"/>
      <c r="E1561"/>
      <c r="F1561"/>
      <c r="G1561" t="s">
        <v>3752</v>
      </c>
      <c r="H1561" t="s">
        <v>132</v>
      </c>
      <c r="I1561" t="s">
        <v>3</v>
      </c>
      <c r="J1561" t="s">
        <v>133</v>
      </c>
      <c r="K1561" t="s">
        <v>53</v>
      </c>
      <c r="L1561" t="s">
        <v>1979</v>
      </c>
      <c r="M1561" t="s">
        <v>134</v>
      </c>
      <c r="N1561" t="s">
        <v>135</v>
      </c>
      <c r="O1561"/>
      <c r="P1561"/>
      <c r="Q1561" t="s">
        <v>140</v>
      </c>
      <c r="R1561"/>
      <c r="S1561"/>
      <c r="T1561" t="s">
        <v>1888</v>
      </c>
      <c r="U1561" t="s">
        <v>137</v>
      </c>
      <c r="V1561" t="s">
        <v>147</v>
      </c>
      <c r="W1561" s="9">
        <v>46117.473299039353</v>
      </c>
      <c r="X1561" t="s">
        <v>70</v>
      </c>
      <c r="Y1561"/>
      <c r="Z1561"/>
      <c r="AA1561" t="s">
        <v>1884</v>
      </c>
      <c r="AB1561" t="s">
        <v>3</v>
      </c>
      <c r="AC1561" t="s">
        <v>24</v>
      </c>
      <c r="AD1561" t="s">
        <v>128</v>
      </c>
      <c r="AE1561" s="97"/>
    </row>
    <row r="1562" spans="1:31" ht="14.4" customHeight="1" x14ac:dyDescent="0.3">
      <c r="A1562" t="s">
        <v>3793</v>
      </c>
      <c r="B1562" t="s">
        <v>1995</v>
      </c>
      <c r="C1562"/>
      <c r="D1562"/>
      <c r="E1562"/>
      <c r="F1562"/>
      <c r="G1562" t="s">
        <v>3752</v>
      </c>
      <c r="H1562" t="s">
        <v>132</v>
      </c>
      <c r="I1562" t="s">
        <v>3</v>
      </c>
      <c r="J1562" t="s">
        <v>133</v>
      </c>
      <c r="K1562" t="s">
        <v>53</v>
      </c>
      <c r="L1562" t="s">
        <v>1979</v>
      </c>
      <c r="M1562" t="s">
        <v>134</v>
      </c>
      <c r="N1562" t="s">
        <v>135</v>
      </c>
      <c r="O1562"/>
      <c r="P1562"/>
      <c r="Q1562" t="s">
        <v>140</v>
      </c>
      <c r="R1562"/>
      <c r="S1562"/>
      <c r="T1562" t="s">
        <v>1892</v>
      </c>
      <c r="U1562" t="s">
        <v>137</v>
      </c>
      <c r="V1562" t="s">
        <v>150</v>
      </c>
      <c r="W1562" s="9">
        <v>46117.473562928244</v>
      </c>
      <c r="X1562" t="s">
        <v>76</v>
      </c>
      <c r="Y1562"/>
      <c r="Z1562"/>
      <c r="AA1562" t="s">
        <v>1884</v>
      </c>
      <c r="AB1562" t="s">
        <v>3</v>
      </c>
      <c r="AC1562" t="s">
        <v>24</v>
      </c>
      <c r="AD1562" t="s">
        <v>128</v>
      </c>
      <c r="AE1562" s="97"/>
    </row>
    <row r="1563" spans="1:31" ht="14.4" customHeight="1" x14ac:dyDescent="0.3">
      <c r="A1563" t="s">
        <v>3794</v>
      </c>
      <c r="B1563" t="s">
        <v>1997</v>
      </c>
      <c r="C1563"/>
      <c r="D1563"/>
      <c r="E1563"/>
      <c r="F1563"/>
      <c r="G1563" t="s">
        <v>3752</v>
      </c>
      <c r="H1563" t="s">
        <v>132</v>
      </c>
      <c r="I1563" t="s">
        <v>3</v>
      </c>
      <c r="J1563" t="s">
        <v>133</v>
      </c>
      <c r="K1563" t="s">
        <v>53</v>
      </c>
      <c r="L1563" t="s">
        <v>1979</v>
      </c>
      <c r="M1563" t="s">
        <v>134</v>
      </c>
      <c r="N1563" t="s">
        <v>135</v>
      </c>
      <c r="O1563"/>
      <c r="P1563"/>
      <c r="Q1563" t="s">
        <v>140</v>
      </c>
      <c r="R1563"/>
      <c r="S1563"/>
      <c r="T1563" t="s">
        <v>1896</v>
      </c>
      <c r="U1563" t="s">
        <v>137</v>
      </c>
      <c r="V1563" t="s">
        <v>153</v>
      </c>
      <c r="W1563" s="9">
        <v>46117.473893599534</v>
      </c>
      <c r="X1563" t="s">
        <v>88</v>
      </c>
      <c r="Y1563"/>
      <c r="Z1563"/>
      <c r="AA1563" t="s">
        <v>1884</v>
      </c>
      <c r="AB1563" t="s">
        <v>3</v>
      </c>
      <c r="AC1563" t="s">
        <v>24</v>
      </c>
      <c r="AD1563" t="s">
        <v>129</v>
      </c>
      <c r="AE1563" s="97"/>
    </row>
    <row r="1564" spans="1:31" ht="14.4" customHeight="1" x14ac:dyDescent="0.3">
      <c r="A1564" t="s">
        <v>3795</v>
      </c>
      <c r="B1564" t="s">
        <v>1999</v>
      </c>
      <c r="C1564"/>
      <c r="D1564"/>
      <c r="E1564"/>
      <c r="F1564"/>
      <c r="G1564" t="s">
        <v>3752</v>
      </c>
      <c r="H1564" t="s">
        <v>132</v>
      </c>
      <c r="I1564" t="s">
        <v>3</v>
      </c>
      <c r="J1564" t="s">
        <v>133</v>
      </c>
      <c r="K1564" t="s">
        <v>53</v>
      </c>
      <c r="L1564" t="s">
        <v>1979</v>
      </c>
      <c r="M1564" t="s">
        <v>134</v>
      </c>
      <c r="N1564" t="s">
        <v>135</v>
      </c>
      <c r="O1564"/>
      <c r="P1564"/>
      <c r="Q1564" t="s">
        <v>140</v>
      </c>
      <c r="R1564"/>
      <c r="S1564"/>
      <c r="T1564" t="s">
        <v>1900</v>
      </c>
      <c r="U1564" t="s">
        <v>137</v>
      </c>
      <c r="V1564" t="s">
        <v>156</v>
      </c>
      <c r="W1564" s="9">
        <v>46117.474089085648</v>
      </c>
      <c r="X1564" t="s">
        <v>97</v>
      </c>
      <c r="Y1564"/>
      <c r="Z1564"/>
      <c r="AA1564" t="s">
        <v>1884</v>
      </c>
      <c r="AB1564" t="s">
        <v>3</v>
      </c>
      <c r="AC1564" t="s">
        <v>24</v>
      </c>
      <c r="AD1564" t="s">
        <v>129</v>
      </c>
      <c r="AE1564" s="97"/>
    </row>
    <row r="1565" spans="1:31" ht="14.4" customHeight="1" x14ac:dyDescent="0.3">
      <c r="A1565" t="s">
        <v>3796</v>
      </c>
      <c r="B1565" t="s">
        <v>2001</v>
      </c>
      <c r="C1565"/>
      <c r="D1565"/>
      <c r="E1565"/>
      <c r="F1565"/>
      <c r="G1565" t="s">
        <v>3752</v>
      </c>
      <c r="H1565" t="s">
        <v>132</v>
      </c>
      <c r="I1565" t="s">
        <v>3</v>
      </c>
      <c r="J1565" t="s">
        <v>133</v>
      </c>
      <c r="K1565" t="s">
        <v>53</v>
      </c>
      <c r="L1565" t="s">
        <v>1979</v>
      </c>
      <c r="M1565" t="s">
        <v>134</v>
      </c>
      <c r="N1565" t="s">
        <v>135</v>
      </c>
      <c r="O1565"/>
      <c r="P1565"/>
      <c r="Q1565" t="s">
        <v>140</v>
      </c>
      <c r="R1565"/>
      <c r="S1565"/>
      <c r="T1565" t="s">
        <v>1904</v>
      </c>
      <c r="U1565" t="s">
        <v>137</v>
      </c>
      <c r="V1565" t="s">
        <v>159</v>
      </c>
      <c r="W1565" s="9">
        <v>46117.474406979163</v>
      </c>
      <c r="X1565" t="s">
        <v>106</v>
      </c>
      <c r="Y1565"/>
      <c r="Z1565"/>
      <c r="AA1565" t="s">
        <v>1884</v>
      </c>
      <c r="AB1565" t="s">
        <v>3</v>
      </c>
      <c r="AC1565" t="s">
        <v>24</v>
      </c>
      <c r="AD1565" t="s">
        <v>129</v>
      </c>
      <c r="AE1565" s="97"/>
    </row>
    <row r="1566" spans="1:31" ht="14.4" customHeight="1" x14ac:dyDescent="0.3">
      <c r="A1566" t="s">
        <v>3797</v>
      </c>
      <c r="B1566" t="s">
        <v>2003</v>
      </c>
      <c r="C1566"/>
      <c r="D1566"/>
      <c r="E1566"/>
      <c r="F1566"/>
      <c r="G1566" t="s">
        <v>3752</v>
      </c>
      <c r="H1566" t="s">
        <v>132</v>
      </c>
      <c r="I1566" t="s">
        <v>3</v>
      </c>
      <c r="J1566" t="s">
        <v>133</v>
      </c>
      <c r="K1566" t="s">
        <v>53</v>
      </c>
      <c r="L1566" t="s">
        <v>1979</v>
      </c>
      <c r="M1566" t="s">
        <v>134</v>
      </c>
      <c r="N1566" t="s">
        <v>135</v>
      </c>
      <c r="O1566"/>
      <c r="P1566"/>
      <c r="Q1566" t="s">
        <v>140</v>
      </c>
      <c r="R1566"/>
      <c r="S1566"/>
      <c r="T1566" t="s">
        <v>1908</v>
      </c>
      <c r="U1566" t="s">
        <v>137</v>
      </c>
      <c r="V1566" t="s">
        <v>162</v>
      </c>
      <c r="W1566" s="9">
        <v>46117.474746296299</v>
      </c>
      <c r="X1566" t="s">
        <v>113</v>
      </c>
      <c r="Y1566"/>
      <c r="Z1566"/>
      <c r="AA1566" t="s">
        <v>1884</v>
      </c>
      <c r="AB1566" t="s">
        <v>3</v>
      </c>
      <c r="AC1566" t="s">
        <v>24</v>
      </c>
      <c r="AD1566" t="s">
        <v>129</v>
      </c>
      <c r="AE1566" s="97"/>
    </row>
    <row r="1567" spans="1:31" ht="14.4" customHeight="1" x14ac:dyDescent="0.3">
      <c r="A1567" t="s">
        <v>3798</v>
      </c>
      <c r="B1567" t="s">
        <v>2005</v>
      </c>
      <c r="C1567"/>
      <c r="D1567"/>
      <c r="E1567"/>
      <c r="F1567"/>
      <c r="G1567" t="s">
        <v>3752</v>
      </c>
      <c r="H1567" t="s">
        <v>132</v>
      </c>
      <c r="I1567" t="s">
        <v>3</v>
      </c>
      <c r="J1567" t="s">
        <v>133</v>
      </c>
      <c r="K1567" t="s">
        <v>53</v>
      </c>
      <c r="L1567" t="s">
        <v>1979</v>
      </c>
      <c r="M1567" t="s">
        <v>134</v>
      </c>
      <c r="N1567" t="s">
        <v>135</v>
      </c>
      <c r="O1567"/>
      <c r="P1567"/>
      <c r="Q1567" t="s">
        <v>140</v>
      </c>
      <c r="R1567"/>
      <c r="S1567"/>
      <c r="T1567" t="s">
        <v>1912</v>
      </c>
      <c r="U1567" t="s">
        <v>137</v>
      </c>
      <c r="V1567" t="s">
        <v>165</v>
      </c>
      <c r="W1567" s="9">
        <v>46117.474934606478</v>
      </c>
      <c r="X1567" t="s">
        <v>122</v>
      </c>
      <c r="Y1567"/>
      <c r="Z1567"/>
      <c r="AA1567" t="s">
        <v>1884</v>
      </c>
      <c r="AB1567" t="s">
        <v>3</v>
      </c>
      <c r="AC1567" t="s">
        <v>24</v>
      </c>
      <c r="AD1567" t="s">
        <v>130</v>
      </c>
      <c r="AE1567" s="97"/>
    </row>
    <row r="1568" spans="1:31" ht="14.4" customHeight="1" x14ac:dyDescent="0.3">
      <c r="A1568" t="s">
        <v>3799</v>
      </c>
      <c r="B1568" t="s">
        <v>2007</v>
      </c>
      <c r="C1568"/>
      <c r="D1568"/>
      <c r="E1568"/>
      <c r="F1568"/>
      <c r="G1568" t="s">
        <v>3752</v>
      </c>
      <c r="H1568" t="s">
        <v>132</v>
      </c>
      <c r="I1568" t="s">
        <v>3</v>
      </c>
      <c r="J1568" t="s">
        <v>133</v>
      </c>
      <c r="K1568" t="s">
        <v>53</v>
      </c>
      <c r="L1568" t="s">
        <v>1973</v>
      </c>
      <c r="M1568" t="s">
        <v>134</v>
      </c>
      <c r="N1568" t="s">
        <v>135</v>
      </c>
      <c r="O1568"/>
      <c r="P1568"/>
      <c r="Q1568" t="s">
        <v>140</v>
      </c>
      <c r="R1568"/>
      <c r="S1568"/>
      <c r="T1568" t="s">
        <v>1974</v>
      </c>
      <c r="U1568" t="s">
        <v>137</v>
      </c>
      <c r="V1568" t="s">
        <v>709</v>
      </c>
      <c r="W1568" s="9">
        <v>46203.576536192129</v>
      </c>
      <c r="X1568" t="s">
        <v>73</v>
      </c>
      <c r="Y1568"/>
      <c r="Z1568"/>
      <c r="AA1568" t="s">
        <v>1884</v>
      </c>
      <c r="AB1568" t="s">
        <v>3</v>
      </c>
      <c r="AC1568" t="s">
        <v>24</v>
      </c>
      <c r="AD1568" t="s">
        <v>128</v>
      </c>
      <c r="AE1568" s="97"/>
    </row>
    <row r="1569" spans="1:31" ht="14.4" customHeight="1" x14ac:dyDescent="0.3">
      <c r="A1569" t="s">
        <v>3800</v>
      </c>
      <c r="B1569" t="s">
        <v>2009</v>
      </c>
      <c r="C1569"/>
      <c r="D1569"/>
      <c r="E1569"/>
      <c r="F1569"/>
      <c r="G1569" t="s">
        <v>3752</v>
      </c>
      <c r="H1569" t="s">
        <v>132</v>
      </c>
      <c r="I1569" t="s">
        <v>3</v>
      </c>
      <c r="J1569" t="s">
        <v>133</v>
      </c>
      <c r="K1569" t="s">
        <v>53</v>
      </c>
      <c r="L1569" t="s">
        <v>1973</v>
      </c>
      <c r="M1569" t="s">
        <v>134</v>
      </c>
      <c r="N1569" t="s">
        <v>135</v>
      </c>
      <c r="O1569"/>
      <c r="P1569"/>
      <c r="Q1569" t="s">
        <v>140</v>
      </c>
      <c r="R1569"/>
      <c r="S1569"/>
      <c r="T1569" t="s">
        <v>1974</v>
      </c>
      <c r="U1569" t="s">
        <v>137</v>
      </c>
      <c r="V1569" t="s">
        <v>709</v>
      </c>
      <c r="W1569" s="9">
        <v>46203.577061574077</v>
      </c>
      <c r="X1569" t="s">
        <v>73</v>
      </c>
      <c r="Y1569"/>
      <c r="Z1569"/>
      <c r="AA1569" t="s">
        <v>1884</v>
      </c>
      <c r="AB1569" t="s">
        <v>3</v>
      </c>
      <c r="AC1569" t="s">
        <v>24</v>
      </c>
      <c r="AD1569" t="s">
        <v>128</v>
      </c>
      <c r="AE1569" s="97"/>
    </row>
    <row r="1570" spans="1:31" ht="14.4" customHeight="1" x14ac:dyDescent="0.3">
      <c r="A1570" t="s">
        <v>3801</v>
      </c>
      <c r="B1570" t="s">
        <v>2011</v>
      </c>
      <c r="C1570"/>
      <c r="D1570"/>
      <c r="E1570"/>
      <c r="F1570"/>
      <c r="G1570" t="s">
        <v>3752</v>
      </c>
      <c r="H1570" t="s">
        <v>132</v>
      </c>
      <c r="I1570" t="s">
        <v>3</v>
      </c>
      <c r="J1570" t="s">
        <v>133</v>
      </c>
      <c r="K1570" t="s">
        <v>53</v>
      </c>
      <c r="L1570" t="s">
        <v>1973</v>
      </c>
      <c r="M1570" t="s">
        <v>134</v>
      </c>
      <c r="N1570" t="s">
        <v>135</v>
      </c>
      <c r="O1570"/>
      <c r="P1570"/>
      <c r="Q1570" t="s">
        <v>140</v>
      </c>
      <c r="R1570"/>
      <c r="S1570"/>
      <c r="T1570" t="s">
        <v>1974</v>
      </c>
      <c r="U1570" t="s">
        <v>137</v>
      </c>
      <c r="V1570" t="s">
        <v>715</v>
      </c>
      <c r="W1570" s="9">
        <v>46203.577747719908</v>
      </c>
      <c r="X1570" t="s">
        <v>82</v>
      </c>
      <c r="Y1570"/>
      <c r="Z1570"/>
      <c r="AA1570" t="s">
        <v>1884</v>
      </c>
      <c r="AB1570" t="s">
        <v>3</v>
      </c>
      <c r="AC1570" t="s">
        <v>24</v>
      </c>
      <c r="AD1570" t="s">
        <v>129</v>
      </c>
      <c r="AE1570" s="97"/>
    </row>
    <row r="1571" spans="1:31" ht="14.4" customHeight="1" x14ac:dyDescent="0.3">
      <c r="A1571" t="s">
        <v>3802</v>
      </c>
      <c r="B1571" t="s">
        <v>2013</v>
      </c>
      <c r="C1571"/>
      <c r="D1571"/>
      <c r="E1571"/>
      <c r="F1571"/>
      <c r="G1571" t="s">
        <v>3752</v>
      </c>
      <c r="H1571" t="s">
        <v>132</v>
      </c>
      <c r="I1571" t="s">
        <v>3</v>
      </c>
      <c r="J1571" t="s">
        <v>133</v>
      </c>
      <c r="K1571" t="s">
        <v>53</v>
      </c>
      <c r="L1571" t="s">
        <v>1973</v>
      </c>
      <c r="M1571" t="s">
        <v>134</v>
      </c>
      <c r="N1571" t="s">
        <v>135</v>
      </c>
      <c r="O1571"/>
      <c r="P1571"/>
      <c r="Q1571" t="s">
        <v>140</v>
      </c>
      <c r="R1571"/>
      <c r="S1571"/>
      <c r="T1571" t="s">
        <v>1974</v>
      </c>
      <c r="U1571" t="s">
        <v>137</v>
      </c>
      <c r="V1571" t="s">
        <v>715</v>
      </c>
      <c r="W1571" s="9">
        <v>46203.580066979164</v>
      </c>
      <c r="X1571" t="s">
        <v>82</v>
      </c>
      <c r="Y1571"/>
      <c r="Z1571"/>
      <c r="AA1571" t="s">
        <v>1884</v>
      </c>
      <c r="AB1571" t="s">
        <v>3</v>
      </c>
      <c r="AC1571" t="s">
        <v>24</v>
      </c>
      <c r="AD1571" t="s">
        <v>129</v>
      </c>
      <c r="AE1571" s="97"/>
    </row>
    <row r="1572" spans="1:31" ht="14.4" customHeight="1" x14ac:dyDescent="0.3">
      <c r="A1572" t="s">
        <v>3803</v>
      </c>
      <c r="B1572" t="s">
        <v>2015</v>
      </c>
      <c r="C1572"/>
      <c r="D1572"/>
      <c r="E1572"/>
      <c r="F1572"/>
      <c r="G1572" t="s">
        <v>3752</v>
      </c>
      <c r="H1572" t="s">
        <v>132</v>
      </c>
      <c r="I1572" t="s">
        <v>3</v>
      </c>
      <c r="J1572" t="s">
        <v>133</v>
      </c>
      <c r="K1572" t="s">
        <v>53</v>
      </c>
      <c r="L1572" t="s">
        <v>1973</v>
      </c>
      <c r="M1572" t="s">
        <v>134</v>
      </c>
      <c r="N1572" t="s">
        <v>135</v>
      </c>
      <c r="O1572"/>
      <c r="P1572"/>
      <c r="Q1572" t="s">
        <v>140</v>
      </c>
      <c r="R1572"/>
      <c r="S1572"/>
      <c r="T1572" t="s">
        <v>1974</v>
      </c>
      <c r="U1572" t="s">
        <v>137</v>
      </c>
      <c r="V1572" t="s">
        <v>721</v>
      </c>
      <c r="W1572" s="9">
        <v>46203.580716550925</v>
      </c>
      <c r="X1572" t="s">
        <v>91</v>
      </c>
      <c r="Y1572"/>
      <c r="Z1572"/>
      <c r="AA1572" t="s">
        <v>1884</v>
      </c>
      <c r="AB1572" t="s">
        <v>3</v>
      </c>
      <c r="AC1572" t="s">
        <v>24</v>
      </c>
      <c r="AD1572" t="s">
        <v>129</v>
      </c>
      <c r="AE1572" s="97"/>
    </row>
    <row r="1573" spans="1:31" ht="14.4" customHeight="1" x14ac:dyDescent="0.3">
      <c r="A1573" t="s">
        <v>3804</v>
      </c>
      <c r="B1573" t="s">
        <v>2017</v>
      </c>
      <c r="C1573"/>
      <c r="D1573"/>
      <c r="E1573"/>
      <c r="F1573"/>
      <c r="G1573" t="s">
        <v>3752</v>
      </c>
      <c r="H1573" t="s">
        <v>132</v>
      </c>
      <c r="I1573" t="s">
        <v>3</v>
      </c>
      <c r="J1573" t="s">
        <v>133</v>
      </c>
      <c r="K1573" t="s">
        <v>53</v>
      </c>
      <c r="L1573" t="s">
        <v>1973</v>
      </c>
      <c r="M1573" t="s">
        <v>134</v>
      </c>
      <c r="N1573" t="s">
        <v>135</v>
      </c>
      <c r="O1573"/>
      <c r="P1573"/>
      <c r="Q1573" t="s">
        <v>140</v>
      </c>
      <c r="R1573"/>
      <c r="S1573"/>
      <c r="T1573" t="s">
        <v>1974</v>
      </c>
      <c r="U1573" t="s">
        <v>137</v>
      </c>
      <c r="V1573" t="s">
        <v>721</v>
      </c>
      <c r="W1573" s="9">
        <v>46203.580939317129</v>
      </c>
      <c r="X1573" t="s">
        <v>91</v>
      </c>
      <c r="Y1573"/>
      <c r="Z1573"/>
      <c r="AA1573" t="s">
        <v>1884</v>
      </c>
      <c r="AB1573" t="s">
        <v>3</v>
      </c>
      <c r="AC1573" t="s">
        <v>24</v>
      </c>
      <c r="AD1573" t="s">
        <v>129</v>
      </c>
      <c r="AE1573" s="97"/>
    </row>
    <row r="1574" spans="1:31" ht="14.4" customHeight="1" x14ac:dyDescent="0.3">
      <c r="A1574" t="s">
        <v>3805</v>
      </c>
      <c r="B1574" t="s">
        <v>2019</v>
      </c>
      <c r="C1574"/>
      <c r="D1574"/>
      <c r="E1574"/>
      <c r="F1574"/>
      <c r="G1574" t="s">
        <v>3752</v>
      </c>
      <c r="H1574" t="s">
        <v>132</v>
      </c>
      <c r="I1574" t="s">
        <v>3</v>
      </c>
      <c r="J1574" t="s">
        <v>133</v>
      </c>
      <c r="K1574" t="s">
        <v>53</v>
      </c>
      <c r="L1574" t="s">
        <v>1973</v>
      </c>
      <c r="M1574" t="s">
        <v>134</v>
      </c>
      <c r="N1574" t="s">
        <v>135</v>
      </c>
      <c r="O1574"/>
      <c r="P1574"/>
      <c r="Q1574" t="s">
        <v>140</v>
      </c>
      <c r="R1574"/>
      <c r="S1574"/>
      <c r="T1574" t="s">
        <v>1974</v>
      </c>
      <c r="U1574" t="s">
        <v>137</v>
      </c>
      <c r="V1574" t="s">
        <v>727</v>
      </c>
      <c r="W1574" s="9">
        <v>46203.581244641202</v>
      </c>
      <c r="X1574" t="s">
        <v>100</v>
      </c>
      <c r="Y1574"/>
      <c r="Z1574"/>
      <c r="AA1574" t="s">
        <v>1884</v>
      </c>
      <c r="AB1574" t="s">
        <v>3</v>
      </c>
      <c r="AC1574" t="s">
        <v>24</v>
      </c>
      <c r="AD1574" t="s">
        <v>129</v>
      </c>
      <c r="AE1574" s="97"/>
    </row>
    <row r="1575" spans="1:31" ht="14.4" customHeight="1" x14ac:dyDescent="0.3">
      <c r="A1575" t="s">
        <v>3806</v>
      </c>
      <c r="B1575" t="s">
        <v>2021</v>
      </c>
      <c r="C1575"/>
      <c r="D1575"/>
      <c r="E1575"/>
      <c r="F1575"/>
      <c r="G1575" t="s">
        <v>3752</v>
      </c>
      <c r="H1575" t="s">
        <v>132</v>
      </c>
      <c r="I1575" t="s">
        <v>3</v>
      </c>
      <c r="J1575" t="s">
        <v>133</v>
      </c>
      <c r="K1575" t="s">
        <v>53</v>
      </c>
      <c r="L1575" t="s">
        <v>1973</v>
      </c>
      <c r="M1575" t="s">
        <v>134</v>
      </c>
      <c r="N1575" t="s">
        <v>135</v>
      </c>
      <c r="O1575"/>
      <c r="P1575"/>
      <c r="Q1575" t="s">
        <v>140</v>
      </c>
      <c r="R1575"/>
      <c r="S1575"/>
      <c r="T1575" t="s">
        <v>1974</v>
      </c>
      <c r="U1575" t="s">
        <v>137</v>
      </c>
      <c r="V1575" t="s">
        <v>727</v>
      </c>
      <c r="W1575" s="9">
        <v>46203.581534756944</v>
      </c>
      <c r="X1575" t="s">
        <v>100</v>
      </c>
      <c r="Y1575"/>
      <c r="Z1575"/>
      <c r="AA1575" t="s">
        <v>1884</v>
      </c>
      <c r="AB1575" t="s">
        <v>3</v>
      </c>
      <c r="AC1575" t="s">
        <v>24</v>
      </c>
      <c r="AD1575" t="s">
        <v>129</v>
      </c>
      <c r="AE1575" s="97"/>
    </row>
    <row r="1576" spans="1:31" ht="14.4" customHeight="1" x14ac:dyDescent="0.3">
      <c r="A1576" t="s">
        <v>3807</v>
      </c>
      <c r="B1576" t="s">
        <v>2023</v>
      </c>
      <c r="C1576"/>
      <c r="D1576"/>
      <c r="E1576"/>
      <c r="F1576"/>
      <c r="G1576" t="s">
        <v>3752</v>
      </c>
      <c r="H1576" t="s">
        <v>132</v>
      </c>
      <c r="I1576" t="s">
        <v>3</v>
      </c>
      <c r="J1576" t="s">
        <v>133</v>
      </c>
      <c r="K1576" t="s">
        <v>53</v>
      </c>
      <c r="L1576" t="s">
        <v>1973</v>
      </c>
      <c r="M1576" t="s">
        <v>134</v>
      </c>
      <c r="N1576" t="s">
        <v>135</v>
      </c>
      <c r="O1576"/>
      <c r="P1576"/>
      <c r="Q1576" t="s">
        <v>140</v>
      </c>
      <c r="R1576"/>
      <c r="S1576"/>
      <c r="T1576" t="s">
        <v>1974</v>
      </c>
      <c r="U1576" t="s">
        <v>137</v>
      </c>
      <c r="V1576" t="s">
        <v>733</v>
      </c>
      <c r="W1576" s="9">
        <v>46203.5818190625</v>
      </c>
      <c r="X1576" t="s">
        <v>109</v>
      </c>
      <c r="Y1576"/>
      <c r="Z1576"/>
      <c r="AA1576" t="s">
        <v>1884</v>
      </c>
      <c r="AB1576" t="s">
        <v>3</v>
      </c>
      <c r="AC1576" t="s">
        <v>24</v>
      </c>
      <c r="AD1576" t="s">
        <v>129</v>
      </c>
      <c r="AE1576" s="97"/>
    </row>
    <row r="1577" spans="1:31" ht="14.4" customHeight="1" x14ac:dyDescent="0.3">
      <c r="A1577" t="s">
        <v>3808</v>
      </c>
      <c r="B1577" t="s">
        <v>2025</v>
      </c>
      <c r="C1577"/>
      <c r="D1577"/>
      <c r="E1577"/>
      <c r="F1577"/>
      <c r="G1577" t="s">
        <v>3752</v>
      </c>
      <c r="H1577" t="s">
        <v>132</v>
      </c>
      <c r="I1577" t="s">
        <v>3</v>
      </c>
      <c r="J1577" t="s">
        <v>133</v>
      </c>
      <c r="K1577" t="s">
        <v>53</v>
      </c>
      <c r="L1577" t="s">
        <v>1973</v>
      </c>
      <c r="M1577" t="s">
        <v>134</v>
      </c>
      <c r="N1577" t="s">
        <v>135</v>
      </c>
      <c r="O1577"/>
      <c r="P1577"/>
      <c r="Q1577" t="s">
        <v>140</v>
      </c>
      <c r="R1577"/>
      <c r="S1577"/>
      <c r="T1577" t="s">
        <v>1974</v>
      </c>
      <c r="U1577" t="s">
        <v>137</v>
      </c>
      <c r="V1577" t="s">
        <v>733</v>
      </c>
      <c r="W1577" s="9">
        <v>46203.582102627312</v>
      </c>
      <c r="X1577" t="s">
        <v>109</v>
      </c>
      <c r="Y1577"/>
      <c r="Z1577"/>
      <c r="AA1577" t="s">
        <v>1884</v>
      </c>
      <c r="AB1577" t="s">
        <v>3</v>
      </c>
      <c r="AC1577" t="s">
        <v>24</v>
      </c>
      <c r="AD1577" t="s">
        <v>129</v>
      </c>
      <c r="AE1577" s="97"/>
    </row>
    <row r="1578" spans="1:31" ht="14.4" customHeight="1" x14ac:dyDescent="0.3">
      <c r="A1578" t="s">
        <v>3809</v>
      </c>
      <c r="B1578" t="s">
        <v>2027</v>
      </c>
      <c r="C1578"/>
      <c r="D1578"/>
      <c r="E1578"/>
      <c r="F1578"/>
      <c r="G1578" t="s">
        <v>3752</v>
      </c>
      <c r="H1578" t="s">
        <v>132</v>
      </c>
      <c r="I1578" t="s">
        <v>3</v>
      </c>
      <c r="J1578" t="s">
        <v>133</v>
      </c>
      <c r="K1578" t="s">
        <v>53</v>
      </c>
      <c r="L1578" t="s">
        <v>1973</v>
      </c>
      <c r="M1578" t="s">
        <v>134</v>
      </c>
      <c r="N1578" t="s">
        <v>135</v>
      </c>
      <c r="O1578"/>
      <c r="P1578"/>
      <c r="Q1578" t="s">
        <v>140</v>
      </c>
      <c r="R1578"/>
      <c r="S1578"/>
      <c r="T1578" t="s">
        <v>1974</v>
      </c>
      <c r="U1578" t="s">
        <v>137</v>
      </c>
      <c r="V1578" t="s">
        <v>739</v>
      </c>
      <c r="W1578" s="9">
        <v>46203.582340428242</v>
      </c>
      <c r="X1578" t="s">
        <v>118</v>
      </c>
      <c r="Y1578"/>
      <c r="Z1578"/>
      <c r="AA1578" t="s">
        <v>1884</v>
      </c>
      <c r="AB1578" t="s">
        <v>3</v>
      </c>
      <c r="AC1578" t="s">
        <v>24</v>
      </c>
      <c r="AD1578" t="s">
        <v>130</v>
      </c>
      <c r="AE1578" s="97"/>
    </row>
    <row r="1579" spans="1:31" ht="14.4" customHeight="1" x14ac:dyDescent="0.3">
      <c r="A1579" t="s">
        <v>3810</v>
      </c>
      <c r="B1579" t="s">
        <v>2029</v>
      </c>
      <c r="C1579"/>
      <c r="D1579"/>
      <c r="E1579"/>
      <c r="F1579"/>
      <c r="G1579" t="s">
        <v>3752</v>
      </c>
      <c r="H1579" t="s">
        <v>132</v>
      </c>
      <c r="I1579" t="s">
        <v>3</v>
      </c>
      <c r="J1579" t="s">
        <v>133</v>
      </c>
      <c r="K1579" t="s">
        <v>53</v>
      </c>
      <c r="L1579" t="s">
        <v>1973</v>
      </c>
      <c r="M1579" t="s">
        <v>134</v>
      </c>
      <c r="N1579" t="s">
        <v>135</v>
      </c>
      <c r="O1579"/>
      <c r="P1579"/>
      <c r="Q1579" t="s">
        <v>140</v>
      </c>
      <c r="R1579"/>
      <c r="S1579"/>
      <c r="T1579" t="s">
        <v>1974</v>
      </c>
      <c r="U1579" t="s">
        <v>137</v>
      </c>
      <c r="V1579" t="s">
        <v>739</v>
      </c>
      <c r="W1579" s="9">
        <v>46203.582693784723</v>
      </c>
      <c r="X1579" t="s">
        <v>118</v>
      </c>
      <c r="Y1579"/>
      <c r="Z1579"/>
      <c r="AA1579" t="s">
        <v>1884</v>
      </c>
      <c r="AB1579" t="s">
        <v>3</v>
      </c>
      <c r="AC1579" t="s">
        <v>24</v>
      </c>
      <c r="AD1579" t="s">
        <v>130</v>
      </c>
      <c r="AE1579" s="97"/>
    </row>
    <row r="1580" spans="1:31" ht="14.4" customHeight="1" x14ac:dyDescent="0.3">
      <c r="A1580" t="s">
        <v>3811</v>
      </c>
      <c r="B1580" t="s">
        <v>2031</v>
      </c>
      <c r="C1580"/>
      <c r="D1580"/>
      <c r="E1580"/>
      <c r="F1580"/>
      <c r="G1580" t="s">
        <v>3752</v>
      </c>
      <c r="H1580" t="s">
        <v>132</v>
      </c>
      <c r="I1580" t="s">
        <v>3</v>
      </c>
      <c r="J1580" t="s">
        <v>133</v>
      </c>
      <c r="K1580" t="s">
        <v>53</v>
      </c>
      <c r="L1580" t="s">
        <v>2032</v>
      </c>
      <c r="M1580" t="s">
        <v>134</v>
      </c>
      <c r="N1580" t="s">
        <v>135</v>
      </c>
      <c r="O1580"/>
      <c r="P1580"/>
      <c r="Q1580" t="s">
        <v>140</v>
      </c>
      <c r="R1580"/>
      <c r="S1580"/>
      <c r="T1580" t="s">
        <v>1936</v>
      </c>
      <c r="U1580" t="s">
        <v>137</v>
      </c>
      <c r="V1580" t="s">
        <v>640</v>
      </c>
      <c r="W1580" s="9">
        <v>46137.35127175926</v>
      </c>
      <c r="X1580" t="s">
        <v>66</v>
      </c>
      <c r="Y1580"/>
      <c r="Z1580"/>
      <c r="AA1580" t="s">
        <v>1884</v>
      </c>
      <c r="AB1580" t="s">
        <v>3</v>
      </c>
      <c r="AC1580" t="s">
        <v>24</v>
      </c>
      <c r="AD1580" t="s">
        <v>128</v>
      </c>
      <c r="AE1580" s="97"/>
    </row>
    <row r="1581" spans="1:31" ht="14.4" customHeight="1" x14ac:dyDescent="0.3">
      <c r="A1581" t="s">
        <v>3812</v>
      </c>
      <c r="B1581" t="s">
        <v>2034</v>
      </c>
      <c r="C1581"/>
      <c r="D1581"/>
      <c r="E1581"/>
      <c r="F1581"/>
      <c r="G1581" t="s">
        <v>3752</v>
      </c>
      <c r="H1581" t="s">
        <v>132</v>
      </c>
      <c r="I1581" t="s">
        <v>3</v>
      </c>
      <c r="J1581" t="s">
        <v>133</v>
      </c>
      <c r="K1581" t="s">
        <v>53</v>
      </c>
      <c r="L1581" t="s">
        <v>2032</v>
      </c>
      <c r="M1581" t="s">
        <v>134</v>
      </c>
      <c r="N1581" t="s">
        <v>135</v>
      </c>
      <c r="O1581"/>
      <c r="P1581"/>
      <c r="Q1581" t="s">
        <v>140</v>
      </c>
      <c r="R1581"/>
      <c r="S1581"/>
      <c r="T1581" t="s">
        <v>1936</v>
      </c>
      <c r="U1581" t="s">
        <v>137</v>
      </c>
      <c r="V1581" t="s">
        <v>646</v>
      </c>
      <c r="W1581" s="9">
        <v>46137.351871678242</v>
      </c>
      <c r="X1581" t="s">
        <v>74</v>
      </c>
      <c r="Y1581"/>
      <c r="Z1581"/>
      <c r="AA1581" t="s">
        <v>1884</v>
      </c>
      <c r="AB1581" t="s">
        <v>3</v>
      </c>
      <c r="AC1581" t="s">
        <v>24</v>
      </c>
      <c r="AD1581" t="s">
        <v>128</v>
      </c>
      <c r="AE1581" s="97"/>
    </row>
    <row r="1582" spans="1:31" ht="14.4" customHeight="1" x14ac:dyDescent="0.3">
      <c r="A1582" t="s">
        <v>3813</v>
      </c>
      <c r="B1582" t="s">
        <v>2036</v>
      </c>
      <c r="C1582"/>
      <c r="D1582"/>
      <c r="E1582"/>
      <c r="F1582"/>
      <c r="G1582" t="s">
        <v>3752</v>
      </c>
      <c r="H1582" t="s">
        <v>132</v>
      </c>
      <c r="I1582" t="s">
        <v>3</v>
      </c>
      <c r="J1582" t="s">
        <v>133</v>
      </c>
      <c r="K1582" t="s">
        <v>53</v>
      </c>
      <c r="L1582" t="s">
        <v>2032</v>
      </c>
      <c r="M1582" t="s">
        <v>134</v>
      </c>
      <c r="N1582" t="s">
        <v>135</v>
      </c>
      <c r="O1582"/>
      <c r="P1582"/>
      <c r="Q1582" t="s">
        <v>140</v>
      </c>
      <c r="R1582"/>
      <c r="S1582"/>
      <c r="T1582" t="s">
        <v>1936</v>
      </c>
      <c r="U1582" t="s">
        <v>137</v>
      </c>
      <c r="V1582" t="s">
        <v>652</v>
      </c>
      <c r="W1582" s="9">
        <v>46137.352175081018</v>
      </c>
      <c r="X1582" t="s">
        <v>85</v>
      </c>
      <c r="Y1582"/>
      <c r="Z1582"/>
      <c r="AA1582" t="s">
        <v>1884</v>
      </c>
      <c r="AB1582" t="s">
        <v>3</v>
      </c>
      <c r="AC1582" t="s">
        <v>24</v>
      </c>
      <c r="AD1582" t="s">
        <v>129</v>
      </c>
      <c r="AE1582" s="97"/>
    </row>
    <row r="1583" spans="1:31" ht="14.4" customHeight="1" x14ac:dyDescent="0.3">
      <c r="A1583" t="s">
        <v>3814</v>
      </c>
      <c r="B1583" t="s">
        <v>2038</v>
      </c>
      <c r="C1583"/>
      <c r="D1583"/>
      <c r="E1583"/>
      <c r="F1583"/>
      <c r="G1583" t="s">
        <v>3752</v>
      </c>
      <c r="H1583" t="s">
        <v>132</v>
      </c>
      <c r="I1583" t="s">
        <v>3</v>
      </c>
      <c r="J1583" t="s">
        <v>133</v>
      </c>
      <c r="K1583" t="s">
        <v>53</v>
      </c>
      <c r="L1583" t="s">
        <v>2032</v>
      </c>
      <c r="M1583" t="s">
        <v>134</v>
      </c>
      <c r="N1583" t="s">
        <v>135</v>
      </c>
      <c r="O1583"/>
      <c r="P1583"/>
      <c r="Q1583" t="s">
        <v>140</v>
      </c>
      <c r="R1583"/>
      <c r="S1583"/>
      <c r="T1583" t="s">
        <v>1936</v>
      </c>
      <c r="U1583" t="s">
        <v>137</v>
      </c>
      <c r="V1583" t="s">
        <v>658</v>
      </c>
      <c r="W1583" s="9">
        <v>46137.35243796296</v>
      </c>
      <c r="X1583" t="s">
        <v>94</v>
      </c>
      <c r="Y1583"/>
      <c r="Z1583"/>
      <c r="AA1583" t="s">
        <v>1884</v>
      </c>
      <c r="AB1583" t="s">
        <v>3</v>
      </c>
      <c r="AC1583" t="s">
        <v>24</v>
      </c>
      <c r="AD1583" t="s">
        <v>129</v>
      </c>
      <c r="AE1583" s="97"/>
    </row>
    <row r="1584" spans="1:31" ht="14.4" customHeight="1" x14ac:dyDescent="0.3">
      <c r="A1584" t="s">
        <v>3815</v>
      </c>
      <c r="B1584" t="s">
        <v>2040</v>
      </c>
      <c r="C1584"/>
      <c r="D1584"/>
      <c r="E1584"/>
      <c r="F1584"/>
      <c r="G1584" t="s">
        <v>3752</v>
      </c>
      <c r="H1584" t="s">
        <v>132</v>
      </c>
      <c r="I1584" t="s">
        <v>3</v>
      </c>
      <c r="J1584" t="s">
        <v>133</v>
      </c>
      <c r="K1584" t="s">
        <v>53</v>
      </c>
      <c r="L1584" t="s">
        <v>2032</v>
      </c>
      <c r="M1584" t="s">
        <v>134</v>
      </c>
      <c r="N1584" t="s">
        <v>135</v>
      </c>
      <c r="O1584"/>
      <c r="P1584"/>
      <c r="Q1584" t="s">
        <v>140</v>
      </c>
      <c r="R1584"/>
      <c r="S1584"/>
      <c r="T1584" t="s">
        <v>1936</v>
      </c>
      <c r="U1584" t="s">
        <v>137</v>
      </c>
      <c r="V1584" t="s">
        <v>664</v>
      </c>
      <c r="W1584" s="9">
        <v>46137.352665891201</v>
      </c>
      <c r="X1584" t="s">
        <v>103</v>
      </c>
      <c r="Y1584"/>
      <c r="Z1584"/>
      <c r="AA1584" t="s">
        <v>1884</v>
      </c>
      <c r="AB1584" t="s">
        <v>3</v>
      </c>
      <c r="AC1584" t="s">
        <v>24</v>
      </c>
      <c r="AD1584" t="s">
        <v>129</v>
      </c>
      <c r="AE1584" s="97"/>
    </row>
    <row r="1585" spans="1:31" ht="14.4" customHeight="1" x14ac:dyDescent="0.3">
      <c r="A1585" t="s">
        <v>3816</v>
      </c>
      <c r="B1585" t="s">
        <v>2042</v>
      </c>
      <c r="C1585"/>
      <c r="D1585"/>
      <c r="E1585"/>
      <c r="F1585"/>
      <c r="G1585" t="s">
        <v>3752</v>
      </c>
      <c r="H1585" t="s">
        <v>132</v>
      </c>
      <c r="I1585" t="s">
        <v>3</v>
      </c>
      <c r="J1585" t="s">
        <v>133</v>
      </c>
      <c r="K1585" t="s">
        <v>53</v>
      </c>
      <c r="L1585" t="s">
        <v>2032</v>
      </c>
      <c r="M1585" t="s">
        <v>134</v>
      </c>
      <c r="N1585" t="s">
        <v>135</v>
      </c>
      <c r="O1585"/>
      <c r="P1585"/>
      <c r="Q1585" t="s">
        <v>140</v>
      </c>
      <c r="R1585"/>
      <c r="S1585"/>
      <c r="T1585" t="s">
        <v>1936</v>
      </c>
      <c r="U1585" t="s">
        <v>137</v>
      </c>
      <c r="V1585" t="s">
        <v>670</v>
      </c>
      <c r="W1585" s="9">
        <v>46137.352903900464</v>
      </c>
      <c r="X1585" t="s">
        <v>110</v>
      </c>
      <c r="Y1585"/>
      <c r="Z1585"/>
      <c r="AA1585" t="s">
        <v>1884</v>
      </c>
      <c r="AB1585" t="s">
        <v>3</v>
      </c>
      <c r="AC1585" t="s">
        <v>24</v>
      </c>
      <c r="AD1585" t="s">
        <v>129</v>
      </c>
      <c r="AE1585" s="97"/>
    </row>
    <row r="1586" spans="1:31" ht="14.4" customHeight="1" x14ac:dyDescent="0.3">
      <c r="A1586" t="s">
        <v>3817</v>
      </c>
      <c r="B1586" t="s">
        <v>2044</v>
      </c>
      <c r="C1586"/>
      <c r="D1586"/>
      <c r="E1586"/>
      <c r="F1586"/>
      <c r="G1586" t="s">
        <v>3752</v>
      </c>
      <c r="H1586" t="s">
        <v>132</v>
      </c>
      <c r="I1586" t="s">
        <v>3</v>
      </c>
      <c r="J1586" t="s">
        <v>133</v>
      </c>
      <c r="K1586" t="s">
        <v>53</v>
      </c>
      <c r="L1586" t="s">
        <v>2032</v>
      </c>
      <c r="M1586" t="s">
        <v>134</v>
      </c>
      <c r="N1586" t="s">
        <v>135</v>
      </c>
      <c r="O1586"/>
      <c r="P1586"/>
      <c r="Q1586" t="s">
        <v>140</v>
      </c>
      <c r="R1586"/>
      <c r="S1586"/>
      <c r="T1586" t="s">
        <v>1936</v>
      </c>
      <c r="U1586" t="s">
        <v>137</v>
      </c>
      <c r="V1586" t="s">
        <v>676</v>
      </c>
      <c r="W1586" s="9">
        <v>46137.353188229165</v>
      </c>
      <c r="X1586" t="s">
        <v>119</v>
      </c>
      <c r="Y1586"/>
      <c r="Z1586"/>
      <c r="AA1586" t="s">
        <v>1884</v>
      </c>
      <c r="AB1586" t="s">
        <v>3</v>
      </c>
      <c r="AC1586" t="s">
        <v>24</v>
      </c>
      <c r="AD1586" t="s">
        <v>130</v>
      </c>
      <c r="AE1586" s="97"/>
    </row>
    <row r="1587" spans="1:31" ht="14.4" customHeight="1" x14ac:dyDescent="0.3">
      <c r="A1587" t="s">
        <v>3818</v>
      </c>
      <c r="B1587" t="s">
        <v>2046</v>
      </c>
      <c r="C1587"/>
      <c r="D1587"/>
      <c r="E1587"/>
      <c r="F1587"/>
      <c r="G1587" t="s">
        <v>3752</v>
      </c>
      <c r="H1587" t="s">
        <v>132</v>
      </c>
      <c r="I1587" t="s">
        <v>3</v>
      </c>
      <c r="J1587" t="s">
        <v>133</v>
      </c>
      <c r="K1587" t="s">
        <v>53</v>
      </c>
      <c r="L1587" t="s">
        <v>1979</v>
      </c>
      <c r="M1587" t="s">
        <v>134</v>
      </c>
      <c r="N1587" t="s">
        <v>135</v>
      </c>
      <c r="O1587"/>
      <c r="P1587"/>
      <c r="Q1587" t="s">
        <v>140</v>
      </c>
      <c r="R1587"/>
      <c r="S1587"/>
      <c r="T1587" t="s">
        <v>2047</v>
      </c>
      <c r="U1587" t="s">
        <v>137</v>
      </c>
      <c r="V1587" t="s">
        <v>1279</v>
      </c>
      <c r="W1587" s="9">
        <v>46117.475339583332</v>
      </c>
      <c r="X1587" t="s">
        <v>71</v>
      </c>
      <c r="Y1587"/>
      <c r="Z1587"/>
      <c r="AA1587" t="s">
        <v>1884</v>
      </c>
      <c r="AB1587" t="s">
        <v>3</v>
      </c>
      <c r="AC1587" t="s">
        <v>24</v>
      </c>
      <c r="AD1587" t="s">
        <v>128</v>
      </c>
      <c r="AE1587" s="97"/>
    </row>
    <row r="1588" spans="1:31" ht="14.4" customHeight="1" x14ac:dyDescent="0.3">
      <c r="A1588" t="s">
        <v>3819</v>
      </c>
      <c r="B1588" t="s">
        <v>2049</v>
      </c>
      <c r="C1588"/>
      <c r="D1588"/>
      <c r="E1588"/>
      <c r="F1588"/>
      <c r="G1588" t="s">
        <v>3752</v>
      </c>
      <c r="H1588" t="s">
        <v>132</v>
      </c>
      <c r="I1588" t="s">
        <v>3</v>
      </c>
      <c r="J1588" t="s">
        <v>133</v>
      </c>
      <c r="K1588" t="s">
        <v>53</v>
      </c>
      <c r="L1588" t="s">
        <v>1979</v>
      </c>
      <c r="M1588" t="s">
        <v>134</v>
      </c>
      <c r="N1588" t="s">
        <v>135</v>
      </c>
      <c r="O1588"/>
      <c r="P1588"/>
      <c r="Q1588" t="s">
        <v>140</v>
      </c>
      <c r="R1588"/>
      <c r="S1588"/>
      <c r="T1588" t="s">
        <v>2047</v>
      </c>
      <c r="U1588" t="s">
        <v>137</v>
      </c>
      <c r="V1588" t="s">
        <v>1283</v>
      </c>
      <c r="W1588" s="9">
        <v>46117.475540243053</v>
      </c>
      <c r="X1588" t="s">
        <v>78</v>
      </c>
      <c r="Y1588"/>
      <c r="Z1588"/>
      <c r="AA1588" t="s">
        <v>1884</v>
      </c>
      <c r="AB1588" t="s">
        <v>3</v>
      </c>
      <c r="AC1588" t="s">
        <v>24</v>
      </c>
      <c r="AD1588" t="s">
        <v>128</v>
      </c>
      <c r="AE1588" s="97"/>
    </row>
    <row r="1589" spans="1:31" ht="14.4" customHeight="1" x14ac:dyDescent="0.3">
      <c r="A1589" t="s">
        <v>3820</v>
      </c>
      <c r="B1589" t="s">
        <v>2051</v>
      </c>
      <c r="C1589"/>
      <c r="D1589"/>
      <c r="E1589"/>
      <c r="F1589"/>
      <c r="G1589" t="s">
        <v>3752</v>
      </c>
      <c r="H1589" t="s">
        <v>132</v>
      </c>
      <c r="I1589" t="s">
        <v>3</v>
      </c>
      <c r="J1589" t="s">
        <v>133</v>
      </c>
      <c r="K1589" t="s">
        <v>53</v>
      </c>
      <c r="L1589" t="s">
        <v>1979</v>
      </c>
      <c r="M1589" t="s">
        <v>134</v>
      </c>
      <c r="N1589" t="s">
        <v>135</v>
      </c>
      <c r="O1589"/>
      <c r="P1589"/>
      <c r="Q1589" t="s">
        <v>140</v>
      </c>
      <c r="R1589"/>
      <c r="S1589"/>
      <c r="T1589" t="s">
        <v>2047</v>
      </c>
      <c r="U1589" t="s">
        <v>137</v>
      </c>
      <c r="V1589" t="s">
        <v>1287</v>
      </c>
      <c r="W1589" s="9">
        <v>46117.475823032408</v>
      </c>
      <c r="X1589" t="s">
        <v>89</v>
      </c>
      <c r="Y1589"/>
      <c r="Z1589"/>
      <c r="AA1589" t="s">
        <v>1884</v>
      </c>
      <c r="AB1589" t="s">
        <v>3</v>
      </c>
      <c r="AC1589" t="s">
        <v>24</v>
      </c>
      <c r="AD1589" t="s">
        <v>129</v>
      </c>
      <c r="AE1589" s="97"/>
    </row>
    <row r="1590" spans="1:31" ht="14.4" customHeight="1" x14ac:dyDescent="0.3">
      <c r="A1590" t="s">
        <v>3821</v>
      </c>
      <c r="B1590" t="s">
        <v>2053</v>
      </c>
      <c r="C1590"/>
      <c r="D1590"/>
      <c r="E1590"/>
      <c r="F1590"/>
      <c r="G1590" t="s">
        <v>3752</v>
      </c>
      <c r="H1590" t="s">
        <v>132</v>
      </c>
      <c r="I1590" t="s">
        <v>3</v>
      </c>
      <c r="J1590" t="s">
        <v>133</v>
      </c>
      <c r="K1590" t="s">
        <v>53</v>
      </c>
      <c r="L1590" t="s">
        <v>1979</v>
      </c>
      <c r="M1590" t="s">
        <v>134</v>
      </c>
      <c r="N1590" t="s">
        <v>135</v>
      </c>
      <c r="O1590"/>
      <c r="P1590"/>
      <c r="Q1590" t="s">
        <v>140</v>
      </c>
      <c r="R1590"/>
      <c r="S1590"/>
      <c r="T1590" t="s">
        <v>2047</v>
      </c>
      <c r="U1590" t="s">
        <v>137</v>
      </c>
      <c r="V1590" t="s">
        <v>1291</v>
      </c>
      <c r="W1590" s="9">
        <v>46117.47602519676</v>
      </c>
      <c r="X1590" t="s">
        <v>98</v>
      </c>
      <c r="Y1590"/>
      <c r="Z1590"/>
      <c r="AA1590" t="s">
        <v>1884</v>
      </c>
      <c r="AB1590" t="s">
        <v>3</v>
      </c>
      <c r="AC1590" t="s">
        <v>24</v>
      </c>
      <c r="AD1590" t="s">
        <v>129</v>
      </c>
      <c r="AE1590" s="97"/>
    </row>
    <row r="1591" spans="1:31" ht="14.4" customHeight="1" x14ac:dyDescent="0.3">
      <c r="A1591" t="s">
        <v>3822</v>
      </c>
      <c r="B1591" t="s">
        <v>2055</v>
      </c>
      <c r="C1591"/>
      <c r="D1591"/>
      <c r="E1591"/>
      <c r="F1591"/>
      <c r="G1591" t="s">
        <v>3752</v>
      </c>
      <c r="H1591" t="s">
        <v>132</v>
      </c>
      <c r="I1591" t="s">
        <v>3</v>
      </c>
      <c r="J1591" t="s">
        <v>133</v>
      </c>
      <c r="K1591" t="s">
        <v>53</v>
      </c>
      <c r="L1591" t="s">
        <v>1979</v>
      </c>
      <c r="M1591" t="s">
        <v>134</v>
      </c>
      <c r="N1591" t="s">
        <v>135</v>
      </c>
      <c r="O1591"/>
      <c r="P1591"/>
      <c r="Q1591" t="s">
        <v>140</v>
      </c>
      <c r="R1591"/>
      <c r="S1591"/>
      <c r="T1591" t="s">
        <v>2056</v>
      </c>
      <c r="U1591" t="s">
        <v>137</v>
      </c>
      <c r="V1591" t="s">
        <v>1295</v>
      </c>
      <c r="W1591" s="9">
        <v>46117.476600543981</v>
      </c>
      <c r="X1591" t="s">
        <v>107</v>
      </c>
      <c r="Y1591"/>
      <c r="Z1591"/>
      <c r="AA1591" t="s">
        <v>1884</v>
      </c>
      <c r="AB1591" t="s">
        <v>3</v>
      </c>
      <c r="AC1591" t="s">
        <v>24</v>
      </c>
      <c r="AD1591" t="s">
        <v>129</v>
      </c>
      <c r="AE1591" s="97"/>
    </row>
    <row r="1592" spans="1:31" ht="14.4" customHeight="1" x14ac:dyDescent="0.3">
      <c r="A1592" t="s">
        <v>3823</v>
      </c>
      <c r="B1592" t="s">
        <v>2058</v>
      </c>
      <c r="C1592"/>
      <c r="D1592"/>
      <c r="E1592"/>
      <c r="F1592"/>
      <c r="G1592" t="s">
        <v>3752</v>
      </c>
      <c r="H1592" t="s">
        <v>132</v>
      </c>
      <c r="I1592" t="s">
        <v>3</v>
      </c>
      <c r="J1592" t="s">
        <v>133</v>
      </c>
      <c r="K1592" t="s">
        <v>53</v>
      </c>
      <c r="L1592" t="s">
        <v>1979</v>
      </c>
      <c r="M1592" t="s">
        <v>134</v>
      </c>
      <c r="N1592" t="s">
        <v>135</v>
      </c>
      <c r="O1592"/>
      <c r="P1592"/>
      <c r="Q1592" t="s">
        <v>140</v>
      </c>
      <c r="R1592"/>
      <c r="S1592"/>
      <c r="T1592" t="s">
        <v>2056</v>
      </c>
      <c r="U1592" t="s">
        <v>137</v>
      </c>
      <c r="V1592" t="s">
        <v>1299</v>
      </c>
      <c r="W1592" s="9">
        <v>46117.476853437503</v>
      </c>
      <c r="X1592" t="s">
        <v>114</v>
      </c>
      <c r="Y1592"/>
      <c r="Z1592"/>
      <c r="AA1592" t="s">
        <v>1884</v>
      </c>
      <c r="AB1592" t="s">
        <v>3</v>
      </c>
      <c r="AC1592" t="s">
        <v>24</v>
      </c>
      <c r="AD1592" t="s">
        <v>129</v>
      </c>
      <c r="AE1592" s="97"/>
    </row>
    <row r="1593" spans="1:31" ht="14.4" customHeight="1" x14ac:dyDescent="0.3">
      <c r="A1593" t="s">
        <v>3824</v>
      </c>
      <c r="B1593" t="s">
        <v>2060</v>
      </c>
      <c r="C1593"/>
      <c r="D1593"/>
      <c r="E1593"/>
      <c r="F1593"/>
      <c r="G1593" t="s">
        <v>3752</v>
      </c>
      <c r="H1593" t="s">
        <v>132</v>
      </c>
      <c r="I1593" t="s">
        <v>3</v>
      </c>
      <c r="J1593" t="s">
        <v>133</v>
      </c>
      <c r="K1593" t="s">
        <v>53</v>
      </c>
      <c r="L1593" t="s">
        <v>1979</v>
      </c>
      <c r="M1593" t="s">
        <v>134</v>
      </c>
      <c r="N1593" t="s">
        <v>135</v>
      </c>
      <c r="O1593"/>
      <c r="P1593"/>
      <c r="Q1593" t="s">
        <v>140</v>
      </c>
      <c r="R1593"/>
      <c r="S1593"/>
      <c r="T1593" t="s">
        <v>2056</v>
      </c>
      <c r="U1593" t="s">
        <v>137</v>
      </c>
      <c r="V1593" t="s">
        <v>1303</v>
      </c>
      <c r="W1593" s="9">
        <v>46117.478807372689</v>
      </c>
      <c r="X1593" t="s">
        <v>123</v>
      </c>
      <c r="Y1593"/>
      <c r="Z1593"/>
      <c r="AA1593" t="s">
        <v>1884</v>
      </c>
      <c r="AB1593" t="s">
        <v>3</v>
      </c>
      <c r="AC1593" t="s">
        <v>24</v>
      </c>
      <c r="AD1593" t="s">
        <v>130</v>
      </c>
      <c r="AE1593" s="97"/>
    </row>
    <row r="1594" spans="1:31" ht="14.4" customHeight="1" x14ac:dyDescent="0.3">
      <c r="A1594" t="s">
        <v>3825</v>
      </c>
      <c r="B1594" t="s">
        <v>2062</v>
      </c>
      <c r="C1594"/>
      <c r="D1594"/>
      <c r="E1594"/>
      <c r="F1594"/>
      <c r="G1594" t="s">
        <v>3752</v>
      </c>
      <c r="H1594" t="s">
        <v>132</v>
      </c>
      <c r="I1594" t="s">
        <v>3</v>
      </c>
      <c r="J1594" t="s">
        <v>133</v>
      </c>
      <c r="K1594" t="s">
        <v>53</v>
      </c>
      <c r="L1594" t="s">
        <v>2063</v>
      </c>
      <c r="M1594" t="s">
        <v>134</v>
      </c>
      <c r="N1594" t="s">
        <v>135</v>
      </c>
      <c r="O1594"/>
      <c r="P1594"/>
      <c r="Q1594" t="s">
        <v>140</v>
      </c>
      <c r="R1594"/>
      <c r="S1594"/>
      <c r="T1594" t="s">
        <v>2064</v>
      </c>
      <c r="U1594" t="s">
        <v>137</v>
      </c>
      <c r="V1594" t="s">
        <v>703</v>
      </c>
      <c r="W1594" s="9">
        <v>46156.433610034721</v>
      </c>
      <c r="X1594" t="s">
        <v>62</v>
      </c>
      <c r="Y1594"/>
      <c r="Z1594"/>
      <c r="AA1594" t="s">
        <v>1884</v>
      </c>
      <c r="AB1594" t="s">
        <v>3</v>
      </c>
      <c r="AC1594" t="s">
        <v>24</v>
      </c>
      <c r="AD1594" t="s">
        <v>128</v>
      </c>
      <c r="AE1594" s="97"/>
    </row>
    <row r="1595" spans="1:31" ht="14.4" customHeight="1" x14ac:dyDescent="0.3">
      <c r="A1595" t="s">
        <v>3826</v>
      </c>
      <c r="B1595" t="s">
        <v>2066</v>
      </c>
      <c r="C1595"/>
      <c r="D1595"/>
      <c r="E1595"/>
      <c r="F1595"/>
      <c r="G1595" t="s">
        <v>3752</v>
      </c>
      <c r="H1595" t="s">
        <v>132</v>
      </c>
      <c r="I1595" t="s">
        <v>3</v>
      </c>
      <c r="J1595" t="s">
        <v>133</v>
      </c>
      <c r="K1595" t="s">
        <v>53</v>
      </c>
      <c r="L1595" t="s">
        <v>2063</v>
      </c>
      <c r="M1595" t="s">
        <v>134</v>
      </c>
      <c r="N1595" t="s">
        <v>135</v>
      </c>
      <c r="O1595"/>
      <c r="P1595"/>
      <c r="Q1595" t="s">
        <v>140</v>
      </c>
      <c r="R1595"/>
      <c r="S1595"/>
      <c r="T1595" t="s">
        <v>2064</v>
      </c>
      <c r="U1595" t="s">
        <v>137</v>
      </c>
      <c r="V1595" t="s">
        <v>709</v>
      </c>
      <c r="W1595" s="9">
        <v>46156.433924803241</v>
      </c>
      <c r="X1595" t="s">
        <v>73</v>
      </c>
      <c r="Y1595"/>
      <c r="Z1595"/>
      <c r="AA1595" t="s">
        <v>1884</v>
      </c>
      <c r="AB1595" t="s">
        <v>3</v>
      </c>
      <c r="AC1595" t="s">
        <v>24</v>
      </c>
      <c r="AD1595" t="s">
        <v>128</v>
      </c>
      <c r="AE1595" s="97"/>
    </row>
    <row r="1596" spans="1:31" ht="14.4" customHeight="1" x14ac:dyDescent="0.3">
      <c r="A1596" t="s">
        <v>3827</v>
      </c>
      <c r="B1596" t="s">
        <v>2068</v>
      </c>
      <c r="C1596"/>
      <c r="D1596"/>
      <c r="E1596"/>
      <c r="F1596"/>
      <c r="G1596" t="s">
        <v>3752</v>
      </c>
      <c r="H1596" t="s">
        <v>132</v>
      </c>
      <c r="I1596" t="s">
        <v>3</v>
      </c>
      <c r="J1596" t="s">
        <v>133</v>
      </c>
      <c r="K1596" t="s">
        <v>53</v>
      </c>
      <c r="L1596" t="s">
        <v>2063</v>
      </c>
      <c r="M1596" t="s">
        <v>134</v>
      </c>
      <c r="N1596" t="s">
        <v>135</v>
      </c>
      <c r="O1596"/>
      <c r="P1596"/>
      <c r="Q1596" t="s">
        <v>140</v>
      </c>
      <c r="R1596"/>
      <c r="S1596"/>
      <c r="T1596" t="s">
        <v>2064</v>
      </c>
      <c r="U1596" t="s">
        <v>137</v>
      </c>
      <c r="V1596" t="s">
        <v>715</v>
      </c>
      <c r="W1596" s="9">
        <v>46178.488735914354</v>
      </c>
      <c r="X1596" t="s">
        <v>82</v>
      </c>
      <c r="Y1596"/>
      <c r="Z1596"/>
      <c r="AA1596" t="s">
        <v>1884</v>
      </c>
      <c r="AB1596" t="s">
        <v>3</v>
      </c>
      <c r="AC1596" t="s">
        <v>24</v>
      </c>
      <c r="AD1596" t="s">
        <v>129</v>
      </c>
      <c r="AE1596" s="97"/>
    </row>
    <row r="1597" spans="1:31" ht="14.4" customHeight="1" x14ac:dyDescent="0.3">
      <c r="A1597" t="s">
        <v>3828</v>
      </c>
      <c r="B1597" t="s">
        <v>2070</v>
      </c>
      <c r="C1597"/>
      <c r="D1597"/>
      <c r="E1597"/>
      <c r="F1597"/>
      <c r="G1597" t="s">
        <v>3752</v>
      </c>
      <c r="H1597" t="s">
        <v>132</v>
      </c>
      <c r="I1597" t="s">
        <v>3</v>
      </c>
      <c r="J1597" t="s">
        <v>133</v>
      </c>
      <c r="K1597" t="s">
        <v>53</v>
      </c>
      <c r="L1597" t="s">
        <v>2063</v>
      </c>
      <c r="M1597" t="s">
        <v>134</v>
      </c>
      <c r="N1597" t="s">
        <v>135</v>
      </c>
      <c r="O1597"/>
      <c r="P1597"/>
      <c r="Q1597" t="s">
        <v>140</v>
      </c>
      <c r="R1597"/>
      <c r="S1597"/>
      <c r="T1597" t="s">
        <v>2064</v>
      </c>
      <c r="U1597" t="s">
        <v>137</v>
      </c>
      <c r="V1597" t="s">
        <v>721</v>
      </c>
      <c r="W1597" s="9">
        <v>46156.434406909721</v>
      </c>
      <c r="X1597" t="s">
        <v>91</v>
      </c>
      <c r="Y1597"/>
      <c r="Z1597"/>
      <c r="AA1597" t="s">
        <v>1884</v>
      </c>
      <c r="AB1597" t="s">
        <v>3</v>
      </c>
      <c r="AC1597" t="s">
        <v>24</v>
      </c>
      <c r="AD1597" t="s">
        <v>129</v>
      </c>
      <c r="AE1597" s="97"/>
    </row>
    <row r="1598" spans="1:31" ht="14.4" customHeight="1" x14ac:dyDescent="0.3">
      <c r="A1598" t="s">
        <v>3829</v>
      </c>
      <c r="B1598" t="s">
        <v>2072</v>
      </c>
      <c r="C1598"/>
      <c r="D1598"/>
      <c r="E1598"/>
      <c r="F1598"/>
      <c r="G1598" t="s">
        <v>3752</v>
      </c>
      <c r="H1598" t="s">
        <v>132</v>
      </c>
      <c r="I1598" t="s">
        <v>3</v>
      </c>
      <c r="J1598" t="s">
        <v>133</v>
      </c>
      <c r="K1598" t="s">
        <v>53</v>
      </c>
      <c r="L1598" t="s">
        <v>2063</v>
      </c>
      <c r="M1598" t="s">
        <v>134</v>
      </c>
      <c r="N1598" t="s">
        <v>135</v>
      </c>
      <c r="O1598"/>
      <c r="P1598"/>
      <c r="Q1598" t="s">
        <v>140</v>
      </c>
      <c r="R1598"/>
      <c r="S1598"/>
      <c r="T1598" t="s">
        <v>2064</v>
      </c>
      <c r="U1598" t="s">
        <v>137</v>
      </c>
      <c r="V1598" t="s">
        <v>727</v>
      </c>
      <c r="W1598" s="9">
        <v>46178.489619560183</v>
      </c>
      <c r="X1598" t="s">
        <v>100</v>
      </c>
      <c r="Y1598"/>
      <c r="Z1598"/>
      <c r="AA1598" t="s">
        <v>1884</v>
      </c>
      <c r="AB1598" t="s">
        <v>3</v>
      </c>
      <c r="AC1598" t="s">
        <v>24</v>
      </c>
      <c r="AD1598" t="s">
        <v>129</v>
      </c>
      <c r="AE1598" s="97"/>
    </row>
    <row r="1599" spans="1:31" ht="14.4" customHeight="1" x14ac:dyDescent="0.3">
      <c r="A1599" t="s">
        <v>3830</v>
      </c>
      <c r="B1599" t="s">
        <v>2074</v>
      </c>
      <c r="C1599"/>
      <c r="D1599"/>
      <c r="E1599"/>
      <c r="F1599"/>
      <c r="G1599" t="s">
        <v>3752</v>
      </c>
      <c r="H1599" t="s">
        <v>132</v>
      </c>
      <c r="I1599" t="s">
        <v>3</v>
      </c>
      <c r="J1599" t="s">
        <v>133</v>
      </c>
      <c r="K1599" t="s">
        <v>53</v>
      </c>
      <c r="L1599" t="s">
        <v>2063</v>
      </c>
      <c r="M1599" t="s">
        <v>134</v>
      </c>
      <c r="N1599" t="s">
        <v>135</v>
      </c>
      <c r="O1599"/>
      <c r="P1599"/>
      <c r="Q1599" t="s">
        <v>140</v>
      </c>
      <c r="R1599"/>
      <c r="S1599"/>
      <c r="T1599" t="s">
        <v>2064</v>
      </c>
      <c r="U1599" t="s">
        <v>137</v>
      </c>
      <c r="V1599" t="s">
        <v>733</v>
      </c>
      <c r="W1599" s="9">
        <v>46156.434994444448</v>
      </c>
      <c r="X1599" t="s">
        <v>109</v>
      </c>
      <c r="Y1599"/>
      <c r="Z1599"/>
      <c r="AA1599" t="s">
        <v>1884</v>
      </c>
      <c r="AB1599" t="s">
        <v>3</v>
      </c>
      <c r="AC1599" t="s">
        <v>24</v>
      </c>
      <c r="AD1599" t="s">
        <v>129</v>
      </c>
      <c r="AE1599" s="97"/>
    </row>
    <row r="1600" spans="1:31" ht="14.4" customHeight="1" x14ac:dyDescent="0.3">
      <c r="A1600" t="s">
        <v>3831</v>
      </c>
      <c r="B1600" t="s">
        <v>2076</v>
      </c>
      <c r="C1600"/>
      <c r="D1600"/>
      <c r="E1600"/>
      <c r="F1600"/>
      <c r="G1600" t="s">
        <v>3752</v>
      </c>
      <c r="H1600" t="s">
        <v>132</v>
      </c>
      <c r="I1600" t="s">
        <v>3</v>
      </c>
      <c r="J1600" t="s">
        <v>133</v>
      </c>
      <c r="K1600" t="s">
        <v>53</v>
      </c>
      <c r="L1600" t="s">
        <v>2063</v>
      </c>
      <c r="M1600" t="s">
        <v>134</v>
      </c>
      <c r="N1600" t="s">
        <v>135</v>
      </c>
      <c r="O1600"/>
      <c r="P1600"/>
      <c r="Q1600" t="s">
        <v>140</v>
      </c>
      <c r="R1600"/>
      <c r="S1600"/>
      <c r="T1600" t="s">
        <v>2064</v>
      </c>
      <c r="U1600" t="s">
        <v>137</v>
      </c>
      <c r="V1600" t="s">
        <v>739</v>
      </c>
      <c r="W1600" s="9">
        <v>46156.435363622688</v>
      </c>
      <c r="X1600" t="s">
        <v>118</v>
      </c>
      <c r="Y1600"/>
      <c r="Z1600"/>
      <c r="AA1600" t="s">
        <v>1884</v>
      </c>
      <c r="AB1600" t="s">
        <v>3</v>
      </c>
      <c r="AC1600" t="s">
        <v>24</v>
      </c>
      <c r="AD1600" t="s">
        <v>130</v>
      </c>
      <c r="AE1600" s="97"/>
    </row>
    <row r="1601" spans="1:31" ht="14.4" customHeight="1" x14ac:dyDescent="0.3">
      <c r="A1601" t="s">
        <v>3832</v>
      </c>
      <c r="B1601" t="s">
        <v>2078</v>
      </c>
      <c r="C1601"/>
      <c r="D1601"/>
      <c r="E1601"/>
      <c r="F1601"/>
      <c r="G1601" t="s">
        <v>3752</v>
      </c>
      <c r="H1601" t="s">
        <v>132</v>
      </c>
      <c r="I1601" t="s">
        <v>3</v>
      </c>
      <c r="J1601" t="s">
        <v>133</v>
      </c>
      <c r="K1601" t="s">
        <v>53</v>
      </c>
      <c r="L1601" t="s">
        <v>2063</v>
      </c>
      <c r="M1601" t="s">
        <v>134</v>
      </c>
      <c r="N1601" t="s">
        <v>135</v>
      </c>
      <c r="O1601"/>
      <c r="P1601"/>
      <c r="Q1601" t="s">
        <v>140</v>
      </c>
      <c r="R1601"/>
      <c r="S1601"/>
      <c r="T1601" t="s">
        <v>2079</v>
      </c>
      <c r="U1601" t="s">
        <v>137</v>
      </c>
      <c r="V1601" t="s">
        <v>703</v>
      </c>
      <c r="W1601" s="9">
        <v>46156.4357431713</v>
      </c>
      <c r="X1601" t="s">
        <v>62</v>
      </c>
      <c r="Y1601"/>
      <c r="Z1601"/>
      <c r="AA1601" t="s">
        <v>1884</v>
      </c>
      <c r="AB1601" t="s">
        <v>3</v>
      </c>
      <c r="AC1601" t="s">
        <v>24</v>
      </c>
      <c r="AD1601" t="s">
        <v>128</v>
      </c>
      <c r="AE1601" s="97"/>
    </row>
    <row r="1602" spans="1:31" ht="14.4" customHeight="1" x14ac:dyDescent="0.3">
      <c r="A1602" t="s">
        <v>3833</v>
      </c>
      <c r="B1602" t="s">
        <v>2081</v>
      </c>
      <c r="C1602"/>
      <c r="D1602"/>
      <c r="E1602"/>
      <c r="F1602"/>
      <c r="G1602" t="s">
        <v>3752</v>
      </c>
      <c r="H1602" t="s">
        <v>132</v>
      </c>
      <c r="I1602" t="s">
        <v>3</v>
      </c>
      <c r="J1602" t="s">
        <v>133</v>
      </c>
      <c r="K1602" t="s">
        <v>53</v>
      </c>
      <c r="L1602" t="s">
        <v>2063</v>
      </c>
      <c r="M1602" t="s">
        <v>134</v>
      </c>
      <c r="N1602" t="s">
        <v>135</v>
      </c>
      <c r="O1602"/>
      <c r="P1602"/>
      <c r="Q1602" t="s">
        <v>140</v>
      </c>
      <c r="R1602"/>
      <c r="S1602"/>
      <c r="T1602" t="s">
        <v>2079</v>
      </c>
      <c r="U1602" t="s">
        <v>137</v>
      </c>
      <c r="V1602" t="s">
        <v>709</v>
      </c>
      <c r="W1602" s="9">
        <v>46156.436113113428</v>
      </c>
      <c r="X1602" t="s">
        <v>73</v>
      </c>
      <c r="Y1602"/>
      <c r="Z1602"/>
      <c r="AA1602" t="s">
        <v>1884</v>
      </c>
      <c r="AB1602" t="s">
        <v>3</v>
      </c>
      <c r="AC1602" t="s">
        <v>24</v>
      </c>
      <c r="AD1602" t="s">
        <v>128</v>
      </c>
      <c r="AE1602" s="97"/>
    </row>
    <row r="1603" spans="1:31" ht="14.4" customHeight="1" x14ac:dyDescent="0.3">
      <c r="A1603" t="s">
        <v>3834</v>
      </c>
      <c r="B1603" t="s">
        <v>2083</v>
      </c>
      <c r="C1603"/>
      <c r="D1603"/>
      <c r="E1603"/>
      <c r="F1603"/>
      <c r="G1603" t="s">
        <v>3752</v>
      </c>
      <c r="H1603" t="s">
        <v>132</v>
      </c>
      <c r="I1603" t="s">
        <v>3</v>
      </c>
      <c r="J1603" t="s">
        <v>133</v>
      </c>
      <c r="K1603" t="s">
        <v>53</v>
      </c>
      <c r="L1603" t="s">
        <v>2063</v>
      </c>
      <c r="M1603" t="s">
        <v>134</v>
      </c>
      <c r="N1603" t="s">
        <v>135</v>
      </c>
      <c r="O1603"/>
      <c r="P1603"/>
      <c r="Q1603" t="s">
        <v>140</v>
      </c>
      <c r="R1603"/>
      <c r="S1603"/>
      <c r="T1603" t="s">
        <v>2079</v>
      </c>
      <c r="U1603" t="s">
        <v>137</v>
      </c>
      <c r="V1603" t="s">
        <v>715</v>
      </c>
      <c r="W1603" s="9">
        <v>46156.436411655093</v>
      </c>
      <c r="X1603" t="s">
        <v>82</v>
      </c>
      <c r="Y1603"/>
      <c r="Z1603"/>
      <c r="AA1603" t="s">
        <v>1884</v>
      </c>
      <c r="AB1603" t="s">
        <v>3</v>
      </c>
      <c r="AC1603" t="s">
        <v>24</v>
      </c>
      <c r="AD1603" t="s">
        <v>129</v>
      </c>
      <c r="AE1603" s="97"/>
    </row>
    <row r="1604" spans="1:31" ht="14.4" customHeight="1" x14ac:dyDescent="0.3">
      <c r="A1604" t="s">
        <v>3835</v>
      </c>
      <c r="B1604" t="s">
        <v>2085</v>
      </c>
      <c r="C1604"/>
      <c r="D1604"/>
      <c r="E1604"/>
      <c r="F1604"/>
      <c r="G1604" t="s">
        <v>3752</v>
      </c>
      <c r="H1604" t="s">
        <v>132</v>
      </c>
      <c r="I1604" t="s">
        <v>3</v>
      </c>
      <c r="J1604" t="s">
        <v>133</v>
      </c>
      <c r="K1604" t="s">
        <v>53</v>
      </c>
      <c r="L1604" t="s">
        <v>2063</v>
      </c>
      <c r="M1604" t="s">
        <v>134</v>
      </c>
      <c r="N1604" t="s">
        <v>135</v>
      </c>
      <c r="O1604"/>
      <c r="P1604"/>
      <c r="Q1604" t="s">
        <v>140</v>
      </c>
      <c r="R1604"/>
      <c r="S1604"/>
      <c r="T1604" t="s">
        <v>2079</v>
      </c>
      <c r="U1604" t="s">
        <v>137</v>
      </c>
      <c r="V1604" t="s">
        <v>721</v>
      </c>
      <c r="W1604" s="9">
        <v>46156.436760150464</v>
      </c>
      <c r="X1604" t="s">
        <v>91</v>
      </c>
      <c r="Y1604"/>
      <c r="Z1604"/>
      <c r="AA1604" t="s">
        <v>1884</v>
      </c>
      <c r="AB1604" t="s">
        <v>3</v>
      </c>
      <c r="AC1604" t="s">
        <v>24</v>
      </c>
      <c r="AD1604" t="s">
        <v>129</v>
      </c>
      <c r="AE1604" s="97"/>
    </row>
    <row r="1605" spans="1:31" ht="14.4" customHeight="1" x14ac:dyDescent="0.3">
      <c r="A1605" t="s">
        <v>3836</v>
      </c>
      <c r="B1605" t="s">
        <v>2087</v>
      </c>
      <c r="C1605"/>
      <c r="D1605"/>
      <c r="E1605"/>
      <c r="F1605"/>
      <c r="G1605" t="s">
        <v>3752</v>
      </c>
      <c r="H1605" t="s">
        <v>132</v>
      </c>
      <c r="I1605" t="s">
        <v>3</v>
      </c>
      <c r="J1605" t="s">
        <v>133</v>
      </c>
      <c r="K1605" t="s">
        <v>53</v>
      </c>
      <c r="L1605" t="s">
        <v>2063</v>
      </c>
      <c r="M1605" t="s">
        <v>134</v>
      </c>
      <c r="N1605" t="s">
        <v>135</v>
      </c>
      <c r="O1605"/>
      <c r="P1605"/>
      <c r="Q1605" t="s">
        <v>140</v>
      </c>
      <c r="R1605"/>
      <c r="S1605"/>
      <c r="T1605" t="s">
        <v>2079</v>
      </c>
      <c r="U1605" t="s">
        <v>137</v>
      </c>
      <c r="V1605" t="s">
        <v>727</v>
      </c>
      <c r="W1605" s="9">
        <v>46156.437091203705</v>
      </c>
      <c r="X1605" t="s">
        <v>100</v>
      </c>
      <c r="Y1605"/>
      <c r="Z1605"/>
      <c r="AA1605" t="s">
        <v>1884</v>
      </c>
      <c r="AB1605" t="s">
        <v>3</v>
      </c>
      <c r="AC1605" t="s">
        <v>24</v>
      </c>
      <c r="AD1605" t="s">
        <v>129</v>
      </c>
      <c r="AE1605" s="97"/>
    </row>
    <row r="1606" spans="1:31" ht="14.4" customHeight="1" x14ac:dyDescent="0.3">
      <c r="A1606" t="s">
        <v>3837</v>
      </c>
      <c r="B1606" t="s">
        <v>2089</v>
      </c>
      <c r="C1606"/>
      <c r="D1606"/>
      <c r="E1606"/>
      <c r="F1606"/>
      <c r="G1606" t="s">
        <v>3752</v>
      </c>
      <c r="H1606" t="s">
        <v>132</v>
      </c>
      <c r="I1606" t="s">
        <v>3</v>
      </c>
      <c r="J1606" t="s">
        <v>133</v>
      </c>
      <c r="K1606" t="s">
        <v>53</v>
      </c>
      <c r="L1606" t="s">
        <v>2063</v>
      </c>
      <c r="M1606" t="s">
        <v>134</v>
      </c>
      <c r="N1606" t="s">
        <v>135</v>
      </c>
      <c r="O1606"/>
      <c r="P1606"/>
      <c r="Q1606" t="s">
        <v>140</v>
      </c>
      <c r="R1606"/>
      <c r="S1606"/>
      <c r="T1606" t="s">
        <v>2079</v>
      </c>
      <c r="U1606" t="s">
        <v>137</v>
      </c>
      <c r="V1606" t="s">
        <v>733</v>
      </c>
      <c r="W1606" s="9">
        <v>46156.437406944446</v>
      </c>
      <c r="X1606" t="s">
        <v>109</v>
      </c>
      <c r="Y1606"/>
      <c r="Z1606"/>
      <c r="AA1606" t="s">
        <v>1884</v>
      </c>
      <c r="AB1606" t="s">
        <v>3</v>
      </c>
      <c r="AC1606" t="s">
        <v>24</v>
      </c>
      <c r="AD1606" t="s">
        <v>129</v>
      </c>
      <c r="AE1606" s="97"/>
    </row>
    <row r="1607" spans="1:31" ht="14.4" customHeight="1" x14ac:dyDescent="0.3">
      <c r="A1607" t="s">
        <v>3838</v>
      </c>
      <c r="B1607" t="s">
        <v>2091</v>
      </c>
      <c r="C1607"/>
      <c r="D1607"/>
      <c r="E1607"/>
      <c r="F1607"/>
      <c r="G1607" t="s">
        <v>3752</v>
      </c>
      <c r="H1607" t="s">
        <v>132</v>
      </c>
      <c r="I1607" t="s">
        <v>3</v>
      </c>
      <c r="J1607" t="s">
        <v>133</v>
      </c>
      <c r="K1607" t="s">
        <v>53</v>
      </c>
      <c r="L1607" t="s">
        <v>2063</v>
      </c>
      <c r="M1607" t="s">
        <v>134</v>
      </c>
      <c r="N1607" t="s">
        <v>135</v>
      </c>
      <c r="O1607"/>
      <c r="P1607"/>
      <c r="Q1607" t="s">
        <v>140</v>
      </c>
      <c r="R1607"/>
      <c r="S1607"/>
      <c r="T1607" t="s">
        <v>2079</v>
      </c>
      <c r="U1607" t="s">
        <v>137</v>
      </c>
      <c r="V1607" t="s">
        <v>739</v>
      </c>
      <c r="W1607" s="9">
        <v>46156.558204398149</v>
      </c>
      <c r="X1607" t="s">
        <v>118</v>
      </c>
      <c r="Y1607"/>
      <c r="Z1607"/>
      <c r="AA1607" t="s">
        <v>1884</v>
      </c>
      <c r="AB1607" t="s">
        <v>3</v>
      </c>
      <c r="AC1607" t="s">
        <v>24</v>
      </c>
      <c r="AD1607" t="s">
        <v>130</v>
      </c>
      <c r="AE1607" s="97"/>
    </row>
    <row r="1608" spans="1:31" ht="14.4" customHeight="1" x14ac:dyDescent="0.3">
      <c r="A1608" t="s">
        <v>3839</v>
      </c>
      <c r="B1608" t="s">
        <v>2093</v>
      </c>
      <c r="C1608"/>
      <c r="D1608"/>
      <c r="E1608"/>
      <c r="F1608"/>
      <c r="G1608" t="s">
        <v>3752</v>
      </c>
      <c r="H1608" t="s">
        <v>132</v>
      </c>
      <c r="I1608" t="s">
        <v>3</v>
      </c>
      <c r="J1608" t="s">
        <v>133</v>
      </c>
      <c r="K1608" t="s">
        <v>53</v>
      </c>
      <c r="L1608" t="s">
        <v>2094</v>
      </c>
      <c r="M1608" t="s">
        <v>134</v>
      </c>
      <c r="N1608" t="s">
        <v>135</v>
      </c>
      <c r="O1608"/>
      <c r="P1608"/>
      <c r="Q1608" t="s">
        <v>140</v>
      </c>
      <c r="R1608"/>
      <c r="S1608"/>
      <c r="T1608" t="s">
        <v>2095</v>
      </c>
      <c r="U1608" t="s">
        <v>137</v>
      </c>
      <c r="V1608" t="s">
        <v>371</v>
      </c>
      <c r="W1608" s="9">
        <v>46125.290989699075</v>
      </c>
      <c r="X1608" t="s">
        <v>57</v>
      </c>
      <c r="Y1608"/>
      <c r="Z1608"/>
      <c r="AA1608" t="s">
        <v>1884</v>
      </c>
      <c r="AB1608" t="s">
        <v>3</v>
      </c>
      <c r="AC1608" t="s">
        <v>24</v>
      </c>
      <c r="AD1608" t="s">
        <v>128</v>
      </c>
      <c r="AE1608" s="97"/>
    </row>
    <row r="1609" spans="1:31" ht="14.4" customHeight="1" x14ac:dyDescent="0.3">
      <c r="A1609" t="s">
        <v>3840</v>
      </c>
      <c r="B1609" t="s">
        <v>2097</v>
      </c>
      <c r="C1609"/>
      <c r="D1609"/>
      <c r="E1609"/>
      <c r="F1609"/>
      <c r="G1609" t="s">
        <v>3752</v>
      </c>
      <c r="H1609" t="s">
        <v>132</v>
      </c>
      <c r="I1609" t="s">
        <v>3</v>
      </c>
      <c r="J1609" t="s">
        <v>133</v>
      </c>
      <c r="K1609" t="s">
        <v>53</v>
      </c>
      <c r="L1609" t="s">
        <v>2098</v>
      </c>
      <c r="M1609" t="s">
        <v>134</v>
      </c>
      <c r="N1609" t="s">
        <v>135</v>
      </c>
      <c r="O1609"/>
      <c r="P1609"/>
      <c r="Q1609" t="s">
        <v>140</v>
      </c>
      <c r="R1609"/>
      <c r="S1609" t="s">
        <v>140</v>
      </c>
      <c r="T1609" t="s">
        <v>1888</v>
      </c>
      <c r="U1609" t="s">
        <v>137</v>
      </c>
      <c r="V1609" t="s">
        <v>147</v>
      </c>
      <c r="W1609" s="9">
        <v>46125.296579201386</v>
      </c>
      <c r="X1609" t="s">
        <v>70</v>
      </c>
      <c r="Y1609"/>
      <c r="Z1609"/>
      <c r="AA1609" t="s">
        <v>1884</v>
      </c>
      <c r="AB1609" t="s">
        <v>3</v>
      </c>
      <c r="AC1609" t="s">
        <v>24</v>
      </c>
      <c r="AD1609" t="s">
        <v>128</v>
      </c>
      <c r="AE1609" s="97"/>
    </row>
    <row r="1610" spans="1:31" ht="14.4" customHeight="1" x14ac:dyDescent="0.3">
      <c r="A1610" t="s">
        <v>3841</v>
      </c>
      <c r="B1610" t="s">
        <v>2100</v>
      </c>
      <c r="C1610"/>
      <c r="D1610"/>
      <c r="E1610"/>
      <c r="F1610"/>
      <c r="G1610" t="s">
        <v>3752</v>
      </c>
      <c r="H1610" t="s">
        <v>132</v>
      </c>
      <c r="I1610" t="s">
        <v>3</v>
      </c>
      <c r="J1610" t="s">
        <v>133</v>
      </c>
      <c r="K1610" t="s">
        <v>53</v>
      </c>
      <c r="L1610" t="s">
        <v>2098</v>
      </c>
      <c r="M1610" t="s">
        <v>134</v>
      </c>
      <c r="N1610" t="s">
        <v>135</v>
      </c>
      <c r="O1610"/>
      <c r="P1610"/>
      <c r="Q1610" t="s">
        <v>140</v>
      </c>
      <c r="R1610"/>
      <c r="S1610" t="s">
        <v>140</v>
      </c>
      <c r="T1610" t="s">
        <v>1892</v>
      </c>
      <c r="U1610" t="s">
        <v>137</v>
      </c>
      <c r="V1610" t="s">
        <v>150</v>
      </c>
      <c r="W1610" s="9">
        <v>46125.297098645831</v>
      </c>
      <c r="X1610" t="s">
        <v>76</v>
      </c>
      <c r="Y1610"/>
      <c r="Z1610"/>
      <c r="AA1610" t="s">
        <v>1884</v>
      </c>
      <c r="AB1610" t="s">
        <v>3</v>
      </c>
      <c r="AC1610" t="s">
        <v>24</v>
      </c>
      <c r="AD1610" t="s">
        <v>128</v>
      </c>
      <c r="AE1610" s="97"/>
    </row>
    <row r="1611" spans="1:31" ht="14.4" customHeight="1" x14ac:dyDescent="0.3">
      <c r="A1611" t="s">
        <v>3842</v>
      </c>
      <c r="B1611" t="s">
        <v>2102</v>
      </c>
      <c r="C1611"/>
      <c r="D1611"/>
      <c r="E1611"/>
      <c r="F1611"/>
      <c r="G1611" t="s">
        <v>3752</v>
      </c>
      <c r="H1611" t="s">
        <v>132</v>
      </c>
      <c r="I1611" t="s">
        <v>3</v>
      </c>
      <c r="J1611" t="s">
        <v>133</v>
      </c>
      <c r="K1611" t="s">
        <v>53</v>
      </c>
      <c r="L1611" t="s">
        <v>2098</v>
      </c>
      <c r="M1611" t="s">
        <v>134</v>
      </c>
      <c r="N1611" t="s">
        <v>135</v>
      </c>
      <c r="O1611"/>
      <c r="P1611"/>
      <c r="Q1611" t="s">
        <v>140</v>
      </c>
      <c r="R1611"/>
      <c r="S1611" t="s">
        <v>140</v>
      </c>
      <c r="T1611" t="s">
        <v>1896</v>
      </c>
      <c r="U1611" t="s">
        <v>137</v>
      </c>
      <c r="V1611" t="s">
        <v>153</v>
      </c>
      <c r="W1611" s="9">
        <v>46129.601503321763</v>
      </c>
      <c r="X1611" t="s">
        <v>88</v>
      </c>
      <c r="Y1611"/>
      <c r="Z1611"/>
      <c r="AA1611" t="s">
        <v>1884</v>
      </c>
      <c r="AB1611" t="s">
        <v>3</v>
      </c>
      <c r="AC1611" t="s">
        <v>24</v>
      </c>
      <c r="AD1611" t="s">
        <v>129</v>
      </c>
      <c r="AE1611" s="97"/>
    </row>
    <row r="1612" spans="1:31" ht="14.4" customHeight="1" x14ac:dyDescent="0.3">
      <c r="A1612" t="s">
        <v>3843</v>
      </c>
      <c r="B1612" t="s">
        <v>2104</v>
      </c>
      <c r="C1612"/>
      <c r="D1612"/>
      <c r="E1612"/>
      <c r="F1612"/>
      <c r="G1612" t="s">
        <v>3752</v>
      </c>
      <c r="H1612" t="s">
        <v>132</v>
      </c>
      <c r="I1612" t="s">
        <v>3</v>
      </c>
      <c r="J1612" t="s">
        <v>133</v>
      </c>
      <c r="K1612" t="s">
        <v>53</v>
      </c>
      <c r="L1612" t="s">
        <v>2098</v>
      </c>
      <c r="M1612" t="s">
        <v>134</v>
      </c>
      <c r="N1612" t="s">
        <v>135</v>
      </c>
      <c r="O1612"/>
      <c r="P1612"/>
      <c r="Q1612" t="s">
        <v>140</v>
      </c>
      <c r="R1612"/>
      <c r="S1612" t="s">
        <v>140</v>
      </c>
      <c r="T1612" t="s">
        <v>1900</v>
      </c>
      <c r="U1612" t="s">
        <v>137</v>
      </c>
      <c r="V1612" t="s">
        <v>156</v>
      </c>
      <c r="W1612" s="9">
        <v>46129.60184116898</v>
      </c>
      <c r="X1612" t="s">
        <v>97</v>
      </c>
      <c r="Y1612"/>
      <c r="Z1612"/>
      <c r="AA1612" t="s">
        <v>1884</v>
      </c>
      <c r="AB1612" t="s">
        <v>3</v>
      </c>
      <c r="AC1612" t="s">
        <v>24</v>
      </c>
      <c r="AD1612" t="s">
        <v>129</v>
      </c>
      <c r="AE1612" s="97"/>
    </row>
    <row r="1613" spans="1:31" ht="14.4" customHeight="1" x14ac:dyDescent="0.3">
      <c r="A1613" t="s">
        <v>3844</v>
      </c>
      <c r="B1613" t="s">
        <v>2106</v>
      </c>
      <c r="C1613"/>
      <c r="D1613"/>
      <c r="E1613"/>
      <c r="F1613"/>
      <c r="G1613" t="s">
        <v>3752</v>
      </c>
      <c r="H1613" t="s">
        <v>132</v>
      </c>
      <c r="I1613" t="s">
        <v>3</v>
      </c>
      <c r="J1613" t="s">
        <v>133</v>
      </c>
      <c r="K1613" t="s">
        <v>53</v>
      </c>
      <c r="L1613" t="s">
        <v>2098</v>
      </c>
      <c r="M1613" t="s">
        <v>134</v>
      </c>
      <c r="N1613" t="s">
        <v>135</v>
      </c>
      <c r="O1613"/>
      <c r="P1613"/>
      <c r="Q1613" t="s">
        <v>140</v>
      </c>
      <c r="R1613"/>
      <c r="S1613" t="s">
        <v>140</v>
      </c>
      <c r="T1613" t="s">
        <v>1904</v>
      </c>
      <c r="U1613" t="s">
        <v>137</v>
      </c>
      <c r="V1613" t="s">
        <v>159</v>
      </c>
      <c r="W1613" s="9">
        <v>46129.602521875</v>
      </c>
      <c r="X1613" t="s">
        <v>106</v>
      </c>
      <c r="Y1613"/>
      <c r="Z1613"/>
      <c r="AA1613" t="s">
        <v>1884</v>
      </c>
      <c r="AB1613" t="s">
        <v>3</v>
      </c>
      <c r="AC1613" t="s">
        <v>24</v>
      </c>
      <c r="AD1613" t="s">
        <v>129</v>
      </c>
      <c r="AE1613" s="97"/>
    </row>
    <row r="1614" spans="1:31" ht="14.4" customHeight="1" x14ac:dyDescent="0.3">
      <c r="A1614" t="s">
        <v>3845</v>
      </c>
      <c r="B1614" t="s">
        <v>2108</v>
      </c>
      <c r="C1614"/>
      <c r="D1614"/>
      <c r="E1614"/>
      <c r="F1614"/>
      <c r="G1614" t="s">
        <v>3752</v>
      </c>
      <c r="H1614" t="s">
        <v>132</v>
      </c>
      <c r="I1614" t="s">
        <v>3</v>
      </c>
      <c r="J1614" t="s">
        <v>133</v>
      </c>
      <c r="K1614" t="s">
        <v>53</v>
      </c>
      <c r="L1614" t="s">
        <v>2098</v>
      </c>
      <c r="M1614" t="s">
        <v>134</v>
      </c>
      <c r="N1614" t="s">
        <v>135</v>
      </c>
      <c r="O1614"/>
      <c r="P1614"/>
      <c r="Q1614" t="s">
        <v>140</v>
      </c>
      <c r="R1614"/>
      <c r="S1614" t="s">
        <v>140</v>
      </c>
      <c r="T1614" t="s">
        <v>1908</v>
      </c>
      <c r="U1614" t="s">
        <v>137</v>
      </c>
      <c r="V1614" t="s">
        <v>162</v>
      </c>
      <c r="W1614" s="9">
        <v>46129.602714004628</v>
      </c>
      <c r="X1614" t="s">
        <v>113</v>
      </c>
      <c r="Y1614"/>
      <c r="Z1614"/>
      <c r="AA1614" t="s">
        <v>1884</v>
      </c>
      <c r="AB1614" t="s">
        <v>3</v>
      </c>
      <c r="AC1614" t="s">
        <v>24</v>
      </c>
      <c r="AD1614" t="s">
        <v>129</v>
      </c>
      <c r="AE1614" s="97"/>
    </row>
    <row r="1615" spans="1:31" ht="14.4" customHeight="1" x14ac:dyDescent="0.3">
      <c r="A1615" t="s">
        <v>3846</v>
      </c>
      <c r="B1615" t="s">
        <v>2110</v>
      </c>
      <c r="C1615"/>
      <c r="D1615"/>
      <c r="E1615"/>
      <c r="F1615"/>
      <c r="G1615" t="s">
        <v>3752</v>
      </c>
      <c r="H1615" t="s">
        <v>132</v>
      </c>
      <c r="I1615" t="s">
        <v>3</v>
      </c>
      <c r="J1615" t="s">
        <v>133</v>
      </c>
      <c r="K1615" t="s">
        <v>53</v>
      </c>
      <c r="L1615" t="s">
        <v>2098</v>
      </c>
      <c r="M1615" t="s">
        <v>134</v>
      </c>
      <c r="N1615" t="s">
        <v>135</v>
      </c>
      <c r="O1615"/>
      <c r="P1615"/>
      <c r="Q1615" t="s">
        <v>140</v>
      </c>
      <c r="R1615"/>
      <c r="S1615" t="s">
        <v>140</v>
      </c>
      <c r="T1615" t="s">
        <v>1912</v>
      </c>
      <c r="U1615" t="s">
        <v>137</v>
      </c>
      <c r="V1615" t="s">
        <v>165</v>
      </c>
      <c r="W1615" s="9">
        <v>46129.602951307868</v>
      </c>
      <c r="X1615" t="s">
        <v>122</v>
      </c>
      <c r="Y1615"/>
      <c r="Z1615"/>
      <c r="AA1615" t="s">
        <v>1884</v>
      </c>
      <c r="AB1615" t="s">
        <v>3</v>
      </c>
      <c r="AC1615" t="s">
        <v>24</v>
      </c>
      <c r="AD1615" t="s">
        <v>130</v>
      </c>
      <c r="AE1615" s="97"/>
    </row>
    <row r="1616" spans="1:31" ht="14.4" customHeight="1" x14ac:dyDescent="0.3">
      <c r="A1616" t="s">
        <v>3847</v>
      </c>
      <c r="B1616" t="s">
        <v>2112</v>
      </c>
      <c r="C1616"/>
      <c r="D1616"/>
      <c r="E1616"/>
      <c r="F1616"/>
      <c r="G1616" t="s">
        <v>3752</v>
      </c>
      <c r="H1616" t="s">
        <v>132</v>
      </c>
      <c r="I1616" t="s">
        <v>3</v>
      </c>
      <c r="J1616" t="s">
        <v>133</v>
      </c>
      <c r="K1616" t="s">
        <v>53</v>
      </c>
      <c r="L1616" t="s">
        <v>1935</v>
      </c>
      <c r="M1616" t="s">
        <v>134</v>
      </c>
      <c r="N1616" t="s">
        <v>135</v>
      </c>
      <c r="O1616"/>
      <c r="P1616"/>
      <c r="Q1616" t="s">
        <v>140</v>
      </c>
      <c r="R1616"/>
      <c r="S1616"/>
      <c r="T1616" t="s">
        <v>1936</v>
      </c>
      <c r="U1616" t="s">
        <v>137</v>
      </c>
      <c r="V1616" t="s">
        <v>676</v>
      </c>
      <c r="W1616" s="9">
        <v>46046.540716747688</v>
      </c>
      <c r="X1616" t="s">
        <v>119</v>
      </c>
      <c r="Y1616"/>
      <c r="Z1616"/>
      <c r="AA1616" t="s">
        <v>1884</v>
      </c>
      <c r="AB1616" t="s">
        <v>3</v>
      </c>
      <c r="AC1616" t="s">
        <v>24</v>
      </c>
      <c r="AD1616" t="s">
        <v>130</v>
      </c>
      <c r="AE1616" s="97"/>
    </row>
    <row r="1617" spans="1:31" ht="14.4" customHeight="1" x14ac:dyDescent="0.3">
      <c r="A1617" t="s">
        <v>3848</v>
      </c>
      <c r="B1617" t="s">
        <v>2114</v>
      </c>
      <c r="C1617"/>
      <c r="D1617"/>
      <c r="E1617"/>
      <c r="F1617"/>
      <c r="G1617" t="s">
        <v>3752</v>
      </c>
      <c r="H1617" t="s">
        <v>132</v>
      </c>
      <c r="I1617" t="s">
        <v>3</v>
      </c>
      <c r="J1617" t="s">
        <v>133</v>
      </c>
      <c r="K1617" t="s">
        <v>53</v>
      </c>
      <c r="L1617" t="s">
        <v>2115</v>
      </c>
      <c r="M1617" t="s">
        <v>134</v>
      </c>
      <c r="N1617" t="s">
        <v>135</v>
      </c>
      <c r="O1617"/>
      <c r="P1617"/>
      <c r="Q1617" t="s">
        <v>140</v>
      </c>
      <c r="R1617"/>
      <c r="S1617"/>
      <c r="T1617" t="s">
        <v>2047</v>
      </c>
      <c r="U1617" t="s">
        <v>137</v>
      </c>
      <c r="V1617" t="s">
        <v>1279</v>
      </c>
      <c r="W1617" s="9">
        <v>46109.311914618054</v>
      </c>
      <c r="X1617" t="s">
        <v>71</v>
      </c>
      <c r="Y1617"/>
      <c r="Z1617"/>
      <c r="AA1617" t="s">
        <v>1884</v>
      </c>
      <c r="AB1617" t="s">
        <v>3</v>
      </c>
      <c r="AC1617" t="s">
        <v>24</v>
      </c>
      <c r="AD1617" t="s">
        <v>128</v>
      </c>
      <c r="AE1617" s="97"/>
    </row>
    <row r="1618" spans="1:31" ht="14.4" customHeight="1" x14ac:dyDescent="0.3">
      <c r="A1618" t="s">
        <v>3849</v>
      </c>
      <c r="B1618" t="s">
        <v>2117</v>
      </c>
      <c r="C1618"/>
      <c r="D1618"/>
      <c r="E1618"/>
      <c r="F1618"/>
      <c r="G1618" t="s">
        <v>3752</v>
      </c>
      <c r="H1618" t="s">
        <v>132</v>
      </c>
      <c r="I1618" t="s">
        <v>3</v>
      </c>
      <c r="J1618" t="s">
        <v>133</v>
      </c>
      <c r="K1618" t="s">
        <v>53</v>
      </c>
      <c r="L1618" t="s">
        <v>2115</v>
      </c>
      <c r="M1618" t="s">
        <v>134</v>
      </c>
      <c r="N1618" t="s">
        <v>135</v>
      </c>
      <c r="O1618"/>
      <c r="P1618"/>
      <c r="Q1618" t="s">
        <v>140</v>
      </c>
      <c r="R1618"/>
      <c r="S1618"/>
      <c r="T1618" t="s">
        <v>2047</v>
      </c>
      <c r="U1618" t="s">
        <v>137</v>
      </c>
      <c r="V1618" t="s">
        <v>1283</v>
      </c>
      <c r="W1618" s="9">
        <v>46046.541207256945</v>
      </c>
      <c r="X1618" t="s">
        <v>78</v>
      </c>
      <c r="Y1618"/>
      <c r="Z1618"/>
      <c r="AA1618" t="s">
        <v>1884</v>
      </c>
      <c r="AB1618" t="s">
        <v>3</v>
      </c>
      <c r="AC1618" t="s">
        <v>24</v>
      </c>
      <c r="AD1618" t="s">
        <v>128</v>
      </c>
      <c r="AE1618" s="97"/>
    </row>
    <row r="1619" spans="1:31" ht="14.4" customHeight="1" x14ac:dyDescent="0.3">
      <c r="A1619" t="s">
        <v>3850</v>
      </c>
      <c r="B1619" t="s">
        <v>2119</v>
      </c>
      <c r="C1619"/>
      <c r="D1619"/>
      <c r="E1619"/>
      <c r="F1619"/>
      <c r="G1619" t="s">
        <v>3752</v>
      </c>
      <c r="H1619" t="s">
        <v>132</v>
      </c>
      <c r="I1619" t="s">
        <v>3</v>
      </c>
      <c r="J1619" t="s">
        <v>133</v>
      </c>
      <c r="K1619" t="s">
        <v>53</v>
      </c>
      <c r="L1619" t="s">
        <v>2115</v>
      </c>
      <c r="M1619" t="s">
        <v>134</v>
      </c>
      <c r="N1619" t="s">
        <v>135</v>
      </c>
      <c r="O1619"/>
      <c r="P1619"/>
      <c r="Q1619" t="s">
        <v>140</v>
      </c>
      <c r="R1619"/>
      <c r="S1619"/>
      <c r="T1619" t="s">
        <v>2047</v>
      </c>
      <c r="U1619" t="s">
        <v>137</v>
      </c>
      <c r="V1619" t="s">
        <v>1287</v>
      </c>
      <c r="W1619" s="9">
        <v>46046.541660763891</v>
      </c>
      <c r="X1619" t="s">
        <v>89</v>
      </c>
      <c r="Y1619"/>
      <c r="Z1619"/>
      <c r="AA1619" t="s">
        <v>1884</v>
      </c>
      <c r="AB1619" t="s">
        <v>3</v>
      </c>
      <c r="AC1619" t="s">
        <v>24</v>
      </c>
      <c r="AD1619" t="s">
        <v>129</v>
      </c>
      <c r="AE1619" s="97"/>
    </row>
    <row r="1620" spans="1:31" ht="14.4" customHeight="1" x14ac:dyDescent="0.3">
      <c r="A1620" t="s">
        <v>3851</v>
      </c>
      <c r="B1620" t="s">
        <v>2121</v>
      </c>
      <c r="C1620"/>
      <c r="D1620"/>
      <c r="E1620"/>
      <c r="F1620"/>
      <c r="G1620" t="s">
        <v>3752</v>
      </c>
      <c r="H1620" t="s">
        <v>132</v>
      </c>
      <c r="I1620" t="s">
        <v>3</v>
      </c>
      <c r="J1620" t="s">
        <v>133</v>
      </c>
      <c r="K1620" t="s">
        <v>53</v>
      </c>
      <c r="L1620" t="s">
        <v>2115</v>
      </c>
      <c r="M1620" t="s">
        <v>134</v>
      </c>
      <c r="N1620" t="s">
        <v>135</v>
      </c>
      <c r="O1620"/>
      <c r="P1620"/>
      <c r="Q1620" t="s">
        <v>140</v>
      </c>
      <c r="R1620"/>
      <c r="S1620"/>
      <c r="T1620" t="s">
        <v>2047</v>
      </c>
      <c r="U1620" t="s">
        <v>137</v>
      </c>
      <c r="V1620" t="s">
        <v>1291</v>
      </c>
      <c r="W1620" s="9">
        <v>46046.541962696756</v>
      </c>
      <c r="X1620" t="s">
        <v>98</v>
      </c>
      <c r="Y1620"/>
      <c r="Z1620"/>
      <c r="AA1620" t="s">
        <v>1884</v>
      </c>
      <c r="AB1620" t="s">
        <v>3</v>
      </c>
      <c r="AC1620" t="s">
        <v>24</v>
      </c>
      <c r="AD1620" t="s">
        <v>129</v>
      </c>
      <c r="AE1620" s="97"/>
    </row>
    <row r="1621" spans="1:31" ht="14.4" customHeight="1" x14ac:dyDescent="0.3">
      <c r="A1621" t="s">
        <v>3852</v>
      </c>
      <c r="B1621" t="s">
        <v>2123</v>
      </c>
      <c r="C1621"/>
      <c r="D1621"/>
      <c r="E1621"/>
      <c r="F1621"/>
      <c r="G1621" t="s">
        <v>3752</v>
      </c>
      <c r="H1621" t="s">
        <v>132</v>
      </c>
      <c r="I1621" t="s">
        <v>3</v>
      </c>
      <c r="J1621" t="s">
        <v>133</v>
      </c>
      <c r="K1621" t="s">
        <v>53</v>
      </c>
      <c r="L1621" t="s">
        <v>2115</v>
      </c>
      <c r="M1621" t="s">
        <v>134</v>
      </c>
      <c r="N1621" t="s">
        <v>135</v>
      </c>
      <c r="O1621"/>
      <c r="P1621"/>
      <c r="Q1621" t="s">
        <v>140</v>
      </c>
      <c r="R1621"/>
      <c r="S1621"/>
      <c r="T1621" t="s">
        <v>2056</v>
      </c>
      <c r="U1621" t="s">
        <v>137</v>
      </c>
      <c r="V1621" t="s">
        <v>1295</v>
      </c>
      <c r="W1621" s="9">
        <v>46046.544281215276</v>
      </c>
      <c r="X1621" t="s">
        <v>107</v>
      </c>
      <c r="Y1621"/>
      <c r="Z1621"/>
      <c r="AA1621" t="s">
        <v>1884</v>
      </c>
      <c r="AB1621" t="s">
        <v>3</v>
      </c>
      <c r="AC1621" t="s">
        <v>24</v>
      </c>
      <c r="AD1621" t="s">
        <v>129</v>
      </c>
      <c r="AE1621" s="97"/>
    </row>
    <row r="1622" spans="1:31" ht="14.4" customHeight="1" x14ac:dyDescent="0.3">
      <c r="A1622" t="s">
        <v>3853</v>
      </c>
      <c r="B1622" t="s">
        <v>2125</v>
      </c>
      <c r="C1622"/>
      <c r="D1622"/>
      <c r="E1622"/>
      <c r="F1622"/>
      <c r="G1622" t="s">
        <v>3752</v>
      </c>
      <c r="H1622" t="s">
        <v>132</v>
      </c>
      <c r="I1622" t="s">
        <v>3</v>
      </c>
      <c r="J1622" t="s">
        <v>133</v>
      </c>
      <c r="K1622" t="s">
        <v>53</v>
      </c>
      <c r="L1622" t="s">
        <v>2115</v>
      </c>
      <c r="M1622" t="s">
        <v>134</v>
      </c>
      <c r="N1622" t="s">
        <v>135</v>
      </c>
      <c r="O1622"/>
      <c r="P1622"/>
      <c r="Q1622" t="s">
        <v>140</v>
      </c>
      <c r="R1622"/>
      <c r="S1622"/>
      <c r="T1622" t="s">
        <v>2056</v>
      </c>
      <c r="U1622" t="s">
        <v>137</v>
      </c>
      <c r="V1622" t="s">
        <v>1299</v>
      </c>
      <c r="W1622" s="9">
        <v>46046.549579826387</v>
      </c>
      <c r="X1622" t="s">
        <v>114</v>
      </c>
      <c r="Y1622"/>
      <c r="Z1622"/>
      <c r="AA1622" t="s">
        <v>1884</v>
      </c>
      <c r="AB1622" t="s">
        <v>3</v>
      </c>
      <c r="AC1622" t="s">
        <v>24</v>
      </c>
      <c r="AD1622" t="s">
        <v>129</v>
      </c>
      <c r="AE1622" s="97"/>
    </row>
    <row r="1623" spans="1:31" ht="14.4" customHeight="1" x14ac:dyDescent="0.3">
      <c r="A1623" t="s">
        <v>3854</v>
      </c>
      <c r="B1623" t="s">
        <v>2127</v>
      </c>
      <c r="C1623"/>
      <c r="D1623"/>
      <c r="E1623"/>
      <c r="F1623"/>
      <c r="G1623" t="s">
        <v>3752</v>
      </c>
      <c r="H1623" t="s">
        <v>132</v>
      </c>
      <c r="I1623" t="s">
        <v>3</v>
      </c>
      <c r="J1623" t="s">
        <v>133</v>
      </c>
      <c r="K1623" t="s">
        <v>53</v>
      </c>
      <c r="L1623" t="s">
        <v>2115</v>
      </c>
      <c r="M1623" t="s">
        <v>134</v>
      </c>
      <c r="N1623" t="s">
        <v>135</v>
      </c>
      <c r="O1623"/>
      <c r="P1623"/>
      <c r="Q1623" t="s">
        <v>140</v>
      </c>
      <c r="R1623"/>
      <c r="S1623"/>
      <c r="T1623" t="s">
        <v>2056</v>
      </c>
      <c r="U1623" t="s">
        <v>137</v>
      </c>
      <c r="V1623" t="s">
        <v>1303</v>
      </c>
      <c r="W1623" s="9">
        <v>46046.5498878125</v>
      </c>
      <c r="X1623" t="s">
        <v>123</v>
      </c>
      <c r="Y1623"/>
      <c r="Z1623"/>
      <c r="AA1623" t="s">
        <v>1884</v>
      </c>
      <c r="AB1623" t="s">
        <v>3</v>
      </c>
      <c r="AC1623" t="s">
        <v>24</v>
      </c>
      <c r="AD1623" t="s">
        <v>130</v>
      </c>
      <c r="AE1623" s="97"/>
    </row>
    <row r="1624" spans="1:31" ht="14.4" customHeight="1" x14ac:dyDescent="0.3">
      <c r="A1624" t="s">
        <v>3855</v>
      </c>
      <c r="B1624" t="s">
        <v>2130</v>
      </c>
      <c r="C1624"/>
      <c r="D1624"/>
      <c r="E1624"/>
      <c r="F1624"/>
      <c r="G1624" t="s">
        <v>3752</v>
      </c>
      <c r="H1624" t="s">
        <v>132</v>
      </c>
      <c r="I1624" t="s">
        <v>3</v>
      </c>
      <c r="J1624" t="s">
        <v>133</v>
      </c>
      <c r="K1624" t="s">
        <v>53</v>
      </c>
      <c r="L1624" t="s">
        <v>2131</v>
      </c>
      <c r="M1624" t="s">
        <v>134</v>
      </c>
      <c r="N1624" t="s">
        <v>135</v>
      </c>
      <c r="O1624"/>
      <c r="P1624"/>
      <c r="Q1624" t="s">
        <v>140</v>
      </c>
      <c r="R1624"/>
      <c r="S1624" t="s">
        <v>140</v>
      </c>
      <c r="T1624" t="s">
        <v>2132</v>
      </c>
      <c r="U1624" t="s">
        <v>137</v>
      </c>
      <c r="V1624" t="s">
        <v>1259</v>
      </c>
      <c r="W1624" s="9">
        <v>46135.437353125002</v>
      </c>
      <c r="X1624" t="s">
        <v>126</v>
      </c>
      <c r="Y1624"/>
      <c r="Z1624"/>
      <c r="AA1624" t="s">
        <v>1884</v>
      </c>
      <c r="AB1624" t="s">
        <v>3</v>
      </c>
      <c r="AC1624" t="s">
        <v>24</v>
      </c>
      <c r="AD1624" t="s">
        <v>131</v>
      </c>
      <c r="AE1624" s="97"/>
    </row>
    <row r="1625" spans="1:31" ht="14.4" customHeight="1" x14ac:dyDescent="0.3">
      <c r="A1625" t="s">
        <v>3856</v>
      </c>
      <c r="B1625" t="s">
        <v>2134</v>
      </c>
      <c r="C1625"/>
      <c r="D1625"/>
      <c r="E1625"/>
      <c r="F1625"/>
      <c r="G1625" t="s">
        <v>3752</v>
      </c>
      <c r="H1625" t="s">
        <v>132</v>
      </c>
      <c r="I1625" t="s">
        <v>3</v>
      </c>
      <c r="J1625" t="s">
        <v>133</v>
      </c>
      <c r="K1625" t="s">
        <v>53</v>
      </c>
      <c r="L1625" t="s">
        <v>2135</v>
      </c>
      <c r="M1625" t="s">
        <v>134</v>
      </c>
      <c r="N1625" t="s">
        <v>135</v>
      </c>
      <c r="O1625"/>
      <c r="P1625"/>
      <c r="Q1625" t="s">
        <v>140</v>
      </c>
      <c r="R1625"/>
      <c r="S1625" t="s">
        <v>140</v>
      </c>
      <c r="T1625" t="s">
        <v>2136</v>
      </c>
      <c r="U1625" t="s">
        <v>137</v>
      </c>
      <c r="V1625" t="s">
        <v>1263</v>
      </c>
      <c r="W1625" s="9">
        <v>46135.437797453706</v>
      </c>
      <c r="X1625" t="s">
        <v>69</v>
      </c>
      <c r="Y1625"/>
      <c r="Z1625"/>
      <c r="AA1625" t="s">
        <v>1884</v>
      </c>
      <c r="AB1625" t="s">
        <v>3</v>
      </c>
      <c r="AC1625" t="s">
        <v>24</v>
      </c>
      <c r="AD1625" t="s">
        <v>128</v>
      </c>
      <c r="AE1625" s="97"/>
    </row>
    <row r="1626" spans="1:31" ht="14.4" customHeight="1" x14ac:dyDescent="0.3">
      <c r="A1626" t="s">
        <v>3857</v>
      </c>
      <c r="B1626" t="s">
        <v>2138</v>
      </c>
      <c r="C1626"/>
      <c r="D1626"/>
      <c r="E1626"/>
      <c r="F1626"/>
      <c r="G1626" t="s">
        <v>3752</v>
      </c>
      <c r="H1626" t="s">
        <v>132</v>
      </c>
      <c r="I1626" t="s">
        <v>3</v>
      </c>
      <c r="J1626" t="s">
        <v>133</v>
      </c>
      <c r="K1626" t="s">
        <v>53</v>
      </c>
      <c r="L1626" t="s">
        <v>2139</v>
      </c>
      <c r="M1626" t="s">
        <v>134</v>
      </c>
      <c r="N1626" t="s">
        <v>135</v>
      </c>
      <c r="O1626"/>
      <c r="P1626"/>
      <c r="Q1626" t="s">
        <v>140</v>
      </c>
      <c r="R1626"/>
      <c r="S1626"/>
      <c r="T1626" t="s">
        <v>1936</v>
      </c>
      <c r="U1626" t="s">
        <v>137</v>
      </c>
      <c r="V1626" t="s">
        <v>640</v>
      </c>
      <c r="W1626" s="9">
        <v>46130.227476006941</v>
      </c>
      <c r="X1626" t="s">
        <v>66</v>
      </c>
      <c r="Y1626"/>
      <c r="Z1626"/>
      <c r="AA1626" t="s">
        <v>1884</v>
      </c>
      <c r="AB1626" t="s">
        <v>3</v>
      </c>
      <c r="AC1626" t="s">
        <v>24</v>
      </c>
      <c r="AD1626" t="s">
        <v>128</v>
      </c>
      <c r="AE1626" s="97"/>
    </row>
    <row r="1627" spans="1:31" ht="14.4" customHeight="1" x14ac:dyDescent="0.3">
      <c r="A1627" t="s">
        <v>3858</v>
      </c>
      <c r="B1627" t="s">
        <v>2141</v>
      </c>
      <c r="C1627"/>
      <c r="D1627"/>
      <c r="E1627"/>
      <c r="F1627"/>
      <c r="G1627" t="s">
        <v>3752</v>
      </c>
      <c r="H1627" t="s">
        <v>132</v>
      </c>
      <c r="I1627" t="s">
        <v>3</v>
      </c>
      <c r="J1627" t="s">
        <v>133</v>
      </c>
      <c r="K1627" t="s">
        <v>53</v>
      </c>
      <c r="L1627" t="s">
        <v>2139</v>
      </c>
      <c r="M1627" t="s">
        <v>134</v>
      </c>
      <c r="N1627" t="s">
        <v>135</v>
      </c>
      <c r="O1627"/>
      <c r="P1627"/>
      <c r="Q1627" t="s">
        <v>140</v>
      </c>
      <c r="R1627"/>
      <c r="S1627"/>
      <c r="T1627" t="s">
        <v>1936</v>
      </c>
      <c r="U1627" t="s">
        <v>137</v>
      </c>
      <c r="V1627" t="s">
        <v>646</v>
      </c>
      <c r="W1627" s="9">
        <v>46130.227950312503</v>
      </c>
      <c r="X1627" t="s">
        <v>74</v>
      </c>
      <c r="Y1627"/>
      <c r="Z1627"/>
      <c r="AA1627" t="s">
        <v>1884</v>
      </c>
      <c r="AB1627" t="s">
        <v>3</v>
      </c>
      <c r="AC1627" t="s">
        <v>24</v>
      </c>
      <c r="AD1627" t="s">
        <v>128</v>
      </c>
      <c r="AE1627" s="97"/>
    </row>
    <row r="1628" spans="1:31" ht="14.4" customHeight="1" x14ac:dyDescent="0.3">
      <c r="A1628" t="s">
        <v>3859</v>
      </c>
      <c r="B1628" t="s">
        <v>2143</v>
      </c>
      <c r="C1628"/>
      <c r="D1628"/>
      <c r="E1628"/>
      <c r="F1628"/>
      <c r="G1628" t="s">
        <v>3752</v>
      </c>
      <c r="H1628" t="s">
        <v>132</v>
      </c>
      <c r="I1628" t="s">
        <v>3</v>
      </c>
      <c r="J1628" t="s">
        <v>133</v>
      </c>
      <c r="K1628" t="s">
        <v>53</v>
      </c>
      <c r="L1628" t="s">
        <v>2139</v>
      </c>
      <c r="M1628" t="s">
        <v>134</v>
      </c>
      <c r="N1628" t="s">
        <v>135</v>
      </c>
      <c r="O1628"/>
      <c r="P1628"/>
      <c r="Q1628" t="s">
        <v>140</v>
      </c>
      <c r="R1628"/>
      <c r="S1628"/>
      <c r="T1628" t="s">
        <v>1936</v>
      </c>
      <c r="U1628" t="s">
        <v>137</v>
      </c>
      <c r="V1628" t="s">
        <v>652</v>
      </c>
      <c r="W1628" s="9">
        <v>46130.306344247685</v>
      </c>
      <c r="X1628" t="s">
        <v>85</v>
      </c>
      <c r="Y1628"/>
      <c r="Z1628"/>
      <c r="AA1628" t="s">
        <v>1884</v>
      </c>
      <c r="AB1628" t="s">
        <v>3</v>
      </c>
      <c r="AC1628" t="s">
        <v>24</v>
      </c>
      <c r="AD1628" t="s">
        <v>129</v>
      </c>
      <c r="AE1628" s="97"/>
    </row>
    <row r="1629" spans="1:31" ht="14.4" customHeight="1" x14ac:dyDescent="0.3">
      <c r="A1629" t="s">
        <v>3860</v>
      </c>
      <c r="B1629" t="s">
        <v>2145</v>
      </c>
      <c r="C1629"/>
      <c r="D1629"/>
      <c r="E1629"/>
      <c r="F1629"/>
      <c r="G1629" t="s">
        <v>3752</v>
      </c>
      <c r="H1629" t="s">
        <v>132</v>
      </c>
      <c r="I1629" t="s">
        <v>3</v>
      </c>
      <c r="J1629" t="s">
        <v>133</v>
      </c>
      <c r="K1629" t="s">
        <v>53</v>
      </c>
      <c r="L1629" t="s">
        <v>2139</v>
      </c>
      <c r="M1629" t="s">
        <v>134</v>
      </c>
      <c r="N1629" t="s">
        <v>135</v>
      </c>
      <c r="O1629"/>
      <c r="P1629"/>
      <c r="Q1629" t="s">
        <v>140</v>
      </c>
      <c r="R1629"/>
      <c r="S1629"/>
      <c r="T1629" t="s">
        <v>1936</v>
      </c>
      <c r="U1629" t="s">
        <v>137</v>
      </c>
      <c r="V1629" t="s">
        <v>658</v>
      </c>
      <c r="W1629" s="9">
        <v>46130.230313854168</v>
      </c>
      <c r="X1629" t="s">
        <v>94</v>
      </c>
      <c r="Y1629"/>
      <c r="Z1629"/>
      <c r="AA1629" t="s">
        <v>1884</v>
      </c>
      <c r="AB1629" t="s">
        <v>3</v>
      </c>
      <c r="AC1629" t="s">
        <v>24</v>
      </c>
      <c r="AD1629" t="s">
        <v>129</v>
      </c>
      <c r="AE1629" s="97"/>
    </row>
    <row r="1630" spans="1:31" ht="14.4" customHeight="1" x14ac:dyDescent="0.3">
      <c r="A1630" t="s">
        <v>3861</v>
      </c>
      <c r="B1630" t="s">
        <v>2147</v>
      </c>
      <c r="C1630"/>
      <c r="D1630"/>
      <c r="E1630"/>
      <c r="F1630"/>
      <c r="G1630" t="s">
        <v>3752</v>
      </c>
      <c r="H1630" t="s">
        <v>132</v>
      </c>
      <c r="I1630" t="s">
        <v>3</v>
      </c>
      <c r="J1630" t="s">
        <v>133</v>
      </c>
      <c r="K1630" t="s">
        <v>53</v>
      </c>
      <c r="L1630" t="s">
        <v>2139</v>
      </c>
      <c r="M1630" t="s">
        <v>134</v>
      </c>
      <c r="N1630" t="s">
        <v>135</v>
      </c>
      <c r="O1630"/>
      <c r="P1630"/>
      <c r="Q1630" t="s">
        <v>140</v>
      </c>
      <c r="R1630"/>
      <c r="S1630"/>
      <c r="T1630" t="s">
        <v>1936</v>
      </c>
      <c r="U1630" t="s">
        <v>137</v>
      </c>
      <c r="V1630" t="s">
        <v>664</v>
      </c>
      <c r="W1630" s="9">
        <v>46130.230790196758</v>
      </c>
      <c r="X1630" t="s">
        <v>103</v>
      </c>
      <c r="Y1630"/>
      <c r="Z1630"/>
      <c r="AA1630" t="s">
        <v>1884</v>
      </c>
      <c r="AB1630" t="s">
        <v>3</v>
      </c>
      <c r="AC1630" t="s">
        <v>24</v>
      </c>
      <c r="AD1630" t="s">
        <v>129</v>
      </c>
      <c r="AE1630" s="97"/>
    </row>
    <row r="1631" spans="1:31" ht="14.4" customHeight="1" x14ac:dyDescent="0.3">
      <c r="A1631" t="s">
        <v>3862</v>
      </c>
      <c r="B1631" t="s">
        <v>2149</v>
      </c>
      <c r="C1631"/>
      <c r="D1631"/>
      <c r="E1631"/>
      <c r="F1631"/>
      <c r="G1631" t="s">
        <v>3752</v>
      </c>
      <c r="H1631" t="s">
        <v>132</v>
      </c>
      <c r="I1631" t="s">
        <v>3</v>
      </c>
      <c r="J1631" t="s">
        <v>133</v>
      </c>
      <c r="K1631" t="s">
        <v>53</v>
      </c>
      <c r="L1631" t="s">
        <v>2139</v>
      </c>
      <c r="M1631" t="s">
        <v>134</v>
      </c>
      <c r="N1631" t="s">
        <v>135</v>
      </c>
      <c r="O1631"/>
      <c r="P1631"/>
      <c r="Q1631" t="s">
        <v>140</v>
      </c>
      <c r="R1631"/>
      <c r="S1631"/>
      <c r="T1631" t="s">
        <v>1936</v>
      </c>
      <c r="U1631" t="s">
        <v>137</v>
      </c>
      <c r="V1631" t="s">
        <v>670</v>
      </c>
      <c r="W1631" s="9">
        <v>46130.232158831015</v>
      </c>
      <c r="X1631" t="s">
        <v>110</v>
      </c>
      <c r="Y1631"/>
      <c r="Z1631"/>
      <c r="AA1631" t="s">
        <v>1884</v>
      </c>
      <c r="AB1631" t="s">
        <v>3</v>
      </c>
      <c r="AC1631" t="s">
        <v>24</v>
      </c>
      <c r="AD1631" t="s">
        <v>129</v>
      </c>
      <c r="AE1631" s="97"/>
    </row>
    <row r="1632" spans="1:31" ht="14.4" customHeight="1" x14ac:dyDescent="0.3">
      <c r="A1632" t="s">
        <v>3863</v>
      </c>
      <c r="B1632" t="s">
        <v>2151</v>
      </c>
      <c r="C1632"/>
      <c r="D1632"/>
      <c r="E1632"/>
      <c r="F1632"/>
      <c r="G1632" t="s">
        <v>3752</v>
      </c>
      <c r="H1632" t="s">
        <v>132</v>
      </c>
      <c r="I1632" t="s">
        <v>3</v>
      </c>
      <c r="J1632" t="s">
        <v>133</v>
      </c>
      <c r="K1632" t="s">
        <v>53</v>
      </c>
      <c r="L1632" t="s">
        <v>2139</v>
      </c>
      <c r="M1632" t="s">
        <v>134</v>
      </c>
      <c r="N1632" t="s">
        <v>135</v>
      </c>
      <c r="O1632"/>
      <c r="P1632"/>
      <c r="Q1632" t="s">
        <v>140</v>
      </c>
      <c r="R1632"/>
      <c r="S1632"/>
      <c r="T1632" t="s">
        <v>1936</v>
      </c>
      <c r="U1632" t="s">
        <v>137</v>
      </c>
      <c r="V1632" t="s">
        <v>676</v>
      </c>
      <c r="W1632" s="9">
        <v>46130.231541053239</v>
      </c>
      <c r="X1632" t="s">
        <v>119</v>
      </c>
      <c r="Y1632"/>
      <c r="Z1632"/>
      <c r="AA1632" t="s">
        <v>1884</v>
      </c>
      <c r="AB1632" t="s">
        <v>3</v>
      </c>
      <c r="AC1632" t="s">
        <v>24</v>
      </c>
      <c r="AD1632" t="s">
        <v>130</v>
      </c>
      <c r="AE1632" s="97"/>
    </row>
    <row r="1633" spans="1:31" ht="14.4" customHeight="1" x14ac:dyDescent="0.3">
      <c r="A1633" t="s">
        <v>3866</v>
      </c>
      <c r="B1633" t="s">
        <v>3867</v>
      </c>
      <c r="C1633"/>
      <c r="D1633"/>
      <c r="E1633"/>
      <c r="F1633"/>
      <c r="G1633" t="s">
        <v>3864</v>
      </c>
      <c r="H1633" t="s">
        <v>132</v>
      </c>
      <c r="I1633" t="s">
        <v>4</v>
      </c>
      <c r="J1633" t="s">
        <v>133</v>
      </c>
      <c r="K1633" t="s">
        <v>54</v>
      </c>
      <c r="L1633" t="s">
        <v>3868</v>
      </c>
      <c r="M1633" t="s">
        <v>134</v>
      </c>
      <c r="N1633" t="s">
        <v>135</v>
      </c>
      <c r="O1633"/>
      <c r="P1633"/>
      <c r="Q1633" t="s">
        <v>1765</v>
      </c>
      <c r="R1633"/>
      <c r="S1633"/>
      <c r="T1633" t="s">
        <v>3869</v>
      </c>
      <c r="U1633" t="s">
        <v>137</v>
      </c>
      <c r="V1633" t="s">
        <v>703</v>
      </c>
      <c r="W1633"/>
      <c r="X1633" t="s">
        <v>62</v>
      </c>
      <c r="Y1633"/>
      <c r="Z1633"/>
      <c r="AA1633" t="s">
        <v>3865</v>
      </c>
      <c r="AB1633" t="s">
        <v>4</v>
      </c>
      <c r="AC1633" t="s">
        <v>3732</v>
      </c>
      <c r="AD1633" t="s">
        <v>128</v>
      </c>
      <c r="AE1633" s="97"/>
    </row>
    <row r="1634" spans="1:31" ht="14.4" customHeight="1" x14ac:dyDescent="0.3">
      <c r="A1634" t="s">
        <v>3870</v>
      </c>
      <c r="B1634" t="s">
        <v>3871</v>
      </c>
      <c r="C1634"/>
      <c r="D1634"/>
      <c r="E1634"/>
      <c r="F1634"/>
      <c r="G1634" t="s">
        <v>3864</v>
      </c>
      <c r="H1634" t="s">
        <v>132</v>
      </c>
      <c r="I1634" t="s">
        <v>4</v>
      </c>
      <c r="J1634" t="s">
        <v>133</v>
      </c>
      <c r="K1634" t="s">
        <v>54</v>
      </c>
      <c r="L1634" t="s">
        <v>3868</v>
      </c>
      <c r="M1634" t="s">
        <v>134</v>
      </c>
      <c r="N1634" t="s">
        <v>135</v>
      </c>
      <c r="O1634"/>
      <c r="P1634"/>
      <c r="Q1634" t="s">
        <v>1765</v>
      </c>
      <c r="R1634"/>
      <c r="S1634"/>
      <c r="T1634" t="s">
        <v>3872</v>
      </c>
      <c r="U1634" t="s">
        <v>137</v>
      </c>
      <c r="V1634" t="s">
        <v>703</v>
      </c>
      <c r="W1634"/>
      <c r="X1634" t="s">
        <v>62</v>
      </c>
      <c r="Y1634"/>
      <c r="Z1634"/>
      <c r="AA1634" t="s">
        <v>3865</v>
      </c>
      <c r="AB1634" t="s">
        <v>4</v>
      </c>
      <c r="AC1634" t="s">
        <v>138</v>
      </c>
      <c r="AD1634" t="s">
        <v>128</v>
      </c>
      <c r="AE1634" s="97"/>
    </row>
    <row r="1635" spans="1:31" ht="14.4" customHeight="1" x14ac:dyDescent="0.3">
      <c r="A1635" t="s">
        <v>3873</v>
      </c>
      <c r="B1635" t="s">
        <v>3874</v>
      </c>
      <c r="C1635"/>
      <c r="D1635"/>
      <c r="E1635"/>
      <c r="F1635"/>
      <c r="G1635" t="s">
        <v>3864</v>
      </c>
      <c r="H1635" t="s">
        <v>132</v>
      </c>
      <c r="I1635" t="s">
        <v>4</v>
      </c>
      <c r="J1635" t="s">
        <v>133</v>
      </c>
      <c r="K1635" t="s">
        <v>54</v>
      </c>
      <c r="L1635" t="s">
        <v>3868</v>
      </c>
      <c r="M1635" t="s">
        <v>134</v>
      </c>
      <c r="N1635" t="s">
        <v>135</v>
      </c>
      <c r="O1635"/>
      <c r="P1635"/>
      <c r="Q1635" t="s">
        <v>1765</v>
      </c>
      <c r="R1635"/>
      <c r="S1635"/>
      <c r="T1635" t="s">
        <v>3869</v>
      </c>
      <c r="U1635" t="s">
        <v>137</v>
      </c>
      <c r="V1635" t="s">
        <v>709</v>
      </c>
      <c r="W1635"/>
      <c r="X1635" t="s">
        <v>73</v>
      </c>
      <c r="Y1635"/>
      <c r="Z1635"/>
      <c r="AA1635" t="s">
        <v>3865</v>
      </c>
      <c r="AB1635" t="s">
        <v>4</v>
      </c>
      <c r="AC1635" t="s">
        <v>138</v>
      </c>
      <c r="AD1635" t="s">
        <v>128</v>
      </c>
      <c r="AE1635" s="97"/>
    </row>
    <row r="1636" spans="1:31" ht="14.4" customHeight="1" x14ac:dyDescent="0.3">
      <c r="A1636" t="s">
        <v>3875</v>
      </c>
      <c r="B1636" t="s">
        <v>3876</v>
      </c>
      <c r="C1636"/>
      <c r="D1636"/>
      <c r="E1636"/>
      <c r="F1636"/>
      <c r="G1636" t="s">
        <v>3864</v>
      </c>
      <c r="H1636" t="s">
        <v>132</v>
      </c>
      <c r="I1636" t="s">
        <v>4</v>
      </c>
      <c r="J1636" t="s">
        <v>133</v>
      </c>
      <c r="K1636" t="s">
        <v>54</v>
      </c>
      <c r="L1636" t="s">
        <v>3868</v>
      </c>
      <c r="M1636" t="s">
        <v>134</v>
      </c>
      <c r="N1636" t="s">
        <v>135</v>
      </c>
      <c r="O1636"/>
      <c r="P1636"/>
      <c r="Q1636" t="s">
        <v>1765</v>
      </c>
      <c r="R1636"/>
      <c r="S1636"/>
      <c r="T1636" t="s">
        <v>3872</v>
      </c>
      <c r="U1636" t="s">
        <v>137</v>
      </c>
      <c r="V1636" t="s">
        <v>709</v>
      </c>
      <c r="W1636"/>
      <c r="X1636" t="s">
        <v>73</v>
      </c>
      <c r="Y1636"/>
      <c r="Z1636"/>
      <c r="AA1636" t="s">
        <v>3865</v>
      </c>
      <c r="AB1636" t="s">
        <v>4</v>
      </c>
      <c r="AC1636" t="s">
        <v>138</v>
      </c>
      <c r="AD1636" t="s">
        <v>128</v>
      </c>
      <c r="AE1636" s="97"/>
    </row>
    <row r="1637" spans="1:31" ht="14.4" customHeight="1" x14ac:dyDescent="0.3">
      <c r="A1637" t="s">
        <v>3877</v>
      </c>
      <c r="B1637" t="s">
        <v>3878</v>
      </c>
      <c r="C1637"/>
      <c r="D1637"/>
      <c r="E1637"/>
      <c r="F1637"/>
      <c r="G1637" t="s">
        <v>3864</v>
      </c>
      <c r="H1637" t="s">
        <v>132</v>
      </c>
      <c r="I1637" t="s">
        <v>4</v>
      </c>
      <c r="J1637" t="s">
        <v>133</v>
      </c>
      <c r="K1637" t="s">
        <v>54</v>
      </c>
      <c r="L1637" t="s">
        <v>3868</v>
      </c>
      <c r="M1637" t="s">
        <v>134</v>
      </c>
      <c r="N1637" t="s">
        <v>135</v>
      </c>
      <c r="O1637"/>
      <c r="P1637"/>
      <c r="Q1637" t="s">
        <v>1765</v>
      </c>
      <c r="R1637"/>
      <c r="S1637"/>
      <c r="T1637" t="s">
        <v>3869</v>
      </c>
      <c r="U1637" t="s">
        <v>137</v>
      </c>
      <c r="V1637" t="s">
        <v>715</v>
      </c>
      <c r="W1637"/>
      <c r="X1637" t="s">
        <v>82</v>
      </c>
      <c r="Y1637"/>
      <c r="Z1637"/>
      <c r="AA1637" t="s">
        <v>3865</v>
      </c>
      <c r="AB1637" t="s">
        <v>4</v>
      </c>
      <c r="AC1637" t="s">
        <v>138</v>
      </c>
      <c r="AD1637" t="s">
        <v>129</v>
      </c>
      <c r="AE1637" s="97"/>
    </row>
    <row r="1638" spans="1:31" ht="14.4" customHeight="1" x14ac:dyDescent="0.3">
      <c r="A1638" t="s">
        <v>3879</v>
      </c>
      <c r="B1638" t="s">
        <v>3880</v>
      </c>
      <c r="C1638"/>
      <c r="D1638"/>
      <c r="E1638"/>
      <c r="F1638"/>
      <c r="G1638" t="s">
        <v>3864</v>
      </c>
      <c r="H1638" t="s">
        <v>132</v>
      </c>
      <c r="I1638" t="s">
        <v>4</v>
      </c>
      <c r="J1638" t="s">
        <v>133</v>
      </c>
      <c r="K1638" t="s">
        <v>54</v>
      </c>
      <c r="L1638" t="s">
        <v>3868</v>
      </c>
      <c r="M1638" t="s">
        <v>134</v>
      </c>
      <c r="N1638" t="s">
        <v>135</v>
      </c>
      <c r="O1638"/>
      <c r="P1638"/>
      <c r="Q1638" t="s">
        <v>1765</v>
      </c>
      <c r="R1638"/>
      <c r="S1638"/>
      <c r="T1638" t="s">
        <v>3872</v>
      </c>
      <c r="U1638" t="s">
        <v>137</v>
      </c>
      <c r="V1638" t="s">
        <v>715</v>
      </c>
      <c r="W1638"/>
      <c r="X1638" t="s">
        <v>82</v>
      </c>
      <c r="Y1638"/>
      <c r="Z1638"/>
      <c r="AA1638" t="s">
        <v>3865</v>
      </c>
      <c r="AB1638" t="s">
        <v>4</v>
      </c>
      <c r="AC1638" t="s">
        <v>138</v>
      </c>
      <c r="AD1638" t="s">
        <v>129</v>
      </c>
      <c r="AE1638" s="97"/>
    </row>
    <row r="1639" spans="1:31" ht="14.4" customHeight="1" x14ac:dyDescent="0.3">
      <c r="A1639" t="s">
        <v>3881</v>
      </c>
      <c r="B1639" t="s">
        <v>3882</v>
      </c>
      <c r="C1639"/>
      <c r="D1639"/>
      <c r="E1639"/>
      <c r="F1639"/>
      <c r="G1639" t="s">
        <v>3864</v>
      </c>
      <c r="H1639" t="s">
        <v>132</v>
      </c>
      <c r="I1639" t="s">
        <v>4</v>
      </c>
      <c r="J1639" t="s">
        <v>133</v>
      </c>
      <c r="K1639" t="s">
        <v>54</v>
      </c>
      <c r="L1639" t="s">
        <v>3868</v>
      </c>
      <c r="M1639" t="s">
        <v>134</v>
      </c>
      <c r="N1639" t="s">
        <v>135</v>
      </c>
      <c r="O1639"/>
      <c r="P1639"/>
      <c r="Q1639" t="s">
        <v>1765</v>
      </c>
      <c r="R1639"/>
      <c r="S1639"/>
      <c r="T1639" t="s">
        <v>3869</v>
      </c>
      <c r="U1639" t="s">
        <v>137</v>
      </c>
      <c r="V1639" t="s">
        <v>721</v>
      </c>
      <c r="W1639"/>
      <c r="X1639" t="s">
        <v>91</v>
      </c>
      <c r="Y1639"/>
      <c r="Z1639"/>
      <c r="AA1639" t="s">
        <v>3865</v>
      </c>
      <c r="AB1639" t="s">
        <v>4</v>
      </c>
      <c r="AC1639" t="s">
        <v>138</v>
      </c>
      <c r="AD1639" t="s">
        <v>129</v>
      </c>
      <c r="AE1639" s="97"/>
    </row>
    <row r="1640" spans="1:31" ht="14.4" customHeight="1" x14ac:dyDescent="0.3">
      <c r="A1640" t="s">
        <v>3883</v>
      </c>
      <c r="B1640" t="s">
        <v>3884</v>
      </c>
      <c r="C1640"/>
      <c r="D1640"/>
      <c r="E1640"/>
      <c r="F1640"/>
      <c r="G1640" t="s">
        <v>3864</v>
      </c>
      <c r="H1640" t="s">
        <v>132</v>
      </c>
      <c r="I1640" t="s">
        <v>4</v>
      </c>
      <c r="J1640" t="s">
        <v>133</v>
      </c>
      <c r="K1640" t="s">
        <v>54</v>
      </c>
      <c r="L1640" t="s">
        <v>3868</v>
      </c>
      <c r="M1640" t="s">
        <v>134</v>
      </c>
      <c r="N1640" t="s">
        <v>135</v>
      </c>
      <c r="O1640"/>
      <c r="P1640"/>
      <c r="Q1640" t="s">
        <v>1765</v>
      </c>
      <c r="R1640"/>
      <c r="S1640"/>
      <c r="T1640" t="s">
        <v>3872</v>
      </c>
      <c r="U1640" t="s">
        <v>137</v>
      </c>
      <c r="V1640" t="s">
        <v>721</v>
      </c>
      <c r="W1640"/>
      <c r="X1640" t="s">
        <v>91</v>
      </c>
      <c r="Y1640"/>
      <c r="Z1640"/>
      <c r="AA1640" t="s">
        <v>3865</v>
      </c>
      <c r="AB1640" t="s">
        <v>4</v>
      </c>
      <c r="AC1640" t="s">
        <v>138</v>
      </c>
      <c r="AD1640" t="s">
        <v>129</v>
      </c>
      <c r="AE1640" s="97"/>
    </row>
    <row r="1641" spans="1:31" ht="14.4" customHeight="1" x14ac:dyDescent="0.3">
      <c r="A1641" t="s">
        <v>3885</v>
      </c>
      <c r="B1641" t="s">
        <v>3886</v>
      </c>
      <c r="C1641"/>
      <c r="D1641"/>
      <c r="E1641"/>
      <c r="F1641"/>
      <c r="G1641" t="s">
        <v>3864</v>
      </c>
      <c r="H1641" t="s">
        <v>132</v>
      </c>
      <c r="I1641" t="s">
        <v>4</v>
      </c>
      <c r="J1641" t="s">
        <v>133</v>
      </c>
      <c r="K1641" t="s">
        <v>54</v>
      </c>
      <c r="L1641" t="s">
        <v>3868</v>
      </c>
      <c r="M1641" t="s">
        <v>134</v>
      </c>
      <c r="N1641" t="s">
        <v>135</v>
      </c>
      <c r="O1641"/>
      <c r="P1641"/>
      <c r="Q1641" t="s">
        <v>1765</v>
      </c>
      <c r="R1641"/>
      <c r="S1641"/>
      <c r="T1641" t="s">
        <v>3869</v>
      </c>
      <c r="U1641" t="s">
        <v>137</v>
      </c>
      <c r="V1641" t="s">
        <v>727</v>
      </c>
      <c r="W1641"/>
      <c r="X1641" t="s">
        <v>100</v>
      </c>
      <c r="Y1641"/>
      <c r="Z1641"/>
      <c r="AA1641" t="s">
        <v>3865</v>
      </c>
      <c r="AB1641" t="s">
        <v>4</v>
      </c>
      <c r="AC1641" t="s">
        <v>138</v>
      </c>
      <c r="AD1641" t="s">
        <v>129</v>
      </c>
      <c r="AE1641" s="97"/>
    </row>
    <row r="1642" spans="1:31" ht="14.4" customHeight="1" x14ac:dyDescent="0.3">
      <c r="A1642" t="s">
        <v>3887</v>
      </c>
      <c r="B1642" t="s">
        <v>3888</v>
      </c>
      <c r="C1642"/>
      <c r="D1642"/>
      <c r="E1642"/>
      <c r="F1642"/>
      <c r="G1642" t="s">
        <v>3864</v>
      </c>
      <c r="H1642" t="s">
        <v>132</v>
      </c>
      <c r="I1642" t="s">
        <v>4</v>
      </c>
      <c r="J1642" t="s">
        <v>133</v>
      </c>
      <c r="K1642" t="s">
        <v>54</v>
      </c>
      <c r="L1642" t="s">
        <v>3868</v>
      </c>
      <c r="M1642" t="s">
        <v>134</v>
      </c>
      <c r="N1642" t="s">
        <v>135</v>
      </c>
      <c r="O1642"/>
      <c r="P1642"/>
      <c r="Q1642" t="s">
        <v>1765</v>
      </c>
      <c r="R1642"/>
      <c r="S1642"/>
      <c r="T1642" t="s">
        <v>3872</v>
      </c>
      <c r="U1642" t="s">
        <v>137</v>
      </c>
      <c r="V1642" t="s">
        <v>727</v>
      </c>
      <c r="W1642"/>
      <c r="X1642" t="s">
        <v>100</v>
      </c>
      <c r="Y1642"/>
      <c r="Z1642"/>
      <c r="AA1642" t="s">
        <v>3865</v>
      </c>
      <c r="AB1642" t="s">
        <v>4</v>
      </c>
      <c r="AC1642" t="s">
        <v>138</v>
      </c>
      <c r="AD1642" t="s">
        <v>129</v>
      </c>
      <c r="AE1642" s="97"/>
    </row>
    <row r="1643" spans="1:31" ht="14.4" customHeight="1" x14ac:dyDescent="0.3">
      <c r="A1643" t="s">
        <v>3889</v>
      </c>
      <c r="B1643" t="s">
        <v>3890</v>
      </c>
      <c r="C1643"/>
      <c r="D1643"/>
      <c r="E1643"/>
      <c r="F1643"/>
      <c r="G1643" t="s">
        <v>3864</v>
      </c>
      <c r="H1643" t="s">
        <v>132</v>
      </c>
      <c r="I1643" t="s">
        <v>4</v>
      </c>
      <c r="J1643" t="s">
        <v>133</v>
      </c>
      <c r="K1643" t="s">
        <v>54</v>
      </c>
      <c r="L1643" t="s">
        <v>3868</v>
      </c>
      <c r="M1643" t="s">
        <v>134</v>
      </c>
      <c r="N1643" t="s">
        <v>135</v>
      </c>
      <c r="O1643"/>
      <c r="P1643"/>
      <c r="Q1643" t="s">
        <v>1765</v>
      </c>
      <c r="R1643"/>
      <c r="S1643"/>
      <c r="T1643" t="s">
        <v>3869</v>
      </c>
      <c r="U1643" t="s">
        <v>137</v>
      </c>
      <c r="V1643" t="s">
        <v>733</v>
      </c>
      <c r="W1643"/>
      <c r="X1643" t="s">
        <v>109</v>
      </c>
      <c r="Y1643"/>
      <c r="Z1643"/>
      <c r="AA1643" t="s">
        <v>3865</v>
      </c>
      <c r="AB1643" t="s">
        <v>4</v>
      </c>
      <c r="AC1643" t="s">
        <v>138</v>
      </c>
      <c r="AD1643" t="s">
        <v>129</v>
      </c>
      <c r="AE1643" s="97"/>
    </row>
    <row r="1644" spans="1:31" ht="14.4" customHeight="1" x14ac:dyDescent="0.3">
      <c r="A1644" t="s">
        <v>3891</v>
      </c>
      <c r="B1644" t="s">
        <v>3892</v>
      </c>
      <c r="C1644"/>
      <c r="D1644"/>
      <c r="E1644"/>
      <c r="F1644"/>
      <c r="G1644" t="s">
        <v>3864</v>
      </c>
      <c r="H1644" t="s">
        <v>132</v>
      </c>
      <c r="I1644" t="s">
        <v>4</v>
      </c>
      <c r="J1644" t="s">
        <v>133</v>
      </c>
      <c r="K1644" t="s">
        <v>54</v>
      </c>
      <c r="L1644" t="s">
        <v>3868</v>
      </c>
      <c r="M1644" t="s">
        <v>134</v>
      </c>
      <c r="N1644" t="s">
        <v>135</v>
      </c>
      <c r="O1644"/>
      <c r="P1644"/>
      <c r="Q1644" t="s">
        <v>1765</v>
      </c>
      <c r="R1644"/>
      <c r="S1644"/>
      <c r="T1644" t="s">
        <v>3872</v>
      </c>
      <c r="U1644" t="s">
        <v>137</v>
      </c>
      <c r="V1644" t="s">
        <v>733</v>
      </c>
      <c r="W1644"/>
      <c r="X1644" t="s">
        <v>109</v>
      </c>
      <c r="Y1644"/>
      <c r="Z1644"/>
      <c r="AA1644" t="s">
        <v>3865</v>
      </c>
      <c r="AB1644" t="s">
        <v>4</v>
      </c>
      <c r="AC1644" t="s">
        <v>138</v>
      </c>
      <c r="AD1644" t="s">
        <v>129</v>
      </c>
      <c r="AE1644" s="97"/>
    </row>
    <row r="1645" spans="1:31" ht="14.4" customHeight="1" x14ac:dyDescent="0.3">
      <c r="A1645" t="s">
        <v>3893</v>
      </c>
      <c r="B1645" t="s">
        <v>3894</v>
      </c>
      <c r="C1645"/>
      <c r="D1645"/>
      <c r="E1645"/>
      <c r="F1645"/>
      <c r="G1645" t="s">
        <v>3864</v>
      </c>
      <c r="H1645" t="s">
        <v>132</v>
      </c>
      <c r="I1645" t="s">
        <v>4</v>
      </c>
      <c r="J1645" t="s">
        <v>133</v>
      </c>
      <c r="K1645" t="s">
        <v>54</v>
      </c>
      <c r="L1645" t="s">
        <v>3868</v>
      </c>
      <c r="M1645" t="s">
        <v>134</v>
      </c>
      <c r="N1645" t="s">
        <v>135</v>
      </c>
      <c r="O1645"/>
      <c r="P1645"/>
      <c r="Q1645" t="s">
        <v>1765</v>
      </c>
      <c r="R1645"/>
      <c r="S1645"/>
      <c r="T1645" t="s">
        <v>3869</v>
      </c>
      <c r="U1645" t="s">
        <v>137</v>
      </c>
      <c r="V1645" t="s">
        <v>739</v>
      </c>
      <c r="W1645"/>
      <c r="X1645" t="s">
        <v>118</v>
      </c>
      <c r="Y1645"/>
      <c r="Z1645"/>
      <c r="AA1645" t="s">
        <v>3865</v>
      </c>
      <c r="AB1645" t="s">
        <v>4</v>
      </c>
      <c r="AC1645" t="s">
        <v>138</v>
      </c>
      <c r="AD1645" t="s">
        <v>130</v>
      </c>
      <c r="AE1645" s="97"/>
    </row>
    <row r="1646" spans="1:31" ht="14.4" customHeight="1" x14ac:dyDescent="0.3">
      <c r="A1646" t="s">
        <v>3895</v>
      </c>
      <c r="B1646" t="s">
        <v>3896</v>
      </c>
      <c r="C1646"/>
      <c r="D1646"/>
      <c r="E1646"/>
      <c r="F1646"/>
      <c r="G1646" t="s">
        <v>3864</v>
      </c>
      <c r="H1646" t="s">
        <v>132</v>
      </c>
      <c r="I1646" t="s">
        <v>4</v>
      </c>
      <c r="J1646" t="s">
        <v>133</v>
      </c>
      <c r="K1646" t="s">
        <v>54</v>
      </c>
      <c r="L1646" t="s">
        <v>3868</v>
      </c>
      <c r="M1646" t="s">
        <v>134</v>
      </c>
      <c r="N1646" t="s">
        <v>135</v>
      </c>
      <c r="O1646"/>
      <c r="P1646"/>
      <c r="Q1646" t="s">
        <v>1765</v>
      </c>
      <c r="R1646"/>
      <c r="S1646"/>
      <c r="T1646" t="s">
        <v>3872</v>
      </c>
      <c r="U1646" t="s">
        <v>137</v>
      </c>
      <c r="V1646" t="s">
        <v>739</v>
      </c>
      <c r="W1646"/>
      <c r="X1646" t="s">
        <v>118</v>
      </c>
      <c r="Y1646"/>
      <c r="Z1646"/>
      <c r="AA1646" t="s">
        <v>3865</v>
      </c>
      <c r="AB1646" t="s">
        <v>4</v>
      </c>
      <c r="AC1646" t="s">
        <v>138</v>
      </c>
      <c r="AD1646" t="s">
        <v>130</v>
      </c>
      <c r="AE1646" s="97"/>
    </row>
    <row r="1647" spans="1:31" ht="14.4" customHeight="1" x14ac:dyDescent="0.3">
      <c r="A1647" t="s">
        <v>3900</v>
      </c>
      <c r="B1647" t="s">
        <v>3901</v>
      </c>
      <c r="C1647"/>
      <c r="D1647"/>
      <c r="E1647"/>
      <c r="F1647"/>
      <c r="G1647" t="s">
        <v>3897</v>
      </c>
      <c r="H1647" t="s">
        <v>132</v>
      </c>
      <c r="I1647" t="s">
        <v>4</v>
      </c>
      <c r="J1647" t="s">
        <v>133</v>
      </c>
      <c r="K1647" t="s">
        <v>54</v>
      </c>
      <c r="L1647" t="s">
        <v>3898</v>
      </c>
      <c r="M1647" t="s">
        <v>134</v>
      </c>
      <c r="N1647" t="s">
        <v>135</v>
      </c>
      <c r="O1647"/>
      <c r="P1647"/>
      <c r="Q1647" t="s">
        <v>3731</v>
      </c>
      <c r="R1647"/>
      <c r="S1647"/>
      <c r="T1647"/>
      <c r="U1647" t="s">
        <v>137</v>
      </c>
      <c r="V1647" t="s">
        <v>147</v>
      </c>
      <c r="W1647"/>
      <c r="X1647" t="s">
        <v>70</v>
      </c>
      <c r="Y1647"/>
      <c r="Z1647"/>
      <c r="AA1647" t="s">
        <v>3899</v>
      </c>
      <c r="AB1647" t="s">
        <v>4</v>
      </c>
      <c r="AC1647" t="s">
        <v>138</v>
      </c>
      <c r="AD1647" t="s">
        <v>128</v>
      </c>
      <c r="AE1647" s="97"/>
    </row>
    <row r="1648" spans="1:31" ht="14.4" customHeight="1" x14ac:dyDescent="0.3">
      <c r="A1648" t="s">
        <v>3902</v>
      </c>
      <c r="B1648" t="s">
        <v>3903</v>
      </c>
      <c r="C1648"/>
      <c r="D1648"/>
      <c r="E1648"/>
      <c r="F1648"/>
      <c r="G1648" t="s">
        <v>3897</v>
      </c>
      <c r="H1648" t="s">
        <v>132</v>
      </c>
      <c r="I1648" t="s">
        <v>4</v>
      </c>
      <c r="J1648" t="s">
        <v>133</v>
      </c>
      <c r="K1648" t="s">
        <v>54</v>
      </c>
      <c r="L1648" t="s">
        <v>3898</v>
      </c>
      <c r="M1648" t="s">
        <v>134</v>
      </c>
      <c r="N1648" t="s">
        <v>135</v>
      </c>
      <c r="O1648"/>
      <c r="P1648"/>
      <c r="Q1648" t="s">
        <v>3731</v>
      </c>
      <c r="R1648"/>
      <c r="S1648"/>
      <c r="T1648"/>
      <c r="U1648" t="s">
        <v>137</v>
      </c>
      <c r="V1648" t="s">
        <v>150</v>
      </c>
      <c r="W1648"/>
      <c r="X1648" t="s">
        <v>76</v>
      </c>
      <c r="Y1648"/>
      <c r="Z1648"/>
      <c r="AA1648" t="s">
        <v>3899</v>
      </c>
      <c r="AB1648" t="s">
        <v>4</v>
      </c>
      <c r="AC1648" t="s">
        <v>138</v>
      </c>
      <c r="AD1648" t="s">
        <v>128</v>
      </c>
      <c r="AE1648" s="97"/>
    </row>
    <row r="1649" spans="1:31" ht="14.4" customHeight="1" x14ac:dyDescent="0.3">
      <c r="A1649" t="s">
        <v>3904</v>
      </c>
      <c r="B1649" t="s">
        <v>3905</v>
      </c>
      <c r="C1649"/>
      <c r="D1649"/>
      <c r="E1649"/>
      <c r="F1649"/>
      <c r="G1649" t="s">
        <v>3897</v>
      </c>
      <c r="H1649" t="s">
        <v>132</v>
      </c>
      <c r="I1649" t="s">
        <v>4</v>
      </c>
      <c r="J1649" t="s">
        <v>133</v>
      </c>
      <c r="K1649" t="s">
        <v>54</v>
      </c>
      <c r="L1649" t="s">
        <v>3898</v>
      </c>
      <c r="M1649" t="s">
        <v>134</v>
      </c>
      <c r="N1649" t="s">
        <v>135</v>
      </c>
      <c r="O1649"/>
      <c r="P1649"/>
      <c r="Q1649" t="s">
        <v>3731</v>
      </c>
      <c r="R1649"/>
      <c r="S1649"/>
      <c r="T1649"/>
      <c r="U1649" t="s">
        <v>137</v>
      </c>
      <c r="V1649" t="s">
        <v>153</v>
      </c>
      <c r="W1649"/>
      <c r="X1649" t="s">
        <v>88</v>
      </c>
      <c r="Y1649"/>
      <c r="Z1649"/>
      <c r="AA1649" t="s">
        <v>3899</v>
      </c>
      <c r="AB1649" t="s">
        <v>4</v>
      </c>
      <c r="AC1649" t="s">
        <v>138</v>
      </c>
      <c r="AD1649" t="s">
        <v>129</v>
      </c>
      <c r="AE1649" s="97"/>
    </row>
    <row r="1650" spans="1:31" ht="14.4" customHeight="1" x14ac:dyDescent="0.3">
      <c r="A1650" t="s">
        <v>3906</v>
      </c>
      <c r="B1650" t="s">
        <v>3907</v>
      </c>
      <c r="C1650"/>
      <c r="D1650"/>
      <c r="E1650"/>
      <c r="F1650"/>
      <c r="G1650" t="s">
        <v>3897</v>
      </c>
      <c r="H1650" t="s">
        <v>132</v>
      </c>
      <c r="I1650" t="s">
        <v>4</v>
      </c>
      <c r="J1650" t="s">
        <v>133</v>
      </c>
      <c r="K1650" t="s">
        <v>54</v>
      </c>
      <c r="L1650" t="s">
        <v>3898</v>
      </c>
      <c r="M1650" t="s">
        <v>134</v>
      </c>
      <c r="N1650" t="s">
        <v>135</v>
      </c>
      <c r="O1650"/>
      <c r="P1650"/>
      <c r="Q1650" t="s">
        <v>3731</v>
      </c>
      <c r="R1650"/>
      <c r="S1650"/>
      <c r="T1650"/>
      <c r="U1650" t="s">
        <v>137</v>
      </c>
      <c r="V1650" t="s">
        <v>156</v>
      </c>
      <c r="W1650"/>
      <c r="X1650" t="s">
        <v>97</v>
      </c>
      <c r="Y1650"/>
      <c r="Z1650"/>
      <c r="AA1650" t="s">
        <v>3899</v>
      </c>
      <c r="AB1650" t="s">
        <v>4</v>
      </c>
      <c r="AC1650" t="s">
        <v>138</v>
      </c>
      <c r="AD1650" t="s">
        <v>129</v>
      </c>
      <c r="AE1650" s="97"/>
    </row>
    <row r="1651" spans="1:31" ht="14.4" customHeight="1" x14ac:dyDescent="0.3">
      <c r="A1651" t="s">
        <v>3908</v>
      </c>
      <c r="B1651" t="s">
        <v>3909</v>
      </c>
      <c r="C1651"/>
      <c r="D1651"/>
      <c r="E1651"/>
      <c r="F1651"/>
      <c r="G1651" t="s">
        <v>3897</v>
      </c>
      <c r="H1651" t="s">
        <v>132</v>
      </c>
      <c r="I1651" t="s">
        <v>4</v>
      </c>
      <c r="J1651" t="s">
        <v>133</v>
      </c>
      <c r="K1651" t="s">
        <v>54</v>
      </c>
      <c r="L1651" t="s">
        <v>3898</v>
      </c>
      <c r="M1651" t="s">
        <v>134</v>
      </c>
      <c r="N1651" t="s">
        <v>135</v>
      </c>
      <c r="O1651"/>
      <c r="P1651"/>
      <c r="Q1651" t="s">
        <v>3731</v>
      </c>
      <c r="R1651"/>
      <c r="S1651"/>
      <c r="T1651"/>
      <c r="U1651" t="s">
        <v>137</v>
      </c>
      <c r="V1651" t="s">
        <v>159</v>
      </c>
      <c r="W1651"/>
      <c r="X1651" t="s">
        <v>106</v>
      </c>
      <c r="Y1651"/>
      <c r="Z1651"/>
      <c r="AA1651" t="s">
        <v>3899</v>
      </c>
      <c r="AB1651" t="s">
        <v>4</v>
      </c>
      <c r="AC1651" t="s">
        <v>138</v>
      </c>
      <c r="AD1651" t="s">
        <v>129</v>
      </c>
      <c r="AE1651" s="97"/>
    </row>
    <row r="1652" spans="1:31" ht="14.4" customHeight="1" x14ac:dyDescent="0.3">
      <c r="A1652" t="s">
        <v>3910</v>
      </c>
      <c r="B1652" t="s">
        <v>3911</v>
      </c>
      <c r="C1652"/>
      <c r="D1652"/>
      <c r="E1652"/>
      <c r="F1652"/>
      <c r="G1652" t="s">
        <v>3897</v>
      </c>
      <c r="H1652" t="s">
        <v>132</v>
      </c>
      <c r="I1652" t="s">
        <v>4</v>
      </c>
      <c r="J1652" t="s">
        <v>133</v>
      </c>
      <c r="K1652" t="s">
        <v>54</v>
      </c>
      <c r="L1652" t="s">
        <v>3898</v>
      </c>
      <c r="M1652" t="s">
        <v>134</v>
      </c>
      <c r="N1652" t="s">
        <v>135</v>
      </c>
      <c r="O1652"/>
      <c r="P1652"/>
      <c r="Q1652" t="s">
        <v>3731</v>
      </c>
      <c r="R1652"/>
      <c r="S1652"/>
      <c r="T1652"/>
      <c r="U1652" t="s">
        <v>137</v>
      </c>
      <c r="V1652" t="s">
        <v>162</v>
      </c>
      <c r="W1652"/>
      <c r="X1652" t="s">
        <v>113</v>
      </c>
      <c r="Y1652"/>
      <c r="Z1652"/>
      <c r="AA1652" t="s">
        <v>3899</v>
      </c>
      <c r="AB1652" t="s">
        <v>4</v>
      </c>
      <c r="AC1652" t="s">
        <v>138</v>
      </c>
      <c r="AD1652" t="s">
        <v>129</v>
      </c>
      <c r="AE1652" s="97"/>
    </row>
    <row r="1653" spans="1:31" ht="14.4" customHeight="1" x14ac:dyDescent="0.3">
      <c r="A1653" t="s">
        <v>3912</v>
      </c>
      <c r="B1653" t="s">
        <v>3913</v>
      </c>
      <c r="C1653"/>
      <c r="D1653"/>
      <c r="E1653"/>
      <c r="F1653"/>
      <c r="G1653" t="s">
        <v>3897</v>
      </c>
      <c r="H1653" t="s">
        <v>132</v>
      </c>
      <c r="I1653" t="s">
        <v>4</v>
      </c>
      <c r="J1653" t="s">
        <v>133</v>
      </c>
      <c r="K1653" t="s">
        <v>54</v>
      </c>
      <c r="L1653" t="s">
        <v>3898</v>
      </c>
      <c r="M1653" t="s">
        <v>134</v>
      </c>
      <c r="N1653" t="s">
        <v>135</v>
      </c>
      <c r="O1653"/>
      <c r="P1653"/>
      <c r="Q1653" t="s">
        <v>3731</v>
      </c>
      <c r="R1653"/>
      <c r="S1653"/>
      <c r="T1653"/>
      <c r="U1653" t="s">
        <v>137</v>
      </c>
      <c r="V1653" t="s">
        <v>165</v>
      </c>
      <c r="W1653"/>
      <c r="X1653" t="s">
        <v>122</v>
      </c>
      <c r="Y1653"/>
      <c r="Z1653"/>
      <c r="AA1653" t="s">
        <v>3899</v>
      </c>
      <c r="AB1653" t="s">
        <v>4</v>
      </c>
      <c r="AC1653" t="s">
        <v>138</v>
      </c>
      <c r="AD1653" t="s">
        <v>130</v>
      </c>
      <c r="AE1653" s="97"/>
    </row>
    <row r="1654" spans="1:31" ht="14.4" customHeight="1" x14ac:dyDescent="0.3">
      <c r="A1654" t="s">
        <v>3914</v>
      </c>
      <c r="B1654" t="s">
        <v>3915</v>
      </c>
      <c r="C1654"/>
      <c r="D1654"/>
      <c r="E1654"/>
      <c r="F1654"/>
      <c r="G1654" t="s">
        <v>3897</v>
      </c>
      <c r="H1654" t="s">
        <v>132</v>
      </c>
      <c r="I1654" t="s">
        <v>4</v>
      </c>
      <c r="J1654" t="s">
        <v>133</v>
      </c>
      <c r="K1654" t="s">
        <v>54</v>
      </c>
      <c r="L1654" t="s">
        <v>3898</v>
      </c>
      <c r="M1654" t="s">
        <v>134</v>
      </c>
      <c r="N1654" t="s">
        <v>135</v>
      </c>
      <c r="O1654"/>
      <c r="P1654"/>
      <c r="Q1654" t="s">
        <v>3731</v>
      </c>
      <c r="R1654"/>
      <c r="S1654"/>
      <c r="T1654"/>
      <c r="U1654" t="s">
        <v>137</v>
      </c>
      <c r="V1654" t="s">
        <v>371</v>
      </c>
      <c r="W1654"/>
      <c r="X1654" t="s">
        <v>57</v>
      </c>
      <c r="Y1654"/>
      <c r="Z1654"/>
      <c r="AA1654" t="s">
        <v>3899</v>
      </c>
      <c r="AB1654" t="s">
        <v>4</v>
      </c>
      <c r="AC1654" t="s">
        <v>138</v>
      </c>
      <c r="AD1654" t="s">
        <v>128</v>
      </c>
      <c r="AE1654" s="97"/>
    </row>
    <row r="1655" spans="1:31" ht="14.4" customHeight="1" x14ac:dyDescent="0.3">
      <c r="A1655" t="s">
        <v>3916</v>
      </c>
      <c r="B1655" t="s">
        <v>3917</v>
      </c>
      <c r="C1655"/>
      <c r="D1655"/>
      <c r="E1655"/>
      <c r="F1655"/>
      <c r="G1655" t="s">
        <v>3897</v>
      </c>
      <c r="H1655" t="s">
        <v>132</v>
      </c>
      <c r="I1655" t="s">
        <v>4</v>
      </c>
      <c r="J1655" t="s">
        <v>133</v>
      </c>
      <c r="K1655" t="s">
        <v>54</v>
      </c>
      <c r="L1655" t="s">
        <v>3898</v>
      </c>
      <c r="M1655" t="s">
        <v>134</v>
      </c>
      <c r="N1655" t="s">
        <v>135</v>
      </c>
      <c r="O1655"/>
      <c r="P1655"/>
      <c r="Q1655" t="s">
        <v>3731</v>
      </c>
      <c r="R1655"/>
      <c r="S1655"/>
      <c r="T1655"/>
      <c r="U1655" t="s">
        <v>137</v>
      </c>
      <c r="V1655" t="s">
        <v>362</v>
      </c>
      <c r="W1655"/>
      <c r="X1655" t="s">
        <v>58</v>
      </c>
      <c r="Y1655"/>
      <c r="Z1655"/>
      <c r="AA1655" t="s">
        <v>3899</v>
      </c>
      <c r="AB1655" t="s">
        <v>4</v>
      </c>
      <c r="AC1655" t="s">
        <v>138</v>
      </c>
      <c r="AD1655" t="s">
        <v>128</v>
      </c>
      <c r="AE1655" s="97"/>
    </row>
    <row r="1656" spans="1:31" ht="14.4" customHeight="1" x14ac:dyDescent="0.3">
      <c r="A1656" t="s">
        <v>3918</v>
      </c>
      <c r="B1656" t="s">
        <v>3919</v>
      </c>
      <c r="C1656"/>
      <c r="D1656"/>
      <c r="E1656"/>
      <c r="F1656"/>
      <c r="G1656" t="s">
        <v>3897</v>
      </c>
      <c r="H1656" t="s">
        <v>132</v>
      </c>
      <c r="I1656" t="s">
        <v>4</v>
      </c>
      <c r="J1656" t="s">
        <v>133</v>
      </c>
      <c r="K1656" t="s">
        <v>54</v>
      </c>
      <c r="L1656" t="s">
        <v>3898</v>
      </c>
      <c r="M1656" t="s">
        <v>134</v>
      </c>
      <c r="N1656" t="s">
        <v>135</v>
      </c>
      <c r="O1656"/>
      <c r="P1656"/>
      <c r="Q1656" t="s">
        <v>3731</v>
      </c>
      <c r="R1656"/>
      <c r="S1656"/>
      <c r="T1656"/>
      <c r="U1656" t="s">
        <v>137</v>
      </c>
      <c r="V1656" t="s">
        <v>640</v>
      </c>
      <c r="W1656"/>
      <c r="X1656" t="s">
        <v>66</v>
      </c>
      <c r="Y1656"/>
      <c r="Z1656"/>
      <c r="AA1656" t="s">
        <v>3899</v>
      </c>
      <c r="AB1656" t="s">
        <v>4</v>
      </c>
      <c r="AC1656" t="s">
        <v>138</v>
      </c>
      <c r="AD1656" t="s">
        <v>128</v>
      </c>
      <c r="AE1656" s="97"/>
    </row>
    <row r="1657" spans="1:31" ht="14.4" customHeight="1" x14ac:dyDescent="0.3">
      <c r="A1657" t="s">
        <v>3920</v>
      </c>
      <c r="B1657" t="s">
        <v>3921</v>
      </c>
      <c r="C1657"/>
      <c r="D1657"/>
      <c r="E1657"/>
      <c r="F1657"/>
      <c r="G1657" t="s">
        <v>3897</v>
      </c>
      <c r="H1657" t="s">
        <v>132</v>
      </c>
      <c r="I1657" t="s">
        <v>4</v>
      </c>
      <c r="J1657" t="s">
        <v>133</v>
      </c>
      <c r="K1657" t="s">
        <v>54</v>
      </c>
      <c r="L1657" t="s">
        <v>3898</v>
      </c>
      <c r="M1657" t="s">
        <v>134</v>
      </c>
      <c r="N1657" t="s">
        <v>135</v>
      </c>
      <c r="O1657"/>
      <c r="P1657"/>
      <c r="Q1657" t="s">
        <v>3731</v>
      </c>
      <c r="R1657"/>
      <c r="S1657"/>
      <c r="T1657"/>
      <c r="U1657" t="s">
        <v>137</v>
      </c>
      <c r="V1657" t="s">
        <v>646</v>
      </c>
      <c r="W1657"/>
      <c r="X1657" t="s">
        <v>74</v>
      </c>
      <c r="Y1657"/>
      <c r="Z1657"/>
      <c r="AA1657" t="s">
        <v>3899</v>
      </c>
      <c r="AB1657" t="s">
        <v>4</v>
      </c>
      <c r="AC1657" t="s">
        <v>138</v>
      </c>
      <c r="AD1657" t="s">
        <v>128</v>
      </c>
      <c r="AE1657" s="97"/>
    </row>
    <row r="1658" spans="1:31" ht="14.4" customHeight="1" x14ac:dyDescent="0.3">
      <c r="A1658" t="s">
        <v>3922</v>
      </c>
      <c r="B1658" t="s">
        <v>3923</v>
      </c>
      <c r="C1658"/>
      <c r="D1658"/>
      <c r="E1658"/>
      <c r="F1658"/>
      <c r="G1658" t="s">
        <v>3897</v>
      </c>
      <c r="H1658" t="s">
        <v>132</v>
      </c>
      <c r="I1658" t="s">
        <v>4</v>
      </c>
      <c r="J1658" t="s">
        <v>133</v>
      </c>
      <c r="K1658" t="s">
        <v>54</v>
      </c>
      <c r="L1658" t="s">
        <v>3898</v>
      </c>
      <c r="M1658" t="s">
        <v>134</v>
      </c>
      <c r="N1658" t="s">
        <v>135</v>
      </c>
      <c r="O1658"/>
      <c r="P1658"/>
      <c r="Q1658" t="s">
        <v>3731</v>
      </c>
      <c r="R1658"/>
      <c r="S1658"/>
      <c r="T1658"/>
      <c r="U1658" t="s">
        <v>137</v>
      </c>
      <c r="V1658" t="s">
        <v>652</v>
      </c>
      <c r="W1658"/>
      <c r="X1658" t="s">
        <v>85</v>
      </c>
      <c r="Y1658"/>
      <c r="Z1658"/>
      <c r="AA1658" t="s">
        <v>3899</v>
      </c>
      <c r="AB1658" t="s">
        <v>4</v>
      </c>
      <c r="AC1658" t="s">
        <v>138</v>
      </c>
      <c r="AD1658" t="s">
        <v>129</v>
      </c>
      <c r="AE1658" s="97"/>
    </row>
    <row r="1659" spans="1:31" ht="14.4" customHeight="1" x14ac:dyDescent="0.3">
      <c r="A1659" t="s">
        <v>3924</v>
      </c>
      <c r="B1659" t="s">
        <v>3925</v>
      </c>
      <c r="C1659"/>
      <c r="D1659"/>
      <c r="E1659"/>
      <c r="F1659"/>
      <c r="G1659" t="s">
        <v>3897</v>
      </c>
      <c r="H1659" t="s">
        <v>132</v>
      </c>
      <c r="I1659" t="s">
        <v>4</v>
      </c>
      <c r="J1659" t="s">
        <v>133</v>
      </c>
      <c r="K1659" t="s">
        <v>54</v>
      </c>
      <c r="L1659" t="s">
        <v>3898</v>
      </c>
      <c r="M1659" t="s">
        <v>134</v>
      </c>
      <c r="N1659" t="s">
        <v>135</v>
      </c>
      <c r="O1659"/>
      <c r="P1659"/>
      <c r="Q1659" t="s">
        <v>3731</v>
      </c>
      <c r="R1659"/>
      <c r="S1659"/>
      <c r="T1659"/>
      <c r="U1659" t="s">
        <v>137</v>
      </c>
      <c r="V1659" t="s">
        <v>658</v>
      </c>
      <c r="W1659"/>
      <c r="X1659" t="s">
        <v>94</v>
      </c>
      <c r="Y1659"/>
      <c r="Z1659"/>
      <c r="AA1659" t="s">
        <v>3899</v>
      </c>
      <c r="AB1659" t="s">
        <v>4</v>
      </c>
      <c r="AC1659" t="s">
        <v>138</v>
      </c>
      <c r="AD1659" t="s">
        <v>129</v>
      </c>
      <c r="AE1659" s="97"/>
    </row>
    <row r="1660" spans="1:31" ht="14.4" customHeight="1" x14ac:dyDescent="0.3">
      <c r="A1660" t="s">
        <v>3926</v>
      </c>
      <c r="B1660" t="s">
        <v>3927</v>
      </c>
      <c r="C1660"/>
      <c r="D1660"/>
      <c r="E1660"/>
      <c r="F1660"/>
      <c r="G1660" t="s">
        <v>3897</v>
      </c>
      <c r="H1660" t="s">
        <v>132</v>
      </c>
      <c r="I1660" t="s">
        <v>4</v>
      </c>
      <c r="J1660" t="s">
        <v>133</v>
      </c>
      <c r="K1660" t="s">
        <v>54</v>
      </c>
      <c r="L1660" t="s">
        <v>3898</v>
      </c>
      <c r="M1660" t="s">
        <v>134</v>
      </c>
      <c r="N1660" t="s">
        <v>135</v>
      </c>
      <c r="O1660"/>
      <c r="P1660"/>
      <c r="Q1660" t="s">
        <v>3731</v>
      </c>
      <c r="R1660"/>
      <c r="S1660"/>
      <c r="T1660"/>
      <c r="U1660" t="s">
        <v>137</v>
      </c>
      <c r="V1660" t="s">
        <v>664</v>
      </c>
      <c r="W1660"/>
      <c r="X1660" t="s">
        <v>103</v>
      </c>
      <c r="Y1660"/>
      <c r="Z1660"/>
      <c r="AA1660" t="s">
        <v>3899</v>
      </c>
      <c r="AB1660" t="s">
        <v>4</v>
      </c>
      <c r="AC1660" t="s">
        <v>138</v>
      </c>
      <c r="AD1660" t="s">
        <v>129</v>
      </c>
      <c r="AE1660" s="97"/>
    </row>
    <row r="1661" spans="1:31" ht="14.4" customHeight="1" x14ac:dyDescent="0.3">
      <c r="A1661" t="s">
        <v>3928</v>
      </c>
      <c r="B1661" t="s">
        <v>3929</v>
      </c>
      <c r="C1661"/>
      <c r="D1661"/>
      <c r="E1661"/>
      <c r="F1661"/>
      <c r="G1661" t="s">
        <v>3897</v>
      </c>
      <c r="H1661" t="s">
        <v>132</v>
      </c>
      <c r="I1661" t="s">
        <v>4</v>
      </c>
      <c r="J1661" t="s">
        <v>133</v>
      </c>
      <c r="K1661" t="s">
        <v>54</v>
      </c>
      <c r="L1661" t="s">
        <v>3898</v>
      </c>
      <c r="M1661" t="s">
        <v>134</v>
      </c>
      <c r="N1661" t="s">
        <v>135</v>
      </c>
      <c r="O1661"/>
      <c r="P1661"/>
      <c r="Q1661" t="s">
        <v>3731</v>
      </c>
      <c r="R1661"/>
      <c r="S1661"/>
      <c r="T1661"/>
      <c r="U1661" t="s">
        <v>137</v>
      </c>
      <c r="V1661" t="s">
        <v>670</v>
      </c>
      <c r="W1661"/>
      <c r="X1661" t="s">
        <v>110</v>
      </c>
      <c r="Y1661"/>
      <c r="Z1661"/>
      <c r="AA1661" t="s">
        <v>3899</v>
      </c>
      <c r="AB1661" t="s">
        <v>4</v>
      </c>
      <c r="AC1661" t="s">
        <v>138</v>
      </c>
      <c r="AD1661" t="s">
        <v>129</v>
      </c>
      <c r="AE1661" s="97"/>
    </row>
    <row r="1662" spans="1:31" ht="14.4" customHeight="1" x14ac:dyDescent="0.3">
      <c r="A1662" t="s">
        <v>3930</v>
      </c>
      <c r="B1662" t="s">
        <v>3931</v>
      </c>
      <c r="C1662"/>
      <c r="D1662"/>
      <c r="E1662"/>
      <c r="F1662"/>
      <c r="G1662" t="s">
        <v>3897</v>
      </c>
      <c r="H1662" t="s">
        <v>132</v>
      </c>
      <c r="I1662" t="s">
        <v>4</v>
      </c>
      <c r="J1662" t="s">
        <v>133</v>
      </c>
      <c r="K1662" t="s">
        <v>54</v>
      </c>
      <c r="L1662" t="s">
        <v>3898</v>
      </c>
      <c r="M1662" t="s">
        <v>134</v>
      </c>
      <c r="N1662" t="s">
        <v>135</v>
      </c>
      <c r="O1662"/>
      <c r="P1662"/>
      <c r="Q1662" t="s">
        <v>3731</v>
      </c>
      <c r="R1662"/>
      <c r="S1662"/>
      <c r="T1662"/>
      <c r="U1662" t="s">
        <v>137</v>
      </c>
      <c r="V1662" t="s">
        <v>676</v>
      </c>
      <c r="W1662"/>
      <c r="X1662" t="s">
        <v>119</v>
      </c>
      <c r="Y1662"/>
      <c r="Z1662"/>
      <c r="AA1662" t="s">
        <v>3899</v>
      </c>
      <c r="AB1662" t="s">
        <v>4</v>
      </c>
      <c r="AC1662" t="s">
        <v>138</v>
      </c>
      <c r="AD1662" t="s">
        <v>130</v>
      </c>
      <c r="AE1662" s="97"/>
    </row>
    <row r="1663" spans="1:31" ht="14.4" customHeight="1" x14ac:dyDescent="0.3">
      <c r="A1663" t="s">
        <v>3932</v>
      </c>
      <c r="B1663" t="s">
        <v>3933</v>
      </c>
      <c r="C1663"/>
      <c r="D1663"/>
      <c r="E1663"/>
      <c r="F1663"/>
      <c r="G1663" t="s">
        <v>3897</v>
      </c>
      <c r="H1663" t="s">
        <v>132</v>
      </c>
      <c r="I1663" t="s">
        <v>4</v>
      </c>
      <c r="J1663" t="s">
        <v>133</v>
      </c>
      <c r="K1663" t="s">
        <v>54</v>
      </c>
      <c r="L1663" t="s">
        <v>3898</v>
      </c>
      <c r="M1663" t="s">
        <v>134</v>
      </c>
      <c r="N1663" t="s">
        <v>135</v>
      </c>
      <c r="O1663"/>
      <c r="P1663"/>
      <c r="Q1663" t="s">
        <v>3731</v>
      </c>
      <c r="R1663"/>
      <c r="S1663"/>
      <c r="T1663"/>
      <c r="U1663" t="s">
        <v>137</v>
      </c>
      <c r="V1663" t="s">
        <v>1190</v>
      </c>
      <c r="W1663"/>
      <c r="X1663" t="s">
        <v>67</v>
      </c>
      <c r="Y1663"/>
      <c r="Z1663"/>
      <c r="AA1663" t="s">
        <v>3899</v>
      </c>
      <c r="AB1663" t="s">
        <v>4</v>
      </c>
      <c r="AC1663" t="s">
        <v>138</v>
      </c>
      <c r="AD1663" t="s">
        <v>128</v>
      </c>
      <c r="AE1663" s="97"/>
    </row>
    <row r="1664" spans="1:31" ht="14.4" customHeight="1" x14ac:dyDescent="0.3">
      <c r="A1664" t="s">
        <v>3934</v>
      </c>
      <c r="B1664" t="s">
        <v>3935</v>
      </c>
      <c r="C1664"/>
      <c r="D1664"/>
      <c r="E1664"/>
      <c r="F1664"/>
      <c r="G1664" t="s">
        <v>3897</v>
      </c>
      <c r="H1664" t="s">
        <v>132</v>
      </c>
      <c r="I1664" t="s">
        <v>4</v>
      </c>
      <c r="J1664" t="s">
        <v>133</v>
      </c>
      <c r="K1664" t="s">
        <v>54</v>
      </c>
      <c r="L1664" t="s">
        <v>3898</v>
      </c>
      <c r="M1664" t="s">
        <v>134</v>
      </c>
      <c r="N1664" t="s">
        <v>135</v>
      </c>
      <c r="O1664"/>
      <c r="P1664"/>
      <c r="Q1664" t="s">
        <v>3731</v>
      </c>
      <c r="R1664"/>
      <c r="S1664"/>
      <c r="T1664"/>
      <c r="U1664" t="s">
        <v>137</v>
      </c>
      <c r="V1664" t="s">
        <v>1194</v>
      </c>
      <c r="W1664"/>
      <c r="X1664" t="s">
        <v>75</v>
      </c>
      <c r="Y1664"/>
      <c r="Z1664"/>
      <c r="AA1664" t="s">
        <v>3899</v>
      </c>
      <c r="AB1664" t="s">
        <v>4</v>
      </c>
      <c r="AC1664" t="s">
        <v>138</v>
      </c>
      <c r="AD1664" t="s">
        <v>128</v>
      </c>
      <c r="AE1664" s="97"/>
    </row>
    <row r="1665" spans="1:31" ht="14.4" customHeight="1" x14ac:dyDescent="0.3">
      <c r="A1665" t="s">
        <v>3936</v>
      </c>
      <c r="B1665" t="s">
        <v>3937</v>
      </c>
      <c r="C1665"/>
      <c r="D1665"/>
      <c r="E1665"/>
      <c r="F1665"/>
      <c r="G1665" t="s">
        <v>3897</v>
      </c>
      <c r="H1665" t="s">
        <v>132</v>
      </c>
      <c r="I1665" t="s">
        <v>4</v>
      </c>
      <c r="J1665" t="s">
        <v>133</v>
      </c>
      <c r="K1665" t="s">
        <v>54</v>
      </c>
      <c r="L1665" t="s">
        <v>3898</v>
      </c>
      <c r="M1665" t="s">
        <v>134</v>
      </c>
      <c r="N1665" t="s">
        <v>135</v>
      </c>
      <c r="O1665"/>
      <c r="P1665"/>
      <c r="Q1665" t="s">
        <v>3731</v>
      </c>
      <c r="R1665"/>
      <c r="S1665"/>
      <c r="T1665"/>
      <c r="U1665" t="s">
        <v>137</v>
      </c>
      <c r="V1665" t="s">
        <v>1198</v>
      </c>
      <c r="W1665"/>
      <c r="X1665" t="s">
        <v>86</v>
      </c>
      <c r="Y1665"/>
      <c r="Z1665"/>
      <c r="AA1665" t="s">
        <v>3899</v>
      </c>
      <c r="AB1665" t="s">
        <v>4</v>
      </c>
      <c r="AC1665" t="s">
        <v>138</v>
      </c>
      <c r="AD1665" t="s">
        <v>129</v>
      </c>
      <c r="AE1665" s="97"/>
    </row>
    <row r="1666" spans="1:31" ht="14.4" customHeight="1" x14ac:dyDescent="0.3">
      <c r="A1666" t="s">
        <v>3938</v>
      </c>
      <c r="B1666" t="s">
        <v>3939</v>
      </c>
      <c r="C1666"/>
      <c r="D1666"/>
      <c r="E1666"/>
      <c r="F1666"/>
      <c r="G1666" t="s">
        <v>3897</v>
      </c>
      <c r="H1666" t="s">
        <v>132</v>
      </c>
      <c r="I1666" t="s">
        <v>4</v>
      </c>
      <c r="J1666" t="s">
        <v>133</v>
      </c>
      <c r="K1666" t="s">
        <v>54</v>
      </c>
      <c r="L1666" t="s">
        <v>3898</v>
      </c>
      <c r="M1666" t="s">
        <v>134</v>
      </c>
      <c r="N1666" t="s">
        <v>135</v>
      </c>
      <c r="O1666"/>
      <c r="P1666"/>
      <c r="Q1666" t="s">
        <v>3731</v>
      </c>
      <c r="R1666"/>
      <c r="S1666"/>
      <c r="T1666"/>
      <c r="U1666" t="s">
        <v>137</v>
      </c>
      <c r="V1666" t="s">
        <v>1202</v>
      </c>
      <c r="W1666"/>
      <c r="X1666" t="s">
        <v>95</v>
      </c>
      <c r="Y1666"/>
      <c r="Z1666"/>
      <c r="AA1666" t="s">
        <v>3899</v>
      </c>
      <c r="AB1666" t="s">
        <v>4</v>
      </c>
      <c r="AC1666" t="s">
        <v>138</v>
      </c>
      <c r="AD1666" t="s">
        <v>129</v>
      </c>
      <c r="AE1666" s="97"/>
    </row>
    <row r="1667" spans="1:31" ht="14.4" customHeight="1" x14ac:dyDescent="0.3">
      <c r="A1667" t="s">
        <v>3940</v>
      </c>
      <c r="B1667" t="s">
        <v>3941</v>
      </c>
      <c r="C1667"/>
      <c r="D1667"/>
      <c r="E1667"/>
      <c r="F1667"/>
      <c r="G1667" t="s">
        <v>3897</v>
      </c>
      <c r="H1667" t="s">
        <v>132</v>
      </c>
      <c r="I1667" t="s">
        <v>4</v>
      </c>
      <c r="J1667" t="s">
        <v>133</v>
      </c>
      <c r="K1667" t="s">
        <v>54</v>
      </c>
      <c r="L1667" t="s">
        <v>3898</v>
      </c>
      <c r="M1667" t="s">
        <v>134</v>
      </c>
      <c r="N1667" t="s">
        <v>135</v>
      </c>
      <c r="O1667"/>
      <c r="P1667"/>
      <c r="Q1667" t="s">
        <v>3731</v>
      </c>
      <c r="R1667"/>
      <c r="S1667"/>
      <c r="T1667"/>
      <c r="U1667" t="s">
        <v>137</v>
      </c>
      <c r="V1667" t="s">
        <v>1206</v>
      </c>
      <c r="W1667"/>
      <c r="X1667" t="s">
        <v>104</v>
      </c>
      <c r="Y1667"/>
      <c r="Z1667"/>
      <c r="AA1667" t="s">
        <v>3899</v>
      </c>
      <c r="AB1667" t="s">
        <v>4</v>
      </c>
      <c r="AC1667" t="s">
        <v>138</v>
      </c>
      <c r="AD1667" t="s">
        <v>129</v>
      </c>
      <c r="AE1667" s="97"/>
    </row>
    <row r="1668" spans="1:31" ht="14.4" customHeight="1" x14ac:dyDescent="0.3">
      <c r="A1668" t="s">
        <v>3942</v>
      </c>
      <c r="B1668" t="s">
        <v>3943</v>
      </c>
      <c r="C1668"/>
      <c r="D1668"/>
      <c r="E1668"/>
      <c r="F1668"/>
      <c r="G1668" t="s">
        <v>3897</v>
      </c>
      <c r="H1668" t="s">
        <v>132</v>
      </c>
      <c r="I1668" t="s">
        <v>4</v>
      </c>
      <c r="J1668" t="s">
        <v>133</v>
      </c>
      <c r="K1668" t="s">
        <v>54</v>
      </c>
      <c r="L1668" t="s">
        <v>3898</v>
      </c>
      <c r="M1668" t="s">
        <v>134</v>
      </c>
      <c r="N1668" t="s">
        <v>135</v>
      </c>
      <c r="O1668"/>
      <c r="P1668"/>
      <c r="Q1668" t="s">
        <v>3731</v>
      </c>
      <c r="R1668"/>
      <c r="S1668"/>
      <c r="T1668"/>
      <c r="U1668" t="s">
        <v>137</v>
      </c>
      <c r="V1668" t="s">
        <v>1210</v>
      </c>
      <c r="W1668"/>
      <c r="X1668" t="s">
        <v>111</v>
      </c>
      <c r="Y1668"/>
      <c r="Z1668"/>
      <c r="AA1668" t="s">
        <v>3899</v>
      </c>
      <c r="AB1668" t="s">
        <v>4</v>
      </c>
      <c r="AC1668" t="s">
        <v>138</v>
      </c>
      <c r="AD1668" t="s">
        <v>129</v>
      </c>
      <c r="AE1668" s="97"/>
    </row>
    <row r="1669" spans="1:31" ht="14.4" customHeight="1" x14ac:dyDescent="0.3">
      <c r="A1669" t="s">
        <v>3944</v>
      </c>
      <c r="B1669" t="s">
        <v>3945</v>
      </c>
      <c r="C1669"/>
      <c r="D1669"/>
      <c r="E1669"/>
      <c r="F1669"/>
      <c r="G1669" t="s">
        <v>3897</v>
      </c>
      <c r="H1669" t="s">
        <v>132</v>
      </c>
      <c r="I1669" t="s">
        <v>4</v>
      </c>
      <c r="J1669" t="s">
        <v>133</v>
      </c>
      <c r="K1669" t="s">
        <v>54</v>
      </c>
      <c r="L1669" t="s">
        <v>3898</v>
      </c>
      <c r="M1669" t="s">
        <v>134</v>
      </c>
      <c r="N1669" t="s">
        <v>135</v>
      </c>
      <c r="O1669"/>
      <c r="P1669"/>
      <c r="Q1669" t="s">
        <v>3731</v>
      </c>
      <c r="R1669"/>
      <c r="S1669"/>
      <c r="T1669"/>
      <c r="U1669" t="s">
        <v>137</v>
      </c>
      <c r="V1669" t="s">
        <v>1214</v>
      </c>
      <c r="W1669"/>
      <c r="X1669" t="s">
        <v>120</v>
      </c>
      <c r="Y1669"/>
      <c r="Z1669"/>
      <c r="AA1669" t="s">
        <v>3899</v>
      </c>
      <c r="AB1669" t="s">
        <v>4</v>
      </c>
      <c r="AC1669" t="s">
        <v>138</v>
      </c>
      <c r="AD1669" t="s">
        <v>130</v>
      </c>
      <c r="AE1669" s="97"/>
    </row>
    <row r="1670" spans="1:31" ht="14.4" customHeight="1" x14ac:dyDescent="0.3">
      <c r="A1670" t="s">
        <v>3946</v>
      </c>
      <c r="B1670" t="s">
        <v>3947</v>
      </c>
      <c r="C1670"/>
      <c r="D1670"/>
      <c r="E1670"/>
      <c r="F1670"/>
      <c r="G1670" t="s">
        <v>3897</v>
      </c>
      <c r="H1670" t="s">
        <v>132</v>
      </c>
      <c r="I1670" t="s">
        <v>4</v>
      </c>
      <c r="J1670" t="s">
        <v>133</v>
      </c>
      <c r="K1670" t="s">
        <v>54</v>
      </c>
      <c r="L1670" t="s">
        <v>3898</v>
      </c>
      <c r="M1670" t="s">
        <v>134</v>
      </c>
      <c r="N1670" t="s">
        <v>135</v>
      </c>
      <c r="O1670"/>
      <c r="P1670"/>
      <c r="Q1670" t="s">
        <v>3731</v>
      </c>
      <c r="R1670"/>
      <c r="S1670"/>
      <c r="T1670"/>
      <c r="U1670" t="s">
        <v>137</v>
      </c>
      <c r="V1670" t="s">
        <v>403</v>
      </c>
      <c r="W1670"/>
      <c r="X1670" t="s">
        <v>68</v>
      </c>
      <c r="Y1670"/>
      <c r="Z1670"/>
      <c r="AA1670" t="s">
        <v>3899</v>
      </c>
      <c r="AB1670" t="s">
        <v>4</v>
      </c>
      <c r="AC1670" t="s">
        <v>138</v>
      </c>
      <c r="AD1670" t="s">
        <v>128</v>
      </c>
      <c r="AE1670" s="97"/>
    </row>
    <row r="1671" spans="1:31" ht="14.4" customHeight="1" x14ac:dyDescent="0.3">
      <c r="A1671" t="s">
        <v>3948</v>
      </c>
      <c r="B1671" t="s">
        <v>3949</v>
      </c>
      <c r="C1671"/>
      <c r="D1671"/>
      <c r="E1671"/>
      <c r="F1671"/>
      <c r="G1671" t="s">
        <v>3897</v>
      </c>
      <c r="H1671" t="s">
        <v>132</v>
      </c>
      <c r="I1671" t="s">
        <v>4</v>
      </c>
      <c r="J1671" t="s">
        <v>133</v>
      </c>
      <c r="K1671" t="s">
        <v>54</v>
      </c>
      <c r="L1671" t="s">
        <v>3898</v>
      </c>
      <c r="M1671" t="s">
        <v>134</v>
      </c>
      <c r="N1671" t="s">
        <v>135</v>
      </c>
      <c r="O1671"/>
      <c r="P1671"/>
      <c r="Q1671" t="s">
        <v>3731</v>
      </c>
      <c r="R1671"/>
      <c r="S1671"/>
      <c r="T1671"/>
      <c r="U1671" t="s">
        <v>137</v>
      </c>
      <c r="V1671" t="s">
        <v>407</v>
      </c>
      <c r="W1671"/>
      <c r="X1671" t="s">
        <v>77</v>
      </c>
      <c r="Y1671"/>
      <c r="Z1671"/>
      <c r="AA1671" t="s">
        <v>3899</v>
      </c>
      <c r="AB1671" t="s">
        <v>4</v>
      </c>
      <c r="AC1671" t="s">
        <v>138</v>
      </c>
      <c r="AD1671" t="s">
        <v>128</v>
      </c>
      <c r="AE1671" s="97"/>
    </row>
    <row r="1672" spans="1:31" ht="14.4" customHeight="1" x14ac:dyDescent="0.3">
      <c r="A1672" t="s">
        <v>3950</v>
      </c>
      <c r="B1672" t="s">
        <v>3951</v>
      </c>
      <c r="C1672"/>
      <c r="D1672"/>
      <c r="E1672"/>
      <c r="F1672"/>
      <c r="G1672" t="s">
        <v>3897</v>
      </c>
      <c r="H1672" t="s">
        <v>132</v>
      </c>
      <c r="I1672" t="s">
        <v>4</v>
      </c>
      <c r="J1672" t="s">
        <v>133</v>
      </c>
      <c r="K1672" t="s">
        <v>54</v>
      </c>
      <c r="L1672" t="s">
        <v>3898</v>
      </c>
      <c r="M1672" t="s">
        <v>134</v>
      </c>
      <c r="N1672" t="s">
        <v>135</v>
      </c>
      <c r="O1672"/>
      <c r="P1672"/>
      <c r="Q1672" t="s">
        <v>3731</v>
      </c>
      <c r="R1672"/>
      <c r="S1672"/>
      <c r="T1672"/>
      <c r="U1672" t="s">
        <v>137</v>
      </c>
      <c r="V1672" t="s">
        <v>411</v>
      </c>
      <c r="W1672"/>
      <c r="X1672" t="s">
        <v>87</v>
      </c>
      <c r="Y1672"/>
      <c r="Z1672"/>
      <c r="AA1672" t="s">
        <v>3899</v>
      </c>
      <c r="AB1672" t="s">
        <v>4</v>
      </c>
      <c r="AC1672" t="s">
        <v>138</v>
      </c>
      <c r="AD1672" t="s">
        <v>129</v>
      </c>
      <c r="AE1672" s="97"/>
    </row>
    <row r="1673" spans="1:31" ht="14.4" customHeight="1" x14ac:dyDescent="0.3">
      <c r="A1673" t="s">
        <v>3952</v>
      </c>
      <c r="B1673" t="s">
        <v>3953</v>
      </c>
      <c r="C1673"/>
      <c r="D1673"/>
      <c r="E1673"/>
      <c r="F1673"/>
      <c r="G1673" t="s">
        <v>3897</v>
      </c>
      <c r="H1673" t="s">
        <v>132</v>
      </c>
      <c r="I1673" t="s">
        <v>4</v>
      </c>
      <c r="J1673" t="s">
        <v>133</v>
      </c>
      <c r="K1673" t="s">
        <v>54</v>
      </c>
      <c r="L1673" t="s">
        <v>3898</v>
      </c>
      <c r="M1673" t="s">
        <v>134</v>
      </c>
      <c r="N1673" t="s">
        <v>135</v>
      </c>
      <c r="O1673"/>
      <c r="P1673"/>
      <c r="Q1673" t="s">
        <v>3731</v>
      </c>
      <c r="R1673"/>
      <c r="S1673"/>
      <c r="T1673"/>
      <c r="U1673" t="s">
        <v>137</v>
      </c>
      <c r="V1673" t="s">
        <v>415</v>
      </c>
      <c r="W1673"/>
      <c r="X1673" t="s">
        <v>96</v>
      </c>
      <c r="Y1673"/>
      <c r="Z1673"/>
      <c r="AA1673" t="s">
        <v>3899</v>
      </c>
      <c r="AB1673" t="s">
        <v>4</v>
      </c>
      <c r="AC1673" t="s">
        <v>138</v>
      </c>
      <c r="AD1673" t="s">
        <v>129</v>
      </c>
      <c r="AE1673" s="97"/>
    </row>
    <row r="1674" spans="1:31" ht="14.4" customHeight="1" x14ac:dyDescent="0.3">
      <c r="A1674" t="s">
        <v>3954</v>
      </c>
      <c r="B1674" t="s">
        <v>3955</v>
      </c>
      <c r="C1674"/>
      <c r="D1674"/>
      <c r="E1674"/>
      <c r="F1674"/>
      <c r="G1674" t="s">
        <v>3897</v>
      </c>
      <c r="H1674" t="s">
        <v>132</v>
      </c>
      <c r="I1674" t="s">
        <v>4</v>
      </c>
      <c r="J1674" t="s">
        <v>133</v>
      </c>
      <c r="K1674" t="s">
        <v>54</v>
      </c>
      <c r="L1674" t="s">
        <v>3898</v>
      </c>
      <c r="M1674" t="s">
        <v>134</v>
      </c>
      <c r="N1674" t="s">
        <v>135</v>
      </c>
      <c r="O1674"/>
      <c r="P1674"/>
      <c r="Q1674" t="s">
        <v>3731</v>
      </c>
      <c r="R1674"/>
      <c r="S1674"/>
      <c r="T1674"/>
      <c r="U1674" t="s">
        <v>137</v>
      </c>
      <c r="V1674" t="s">
        <v>419</v>
      </c>
      <c r="W1674"/>
      <c r="X1674" t="s">
        <v>105</v>
      </c>
      <c r="Y1674"/>
      <c r="Z1674"/>
      <c r="AA1674" t="s">
        <v>3899</v>
      </c>
      <c r="AB1674" t="s">
        <v>4</v>
      </c>
      <c r="AC1674" t="s">
        <v>138</v>
      </c>
      <c r="AD1674" t="s">
        <v>129</v>
      </c>
      <c r="AE1674" s="97"/>
    </row>
    <row r="1675" spans="1:31" ht="14.4" customHeight="1" x14ac:dyDescent="0.3">
      <c r="A1675" t="s">
        <v>3956</v>
      </c>
      <c r="B1675" t="s">
        <v>3957</v>
      </c>
      <c r="C1675"/>
      <c r="D1675"/>
      <c r="E1675"/>
      <c r="F1675"/>
      <c r="G1675" t="s">
        <v>3897</v>
      </c>
      <c r="H1675" t="s">
        <v>132</v>
      </c>
      <c r="I1675" t="s">
        <v>4</v>
      </c>
      <c r="J1675" t="s">
        <v>133</v>
      </c>
      <c r="K1675" t="s">
        <v>54</v>
      </c>
      <c r="L1675" t="s">
        <v>3898</v>
      </c>
      <c r="M1675" t="s">
        <v>134</v>
      </c>
      <c r="N1675" t="s">
        <v>135</v>
      </c>
      <c r="O1675"/>
      <c r="P1675"/>
      <c r="Q1675" t="s">
        <v>3731</v>
      </c>
      <c r="R1675"/>
      <c r="S1675"/>
      <c r="T1675"/>
      <c r="U1675" t="s">
        <v>137</v>
      </c>
      <c r="V1675" t="s">
        <v>423</v>
      </c>
      <c r="W1675"/>
      <c r="X1675" t="s">
        <v>112</v>
      </c>
      <c r="Y1675"/>
      <c r="Z1675"/>
      <c r="AA1675" t="s">
        <v>3899</v>
      </c>
      <c r="AB1675" t="s">
        <v>4</v>
      </c>
      <c r="AC1675" t="s">
        <v>138</v>
      </c>
      <c r="AD1675" t="s">
        <v>129</v>
      </c>
      <c r="AE1675" s="97"/>
    </row>
    <row r="1676" spans="1:31" ht="14.4" customHeight="1" x14ac:dyDescent="0.3">
      <c r="A1676" t="s">
        <v>3958</v>
      </c>
      <c r="B1676" t="s">
        <v>3959</v>
      </c>
      <c r="C1676"/>
      <c r="D1676"/>
      <c r="E1676"/>
      <c r="F1676"/>
      <c r="G1676" t="s">
        <v>3897</v>
      </c>
      <c r="H1676" t="s">
        <v>132</v>
      </c>
      <c r="I1676" t="s">
        <v>4</v>
      </c>
      <c r="J1676" t="s">
        <v>133</v>
      </c>
      <c r="K1676" t="s">
        <v>54</v>
      </c>
      <c r="L1676" t="s">
        <v>3898</v>
      </c>
      <c r="M1676" t="s">
        <v>134</v>
      </c>
      <c r="N1676" t="s">
        <v>135</v>
      </c>
      <c r="O1676"/>
      <c r="P1676"/>
      <c r="Q1676" t="s">
        <v>3731</v>
      </c>
      <c r="R1676"/>
      <c r="S1676"/>
      <c r="T1676"/>
      <c r="U1676" t="s">
        <v>137</v>
      </c>
      <c r="V1676" t="s">
        <v>427</v>
      </c>
      <c r="W1676"/>
      <c r="X1676" t="s">
        <v>121</v>
      </c>
      <c r="Y1676"/>
      <c r="Z1676"/>
      <c r="AA1676" t="s">
        <v>3899</v>
      </c>
      <c r="AB1676" t="s">
        <v>4</v>
      </c>
      <c r="AC1676" t="s">
        <v>138</v>
      </c>
      <c r="AD1676" t="s">
        <v>130</v>
      </c>
      <c r="AE1676" s="97"/>
    </row>
    <row r="1677" spans="1:31" ht="14.4" customHeight="1" x14ac:dyDescent="0.3">
      <c r="A1677" t="s">
        <v>3960</v>
      </c>
      <c r="B1677" t="s">
        <v>3961</v>
      </c>
      <c r="C1677"/>
      <c r="D1677"/>
      <c r="E1677"/>
      <c r="F1677"/>
      <c r="G1677" t="s">
        <v>3897</v>
      </c>
      <c r="H1677" t="s">
        <v>132</v>
      </c>
      <c r="I1677" t="s">
        <v>4</v>
      </c>
      <c r="J1677" t="s">
        <v>133</v>
      </c>
      <c r="K1677" t="s">
        <v>54</v>
      </c>
      <c r="L1677" t="s">
        <v>3898</v>
      </c>
      <c r="M1677" t="s">
        <v>134</v>
      </c>
      <c r="N1677" t="s">
        <v>135</v>
      </c>
      <c r="O1677"/>
      <c r="P1677"/>
      <c r="Q1677" t="s">
        <v>3731</v>
      </c>
      <c r="R1677"/>
      <c r="S1677"/>
      <c r="T1677"/>
      <c r="U1677" t="s">
        <v>137</v>
      </c>
      <c r="V1677" t="s">
        <v>1279</v>
      </c>
      <c r="W1677"/>
      <c r="X1677" t="s">
        <v>71</v>
      </c>
      <c r="Y1677"/>
      <c r="Z1677"/>
      <c r="AA1677" t="s">
        <v>3899</v>
      </c>
      <c r="AB1677" t="s">
        <v>4</v>
      </c>
      <c r="AC1677" t="s">
        <v>138</v>
      </c>
      <c r="AD1677" t="s">
        <v>128</v>
      </c>
      <c r="AE1677" s="97"/>
    </row>
    <row r="1678" spans="1:31" ht="14.4" customHeight="1" x14ac:dyDescent="0.3">
      <c r="A1678" t="s">
        <v>3962</v>
      </c>
      <c r="B1678" t="s">
        <v>3963</v>
      </c>
      <c r="C1678"/>
      <c r="D1678"/>
      <c r="E1678"/>
      <c r="F1678"/>
      <c r="G1678" t="s">
        <v>3897</v>
      </c>
      <c r="H1678" t="s">
        <v>132</v>
      </c>
      <c r="I1678" t="s">
        <v>4</v>
      </c>
      <c r="J1678" t="s">
        <v>133</v>
      </c>
      <c r="K1678" t="s">
        <v>54</v>
      </c>
      <c r="L1678" t="s">
        <v>3898</v>
      </c>
      <c r="M1678" t="s">
        <v>134</v>
      </c>
      <c r="N1678" t="s">
        <v>135</v>
      </c>
      <c r="O1678"/>
      <c r="P1678"/>
      <c r="Q1678" t="s">
        <v>3731</v>
      </c>
      <c r="R1678"/>
      <c r="S1678"/>
      <c r="T1678"/>
      <c r="U1678" t="s">
        <v>137</v>
      </c>
      <c r="V1678" t="s">
        <v>1283</v>
      </c>
      <c r="W1678"/>
      <c r="X1678" t="s">
        <v>78</v>
      </c>
      <c r="Y1678"/>
      <c r="Z1678"/>
      <c r="AA1678" t="s">
        <v>3899</v>
      </c>
      <c r="AB1678" t="s">
        <v>4</v>
      </c>
      <c r="AC1678" t="s">
        <v>138</v>
      </c>
      <c r="AD1678" t="s">
        <v>128</v>
      </c>
      <c r="AE1678" s="97"/>
    </row>
    <row r="1679" spans="1:31" ht="14.4" customHeight="1" x14ac:dyDescent="0.3">
      <c r="A1679" t="s">
        <v>3964</v>
      </c>
      <c r="B1679" t="s">
        <v>3965</v>
      </c>
      <c r="C1679"/>
      <c r="D1679"/>
      <c r="E1679"/>
      <c r="F1679"/>
      <c r="G1679" t="s">
        <v>3897</v>
      </c>
      <c r="H1679" t="s">
        <v>132</v>
      </c>
      <c r="I1679" t="s">
        <v>4</v>
      </c>
      <c r="J1679" t="s">
        <v>133</v>
      </c>
      <c r="K1679" t="s">
        <v>54</v>
      </c>
      <c r="L1679" t="s">
        <v>3898</v>
      </c>
      <c r="M1679" t="s">
        <v>134</v>
      </c>
      <c r="N1679" t="s">
        <v>135</v>
      </c>
      <c r="O1679"/>
      <c r="P1679"/>
      <c r="Q1679" t="s">
        <v>3731</v>
      </c>
      <c r="R1679"/>
      <c r="S1679"/>
      <c r="T1679"/>
      <c r="U1679" t="s">
        <v>137</v>
      </c>
      <c r="V1679" t="s">
        <v>1287</v>
      </c>
      <c r="W1679"/>
      <c r="X1679" t="s">
        <v>89</v>
      </c>
      <c r="Y1679"/>
      <c r="Z1679"/>
      <c r="AA1679" t="s">
        <v>3899</v>
      </c>
      <c r="AB1679" t="s">
        <v>4</v>
      </c>
      <c r="AC1679" t="s">
        <v>138</v>
      </c>
      <c r="AD1679" t="s">
        <v>129</v>
      </c>
      <c r="AE1679" s="97"/>
    </row>
    <row r="1680" spans="1:31" ht="14.4" customHeight="1" x14ac:dyDescent="0.3">
      <c r="A1680" t="s">
        <v>3966</v>
      </c>
      <c r="B1680" t="s">
        <v>3967</v>
      </c>
      <c r="C1680"/>
      <c r="D1680"/>
      <c r="E1680"/>
      <c r="F1680"/>
      <c r="G1680" t="s">
        <v>3897</v>
      </c>
      <c r="H1680" t="s">
        <v>132</v>
      </c>
      <c r="I1680" t="s">
        <v>4</v>
      </c>
      <c r="J1680" t="s">
        <v>133</v>
      </c>
      <c r="K1680" t="s">
        <v>54</v>
      </c>
      <c r="L1680" t="s">
        <v>3898</v>
      </c>
      <c r="M1680" t="s">
        <v>134</v>
      </c>
      <c r="N1680" t="s">
        <v>135</v>
      </c>
      <c r="O1680"/>
      <c r="P1680"/>
      <c r="Q1680" t="s">
        <v>3731</v>
      </c>
      <c r="R1680"/>
      <c r="S1680"/>
      <c r="T1680"/>
      <c r="U1680" t="s">
        <v>137</v>
      </c>
      <c r="V1680" t="s">
        <v>1291</v>
      </c>
      <c r="W1680"/>
      <c r="X1680" t="s">
        <v>98</v>
      </c>
      <c r="Y1680"/>
      <c r="Z1680"/>
      <c r="AA1680" t="s">
        <v>3899</v>
      </c>
      <c r="AB1680" t="s">
        <v>4</v>
      </c>
      <c r="AC1680" t="s">
        <v>138</v>
      </c>
      <c r="AD1680" t="s">
        <v>129</v>
      </c>
      <c r="AE1680" s="97"/>
    </row>
    <row r="1681" spans="1:31" ht="14.4" customHeight="1" x14ac:dyDescent="0.3">
      <c r="A1681" t="s">
        <v>3968</v>
      </c>
      <c r="B1681" t="s">
        <v>3969</v>
      </c>
      <c r="C1681"/>
      <c r="D1681"/>
      <c r="E1681"/>
      <c r="F1681"/>
      <c r="G1681" t="s">
        <v>3897</v>
      </c>
      <c r="H1681" t="s">
        <v>132</v>
      </c>
      <c r="I1681" t="s">
        <v>4</v>
      </c>
      <c r="J1681" t="s">
        <v>133</v>
      </c>
      <c r="K1681" t="s">
        <v>54</v>
      </c>
      <c r="L1681" t="s">
        <v>3898</v>
      </c>
      <c r="M1681" t="s">
        <v>134</v>
      </c>
      <c r="N1681" t="s">
        <v>135</v>
      </c>
      <c r="O1681"/>
      <c r="P1681"/>
      <c r="Q1681" t="s">
        <v>3731</v>
      </c>
      <c r="R1681"/>
      <c r="S1681"/>
      <c r="T1681"/>
      <c r="U1681" t="s">
        <v>137</v>
      </c>
      <c r="V1681" t="s">
        <v>1295</v>
      </c>
      <c r="W1681"/>
      <c r="X1681" t="s">
        <v>107</v>
      </c>
      <c r="Y1681"/>
      <c r="Z1681"/>
      <c r="AA1681" t="s">
        <v>3899</v>
      </c>
      <c r="AB1681" t="s">
        <v>4</v>
      </c>
      <c r="AC1681" t="s">
        <v>138</v>
      </c>
      <c r="AD1681" t="s">
        <v>129</v>
      </c>
      <c r="AE1681" s="97"/>
    </row>
    <row r="1682" spans="1:31" ht="14.4" customHeight="1" x14ac:dyDescent="0.3">
      <c r="A1682" t="s">
        <v>3970</v>
      </c>
      <c r="B1682" t="s">
        <v>3971</v>
      </c>
      <c r="C1682"/>
      <c r="D1682"/>
      <c r="E1682"/>
      <c r="F1682"/>
      <c r="G1682" t="s">
        <v>3897</v>
      </c>
      <c r="H1682" t="s">
        <v>132</v>
      </c>
      <c r="I1682" t="s">
        <v>4</v>
      </c>
      <c r="J1682" t="s">
        <v>133</v>
      </c>
      <c r="K1682" t="s">
        <v>54</v>
      </c>
      <c r="L1682" t="s">
        <v>3898</v>
      </c>
      <c r="M1682" t="s">
        <v>134</v>
      </c>
      <c r="N1682" t="s">
        <v>135</v>
      </c>
      <c r="O1682"/>
      <c r="P1682"/>
      <c r="Q1682" t="s">
        <v>3731</v>
      </c>
      <c r="R1682"/>
      <c r="S1682"/>
      <c r="T1682"/>
      <c r="U1682" t="s">
        <v>137</v>
      </c>
      <c r="V1682" t="s">
        <v>1299</v>
      </c>
      <c r="W1682"/>
      <c r="X1682" t="s">
        <v>114</v>
      </c>
      <c r="Y1682"/>
      <c r="Z1682"/>
      <c r="AA1682" t="s">
        <v>3899</v>
      </c>
      <c r="AB1682" t="s">
        <v>4</v>
      </c>
      <c r="AC1682" t="s">
        <v>138</v>
      </c>
      <c r="AD1682" t="s">
        <v>129</v>
      </c>
      <c r="AE1682" s="97"/>
    </row>
    <row r="1683" spans="1:31" ht="14.4" customHeight="1" x14ac:dyDescent="0.3">
      <c r="A1683" t="s">
        <v>3972</v>
      </c>
      <c r="B1683" t="s">
        <v>3973</v>
      </c>
      <c r="C1683"/>
      <c r="D1683"/>
      <c r="E1683"/>
      <c r="F1683"/>
      <c r="G1683" t="s">
        <v>3897</v>
      </c>
      <c r="H1683" t="s">
        <v>132</v>
      </c>
      <c r="I1683" t="s">
        <v>4</v>
      </c>
      <c r="J1683" t="s">
        <v>133</v>
      </c>
      <c r="K1683" t="s">
        <v>54</v>
      </c>
      <c r="L1683" t="s">
        <v>3898</v>
      </c>
      <c r="M1683" t="s">
        <v>134</v>
      </c>
      <c r="N1683" t="s">
        <v>135</v>
      </c>
      <c r="O1683"/>
      <c r="P1683"/>
      <c r="Q1683" t="s">
        <v>3731</v>
      </c>
      <c r="R1683"/>
      <c r="S1683"/>
      <c r="T1683"/>
      <c r="U1683" t="s">
        <v>137</v>
      </c>
      <c r="V1683" t="s">
        <v>1303</v>
      </c>
      <c r="W1683"/>
      <c r="X1683" t="s">
        <v>123</v>
      </c>
      <c r="Y1683"/>
      <c r="Z1683"/>
      <c r="AA1683" t="s">
        <v>3899</v>
      </c>
      <c r="AB1683" t="s">
        <v>4</v>
      </c>
      <c r="AC1683" t="s">
        <v>138</v>
      </c>
      <c r="AD1683" t="s">
        <v>130</v>
      </c>
      <c r="AE1683" s="97"/>
    </row>
    <row r="1684" spans="1:31" ht="14.4" customHeight="1" x14ac:dyDescent="0.3">
      <c r="A1684" t="s">
        <v>3974</v>
      </c>
      <c r="B1684" t="s">
        <v>3975</v>
      </c>
      <c r="C1684"/>
      <c r="D1684"/>
      <c r="E1684"/>
      <c r="F1684"/>
      <c r="G1684" t="s">
        <v>3897</v>
      </c>
      <c r="H1684" t="s">
        <v>132</v>
      </c>
      <c r="I1684" t="s">
        <v>4</v>
      </c>
      <c r="J1684" t="s">
        <v>133</v>
      </c>
      <c r="K1684" t="s">
        <v>54</v>
      </c>
      <c r="L1684" t="s">
        <v>3898</v>
      </c>
      <c r="M1684" t="s">
        <v>134</v>
      </c>
      <c r="N1684" t="s">
        <v>135</v>
      </c>
      <c r="O1684"/>
      <c r="P1684"/>
      <c r="Q1684" t="s">
        <v>3731</v>
      </c>
      <c r="R1684"/>
      <c r="S1684"/>
      <c r="T1684"/>
      <c r="U1684" t="s">
        <v>137</v>
      </c>
      <c r="V1684" t="s">
        <v>703</v>
      </c>
      <c r="W1684"/>
      <c r="X1684" t="s">
        <v>62</v>
      </c>
      <c r="Y1684"/>
      <c r="Z1684"/>
      <c r="AA1684" t="s">
        <v>3899</v>
      </c>
      <c r="AB1684" t="s">
        <v>4</v>
      </c>
      <c r="AC1684" t="s">
        <v>138</v>
      </c>
      <c r="AD1684" t="s">
        <v>128</v>
      </c>
      <c r="AE1684" s="97"/>
    </row>
    <row r="1685" spans="1:31" ht="14.4" customHeight="1" x14ac:dyDescent="0.3">
      <c r="A1685" t="s">
        <v>3976</v>
      </c>
      <c r="B1685" t="s">
        <v>3977</v>
      </c>
      <c r="C1685"/>
      <c r="D1685"/>
      <c r="E1685"/>
      <c r="F1685"/>
      <c r="G1685" t="s">
        <v>3897</v>
      </c>
      <c r="H1685" t="s">
        <v>132</v>
      </c>
      <c r="I1685" t="s">
        <v>4</v>
      </c>
      <c r="J1685" t="s">
        <v>133</v>
      </c>
      <c r="K1685" t="s">
        <v>54</v>
      </c>
      <c r="L1685" t="s">
        <v>3898</v>
      </c>
      <c r="M1685" t="s">
        <v>134</v>
      </c>
      <c r="N1685" t="s">
        <v>135</v>
      </c>
      <c r="O1685"/>
      <c r="P1685"/>
      <c r="Q1685" t="s">
        <v>3731</v>
      </c>
      <c r="R1685"/>
      <c r="S1685"/>
      <c r="T1685"/>
      <c r="U1685" t="s">
        <v>137</v>
      </c>
      <c r="V1685" t="s">
        <v>709</v>
      </c>
      <c r="W1685"/>
      <c r="X1685" t="s">
        <v>73</v>
      </c>
      <c r="Y1685"/>
      <c r="Z1685"/>
      <c r="AA1685" t="s">
        <v>3899</v>
      </c>
      <c r="AB1685" t="s">
        <v>4</v>
      </c>
      <c r="AC1685" t="s">
        <v>138</v>
      </c>
      <c r="AD1685" t="s">
        <v>128</v>
      </c>
      <c r="AE1685" s="97"/>
    </row>
    <row r="1686" spans="1:31" ht="14.4" customHeight="1" x14ac:dyDescent="0.3">
      <c r="A1686" t="s">
        <v>3978</v>
      </c>
      <c r="B1686" t="s">
        <v>3979</v>
      </c>
      <c r="C1686"/>
      <c r="D1686"/>
      <c r="E1686"/>
      <c r="F1686"/>
      <c r="G1686" t="s">
        <v>3897</v>
      </c>
      <c r="H1686" t="s">
        <v>132</v>
      </c>
      <c r="I1686" t="s">
        <v>4</v>
      </c>
      <c r="J1686" t="s">
        <v>133</v>
      </c>
      <c r="K1686" t="s">
        <v>54</v>
      </c>
      <c r="L1686" t="s">
        <v>3898</v>
      </c>
      <c r="M1686" t="s">
        <v>134</v>
      </c>
      <c r="N1686" t="s">
        <v>135</v>
      </c>
      <c r="O1686"/>
      <c r="P1686"/>
      <c r="Q1686" t="s">
        <v>3731</v>
      </c>
      <c r="R1686"/>
      <c r="S1686"/>
      <c r="T1686"/>
      <c r="U1686" t="s">
        <v>137</v>
      </c>
      <c r="V1686" t="s">
        <v>715</v>
      </c>
      <c r="W1686"/>
      <c r="X1686" t="s">
        <v>82</v>
      </c>
      <c r="Y1686"/>
      <c r="Z1686"/>
      <c r="AA1686" t="s">
        <v>3899</v>
      </c>
      <c r="AB1686" t="s">
        <v>4</v>
      </c>
      <c r="AC1686" t="s">
        <v>138</v>
      </c>
      <c r="AD1686" t="s">
        <v>129</v>
      </c>
      <c r="AE1686" s="97"/>
    </row>
    <row r="1687" spans="1:31" ht="14.4" customHeight="1" x14ac:dyDescent="0.3">
      <c r="A1687" t="s">
        <v>3980</v>
      </c>
      <c r="B1687" t="s">
        <v>3981</v>
      </c>
      <c r="C1687"/>
      <c r="D1687"/>
      <c r="E1687"/>
      <c r="F1687"/>
      <c r="G1687" t="s">
        <v>3897</v>
      </c>
      <c r="H1687" t="s">
        <v>132</v>
      </c>
      <c r="I1687" t="s">
        <v>4</v>
      </c>
      <c r="J1687" t="s">
        <v>133</v>
      </c>
      <c r="K1687" t="s">
        <v>54</v>
      </c>
      <c r="L1687" t="s">
        <v>3898</v>
      </c>
      <c r="M1687" t="s">
        <v>134</v>
      </c>
      <c r="N1687" t="s">
        <v>135</v>
      </c>
      <c r="O1687"/>
      <c r="P1687"/>
      <c r="Q1687" t="s">
        <v>3731</v>
      </c>
      <c r="R1687"/>
      <c r="S1687"/>
      <c r="T1687"/>
      <c r="U1687" t="s">
        <v>137</v>
      </c>
      <c r="V1687" t="s">
        <v>721</v>
      </c>
      <c r="W1687"/>
      <c r="X1687" t="s">
        <v>91</v>
      </c>
      <c r="Y1687"/>
      <c r="Z1687"/>
      <c r="AA1687" t="s">
        <v>3899</v>
      </c>
      <c r="AB1687" t="s">
        <v>4</v>
      </c>
      <c r="AC1687" t="s">
        <v>138</v>
      </c>
      <c r="AD1687" t="s">
        <v>129</v>
      </c>
      <c r="AE1687" s="97"/>
    </row>
    <row r="1688" spans="1:31" ht="14.4" customHeight="1" x14ac:dyDescent="0.3">
      <c r="A1688" t="s">
        <v>3982</v>
      </c>
      <c r="B1688" t="s">
        <v>3983</v>
      </c>
      <c r="C1688"/>
      <c r="D1688"/>
      <c r="E1688"/>
      <c r="F1688"/>
      <c r="G1688" t="s">
        <v>3897</v>
      </c>
      <c r="H1688" t="s">
        <v>132</v>
      </c>
      <c r="I1688" t="s">
        <v>4</v>
      </c>
      <c r="J1688" t="s">
        <v>133</v>
      </c>
      <c r="K1688" t="s">
        <v>54</v>
      </c>
      <c r="L1688" t="s">
        <v>3898</v>
      </c>
      <c r="M1688" t="s">
        <v>134</v>
      </c>
      <c r="N1688" t="s">
        <v>135</v>
      </c>
      <c r="O1688"/>
      <c r="P1688"/>
      <c r="Q1688" t="s">
        <v>3731</v>
      </c>
      <c r="R1688"/>
      <c r="S1688"/>
      <c r="T1688"/>
      <c r="U1688" t="s">
        <v>137</v>
      </c>
      <c r="V1688" t="s">
        <v>727</v>
      </c>
      <c r="W1688"/>
      <c r="X1688" t="s">
        <v>100</v>
      </c>
      <c r="Y1688"/>
      <c r="Z1688"/>
      <c r="AA1688" t="s">
        <v>3899</v>
      </c>
      <c r="AB1688" t="s">
        <v>4</v>
      </c>
      <c r="AC1688" t="s">
        <v>138</v>
      </c>
      <c r="AD1688" t="s">
        <v>129</v>
      </c>
      <c r="AE1688" s="97"/>
    </row>
    <row r="1689" spans="1:31" ht="14.4" customHeight="1" x14ac:dyDescent="0.3">
      <c r="A1689" t="s">
        <v>3984</v>
      </c>
      <c r="B1689" t="s">
        <v>3985</v>
      </c>
      <c r="C1689"/>
      <c r="D1689"/>
      <c r="E1689"/>
      <c r="F1689"/>
      <c r="G1689" t="s">
        <v>3897</v>
      </c>
      <c r="H1689" t="s">
        <v>132</v>
      </c>
      <c r="I1689" t="s">
        <v>4</v>
      </c>
      <c r="J1689" t="s">
        <v>133</v>
      </c>
      <c r="K1689" t="s">
        <v>54</v>
      </c>
      <c r="L1689" t="s">
        <v>3898</v>
      </c>
      <c r="M1689" t="s">
        <v>134</v>
      </c>
      <c r="N1689" t="s">
        <v>135</v>
      </c>
      <c r="O1689"/>
      <c r="P1689"/>
      <c r="Q1689" t="s">
        <v>3731</v>
      </c>
      <c r="R1689"/>
      <c r="S1689"/>
      <c r="T1689"/>
      <c r="U1689" t="s">
        <v>137</v>
      </c>
      <c r="V1689" t="s">
        <v>733</v>
      </c>
      <c r="W1689"/>
      <c r="X1689" t="s">
        <v>109</v>
      </c>
      <c r="Y1689"/>
      <c r="Z1689"/>
      <c r="AA1689" t="s">
        <v>3899</v>
      </c>
      <c r="AB1689" t="s">
        <v>4</v>
      </c>
      <c r="AC1689" t="s">
        <v>138</v>
      </c>
      <c r="AD1689" t="s">
        <v>129</v>
      </c>
      <c r="AE1689" s="97"/>
    </row>
    <row r="1690" spans="1:31" ht="14.4" customHeight="1" x14ac:dyDescent="0.3">
      <c r="A1690" t="s">
        <v>3986</v>
      </c>
      <c r="B1690" t="s">
        <v>3987</v>
      </c>
      <c r="C1690"/>
      <c r="D1690"/>
      <c r="E1690"/>
      <c r="F1690"/>
      <c r="G1690" t="s">
        <v>3897</v>
      </c>
      <c r="H1690" t="s">
        <v>132</v>
      </c>
      <c r="I1690" t="s">
        <v>4</v>
      </c>
      <c r="J1690" t="s">
        <v>133</v>
      </c>
      <c r="K1690" t="s">
        <v>54</v>
      </c>
      <c r="L1690" t="s">
        <v>3898</v>
      </c>
      <c r="M1690" t="s">
        <v>134</v>
      </c>
      <c r="N1690" t="s">
        <v>135</v>
      </c>
      <c r="O1690"/>
      <c r="P1690"/>
      <c r="Q1690" t="s">
        <v>3731</v>
      </c>
      <c r="R1690"/>
      <c r="S1690"/>
      <c r="T1690"/>
      <c r="U1690" t="s">
        <v>137</v>
      </c>
      <c r="V1690" t="s">
        <v>739</v>
      </c>
      <c r="W1690"/>
      <c r="X1690" t="s">
        <v>118</v>
      </c>
      <c r="Y1690"/>
      <c r="Z1690"/>
      <c r="AA1690" t="s">
        <v>3899</v>
      </c>
      <c r="AB1690" t="s">
        <v>4</v>
      </c>
      <c r="AC1690" t="s">
        <v>138</v>
      </c>
      <c r="AD1690" t="s">
        <v>130</v>
      </c>
      <c r="AE1690" s="97"/>
    </row>
    <row r="1691" spans="1:31" ht="14.4" customHeight="1" x14ac:dyDescent="0.3">
      <c r="A1691" t="s">
        <v>3988</v>
      </c>
      <c r="B1691" t="s">
        <v>3989</v>
      </c>
      <c r="C1691"/>
      <c r="D1691"/>
      <c r="E1691"/>
      <c r="F1691"/>
      <c r="G1691" t="s">
        <v>3897</v>
      </c>
      <c r="H1691" t="s">
        <v>132</v>
      </c>
      <c r="I1691" t="s">
        <v>4</v>
      </c>
      <c r="J1691" t="s">
        <v>133</v>
      </c>
      <c r="K1691" t="s">
        <v>54</v>
      </c>
      <c r="L1691" t="s">
        <v>3898</v>
      </c>
      <c r="M1691" t="s">
        <v>134</v>
      </c>
      <c r="N1691" t="s">
        <v>135</v>
      </c>
      <c r="O1691"/>
      <c r="P1691"/>
      <c r="Q1691" t="s">
        <v>3731</v>
      </c>
      <c r="R1691"/>
      <c r="S1691"/>
      <c r="T1691"/>
      <c r="U1691" t="s">
        <v>137</v>
      </c>
      <c r="V1691" t="s">
        <v>1967</v>
      </c>
      <c r="W1691"/>
      <c r="X1691" t="s">
        <v>125</v>
      </c>
      <c r="Y1691"/>
      <c r="Z1691"/>
      <c r="AA1691" t="s">
        <v>3899</v>
      </c>
      <c r="AB1691" t="s">
        <v>4</v>
      </c>
      <c r="AC1691" t="s">
        <v>138</v>
      </c>
      <c r="AD1691" t="s">
        <v>131</v>
      </c>
      <c r="AE1691" s="97"/>
    </row>
    <row r="1692" spans="1:31" ht="14.4" customHeight="1" x14ac:dyDescent="0.3">
      <c r="A1692" t="s">
        <v>3990</v>
      </c>
      <c r="B1692" t="s">
        <v>3991</v>
      </c>
      <c r="C1692"/>
      <c r="D1692"/>
      <c r="E1692"/>
      <c r="F1692"/>
      <c r="G1692" t="s">
        <v>3897</v>
      </c>
      <c r="H1692" t="s">
        <v>132</v>
      </c>
      <c r="I1692" t="s">
        <v>4</v>
      </c>
      <c r="J1692" t="s">
        <v>133</v>
      </c>
      <c r="K1692" t="s">
        <v>54</v>
      </c>
      <c r="L1692" t="s">
        <v>3898</v>
      </c>
      <c r="M1692" t="s">
        <v>134</v>
      </c>
      <c r="N1692" t="s">
        <v>135</v>
      </c>
      <c r="O1692"/>
      <c r="P1692"/>
      <c r="Q1692" t="s">
        <v>3731</v>
      </c>
      <c r="R1692"/>
      <c r="S1692"/>
      <c r="T1692"/>
      <c r="U1692" t="s">
        <v>137</v>
      </c>
      <c r="V1692" t="s">
        <v>1259</v>
      </c>
      <c r="W1692"/>
      <c r="X1692" t="s">
        <v>126</v>
      </c>
      <c r="Y1692"/>
      <c r="Z1692"/>
      <c r="AA1692" t="s">
        <v>3899</v>
      </c>
      <c r="AB1692" t="s">
        <v>4</v>
      </c>
      <c r="AC1692" t="s">
        <v>138</v>
      </c>
      <c r="AD1692" t="s">
        <v>131</v>
      </c>
      <c r="AE1692" s="97"/>
    </row>
    <row r="1693" spans="1:31" ht="14.4" customHeight="1" x14ac:dyDescent="0.3">
      <c r="A1693" t="s">
        <v>3992</v>
      </c>
      <c r="B1693" t="s">
        <v>3993</v>
      </c>
      <c r="C1693"/>
      <c r="D1693"/>
      <c r="E1693"/>
      <c r="F1693"/>
      <c r="G1693" t="s">
        <v>3897</v>
      </c>
      <c r="H1693" t="s">
        <v>132</v>
      </c>
      <c r="I1693" t="s">
        <v>4</v>
      </c>
      <c r="J1693" t="s">
        <v>133</v>
      </c>
      <c r="K1693" t="s">
        <v>54</v>
      </c>
      <c r="L1693" t="s">
        <v>3898</v>
      </c>
      <c r="M1693" t="s">
        <v>134</v>
      </c>
      <c r="N1693" t="s">
        <v>135</v>
      </c>
      <c r="O1693"/>
      <c r="P1693"/>
      <c r="Q1693" t="s">
        <v>3731</v>
      </c>
      <c r="R1693"/>
      <c r="S1693"/>
      <c r="T1693"/>
      <c r="U1693" t="s">
        <v>137</v>
      </c>
      <c r="V1693" t="s">
        <v>1263</v>
      </c>
      <c r="W1693"/>
      <c r="X1693" t="s">
        <v>69</v>
      </c>
      <c r="Y1693"/>
      <c r="Z1693"/>
      <c r="AA1693" t="s">
        <v>3899</v>
      </c>
      <c r="AB1693" t="s">
        <v>4</v>
      </c>
      <c r="AC1693" t="s">
        <v>138</v>
      </c>
      <c r="AD1693" t="s">
        <v>128</v>
      </c>
      <c r="AE1693" s="97"/>
    </row>
    <row r="1694" spans="1:31" ht="14.4" customHeight="1" x14ac:dyDescent="0.3">
      <c r="A1694" t="s">
        <v>3995</v>
      </c>
      <c r="B1694" t="s">
        <v>1886</v>
      </c>
      <c r="C1694"/>
      <c r="D1694"/>
      <c r="E1694"/>
      <c r="F1694"/>
      <c r="G1694" t="s">
        <v>3994</v>
      </c>
      <c r="H1694" t="s">
        <v>132</v>
      </c>
      <c r="I1694" t="s">
        <v>4</v>
      </c>
      <c r="J1694" t="s">
        <v>133</v>
      </c>
      <c r="K1694" t="s">
        <v>54</v>
      </c>
      <c r="L1694" t="s">
        <v>1887</v>
      </c>
      <c r="M1694" t="s">
        <v>134</v>
      </c>
      <c r="N1694" t="s">
        <v>135</v>
      </c>
      <c r="O1694"/>
      <c r="P1694"/>
      <c r="Q1694" t="s">
        <v>140</v>
      </c>
      <c r="R1694"/>
      <c r="S1694"/>
      <c r="T1694" t="s">
        <v>1888</v>
      </c>
      <c r="U1694" t="s">
        <v>137</v>
      </c>
      <c r="V1694" t="s">
        <v>147</v>
      </c>
      <c r="W1694" s="9">
        <v>46182.490903703707</v>
      </c>
      <c r="X1694" t="s">
        <v>70</v>
      </c>
      <c r="Y1694"/>
      <c r="Z1694"/>
      <c r="AA1694" t="s">
        <v>1884</v>
      </c>
      <c r="AB1694" t="s">
        <v>3</v>
      </c>
      <c r="AC1694" t="s">
        <v>24</v>
      </c>
      <c r="AD1694" t="s">
        <v>128</v>
      </c>
      <c r="AE1694" s="97"/>
    </row>
    <row r="1695" spans="1:31" ht="14.4" customHeight="1" x14ac:dyDescent="0.3">
      <c r="A1695" t="s">
        <v>3996</v>
      </c>
      <c r="B1695" t="s">
        <v>1890</v>
      </c>
      <c r="C1695"/>
      <c r="D1695"/>
      <c r="E1695"/>
      <c r="F1695"/>
      <c r="G1695" t="s">
        <v>3994</v>
      </c>
      <c r="H1695" t="s">
        <v>132</v>
      </c>
      <c r="I1695" t="s">
        <v>4</v>
      </c>
      <c r="J1695" t="s">
        <v>133</v>
      </c>
      <c r="K1695" t="s">
        <v>54</v>
      </c>
      <c r="L1695" t="s">
        <v>1891</v>
      </c>
      <c r="M1695" t="s">
        <v>134</v>
      </c>
      <c r="N1695" t="s">
        <v>135</v>
      </c>
      <c r="O1695"/>
      <c r="P1695"/>
      <c r="Q1695" t="s">
        <v>140</v>
      </c>
      <c r="R1695"/>
      <c r="S1695"/>
      <c r="T1695" t="s">
        <v>1892</v>
      </c>
      <c r="U1695" t="s">
        <v>137</v>
      </c>
      <c r="V1695" t="s">
        <v>150</v>
      </c>
      <c r="W1695" s="9">
        <v>46182.493968553237</v>
      </c>
      <c r="X1695" t="s">
        <v>76</v>
      </c>
      <c r="Y1695"/>
      <c r="Z1695"/>
      <c r="AA1695" t="s">
        <v>1884</v>
      </c>
      <c r="AB1695" t="s">
        <v>3</v>
      </c>
      <c r="AC1695" t="s">
        <v>24</v>
      </c>
      <c r="AD1695" t="s">
        <v>128</v>
      </c>
      <c r="AE1695" s="97"/>
    </row>
    <row r="1696" spans="1:31" ht="14.4" customHeight="1" x14ac:dyDescent="0.3">
      <c r="A1696" t="s">
        <v>3997</v>
      </c>
      <c r="B1696" t="s">
        <v>1894</v>
      </c>
      <c r="C1696"/>
      <c r="D1696"/>
      <c r="E1696"/>
      <c r="F1696"/>
      <c r="G1696" t="s">
        <v>3994</v>
      </c>
      <c r="H1696" t="s">
        <v>132</v>
      </c>
      <c r="I1696" t="s">
        <v>4</v>
      </c>
      <c r="J1696" t="s">
        <v>133</v>
      </c>
      <c r="K1696" t="s">
        <v>54</v>
      </c>
      <c r="L1696" t="s">
        <v>1895</v>
      </c>
      <c r="M1696" t="s">
        <v>134</v>
      </c>
      <c r="N1696" t="s">
        <v>135</v>
      </c>
      <c r="O1696"/>
      <c r="P1696"/>
      <c r="Q1696" t="s">
        <v>140</v>
      </c>
      <c r="R1696"/>
      <c r="S1696"/>
      <c r="T1696" t="s">
        <v>1896</v>
      </c>
      <c r="U1696" t="s">
        <v>137</v>
      </c>
      <c r="V1696" t="s">
        <v>153</v>
      </c>
      <c r="W1696" s="9">
        <v>46184.333023148145</v>
      </c>
      <c r="X1696" t="s">
        <v>88</v>
      </c>
      <c r="Y1696"/>
      <c r="Z1696"/>
      <c r="AA1696" t="s">
        <v>1884</v>
      </c>
      <c r="AB1696" t="s">
        <v>3</v>
      </c>
      <c r="AC1696" t="s">
        <v>24</v>
      </c>
      <c r="AD1696" t="s">
        <v>129</v>
      </c>
      <c r="AE1696" s="97"/>
    </row>
    <row r="1697" spans="1:31" ht="14.4" customHeight="1" x14ac:dyDescent="0.3">
      <c r="A1697" t="s">
        <v>3998</v>
      </c>
      <c r="B1697" t="s">
        <v>1898</v>
      </c>
      <c r="C1697"/>
      <c r="D1697"/>
      <c r="E1697"/>
      <c r="F1697"/>
      <c r="G1697" t="s">
        <v>3994</v>
      </c>
      <c r="H1697" t="s">
        <v>132</v>
      </c>
      <c r="I1697" t="s">
        <v>4</v>
      </c>
      <c r="J1697" t="s">
        <v>133</v>
      </c>
      <c r="K1697" t="s">
        <v>54</v>
      </c>
      <c r="L1697" t="s">
        <v>1899</v>
      </c>
      <c r="M1697" t="s">
        <v>134</v>
      </c>
      <c r="N1697" t="s">
        <v>135</v>
      </c>
      <c r="O1697"/>
      <c r="P1697"/>
      <c r="Q1697" t="s">
        <v>140</v>
      </c>
      <c r="R1697"/>
      <c r="S1697"/>
      <c r="T1697" t="s">
        <v>1900</v>
      </c>
      <c r="U1697" t="s">
        <v>137</v>
      </c>
      <c r="V1697" t="s">
        <v>156</v>
      </c>
      <c r="W1697" s="9">
        <v>46184.333499270833</v>
      </c>
      <c r="X1697" t="s">
        <v>97</v>
      </c>
      <c r="Y1697"/>
      <c r="Z1697"/>
      <c r="AA1697" t="s">
        <v>1884</v>
      </c>
      <c r="AB1697" t="s">
        <v>3</v>
      </c>
      <c r="AC1697" t="s">
        <v>24</v>
      </c>
      <c r="AD1697" t="s">
        <v>129</v>
      </c>
      <c r="AE1697" s="97"/>
    </row>
    <row r="1698" spans="1:31" ht="14.4" customHeight="1" x14ac:dyDescent="0.3">
      <c r="A1698" t="s">
        <v>3999</v>
      </c>
      <c r="B1698" t="s">
        <v>1902</v>
      </c>
      <c r="C1698"/>
      <c r="D1698"/>
      <c r="E1698"/>
      <c r="F1698"/>
      <c r="G1698" t="s">
        <v>3994</v>
      </c>
      <c r="H1698" t="s">
        <v>132</v>
      </c>
      <c r="I1698" t="s">
        <v>4</v>
      </c>
      <c r="J1698" t="s">
        <v>133</v>
      </c>
      <c r="K1698" t="s">
        <v>54</v>
      </c>
      <c r="L1698" t="s">
        <v>1903</v>
      </c>
      <c r="M1698" t="s">
        <v>134</v>
      </c>
      <c r="N1698" t="s">
        <v>135</v>
      </c>
      <c r="O1698"/>
      <c r="P1698"/>
      <c r="Q1698" t="s">
        <v>140</v>
      </c>
      <c r="R1698"/>
      <c r="S1698"/>
      <c r="T1698" t="s">
        <v>1904</v>
      </c>
      <c r="U1698" t="s">
        <v>137</v>
      </c>
      <c r="V1698" t="s">
        <v>159</v>
      </c>
      <c r="W1698" s="9">
        <v>46184.333936574076</v>
      </c>
      <c r="X1698" t="s">
        <v>106</v>
      </c>
      <c r="Y1698"/>
      <c r="Z1698"/>
      <c r="AA1698" t="s">
        <v>1884</v>
      </c>
      <c r="AB1698" t="s">
        <v>3</v>
      </c>
      <c r="AC1698" t="s">
        <v>24</v>
      </c>
      <c r="AD1698" t="s">
        <v>129</v>
      </c>
      <c r="AE1698" s="97"/>
    </row>
    <row r="1699" spans="1:31" ht="14.4" customHeight="1" x14ac:dyDescent="0.3">
      <c r="A1699" t="s">
        <v>4000</v>
      </c>
      <c r="B1699" t="s">
        <v>1906</v>
      </c>
      <c r="C1699"/>
      <c r="D1699"/>
      <c r="E1699"/>
      <c r="F1699"/>
      <c r="G1699" t="s">
        <v>3994</v>
      </c>
      <c r="H1699" t="s">
        <v>132</v>
      </c>
      <c r="I1699" t="s">
        <v>4</v>
      </c>
      <c r="J1699" t="s">
        <v>133</v>
      </c>
      <c r="K1699" t="s">
        <v>54</v>
      </c>
      <c r="L1699" t="s">
        <v>1907</v>
      </c>
      <c r="M1699" t="s">
        <v>134</v>
      </c>
      <c r="N1699" t="s">
        <v>135</v>
      </c>
      <c r="O1699"/>
      <c r="P1699"/>
      <c r="Q1699" t="s">
        <v>140</v>
      </c>
      <c r="R1699"/>
      <c r="S1699"/>
      <c r="T1699" t="s">
        <v>1908</v>
      </c>
      <c r="U1699" t="s">
        <v>137</v>
      </c>
      <c r="V1699" t="s">
        <v>162</v>
      </c>
      <c r="W1699" s="9">
        <v>46184.334411226853</v>
      </c>
      <c r="X1699" t="s">
        <v>113</v>
      </c>
      <c r="Y1699"/>
      <c r="Z1699"/>
      <c r="AA1699" t="s">
        <v>1884</v>
      </c>
      <c r="AB1699" t="s">
        <v>3</v>
      </c>
      <c r="AC1699" t="s">
        <v>24</v>
      </c>
      <c r="AD1699" t="s">
        <v>129</v>
      </c>
      <c r="AE1699" s="97"/>
    </row>
    <row r="1700" spans="1:31" ht="14.4" customHeight="1" x14ac:dyDescent="0.3">
      <c r="A1700" t="s">
        <v>4001</v>
      </c>
      <c r="B1700" t="s">
        <v>1910</v>
      </c>
      <c r="C1700"/>
      <c r="D1700"/>
      <c r="E1700"/>
      <c r="F1700"/>
      <c r="G1700" t="s">
        <v>3994</v>
      </c>
      <c r="H1700" t="s">
        <v>132</v>
      </c>
      <c r="I1700" t="s">
        <v>4</v>
      </c>
      <c r="J1700" t="s">
        <v>133</v>
      </c>
      <c r="K1700" t="s">
        <v>54</v>
      </c>
      <c r="L1700" t="s">
        <v>1911</v>
      </c>
      <c r="M1700" t="s">
        <v>134</v>
      </c>
      <c r="N1700" t="s">
        <v>135</v>
      </c>
      <c r="O1700"/>
      <c r="P1700"/>
      <c r="Q1700" t="s">
        <v>140</v>
      </c>
      <c r="R1700"/>
      <c r="S1700"/>
      <c r="T1700" t="s">
        <v>1912</v>
      </c>
      <c r="U1700" t="s">
        <v>137</v>
      </c>
      <c r="V1700" t="s">
        <v>165</v>
      </c>
      <c r="W1700" s="9">
        <v>46184.524250115741</v>
      </c>
      <c r="X1700" t="s">
        <v>122</v>
      </c>
      <c r="Y1700"/>
      <c r="Z1700"/>
      <c r="AA1700" t="s">
        <v>1884</v>
      </c>
      <c r="AB1700" t="s">
        <v>3</v>
      </c>
      <c r="AC1700" t="s">
        <v>24</v>
      </c>
      <c r="AD1700" t="s">
        <v>130</v>
      </c>
      <c r="AE1700" s="97"/>
    </row>
    <row r="1701" spans="1:31" ht="14.4" customHeight="1" x14ac:dyDescent="0.3">
      <c r="A1701" t="s">
        <v>4002</v>
      </c>
      <c r="B1701" t="s">
        <v>1914</v>
      </c>
      <c r="C1701"/>
      <c r="D1701"/>
      <c r="E1701"/>
      <c r="F1701"/>
      <c r="G1701" t="s">
        <v>3994</v>
      </c>
      <c r="H1701" t="s">
        <v>132</v>
      </c>
      <c r="I1701" t="s">
        <v>4</v>
      </c>
      <c r="J1701" t="s">
        <v>133</v>
      </c>
      <c r="K1701" t="s">
        <v>54</v>
      </c>
      <c r="L1701" t="s">
        <v>1915</v>
      </c>
      <c r="M1701" t="s">
        <v>134</v>
      </c>
      <c r="N1701" t="s">
        <v>135</v>
      </c>
      <c r="O1701"/>
      <c r="P1701"/>
      <c r="Q1701" t="s">
        <v>140</v>
      </c>
      <c r="R1701"/>
      <c r="S1701"/>
      <c r="T1701" t="s">
        <v>1916</v>
      </c>
      <c r="U1701" t="s">
        <v>137</v>
      </c>
      <c r="V1701" t="s">
        <v>362</v>
      </c>
      <c r="W1701" s="9">
        <v>46182.494369826389</v>
      </c>
      <c r="X1701" t="s">
        <v>58</v>
      </c>
      <c r="Y1701"/>
      <c r="Z1701"/>
      <c r="AA1701" t="s">
        <v>1884</v>
      </c>
      <c r="AB1701" t="s">
        <v>3</v>
      </c>
      <c r="AC1701" t="s">
        <v>24</v>
      </c>
      <c r="AD1701" t="s">
        <v>128</v>
      </c>
      <c r="AE1701" s="97"/>
    </row>
    <row r="1702" spans="1:31" ht="14.4" customHeight="1" x14ac:dyDescent="0.3">
      <c r="A1702" t="s">
        <v>4003</v>
      </c>
      <c r="B1702" t="s">
        <v>1918</v>
      </c>
      <c r="C1702"/>
      <c r="D1702"/>
      <c r="E1702"/>
      <c r="F1702"/>
      <c r="G1702" t="s">
        <v>3994</v>
      </c>
      <c r="H1702" t="s">
        <v>132</v>
      </c>
      <c r="I1702" t="s">
        <v>4</v>
      </c>
      <c r="J1702" t="s">
        <v>133</v>
      </c>
      <c r="K1702" t="s">
        <v>54</v>
      </c>
      <c r="L1702" t="s">
        <v>1919</v>
      </c>
      <c r="M1702" t="s">
        <v>134</v>
      </c>
      <c r="N1702" t="s">
        <v>135</v>
      </c>
      <c r="O1702"/>
      <c r="P1702"/>
      <c r="Q1702" t="s">
        <v>140</v>
      </c>
      <c r="R1702"/>
      <c r="S1702"/>
      <c r="T1702" t="s">
        <v>1920</v>
      </c>
      <c r="U1702" t="s">
        <v>137</v>
      </c>
      <c r="V1702" t="s">
        <v>403</v>
      </c>
      <c r="W1702" s="9">
        <v>46182.495302696756</v>
      </c>
      <c r="X1702" t="s">
        <v>68</v>
      </c>
      <c r="Y1702"/>
      <c r="Z1702"/>
      <c r="AA1702" t="s">
        <v>1884</v>
      </c>
      <c r="AB1702" t="s">
        <v>3</v>
      </c>
      <c r="AC1702" t="s">
        <v>24</v>
      </c>
      <c r="AD1702" t="s">
        <v>128</v>
      </c>
      <c r="AE1702" s="97"/>
    </row>
    <row r="1703" spans="1:31" ht="14.4" customHeight="1" x14ac:dyDescent="0.3">
      <c r="A1703" t="s">
        <v>4004</v>
      </c>
      <c r="B1703" t="s">
        <v>1922</v>
      </c>
      <c r="C1703"/>
      <c r="D1703"/>
      <c r="E1703"/>
      <c r="F1703"/>
      <c r="G1703" t="s">
        <v>3994</v>
      </c>
      <c r="H1703" t="s">
        <v>132</v>
      </c>
      <c r="I1703" t="s">
        <v>4</v>
      </c>
      <c r="J1703" t="s">
        <v>133</v>
      </c>
      <c r="K1703" t="s">
        <v>54</v>
      </c>
      <c r="L1703" t="s">
        <v>1919</v>
      </c>
      <c r="M1703" t="s">
        <v>134</v>
      </c>
      <c r="N1703" t="s">
        <v>135</v>
      </c>
      <c r="O1703"/>
      <c r="P1703"/>
      <c r="Q1703" t="s">
        <v>140</v>
      </c>
      <c r="R1703"/>
      <c r="S1703"/>
      <c r="T1703" t="s">
        <v>1920</v>
      </c>
      <c r="U1703" t="s">
        <v>137</v>
      </c>
      <c r="V1703" t="s">
        <v>407</v>
      </c>
      <c r="W1703" s="9">
        <v>46182.497293287037</v>
      </c>
      <c r="X1703" t="s">
        <v>77</v>
      </c>
      <c r="Y1703"/>
      <c r="Z1703"/>
      <c r="AA1703" t="s">
        <v>1884</v>
      </c>
      <c r="AB1703" t="s">
        <v>3</v>
      </c>
      <c r="AC1703" t="s">
        <v>24</v>
      </c>
      <c r="AD1703" t="s">
        <v>128</v>
      </c>
      <c r="AE1703" s="97"/>
    </row>
    <row r="1704" spans="1:31" ht="14.4" customHeight="1" x14ac:dyDescent="0.3">
      <c r="A1704" t="s">
        <v>4005</v>
      </c>
      <c r="B1704" t="s">
        <v>1924</v>
      </c>
      <c r="C1704"/>
      <c r="D1704"/>
      <c r="E1704"/>
      <c r="F1704"/>
      <c r="G1704" t="s">
        <v>3994</v>
      </c>
      <c r="H1704" t="s">
        <v>132</v>
      </c>
      <c r="I1704" t="s">
        <v>4</v>
      </c>
      <c r="J1704" t="s">
        <v>133</v>
      </c>
      <c r="K1704" t="s">
        <v>54</v>
      </c>
      <c r="L1704" t="s">
        <v>1919</v>
      </c>
      <c r="M1704" t="s">
        <v>134</v>
      </c>
      <c r="N1704" t="s">
        <v>135</v>
      </c>
      <c r="O1704"/>
      <c r="P1704"/>
      <c r="Q1704" t="s">
        <v>140</v>
      </c>
      <c r="R1704"/>
      <c r="S1704"/>
      <c r="T1704" t="s">
        <v>1920</v>
      </c>
      <c r="U1704" t="s">
        <v>137</v>
      </c>
      <c r="V1704" t="s">
        <v>411</v>
      </c>
      <c r="W1704" s="9">
        <v>46184.331272303243</v>
      </c>
      <c r="X1704" t="s">
        <v>87</v>
      </c>
      <c r="Y1704"/>
      <c r="Z1704"/>
      <c r="AA1704" t="s">
        <v>1884</v>
      </c>
      <c r="AB1704" t="s">
        <v>3</v>
      </c>
      <c r="AC1704" t="s">
        <v>24</v>
      </c>
      <c r="AD1704" t="s">
        <v>129</v>
      </c>
      <c r="AE1704" s="97"/>
    </row>
    <row r="1705" spans="1:31" ht="14.4" customHeight="1" x14ac:dyDescent="0.3">
      <c r="A1705" t="s">
        <v>4006</v>
      </c>
      <c r="B1705" t="s">
        <v>1926</v>
      </c>
      <c r="C1705"/>
      <c r="D1705"/>
      <c r="E1705"/>
      <c r="F1705"/>
      <c r="G1705" t="s">
        <v>3994</v>
      </c>
      <c r="H1705" t="s">
        <v>132</v>
      </c>
      <c r="I1705" t="s">
        <v>4</v>
      </c>
      <c r="J1705" t="s">
        <v>133</v>
      </c>
      <c r="K1705" t="s">
        <v>54</v>
      </c>
      <c r="L1705" t="s">
        <v>1919</v>
      </c>
      <c r="M1705" t="s">
        <v>134</v>
      </c>
      <c r="N1705" t="s">
        <v>135</v>
      </c>
      <c r="O1705"/>
      <c r="P1705"/>
      <c r="Q1705" t="s">
        <v>140</v>
      </c>
      <c r="R1705"/>
      <c r="S1705"/>
      <c r="T1705" t="s">
        <v>1920</v>
      </c>
      <c r="U1705" t="s">
        <v>137</v>
      </c>
      <c r="V1705" t="s">
        <v>415</v>
      </c>
      <c r="W1705" s="9">
        <v>46184.33175582176</v>
      </c>
      <c r="X1705" t="s">
        <v>96</v>
      </c>
      <c r="Y1705"/>
      <c r="Z1705"/>
      <c r="AA1705" t="s">
        <v>1884</v>
      </c>
      <c r="AB1705" t="s">
        <v>3</v>
      </c>
      <c r="AC1705" t="s">
        <v>24</v>
      </c>
      <c r="AD1705" t="s">
        <v>129</v>
      </c>
      <c r="AE1705" s="97"/>
    </row>
    <row r="1706" spans="1:31" ht="14.4" customHeight="1" x14ac:dyDescent="0.3">
      <c r="A1706" t="s">
        <v>4007</v>
      </c>
      <c r="B1706" t="s">
        <v>1928</v>
      </c>
      <c r="C1706"/>
      <c r="D1706"/>
      <c r="E1706"/>
      <c r="F1706"/>
      <c r="G1706" t="s">
        <v>3994</v>
      </c>
      <c r="H1706" t="s">
        <v>132</v>
      </c>
      <c r="I1706" t="s">
        <v>4</v>
      </c>
      <c r="J1706" t="s">
        <v>133</v>
      </c>
      <c r="K1706" t="s">
        <v>54</v>
      </c>
      <c r="L1706" t="s">
        <v>1919</v>
      </c>
      <c r="M1706" t="s">
        <v>134</v>
      </c>
      <c r="N1706" t="s">
        <v>135</v>
      </c>
      <c r="O1706"/>
      <c r="P1706"/>
      <c r="Q1706" t="s">
        <v>140</v>
      </c>
      <c r="R1706"/>
      <c r="S1706"/>
      <c r="T1706" t="s">
        <v>1920</v>
      </c>
      <c r="U1706" t="s">
        <v>137</v>
      </c>
      <c r="V1706" t="s">
        <v>419</v>
      </c>
      <c r="W1706" s="9">
        <v>46184.332125775465</v>
      </c>
      <c r="X1706" t="s">
        <v>105</v>
      </c>
      <c r="Y1706"/>
      <c r="Z1706"/>
      <c r="AA1706" t="s">
        <v>1884</v>
      </c>
      <c r="AB1706" t="s">
        <v>3</v>
      </c>
      <c r="AC1706" t="s">
        <v>24</v>
      </c>
      <c r="AD1706" t="s">
        <v>129</v>
      </c>
      <c r="AE1706" s="97"/>
    </row>
    <row r="1707" spans="1:31" ht="14.4" customHeight="1" x14ac:dyDescent="0.3">
      <c r="A1707" t="s">
        <v>4008</v>
      </c>
      <c r="B1707" t="s">
        <v>1930</v>
      </c>
      <c r="C1707"/>
      <c r="D1707"/>
      <c r="E1707"/>
      <c r="F1707"/>
      <c r="G1707" t="s">
        <v>3994</v>
      </c>
      <c r="H1707" t="s">
        <v>132</v>
      </c>
      <c r="I1707" t="s">
        <v>4</v>
      </c>
      <c r="J1707" t="s">
        <v>133</v>
      </c>
      <c r="K1707" t="s">
        <v>54</v>
      </c>
      <c r="L1707" t="s">
        <v>1919</v>
      </c>
      <c r="M1707" t="s">
        <v>134</v>
      </c>
      <c r="N1707" t="s">
        <v>135</v>
      </c>
      <c r="O1707"/>
      <c r="P1707"/>
      <c r="Q1707" t="s">
        <v>140</v>
      </c>
      <c r="R1707"/>
      <c r="S1707"/>
      <c r="T1707" t="s">
        <v>1920</v>
      </c>
      <c r="U1707" t="s">
        <v>137</v>
      </c>
      <c r="V1707" t="s">
        <v>423</v>
      </c>
      <c r="W1707" s="9">
        <v>46184.332560034723</v>
      </c>
      <c r="X1707" t="s">
        <v>112</v>
      </c>
      <c r="Y1707"/>
      <c r="Z1707"/>
      <c r="AA1707" t="s">
        <v>1884</v>
      </c>
      <c r="AB1707" t="s">
        <v>3</v>
      </c>
      <c r="AC1707" t="s">
        <v>24</v>
      </c>
      <c r="AD1707" t="s">
        <v>129</v>
      </c>
      <c r="AE1707" s="97"/>
    </row>
    <row r="1708" spans="1:31" ht="14.4" customHeight="1" x14ac:dyDescent="0.3">
      <c r="A1708" t="s">
        <v>4009</v>
      </c>
      <c r="B1708" t="s">
        <v>1932</v>
      </c>
      <c r="C1708"/>
      <c r="D1708"/>
      <c r="E1708"/>
      <c r="F1708"/>
      <c r="G1708" t="s">
        <v>3994</v>
      </c>
      <c r="H1708" t="s">
        <v>132</v>
      </c>
      <c r="I1708" t="s">
        <v>4</v>
      </c>
      <c r="J1708" t="s">
        <v>133</v>
      </c>
      <c r="K1708" t="s">
        <v>54</v>
      </c>
      <c r="L1708" t="s">
        <v>1919</v>
      </c>
      <c r="M1708" t="s">
        <v>134</v>
      </c>
      <c r="N1708" t="s">
        <v>135</v>
      </c>
      <c r="O1708"/>
      <c r="P1708"/>
      <c r="Q1708" t="s">
        <v>140</v>
      </c>
      <c r="R1708"/>
      <c r="S1708"/>
      <c r="T1708" t="s">
        <v>1920</v>
      </c>
      <c r="U1708" t="s">
        <v>137</v>
      </c>
      <c r="V1708" t="s">
        <v>427</v>
      </c>
      <c r="W1708" s="9">
        <v>46184.523790891202</v>
      </c>
      <c r="X1708" t="s">
        <v>121</v>
      </c>
      <c r="Y1708"/>
      <c r="Z1708"/>
      <c r="AA1708" t="s">
        <v>1884</v>
      </c>
      <c r="AB1708" t="s">
        <v>3</v>
      </c>
      <c r="AC1708" t="s">
        <v>24</v>
      </c>
      <c r="AD1708" t="s">
        <v>130</v>
      </c>
      <c r="AE1708" s="97"/>
    </row>
    <row r="1709" spans="1:31" ht="14.4" customHeight="1" x14ac:dyDescent="0.3">
      <c r="A1709" t="s">
        <v>4010</v>
      </c>
      <c r="B1709" t="s">
        <v>1934</v>
      </c>
      <c r="C1709"/>
      <c r="D1709"/>
      <c r="E1709"/>
      <c r="F1709"/>
      <c r="G1709" t="s">
        <v>3994</v>
      </c>
      <c r="H1709" t="s">
        <v>132</v>
      </c>
      <c r="I1709" t="s">
        <v>4</v>
      </c>
      <c r="J1709" t="s">
        <v>133</v>
      </c>
      <c r="K1709" t="s">
        <v>54</v>
      </c>
      <c r="L1709" t="s">
        <v>1935</v>
      </c>
      <c r="M1709" t="s">
        <v>134</v>
      </c>
      <c r="N1709" t="s">
        <v>135</v>
      </c>
      <c r="O1709"/>
      <c r="P1709"/>
      <c r="Q1709" t="s">
        <v>140</v>
      </c>
      <c r="R1709"/>
      <c r="S1709"/>
      <c r="T1709" t="s">
        <v>1936</v>
      </c>
      <c r="U1709" t="s">
        <v>137</v>
      </c>
      <c r="V1709" t="s">
        <v>640</v>
      </c>
      <c r="W1709" s="9">
        <v>46182.497856215276</v>
      </c>
      <c r="X1709" t="s">
        <v>66</v>
      </c>
      <c r="Y1709"/>
      <c r="Z1709"/>
      <c r="AA1709" t="s">
        <v>1884</v>
      </c>
      <c r="AB1709" t="s">
        <v>3</v>
      </c>
      <c r="AC1709" t="s">
        <v>24</v>
      </c>
      <c r="AD1709" t="s">
        <v>128</v>
      </c>
      <c r="AE1709" s="97"/>
    </row>
    <row r="1710" spans="1:31" ht="14.4" customHeight="1" x14ac:dyDescent="0.3">
      <c r="A1710" t="s">
        <v>4011</v>
      </c>
      <c r="B1710" t="s">
        <v>1938</v>
      </c>
      <c r="C1710"/>
      <c r="D1710"/>
      <c r="E1710"/>
      <c r="F1710"/>
      <c r="G1710" t="s">
        <v>3994</v>
      </c>
      <c r="H1710" t="s">
        <v>132</v>
      </c>
      <c r="I1710" t="s">
        <v>4</v>
      </c>
      <c r="J1710" t="s">
        <v>133</v>
      </c>
      <c r="K1710" t="s">
        <v>54</v>
      </c>
      <c r="L1710" t="s">
        <v>1935</v>
      </c>
      <c r="M1710" t="s">
        <v>134</v>
      </c>
      <c r="N1710" t="s">
        <v>135</v>
      </c>
      <c r="O1710"/>
      <c r="P1710"/>
      <c r="Q1710" t="s">
        <v>140</v>
      </c>
      <c r="R1710"/>
      <c r="S1710"/>
      <c r="T1710" t="s">
        <v>1936</v>
      </c>
      <c r="U1710" t="s">
        <v>137</v>
      </c>
      <c r="V1710" t="s">
        <v>646</v>
      </c>
      <c r="W1710" s="9">
        <v>46182.498463622687</v>
      </c>
      <c r="X1710" t="s">
        <v>74</v>
      </c>
      <c r="Y1710"/>
      <c r="Z1710"/>
      <c r="AA1710" t="s">
        <v>1884</v>
      </c>
      <c r="AB1710" t="s">
        <v>3</v>
      </c>
      <c r="AC1710" t="s">
        <v>24</v>
      </c>
      <c r="AD1710" t="s">
        <v>128</v>
      </c>
      <c r="AE1710" s="97"/>
    </row>
    <row r="1711" spans="1:31" ht="14.4" customHeight="1" x14ac:dyDescent="0.3">
      <c r="A1711" t="s">
        <v>4012</v>
      </c>
      <c r="B1711" t="s">
        <v>1940</v>
      </c>
      <c r="C1711"/>
      <c r="D1711"/>
      <c r="E1711"/>
      <c r="F1711"/>
      <c r="G1711" t="s">
        <v>3994</v>
      </c>
      <c r="H1711" t="s">
        <v>132</v>
      </c>
      <c r="I1711" t="s">
        <v>4</v>
      </c>
      <c r="J1711" t="s">
        <v>133</v>
      </c>
      <c r="K1711" t="s">
        <v>54</v>
      </c>
      <c r="L1711" t="s">
        <v>1935</v>
      </c>
      <c r="M1711" t="s">
        <v>134</v>
      </c>
      <c r="N1711" t="s">
        <v>135</v>
      </c>
      <c r="O1711"/>
      <c r="P1711"/>
      <c r="Q1711" t="s">
        <v>140</v>
      </c>
      <c r="R1711"/>
      <c r="S1711"/>
      <c r="T1711" t="s">
        <v>1936</v>
      </c>
      <c r="U1711" t="s">
        <v>137</v>
      </c>
      <c r="V1711" t="s">
        <v>652</v>
      </c>
      <c r="W1711" s="9">
        <v>46184.340320023148</v>
      </c>
      <c r="X1711" t="s">
        <v>85</v>
      </c>
      <c r="Y1711"/>
      <c r="Z1711"/>
      <c r="AA1711" t="s">
        <v>1884</v>
      </c>
      <c r="AB1711" t="s">
        <v>3</v>
      </c>
      <c r="AC1711" t="s">
        <v>24</v>
      </c>
      <c r="AD1711" t="s">
        <v>129</v>
      </c>
      <c r="AE1711" s="97"/>
    </row>
    <row r="1712" spans="1:31" ht="14.4" customHeight="1" x14ac:dyDescent="0.3">
      <c r="A1712" t="s">
        <v>4013</v>
      </c>
      <c r="B1712" t="s">
        <v>1942</v>
      </c>
      <c r="C1712"/>
      <c r="D1712"/>
      <c r="E1712"/>
      <c r="F1712"/>
      <c r="G1712" t="s">
        <v>3994</v>
      </c>
      <c r="H1712" t="s">
        <v>132</v>
      </c>
      <c r="I1712" t="s">
        <v>4</v>
      </c>
      <c r="J1712" t="s">
        <v>133</v>
      </c>
      <c r="K1712" t="s">
        <v>54</v>
      </c>
      <c r="L1712" t="s">
        <v>1935</v>
      </c>
      <c r="M1712" t="s">
        <v>134</v>
      </c>
      <c r="N1712" t="s">
        <v>135</v>
      </c>
      <c r="O1712"/>
      <c r="P1712"/>
      <c r="Q1712" t="s">
        <v>140</v>
      </c>
      <c r="R1712"/>
      <c r="S1712"/>
      <c r="T1712" t="s">
        <v>1936</v>
      </c>
      <c r="U1712" t="s">
        <v>137</v>
      </c>
      <c r="V1712" t="s">
        <v>658</v>
      </c>
      <c r="W1712" s="9">
        <v>46184.340879710646</v>
      </c>
      <c r="X1712" t="s">
        <v>94</v>
      </c>
      <c r="Y1712"/>
      <c r="Z1712"/>
      <c r="AA1712" t="s">
        <v>1884</v>
      </c>
      <c r="AB1712" t="s">
        <v>3</v>
      </c>
      <c r="AC1712" t="s">
        <v>24</v>
      </c>
      <c r="AD1712" t="s">
        <v>129</v>
      </c>
      <c r="AE1712" s="97"/>
    </row>
    <row r="1713" spans="1:31" ht="14.4" customHeight="1" x14ac:dyDescent="0.3">
      <c r="A1713" t="s">
        <v>4014</v>
      </c>
      <c r="B1713" t="s">
        <v>1944</v>
      </c>
      <c r="C1713"/>
      <c r="D1713"/>
      <c r="E1713"/>
      <c r="F1713"/>
      <c r="G1713" t="s">
        <v>3994</v>
      </c>
      <c r="H1713" t="s">
        <v>132</v>
      </c>
      <c r="I1713" t="s">
        <v>4</v>
      </c>
      <c r="J1713" t="s">
        <v>133</v>
      </c>
      <c r="K1713" t="s">
        <v>54</v>
      </c>
      <c r="L1713" t="s">
        <v>1935</v>
      </c>
      <c r="M1713" t="s">
        <v>134</v>
      </c>
      <c r="N1713" t="s">
        <v>135</v>
      </c>
      <c r="O1713"/>
      <c r="P1713"/>
      <c r="Q1713" t="s">
        <v>140</v>
      </c>
      <c r="R1713"/>
      <c r="S1713"/>
      <c r="T1713" t="s">
        <v>1936</v>
      </c>
      <c r="U1713" t="s">
        <v>137</v>
      </c>
      <c r="V1713" t="s">
        <v>664</v>
      </c>
      <c r="W1713" s="9">
        <v>46184.341420335651</v>
      </c>
      <c r="X1713" t="s">
        <v>103</v>
      </c>
      <c r="Y1713"/>
      <c r="Z1713"/>
      <c r="AA1713" t="s">
        <v>1884</v>
      </c>
      <c r="AB1713" t="s">
        <v>3</v>
      </c>
      <c r="AC1713" t="s">
        <v>24</v>
      </c>
      <c r="AD1713" t="s">
        <v>129</v>
      </c>
      <c r="AE1713" s="97"/>
    </row>
    <row r="1714" spans="1:31" ht="14.4" customHeight="1" x14ac:dyDescent="0.3">
      <c r="A1714" t="s">
        <v>4015</v>
      </c>
      <c r="B1714" t="s">
        <v>1946</v>
      </c>
      <c r="C1714"/>
      <c r="D1714"/>
      <c r="E1714"/>
      <c r="F1714"/>
      <c r="G1714" t="s">
        <v>3994</v>
      </c>
      <c r="H1714" t="s">
        <v>132</v>
      </c>
      <c r="I1714" t="s">
        <v>4</v>
      </c>
      <c r="J1714" t="s">
        <v>133</v>
      </c>
      <c r="K1714" t="s">
        <v>54</v>
      </c>
      <c r="L1714" t="s">
        <v>1935</v>
      </c>
      <c r="M1714" t="s">
        <v>134</v>
      </c>
      <c r="N1714" t="s">
        <v>135</v>
      </c>
      <c r="O1714"/>
      <c r="P1714"/>
      <c r="Q1714" t="s">
        <v>140</v>
      </c>
      <c r="R1714"/>
      <c r="S1714"/>
      <c r="T1714" t="s">
        <v>1936</v>
      </c>
      <c r="U1714" t="s">
        <v>137</v>
      </c>
      <c r="V1714" t="s">
        <v>670</v>
      </c>
      <c r="W1714" s="9">
        <v>46184.341850497687</v>
      </c>
      <c r="X1714" t="s">
        <v>110</v>
      </c>
      <c r="Y1714"/>
      <c r="Z1714"/>
      <c r="AA1714" t="s">
        <v>1884</v>
      </c>
      <c r="AB1714" t="s">
        <v>3</v>
      </c>
      <c r="AC1714" t="s">
        <v>24</v>
      </c>
      <c r="AD1714" t="s">
        <v>129</v>
      </c>
      <c r="AE1714" s="97"/>
    </row>
    <row r="1715" spans="1:31" ht="14.4" customHeight="1" x14ac:dyDescent="0.3">
      <c r="A1715" t="s">
        <v>4016</v>
      </c>
      <c r="B1715" t="s">
        <v>1948</v>
      </c>
      <c r="C1715"/>
      <c r="D1715"/>
      <c r="E1715"/>
      <c r="F1715"/>
      <c r="G1715" t="s">
        <v>3994</v>
      </c>
      <c r="H1715" t="s">
        <v>132</v>
      </c>
      <c r="I1715" t="s">
        <v>4</v>
      </c>
      <c r="J1715" t="s">
        <v>133</v>
      </c>
      <c r="K1715" t="s">
        <v>54</v>
      </c>
      <c r="L1715" t="s">
        <v>1949</v>
      </c>
      <c r="M1715" t="s">
        <v>134</v>
      </c>
      <c r="N1715" t="s">
        <v>135</v>
      </c>
      <c r="O1715"/>
      <c r="P1715"/>
      <c r="Q1715" t="s">
        <v>140</v>
      </c>
      <c r="R1715"/>
      <c r="S1715" t="s">
        <v>140</v>
      </c>
      <c r="T1715" t="s">
        <v>1950</v>
      </c>
      <c r="U1715" t="s">
        <v>137</v>
      </c>
      <c r="V1715" t="s">
        <v>1190</v>
      </c>
      <c r="W1715" s="9">
        <v>46182.498879363426</v>
      </c>
      <c r="X1715" t="s">
        <v>67</v>
      </c>
      <c r="Y1715"/>
      <c r="Z1715"/>
      <c r="AA1715" t="s">
        <v>1884</v>
      </c>
      <c r="AB1715" t="s">
        <v>3</v>
      </c>
      <c r="AC1715" t="s">
        <v>24</v>
      </c>
      <c r="AD1715" t="s">
        <v>128</v>
      </c>
      <c r="AE1715" s="97"/>
    </row>
    <row r="1716" spans="1:31" ht="14.4" customHeight="1" x14ac:dyDescent="0.3">
      <c r="A1716" t="s">
        <v>4017</v>
      </c>
      <c r="B1716" t="s">
        <v>1952</v>
      </c>
      <c r="C1716"/>
      <c r="D1716"/>
      <c r="E1716"/>
      <c r="F1716"/>
      <c r="G1716" t="s">
        <v>3994</v>
      </c>
      <c r="H1716" t="s">
        <v>132</v>
      </c>
      <c r="I1716" t="s">
        <v>4</v>
      </c>
      <c r="J1716" t="s">
        <v>133</v>
      </c>
      <c r="K1716" t="s">
        <v>54</v>
      </c>
      <c r="L1716" t="s">
        <v>1949</v>
      </c>
      <c r="M1716" t="s">
        <v>134</v>
      </c>
      <c r="N1716" t="s">
        <v>135</v>
      </c>
      <c r="O1716"/>
      <c r="P1716"/>
      <c r="Q1716" t="s">
        <v>140</v>
      </c>
      <c r="R1716"/>
      <c r="S1716"/>
      <c r="T1716" t="s">
        <v>1950</v>
      </c>
      <c r="U1716" t="s">
        <v>137</v>
      </c>
      <c r="V1716" t="s">
        <v>1194</v>
      </c>
      <c r="W1716" s="9">
        <v>46182.49923912037</v>
      </c>
      <c r="X1716" t="s">
        <v>75</v>
      </c>
      <c r="Y1716"/>
      <c r="Z1716"/>
      <c r="AA1716" t="s">
        <v>1884</v>
      </c>
      <c r="AB1716" t="s">
        <v>3</v>
      </c>
      <c r="AC1716" t="s">
        <v>24</v>
      </c>
      <c r="AD1716" t="s">
        <v>128</v>
      </c>
      <c r="AE1716" s="97"/>
    </row>
    <row r="1717" spans="1:31" ht="14.4" customHeight="1" x14ac:dyDescent="0.3">
      <c r="A1717" t="s">
        <v>4018</v>
      </c>
      <c r="B1717" t="s">
        <v>1954</v>
      </c>
      <c r="C1717"/>
      <c r="D1717"/>
      <c r="E1717"/>
      <c r="F1717"/>
      <c r="G1717" t="s">
        <v>3994</v>
      </c>
      <c r="H1717" t="s">
        <v>132</v>
      </c>
      <c r="I1717" t="s">
        <v>4</v>
      </c>
      <c r="J1717" t="s">
        <v>133</v>
      </c>
      <c r="K1717" t="s">
        <v>54</v>
      </c>
      <c r="L1717" t="s">
        <v>1949</v>
      </c>
      <c r="M1717" t="s">
        <v>134</v>
      </c>
      <c r="N1717" t="s">
        <v>135</v>
      </c>
      <c r="O1717"/>
      <c r="P1717"/>
      <c r="Q1717" t="s">
        <v>140</v>
      </c>
      <c r="R1717"/>
      <c r="S1717"/>
      <c r="T1717" t="s">
        <v>1950</v>
      </c>
      <c r="U1717" t="s">
        <v>137</v>
      </c>
      <c r="V1717" t="s">
        <v>1198</v>
      </c>
      <c r="W1717" s="9">
        <v>46184.344730358796</v>
      </c>
      <c r="X1717" t="s">
        <v>86</v>
      </c>
      <c r="Y1717"/>
      <c r="Z1717"/>
      <c r="AA1717" t="s">
        <v>1884</v>
      </c>
      <c r="AB1717" t="s">
        <v>3</v>
      </c>
      <c r="AC1717" t="s">
        <v>24</v>
      </c>
      <c r="AD1717" t="s">
        <v>129</v>
      </c>
      <c r="AE1717" s="97"/>
    </row>
    <row r="1718" spans="1:31" ht="14.4" customHeight="1" x14ac:dyDescent="0.3">
      <c r="A1718" t="s">
        <v>4019</v>
      </c>
      <c r="B1718" t="s">
        <v>1956</v>
      </c>
      <c r="C1718"/>
      <c r="D1718"/>
      <c r="E1718"/>
      <c r="F1718"/>
      <c r="G1718" t="s">
        <v>3994</v>
      </c>
      <c r="H1718" t="s">
        <v>132</v>
      </c>
      <c r="I1718" t="s">
        <v>4</v>
      </c>
      <c r="J1718" t="s">
        <v>133</v>
      </c>
      <c r="K1718" t="s">
        <v>54</v>
      </c>
      <c r="L1718" t="s">
        <v>1949</v>
      </c>
      <c r="M1718" t="s">
        <v>134</v>
      </c>
      <c r="N1718" t="s">
        <v>135</v>
      </c>
      <c r="O1718"/>
      <c r="P1718"/>
      <c r="Q1718" t="s">
        <v>140</v>
      </c>
      <c r="R1718"/>
      <c r="S1718"/>
      <c r="T1718" t="s">
        <v>1950</v>
      </c>
      <c r="U1718" t="s">
        <v>137</v>
      </c>
      <c r="V1718" t="s">
        <v>1202</v>
      </c>
      <c r="W1718" s="9">
        <v>46184.345134988427</v>
      </c>
      <c r="X1718" t="s">
        <v>95</v>
      </c>
      <c r="Y1718"/>
      <c r="Z1718"/>
      <c r="AA1718" t="s">
        <v>1884</v>
      </c>
      <c r="AB1718" t="s">
        <v>3</v>
      </c>
      <c r="AC1718" t="s">
        <v>24</v>
      </c>
      <c r="AD1718" t="s">
        <v>129</v>
      </c>
      <c r="AE1718" s="97"/>
    </row>
    <row r="1719" spans="1:31" ht="14.4" customHeight="1" x14ac:dyDescent="0.3">
      <c r="A1719" t="s">
        <v>4020</v>
      </c>
      <c r="B1719" t="s">
        <v>1958</v>
      </c>
      <c r="C1719"/>
      <c r="D1719"/>
      <c r="E1719"/>
      <c r="F1719"/>
      <c r="G1719" t="s">
        <v>3994</v>
      </c>
      <c r="H1719" t="s">
        <v>132</v>
      </c>
      <c r="I1719" t="s">
        <v>4</v>
      </c>
      <c r="J1719" t="s">
        <v>133</v>
      </c>
      <c r="K1719" t="s">
        <v>54</v>
      </c>
      <c r="L1719" t="s">
        <v>1949</v>
      </c>
      <c r="M1719" t="s">
        <v>134</v>
      </c>
      <c r="N1719" t="s">
        <v>135</v>
      </c>
      <c r="O1719"/>
      <c r="P1719"/>
      <c r="Q1719" t="s">
        <v>140</v>
      </c>
      <c r="R1719"/>
      <c r="S1719"/>
      <c r="T1719" t="s">
        <v>1950</v>
      </c>
      <c r="U1719" t="s">
        <v>137</v>
      </c>
      <c r="V1719" t="s">
        <v>1206</v>
      </c>
      <c r="W1719" s="9">
        <v>46184.345632326389</v>
      </c>
      <c r="X1719" t="s">
        <v>104</v>
      </c>
      <c r="Y1719"/>
      <c r="Z1719"/>
      <c r="AA1719" t="s">
        <v>1884</v>
      </c>
      <c r="AB1719" t="s">
        <v>3</v>
      </c>
      <c r="AC1719" t="s">
        <v>24</v>
      </c>
      <c r="AD1719" t="s">
        <v>129</v>
      </c>
      <c r="AE1719" s="97"/>
    </row>
    <row r="1720" spans="1:31" ht="14.4" customHeight="1" x14ac:dyDescent="0.3">
      <c r="A1720" t="s">
        <v>4021</v>
      </c>
      <c r="B1720" t="s">
        <v>1960</v>
      </c>
      <c r="C1720"/>
      <c r="D1720"/>
      <c r="E1720"/>
      <c r="F1720"/>
      <c r="G1720" t="s">
        <v>3994</v>
      </c>
      <c r="H1720" t="s">
        <v>132</v>
      </c>
      <c r="I1720" t="s">
        <v>4</v>
      </c>
      <c r="J1720" t="s">
        <v>133</v>
      </c>
      <c r="K1720" t="s">
        <v>54</v>
      </c>
      <c r="L1720" t="s">
        <v>1949</v>
      </c>
      <c r="M1720" t="s">
        <v>134</v>
      </c>
      <c r="N1720" t="s">
        <v>135</v>
      </c>
      <c r="O1720"/>
      <c r="P1720"/>
      <c r="Q1720" t="s">
        <v>140</v>
      </c>
      <c r="R1720"/>
      <c r="S1720"/>
      <c r="T1720" t="s">
        <v>1950</v>
      </c>
      <c r="U1720" t="s">
        <v>137</v>
      </c>
      <c r="V1720" t="s">
        <v>1210</v>
      </c>
      <c r="W1720" s="9">
        <v>46184.346494131947</v>
      </c>
      <c r="X1720" t="s">
        <v>111</v>
      </c>
      <c r="Y1720"/>
      <c r="Z1720"/>
      <c r="AA1720" t="s">
        <v>1884</v>
      </c>
      <c r="AB1720" t="s">
        <v>3</v>
      </c>
      <c r="AC1720" t="s">
        <v>24</v>
      </c>
      <c r="AD1720" t="s">
        <v>129</v>
      </c>
      <c r="AE1720" s="97"/>
    </row>
    <row r="1721" spans="1:31" ht="14.4" customHeight="1" x14ac:dyDescent="0.3">
      <c r="A1721" t="s">
        <v>4022</v>
      </c>
      <c r="B1721" t="s">
        <v>1962</v>
      </c>
      <c r="C1721"/>
      <c r="D1721"/>
      <c r="E1721"/>
      <c r="F1721"/>
      <c r="G1721" t="s">
        <v>3994</v>
      </c>
      <c r="H1721" t="s">
        <v>132</v>
      </c>
      <c r="I1721" t="s">
        <v>4</v>
      </c>
      <c r="J1721" t="s">
        <v>133</v>
      </c>
      <c r="K1721" t="s">
        <v>54</v>
      </c>
      <c r="L1721" t="s">
        <v>1949</v>
      </c>
      <c r="M1721" t="s">
        <v>134</v>
      </c>
      <c r="N1721" t="s">
        <v>135</v>
      </c>
      <c r="O1721"/>
      <c r="P1721"/>
      <c r="Q1721" t="s">
        <v>140</v>
      </c>
      <c r="R1721"/>
      <c r="S1721"/>
      <c r="T1721" t="s">
        <v>1950</v>
      </c>
      <c r="U1721" t="s">
        <v>137</v>
      </c>
      <c r="V1721" t="s">
        <v>1214</v>
      </c>
      <c r="W1721" s="9">
        <v>46184.52663202546</v>
      </c>
      <c r="X1721" t="s">
        <v>120</v>
      </c>
      <c r="Y1721"/>
      <c r="Z1721"/>
      <c r="AA1721" t="s">
        <v>1884</v>
      </c>
      <c r="AB1721" t="s">
        <v>3</v>
      </c>
      <c r="AC1721" t="s">
        <v>24</v>
      </c>
      <c r="AD1721" t="s">
        <v>130</v>
      </c>
      <c r="AE1721" s="97"/>
    </row>
    <row r="1722" spans="1:31" ht="14.4" customHeight="1" x14ac:dyDescent="0.3">
      <c r="A1722" t="s">
        <v>4023</v>
      </c>
      <c r="B1722" t="s">
        <v>1964</v>
      </c>
      <c r="C1722"/>
      <c r="D1722"/>
      <c r="E1722"/>
      <c r="F1722"/>
      <c r="G1722" t="s">
        <v>3994</v>
      </c>
      <c r="H1722" t="s">
        <v>132</v>
      </c>
      <c r="I1722" t="s">
        <v>4</v>
      </c>
      <c r="J1722" t="s">
        <v>133</v>
      </c>
      <c r="K1722" t="s">
        <v>54</v>
      </c>
      <c r="L1722" t="s">
        <v>1965</v>
      </c>
      <c r="M1722" t="s">
        <v>134</v>
      </c>
      <c r="N1722" t="s">
        <v>135</v>
      </c>
      <c r="O1722"/>
      <c r="P1722"/>
      <c r="Q1722" t="s">
        <v>140</v>
      </c>
      <c r="R1722"/>
      <c r="S1722"/>
      <c r="T1722" t="s">
        <v>1966</v>
      </c>
      <c r="U1722" t="s">
        <v>137</v>
      </c>
      <c r="V1722" t="s">
        <v>1967</v>
      </c>
      <c r="W1722" s="9">
        <v>46185.453759918979</v>
      </c>
      <c r="X1722" t="s">
        <v>125</v>
      </c>
      <c r="Y1722"/>
      <c r="Z1722"/>
      <c r="AA1722" t="s">
        <v>1884</v>
      </c>
      <c r="AB1722" t="s">
        <v>3</v>
      </c>
      <c r="AC1722" t="s">
        <v>24</v>
      </c>
      <c r="AD1722" t="s">
        <v>131</v>
      </c>
      <c r="AE1722" s="97"/>
    </row>
    <row r="1723" spans="1:31" ht="14.4" customHeight="1" x14ac:dyDescent="0.3">
      <c r="A1723" t="s">
        <v>4024</v>
      </c>
      <c r="B1723" t="s">
        <v>1969</v>
      </c>
      <c r="C1723"/>
      <c r="D1723"/>
      <c r="E1723"/>
      <c r="F1723"/>
      <c r="G1723" t="s">
        <v>3994</v>
      </c>
      <c r="H1723" t="s">
        <v>132</v>
      </c>
      <c r="I1723" t="s">
        <v>4</v>
      </c>
      <c r="J1723" t="s">
        <v>133</v>
      </c>
      <c r="K1723" t="s">
        <v>54</v>
      </c>
      <c r="L1723" t="s">
        <v>1970</v>
      </c>
      <c r="M1723" t="s">
        <v>134</v>
      </c>
      <c r="N1723" t="s">
        <v>135</v>
      </c>
      <c r="O1723"/>
      <c r="P1723"/>
      <c r="Q1723" t="s">
        <v>140</v>
      </c>
      <c r="R1723"/>
      <c r="S1723"/>
      <c r="T1723" t="s">
        <v>1966</v>
      </c>
      <c r="U1723" t="s">
        <v>137</v>
      </c>
      <c r="V1723" t="s">
        <v>1967</v>
      </c>
      <c r="W1723" s="9">
        <v>46185.45420925926</v>
      </c>
      <c r="X1723" t="s">
        <v>125</v>
      </c>
      <c r="Y1723"/>
      <c r="Z1723"/>
      <c r="AA1723" t="s">
        <v>1884</v>
      </c>
      <c r="AB1723" t="s">
        <v>3</v>
      </c>
      <c r="AC1723" t="s">
        <v>24</v>
      </c>
      <c r="AD1723" t="s">
        <v>131</v>
      </c>
      <c r="AE1723" s="97"/>
    </row>
    <row r="1724" spans="1:31" ht="14.4" customHeight="1" x14ac:dyDescent="0.3">
      <c r="A1724" t="s">
        <v>4025</v>
      </c>
      <c r="B1724" t="s">
        <v>1972</v>
      </c>
      <c r="C1724"/>
      <c r="D1724"/>
      <c r="E1724"/>
      <c r="F1724"/>
      <c r="G1724" t="s">
        <v>3994</v>
      </c>
      <c r="H1724" t="s">
        <v>132</v>
      </c>
      <c r="I1724" t="s">
        <v>4</v>
      </c>
      <c r="J1724" t="s">
        <v>133</v>
      </c>
      <c r="K1724" t="s">
        <v>54</v>
      </c>
      <c r="L1724" t="s">
        <v>1973</v>
      </c>
      <c r="M1724" t="s">
        <v>134</v>
      </c>
      <c r="N1724" t="s">
        <v>135</v>
      </c>
      <c r="O1724"/>
      <c r="P1724"/>
      <c r="Q1724" t="s">
        <v>140</v>
      </c>
      <c r="R1724"/>
      <c r="S1724"/>
      <c r="T1724" t="s">
        <v>1974</v>
      </c>
      <c r="U1724" t="s">
        <v>137</v>
      </c>
      <c r="V1724" t="s">
        <v>703</v>
      </c>
      <c r="W1724" s="9">
        <v>46205.491304861112</v>
      </c>
      <c r="X1724" t="s">
        <v>62</v>
      </c>
      <c r="Y1724"/>
      <c r="Z1724"/>
      <c r="AA1724" t="s">
        <v>1884</v>
      </c>
      <c r="AB1724" t="s">
        <v>3</v>
      </c>
      <c r="AC1724" t="s">
        <v>24</v>
      </c>
      <c r="AD1724" t="s">
        <v>128</v>
      </c>
      <c r="AE1724" s="97"/>
    </row>
    <row r="1725" spans="1:31" ht="14.4" customHeight="1" x14ac:dyDescent="0.3">
      <c r="A1725" t="s">
        <v>4026</v>
      </c>
      <c r="B1725" t="s">
        <v>1976</v>
      </c>
      <c r="C1725"/>
      <c r="D1725"/>
      <c r="E1725"/>
      <c r="F1725"/>
      <c r="G1725" t="s">
        <v>3994</v>
      </c>
      <c r="H1725" t="s">
        <v>132</v>
      </c>
      <c r="I1725" t="s">
        <v>4</v>
      </c>
      <c r="J1725" t="s">
        <v>133</v>
      </c>
      <c r="K1725" t="s">
        <v>54</v>
      </c>
      <c r="L1725" t="s">
        <v>1973</v>
      </c>
      <c r="M1725" t="s">
        <v>134</v>
      </c>
      <c r="N1725" t="s">
        <v>135</v>
      </c>
      <c r="O1725"/>
      <c r="P1725"/>
      <c r="Q1725" t="s">
        <v>140</v>
      </c>
      <c r="R1725"/>
      <c r="S1725"/>
      <c r="T1725" t="s">
        <v>1974</v>
      </c>
      <c r="U1725" t="s">
        <v>137</v>
      </c>
      <c r="V1725" t="s">
        <v>703</v>
      </c>
      <c r="W1725" s="9">
        <v>46205.492529594907</v>
      </c>
      <c r="X1725" t="s">
        <v>62</v>
      </c>
      <c r="Y1725"/>
      <c r="Z1725"/>
      <c r="AA1725" t="s">
        <v>1884</v>
      </c>
      <c r="AB1725" t="s">
        <v>3</v>
      </c>
      <c r="AC1725" t="s">
        <v>24</v>
      </c>
      <c r="AD1725" t="s">
        <v>128</v>
      </c>
      <c r="AE1725" s="97"/>
    </row>
    <row r="1726" spans="1:31" ht="14.4" customHeight="1" x14ac:dyDescent="0.3">
      <c r="A1726" t="s">
        <v>4027</v>
      </c>
      <c r="B1726" t="s">
        <v>1978</v>
      </c>
      <c r="C1726"/>
      <c r="D1726"/>
      <c r="E1726"/>
      <c r="F1726"/>
      <c r="G1726" t="s">
        <v>3994</v>
      </c>
      <c r="H1726" t="s">
        <v>132</v>
      </c>
      <c r="I1726" t="s">
        <v>4</v>
      </c>
      <c r="J1726" t="s">
        <v>133</v>
      </c>
      <c r="K1726" t="s">
        <v>54</v>
      </c>
      <c r="L1726" t="s">
        <v>1979</v>
      </c>
      <c r="M1726" t="s">
        <v>134</v>
      </c>
      <c r="N1726" t="s">
        <v>135</v>
      </c>
      <c r="O1726"/>
      <c r="P1726"/>
      <c r="Q1726" t="s">
        <v>140</v>
      </c>
      <c r="R1726"/>
      <c r="S1726"/>
      <c r="T1726" t="s">
        <v>1888</v>
      </c>
      <c r="U1726" t="s">
        <v>137</v>
      </c>
      <c r="V1726" t="s">
        <v>147</v>
      </c>
      <c r="W1726" s="9">
        <v>46182.499547569445</v>
      </c>
      <c r="X1726" t="s">
        <v>70</v>
      </c>
      <c r="Y1726"/>
      <c r="Z1726"/>
      <c r="AA1726" t="s">
        <v>1884</v>
      </c>
      <c r="AB1726" t="s">
        <v>3</v>
      </c>
      <c r="AC1726" t="s">
        <v>24</v>
      </c>
      <c r="AD1726" t="s">
        <v>128</v>
      </c>
      <c r="AE1726" s="97"/>
    </row>
    <row r="1727" spans="1:31" ht="14.4" customHeight="1" x14ac:dyDescent="0.3">
      <c r="A1727" t="s">
        <v>4028</v>
      </c>
      <c r="B1727" t="s">
        <v>1981</v>
      </c>
      <c r="C1727"/>
      <c r="D1727"/>
      <c r="E1727"/>
      <c r="F1727"/>
      <c r="G1727" t="s">
        <v>3994</v>
      </c>
      <c r="H1727" t="s">
        <v>132</v>
      </c>
      <c r="I1727" t="s">
        <v>4</v>
      </c>
      <c r="J1727" t="s">
        <v>133</v>
      </c>
      <c r="K1727" t="s">
        <v>54</v>
      </c>
      <c r="L1727" t="s">
        <v>1979</v>
      </c>
      <c r="M1727" t="s">
        <v>134</v>
      </c>
      <c r="N1727" t="s">
        <v>135</v>
      </c>
      <c r="O1727"/>
      <c r="P1727"/>
      <c r="Q1727" t="s">
        <v>140</v>
      </c>
      <c r="R1727"/>
      <c r="S1727"/>
      <c r="T1727" t="s">
        <v>1892</v>
      </c>
      <c r="U1727" t="s">
        <v>137</v>
      </c>
      <c r="V1727" t="s">
        <v>150</v>
      </c>
      <c r="W1727" s="9">
        <v>46182.500069444446</v>
      </c>
      <c r="X1727" t="s">
        <v>76</v>
      </c>
      <c r="Y1727"/>
      <c r="Z1727"/>
      <c r="AA1727" t="s">
        <v>1884</v>
      </c>
      <c r="AB1727" t="s">
        <v>3</v>
      </c>
      <c r="AC1727" t="s">
        <v>24</v>
      </c>
      <c r="AD1727" t="s">
        <v>128</v>
      </c>
      <c r="AE1727" s="97"/>
    </row>
    <row r="1728" spans="1:31" ht="14.4" customHeight="1" x14ac:dyDescent="0.3">
      <c r="A1728" t="s">
        <v>4029</v>
      </c>
      <c r="B1728" t="s">
        <v>1983</v>
      </c>
      <c r="C1728"/>
      <c r="D1728"/>
      <c r="E1728"/>
      <c r="F1728"/>
      <c r="G1728" t="s">
        <v>3994</v>
      </c>
      <c r="H1728" t="s">
        <v>132</v>
      </c>
      <c r="I1728" t="s">
        <v>4</v>
      </c>
      <c r="J1728" t="s">
        <v>133</v>
      </c>
      <c r="K1728" t="s">
        <v>54</v>
      </c>
      <c r="L1728" t="s">
        <v>1979</v>
      </c>
      <c r="M1728" t="s">
        <v>134</v>
      </c>
      <c r="N1728" t="s">
        <v>135</v>
      </c>
      <c r="O1728"/>
      <c r="P1728"/>
      <c r="Q1728" t="s">
        <v>140</v>
      </c>
      <c r="R1728"/>
      <c r="S1728"/>
      <c r="T1728" t="s">
        <v>1896</v>
      </c>
      <c r="U1728" t="s">
        <v>137</v>
      </c>
      <c r="V1728" t="s">
        <v>153</v>
      </c>
      <c r="W1728" s="9">
        <v>46184.317503900464</v>
      </c>
      <c r="X1728" t="s">
        <v>88</v>
      </c>
      <c r="Y1728"/>
      <c r="Z1728"/>
      <c r="AA1728" t="s">
        <v>1884</v>
      </c>
      <c r="AB1728" t="s">
        <v>3</v>
      </c>
      <c r="AC1728" t="s">
        <v>24</v>
      </c>
      <c r="AD1728" t="s">
        <v>129</v>
      </c>
      <c r="AE1728" s="97"/>
    </row>
    <row r="1729" spans="1:31" ht="14.4" customHeight="1" x14ac:dyDescent="0.3">
      <c r="A1729" t="s">
        <v>4030</v>
      </c>
      <c r="B1729" t="s">
        <v>1985</v>
      </c>
      <c r="C1729"/>
      <c r="D1729"/>
      <c r="E1729"/>
      <c r="F1729"/>
      <c r="G1729" t="s">
        <v>3994</v>
      </c>
      <c r="H1729" t="s">
        <v>132</v>
      </c>
      <c r="I1729" t="s">
        <v>4</v>
      </c>
      <c r="J1729" t="s">
        <v>133</v>
      </c>
      <c r="K1729" t="s">
        <v>54</v>
      </c>
      <c r="L1729" t="s">
        <v>1979</v>
      </c>
      <c r="M1729" t="s">
        <v>134</v>
      </c>
      <c r="N1729" t="s">
        <v>135</v>
      </c>
      <c r="O1729"/>
      <c r="P1729"/>
      <c r="Q1729" t="s">
        <v>140</v>
      </c>
      <c r="R1729"/>
      <c r="S1729"/>
      <c r="T1729" t="s">
        <v>1900</v>
      </c>
      <c r="U1729" t="s">
        <v>137</v>
      </c>
      <c r="V1729" t="s">
        <v>156</v>
      </c>
      <c r="W1729" s="9">
        <v>46184.318029745373</v>
      </c>
      <c r="X1729" t="s">
        <v>97</v>
      </c>
      <c r="Y1729"/>
      <c r="Z1729"/>
      <c r="AA1729" t="s">
        <v>1884</v>
      </c>
      <c r="AB1729" t="s">
        <v>3</v>
      </c>
      <c r="AC1729" t="s">
        <v>24</v>
      </c>
      <c r="AD1729" t="s">
        <v>129</v>
      </c>
      <c r="AE1729" s="97"/>
    </row>
    <row r="1730" spans="1:31" ht="14.4" customHeight="1" x14ac:dyDescent="0.3">
      <c r="A1730" t="s">
        <v>4031</v>
      </c>
      <c r="B1730" t="s">
        <v>1987</v>
      </c>
      <c r="C1730"/>
      <c r="D1730"/>
      <c r="E1730"/>
      <c r="F1730"/>
      <c r="G1730" t="s">
        <v>3994</v>
      </c>
      <c r="H1730" t="s">
        <v>132</v>
      </c>
      <c r="I1730" t="s">
        <v>4</v>
      </c>
      <c r="J1730" t="s">
        <v>133</v>
      </c>
      <c r="K1730" t="s">
        <v>54</v>
      </c>
      <c r="L1730" t="s">
        <v>1979</v>
      </c>
      <c r="M1730" t="s">
        <v>134</v>
      </c>
      <c r="N1730" t="s">
        <v>135</v>
      </c>
      <c r="O1730"/>
      <c r="P1730"/>
      <c r="Q1730" t="s">
        <v>140</v>
      </c>
      <c r="R1730"/>
      <c r="S1730"/>
      <c r="T1730" t="s">
        <v>1904</v>
      </c>
      <c r="U1730" t="s">
        <v>137</v>
      </c>
      <c r="V1730" t="s">
        <v>159</v>
      </c>
      <c r="W1730" s="9">
        <v>46184.318450659724</v>
      </c>
      <c r="X1730" t="s">
        <v>106</v>
      </c>
      <c r="Y1730"/>
      <c r="Z1730"/>
      <c r="AA1730" t="s">
        <v>1884</v>
      </c>
      <c r="AB1730" t="s">
        <v>3</v>
      </c>
      <c r="AC1730" t="s">
        <v>24</v>
      </c>
      <c r="AD1730" t="s">
        <v>129</v>
      </c>
      <c r="AE1730" s="97"/>
    </row>
    <row r="1731" spans="1:31" ht="14.4" customHeight="1" x14ac:dyDescent="0.3">
      <c r="A1731" t="s">
        <v>4032</v>
      </c>
      <c r="B1731" t="s">
        <v>1989</v>
      </c>
      <c r="C1731"/>
      <c r="D1731"/>
      <c r="E1731"/>
      <c r="F1731"/>
      <c r="G1731" t="s">
        <v>3994</v>
      </c>
      <c r="H1731" t="s">
        <v>132</v>
      </c>
      <c r="I1731" t="s">
        <v>4</v>
      </c>
      <c r="J1731" t="s">
        <v>133</v>
      </c>
      <c r="K1731" t="s">
        <v>54</v>
      </c>
      <c r="L1731" t="s">
        <v>1979</v>
      </c>
      <c r="M1731" t="s">
        <v>134</v>
      </c>
      <c r="N1731" t="s">
        <v>135</v>
      </c>
      <c r="O1731"/>
      <c r="P1731"/>
      <c r="Q1731" t="s">
        <v>140</v>
      </c>
      <c r="R1731"/>
      <c r="S1731"/>
      <c r="T1731" t="s">
        <v>1908</v>
      </c>
      <c r="U1731" t="s">
        <v>137</v>
      </c>
      <c r="V1731" t="s">
        <v>162</v>
      </c>
      <c r="W1731" s="9">
        <v>46184.318964895836</v>
      </c>
      <c r="X1731" t="s">
        <v>113</v>
      </c>
      <c r="Y1731"/>
      <c r="Z1731"/>
      <c r="AA1731" t="s">
        <v>1884</v>
      </c>
      <c r="AB1731" t="s">
        <v>3</v>
      </c>
      <c r="AC1731" t="s">
        <v>24</v>
      </c>
      <c r="AD1731" t="s">
        <v>129</v>
      </c>
      <c r="AE1731" s="97"/>
    </row>
    <row r="1732" spans="1:31" ht="14.4" customHeight="1" x14ac:dyDescent="0.3">
      <c r="A1732" t="s">
        <v>4033</v>
      </c>
      <c r="B1732" t="s">
        <v>1991</v>
      </c>
      <c r="C1732"/>
      <c r="D1732"/>
      <c r="E1732"/>
      <c r="F1732"/>
      <c r="G1732" t="s">
        <v>3994</v>
      </c>
      <c r="H1732" t="s">
        <v>132</v>
      </c>
      <c r="I1732" t="s">
        <v>4</v>
      </c>
      <c r="J1732" t="s">
        <v>133</v>
      </c>
      <c r="K1732" t="s">
        <v>54</v>
      </c>
      <c r="L1732" t="s">
        <v>1979</v>
      </c>
      <c r="M1732" t="s">
        <v>134</v>
      </c>
      <c r="N1732" t="s">
        <v>135</v>
      </c>
      <c r="O1732"/>
      <c r="P1732"/>
      <c r="Q1732" t="s">
        <v>140</v>
      </c>
      <c r="R1732"/>
      <c r="S1732"/>
      <c r="T1732" t="s">
        <v>1912</v>
      </c>
      <c r="U1732" t="s">
        <v>137</v>
      </c>
      <c r="V1732" t="s">
        <v>165</v>
      </c>
      <c r="W1732" s="9">
        <v>46184.52048900463</v>
      </c>
      <c r="X1732" t="s">
        <v>122</v>
      </c>
      <c r="Y1732"/>
      <c r="Z1732"/>
      <c r="AA1732" t="s">
        <v>1884</v>
      </c>
      <c r="AB1732" t="s">
        <v>3</v>
      </c>
      <c r="AC1732" t="s">
        <v>24</v>
      </c>
      <c r="AD1732" t="s">
        <v>130</v>
      </c>
      <c r="AE1732" s="97"/>
    </row>
    <row r="1733" spans="1:31" ht="14.4" customHeight="1" x14ac:dyDescent="0.3">
      <c r="A1733" t="s">
        <v>4034</v>
      </c>
      <c r="B1733" t="s">
        <v>1993</v>
      </c>
      <c r="C1733"/>
      <c r="D1733"/>
      <c r="E1733"/>
      <c r="F1733"/>
      <c r="G1733" t="s">
        <v>3994</v>
      </c>
      <c r="H1733" t="s">
        <v>132</v>
      </c>
      <c r="I1733" t="s">
        <v>4</v>
      </c>
      <c r="J1733" t="s">
        <v>133</v>
      </c>
      <c r="K1733" t="s">
        <v>54</v>
      </c>
      <c r="L1733" t="s">
        <v>1979</v>
      </c>
      <c r="M1733" t="s">
        <v>134</v>
      </c>
      <c r="N1733" t="s">
        <v>135</v>
      </c>
      <c r="O1733"/>
      <c r="P1733"/>
      <c r="Q1733" t="s">
        <v>140</v>
      </c>
      <c r="R1733"/>
      <c r="S1733"/>
      <c r="T1733" t="s">
        <v>1888</v>
      </c>
      <c r="U1733" t="s">
        <v>137</v>
      </c>
      <c r="V1733" t="s">
        <v>147</v>
      </c>
      <c r="W1733" s="9">
        <v>46182.500620983796</v>
      </c>
      <c r="X1733" t="s">
        <v>70</v>
      </c>
      <c r="Y1733"/>
      <c r="Z1733"/>
      <c r="AA1733" t="s">
        <v>1884</v>
      </c>
      <c r="AB1733" t="s">
        <v>3</v>
      </c>
      <c r="AC1733" t="s">
        <v>24</v>
      </c>
      <c r="AD1733" t="s">
        <v>128</v>
      </c>
      <c r="AE1733" s="97"/>
    </row>
    <row r="1734" spans="1:31" ht="14.4" customHeight="1" x14ac:dyDescent="0.3">
      <c r="A1734" t="s">
        <v>4035</v>
      </c>
      <c r="B1734" t="s">
        <v>1995</v>
      </c>
      <c r="C1734"/>
      <c r="D1734"/>
      <c r="E1734"/>
      <c r="F1734"/>
      <c r="G1734" t="s">
        <v>3994</v>
      </c>
      <c r="H1734" t="s">
        <v>132</v>
      </c>
      <c r="I1734" t="s">
        <v>4</v>
      </c>
      <c r="J1734" t="s">
        <v>133</v>
      </c>
      <c r="K1734" t="s">
        <v>54</v>
      </c>
      <c r="L1734" t="s">
        <v>1979</v>
      </c>
      <c r="M1734" t="s">
        <v>134</v>
      </c>
      <c r="N1734" t="s">
        <v>135</v>
      </c>
      <c r="O1734"/>
      <c r="P1734"/>
      <c r="Q1734" t="s">
        <v>140</v>
      </c>
      <c r="R1734"/>
      <c r="S1734"/>
      <c r="T1734" t="s">
        <v>1892</v>
      </c>
      <c r="U1734" t="s">
        <v>137</v>
      </c>
      <c r="V1734" t="s">
        <v>150</v>
      </c>
      <c r="W1734" s="9">
        <v>46182.501366516204</v>
      </c>
      <c r="X1734" t="s">
        <v>76</v>
      </c>
      <c r="Y1734"/>
      <c r="Z1734"/>
      <c r="AA1734" t="s">
        <v>1884</v>
      </c>
      <c r="AB1734" t="s">
        <v>3</v>
      </c>
      <c r="AC1734" t="s">
        <v>24</v>
      </c>
      <c r="AD1734" t="s">
        <v>128</v>
      </c>
      <c r="AE1734" s="97"/>
    </row>
    <row r="1735" spans="1:31" ht="14.4" customHeight="1" x14ac:dyDescent="0.3">
      <c r="A1735" t="s">
        <v>4036</v>
      </c>
      <c r="B1735" t="s">
        <v>1997</v>
      </c>
      <c r="C1735"/>
      <c r="D1735"/>
      <c r="E1735"/>
      <c r="F1735"/>
      <c r="G1735" t="s">
        <v>3994</v>
      </c>
      <c r="H1735" t="s">
        <v>132</v>
      </c>
      <c r="I1735" t="s">
        <v>4</v>
      </c>
      <c r="J1735" t="s">
        <v>133</v>
      </c>
      <c r="K1735" t="s">
        <v>54</v>
      </c>
      <c r="L1735" t="s">
        <v>1979</v>
      </c>
      <c r="M1735" t="s">
        <v>134</v>
      </c>
      <c r="N1735" t="s">
        <v>135</v>
      </c>
      <c r="O1735"/>
      <c r="P1735"/>
      <c r="Q1735" t="s">
        <v>140</v>
      </c>
      <c r="R1735"/>
      <c r="S1735"/>
      <c r="T1735" t="s">
        <v>1896</v>
      </c>
      <c r="U1735" t="s">
        <v>137</v>
      </c>
      <c r="V1735" t="s">
        <v>153</v>
      </c>
      <c r="W1735" s="9">
        <v>46184.319614386572</v>
      </c>
      <c r="X1735" t="s">
        <v>88</v>
      </c>
      <c r="Y1735"/>
      <c r="Z1735"/>
      <c r="AA1735" t="s">
        <v>1884</v>
      </c>
      <c r="AB1735" t="s">
        <v>3</v>
      </c>
      <c r="AC1735" t="s">
        <v>24</v>
      </c>
      <c r="AD1735" t="s">
        <v>129</v>
      </c>
      <c r="AE1735" s="97"/>
    </row>
    <row r="1736" spans="1:31" ht="14.4" customHeight="1" x14ac:dyDescent="0.3">
      <c r="A1736" t="s">
        <v>4037</v>
      </c>
      <c r="B1736" t="s">
        <v>1999</v>
      </c>
      <c r="C1736"/>
      <c r="D1736"/>
      <c r="E1736"/>
      <c r="F1736"/>
      <c r="G1736" t="s">
        <v>3994</v>
      </c>
      <c r="H1736" t="s">
        <v>132</v>
      </c>
      <c r="I1736" t="s">
        <v>4</v>
      </c>
      <c r="J1736" t="s">
        <v>133</v>
      </c>
      <c r="K1736" t="s">
        <v>54</v>
      </c>
      <c r="L1736" t="s">
        <v>1979</v>
      </c>
      <c r="M1736" t="s">
        <v>134</v>
      </c>
      <c r="N1736" t="s">
        <v>135</v>
      </c>
      <c r="O1736"/>
      <c r="P1736"/>
      <c r="Q1736" t="s">
        <v>140</v>
      </c>
      <c r="R1736"/>
      <c r="S1736"/>
      <c r="T1736" t="s">
        <v>1900</v>
      </c>
      <c r="U1736" t="s">
        <v>137</v>
      </c>
      <c r="V1736" t="s">
        <v>156</v>
      </c>
      <c r="W1736" s="9">
        <v>46184.320051770832</v>
      </c>
      <c r="X1736" t="s">
        <v>97</v>
      </c>
      <c r="Y1736"/>
      <c r="Z1736"/>
      <c r="AA1736" t="s">
        <v>1884</v>
      </c>
      <c r="AB1736" t="s">
        <v>3</v>
      </c>
      <c r="AC1736" t="s">
        <v>24</v>
      </c>
      <c r="AD1736" t="s">
        <v>129</v>
      </c>
      <c r="AE1736" s="97"/>
    </row>
    <row r="1737" spans="1:31" ht="14.4" customHeight="1" x14ac:dyDescent="0.3">
      <c r="A1737" t="s">
        <v>4038</v>
      </c>
      <c r="B1737" t="s">
        <v>2001</v>
      </c>
      <c r="C1737"/>
      <c r="D1737"/>
      <c r="E1737"/>
      <c r="F1737"/>
      <c r="G1737" t="s">
        <v>3994</v>
      </c>
      <c r="H1737" t="s">
        <v>132</v>
      </c>
      <c r="I1737" t="s">
        <v>4</v>
      </c>
      <c r="J1737" t="s">
        <v>133</v>
      </c>
      <c r="K1737" t="s">
        <v>54</v>
      </c>
      <c r="L1737" t="s">
        <v>1979</v>
      </c>
      <c r="M1737" t="s">
        <v>134</v>
      </c>
      <c r="N1737" t="s">
        <v>135</v>
      </c>
      <c r="O1737"/>
      <c r="P1737"/>
      <c r="Q1737" t="s">
        <v>140</v>
      </c>
      <c r="R1737"/>
      <c r="S1737"/>
      <c r="T1737" t="s">
        <v>1904</v>
      </c>
      <c r="U1737" t="s">
        <v>137</v>
      </c>
      <c r="V1737" t="s">
        <v>159</v>
      </c>
      <c r="W1737" s="9">
        <v>46184.320722719909</v>
      </c>
      <c r="X1737" t="s">
        <v>106</v>
      </c>
      <c r="Y1737"/>
      <c r="Z1737"/>
      <c r="AA1737" t="s">
        <v>1884</v>
      </c>
      <c r="AB1737" t="s">
        <v>3</v>
      </c>
      <c r="AC1737" t="s">
        <v>24</v>
      </c>
      <c r="AD1737" t="s">
        <v>129</v>
      </c>
      <c r="AE1737" s="97"/>
    </row>
    <row r="1738" spans="1:31" ht="14.4" customHeight="1" x14ac:dyDescent="0.3">
      <c r="A1738" t="s">
        <v>4039</v>
      </c>
      <c r="B1738" t="s">
        <v>2003</v>
      </c>
      <c r="C1738"/>
      <c r="D1738"/>
      <c r="E1738"/>
      <c r="F1738"/>
      <c r="G1738" t="s">
        <v>3994</v>
      </c>
      <c r="H1738" t="s">
        <v>132</v>
      </c>
      <c r="I1738" t="s">
        <v>4</v>
      </c>
      <c r="J1738" t="s">
        <v>133</v>
      </c>
      <c r="K1738" t="s">
        <v>54</v>
      </c>
      <c r="L1738" t="s">
        <v>1979</v>
      </c>
      <c r="M1738" t="s">
        <v>134</v>
      </c>
      <c r="N1738" t="s">
        <v>135</v>
      </c>
      <c r="O1738"/>
      <c r="P1738"/>
      <c r="Q1738" t="s">
        <v>140</v>
      </c>
      <c r="R1738"/>
      <c r="S1738"/>
      <c r="T1738" t="s">
        <v>1908</v>
      </c>
      <c r="U1738" t="s">
        <v>137</v>
      </c>
      <c r="V1738" t="s">
        <v>162</v>
      </c>
      <c r="W1738" s="9">
        <v>46184.321327546299</v>
      </c>
      <c r="X1738" t="s">
        <v>113</v>
      </c>
      <c r="Y1738"/>
      <c r="Z1738"/>
      <c r="AA1738" t="s">
        <v>1884</v>
      </c>
      <c r="AB1738" t="s">
        <v>3</v>
      </c>
      <c r="AC1738" t="s">
        <v>24</v>
      </c>
      <c r="AD1738" t="s">
        <v>129</v>
      </c>
      <c r="AE1738" s="97"/>
    </row>
    <row r="1739" spans="1:31" ht="14.4" customHeight="1" x14ac:dyDescent="0.3">
      <c r="A1739" t="s">
        <v>4040</v>
      </c>
      <c r="B1739" t="s">
        <v>2005</v>
      </c>
      <c r="C1739"/>
      <c r="D1739"/>
      <c r="E1739"/>
      <c r="F1739"/>
      <c r="G1739" t="s">
        <v>3994</v>
      </c>
      <c r="H1739" t="s">
        <v>132</v>
      </c>
      <c r="I1739" t="s">
        <v>4</v>
      </c>
      <c r="J1739" t="s">
        <v>133</v>
      </c>
      <c r="K1739" t="s">
        <v>54</v>
      </c>
      <c r="L1739" t="s">
        <v>1979</v>
      </c>
      <c r="M1739" t="s">
        <v>134</v>
      </c>
      <c r="N1739" t="s">
        <v>135</v>
      </c>
      <c r="O1739"/>
      <c r="P1739"/>
      <c r="Q1739" t="s">
        <v>140</v>
      </c>
      <c r="R1739"/>
      <c r="S1739"/>
      <c r="T1739" t="s">
        <v>1912</v>
      </c>
      <c r="U1739" t="s">
        <v>137</v>
      </c>
      <c r="V1739" t="s">
        <v>165</v>
      </c>
      <c r="W1739" s="9">
        <v>46184.520893252316</v>
      </c>
      <c r="X1739" t="s">
        <v>122</v>
      </c>
      <c r="Y1739"/>
      <c r="Z1739"/>
      <c r="AA1739" t="s">
        <v>1884</v>
      </c>
      <c r="AB1739" t="s">
        <v>3</v>
      </c>
      <c r="AC1739" t="s">
        <v>24</v>
      </c>
      <c r="AD1739" t="s">
        <v>130</v>
      </c>
      <c r="AE1739" s="97"/>
    </row>
    <row r="1740" spans="1:31" ht="14.4" customHeight="1" x14ac:dyDescent="0.3">
      <c r="A1740" t="s">
        <v>4041</v>
      </c>
      <c r="B1740" t="s">
        <v>2007</v>
      </c>
      <c r="C1740"/>
      <c r="D1740"/>
      <c r="E1740"/>
      <c r="F1740"/>
      <c r="G1740" t="s">
        <v>3994</v>
      </c>
      <c r="H1740" t="s">
        <v>132</v>
      </c>
      <c r="I1740" t="s">
        <v>4</v>
      </c>
      <c r="J1740" t="s">
        <v>133</v>
      </c>
      <c r="K1740" t="s">
        <v>54</v>
      </c>
      <c r="L1740" t="s">
        <v>1973</v>
      </c>
      <c r="M1740" t="s">
        <v>134</v>
      </c>
      <c r="N1740" t="s">
        <v>135</v>
      </c>
      <c r="O1740"/>
      <c r="P1740"/>
      <c r="Q1740" t="s">
        <v>140</v>
      </c>
      <c r="R1740"/>
      <c r="S1740"/>
      <c r="T1740" t="s">
        <v>1974</v>
      </c>
      <c r="U1740" t="s">
        <v>137</v>
      </c>
      <c r="V1740" t="s">
        <v>709</v>
      </c>
      <c r="W1740" s="9">
        <v>46205.493233796296</v>
      </c>
      <c r="X1740" t="s">
        <v>73</v>
      </c>
      <c r="Y1740"/>
      <c r="Z1740"/>
      <c r="AA1740" t="s">
        <v>1884</v>
      </c>
      <c r="AB1740" t="s">
        <v>3</v>
      </c>
      <c r="AC1740" t="s">
        <v>24</v>
      </c>
      <c r="AD1740" t="s">
        <v>128</v>
      </c>
      <c r="AE1740" s="97"/>
    </row>
    <row r="1741" spans="1:31" ht="14.4" customHeight="1" x14ac:dyDescent="0.3">
      <c r="A1741" t="s">
        <v>4042</v>
      </c>
      <c r="B1741" t="s">
        <v>2009</v>
      </c>
      <c r="C1741"/>
      <c r="D1741"/>
      <c r="E1741"/>
      <c r="F1741"/>
      <c r="G1741" t="s">
        <v>3994</v>
      </c>
      <c r="H1741" t="s">
        <v>132</v>
      </c>
      <c r="I1741" t="s">
        <v>4</v>
      </c>
      <c r="J1741" t="s">
        <v>133</v>
      </c>
      <c r="K1741" t="s">
        <v>54</v>
      </c>
      <c r="L1741" t="s">
        <v>1973</v>
      </c>
      <c r="M1741" t="s">
        <v>134</v>
      </c>
      <c r="N1741" t="s">
        <v>135</v>
      </c>
      <c r="O1741"/>
      <c r="P1741"/>
      <c r="Q1741" t="s">
        <v>140</v>
      </c>
      <c r="R1741"/>
      <c r="S1741"/>
      <c r="T1741" t="s">
        <v>1974</v>
      </c>
      <c r="U1741" t="s">
        <v>137</v>
      </c>
      <c r="V1741" t="s">
        <v>709</v>
      </c>
      <c r="W1741" s="9">
        <v>46205.493745138891</v>
      </c>
      <c r="X1741" t="s">
        <v>73</v>
      </c>
      <c r="Y1741"/>
      <c r="Z1741"/>
      <c r="AA1741" t="s">
        <v>1884</v>
      </c>
      <c r="AB1741" t="s">
        <v>3</v>
      </c>
      <c r="AC1741" t="s">
        <v>24</v>
      </c>
      <c r="AD1741" t="s">
        <v>128</v>
      </c>
      <c r="AE1741" s="97"/>
    </row>
    <row r="1742" spans="1:31" ht="14.4" customHeight="1" x14ac:dyDescent="0.3">
      <c r="A1742" t="s">
        <v>4043</v>
      </c>
      <c r="B1742" t="s">
        <v>2011</v>
      </c>
      <c r="C1742"/>
      <c r="D1742"/>
      <c r="E1742"/>
      <c r="F1742"/>
      <c r="G1742" t="s">
        <v>3994</v>
      </c>
      <c r="H1742" t="s">
        <v>132</v>
      </c>
      <c r="I1742" t="s">
        <v>4</v>
      </c>
      <c r="J1742" t="s">
        <v>133</v>
      </c>
      <c r="K1742" t="s">
        <v>54</v>
      </c>
      <c r="L1742" t="s">
        <v>1973</v>
      </c>
      <c r="M1742" t="s">
        <v>134</v>
      </c>
      <c r="N1742" t="s">
        <v>135</v>
      </c>
      <c r="O1742"/>
      <c r="P1742"/>
      <c r="Q1742" t="s">
        <v>140</v>
      </c>
      <c r="R1742"/>
      <c r="S1742"/>
      <c r="T1742" t="s">
        <v>1974</v>
      </c>
      <c r="U1742" t="s">
        <v>137</v>
      </c>
      <c r="V1742" t="s">
        <v>715</v>
      </c>
      <c r="W1742" s="9">
        <v>46205.494517858795</v>
      </c>
      <c r="X1742" t="s">
        <v>82</v>
      </c>
      <c r="Y1742"/>
      <c r="Z1742"/>
      <c r="AA1742" t="s">
        <v>1884</v>
      </c>
      <c r="AB1742" t="s">
        <v>3</v>
      </c>
      <c r="AC1742" t="s">
        <v>24</v>
      </c>
      <c r="AD1742" t="s">
        <v>129</v>
      </c>
      <c r="AE1742" s="97"/>
    </row>
    <row r="1743" spans="1:31" ht="14.4" customHeight="1" x14ac:dyDescent="0.3">
      <c r="A1743" t="s">
        <v>4044</v>
      </c>
      <c r="B1743" t="s">
        <v>2013</v>
      </c>
      <c r="C1743"/>
      <c r="D1743"/>
      <c r="E1743"/>
      <c r="F1743"/>
      <c r="G1743" t="s">
        <v>3994</v>
      </c>
      <c r="H1743" t="s">
        <v>132</v>
      </c>
      <c r="I1743" t="s">
        <v>4</v>
      </c>
      <c r="J1743" t="s">
        <v>133</v>
      </c>
      <c r="K1743" t="s">
        <v>54</v>
      </c>
      <c r="L1743" t="s">
        <v>1973</v>
      </c>
      <c r="M1743" t="s">
        <v>134</v>
      </c>
      <c r="N1743" t="s">
        <v>135</v>
      </c>
      <c r="O1743"/>
      <c r="P1743"/>
      <c r="Q1743" t="s">
        <v>140</v>
      </c>
      <c r="R1743"/>
      <c r="S1743"/>
      <c r="T1743" t="s">
        <v>1974</v>
      </c>
      <c r="U1743" t="s">
        <v>137</v>
      </c>
      <c r="V1743" t="s">
        <v>715</v>
      </c>
      <c r="W1743" s="9">
        <v>46205.495209108798</v>
      </c>
      <c r="X1743" t="s">
        <v>82</v>
      </c>
      <c r="Y1743"/>
      <c r="Z1743"/>
      <c r="AA1743" t="s">
        <v>1884</v>
      </c>
      <c r="AB1743" t="s">
        <v>3</v>
      </c>
      <c r="AC1743" t="s">
        <v>24</v>
      </c>
      <c r="AD1743" t="s">
        <v>129</v>
      </c>
      <c r="AE1743" s="97"/>
    </row>
    <row r="1744" spans="1:31" ht="14.4" customHeight="1" x14ac:dyDescent="0.3">
      <c r="A1744" t="s">
        <v>4045</v>
      </c>
      <c r="B1744" t="s">
        <v>2015</v>
      </c>
      <c r="C1744"/>
      <c r="D1744"/>
      <c r="E1744"/>
      <c r="F1744"/>
      <c r="G1744" t="s">
        <v>3994</v>
      </c>
      <c r="H1744" t="s">
        <v>132</v>
      </c>
      <c r="I1744" t="s">
        <v>4</v>
      </c>
      <c r="J1744" t="s">
        <v>133</v>
      </c>
      <c r="K1744" t="s">
        <v>54</v>
      </c>
      <c r="L1744" t="s">
        <v>1973</v>
      </c>
      <c r="M1744" t="s">
        <v>134</v>
      </c>
      <c r="N1744" t="s">
        <v>135</v>
      </c>
      <c r="O1744"/>
      <c r="P1744"/>
      <c r="Q1744" t="s">
        <v>140</v>
      </c>
      <c r="R1744"/>
      <c r="S1744"/>
      <c r="T1744" t="s">
        <v>1974</v>
      </c>
      <c r="U1744" t="s">
        <v>137</v>
      </c>
      <c r="V1744" t="s">
        <v>721</v>
      </c>
      <c r="W1744" s="9">
        <v>46205.495744872685</v>
      </c>
      <c r="X1744" t="s">
        <v>91</v>
      </c>
      <c r="Y1744"/>
      <c r="Z1744"/>
      <c r="AA1744" t="s">
        <v>1884</v>
      </c>
      <c r="AB1744" t="s">
        <v>3</v>
      </c>
      <c r="AC1744" t="s">
        <v>24</v>
      </c>
      <c r="AD1744" t="s">
        <v>129</v>
      </c>
      <c r="AE1744" s="97"/>
    </row>
    <row r="1745" spans="1:31" ht="14.4" customHeight="1" x14ac:dyDescent="0.3">
      <c r="A1745" t="s">
        <v>4046</v>
      </c>
      <c r="B1745" t="s">
        <v>2017</v>
      </c>
      <c r="C1745"/>
      <c r="D1745"/>
      <c r="E1745"/>
      <c r="F1745"/>
      <c r="G1745" t="s">
        <v>3994</v>
      </c>
      <c r="H1745" t="s">
        <v>132</v>
      </c>
      <c r="I1745" t="s">
        <v>4</v>
      </c>
      <c r="J1745" t="s">
        <v>133</v>
      </c>
      <c r="K1745" t="s">
        <v>54</v>
      </c>
      <c r="L1745" t="s">
        <v>1973</v>
      </c>
      <c r="M1745" t="s">
        <v>134</v>
      </c>
      <c r="N1745" t="s">
        <v>135</v>
      </c>
      <c r="O1745"/>
      <c r="P1745"/>
      <c r="Q1745" t="s">
        <v>140</v>
      </c>
      <c r="R1745"/>
      <c r="S1745"/>
      <c r="T1745" t="s">
        <v>1974</v>
      </c>
      <c r="U1745" t="s">
        <v>137</v>
      </c>
      <c r="V1745" t="s">
        <v>721</v>
      </c>
      <c r="W1745" s="9">
        <v>46205.496233414349</v>
      </c>
      <c r="X1745" t="s">
        <v>91</v>
      </c>
      <c r="Y1745"/>
      <c r="Z1745"/>
      <c r="AA1745" t="s">
        <v>1884</v>
      </c>
      <c r="AB1745" t="s">
        <v>3</v>
      </c>
      <c r="AC1745" t="s">
        <v>24</v>
      </c>
      <c r="AD1745" t="s">
        <v>129</v>
      </c>
      <c r="AE1745" s="97"/>
    </row>
    <row r="1746" spans="1:31" ht="14.4" customHeight="1" x14ac:dyDescent="0.3">
      <c r="A1746" t="s">
        <v>4047</v>
      </c>
      <c r="B1746" t="s">
        <v>2019</v>
      </c>
      <c r="C1746"/>
      <c r="D1746"/>
      <c r="E1746"/>
      <c r="F1746"/>
      <c r="G1746" t="s">
        <v>3994</v>
      </c>
      <c r="H1746" t="s">
        <v>132</v>
      </c>
      <c r="I1746" t="s">
        <v>4</v>
      </c>
      <c r="J1746" t="s">
        <v>133</v>
      </c>
      <c r="K1746" t="s">
        <v>54</v>
      </c>
      <c r="L1746" t="s">
        <v>1973</v>
      </c>
      <c r="M1746" t="s">
        <v>134</v>
      </c>
      <c r="N1746" t="s">
        <v>135</v>
      </c>
      <c r="O1746"/>
      <c r="P1746"/>
      <c r="Q1746" t="s">
        <v>140</v>
      </c>
      <c r="R1746"/>
      <c r="S1746"/>
      <c r="T1746" t="s">
        <v>1974</v>
      </c>
      <c r="U1746" t="s">
        <v>137</v>
      </c>
      <c r="V1746" t="s">
        <v>727</v>
      </c>
      <c r="W1746" s="9">
        <v>46205.504434490744</v>
      </c>
      <c r="X1746" t="s">
        <v>100</v>
      </c>
      <c r="Y1746"/>
      <c r="Z1746"/>
      <c r="AA1746" t="s">
        <v>1884</v>
      </c>
      <c r="AB1746" t="s">
        <v>3</v>
      </c>
      <c r="AC1746" t="s">
        <v>24</v>
      </c>
      <c r="AD1746" t="s">
        <v>129</v>
      </c>
      <c r="AE1746" s="97"/>
    </row>
    <row r="1747" spans="1:31" ht="14.4" customHeight="1" x14ac:dyDescent="0.3">
      <c r="A1747" t="s">
        <v>4048</v>
      </c>
      <c r="B1747" t="s">
        <v>2021</v>
      </c>
      <c r="C1747"/>
      <c r="D1747"/>
      <c r="E1747"/>
      <c r="F1747"/>
      <c r="G1747" t="s">
        <v>3994</v>
      </c>
      <c r="H1747" t="s">
        <v>132</v>
      </c>
      <c r="I1747" t="s">
        <v>4</v>
      </c>
      <c r="J1747" t="s">
        <v>133</v>
      </c>
      <c r="K1747" t="s">
        <v>54</v>
      </c>
      <c r="L1747" t="s">
        <v>1973</v>
      </c>
      <c r="M1747" t="s">
        <v>134</v>
      </c>
      <c r="N1747" t="s">
        <v>135</v>
      </c>
      <c r="O1747"/>
      <c r="P1747"/>
      <c r="Q1747" t="s">
        <v>140</v>
      </c>
      <c r="R1747"/>
      <c r="S1747"/>
      <c r="T1747" t="s">
        <v>1974</v>
      </c>
      <c r="U1747" t="s">
        <v>137</v>
      </c>
      <c r="V1747" t="s">
        <v>727</v>
      </c>
      <c r="W1747" s="9">
        <v>46205.505122916664</v>
      </c>
      <c r="X1747" t="s">
        <v>100</v>
      </c>
      <c r="Y1747"/>
      <c r="Z1747"/>
      <c r="AA1747" t="s">
        <v>1884</v>
      </c>
      <c r="AB1747" t="s">
        <v>3</v>
      </c>
      <c r="AC1747" t="s">
        <v>24</v>
      </c>
      <c r="AD1747" t="s">
        <v>129</v>
      </c>
      <c r="AE1747" s="97"/>
    </row>
    <row r="1748" spans="1:31" ht="14.4" customHeight="1" x14ac:dyDescent="0.3">
      <c r="A1748" t="s">
        <v>4049</v>
      </c>
      <c r="B1748" t="s">
        <v>2023</v>
      </c>
      <c r="C1748"/>
      <c r="D1748"/>
      <c r="E1748"/>
      <c r="F1748"/>
      <c r="G1748" t="s">
        <v>3994</v>
      </c>
      <c r="H1748" t="s">
        <v>132</v>
      </c>
      <c r="I1748" t="s">
        <v>4</v>
      </c>
      <c r="J1748" t="s">
        <v>133</v>
      </c>
      <c r="K1748" t="s">
        <v>54</v>
      </c>
      <c r="L1748" t="s">
        <v>1973</v>
      </c>
      <c r="M1748" t="s">
        <v>134</v>
      </c>
      <c r="N1748" t="s">
        <v>135</v>
      </c>
      <c r="O1748"/>
      <c r="P1748"/>
      <c r="Q1748" t="s">
        <v>140</v>
      </c>
      <c r="R1748"/>
      <c r="S1748"/>
      <c r="T1748" t="s">
        <v>1974</v>
      </c>
      <c r="U1748" t="s">
        <v>137</v>
      </c>
      <c r="V1748" t="s">
        <v>733</v>
      </c>
      <c r="W1748" s="9">
        <v>46205.506562268522</v>
      </c>
      <c r="X1748" t="s">
        <v>109</v>
      </c>
      <c r="Y1748"/>
      <c r="Z1748"/>
      <c r="AA1748" t="s">
        <v>1884</v>
      </c>
      <c r="AB1748" t="s">
        <v>3</v>
      </c>
      <c r="AC1748" t="s">
        <v>24</v>
      </c>
      <c r="AD1748" t="s">
        <v>129</v>
      </c>
      <c r="AE1748" s="97"/>
    </row>
    <row r="1749" spans="1:31" ht="14.4" customHeight="1" x14ac:dyDescent="0.3">
      <c r="A1749" t="s">
        <v>4050</v>
      </c>
      <c r="B1749" t="s">
        <v>2025</v>
      </c>
      <c r="C1749"/>
      <c r="D1749"/>
      <c r="E1749"/>
      <c r="F1749"/>
      <c r="G1749" t="s">
        <v>3994</v>
      </c>
      <c r="H1749" t="s">
        <v>132</v>
      </c>
      <c r="I1749" t="s">
        <v>4</v>
      </c>
      <c r="J1749" t="s">
        <v>133</v>
      </c>
      <c r="K1749" t="s">
        <v>54</v>
      </c>
      <c r="L1749" t="s">
        <v>1973</v>
      </c>
      <c r="M1749" t="s">
        <v>134</v>
      </c>
      <c r="N1749" t="s">
        <v>135</v>
      </c>
      <c r="O1749"/>
      <c r="P1749"/>
      <c r="Q1749" t="s">
        <v>140</v>
      </c>
      <c r="R1749"/>
      <c r="S1749"/>
      <c r="T1749" t="s">
        <v>1974</v>
      </c>
      <c r="U1749" t="s">
        <v>137</v>
      </c>
      <c r="V1749" t="s">
        <v>733</v>
      </c>
      <c r="W1749" s="9">
        <v>46205.513195949075</v>
      </c>
      <c r="X1749" t="s">
        <v>109</v>
      </c>
      <c r="Y1749"/>
      <c r="Z1749"/>
      <c r="AA1749" t="s">
        <v>1884</v>
      </c>
      <c r="AB1749" t="s">
        <v>3</v>
      </c>
      <c r="AC1749" t="s">
        <v>24</v>
      </c>
      <c r="AD1749" t="s">
        <v>129</v>
      </c>
      <c r="AE1749" s="97"/>
    </row>
    <row r="1750" spans="1:31" ht="14.4" customHeight="1" x14ac:dyDescent="0.3">
      <c r="A1750" t="s">
        <v>4051</v>
      </c>
      <c r="B1750" t="s">
        <v>2027</v>
      </c>
      <c r="C1750"/>
      <c r="D1750"/>
      <c r="E1750"/>
      <c r="F1750"/>
      <c r="G1750" t="s">
        <v>3994</v>
      </c>
      <c r="H1750" t="s">
        <v>132</v>
      </c>
      <c r="I1750" t="s">
        <v>4</v>
      </c>
      <c r="J1750" t="s">
        <v>133</v>
      </c>
      <c r="K1750" t="s">
        <v>54</v>
      </c>
      <c r="L1750" t="s">
        <v>1973</v>
      </c>
      <c r="M1750" t="s">
        <v>134</v>
      </c>
      <c r="N1750" t="s">
        <v>135</v>
      </c>
      <c r="O1750"/>
      <c r="P1750"/>
      <c r="Q1750" t="s">
        <v>140</v>
      </c>
      <c r="R1750"/>
      <c r="S1750"/>
      <c r="T1750" t="s">
        <v>1974</v>
      </c>
      <c r="U1750" t="s">
        <v>137</v>
      </c>
      <c r="V1750" t="s">
        <v>739</v>
      </c>
      <c r="W1750" s="9">
        <v>46205.514106331022</v>
      </c>
      <c r="X1750" t="s">
        <v>118</v>
      </c>
      <c r="Y1750"/>
      <c r="Z1750"/>
      <c r="AA1750" t="s">
        <v>1884</v>
      </c>
      <c r="AB1750" t="s">
        <v>3</v>
      </c>
      <c r="AC1750" t="s">
        <v>24</v>
      </c>
      <c r="AD1750" t="s">
        <v>130</v>
      </c>
      <c r="AE1750" s="97"/>
    </row>
    <row r="1751" spans="1:31" ht="14.4" customHeight="1" x14ac:dyDescent="0.3">
      <c r="A1751" t="s">
        <v>4052</v>
      </c>
      <c r="B1751" t="s">
        <v>2029</v>
      </c>
      <c r="C1751"/>
      <c r="D1751"/>
      <c r="E1751"/>
      <c r="F1751"/>
      <c r="G1751" t="s">
        <v>3994</v>
      </c>
      <c r="H1751" t="s">
        <v>132</v>
      </c>
      <c r="I1751" t="s">
        <v>4</v>
      </c>
      <c r="J1751" t="s">
        <v>133</v>
      </c>
      <c r="K1751" t="s">
        <v>54</v>
      </c>
      <c r="L1751" t="s">
        <v>1973</v>
      </c>
      <c r="M1751" t="s">
        <v>134</v>
      </c>
      <c r="N1751" t="s">
        <v>135</v>
      </c>
      <c r="O1751"/>
      <c r="P1751"/>
      <c r="Q1751" t="s">
        <v>140</v>
      </c>
      <c r="R1751"/>
      <c r="S1751"/>
      <c r="T1751" t="s">
        <v>1974</v>
      </c>
      <c r="U1751" t="s">
        <v>137</v>
      </c>
      <c r="V1751" t="s">
        <v>739</v>
      </c>
      <c r="W1751" s="9">
        <v>46205.514925891206</v>
      </c>
      <c r="X1751" t="s">
        <v>118</v>
      </c>
      <c r="Y1751"/>
      <c r="Z1751"/>
      <c r="AA1751" t="s">
        <v>1884</v>
      </c>
      <c r="AB1751" t="s">
        <v>3</v>
      </c>
      <c r="AC1751" t="s">
        <v>24</v>
      </c>
      <c r="AD1751" t="s">
        <v>130</v>
      </c>
      <c r="AE1751" s="97"/>
    </row>
    <row r="1752" spans="1:31" ht="14.4" customHeight="1" x14ac:dyDescent="0.3">
      <c r="A1752" t="s">
        <v>4053</v>
      </c>
      <c r="B1752" t="s">
        <v>2031</v>
      </c>
      <c r="C1752"/>
      <c r="D1752"/>
      <c r="E1752"/>
      <c r="F1752"/>
      <c r="G1752" t="s">
        <v>3994</v>
      </c>
      <c r="H1752" t="s">
        <v>132</v>
      </c>
      <c r="I1752" t="s">
        <v>4</v>
      </c>
      <c r="J1752" t="s">
        <v>133</v>
      </c>
      <c r="K1752" t="s">
        <v>54</v>
      </c>
      <c r="L1752" t="s">
        <v>2032</v>
      </c>
      <c r="M1752" t="s">
        <v>134</v>
      </c>
      <c r="N1752" t="s">
        <v>135</v>
      </c>
      <c r="O1752"/>
      <c r="P1752"/>
      <c r="Q1752" t="s">
        <v>140</v>
      </c>
      <c r="R1752"/>
      <c r="S1752"/>
      <c r="T1752" t="s">
        <v>1936</v>
      </c>
      <c r="U1752" t="s">
        <v>137</v>
      </c>
      <c r="V1752" t="s">
        <v>640</v>
      </c>
      <c r="W1752" s="9">
        <v>46182.501695370367</v>
      </c>
      <c r="X1752" t="s">
        <v>66</v>
      </c>
      <c r="Y1752"/>
      <c r="Z1752"/>
      <c r="AA1752" t="s">
        <v>1884</v>
      </c>
      <c r="AB1752" t="s">
        <v>3</v>
      </c>
      <c r="AC1752" t="s">
        <v>24</v>
      </c>
      <c r="AD1752" t="s">
        <v>128</v>
      </c>
      <c r="AE1752" s="97"/>
    </row>
    <row r="1753" spans="1:31" ht="14.4" customHeight="1" x14ac:dyDescent="0.3">
      <c r="A1753" t="s">
        <v>4054</v>
      </c>
      <c r="B1753" t="s">
        <v>2034</v>
      </c>
      <c r="C1753"/>
      <c r="D1753"/>
      <c r="E1753"/>
      <c r="F1753"/>
      <c r="G1753" t="s">
        <v>3994</v>
      </c>
      <c r="H1753" t="s">
        <v>132</v>
      </c>
      <c r="I1753" t="s">
        <v>4</v>
      </c>
      <c r="J1753" t="s">
        <v>133</v>
      </c>
      <c r="K1753" t="s">
        <v>54</v>
      </c>
      <c r="L1753" t="s">
        <v>2032</v>
      </c>
      <c r="M1753" t="s">
        <v>134</v>
      </c>
      <c r="N1753" t="s">
        <v>135</v>
      </c>
      <c r="O1753"/>
      <c r="P1753"/>
      <c r="Q1753" t="s">
        <v>140</v>
      </c>
      <c r="R1753"/>
      <c r="S1753"/>
      <c r="T1753" t="s">
        <v>1936</v>
      </c>
      <c r="U1753" t="s">
        <v>137</v>
      </c>
      <c r="V1753" t="s">
        <v>646</v>
      </c>
      <c r="W1753" s="9">
        <v>46182.502015706021</v>
      </c>
      <c r="X1753" t="s">
        <v>74</v>
      </c>
      <c r="Y1753"/>
      <c r="Z1753"/>
      <c r="AA1753" t="s">
        <v>1884</v>
      </c>
      <c r="AB1753" t="s">
        <v>3</v>
      </c>
      <c r="AC1753" t="s">
        <v>24</v>
      </c>
      <c r="AD1753" t="s">
        <v>128</v>
      </c>
      <c r="AE1753" s="97"/>
    </row>
    <row r="1754" spans="1:31" ht="14.4" customHeight="1" x14ac:dyDescent="0.3">
      <c r="A1754" t="s">
        <v>4055</v>
      </c>
      <c r="B1754" t="s">
        <v>2036</v>
      </c>
      <c r="C1754"/>
      <c r="D1754"/>
      <c r="E1754"/>
      <c r="F1754"/>
      <c r="G1754" t="s">
        <v>3994</v>
      </c>
      <c r="H1754" t="s">
        <v>132</v>
      </c>
      <c r="I1754" t="s">
        <v>4</v>
      </c>
      <c r="J1754" t="s">
        <v>133</v>
      </c>
      <c r="K1754" t="s">
        <v>54</v>
      </c>
      <c r="L1754" t="s">
        <v>2032</v>
      </c>
      <c r="M1754" t="s">
        <v>134</v>
      </c>
      <c r="N1754" t="s">
        <v>135</v>
      </c>
      <c r="O1754"/>
      <c r="P1754"/>
      <c r="Q1754" t="s">
        <v>140</v>
      </c>
      <c r="R1754"/>
      <c r="S1754"/>
      <c r="T1754" t="s">
        <v>1936</v>
      </c>
      <c r="U1754" t="s">
        <v>137</v>
      </c>
      <c r="V1754" t="s">
        <v>652</v>
      </c>
      <c r="W1754" s="9">
        <v>46184.321804710649</v>
      </c>
      <c r="X1754" t="s">
        <v>85</v>
      </c>
      <c r="Y1754"/>
      <c r="Z1754"/>
      <c r="AA1754" t="s">
        <v>1884</v>
      </c>
      <c r="AB1754" t="s">
        <v>3</v>
      </c>
      <c r="AC1754" t="s">
        <v>24</v>
      </c>
      <c r="AD1754" t="s">
        <v>129</v>
      </c>
      <c r="AE1754" s="97"/>
    </row>
    <row r="1755" spans="1:31" ht="14.4" customHeight="1" x14ac:dyDescent="0.3">
      <c r="A1755" t="s">
        <v>4056</v>
      </c>
      <c r="B1755" t="s">
        <v>2038</v>
      </c>
      <c r="C1755"/>
      <c r="D1755"/>
      <c r="E1755"/>
      <c r="F1755"/>
      <c r="G1755" t="s">
        <v>3994</v>
      </c>
      <c r="H1755" t="s">
        <v>132</v>
      </c>
      <c r="I1755" t="s">
        <v>4</v>
      </c>
      <c r="J1755" t="s">
        <v>133</v>
      </c>
      <c r="K1755" t="s">
        <v>54</v>
      </c>
      <c r="L1755" t="s">
        <v>2032</v>
      </c>
      <c r="M1755" t="s">
        <v>134</v>
      </c>
      <c r="N1755" t="s">
        <v>135</v>
      </c>
      <c r="O1755"/>
      <c r="P1755"/>
      <c r="Q1755" t="s">
        <v>140</v>
      </c>
      <c r="R1755"/>
      <c r="S1755"/>
      <c r="T1755" t="s">
        <v>1936</v>
      </c>
      <c r="U1755" t="s">
        <v>137</v>
      </c>
      <c r="V1755" t="s">
        <v>658</v>
      </c>
      <c r="W1755" s="9">
        <v>46184.322409293978</v>
      </c>
      <c r="X1755" t="s">
        <v>94</v>
      </c>
      <c r="Y1755"/>
      <c r="Z1755"/>
      <c r="AA1755" t="s">
        <v>1884</v>
      </c>
      <c r="AB1755" t="s">
        <v>3</v>
      </c>
      <c r="AC1755" t="s">
        <v>24</v>
      </c>
      <c r="AD1755" t="s">
        <v>129</v>
      </c>
      <c r="AE1755" s="97"/>
    </row>
    <row r="1756" spans="1:31" ht="14.4" customHeight="1" x14ac:dyDescent="0.3">
      <c r="A1756" t="s">
        <v>4057</v>
      </c>
      <c r="B1756" t="s">
        <v>2040</v>
      </c>
      <c r="C1756"/>
      <c r="D1756"/>
      <c r="E1756"/>
      <c r="F1756"/>
      <c r="G1756" t="s">
        <v>3994</v>
      </c>
      <c r="H1756" t="s">
        <v>132</v>
      </c>
      <c r="I1756" t="s">
        <v>4</v>
      </c>
      <c r="J1756" t="s">
        <v>133</v>
      </c>
      <c r="K1756" t="s">
        <v>54</v>
      </c>
      <c r="L1756" t="s">
        <v>2032</v>
      </c>
      <c r="M1756" t="s">
        <v>134</v>
      </c>
      <c r="N1756" t="s">
        <v>135</v>
      </c>
      <c r="O1756"/>
      <c r="P1756"/>
      <c r="Q1756" t="s">
        <v>140</v>
      </c>
      <c r="R1756"/>
      <c r="S1756"/>
      <c r="T1756" t="s">
        <v>1936</v>
      </c>
      <c r="U1756" t="s">
        <v>137</v>
      </c>
      <c r="V1756" t="s">
        <v>664</v>
      </c>
      <c r="W1756" s="9">
        <v>46184.322892326389</v>
      </c>
      <c r="X1756" t="s">
        <v>103</v>
      </c>
      <c r="Y1756"/>
      <c r="Z1756"/>
      <c r="AA1756" t="s">
        <v>1884</v>
      </c>
      <c r="AB1756" t="s">
        <v>3</v>
      </c>
      <c r="AC1756" t="s">
        <v>24</v>
      </c>
      <c r="AD1756" t="s">
        <v>129</v>
      </c>
      <c r="AE1756" s="97"/>
    </row>
    <row r="1757" spans="1:31" ht="14.4" customHeight="1" x14ac:dyDescent="0.3">
      <c r="A1757" t="s">
        <v>4058</v>
      </c>
      <c r="B1757" t="s">
        <v>2042</v>
      </c>
      <c r="C1757"/>
      <c r="D1757"/>
      <c r="E1757"/>
      <c r="F1757"/>
      <c r="G1757" t="s">
        <v>3994</v>
      </c>
      <c r="H1757" t="s">
        <v>132</v>
      </c>
      <c r="I1757" t="s">
        <v>4</v>
      </c>
      <c r="J1757" t="s">
        <v>133</v>
      </c>
      <c r="K1757" t="s">
        <v>54</v>
      </c>
      <c r="L1757" t="s">
        <v>2032</v>
      </c>
      <c r="M1757" t="s">
        <v>134</v>
      </c>
      <c r="N1757" t="s">
        <v>135</v>
      </c>
      <c r="O1757"/>
      <c r="P1757"/>
      <c r="Q1757" t="s">
        <v>140</v>
      </c>
      <c r="R1757"/>
      <c r="S1757"/>
      <c r="T1757" t="s">
        <v>1936</v>
      </c>
      <c r="U1757" t="s">
        <v>137</v>
      </c>
      <c r="V1757" t="s">
        <v>670</v>
      </c>
      <c r="W1757" s="9">
        <v>46184.323331250002</v>
      </c>
      <c r="X1757" t="s">
        <v>110</v>
      </c>
      <c r="Y1757"/>
      <c r="Z1757"/>
      <c r="AA1757" t="s">
        <v>1884</v>
      </c>
      <c r="AB1757" t="s">
        <v>3</v>
      </c>
      <c r="AC1757" t="s">
        <v>24</v>
      </c>
      <c r="AD1757" t="s">
        <v>129</v>
      </c>
      <c r="AE1757" s="97"/>
    </row>
    <row r="1758" spans="1:31" ht="14.4" customHeight="1" x14ac:dyDescent="0.3">
      <c r="A1758" t="s">
        <v>4059</v>
      </c>
      <c r="B1758" t="s">
        <v>2044</v>
      </c>
      <c r="C1758"/>
      <c r="D1758"/>
      <c r="E1758"/>
      <c r="F1758"/>
      <c r="G1758" t="s">
        <v>3994</v>
      </c>
      <c r="H1758" t="s">
        <v>132</v>
      </c>
      <c r="I1758" t="s">
        <v>4</v>
      </c>
      <c r="J1758" t="s">
        <v>133</v>
      </c>
      <c r="K1758" t="s">
        <v>54</v>
      </c>
      <c r="L1758" t="s">
        <v>2032</v>
      </c>
      <c r="M1758" t="s">
        <v>134</v>
      </c>
      <c r="N1758" t="s">
        <v>135</v>
      </c>
      <c r="O1758"/>
      <c r="P1758"/>
      <c r="Q1758" t="s">
        <v>140</v>
      </c>
      <c r="R1758"/>
      <c r="S1758"/>
      <c r="T1758" t="s">
        <v>1936</v>
      </c>
      <c r="U1758" t="s">
        <v>137</v>
      </c>
      <c r="V1758" t="s">
        <v>676</v>
      </c>
      <c r="W1758" s="9">
        <v>46184.521301701388</v>
      </c>
      <c r="X1758" t="s">
        <v>119</v>
      </c>
      <c r="Y1758"/>
      <c r="Z1758"/>
      <c r="AA1758" t="s">
        <v>1884</v>
      </c>
      <c r="AB1758" t="s">
        <v>3</v>
      </c>
      <c r="AC1758" t="s">
        <v>24</v>
      </c>
      <c r="AD1758" t="s">
        <v>130</v>
      </c>
      <c r="AE1758" s="97"/>
    </row>
    <row r="1759" spans="1:31" ht="14.4" customHeight="1" x14ac:dyDescent="0.3">
      <c r="A1759" t="s">
        <v>4060</v>
      </c>
      <c r="B1759" t="s">
        <v>2046</v>
      </c>
      <c r="C1759"/>
      <c r="D1759"/>
      <c r="E1759"/>
      <c r="F1759"/>
      <c r="G1759" t="s">
        <v>3994</v>
      </c>
      <c r="H1759" t="s">
        <v>132</v>
      </c>
      <c r="I1759" t="s">
        <v>4</v>
      </c>
      <c r="J1759" t="s">
        <v>133</v>
      </c>
      <c r="K1759" t="s">
        <v>54</v>
      </c>
      <c r="L1759" t="s">
        <v>1979</v>
      </c>
      <c r="M1759" t="s">
        <v>134</v>
      </c>
      <c r="N1759" t="s">
        <v>135</v>
      </c>
      <c r="O1759"/>
      <c r="P1759"/>
      <c r="Q1759" t="s">
        <v>140</v>
      </c>
      <c r="R1759"/>
      <c r="S1759"/>
      <c r="T1759" t="s">
        <v>2047</v>
      </c>
      <c r="U1759" t="s">
        <v>137</v>
      </c>
      <c r="V1759" t="s">
        <v>1279</v>
      </c>
      <c r="W1759" s="9">
        <v>46182.502372071758</v>
      </c>
      <c r="X1759" t="s">
        <v>71</v>
      </c>
      <c r="Y1759"/>
      <c r="Z1759"/>
      <c r="AA1759" t="s">
        <v>1884</v>
      </c>
      <c r="AB1759" t="s">
        <v>3</v>
      </c>
      <c r="AC1759" t="s">
        <v>24</v>
      </c>
      <c r="AD1759" t="s">
        <v>128</v>
      </c>
      <c r="AE1759" s="97"/>
    </row>
    <row r="1760" spans="1:31" ht="14.4" customHeight="1" x14ac:dyDescent="0.3">
      <c r="A1760" t="s">
        <v>4061</v>
      </c>
      <c r="B1760" t="s">
        <v>2049</v>
      </c>
      <c r="C1760"/>
      <c r="D1760"/>
      <c r="E1760"/>
      <c r="F1760"/>
      <c r="G1760" t="s">
        <v>3994</v>
      </c>
      <c r="H1760" t="s">
        <v>132</v>
      </c>
      <c r="I1760" t="s">
        <v>4</v>
      </c>
      <c r="J1760" t="s">
        <v>133</v>
      </c>
      <c r="K1760" t="s">
        <v>54</v>
      </c>
      <c r="L1760" t="s">
        <v>1979</v>
      </c>
      <c r="M1760" t="s">
        <v>134</v>
      </c>
      <c r="N1760" t="s">
        <v>135</v>
      </c>
      <c r="O1760"/>
      <c r="P1760"/>
      <c r="Q1760" t="s">
        <v>140</v>
      </c>
      <c r="R1760"/>
      <c r="S1760"/>
      <c r="T1760" t="s">
        <v>2047</v>
      </c>
      <c r="U1760" t="s">
        <v>137</v>
      </c>
      <c r="V1760" t="s">
        <v>1283</v>
      </c>
      <c r="W1760" s="9">
        <v>46182.505675659719</v>
      </c>
      <c r="X1760" t="s">
        <v>78</v>
      </c>
      <c r="Y1760"/>
      <c r="Z1760"/>
      <c r="AA1760" t="s">
        <v>1884</v>
      </c>
      <c r="AB1760" t="s">
        <v>3</v>
      </c>
      <c r="AC1760" t="s">
        <v>24</v>
      </c>
      <c r="AD1760" t="s">
        <v>128</v>
      </c>
      <c r="AE1760" s="97"/>
    </row>
    <row r="1761" spans="1:31" ht="14.4" customHeight="1" x14ac:dyDescent="0.3">
      <c r="A1761" t="s">
        <v>4062</v>
      </c>
      <c r="B1761" t="s">
        <v>2051</v>
      </c>
      <c r="C1761"/>
      <c r="D1761"/>
      <c r="E1761"/>
      <c r="F1761"/>
      <c r="G1761" t="s">
        <v>3994</v>
      </c>
      <c r="H1761" t="s">
        <v>132</v>
      </c>
      <c r="I1761" t="s">
        <v>4</v>
      </c>
      <c r="J1761" t="s">
        <v>133</v>
      </c>
      <c r="K1761" t="s">
        <v>54</v>
      </c>
      <c r="L1761" t="s">
        <v>1979</v>
      </c>
      <c r="M1761" t="s">
        <v>134</v>
      </c>
      <c r="N1761" t="s">
        <v>135</v>
      </c>
      <c r="O1761"/>
      <c r="P1761"/>
      <c r="Q1761" t="s">
        <v>140</v>
      </c>
      <c r="R1761"/>
      <c r="S1761"/>
      <c r="T1761" t="s">
        <v>2047</v>
      </c>
      <c r="U1761" t="s">
        <v>137</v>
      </c>
      <c r="V1761" t="s">
        <v>1287</v>
      </c>
      <c r="W1761" s="9">
        <v>46184.323807719906</v>
      </c>
      <c r="X1761" t="s">
        <v>89</v>
      </c>
      <c r="Y1761"/>
      <c r="Z1761"/>
      <c r="AA1761" t="s">
        <v>1884</v>
      </c>
      <c r="AB1761" t="s">
        <v>3</v>
      </c>
      <c r="AC1761" t="s">
        <v>24</v>
      </c>
      <c r="AD1761" t="s">
        <v>129</v>
      </c>
      <c r="AE1761" s="97"/>
    </row>
    <row r="1762" spans="1:31" ht="14.4" customHeight="1" x14ac:dyDescent="0.3">
      <c r="A1762" t="s">
        <v>4063</v>
      </c>
      <c r="B1762" t="s">
        <v>2053</v>
      </c>
      <c r="C1762"/>
      <c r="D1762"/>
      <c r="E1762"/>
      <c r="F1762"/>
      <c r="G1762" t="s">
        <v>3994</v>
      </c>
      <c r="H1762" t="s">
        <v>132</v>
      </c>
      <c r="I1762" t="s">
        <v>4</v>
      </c>
      <c r="J1762" t="s">
        <v>133</v>
      </c>
      <c r="K1762" t="s">
        <v>54</v>
      </c>
      <c r="L1762" t="s">
        <v>1979</v>
      </c>
      <c r="M1762" t="s">
        <v>134</v>
      </c>
      <c r="N1762" t="s">
        <v>135</v>
      </c>
      <c r="O1762"/>
      <c r="P1762"/>
      <c r="Q1762" t="s">
        <v>140</v>
      </c>
      <c r="R1762"/>
      <c r="S1762"/>
      <c r="T1762" t="s">
        <v>2047</v>
      </c>
      <c r="U1762" t="s">
        <v>137</v>
      </c>
      <c r="V1762" t="s">
        <v>1291</v>
      </c>
      <c r="W1762" s="9">
        <v>46184.324765543985</v>
      </c>
      <c r="X1762" t="s">
        <v>98</v>
      </c>
      <c r="Y1762"/>
      <c r="Z1762"/>
      <c r="AA1762" t="s">
        <v>1884</v>
      </c>
      <c r="AB1762" t="s">
        <v>3</v>
      </c>
      <c r="AC1762" t="s">
        <v>24</v>
      </c>
      <c r="AD1762" t="s">
        <v>129</v>
      </c>
      <c r="AE1762" s="97"/>
    </row>
    <row r="1763" spans="1:31" ht="14.4" customHeight="1" x14ac:dyDescent="0.3">
      <c r="A1763" t="s">
        <v>4064</v>
      </c>
      <c r="B1763" t="s">
        <v>2055</v>
      </c>
      <c r="C1763"/>
      <c r="D1763"/>
      <c r="E1763"/>
      <c r="F1763"/>
      <c r="G1763" t="s">
        <v>3994</v>
      </c>
      <c r="H1763" t="s">
        <v>132</v>
      </c>
      <c r="I1763" t="s">
        <v>4</v>
      </c>
      <c r="J1763" t="s">
        <v>133</v>
      </c>
      <c r="K1763" t="s">
        <v>54</v>
      </c>
      <c r="L1763" t="s">
        <v>1979</v>
      </c>
      <c r="M1763" t="s">
        <v>134</v>
      </c>
      <c r="N1763" t="s">
        <v>135</v>
      </c>
      <c r="O1763"/>
      <c r="P1763"/>
      <c r="Q1763" t="s">
        <v>140</v>
      </c>
      <c r="R1763"/>
      <c r="S1763"/>
      <c r="T1763" t="s">
        <v>2056</v>
      </c>
      <c r="U1763" t="s">
        <v>137</v>
      </c>
      <c r="V1763" t="s">
        <v>1295</v>
      </c>
      <c r="W1763" s="9">
        <v>46184.325237118057</v>
      </c>
      <c r="X1763" t="s">
        <v>107</v>
      </c>
      <c r="Y1763"/>
      <c r="Z1763"/>
      <c r="AA1763" t="s">
        <v>1884</v>
      </c>
      <c r="AB1763" t="s">
        <v>3</v>
      </c>
      <c r="AC1763" t="s">
        <v>24</v>
      </c>
      <c r="AD1763" t="s">
        <v>129</v>
      </c>
      <c r="AE1763" s="97"/>
    </row>
    <row r="1764" spans="1:31" ht="14.4" customHeight="1" x14ac:dyDescent="0.3">
      <c r="A1764" t="s">
        <v>4065</v>
      </c>
      <c r="B1764" t="s">
        <v>2058</v>
      </c>
      <c r="C1764"/>
      <c r="D1764"/>
      <c r="E1764"/>
      <c r="F1764"/>
      <c r="G1764" t="s">
        <v>3994</v>
      </c>
      <c r="H1764" t="s">
        <v>132</v>
      </c>
      <c r="I1764" t="s">
        <v>4</v>
      </c>
      <c r="J1764" t="s">
        <v>133</v>
      </c>
      <c r="K1764" t="s">
        <v>54</v>
      </c>
      <c r="L1764" t="s">
        <v>1979</v>
      </c>
      <c r="M1764" t="s">
        <v>134</v>
      </c>
      <c r="N1764" t="s">
        <v>135</v>
      </c>
      <c r="O1764"/>
      <c r="P1764"/>
      <c r="Q1764" t="s">
        <v>140</v>
      </c>
      <c r="R1764"/>
      <c r="S1764"/>
      <c r="T1764" t="s">
        <v>2056</v>
      </c>
      <c r="U1764" t="s">
        <v>137</v>
      </c>
      <c r="V1764" t="s">
        <v>1299</v>
      </c>
      <c r="W1764" s="9">
        <v>46184.325749456017</v>
      </c>
      <c r="X1764" t="s">
        <v>114</v>
      </c>
      <c r="Y1764"/>
      <c r="Z1764"/>
      <c r="AA1764" t="s">
        <v>1884</v>
      </c>
      <c r="AB1764" t="s">
        <v>3</v>
      </c>
      <c r="AC1764" t="s">
        <v>24</v>
      </c>
      <c r="AD1764" t="s">
        <v>129</v>
      </c>
      <c r="AE1764" s="97"/>
    </row>
    <row r="1765" spans="1:31" ht="14.4" customHeight="1" x14ac:dyDescent="0.3">
      <c r="A1765" t="s">
        <v>4066</v>
      </c>
      <c r="B1765" t="s">
        <v>2060</v>
      </c>
      <c r="C1765"/>
      <c r="D1765"/>
      <c r="E1765"/>
      <c r="F1765"/>
      <c r="G1765" t="s">
        <v>3994</v>
      </c>
      <c r="H1765" t="s">
        <v>132</v>
      </c>
      <c r="I1765" t="s">
        <v>4</v>
      </c>
      <c r="J1765" t="s">
        <v>133</v>
      </c>
      <c r="K1765" t="s">
        <v>54</v>
      </c>
      <c r="L1765" t="s">
        <v>1979</v>
      </c>
      <c r="M1765" t="s">
        <v>134</v>
      </c>
      <c r="N1765" t="s">
        <v>135</v>
      </c>
      <c r="O1765"/>
      <c r="P1765"/>
      <c r="Q1765" t="s">
        <v>140</v>
      </c>
      <c r="R1765"/>
      <c r="S1765"/>
      <c r="T1765" t="s">
        <v>2056</v>
      </c>
      <c r="U1765" t="s">
        <v>137</v>
      </c>
      <c r="V1765" t="s">
        <v>1303</v>
      </c>
      <c r="W1765" s="9">
        <v>46184.521808101854</v>
      </c>
      <c r="X1765" t="s">
        <v>123</v>
      </c>
      <c r="Y1765"/>
      <c r="Z1765"/>
      <c r="AA1765" t="s">
        <v>1884</v>
      </c>
      <c r="AB1765" t="s">
        <v>3</v>
      </c>
      <c r="AC1765" t="s">
        <v>24</v>
      </c>
      <c r="AD1765" t="s">
        <v>130</v>
      </c>
      <c r="AE1765" s="97"/>
    </row>
    <row r="1766" spans="1:31" ht="14.4" customHeight="1" x14ac:dyDescent="0.3">
      <c r="A1766" t="s">
        <v>4067</v>
      </c>
      <c r="B1766" t="s">
        <v>2062</v>
      </c>
      <c r="C1766"/>
      <c r="D1766"/>
      <c r="E1766"/>
      <c r="F1766"/>
      <c r="G1766" t="s">
        <v>3994</v>
      </c>
      <c r="H1766" t="s">
        <v>132</v>
      </c>
      <c r="I1766" t="s">
        <v>4</v>
      </c>
      <c r="J1766" t="s">
        <v>133</v>
      </c>
      <c r="K1766" t="s">
        <v>54</v>
      </c>
      <c r="L1766" t="s">
        <v>2063</v>
      </c>
      <c r="M1766" t="s">
        <v>134</v>
      </c>
      <c r="N1766" t="s">
        <v>135</v>
      </c>
      <c r="O1766"/>
      <c r="P1766"/>
      <c r="Q1766" t="s">
        <v>140</v>
      </c>
      <c r="R1766"/>
      <c r="S1766"/>
      <c r="T1766" t="s">
        <v>2064</v>
      </c>
      <c r="U1766" t="s">
        <v>137</v>
      </c>
      <c r="V1766" t="s">
        <v>703</v>
      </c>
      <c r="W1766" s="9">
        <v>46182.506030358796</v>
      </c>
      <c r="X1766" t="s">
        <v>62</v>
      </c>
      <c r="Y1766"/>
      <c r="Z1766"/>
      <c r="AA1766" t="s">
        <v>1884</v>
      </c>
      <c r="AB1766" t="s">
        <v>3</v>
      </c>
      <c r="AC1766" t="s">
        <v>24</v>
      </c>
      <c r="AD1766" t="s">
        <v>128</v>
      </c>
      <c r="AE1766" s="97"/>
    </row>
    <row r="1767" spans="1:31" ht="14.4" customHeight="1" x14ac:dyDescent="0.3">
      <c r="A1767" t="s">
        <v>4068</v>
      </c>
      <c r="B1767" t="s">
        <v>2066</v>
      </c>
      <c r="C1767"/>
      <c r="D1767"/>
      <c r="E1767"/>
      <c r="F1767"/>
      <c r="G1767" t="s">
        <v>3994</v>
      </c>
      <c r="H1767" t="s">
        <v>132</v>
      </c>
      <c r="I1767" t="s">
        <v>4</v>
      </c>
      <c r="J1767" t="s">
        <v>133</v>
      </c>
      <c r="K1767" t="s">
        <v>54</v>
      </c>
      <c r="L1767" t="s">
        <v>2063</v>
      </c>
      <c r="M1767" t="s">
        <v>134</v>
      </c>
      <c r="N1767" t="s">
        <v>135</v>
      </c>
      <c r="O1767"/>
      <c r="P1767"/>
      <c r="Q1767" t="s">
        <v>140</v>
      </c>
      <c r="R1767"/>
      <c r="S1767"/>
      <c r="T1767" t="s">
        <v>2064</v>
      </c>
      <c r="U1767" t="s">
        <v>137</v>
      </c>
      <c r="V1767" t="s">
        <v>709</v>
      </c>
      <c r="W1767" s="9">
        <v>46182.507970914354</v>
      </c>
      <c r="X1767" t="s">
        <v>73</v>
      </c>
      <c r="Y1767"/>
      <c r="Z1767"/>
      <c r="AA1767" t="s">
        <v>1884</v>
      </c>
      <c r="AB1767" t="s">
        <v>3</v>
      </c>
      <c r="AC1767" t="s">
        <v>24</v>
      </c>
      <c r="AD1767" t="s">
        <v>128</v>
      </c>
      <c r="AE1767" s="97"/>
    </row>
    <row r="1768" spans="1:31" ht="14.4" customHeight="1" x14ac:dyDescent="0.3">
      <c r="A1768" t="s">
        <v>4069</v>
      </c>
      <c r="B1768" t="s">
        <v>2068</v>
      </c>
      <c r="C1768"/>
      <c r="D1768"/>
      <c r="E1768"/>
      <c r="F1768"/>
      <c r="G1768" t="s">
        <v>3994</v>
      </c>
      <c r="H1768" t="s">
        <v>132</v>
      </c>
      <c r="I1768" t="s">
        <v>4</v>
      </c>
      <c r="J1768" t="s">
        <v>133</v>
      </c>
      <c r="K1768" t="s">
        <v>54</v>
      </c>
      <c r="L1768" t="s">
        <v>2063</v>
      </c>
      <c r="M1768" t="s">
        <v>134</v>
      </c>
      <c r="N1768" t="s">
        <v>135</v>
      </c>
      <c r="O1768"/>
      <c r="P1768"/>
      <c r="Q1768" t="s">
        <v>140</v>
      </c>
      <c r="R1768"/>
      <c r="S1768"/>
      <c r="T1768" t="s">
        <v>2064</v>
      </c>
      <c r="U1768" t="s">
        <v>137</v>
      </c>
      <c r="V1768" t="s">
        <v>715</v>
      </c>
      <c r="W1768" s="9">
        <v>46184.326175196758</v>
      </c>
      <c r="X1768" t="s">
        <v>82</v>
      </c>
      <c r="Y1768"/>
      <c r="Z1768"/>
      <c r="AA1768" t="s">
        <v>1884</v>
      </c>
      <c r="AB1768" t="s">
        <v>3</v>
      </c>
      <c r="AC1768" t="s">
        <v>24</v>
      </c>
      <c r="AD1768" t="s">
        <v>129</v>
      </c>
      <c r="AE1768" s="97"/>
    </row>
    <row r="1769" spans="1:31" ht="14.4" customHeight="1" x14ac:dyDescent="0.3">
      <c r="A1769" t="s">
        <v>4070</v>
      </c>
      <c r="B1769" t="s">
        <v>2070</v>
      </c>
      <c r="C1769"/>
      <c r="D1769"/>
      <c r="E1769"/>
      <c r="F1769"/>
      <c r="G1769" t="s">
        <v>3994</v>
      </c>
      <c r="H1769" t="s">
        <v>132</v>
      </c>
      <c r="I1769" t="s">
        <v>4</v>
      </c>
      <c r="J1769" t="s">
        <v>133</v>
      </c>
      <c r="K1769" t="s">
        <v>54</v>
      </c>
      <c r="L1769" t="s">
        <v>2063</v>
      </c>
      <c r="M1769" t="s">
        <v>134</v>
      </c>
      <c r="N1769" t="s">
        <v>135</v>
      </c>
      <c r="O1769"/>
      <c r="P1769"/>
      <c r="Q1769" t="s">
        <v>140</v>
      </c>
      <c r="R1769"/>
      <c r="S1769"/>
      <c r="T1769" t="s">
        <v>2064</v>
      </c>
      <c r="U1769" t="s">
        <v>137</v>
      </c>
      <c r="V1769" t="s">
        <v>721</v>
      </c>
      <c r="W1769" s="9">
        <v>46184.326672372685</v>
      </c>
      <c r="X1769" t="s">
        <v>91</v>
      </c>
      <c r="Y1769"/>
      <c r="Z1769"/>
      <c r="AA1769" t="s">
        <v>1884</v>
      </c>
      <c r="AB1769" t="s">
        <v>3</v>
      </c>
      <c r="AC1769" t="s">
        <v>24</v>
      </c>
      <c r="AD1769" t="s">
        <v>129</v>
      </c>
      <c r="AE1769" s="97"/>
    </row>
    <row r="1770" spans="1:31" ht="14.4" customHeight="1" x14ac:dyDescent="0.3">
      <c r="A1770" t="s">
        <v>4071</v>
      </c>
      <c r="B1770" t="s">
        <v>2072</v>
      </c>
      <c r="C1770"/>
      <c r="D1770"/>
      <c r="E1770"/>
      <c r="F1770"/>
      <c r="G1770" t="s">
        <v>3994</v>
      </c>
      <c r="H1770" t="s">
        <v>132</v>
      </c>
      <c r="I1770" t="s">
        <v>4</v>
      </c>
      <c r="J1770" t="s">
        <v>133</v>
      </c>
      <c r="K1770" t="s">
        <v>54</v>
      </c>
      <c r="L1770" t="s">
        <v>2063</v>
      </c>
      <c r="M1770" t="s">
        <v>134</v>
      </c>
      <c r="N1770" t="s">
        <v>135</v>
      </c>
      <c r="O1770"/>
      <c r="P1770"/>
      <c r="Q1770" t="s">
        <v>140</v>
      </c>
      <c r="R1770"/>
      <c r="S1770"/>
      <c r="T1770" t="s">
        <v>2064</v>
      </c>
      <c r="U1770" t="s">
        <v>137</v>
      </c>
      <c r="V1770" t="s">
        <v>727</v>
      </c>
      <c r="W1770" s="9">
        <v>46184.327160682871</v>
      </c>
      <c r="X1770" t="s">
        <v>100</v>
      </c>
      <c r="Y1770"/>
      <c r="Z1770"/>
      <c r="AA1770" t="s">
        <v>1884</v>
      </c>
      <c r="AB1770" t="s">
        <v>3</v>
      </c>
      <c r="AC1770" t="s">
        <v>24</v>
      </c>
      <c r="AD1770" t="s">
        <v>129</v>
      </c>
      <c r="AE1770" s="97"/>
    </row>
    <row r="1771" spans="1:31" ht="14.4" customHeight="1" x14ac:dyDescent="0.3">
      <c r="A1771" t="s">
        <v>4072</v>
      </c>
      <c r="B1771" t="s">
        <v>2074</v>
      </c>
      <c r="C1771"/>
      <c r="D1771"/>
      <c r="E1771"/>
      <c r="F1771"/>
      <c r="G1771" t="s">
        <v>3994</v>
      </c>
      <c r="H1771" t="s">
        <v>132</v>
      </c>
      <c r="I1771" t="s">
        <v>4</v>
      </c>
      <c r="J1771" t="s">
        <v>133</v>
      </c>
      <c r="K1771" t="s">
        <v>54</v>
      </c>
      <c r="L1771" t="s">
        <v>2063</v>
      </c>
      <c r="M1771" t="s">
        <v>134</v>
      </c>
      <c r="N1771" t="s">
        <v>135</v>
      </c>
      <c r="O1771"/>
      <c r="P1771"/>
      <c r="Q1771" t="s">
        <v>140</v>
      </c>
      <c r="R1771"/>
      <c r="S1771"/>
      <c r="T1771" t="s">
        <v>2064</v>
      </c>
      <c r="U1771" t="s">
        <v>137</v>
      </c>
      <c r="V1771" t="s">
        <v>733</v>
      </c>
      <c r="W1771" s="9">
        <v>46184.327676354165</v>
      </c>
      <c r="X1771" t="s">
        <v>109</v>
      </c>
      <c r="Y1771"/>
      <c r="Z1771"/>
      <c r="AA1771" t="s">
        <v>1884</v>
      </c>
      <c r="AB1771" t="s">
        <v>3</v>
      </c>
      <c r="AC1771" t="s">
        <v>24</v>
      </c>
      <c r="AD1771" t="s">
        <v>129</v>
      </c>
      <c r="AE1771" s="97"/>
    </row>
    <row r="1772" spans="1:31" ht="14.4" customHeight="1" x14ac:dyDescent="0.3">
      <c r="A1772" t="s">
        <v>4073</v>
      </c>
      <c r="B1772" t="s">
        <v>2076</v>
      </c>
      <c r="C1772"/>
      <c r="D1772"/>
      <c r="E1772"/>
      <c r="F1772"/>
      <c r="G1772" t="s">
        <v>3994</v>
      </c>
      <c r="H1772" t="s">
        <v>132</v>
      </c>
      <c r="I1772" t="s">
        <v>4</v>
      </c>
      <c r="J1772" t="s">
        <v>133</v>
      </c>
      <c r="K1772" t="s">
        <v>54</v>
      </c>
      <c r="L1772" t="s">
        <v>2063</v>
      </c>
      <c r="M1772" t="s">
        <v>134</v>
      </c>
      <c r="N1772" t="s">
        <v>135</v>
      </c>
      <c r="O1772"/>
      <c r="P1772"/>
      <c r="Q1772" t="s">
        <v>140</v>
      </c>
      <c r="R1772"/>
      <c r="S1772"/>
      <c r="T1772" t="s">
        <v>2064</v>
      </c>
      <c r="U1772" t="s">
        <v>137</v>
      </c>
      <c r="V1772" t="s">
        <v>739</v>
      </c>
      <c r="W1772" s="9">
        <v>46184.522318437499</v>
      </c>
      <c r="X1772" t="s">
        <v>118</v>
      </c>
      <c r="Y1772"/>
      <c r="Z1772"/>
      <c r="AA1772" t="s">
        <v>1884</v>
      </c>
      <c r="AB1772" t="s">
        <v>3</v>
      </c>
      <c r="AC1772" t="s">
        <v>24</v>
      </c>
      <c r="AD1772" t="s">
        <v>130</v>
      </c>
      <c r="AE1772" s="97"/>
    </row>
    <row r="1773" spans="1:31" ht="14.4" customHeight="1" x14ac:dyDescent="0.3">
      <c r="A1773" t="s">
        <v>4074</v>
      </c>
      <c r="B1773" t="s">
        <v>2078</v>
      </c>
      <c r="C1773"/>
      <c r="D1773"/>
      <c r="E1773"/>
      <c r="F1773"/>
      <c r="G1773" t="s">
        <v>3994</v>
      </c>
      <c r="H1773" t="s">
        <v>132</v>
      </c>
      <c r="I1773" t="s">
        <v>4</v>
      </c>
      <c r="J1773" t="s">
        <v>133</v>
      </c>
      <c r="K1773" t="s">
        <v>54</v>
      </c>
      <c r="L1773" t="s">
        <v>2063</v>
      </c>
      <c r="M1773" t="s">
        <v>134</v>
      </c>
      <c r="N1773" t="s">
        <v>135</v>
      </c>
      <c r="O1773"/>
      <c r="P1773"/>
      <c r="Q1773" t="s">
        <v>140</v>
      </c>
      <c r="R1773"/>
      <c r="S1773"/>
      <c r="T1773" t="s">
        <v>2079</v>
      </c>
      <c r="U1773" t="s">
        <v>137</v>
      </c>
      <c r="V1773" t="s">
        <v>703</v>
      </c>
      <c r="W1773" s="9">
        <v>46182.508302696762</v>
      </c>
      <c r="X1773" t="s">
        <v>62</v>
      </c>
      <c r="Y1773"/>
      <c r="Z1773"/>
      <c r="AA1773" t="s">
        <v>1884</v>
      </c>
      <c r="AB1773" t="s">
        <v>3</v>
      </c>
      <c r="AC1773" t="s">
        <v>24</v>
      </c>
      <c r="AD1773" t="s">
        <v>128</v>
      </c>
      <c r="AE1773" s="97"/>
    </row>
    <row r="1774" spans="1:31" ht="14.4" customHeight="1" x14ac:dyDescent="0.3">
      <c r="A1774" t="s">
        <v>4075</v>
      </c>
      <c r="B1774" t="s">
        <v>2081</v>
      </c>
      <c r="C1774"/>
      <c r="D1774"/>
      <c r="E1774"/>
      <c r="F1774"/>
      <c r="G1774" t="s">
        <v>3994</v>
      </c>
      <c r="H1774" t="s">
        <v>132</v>
      </c>
      <c r="I1774" t="s">
        <v>4</v>
      </c>
      <c r="J1774" t="s">
        <v>133</v>
      </c>
      <c r="K1774" t="s">
        <v>54</v>
      </c>
      <c r="L1774" t="s">
        <v>2063</v>
      </c>
      <c r="M1774" t="s">
        <v>134</v>
      </c>
      <c r="N1774" t="s">
        <v>135</v>
      </c>
      <c r="O1774"/>
      <c r="P1774"/>
      <c r="Q1774" t="s">
        <v>140</v>
      </c>
      <c r="R1774"/>
      <c r="S1774"/>
      <c r="T1774" t="s">
        <v>2079</v>
      </c>
      <c r="U1774" t="s">
        <v>137</v>
      </c>
      <c r="V1774" t="s">
        <v>709</v>
      </c>
      <c r="W1774" s="9">
        <v>46182.508697569443</v>
      </c>
      <c r="X1774" t="s">
        <v>73</v>
      </c>
      <c r="Y1774"/>
      <c r="Z1774"/>
      <c r="AA1774" t="s">
        <v>1884</v>
      </c>
      <c r="AB1774" t="s">
        <v>3</v>
      </c>
      <c r="AC1774" t="s">
        <v>24</v>
      </c>
      <c r="AD1774" t="s">
        <v>128</v>
      </c>
      <c r="AE1774" s="97"/>
    </row>
    <row r="1775" spans="1:31" ht="14.4" customHeight="1" x14ac:dyDescent="0.3">
      <c r="A1775" t="s">
        <v>4076</v>
      </c>
      <c r="B1775" t="s">
        <v>2083</v>
      </c>
      <c r="C1775"/>
      <c r="D1775"/>
      <c r="E1775"/>
      <c r="F1775"/>
      <c r="G1775" t="s">
        <v>3994</v>
      </c>
      <c r="H1775" t="s">
        <v>132</v>
      </c>
      <c r="I1775" t="s">
        <v>4</v>
      </c>
      <c r="J1775" t="s">
        <v>133</v>
      </c>
      <c r="K1775" t="s">
        <v>54</v>
      </c>
      <c r="L1775" t="s">
        <v>2063</v>
      </c>
      <c r="M1775" t="s">
        <v>134</v>
      </c>
      <c r="N1775" t="s">
        <v>135</v>
      </c>
      <c r="O1775"/>
      <c r="P1775"/>
      <c r="Q1775" t="s">
        <v>140</v>
      </c>
      <c r="R1775"/>
      <c r="S1775"/>
      <c r="T1775" t="s">
        <v>2079</v>
      </c>
      <c r="U1775" t="s">
        <v>137</v>
      </c>
      <c r="V1775" t="s">
        <v>715</v>
      </c>
      <c r="W1775" s="9">
        <v>46184.328165740742</v>
      </c>
      <c r="X1775" t="s">
        <v>82</v>
      </c>
      <c r="Y1775"/>
      <c r="Z1775"/>
      <c r="AA1775" t="s">
        <v>1884</v>
      </c>
      <c r="AB1775" t="s">
        <v>3</v>
      </c>
      <c r="AC1775" t="s">
        <v>24</v>
      </c>
      <c r="AD1775" t="s">
        <v>129</v>
      </c>
      <c r="AE1775" s="97"/>
    </row>
    <row r="1776" spans="1:31" ht="14.4" customHeight="1" x14ac:dyDescent="0.3">
      <c r="A1776" t="s">
        <v>4077</v>
      </c>
      <c r="B1776" t="s">
        <v>2085</v>
      </c>
      <c r="C1776"/>
      <c r="D1776"/>
      <c r="E1776"/>
      <c r="F1776"/>
      <c r="G1776" t="s">
        <v>3994</v>
      </c>
      <c r="H1776" t="s">
        <v>132</v>
      </c>
      <c r="I1776" t="s">
        <v>4</v>
      </c>
      <c r="J1776" t="s">
        <v>133</v>
      </c>
      <c r="K1776" t="s">
        <v>54</v>
      </c>
      <c r="L1776" t="s">
        <v>2063</v>
      </c>
      <c r="M1776" t="s">
        <v>134</v>
      </c>
      <c r="N1776" t="s">
        <v>135</v>
      </c>
      <c r="O1776"/>
      <c r="P1776"/>
      <c r="Q1776" t="s">
        <v>140</v>
      </c>
      <c r="R1776"/>
      <c r="S1776"/>
      <c r="T1776" t="s">
        <v>2079</v>
      </c>
      <c r="U1776" t="s">
        <v>137</v>
      </c>
      <c r="V1776" t="s">
        <v>721</v>
      </c>
      <c r="W1776" s="9">
        <v>46184.32884386574</v>
      </c>
      <c r="X1776" t="s">
        <v>91</v>
      </c>
      <c r="Y1776"/>
      <c r="Z1776"/>
      <c r="AA1776" t="s">
        <v>1884</v>
      </c>
      <c r="AB1776" t="s">
        <v>3</v>
      </c>
      <c r="AC1776" t="s">
        <v>24</v>
      </c>
      <c r="AD1776" t="s">
        <v>129</v>
      </c>
      <c r="AE1776" s="97"/>
    </row>
    <row r="1777" spans="1:31" ht="14.4" customHeight="1" x14ac:dyDescent="0.3">
      <c r="A1777" t="s">
        <v>4078</v>
      </c>
      <c r="B1777" t="s">
        <v>2087</v>
      </c>
      <c r="C1777"/>
      <c r="D1777"/>
      <c r="E1777"/>
      <c r="F1777"/>
      <c r="G1777" t="s">
        <v>3994</v>
      </c>
      <c r="H1777" t="s">
        <v>132</v>
      </c>
      <c r="I1777" t="s">
        <v>4</v>
      </c>
      <c r="J1777" t="s">
        <v>133</v>
      </c>
      <c r="K1777" t="s">
        <v>54</v>
      </c>
      <c r="L1777" t="s">
        <v>2063</v>
      </c>
      <c r="M1777" t="s">
        <v>134</v>
      </c>
      <c r="N1777" t="s">
        <v>135</v>
      </c>
      <c r="O1777"/>
      <c r="P1777"/>
      <c r="Q1777" t="s">
        <v>140</v>
      </c>
      <c r="R1777"/>
      <c r="S1777"/>
      <c r="T1777" t="s">
        <v>2079</v>
      </c>
      <c r="U1777" t="s">
        <v>137</v>
      </c>
      <c r="V1777" t="s">
        <v>727</v>
      </c>
      <c r="W1777" s="9">
        <v>46184.329789502313</v>
      </c>
      <c r="X1777" t="s">
        <v>100</v>
      </c>
      <c r="Y1777"/>
      <c r="Z1777"/>
      <c r="AA1777" t="s">
        <v>1884</v>
      </c>
      <c r="AB1777" t="s">
        <v>3</v>
      </c>
      <c r="AC1777" t="s">
        <v>24</v>
      </c>
      <c r="AD1777" t="s">
        <v>129</v>
      </c>
      <c r="AE1777" s="97"/>
    </row>
    <row r="1778" spans="1:31" ht="14.4" customHeight="1" x14ac:dyDescent="0.3">
      <c r="A1778" t="s">
        <v>4079</v>
      </c>
      <c r="B1778" t="s">
        <v>2089</v>
      </c>
      <c r="C1778"/>
      <c r="D1778"/>
      <c r="E1778"/>
      <c r="F1778"/>
      <c r="G1778" t="s">
        <v>3994</v>
      </c>
      <c r="H1778" t="s">
        <v>132</v>
      </c>
      <c r="I1778" t="s">
        <v>4</v>
      </c>
      <c r="J1778" t="s">
        <v>133</v>
      </c>
      <c r="K1778" t="s">
        <v>54</v>
      </c>
      <c r="L1778" t="s">
        <v>2063</v>
      </c>
      <c r="M1778" t="s">
        <v>134</v>
      </c>
      <c r="N1778" t="s">
        <v>135</v>
      </c>
      <c r="O1778"/>
      <c r="P1778"/>
      <c r="Q1778" t="s">
        <v>140</v>
      </c>
      <c r="R1778"/>
      <c r="S1778"/>
      <c r="T1778" t="s">
        <v>2079</v>
      </c>
      <c r="U1778" t="s">
        <v>137</v>
      </c>
      <c r="V1778" t="s">
        <v>733</v>
      </c>
      <c r="W1778" s="9">
        <v>46184.330499340278</v>
      </c>
      <c r="X1778" t="s">
        <v>109</v>
      </c>
      <c r="Y1778"/>
      <c r="Z1778"/>
      <c r="AA1778" t="s">
        <v>1884</v>
      </c>
      <c r="AB1778" t="s">
        <v>3</v>
      </c>
      <c r="AC1778" t="s">
        <v>24</v>
      </c>
      <c r="AD1778" t="s">
        <v>129</v>
      </c>
      <c r="AE1778" s="97"/>
    </row>
    <row r="1779" spans="1:31" ht="14.4" customHeight="1" x14ac:dyDescent="0.3">
      <c r="A1779" t="s">
        <v>4080</v>
      </c>
      <c r="B1779" t="s">
        <v>2091</v>
      </c>
      <c r="C1779"/>
      <c r="D1779"/>
      <c r="E1779"/>
      <c r="F1779"/>
      <c r="G1779" t="s">
        <v>3994</v>
      </c>
      <c r="H1779" t="s">
        <v>132</v>
      </c>
      <c r="I1779" t="s">
        <v>4</v>
      </c>
      <c r="J1779" t="s">
        <v>133</v>
      </c>
      <c r="K1779" t="s">
        <v>54</v>
      </c>
      <c r="L1779" t="s">
        <v>2063</v>
      </c>
      <c r="M1779" t="s">
        <v>134</v>
      </c>
      <c r="N1779" t="s">
        <v>135</v>
      </c>
      <c r="O1779"/>
      <c r="P1779"/>
      <c r="Q1779" t="s">
        <v>140</v>
      </c>
      <c r="R1779"/>
      <c r="S1779"/>
      <c r="T1779" t="s">
        <v>2079</v>
      </c>
      <c r="U1779" t="s">
        <v>137</v>
      </c>
      <c r="V1779" t="s">
        <v>739</v>
      </c>
      <c r="W1779" s="9">
        <v>46184.523053159719</v>
      </c>
      <c r="X1779" t="s">
        <v>118</v>
      </c>
      <c r="Y1779"/>
      <c r="Z1779"/>
      <c r="AA1779" t="s">
        <v>1884</v>
      </c>
      <c r="AB1779" t="s">
        <v>3</v>
      </c>
      <c r="AC1779" t="s">
        <v>24</v>
      </c>
      <c r="AD1779" t="s">
        <v>130</v>
      </c>
      <c r="AE1779" s="97"/>
    </row>
    <row r="1780" spans="1:31" ht="14.4" customHeight="1" x14ac:dyDescent="0.3">
      <c r="A1780" t="s">
        <v>4081</v>
      </c>
      <c r="B1780" t="s">
        <v>2093</v>
      </c>
      <c r="C1780"/>
      <c r="D1780"/>
      <c r="E1780"/>
      <c r="F1780"/>
      <c r="G1780" t="s">
        <v>3994</v>
      </c>
      <c r="H1780" t="s">
        <v>132</v>
      </c>
      <c r="I1780" t="s">
        <v>4</v>
      </c>
      <c r="J1780" t="s">
        <v>133</v>
      </c>
      <c r="K1780" t="s">
        <v>54</v>
      </c>
      <c r="L1780" t="s">
        <v>2094</v>
      </c>
      <c r="M1780" t="s">
        <v>134</v>
      </c>
      <c r="N1780" t="s">
        <v>135</v>
      </c>
      <c r="O1780"/>
      <c r="P1780"/>
      <c r="Q1780" t="s">
        <v>140</v>
      </c>
      <c r="R1780"/>
      <c r="S1780"/>
      <c r="T1780" t="s">
        <v>2095</v>
      </c>
      <c r="U1780" t="s">
        <v>137</v>
      </c>
      <c r="V1780" t="s">
        <v>371</v>
      </c>
      <c r="W1780" s="9">
        <v>46182.509031979163</v>
      </c>
      <c r="X1780" t="s">
        <v>57</v>
      </c>
      <c r="Y1780"/>
      <c r="Z1780"/>
      <c r="AA1780" t="s">
        <v>1884</v>
      </c>
      <c r="AB1780" t="s">
        <v>3</v>
      </c>
      <c r="AC1780" t="s">
        <v>24</v>
      </c>
      <c r="AD1780" t="s">
        <v>128</v>
      </c>
      <c r="AE1780" s="97"/>
    </row>
    <row r="1781" spans="1:31" ht="14.4" customHeight="1" x14ac:dyDescent="0.3">
      <c r="A1781" t="s">
        <v>4082</v>
      </c>
      <c r="B1781" t="s">
        <v>2097</v>
      </c>
      <c r="C1781"/>
      <c r="D1781"/>
      <c r="E1781"/>
      <c r="F1781"/>
      <c r="G1781" t="s">
        <v>3994</v>
      </c>
      <c r="H1781" t="s">
        <v>132</v>
      </c>
      <c r="I1781" t="s">
        <v>4</v>
      </c>
      <c r="J1781" t="s">
        <v>133</v>
      </c>
      <c r="K1781" t="s">
        <v>54</v>
      </c>
      <c r="L1781" t="s">
        <v>2098</v>
      </c>
      <c r="M1781" t="s">
        <v>134</v>
      </c>
      <c r="N1781" t="s">
        <v>135</v>
      </c>
      <c r="O1781"/>
      <c r="P1781"/>
      <c r="Q1781" t="s">
        <v>140</v>
      </c>
      <c r="R1781"/>
      <c r="S1781"/>
      <c r="T1781" t="s">
        <v>1888</v>
      </c>
      <c r="U1781" t="s">
        <v>137</v>
      </c>
      <c r="V1781" t="s">
        <v>147</v>
      </c>
      <c r="W1781" s="9">
        <v>46182.509381481483</v>
      </c>
      <c r="X1781" t="s">
        <v>70</v>
      </c>
      <c r="Y1781"/>
      <c r="Z1781"/>
      <c r="AA1781" t="s">
        <v>1884</v>
      </c>
      <c r="AB1781" t="s">
        <v>3</v>
      </c>
      <c r="AC1781" t="s">
        <v>24</v>
      </c>
      <c r="AD1781" t="s">
        <v>128</v>
      </c>
      <c r="AE1781" s="97"/>
    </row>
    <row r="1782" spans="1:31" ht="14.4" customHeight="1" x14ac:dyDescent="0.3">
      <c r="A1782" t="s">
        <v>4083</v>
      </c>
      <c r="B1782" t="s">
        <v>2100</v>
      </c>
      <c r="C1782"/>
      <c r="D1782"/>
      <c r="E1782"/>
      <c r="F1782"/>
      <c r="G1782" t="s">
        <v>3994</v>
      </c>
      <c r="H1782" t="s">
        <v>132</v>
      </c>
      <c r="I1782" t="s">
        <v>4</v>
      </c>
      <c r="J1782" t="s">
        <v>133</v>
      </c>
      <c r="K1782" t="s">
        <v>54</v>
      </c>
      <c r="L1782" t="s">
        <v>2098</v>
      </c>
      <c r="M1782" t="s">
        <v>134</v>
      </c>
      <c r="N1782" t="s">
        <v>135</v>
      </c>
      <c r="O1782"/>
      <c r="P1782"/>
      <c r="Q1782" t="s">
        <v>140</v>
      </c>
      <c r="R1782"/>
      <c r="S1782"/>
      <c r="T1782" t="s">
        <v>1892</v>
      </c>
      <c r="U1782" t="s">
        <v>137</v>
      </c>
      <c r="V1782" t="s">
        <v>150</v>
      </c>
      <c r="W1782" s="9">
        <v>46182.510154201387</v>
      </c>
      <c r="X1782" t="s">
        <v>76</v>
      </c>
      <c r="Y1782"/>
      <c r="Z1782"/>
      <c r="AA1782" t="s">
        <v>1884</v>
      </c>
      <c r="AB1782" t="s">
        <v>3</v>
      </c>
      <c r="AC1782" t="s">
        <v>24</v>
      </c>
      <c r="AD1782" t="s">
        <v>128</v>
      </c>
      <c r="AE1782" s="97"/>
    </row>
    <row r="1783" spans="1:31" ht="14.4" customHeight="1" x14ac:dyDescent="0.3">
      <c r="A1783" t="s">
        <v>4084</v>
      </c>
      <c r="B1783" t="s">
        <v>2102</v>
      </c>
      <c r="C1783"/>
      <c r="D1783"/>
      <c r="E1783"/>
      <c r="F1783"/>
      <c r="G1783" t="s">
        <v>3994</v>
      </c>
      <c r="H1783" t="s">
        <v>132</v>
      </c>
      <c r="I1783" t="s">
        <v>4</v>
      </c>
      <c r="J1783" t="s">
        <v>133</v>
      </c>
      <c r="K1783" t="s">
        <v>54</v>
      </c>
      <c r="L1783" t="s">
        <v>2098</v>
      </c>
      <c r="M1783" t="s">
        <v>134</v>
      </c>
      <c r="N1783" t="s">
        <v>135</v>
      </c>
      <c r="O1783"/>
      <c r="P1783"/>
      <c r="Q1783" t="s">
        <v>140</v>
      </c>
      <c r="R1783"/>
      <c r="S1783"/>
      <c r="T1783" t="s">
        <v>1896</v>
      </c>
      <c r="U1783" t="s">
        <v>137</v>
      </c>
      <c r="V1783" t="s">
        <v>153</v>
      </c>
      <c r="W1783" s="9">
        <v>46184.33495945602</v>
      </c>
      <c r="X1783" t="s">
        <v>88</v>
      </c>
      <c r="Y1783"/>
      <c r="Z1783"/>
      <c r="AA1783" t="s">
        <v>1884</v>
      </c>
      <c r="AB1783" t="s">
        <v>3</v>
      </c>
      <c r="AC1783" t="s">
        <v>24</v>
      </c>
      <c r="AD1783" t="s">
        <v>129</v>
      </c>
      <c r="AE1783" s="97"/>
    </row>
    <row r="1784" spans="1:31" ht="14.4" customHeight="1" x14ac:dyDescent="0.3">
      <c r="A1784" t="s">
        <v>4085</v>
      </c>
      <c r="B1784" t="s">
        <v>2104</v>
      </c>
      <c r="C1784"/>
      <c r="D1784"/>
      <c r="E1784"/>
      <c r="F1784"/>
      <c r="G1784" t="s">
        <v>3994</v>
      </c>
      <c r="H1784" t="s">
        <v>132</v>
      </c>
      <c r="I1784" t="s">
        <v>4</v>
      </c>
      <c r="J1784" t="s">
        <v>133</v>
      </c>
      <c r="K1784" t="s">
        <v>54</v>
      </c>
      <c r="L1784" t="s">
        <v>2098</v>
      </c>
      <c r="M1784" t="s">
        <v>134</v>
      </c>
      <c r="N1784" t="s">
        <v>135</v>
      </c>
      <c r="O1784"/>
      <c r="P1784"/>
      <c r="Q1784" t="s">
        <v>140</v>
      </c>
      <c r="R1784"/>
      <c r="S1784"/>
      <c r="T1784" t="s">
        <v>1900</v>
      </c>
      <c r="U1784" t="s">
        <v>137</v>
      </c>
      <c r="V1784" t="s">
        <v>156</v>
      </c>
      <c r="W1784" s="9">
        <v>46184.335381365738</v>
      </c>
      <c r="X1784" t="s">
        <v>97</v>
      </c>
      <c r="Y1784"/>
      <c r="Z1784"/>
      <c r="AA1784" t="s">
        <v>1884</v>
      </c>
      <c r="AB1784" t="s">
        <v>3</v>
      </c>
      <c r="AC1784" t="s">
        <v>24</v>
      </c>
      <c r="AD1784" t="s">
        <v>129</v>
      </c>
      <c r="AE1784" s="97"/>
    </row>
    <row r="1785" spans="1:31" ht="14.4" customHeight="1" x14ac:dyDescent="0.3">
      <c r="A1785" t="s">
        <v>4086</v>
      </c>
      <c r="B1785" t="s">
        <v>2106</v>
      </c>
      <c r="C1785"/>
      <c r="D1785"/>
      <c r="E1785"/>
      <c r="F1785"/>
      <c r="G1785" t="s">
        <v>3994</v>
      </c>
      <c r="H1785" t="s">
        <v>132</v>
      </c>
      <c r="I1785" t="s">
        <v>4</v>
      </c>
      <c r="J1785" t="s">
        <v>133</v>
      </c>
      <c r="K1785" t="s">
        <v>54</v>
      </c>
      <c r="L1785" t="s">
        <v>2098</v>
      </c>
      <c r="M1785" t="s">
        <v>134</v>
      </c>
      <c r="N1785" t="s">
        <v>135</v>
      </c>
      <c r="O1785"/>
      <c r="P1785"/>
      <c r="Q1785" t="s">
        <v>140</v>
      </c>
      <c r="R1785"/>
      <c r="S1785"/>
      <c r="T1785" t="s">
        <v>1904</v>
      </c>
      <c r="U1785" t="s">
        <v>137</v>
      </c>
      <c r="V1785" t="s">
        <v>159</v>
      </c>
      <c r="W1785" s="9">
        <v>46184.335797372682</v>
      </c>
      <c r="X1785" t="s">
        <v>106</v>
      </c>
      <c r="Y1785"/>
      <c r="Z1785"/>
      <c r="AA1785" t="s">
        <v>1884</v>
      </c>
      <c r="AB1785" t="s">
        <v>3</v>
      </c>
      <c r="AC1785" t="s">
        <v>24</v>
      </c>
      <c r="AD1785" t="s">
        <v>129</v>
      </c>
      <c r="AE1785" s="97"/>
    </row>
    <row r="1786" spans="1:31" ht="14.4" customHeight="1" x14ac:dyDescent="0.3">
      <c r="A1786" t="s">
        <v>4087</v>
      </c>
      <c r="B1786" t="s">
        <v>2108</v>
      </c>
      <c r="C1786"/>
      <c r="D1786"/>
      <c r="E1786"/>
      <c r="F1786"/>
      <c r="G1786" t="s">
        <v>3994</v>
      </c>
      <c r="H1786" t="s">
        <v>132</v>
      </c>
      <c r="I1786" t="s">
        <v>4</v>
      </c>
      <c r="J1786" t="s">
        <v>133</v>
      </c>
      <c r="K1786" t="s">
        <v>54</v>
      </c>
      <c r="L1786" t="s">
        <v>2098</v>
      </c>
      <c r="M1786" t="s">
        <v>134</v>
      </c>
      <c r="N1786" t="s">
        <v>135</v>
      </c>
      <c r="O1786"/>
      <c r="P1786"/>
      <c r="Q1786" t="s">
        <v>140</v>
      </c>
      <c r="R1786"/>
      <c r="S1786"/>
      <c r="T1786" t="s">
        <v>1908</v>
      </c>
      <c r="U1786" t="s">
        <v>137</v>
      </c>
      <c r="V1786" t="s">
        <v>162</v>
      </c>
      <c r="W1786" s="9">
        <v>46184.336177812504</v>
      </c>
      <c r="X1786" t="s">
        <v>113</v>
      </c>
      <c r="Y1786"/>
      <c r="Z1786"/>
      <c r="AA1786" t="s">
        <v>1884</v>
      </c>
      <c r="AB1786" t="s">
        <v>3</v>
      </c>
      <c r="AC1786" t="s">
        <v>24</v>
      </c>
      <c r="AD1786" t="s">
        <v>129</v>
      </c>
      <c r="AE1786" s="97"/>
    </row>
    <row r="1787" spans="1:31" ht="14.4" customHeight="1" x14ac:dyDescent="0.3">
      <c r="A1787" t="s">
        <v>4088</v>
      </c>
      <c r="B1787" t="s">
        <v>2110</v>
      </c>
      <c r="C1787"/>
      <c r="D1787"/>
      <c r="E1787"/>
      <c r="F1787"/>
      <c r="G1787" t="s">
        <v>3994</v>
      </c>
      <c r="H1787" t="s">
        <v>132</v>
      </c>
      <c r="I1787" t="s">
        <v>4</v>
      </c>
      <c r="J1787" t="s">
        <v>133</v>
      </c>
      <c r="K1787" t="s">
        <v>54</v>
      </c>
      <c r="L1787" t="s">
        <v>2098</v>
      </c>
      <c r="M1787" t="s">
        <v>134</v>
      </c>
      <c r="N1787" t="s">
        <v>135</v>
      </c>
      <c r="O1787"/>
      <c r="P1787"/>
      <c r="Q1787" t="s">
        <v>140</v>
      </c>
      <c r="R1787"/>
      <c r="S1787"/>
      <c r="T1787" t="s">
        <v>1912</v>
      </c>
      <c r="U1787" t="s">
        <v>137</v>
      </c>
      <c r="V1787" t="s">
        <v>165</v>
      </c>
      <c r="W1787" s="9">
        <v>46184.524689317128</v>
      </c>
      <c r="X1787" t="s">
        <v>122</v>
      </c>
      <c r="Y1787"/>
      <c r="Z1787"/>
      <c r="AA1787" t="s">
        <v>1884</v>
      </c>
      <c r="AB1787" t="s">
        <v>3</v>
      </c>
      <c r="AC1787" t="s">
        <v>24</v>
      </c>
      <c r="AD1787" t="s">
        <v>130</v>
      </c>
      <c r="AE1787" s="97"/>
    </row>
    <row r="1788" spans="1:31" ht="14.4" customHeight="1" x14ac:dyDescent="0.3">
      <c r="A1788" t="s">
        <v>4089</v>
      </c>
      <c r="B1788" t="s">
        <v>2112</v>
      </c>
      <c r="C1788"/>
      <c r="D1788"/>
      <c r="E1788"/>
      <c r="F1788"/>
      <c r="G1788" t="s">
        <v>3994</v>
      </c>
      <c r="H1788" t="s">
        <v>132</v>
      </c>
      <c r="I1788" t="s">
        <v>4</v>
      </c>
      <c r="J1788" t="s">
        <v>133</v>
      </c>
      <c r="K1788" t="s">
        <v>54</v>
      </c>
      <c r="L1788" t="s">
        <v>1935</v>
      </c>
      <c r="M1788" t="s">
        <v>134</v>
      </c>
      <c r="N1788" t="s">
        <v>135</v>
      </c>
      <c r="O1788"/>
      <c r="P1788"/>
      <c r="Q1788" t="s">
        <v>140</v>
      </c>
      <c r="R1788"/>
      <c r="S1788"/>
      <c r="T1788" t="s">
        <v>1936</v>
      </c>
      <c r="U1788" t="s">
        <v>137</v>
      </c>
      <c r="V1788" t="s">
        <v>676</v>
      </c>
      <c r="W1788" s="9">
        <v>46184.525711111113</v>
      </c>
      <c r="X1788" t="s">
        <v>119</v>
      </c>
      <c r="Y1788"/>
      <c r="Z1788"/>
      <c r="AA1788" t="s">
        <v>1884</v>
      </c>
      <c r="AB1788" t="s">
        <v>3</v>
      </c>
      <c r="AC1788" t="s">
        <v>24</v>
      </c>
      <c r="AD1788" t="s">
        <v>130</v>
      </c>
      <c r="AE1788" s="97"/>
    </row>
    <row r="1789" spans="1:31" ht="14.4" customHeight="1" x14ac:dyDescent="0.3">
      <c r="A1789" t="s">
        <v>4090</v>
      </c>
      <c r="B1789" t="s">
        <v>2114</v>
      </c>
      <c r="C1789"/>
      <c r="D1789"/>
      <c r="E1789"/>
      <c r="F1789"/>
      <c r="G1789" t="s">
        <v>3994</v>
      </c>
      <c r="H1789" t="s">
        <v>132</v>
      </c>
      <c r="I1789" t="s">
        <v>4</v>
      </c>
      <c r="J1789" t="s">
        <v>133</v>
      </c>
      <c r="K1789" t="s">
        <v>54</v>
      </c>
      <c r="L1789" t="s">
        <v>2115</v>
      </c>
      <c r="M1789" t="s">
        <v>134</v>
      </c>
      <c r="N1789" t="s">
        <v>135</v>
      </c>
      <c r="O1789"/>
      <c r="P1789"/>
      <c r="Q1789" t="s">
        <v>140</v>
      </c>
      <c r="R1789"/>
      <c r="S1789"/>
      <c r="T1789" t="s">
        <v>2047</v>
      </c>
      <c r="U1789" t="s">
        <v>137</v>
      </c>
      <c r="V1789" t="s">
        <v>1279</v>
      </c>
      <c r="W1789" s="9">
        <v>46182.510662997687</v>
      </c>
      <c r="X1789" t="s">
        <v>71</v>
      </c>
      <c r="Y1789"/>
      <c r="Z1789"/>
      <c r="AA1789" t="s">
        <v>1884</v>
      </c>
      <c r="AB1789" t="s">
        <v>3</v>
      </c>
      <c r="AC1789" t="s">
        <v>24</v>
      </c>
      <c r="AD1789" t="s">
        <v>128</v>
      </c>
      <c r="AE1789" s="97"/>
    </row>
    <row r="1790" spans="1:31" ht="14.4" customHeight="1" x14ac:dyDescent="0.3">
      <c r="A1790" t="s">
        <v>4091</v>
      </c>
      <c r="B1790" t="s">
        <v>2117</v>
      </c>
      <c r="C1790"/>
      <c r="D1790"/>
      <c r="E1790"/>
      <c r="F1790"/>
      <c r="G1790" t="s">
        <v>3994</v>
      </c>
      <c r="H1790" t="s">
        <v>132</v>
      </c>
      <c r="I1790" t="s">
        <v>4</v>
      </c>
      <c r="J1790" t="s">
        <v>133</v>
      </c>
      <c r="K1790" t="s">
        <v>54</v>
      </c>
      <c r="L1790" t="s">
        <v>2115</v>
      </c>
      <c r="M1790" t="s">
        <v>134</v>
      </c>
      <c r="N1790" t="s">
        <v>135</v>
      </c>
      <c r="O1790"/>
      <c r="P1790"/>
      <c r="Q1790" t="s">
        <v>140</v>
      </c>
      <c r="R1790"/>
      <c r="S1790"/>
      <c r="T1790" t="s">
        <v>2047</v>
      </c>
      <c r="U1790" t="s">
        <v>137</v>
      </c>
      <c r="V1790" t="s">
        <v>1283</v>
      </c>
      <c r="W1790" s="9">
        <v>46182.511022569444</v>
      </c>
      <c r="X1790" t="s">
        <v>78</v>
      </c>
      <c r="Y1790"/>
      <c r="Z1790"/>
      <c r="AA1790" t="s">
        <v>1884</v>
      </c>
      <c r="AB1790" t="s">
        <v>3</v>
      </c>
      <c r="AC1790" t="s">
        <v>24</v>
      </c>
      <c r="AD1790" t="s">
        <v>128</v>
      </c>
      <c r="AE1790" s="97"/>
    </row>
    <row r="1791" spans="1:31" ht="14.4" customHeight="1" x14ac:dyDescent="0.3">
      <c r="A1791" t="s">
        <v>4092</v>
      </c>
      <c r="B1791" t="s">
        <v>2119</v>
      </c>
      <c r="C1791"/>
      <c r="D1791"/>
      <c r="E1791"/>
      <c r="F1791"/>
      <c r="G1791" t="s">
        <v>3994</v>
      </c>
      <c r="H1791" t="s">
        <v>132</v>
      </c>
      <c r="I1791" t="s">
        <v>4</v>
      </c>
      <c r="J1791" t="s">
        <v>133</v>
      </c>
      <c r="K1791" t="s">
        <v>54</v>
      </c>
      <c r="L1791" t="s">
        <v>2115</v>
      </c>
      <c r="M1791" t="s">
        <v>134</v>
      </c>
      <c r="N1791" t="s">
        <v>135</v>
      </c>
      <c r="O1791"/>
      <c r="P1791"/>
      <c r="Q1791" t="s">
        <v>140</v>
      </c>
      <c r="R1791"/>
      <c r="S1791"/>
      <c r="T1791" t="s">
        <v>2047</v>
      </c>
      <c r="U1791" t="s">
        <v>137</v>
      </c>
      <c r="V1791" t="s">
        <v>1287</v>
      </c>
      <c r="W1791" s="9">
        <v>46184.342646215278</v>
      </c>
      <c r="X1791" t="s">
        <v>89</v>
      </c>
      <c r="Y1791"/>
      <c r="Z1791"/>
      <c r="AA1791" t="s">
        <v>1884</v>
      </c>
      <c r="AB1791" t="s">
        <v>3</v>
      </c>
      <c r="AC1791" t="s">
        <v>24</v>
      </c>
      <c r="AD1791" t="s">
        <v>129</v>
      </c>
      <c r="AE1791" s="97"/>
    </row>
    <row r="1792" spans="1:31" ht="14.4" customHeight="1" x14ac:dyDescent="0.3">
      <c r="A1792" t="s">
        <v>4093</v>
      </c>
      <c r="B1792" t="s">
        <v>2121</v>
      </c>
      <c r="C1792"/>
      <c r="D1792"/>
      <c r="E1792"/>
      <c r="F1792"/>
      <c r="G1792" t="s">
        <v>3994</v>
      </c>
      <c r="H1792" t="s">
        <v>132</v>
      </c>
      <c r="I1792" t="s">
        <v>4</v>
      </c>
      <c r="J1792" t="s">
        <v>133</v>
      </c>
      <c r="K1792" t="s">
        <v>54</v>
      </c>
      <c r="L1792" t="s">
        <v>2115</v>
      </c>
      <c r="M1792" t="s">
        <v>134</v>
      </c>
      <c r="N1792" t="s">
        <v>135</v>
      </c>
      <c r="O1792"/>
      <c r="P1792"/>
      <c r="Q1792" t="s">
        <v>140</v>
      </c>
      <c r="R1792"/>
      <c r="S1792"/>
      <c r="T1792" t="s">
        <v>2047</v>
      </c>
      <c r="U1792" t="s">
        <v>137</v>
      </c>
      <c r="V1792" t="s">
        <v>1291</v>
      </c>
      <c r="W1792" s="9">
        <v>46184.343111377311</v>
      </c>
      <c r="X1792" t="s">
        <v>98</v>
      </c>
      <c r="Y1792"/>
      <c r="Z1792"/>
      <c r="AA1792" t="s">
        <v>1884</v>
      </c>
      <c r="AB1792" t="s">
        <v>3</v>
      </c>
      <c r="AC1792" t="s">
        <v>24</v>
      </c>
      <c r="AD1792" t="s">
        <v>129</v>
      </c>
      <c r="AE1792" s="97"/>
    </row>
    <row r="1793" spans="1:31" ht="14.4" customHeight="1" x14ac:dyDescent="0.3">
      <c r="A1793" t="s">
        <v>4094</v>
      </c>
      <c r="B1793" t="s">
        <v>2123</v>
      </c>
      <c r="C1793"/>
      <c r="D1793"/>
      <c r="E1793"/>
      <c r="F1793"/>
      <c r="G1793" t="s">
        <v>3994</v>
      </c>
      <c r="H1793" t="s">
        <v>132</v>
      </c>
      <c r="I1793" t="s">
        <v>4</v>
      </c>
      <c r="J1793" t="s">
        <v>133</v>
      </c>
      <c r="K1793" t="s">
        <v>54</v>
      </c>
      <c r="L1793" t="s">
        <v>2115</v>
      </c>
      <c r="M1793" t="s">
        <v>134</v>
      </c>
      <c r="N1793" t="s">
        <v>135</v>
      </c>
      <c r="O1793"/>
      <c r="P1793"/>
      <c r="Q1793" t="s">
        <v>140</v>
      </c>
      <c r="R1793"/>
      <c r="S1793"/>
      <c r="T1793" t="s">
        <v>2056</v>
      </c>
      <c r="U1793" t="s">
        <v>137</v>
      </c>
      <c r="V1793" t="s">
        <v>1295</v>
      </c>
      <c r="W1793" s="9">
        <v>46184.343790706022</v>
      </c>
      <c r="X1793" t="s">
        <v>107</v>
      </c>
      <c r="Y1793"/>
      <c r="Z1793"/>
      <c r="AA1793" t="s">
        <v>1884</v>
      </c>
      <c r="AB1793" t="s">
        <v>3</v>
      </c>
      <c r="AC1793" t="s">
        <v>24</v>
      </c>
      <c r="AD1793" t="s">
        <v>129</v>
      </c>
      <c r="AE1793" s="97"/>
    </row>
    <row r="1794" spans="1:31" ht="14.4" customHeight="1" x14ac:dyDescent="0.3">
      <c r="A1794" t="s">
        <v>4095</v>
      </c>
      <c r="B1794" t="s">
        <v>2125</v>
      </c>
      <c r="C1794"/>
      <c r="D1794"/>
      <c r="E1794"/>
      <c r="F1794"/>
      <c r="G1794" t="s">
        <v>3994</v>
      </c>
      <c r="H1794" t="s">
        <v>132</v>
      </c>
      <c r="I1794" t="s">
        <v>4</v>
      </c>
      <c r="J1794" t="s">
        <v>133</v>
      </c>
      <c r="K1794" t="s">
        <v>54</v>
      </c>
      <c r="L1794" t="s">
        <v>2115</v>
      </c>
      <c r="M1794" t="s">
        <v>134</v>
      </c>
      <c r="N1794" t="s">
        <v>135</v>
      </c>
      <c r="O1794"/>
      <c r="P1794"/>
      <c r="Q1794" t="s">
        <v>140</v>
      </c>
      <c r="R1794"/>
      <c r="S1794"/>
      <c r="T1794" t="s">
        <v>2056</v>
      </c>
      <c r="U1794" t="s">
        <v>137</v>
      </c>
      <c r="V1794" t="s">
        <v>1299</v>
      </c>
      <c r="W1794" s="9">
        <v>46184.344218483799</v>
      </c>
      <c r="X1794" t="s">
        <v>114</v>
      </c>
      <c r="Y1794"/>
      <c r="Z1794"/>
      <c r="AA1794" t="s">
        <v>1884</v>
      </c>
      <c r="AB1794" t="s">
        <v>3</v>
      </c>
      <c r="AC1794" t="s">
        <v>24</v>
      </c>
      <c r="AD1794" t="s">
        <v>129</v>
      </c>
      <c r="AE1794" s="97"/>
    </row>
    <row r="1795" spans="1:31" ht="14.4" customHeight="1" x14ac:dyDescent="0.3">
      <c r="A1795" t="s">
        <v>4096</v>
      </c>
      <c r="B1795" t="s">
        <v>2127</v>
      </c>
      <c r="C1795"/>
      <c r="D1795"/>
      <c r="E1795"/>
      <c r="F1795"/>
      <c r="G1795" t="s">
        <v>3994</v>
      </c>
      <c r="H1795" t="s">
        <v>132</v>
      </c>
      <c r="I1795" t="s">
        <v>4</v>
      </c>
      <c r="J1795" t="s">
        <v>133</v>
      </c>
      <c r="K1795" t="s">
        <v>54</v>
      </c>
      <c r="L1795" t="s">
        <v>2115</v>
      </c>
      <c r="M1795" t="s">
        <v>134</v>
      </c>
      <c r="N1795" t="s">
        <v>135</v>
      </c>
      <c r="O1795"/>
      <c r="P1795"/>
      <c r="Q1795" t="s">
        <v>140</v>
      </c>
      <c r="R1795"/>
      <c r="S1795"/>
      <c r="T1795" t="s">
        <v>2056</v>
      </c>
      <c r="U1795" t="s">
        <v>137</v>
      </c>
      <c r="V1795" t="s">
        <v>1303</v>
      </c>
      <c r="W1795" s="9">
        <v>46184.526212962963</v>
      </c>
      <c r="X1795" t="s">
        <v>123</v>
      </c>
      <c r="Y1795"/>
      <c r="Z1795"/>
      <c r="AA1795" t="s">
        <v>1884</v>
      </c>
      <c r="AB1795" t="s">
        <v>3</v>
      </c>
      <c r="AC1795" t="s">
        <v>24</v>
      </c>
      <c r="AD1795" t="s">
        <v>130</v>
      </c>
      <c r="AE1795" s="97"/>
    </row>
    <row r="1796" spans="1:31" ht="14.4" customHeight="1" x14ac:dyDescent="0.3">
      <c r="A1796" t="s">
        <v>4097</v>
      </c>
      <c r="B1796" t="s">
        <v>2130</v>
      </c>
      <c r="C1796"/>
      <c r="D1796"/>
      <c r="E1796"/>
      <c r="F1796"/>
      <c r="G1796" t="s">
        <v>3994</v>
      </c>
      <c r="H1796" t="s">
        <v>132</v>
      </c>
      <c r="I1796" t="s">
        <v>4</v>
      </c>
      <c r="J1796" t="s">
        <v>133</v>
      </c>
      <c r="K1796" t="s">
        <v>54</v>
      </c>
      <c r="L1796" t="s">
        <v>2131</v>
      </c>
      <c r="M1796" t="s">
        <v>134</v>
      </c>
      <c r="N1796" t="s">
        <v>135</v>
      </c>
      <c r="O1796"/>
      <c r="P1796"/>
      <c r="Q1796" t="s">
        <v>140</v>
      </c>
      <c r="R1796"/>
      <c r="S1796"/>
      <c r="T1796" t="s">
        <v>2132</v>
      </c>
      <c r="U1796" t="s">
        <v>137</v>
      </c>
      <c r="V1796" t="s">
        <v>1259</v>
      </c>
      <c r="W1796" s="9">
        <v>46185.451047766204</v>
      </c>
      <c r="X1796" t="s">
        <v>126</v>
      </c>
      <c r="Y1796"/>
      <c r="Z1796"/>
      <c r="AA1796" t="s">
        <v>1884</v>
      </c>
      <c r="AB1796" t="s">
        <v>3</v>
      </c>
      <c r="AC1796" t="s">
        <v>24</v>
      </c>
      <c r="AD1796" t="s">
        <v>131</v>
      </c>
      <c r="AE1796" s="97"/>
    </row>
    <row r="1797" spans="1:31" ht="14.4" customHeight="1" x14ac:dyDescent="0.3">
      <c r="A1797" t="s">
        <v>4098</v>
      </c>
      <c r="B1797" t="s">
        <v>2134</v>
      </c>
      <c r="C1797"/>
      <c r="D1797"/>
      <c r="E1797"/>
      <c r="F1797"/>
      <c r="G1797" t="s">
        <v>3994</v>
      </c>
      <c r="H1797" t="s">
        <v>132</v>
      </c>
      <c r="I1797" t="s">
        <v>4</v>
      </c>
      <c r="J1797" t="s">
        <v>133</v>
      </c>
      <c r="K1797" t="s">
        <v>54</v>
      </c>
      <c r="L1797" t="s">
        <v>2135</v>
      </c>
      <c r="M1797" t="s">
        <v>134</v>
      </c>
      <c r="N1797" t="s">
        <v>135</v>
      </c>
      <c r="O1797"/>
      <c r="P1797"/>
      <c r="Q1797" t="s">
        <v>140</v>
      </c>
      <c r="R1797"/>
      <c r="S1797"/>
      <c r="T1797" t="s">
        <v>2136</v>
      </c>
      <c r="U1797" t="s">
        <v>137</v>
      </c>
      <c r="V1797" t="s">
        <v>1263</v>
      </c>
      <c r="W1797" s="9">
        <v>46182.511351122688</v>
      </c>
      <c r="X1797" t="s">
        <v>69</v>
      </c>
      <c r="Y1797"/>
      <c r="Z1797"/>
      <c r="AA1797" t="s">
        <v>1884</v>
      </c>
      <c r="AB1797" t="s">
        <v>3</v>
      </c>
      <c r="AC1797" t="s">
        <v>24</v>
      </c>
      <c r="AD1797" t="s">
        <v>128</v>
      </c>
      <c r="AE1797" s="97"/>
    </row>
    <row r="1798" spans="1:31" ht="14.4" customHeight="1" x14ac:dyDescent="0.3">
      <c r="A1798" t="s">
        <v>4099</v>
      </c>
      <c r="B1798" t="s">
        <v>2138</v>
      </c>
      <c r="C1798"/>
      <c r="D1798"/>
      <c r="E1798"/>
      <c r="F1798"/>
      <c r="G1798" t="s">
        <v>3994</v>
      </c>
      <c r="H1798" t="s">
        <v>132</v>
      </c>
      <c r="I1798" t="s">
        <v>4</v>
      </c>
      <c r="J1798" t="s">
        <v>133</v>
      </c>
      <c r="K1798" t="s">
        <v>54</v>
      </c>
      <c r="L1798" t="s">
        <v>2139</v>
      </c>
      <c r="M1798" t="s">
        <v>134</v>
      </c>
      <c r="N1798" t="s">
        <v>135</v>
      </c>
      <c r="O1798"/>
      <c r="P1798"/>
      <c r="Q1798" t="s">
        <v>140</v>
      </c>
      <c r="R1798"/>
      <c r="S1798"/>
      <c r="T1798" t="s">
        <v>1936</v>
      </c>
      <c r="U1798" t="s">
        <v>137</v>
      </c>
      <c r="V1798" t="s">
        <v>640</v>
      </c>
      <c r="W1798" s="9">
        <v>46182.511958101852</v>
      </c>
      <c r="X1798" t="s">
        <v>66</v>
      </c>
      <c r="Y1798"/>
      <c r="Z1798"/>
      <c r="AA1798" t="s">
        <v>1884</v>
      </c>
      <c r="AB1798" t="s">
        <v>3</v>
      </c>
      <c r="AC1798" t="s">
        <v>24</v>
      </c>
      <c r="AD1798" t="s">
        <v>128</v>
      </c>
      <c r="AE1798" s="97"/>
    </row>
    <row r="1799" spans="1:31" ht="14.4" customHeight="1" x14ac:dyDescent="0.3">
      <c r="A1799" t="s">
        <v>4100</v>
      </c>
      <c r="B1799" t="s">
        <v>2141</v>
      </c>
      <c r="C1799"/>
      <c r="D1799"/>
      <c r="E1799"/>
      <c r="F1799"/>
      <c r="G1799" t="s">
        <v>3994</v>
      </c>
      <c r="H1799" t="s">
        <v>132</v>
      </c>
      <c r="I1799" t="s">
        <v>4</v>
      </c>
      <c r="J1799" t="s">
        <v>133</v>
      </c>
      <c r="K1799" t="s">
        <v>54</v>
      </c>
      <c r="L1799" t="s">
        <v>2139</v>
      </c>
      <c r="M1799" t="s">
        <v>134</v>
      </c>
      <c r="N1799" t="s">
        <v>135</v>
      </c>
      <c r="O1799"/>
      <c r="P1799"/>
      <c r="Q1799" t="s">
        <v>140</v>
      </c>
      <c r="R1799"/>
      <c r="S1799"/>
      <c r="T1799" t="s">
        <v>1936</v>
      </c>
      <c r="U1799" t="s">
        <v>137</v>
      </c>
      <c r="V1799" t="s">
        <v>646</v>
      </c>
      <c r="W1799" s="9">
        <v>46182.512378206018</v>
      </c>
      <c r="X1799" t="s">
        <v>74</v>
      </c>
      <c r="Y1799"/>
      <c r="Z1799"/>
      <c r="AA1799" t="s">
        <v>1884</v>
      </c>
      <c r="AB1799" t="s">
        <v>3</v>
      </c>
      <c r="AC1799" t="s">
        <v>24</v>
      </c>
      <c r="AD1799" t="s">
        <v>128</v>
      </c>
      <c r="AE1799" s="97"/>
    </row>
    <row r="1800" spans="1:31" ht="14.4" customHeight="1" x14ac:dyDescent="0.3">
      <c r="A1800" t="s">
        <v>4101</v>
      </c>
      <c r="B1800" t="s">
        <v>2143</v>
      </c>
      <c r="C1800"/>
      <c r="D1800"/>
      <c r="E1800"/>
      <c r="F1800"/>
      <c r="G1800" t="s">
        <v>3994</v>
      </c>
      <c r="H1800" t="s">
        <v>132</v>
      </c>
      <c r="I1800" t="s">
        <v>4</v>
      </c>
      <c r="J1800" t="s">
        <v>133</v>
      </c>
      <c r="K1800" t="s">
        <v>54</v>
      </c>
      <c r="L1800" t="s">
        <v>2139</v>
      </c>
      <c r="M1800" t="s">
        <v>134</v>
      </c>
      <c r="N1800" t="s">
        <v>135</v>
      </c>
      <c r="O1800"/>
      <c r="P1800"/>
      <c r="Q1800" t="s">
        <v>140</v>
      </c>
      <c r="R1800"/>
      <c r="S1800"/>
      <c r="T1800" t="s">
        <v>1936</v>
      </c>
      <c r="U1800" t="s">
        <v>137</v>
      </c>
      <c r="V1800" t="s">
        <v>652</v>
      </c>
      <c r="W1800" s="9">
        <v>46184.336786192129</v>
      </c>
      <c r="X1800" t="s">
        <v>85</v>
      </c>
      <c r="Y1800"/>
      <c r="Z1800"/>
      <c r="AA1800" t="s">
        <v>1884</v>
      </c>
      <c r="AB1800" t="s">
        <v>3</v>
      </c>
      <c r="AC1800" t="s">
        <v>24</v>
      </c>
      <c r="AD1800" t="s">
        <v>129</v>
      </c>
      <c r="AE1800" s="97"/>
    </row>
    <row r="1801" spans="1:31" ht="14.4" customHeight="1" x14ac:dyDescent="0.3">
      <c r="A1801" t="s">
        <v>4102</v>
      </c>
      <c r="B1801" t="s">
        <v>2145</v>
      </c>
      <c r="C1801"/>
      <c r="D1801"/>
      <c r="E1801"/>
      <c r="F1801"/>
      <c r="G1801" t="s">
        <v>3994</v>
      </c>
      <c r="H1801" t="s">
        <v>132</v>
      </c>
      <c r="I1801" t="s">
        <v>4</v>
      </c>
      <c r="J1801" t="s">
        <v>133</v>
      </c>
      <c r="K1801" t="s">
        <v>54</v>
      </c>
      <c r="L1801" t="s">
        <v>2139</v>
      </c>
      <c r="M1801" t="s">
        <v>134</v>
      </c>
      <c r="N1801" t="s">
        <v>135</v>
      </c>
      <c r="O1801"/>
      <c r="P1801"/>
      <c r="Q1801" t="s">
        <v>140</v>
      </c>
      <c r="R1801"/>
      <c r="S1801"/>
      <c r="T1801" t="s">
        <v>1936</v>
      </c>
      <c r="U1801" t="s">
        <v>137</v>
      </c>
      <c r="V1801" t="s">
        <v>658</v>
      </c>
      <c r="W1801" s="9">
        <v>46184.337236261577</v>
      </c>
      <c r="X1801" t="s">
        <v>94</v>
      </c>
      <c r="Y1801"/>
      <c r="Z1801"/>
      <c r="AA1801" t="s">
        <v>1884</v>
      </c>
      <c r="AB1801" t="s">
        <v>3</v>
      </c>
      <c r="AC1801" t="s">
        <v>24</v>
      </c>
      <c r="AD1801" t="s">
        <v>129</v>
      </c>
      <c r="AE1801" s="97"/>
    </row>
    <row r="1802" spans="1:31" ht="14.4" customHeight="1" x14ac:dyDescent="0.3">
      <c r="A1802" t="s">
        <v>4103</v>
      </c>
      <c r="B1802" t="s">
        <v>2147</v>
      </c>
      <c r="C1802"/>
      <c r="D1802"/>
      <c r="E1802"/>
      <c r="F1802"/>
      <c r="G1802" t="s">
        <v>3994</v>
      </c>
      <c r="H1802" t="s">
        <v>132</v>
      </c>
      <c r="I1802" t="s">
        <v>4</v>
      </c>
      <c r="J1802" t="s">
        <v>133</v>
      </c>
      <c r="K1802" t="s">
        <v>54</v>
      </c>
      <c r="L1802" t="s">
        <v>2139</v>
      </c>
      <c r="M1802" t="s">
        <v>134</v>
      </c>
      <c r="N1802" t="s">
        <v>135</v>
      </c>
      <c r="O1802"/>
      <c r="P1802"/>
      <c r="Q1802" t="s">
        <v>140</v>
      </c>
      <c r="R1802"/>
      <c r="S1802"/>
      <c r="T1802" t="s">
        <v>1936</v>
      </c>
      <c r="U1802" t="s">
        <v>137</v>
      </c>
      <c r="V1802" t="s">
        <v>664</v>
      </c>
      <c r="W1802" s="9">
        <v>46184.338048113423</v>
      </c>
      <c r="X1802" t="s">
        <v>103</v>
      </c>
      <c r="Y1802"/>
      <c r="Z1802"/>
      <c r="AA1802" t="s">
        <v>1884</v>
      </c>
      <c r="AB1802" t="s">
        <v>3</v>
      </c>
      <c r="AC1802" t="s">
        <v>24</v>
      </c>
      <c r="AD1802" t="s">
        <v>129</v>
      </c>
      <c r="AE1802" s="97"/>
    </row>
    <row r="1803" spans="1:31" ht="14.4" customHeight="1" x14ac:dyDescent="0.3">
      <c r="A1803" t="s">
        <v>4104</v>
      </c>
      <c r="B1803" t="s">
        <v>2149</v>
      </c>
      <c r="C1803"/>
      <c r="D1803"/>
      <c r="E1803"/>
      <c r="F1803"/>
      <c r="G1803" t="s">
        <v>3994</v>
      </c>
      <c r="H1803" t="s">
        <v>132</v>
      </c>
      <c r="I1803" t="s">
        <v>4</v>
      </c>
      <c r="J1803" t="s">
        <v>133</v>
      </c>
      <c r="K1803" t="s">
        <v>54</v>
      </c>
      <c r="L1803" t="s">
        <v>2139</v>
      </c>
      <c r="M1803" t="s">
        <v>134</v>
      </c>
      <c r="N1803" t="s">
        <v>135</v>
      </c>
      <c r="O1803"/>
      <c r="P1803"/>
      <c r="Q1803" t="s">
        <v>140</v>
      </c>
      <c r="R1803"/>
      <c r="S1803"/>
      <c r="T1803" t="s">
        <v>1936</v>
      </c>
      <c r="U1803" t="s">
        <v>137</v>
      </c>
      <c r="V1803" t="s">
        <v>670</v>
      </c>
      <c r="W1803" s="9">
        <v>46184.339213622683</v>
      </c>
      <c r="X1803" t="s">
        <v>110</v>
      </c>
      <c r="Y1803"/>
      <c r="Z1803"/>
      <c r="AA1803" t="s">
        <v>1884</v>
      </c>
      <c r="AB1803" t="s">
        <v>3</v>
      </c>
      <c r="AC1803" t="s">
        <v>24</v>
      </c>
      <c r="AD1803" t="s">
        <v>129</v>
      </c>
      <c r="AE1803" s="97"/>
    </row>
    <row r="1804" spans="1:31" ht="14.4" customHeight="1" x14ac:dyDescent="0.3">
      <c r="A1804" t="s">
        <v>4105</v>
      </c>
      <c r="B1804" t="s">
        <v>2151</v>
      </c>
      <c r="C1804"/>
      <c r="D1804"/>
      <c r="E1804"/>
      <c r="F1804"/>
      <c r="G1804" t="s">
        <v>3994</v>
      </c>
      <c r="H1804" t="s">
        <v>132</v>
      </c>
      <c r="I1804" t="s">
        <v>4</v>
      </c>
      <c r="J1804" t="s">
        <v>133</v>
      </c>
      <c r="K1804" t="s">
        <v>54</v>
      </c>
      <c r="L1804" t="s">
        <v>2139</v>
      </c>
      <c r="M1804" t="s">
        <v>134</v>
      </c>
      <c r="N1804" t="s">
        <v>135</v>
      </c>
      <c r="O1804"/>
      <c r="P1804"/>
      <c r="Q1804" t="s">
        <v>140</v>
      </c>
      <c r="R1804"/>
      <c r="S1804"/>
      <c r="T1804" t="s">
        <v>1936</v>
      </c>
      <c r="U1804" t="s">
        <v>137</v>
      </c>
      <c r="V1804" t="s">
        <v>676</v>
      </c>
      <c r="W1804" s="9">
        <v>46184.525180520832</v>
      </c>
      <c r="X1804" t="s">
        <v>119</v>
      </c>
      <c r="Y1804"/>
      <c r="Z1804"/>
      <c r="AA1804" t="s">
        <v>1884</v>
      </c>
      <c r="AB1804" t="s">
        <v>3</v>
      </c>
      <c r="AC1804" t="s">
        <v>24</v>
      </c>
      <c r="AD1804" t="s">
        <v>130</v>
      </c>
      <c r="AE1804" s="97"/>
    </row>
    <row r="1805" spans="1:31" ht="14.4" customHeight="1" x14ac:dyDescent="0.3">
      <c r="A1805" t="s">
        <v>4107</v>
      </c>
      <c r="B1805" t="s">
        <v>4108</v>
      </c>
      <c r="C1805"/>
      <c r="D1805"/>
      <c r="E1805"/>
      <c r="F1805"/>
      <c r="G1805" t="s">
        <v>3994</v>
      </c>
      <c r="H1805" t="s">
        <v>132</v>
      </c>
      <c r="I1805" t="s">
        <v>4</v>
      </c>
      <c r="J1805" t="s">
        <v>133</v>
      </c>
      <c r="K1805" t="s">
        <v>54</v>
      </c>
      <c r="L1805" t="s">
        <v>4109</v>
      </c>
      <c r="M1805" t="s">
        <v>134</v>
      </c>
      <c r="N1805" t="s">
        <v>135</v>
      </c>
      <c r="O1805"/>
      <c r="P1805"/>
      <c r="Q1805" t="s">
        <v>140</v>
      </c>
      <c r="R1805"/>
      <c r="S1805" t="s">
        <v>140</v>
      </c>
      <c r="T1805" t="s">
        <v>3738</v>
      </c>
      <c r="U1805" t="s">
        <v>137</v>
      </c>
      <c r="V1805" t="s">
        <v>1279</v>
      </c>
      <c r="W1805"/>
      <c r="X1805" t="s">
        <v>71</v>
      </c>
      <c r="Y1805"/>
      <c r="Z1805"/>
      <c r="AA1805" t="s">
        <v>1884</v>
      </c>
      <c r="AB1805" t="s">
        <v>4</v>
      </c>
      <c r="AC1805" t="s">
        <v>138</v>
      </c>
      <c r="AD1805" t="s">
        <v>128</v>
      </c>
      <c r="AE1805" s="97"/>
    </row>
    <row r="1806" spans="1:31" ht="14.4" customHeight="1" x14ac:dyDescent="0.3">
      <c r="A1806" t="s">
        <v>4110</v>
      </c>
      <c r="B1806" t="s">
        <v>4111</v>
      </c>
      <c r="C1806"/>
      <c r="D1806"/>
      <c r="E1806"/>
      <c r="F1806"/>
      <c r="G1806" t="s">
        <v>3994</v>
      </c>
      <c r="H1806" t="s">
        <v>132</v>
      </c>
      <c r="I1806" t="s">
        <v>4</v>
      </c>
      <c r="J1806" t="s">
        <v>133</v>
      </c>
      <c r="K1806" t="s">
        <v>54</v>
      </c>
      <c r="L1806" t="s">
        <v>4109</v>
      </c>
      <c r="M1806" t="s">
        <v>134</v>
      </c>
      <c r="N1806" t="s">
        <v>135</v>
      </c>
      <c r="O1806"/>
      <c r="P1806"/>
      <c r="Q1806" t="s">
        <v>140</v>
      </c>
      <c r="R1806"/>
      <c r="S1806" t="s">
        <v>140</v>
      </c>
      <c r="T1806" t="s">
        <v>3738</v>
      </c>
      <c r="U1806" t="s">
        <v>137</v>
      </c>
      <c r="V1806" t="s">
        <v>1283</v>
      </c>
      <c r="W1806"/>
      <c r="X1806" t="s">
        <v>78</v>
      </c>
      <c r="Y1806"/>
      <c r="Z1806"/>
      <c r="AA1806" t="s">
        <v>1884</v>
      </c>
      <c r="AB1806" t="s">
        <v>4</v>
      </c>
      <c r="AC1806" t="s">
        <v>138</v>
      </c>
      <c r="AD1806" t="s">
        <v>128</v>
      </c>
      <c r="AE1806" s="97"/>
    </row>
    <row r="1807" spans="1:31" ht="14.4" customHeight="1" x14ac:dyDescent="0.3">
      <c r="A1807" t="s">
        <v>4112</v>
      </c>
      <c r="B1807" t="s">
        <v>4113</v>
      </c>
      <c r="C1807"/>
      <c r="D1807"/>
      <c r="E1807"/>
      <c r="F1807"/>
      <c r="G1807" t="s">
        <v>3994</v>
      </c>
      <c r="H1807" t="s">
        <v>132</v>
      </c>
      <c r="I1807" t="s">
        <v>4</v>
      </c>
      <c r="J1807" t="s">
        <v>133</v>
      </c>
      <c r="K1807" t="s">
        <v>54</v>
      </c>
      <c r="L1807" t="s">
        <v>4109</v>
      </c>
      <c r="M1807" t="s">
        <v>134</v>
      </c>
      <c r="N1807" t="s">
        <v>135</v>
      </c>
      <c r="O1807"/>
      <c r="P1807"/>
      <c r="Q1807" t="s">
        <v>140</v>
      </c>
      <c r="R1807"/>
      <c r="S1807" t="s">
        <v>140</v>
      </c>
      <c r="T1807" t="s">
        <v>3738</v>
      </c>
      <c r="U1807" t="s">
        <v>137</v>
      </c>
      <c r="V1807" t="s">
        <v>1287</v>
      </c>
      <c r="W1807"/>
      <c r="X1807" t="s">
        <v>89</v>
      </c>
      <c r="Y1807"/>
      <c r="Z1807"/>
      <c r="AA1807" t="s">
        <v>1884</v>
      </c>
      <c r="AB1807" t="s">
        <v>4</v>
      </c>
      <c r="AC1807" t="s">
        <v>138</v>
      </c>
      <c r="AD1807" t="s">
        <v>129</v>
      </c>
      <c r="AE1807" s="97"/>
    </row>
    <row r="1808" spans="1:31" ht="14.4" customHeight="1" x14ac:dyDescent="0.3">
      <c r="A1808" t="s">
        <v>4114</v>
      </c>
      <c r="B1808" t="s">
        <v>4115</v>
      </c>
      <c r="C1808"/>
      <c r="D1808"/>
      <c r="E1808"/>
      <c r="F1808"/>
      <c r="G1808" t="s">
        <v>3994</v>
      </c>
      <c r="H1808" t="s">
        <v>132</v>
      </c>
      <c r="I1808" t="s">
        <v>4</v>
      </c>
      <c r="J1808" t="s">
        <v>133</v>
      </c>
      <c r="K1808" t="s">
        <v>54</v>
      </c>
      <c r="L1808" t="s">
        <v>4109</v>
      </c>
      <c r="M1808" t="s">
        <v>134</v>
      </c>
      <c r="N1808" t="s">
        <v>135</v>
      </c>
      <c r="O1808"/>
      <c r="P1808"/>
      <c r="Q1808" t="s">
        <v>140</v>
      </c>
      <c r="R1808"/>
      <c r="S1808" t="s">
        <v>140</v>
      </c>
      <c r="T1808" t="s">
        <v>3738</v>
      </c>
      <c r="U1808" t="s">
        <v>137</v>
      </c>
      <c r="V1808" t="s">
        <v>1291</v>
      </c>
      <c r="W1808"/>
      <c r="X1808" t="s">
        <v>98</v>
      </c>
      <c r="Y1808"/>
      <c r="Z1808"/>
      <c r="AA1808" t="s">
        <v>1884</v>
      </c>
      <c r="AB1808" t="s">
        <v>4</v>
      </c>
      <c r="AC1808" t="s">
        <v>138</v>
      </c>
      <c r="AD1808" t="s">
        <v>129</v>
      </c>
      <c r="AE1808" s="97"/>
    </row>
    <row r="1809" spans="1:31" ht="14.4" customHeight="1" x14ac:dyDescent="0.3">
      <c r="A1809" t="s">
        <v>4116</v>
      </c>
      <c r="B1809" t="s">
        <v>4117</v>
      </c>
      <c r="C1809"/>
      <c r="D1809"/>
      <c r="E1809"/>
      <c r="F1809"/>
      <c r="G1809" t="s">
        <v>3994</v>
      </c>
      <c r="H1809" t="s">
        <v>132</v>
      </c>
      <c r="I1809" t="s">
        <v>4</v>
      </c>
      <c r="J1809" t="s">
        <v>133</v>
      </c>
      <c r="K1809" t="s">
        <v>54</v>
      </c>
      <c r="L1809" t="s">
        <v>4109</v>
      </c>
      <c r="M1809" t="s">
        <v>134</v>
      </c>
      <c r="N1809" t="s">
        <v>135</v>
      </c>
      <c r="O1809"/>
      <c r="P1809"/>
      <c r="Q1809" t="s">
        <v>140</v>
      </c>
      <c r="R1809"/>
      <c r="S1809" t="s">
        <v>140</v>
      </c>
      <c r="T1809" t="s">
        <v>3738</v>
      </c>
      <c r="U1809" t="s">
        <v>137</v>
      </c>
      <c r="V1809" t="s">
        <v>1295</v>
      </c>
      <c r="W1809"/>
      <c r="X1809" t="s">
        <v>107</v>
      </c>
      <c r="Y1809"/>
      <c r="Z1809"/>
      <c r="AA1809" t="s">
        <v>1884</v>
      </c>
      <c r="AB1809" t="s">
        <v>4</v>
      </c>
      <c r="AC1809" t="s">
        <v>138</v>
      </c>
      <c r="AD1809" t="s">
        <v>129</v>
      </c>
      <c r="AE1809" s="97"/>
    </row>
    <row r="1810" spans="1:31" ht="14.4" customHeight="1" x14ac:dyDescent="0.3">
      <c r="A1810" t="s">
        <v>4118</v>
      </c>
      <c r="B1810" t="s">
        <v>4119</v>
      </c>
      <c r="C1810"/>
      <c r="D1810"/>
      <c r="E1810"/>
      <c r="F1810"/>
      <c r="G1810" t="s">
        <v>3994</v>
      </c>
      <c r="H1810" t="s">
        <v>132</v>
      </c>
      <c r="I1810" t="s">
        <v>4</v>
      </c>
      <c r="J1810" t="s">
        <v>133</v>
      </c>
      <c r="K1810" t="s">
        <v>54</v>
      </c>
      <c r="L1810" t="s">
        <v>4109</v>
      </c>
      <c r="M1810" t="s">
        <v>134</v>
      </c>
      <c r="N1810" t="s">
        <v>135</v>
      </c>
      <c r="O1810"/>
      <c r="P1810"/>
      <c r="Q1810" t="s">
        <v>140</v>
      </c>
      <c r="R1810"/>
      <c r="S1810" t="s">
        <v>140</v>
      </c>
      <c r="T1810" t="s">
        <v>3738</v>
      </c>
      <c r="U1810" t="s">
        <v>137</v>
      </c>
      <c r="V1810" t="s">
        <v>1299</v>
      </c>
      <c r="W1810"/>
      <c r="X1810" t="s">
        <v>114</v>
      </c>
      <c r="Y1810"/>
      <c r="Z1810"/>
      <c r="AA1810" t="s">
        <v>1884</v>
      </c>
      <c r="AB1810" t="s">
        <v>4</v>
      </c>
      <c r="AC1810" t="s">
        <v>138</v>
      </c>
      <c r="AD1810" t="s">
        <v>129</v>
      </c>
      <c r="AE1810" s="97"/>
    </row>
    <row r="1811" spans="1:31" ht="14.4" customHeight="1" x14ac:dyDescent="0.3">
      <c r="A1811" t="s">
        <v>4120</v>
      </c>
      <c r="B1811" t="s">
        <v>4121</v>
      </c>
      <c r="C1811"/>
      <c r="D1811"/>
      <c r="E1811"/>
      <c r="F1811"/>
      <c r="G1811" t="s">
        <v>3994</v>
      </c>
      <c r="H1811" t="s">
        <v>132</v>
      </c>
      <c r="I1811" t="s">
        <v>4</v>
      </c>
      <c r="J1811" t="s">
        <v>133</v>
      </c>
      <c r="K1811" t="s">
        <v>54</v>
      </c>
      <c r="L1811" t="s">
        <v>4109</v>
      </c>
      <c r="M1811" t="s">
        <v>134</v>
      </c>
      <c r="N1811" t="s">
        <v>135</v>
      </c>
      <c r="O1811"/>
      <c r="P1811"/>
      <c r="Q1811" t="s">
        <v>140</v>
      </c>
      <c r="R1811"/>
      <c r="S1811" t="s">
        <v>140</v>
      </c>
      <c r="T1811" t="s">
        <v>3738</v>
      </c>
      <c r="U1811" t="s">
        <v>137</v>
      </c>
      <c r="V1811" t="s">
        <v>1303</v>
      </c>
      <c r="W1811"/>
      <c r="X1811" t="s">
        <v>123</v>
      </c>
      <c r="Y1811"/>
      <c r="Z1811"/>
      <c r="AA1811" t="s">
        <v>1884</v>
      </c>
      <c r="AB1811" t="s">
        <v>4</v>
      </c>
      <c r="AC1811" t="s">
        <v>138</v>
      </c>
      <c r="AD1811" t="s">
        <v>130</v>
      </c>
      <c r="AE1811" s="97"/>
    </row>
    <row r="1812" spans="1:31" ht="14.4" customHeight="1" x14ac:dyDescent="0.3">
      <c r="A1812" t="s">
        <v>4122</v>
      </c>
      <c r="B1812" t="s">
        <v>4123</v>
      </c>
      <c r="C1812"/>
      <c r="D1812"/>
      <c r="E1812"/>
      <c r="F1812"/>
      <c r="G1812" t="s">
        <v>3994</v>
      </c>
      <c r="H1812" t="s">
        <v>132</v>
      </c>
      <c r="I1812" t="s">
        <v>4</v>
      </c>
      <c r="J1812" t="s">
        <v>133</v>
      </c>
      <c r="K1812" t="s">
        <v>54</v>
      </c>
      <c r="L1812" t="s">
        <v>4106</v>
      </c>
      <c r="M1812" t="s">
        <v>134</v>
      </c>
      <c r="N1812" t="s">
        <v>135</v>
      </c>
      <c r="O1812"/>
      <c r="P1812"/>
      <c r="Q1812" t="s">
        <v>140</v>
      </c>
      <c r="R1812"/>
      <c r="S1812" t="s">
        <v>140</v>
      </c>
      <c r="T1812" t="s">
        <v>2128</v>
      </c>
      <c r="U1812" t="s">
        <v>137</v>
      </c>
      <c r="V1812" t="s">
        <v>1967</v>
      </c>
      <c r="W1812"/>
      <c r="X1812" t="s">
        <v>125</v>
      </c>
      <c r="Y1812"/>
      <c r="Z1812"/>
      <c r="AA1812" t="s">
        <v>1884</v>
      </c>
      <c r="AB1812" t="s">
        <v>4</v>
      </c>
      <c r="AC1812" t="s">
        <v>138</v>
      </c>
      <c r="AD1812" t="s">
        <v>131</v>
      </c>
      <c r="AE1812" s="97"/>
    </row>
    <row r="1813" spans="1:31" ht="14.4" customHeight="1" x14ac:dyDescent="0.3">
      <c r="A1813" t="s">
        <v>4124</v>
      </c>
      <c r="B1813" t="s">
        <v>4125</v>
      </c>
      <c r="C1813"/>
      <c r="D1813"/>
      <c r="E1813"/>
      <c r="F1813"/>
      <c r="G1813" t="s">
        <v>4126</v>
      </c>
      <c r="H1813" t="s">
        <v>132</v>
      </c>
      <c r="I1813" t="s">
        <v>5</v>
      </c>
      <c r="J1813" t="s">
        <v>133</v>
      </c>
      <c r="K1813" t="s">
        <v>55</v>
      </c>
      <c r="L1813" t="s">
        <v>4127</v>
      </c>
      <c r="M1813" t="s">
        <v>134</v>
      </c>
      <c r="N1813" t="s">
        <v>135</v>
      </c>
      <c r="O1813"/>
      <c r="P1813"/>
      <c r="Q1813" t="s">
        <v>291</v>
      </c>
      <c r="R1813"/>
      <c r="S1813"/>
      <c r="T1813" t="s">
        <v>2165</v>
      </c>
      <c r="U1813" t="s">
        <v>137</v>
      </c>
      <c r="V1813" t="s">
        <v>897</v>
      </c>
      <c r="W1813"/>
      <c r="X1813" t="s">
        <v>64</v>
      </c>
      <c r="Y1813"/>
      <c r="Z1813"/>
      <c r="AA1813" t="s">
        <v>4128</v>
      </c>
      <c r="AB1813" t="s">
        <v>5</v>
      </c>
      <c r="AC1813" t="s">
        <v>138</v>
      </c>
      <c r="AD1813" t="s">
        <v>128</v>
      </c>
      <c r="AE1813" s="97"/>
    </row>
    <row r="1814" spans="1:31" ht="14.4" customHeight="1" x14ac:dyDescent="0.3">
      <c r="A1814" t="s">
        <v>4129</v>
      </c>
      <c r="B1814" t="s">
        <v>4130</v>
      </c>
      <c r="C1814"/>
      <c r="D1814"/>
      <c r="E1814"/>
      <c r="F1814"/>
      <c r="G1814" t="s">
        <v>4126</v>
      </c>
      <c r="H1814" t="s">
        <v>132</v>
      </c>
      <c r="I1814" t="s">
        <v>5</v>
      </c>
      <c r="J1814" t="s">
        <v>133</v>
      </c>
      <c r="K1814" t="s">
        <v>55</v>
      </c>
      <c r="L1814" t="s">
        <v>4127</v>
      </c>
      <c r="M1814" t="s">
        <v>134</v>
      </c>
      <c r="N1814" t="s">
        <v>135</v>
      </c>
      <c r="O1814"/>
      <c r="P1814"/>
      <c r="Q1814" t="s">
        <v>291</v>
      </c>
      <c r="R1814"/>
      <c r="S1814"/>
      <c r="T1814" t="s">
        <v>2165</v>
      </c>
      <c r="U1814" t="s">
        <v>137</v>
      </c>
      <c r="V1814" t="s">
        <v>897</v>
      </c>
      <c r="W1814"/>
      <c r="X1814" t="s">
        <v>64</v>
      </c>
      <c r="Y1814"/>
      <c r="Z1814"/>
      <c r="AA1814" t="s">
        <v>4128</v>
      </c>
      <c r="AB1814" t="s">
        <v>5</v>
      </c>
      <c r="AC1814" t="s">
        <v>138</v>
      </c>
      <c r="AD1814" t="s">
        <v>128</v>
      </c>
      <c r="AE1814" s="97"/>
    </row>
    <row r="1815" spans="1:31" ht="14.4" customHeight="1" x14ac:dyDescent="0.3">
      <c r="A1815" t="s">
        <v>4131</v>
      </c>
      <c r="B1815" t="s">
        <v>4132</v>
      </c>
      <c r="C1815"/>
      <c r="D1815"/>
      <c r="E1815"/>
      <c r="F1815"/>
      <c r="G1815" t="s">
        <v>4126</v>
      </c>
      <c r="H1815" t="s">
        <v>132</v>
      </c>
      <c r="I1815" t="s">
        <v>5</v>
      </c>
      <c r="J1815" t="s">
        <v>133</v>
      </c>
      <c r="K1815" t="s">
        <v>55</v>
      </c>
      <c r="L1815" t="s">
        <v>4127</v>
      </c>
      <c r="M1815" t="s">
        <v>134</v>
      </c>
      <c r="N1815" t="s">
        <v>135</v>
      </c>
      <c r="O1815"/>
      <c r="P1815"/>
      <c r="Q1815" t="s">
        <v>291</v>
      </c>
      <c r="R1815"/>
      <c r="S1815"/>
      <c r="T1815" t="s">
        <v>2165</v>
      </c>
      <c r="U1815" t="s">
        <v>137</v>
      </c>
      <c r="V1815" t="s">
        <v>897</v>
      </c>
      <c r="W1815"/>
      <c r="X1815" t="s">
        <v>64</v>
      </c>
      <c r="Y1815"/>
      <c r="Z1815"/>
      <c r="AA1815" t="s">
        <v>4128</v>
      </c>
      <c r="AB1815" t="s">
        <v>5</v>
      </c>
      <c r="AC1815" t="s">
        <v>138</v>
      </c>
      <c r="AD1815" t="s">
        <v>128</v>
      </c>
      <c r="AE1815" s="97"/>
    </row>
    <row r="1816" spans="1:31" ht="14.4" customHeight="1" x14ac:dyDescent="0.3">
      <c r="A1816" t="s">
        <v>4133</v>
      </c>
      <c r="B1816" t="s">
        <v>4134</v>
      </c>
      <c r="C1816"/>
      <c r="D1816"/>
      <c r="E1816"/>
      <c r="F1816"/>
      <c r="G1816" t="s">
        <v>4126</v>
      </c>
      <c r="H1816" t="s">
        <v>132</v>
      </c>
      <c r="I1816" t="s">
        <v>5</v>
      </c>
      <c r="J1816" t="s">
        <v>133</v>
      </c>
      <c r="K1816" t="s">
        <v>55</v>
      </c>
      <c r="L1816" t="s">
        <v>4127</v>
      </c>
      <c r="M1816" t="s">
        <v>134</v>
      </c>
      <c r="N1816" t="s">
        <v>135</v>
      </c>
      <c r="O1816"/>
      <c r="P1816"/>
      <c r="Q1816" t="s">
        <v>291</v>
      </c>
      <c r="R1816"/>
      <c r="S1816"/>
      <c r="T1816" t="s">
        <v>2165</v>
      </c>
      <c r="U1816" t="s">
        <v>137</v>
      </c>
      <c r="V1816" t="s">
        <v>897</v>
      </c>
      <c r="W1816"/>
      <c r="X1816" t="s">
        <v>64</v>
      </c>
      <c r="Y1816"/>
      <c r="Z1816"/>
      <c r="AA1816" t="s">
        <v>4128</v>
      </c>
      <c r="AB1816" t="s">
        <v>5</v>
      </c>
      <c r="AC1816" t="s">
        <v>138</v>
      </c>
      <c r="AD1816" t="s">
        <v>128</v>
      </c>
      <c r="AE1816" s="97"/>
    </row>
    <row r="1817" spans="1:31" ht="14.4" customHeight="1" x14ac:dyDescent="0.3">
      <c r="A1817" t="s">
        <v>4135</v>
      </c>
      <c r="B1817" t="s">
        <v>4136</v>
      </c>
      <c r="C1817"/>
      <c r="D1817"/>
      <c r="E1817"/>
      <c r="F1817"/>
      <c r="G1817" t="s">
        <v>4126</v>
      </c>
      <c r="H1817" t="s">
        <v>132</v>
      </c>
      <c r="I1817" t="s">
        <v>5</v>
      </c>
      <c r="J1817" t="s">
        <v>133</v>
      </c>
      <c r="K1817" t="s">
        <v>55</v>
      </c>
      <c r="L1817" t="s">
        <v>4137</v>
      </c>
      <c r="M1817" t="s">
        <v>134</v>
      </c>
      <c r="N1817" t="s">
        <v>135</v>
      </c>
      <c r="O1817"/>
      <c r="P1817"/>
      <c r="Q1817" t="s">
        <v>291</v>
      </c>
      <c r="R1817"/>
      <c r="S1817"/>
      <c r="T1817" t="s">
        <v>2165</v>
      </c>
      <c r="U1817" t="s">
        <v>137</v>
      </c>
      <c r="V1817" t="s">
        <v>904</v>
      </c>
      <c r="W1817"/>
      <c r="X1817" t="s">
        <v>79</v>
      </c>
      <c r="Y1817"/>
      <c r="Z1817"/>
      <c r="AA1817" t="s">
        <v>4128</v>
      </c>
      <c r="AB1817" t="s">
        <v>5</v>
      </c>
      <c r="AC1817" t="s">
        <v>138</v>
      </c>
      <c r="AD1817" t="s">
        <v>129</v>
      </c>
      <c r="AE1817" s="97"/>
    </row>
    <row r="1818" spans="1:31" ht="14.4" customHeight="1" x14ac:dyDescent="0.3">
      <c r="A1818" t="s">
        <v>4138</v>
      </c>
      <c r="B1818" t="s">
        <v>4139</v>
      </c>
      <c r="C1818"/>
      <c r="D1818"/>
      <c r="E1818"/>
      <c r="F1818"/>
      <c r="G1818" t="s">
        <v>4126</v>
      </c>
      <c r="H1818" t="s">
        <v>132</v>
      </c>
      <c r="I1818" t="s">
        <v>5</v>
      </c>
      <c r="J1818" t="s">
        <v>133</v>
      </c>
      <c r="K1818" t="s">
        <v>55</v>
      </c>
      <c r="L1818" t="s">
        <v>4137</v>
      </c>
      <c r="M1818" t="s">
        <v>134</v>
      </c>
      <c r="N1818" t="s">
        <v>135</v>
      </c>
      <c r="O1818"/>
      <c r="P1818"/>
      <c r="Q1818" t="s">
        <v>291</v>
      </c>
      <c r="R1818"/>
      <c r="S1818"/>
      <c r="T1818" t="s">
        <v>2165</v>
      </c>
      <c r="U1818" t="s">
        <v>137</v>
      </c>
      <c r="V1818" t="s">
        <v>904</v>
      </c>
      <c r="W1818"/>
      <c r="X1818" t="s">
        <v>79</v>
      </c>
      <c r="Y1818"/>
      <c r="Z1818"/>
      <c r="AA1818" t="s">
        <v>4128</v>
      </c>
      <c r="AB1818" t="s">
        <v>5</v>
      </c>
      <c r="AC1818" t="s">
        <v>138</v>
      </c>
      <c r="AD1818" t="s">
        <v>129</v>
      </c>
      <c r="AE1818" s="97"/>
    </row>
    <row r="1819" spans="1:31" ht="14.4" customHeight="1" x14ac:dyDescent="0.3">
      <c r="A1819" t="s">
        <v>4140</v>
      </c>
      <c r="B1819" t="s">
        <v>4141</v>
      </c>
      <c r="C1819"/>
      <c r="D1819"/>
      <c r="E1819"/>
      <c r="F1819"/>
      <c r="G1819" t="s">
        <v>4126</v>
      </c>
      <c r="H1819" t="s">
        <v>132</v>
      </c>
      <c r="I1819" t="s">
        <v>5</v>
      </c>
      <c r="J1819" t="s">
        <v>133</v>
      </c>
      <c r="K1819" t="s">
        <v>55</v>
      </c>
      <c r="L1819" t="s">
        <v>4137</v>
      </c>
      <c r="M1819" t="s">
        <v>134</v>
      </c>
      <c r="N1819" t="s">
        <v>135</v>
      </c>
      <c r="O1819"/>
      <c r="P1819"/>
      <c r="Q1819" t="s">
        <v>291</v>
      </c>
      <c r="R1819"/>
      <c r="S1819"/>
      <c r="T1819" t="s">
        <v>2165</v>
      </c>
      <c r="U1819" t="s">
        <v>137</v>
      </c>
      <c r="V1819" t="s">
        <v>904</v>
      </c>
      <c r="W1819"/>
      <c r="X1819" t="s">
        <v>79</v>
      </c>
      <c r="Y1819"/>
      <c r="Z1819"/>
      <c r="AA1819" t="s">
        <v>4128</v>
      </c>
      <c r="AB1819" t="s">
        <v>5</v>
      </c>
      <c r="AC1819" t="s">
        <v>138</v>
      </c>
      <c r="AD1819" t="s">
        <v>129</v>
      </c>
      <c r="AE1819" s="97"/>
    </row>
    <row r="1820" spans="1:31" ht="14.4" customHeight="1" x14ac:dyDescent="0.3">
      <c r="A1820" t="s">
        <v>4142</v>
      </c>
      <c r="B1820" t="s">
        <v>4143</v>
      </c>
      <c r="C1820"/>
      <c r="D1820"/>
      <c r="E1820"/>
      <c r="F1820"/>
      <c r="G1820" t="s">
        <v>4126</v>
      </c>
      <c r="H1820" t="s">
        <v>132</v>
      </c>
      <c r="I1820" t="s">
        <v>5</v>
      </c>
      <c r="J1820" t="s">
        <v>133</v>
      </c>
      <c r="K1820" t="s">
        <v>55</v>
      </c>
      <c r="L1820" t="s">
        <v>4137</v>
      </c>
      <c r="M1820" t="s">
        <v>134</v>
      </c>
      <c r="N1820" t="s">
        <v>135</v>
      </c>
      <c r="O1820"/>
      <c r="P1820"/>
      <c r="Q1820" t="s">
        <v>291</v>
      </c>
      <c r="R1820"/>
      <c r="S1820"/>
      <c r="T1820" t="s">
        <v>2165</v>
      </c>
      <c r="U1820" t="s">
        <v>137</v>
      </c>
      <c r="V1820" t="s">
        <v>904</v>
      </c>
      <c r="W1820"/>
      <c r="X1820" t="s">
        <v>79</v>
      </c>
      <c r="Y1820"/>
      <c r="Z1820"/>
      <c r="AA1820" t="s">
        <v>4128</v>
      </c>
      <c r="AB1820" t="s">
        <v>5</v>
      </c>
      <c r="AC1820" t="s">
        <v>138</v>
      </c>
      <c r="AD1820" t="s">
        <v>129</v>
      </c>
      <c r="AE1820" s="97"/>
    </row>
    <row r="1821" spans="1:31" ht="14.4" customHeight="1" x14ac:dyDescent="0.3">
      <c r="A1821" t="s">
        <v>4144</v>
      </c>
      <c r="B1821" t="s">
        <v>4145</v>
      </c>
      <c r="C1821"/>
      <c r="D1821"/>
      <c r="E1821"/>
      <c r="F1821"/>
      <c r="G1821" t="s">
        <v>4126</v>
      </c>
      <c r="H1821" t="s">
        <v>132</v>
      </c>
      <c r="I1821" t="s">
        <v>5</v>
      </c>
      <c r="J1821" t="s">
        <v>133</v>
      </c>
      <c r="K1821" t="s">
        <v>55</v>
      </c>
      <c r="L1821" t="s">
        <v>4146</v>
      </c>
      <c r="M1821" t="s">
        <v>134</v>
      </c>
      <c r="N1821" t="s">
        <v>135</v>
      </c>
      <c r="O1821"/>
      <c r="P1821"/>
      <c r="Q1821" t="s">
        <v>291</v>
      </c>
      <c r="R1821"/>
      <c r="S1821"/>
      <c r="T1821" t="s">
        <v>2165</v>
      </c>
      <c r="U1821" t="s">
        <v>137</v>
      </c>
      <c r="V1821" t="s">
        <v>911</v>
      </c>
      <c r="W1821"/>
      <c r="X1821" t="s">
        <v>83</v>
      </c>
      <c r="Y1821"/>
      <c r="Z1821"/>
      <c r="AA1821" t="s">
        <v>4128</v>
      </c>
      <c r="AB1821" t="s">
        <v>5</v>
      </c>
      <c r="AC1821" t="s">
        <v>138</v>
      </c>
      <c r="AD1821" t="s">
        <v>129</v>
      </c>
      <c r="AE1821" s="97"/>
    </row>
    <row r="1822" spans="1:31" ht="14.4" customHeight="1" x14ac:dyDescent="0.3">
      <c r="A1822" t="s">
        <v>4147</v>
      </c>
      <c r="B1822" t="s">
        <v>4148</v>
      </c>
      <c r="C1822"/>
      <c r="D1822"/>
      <c r="E1822"/>
      <c r="F1822"/>
      <c r="G1822" t="s">
        <v>4126</v>
      </c>
      <c r="H1822" t="s">
        <v>132</v>
      </c>
      <c r="I1822" t="s">
        <v>5</v>
      </c>
      <c r="J1822" t="s">
        <v>133</v>
      </c>
      <c r="K1822" t="s">
        <v>55</v>
      </c>
      <c r="L1822" t="s">
        <v>4146</v>
      </c>
      <c r="M1822" t="s">
        <v>134</v>
      </c>
      <c r="N1822" t="s">
        <v>135</v>
      </c>
      <c r="O1822"/>
      <c r="P1822"/>
      <c r="Q1822" t="s">
        <v>291</v>
      </c>
      <c r="R1822"/>
      <c r="S1822"/>
      <c r="T1822" t="s">
        <v>2165</v>
      </c>
      <c r="U1822" t="s">
        <v>137</v>
      </c>
      <c r="V1822" t="s">
        <v>911</v>
      </c>
      <c r="W1822"/>
      <c r="X1822" t="s">
        <v>83</v>
      </c>
      <c r="Y1822"/>
      <c r="Z1822"/>
      <c r="AA1822" t="s">
        <v>4128</v>
      </c>
      <c r="AB1822" t="s">
        <v>5</v>
      </c>
      <c r="AC1822" t="s">
        <v>138</v>
      </c>
      <c r="AD1822" t="s">
        <v>129</v>
      </c>
      <c r="AE1822" s="97"/>
    </row>
    <row r="1823" spans="1:31" ht="14.4" customHeight="1" x14ac:dyDescent="0.3">
      <c r="A1823" t="s">
        <v>4149</v>
      </c>
      <c r="B1823" t="s">
        <v>4150</v>
      </c>
      <c r="C1823"/>
      <c r="D1823"/>
      <c r="E1823"/>
      <c r="F1823"/>
      <c r="G1823" t="s">
        <v>4126</v>
      </c>
      <c r="H1823" t="s">
        <v>132</v>
      </c>
      <c r="I1823" t="s">
        <v>5</v>
      </c>
      <c r="J1823" t="s">
        <v>133</v>
      </c>
      <c r="K1823" t="s">
        <v>55</v>
      </c>
      <c r="L1823" t="s">
        <v>4146</v>
      </c>
      <c r="M1823" t="s">
        <v>134</v>
      </c>
      <c r="N1823" t="s">
        <v>135</v>
      </c>
      <c r="O1823"/>
      <c r="P1823"/>
      <c r="Q1823" t="s">
        <v>291</v>
      </c>
      <c r="R1823"/>
      <c r="S1823"/>
      <c r="T1823" t="s">
        <v>2165</v>
      </c>
      <c r="U1823" t="s">
        <v>137</v>
      </c>
      <c r="V1823" t="s">
        <v>911</v>
      </c>
      <c r="W1823"/>
      <c r="X1823" t="s">
        <v>83</v>
      </c>
      <c r="Y1823"/>
      <c r="Z1823"/>
      <c r="AA1823" t="s">
        <v>4128</v>
      </c>
      <c r="AB1823" t="s">
        <v>5</v>
      </c>
      <c r="AC1823" t="s">
        <v>138</v>
      </c>
      <c r="AD1823" t="s">
        <v>129</v>
      </c>
      <c r="AE1823" s="97"/>
    </row>
    <row r="1824" spans="1:31" ht="14.4" customHeight="1" x14ac:dyDescent="0.3">
      <c r="A1824" t="s">
        <v>4151</v>
      </c>
      <c r="B1824" t="s">
        <v>4152</v>
      </c>
      <c r="C1824"/>
      <c r="D1824"/>
      <c r="E1824"/>
      <c r="F1824"/>
      <c r="G1824" t="s">
        <v>4126</v>
      </c>
      <c r="H1824" t="s">
        <v>132</v>
      </c>
      <c r="I1824" t="s">
        <v>5</v>
      </c>
      <c r="J1824" t="s">
        <v>133</v>
      </c>
      <c r="K1824" t="s">
        <v>55</v>
      </c>
      <c r="L1824" t="s">
        <v>4146</v>
      </c>
      <c r="M1824" t="s">
        <v>134</v>
      </c>
      <c r="N1824" t="s">
        <v>135</v>
      </c>
      <c r="O1824"/>
      <c r="P1824"/>
      <c r="Q1824" t="s">
        <v>291</v>
      </c>
      <c r="R1824"/>
      <c r="S1824"/>
      <c r="T1824" t="s">
        <v>2165</v>
      </c>
      <c r="U1824" t="s">
        <v>137</v>
      </c>
      <c r="V1824" t="s">
        <v>911</v>
      </c>
      <c r="W1824"/>
      <c r="X1824" t="s">
        <v>83</v>
      </c>
      <c r="Y1824"/>
      <c r="Z1824"/>
      <c r="AA1824" t="s">
        <v>4128</v>
      </c>
      <c r="AB1824" t="s">
        <v>5</v>
      </c>
      <c r="AC1824" t="s">
        <v>138</v>
      </c>
      <c r="AD1824" t="s">
        <v>129</v>
      </c>
      <c r="AE1824" s="97"/>
    </row>
    <row r="1825" spans="1:31" ht="14.4" customHeight="1" x14ac:dyDescent="0.3">
      <c r="A1825" t="s">
        <v>4153</v>
      </c>
      <c r="B1825" t="s">
        <v>4154</v>
      </c>
      <c r="C1825"/>
      <c r="D1825"/>
      <c r="E1825"/>
      <c r="F1825"/>
      <c r="G1825" t="s">
        <v>4126</v>
      </c>
      <c r="H1825" t="s">
        <v>132</v>
      </c>
      <c r="I1825" t="s">
        <v>5</v>
      </c>
      <c r="J1825" t="s">
        <v>133</v>
      </c>
      <c r="K1825" t="s">
        <v>55</v>
      </c>
      <c r="L1825" t="s">
        <v>4155</v>
      </c>
      <c r="M1825" t="s">
        <v>134</v>
      </c>
      <c r="N1825" t="s">
        <v>135</v>
      </c>
      <c r="O1825"/>
      <c r="P1825"/>
      <c r="Q1825" t="s">
        <v>291</v>
      </c>
      <c r="R1825"/>
      <c r="S1825"/>
      <c r="T1825" t="s">
        <v>2165</v>
      </c>
      <c r="U1825" t="s">
        <v>137</v>
      </c>
      <c r="V1825" t="s">
        <v>918</v>
      </c>
      <c r="W1825"/>
      <c r="X1825" t="s">
        <v>92</v>
      </c>
      <c r="Y1825"/>
      <c r="Z1825"/>
      <c r="AA1825" t="s">
        <v>4128</v>
      </c>
      <c r="AB1825" t="s">
        <v>5</v>
      </c>
      <c r="AC1825" t="s">
        <v>138</v>
      </c>
      <c r="AD1825" t="s">
        <v>129</v>
      </c>
      <c r="AE1825" s="97"/>
    </row>
    <row r="1826" spans="1:31" ht="14.4" customHeight="1" x14ac:dyDescent="0.3">
      <c r="A1826" t="s">
        <v>4156</v>
      </c>
      <c r="B1826" t="s">
        <v>4157</v>
      </c>
      <c r="C1826"/>
      <c r="D1826"/>
      <c r="E1826"/>
      <c r="F1826"/>
      <c r="G1826" t="s">
        <v>4126</v>
      </c>
      <c r="H1826" t="s">
        <v>132</v>
      </c>
      <c r="I1826" t="s">
        <v>5</v>
      </c>
      <c r="J1826" t="s">
        <v>133</v>
      </c>
      <c r="K1826" t="s">
        <v>55</v>
      </c>
      <c r="L1826" t="s">
        <v>4155</v>
      </c>
      <c r="M1826" t="s">
        <v>134</v>
      </c>
      <c r="N1826" t="s">
        <v>135</v>
      </c>
      <c r="O1826"/>
      <c r="P1826"/>
      <c r="Q1826" t="s">
        <v>291</v>
      </c>
      <c r="R1826"/>
      <c r="S1826"/>
      <c r="T1826" t="s">
        <v>2165</v>
      </c>
      <c r="U1826" t="s">
        <v>137</v>
      </c>
      <c r="V1826" t="s">
        <v>918</v>
      </c>
      <c r="W1826"/>
      <c r="X1826" t="s">
        <v>92</v>
      </c>
      <c r="Y1826"/>
      <c r="Z1826"/>
      <c r="AA1826" t="s">
        <v>4128</v>
      </c>
      <c r="AB1826" t="s">
        <v>5</v>
      </c>
      <c r="AC1826" t="s">
        <v>138</v>
      </c>
      <c r="AD1826" t="s">
        <v>129</v>
      </c>
      <c r="AE1826" s="97"/>
    </row>
    <row r="1827" spans="1:31" ht="14.4" customHeight="1" x14ac:dyDescent="0.3">
      <c r="A1827" t="s">
        <v>4158</v>
      </c>
      <c r="B1827" t="s">
        <v>4159</v>
      </c>
      <c r="C1827"/>
      <c r="D1827"/>
      <c r="E1827"/>
      <c r="F1827"/>
      <c r="G1827" t="s">
        <v>4126</v>
      </c>
      <c r="H1827" t="s">
        <v>132</v>
      </c>
      <c r="I1827" t="s">
        <v>5</v>
      </c>
      <c r="J1827" t="s">
        <v>133</v>
      </c>
      <c r="K1827" t="s">
        <v>55</v>
      </c>
      <c r="L1827" t="s">
        <v>4155</v>
      </c>
      <c r="M1827" t="s">
        <v>134</v>
      </c>
      <c r="N1827" t="s">
        <v>135</v>
      </c>
      <c r="O1827"/>
      <c r="P1827"/>
      <c r="Q1827" t="s">
        <v>291</v>
      </c>
      <c r="R1827"/>
      <c r="S1827"/>
      <c r="T1827" t="s">
        <v>2165</v>
      </c>
      <c r="U1827" t="s">
        <v>137</v>
      </c>
      <c r="V1827" t="s">
        <v>918</v>
      </c>
      <c r="W1827"/>
      <c r="X1827" t="s">
        <v>92</v>
      </c>
      <c r="Y1827"/>
      <c r="Z1827"/>
      <c r="AA1827" t="s">
        <v>4128</v>
      </c>
      <c r="AB1827" t="s">
        <v>5</v>
      </c>
      <c r="AC1827" t="s">
        <v>138</v>
      </c>
      <c r="AD1827" t="s">
        <v>129</v>
      </c>
      <c r="AE1827" s="97"/>
    </row>
    <row r="1828" spans="1:31" ht="14.4" customHeight="1" x14ac:dyDescent="0.3">
      <c r="A1828" t="s">
        <v>4160</v>
      </c>
      <c r="B1828" t="s">
        <v>4161</v>
      </c>
      <c r="C1828"/>
      <c r="D1828"/>
      <c r="E1828"/>
      <c r="F1828"/>
      <c r="G1828" t="s">
        <v>4126</v>
      </c>
      <c r="H1828" t="s">
        <v>132</v>
      </c>
      <c r="I1828" t="s">
        <v>5</v>
      </c>
      <c r="J1828" t="s">
        <v>133</v>
      </c>
      <c r="K1828" t="s">
        <v>55</v>
      </c>
      <c r="L1828" t="s">
        <v>4155</v>
      </c>
      <c r="M1828" t="s">
        <v>134</v>
      </c>
      <c r="N1828" t="s">
        <v>135</v>
      </c>
      <c r="O1828"/>
      <c r="P1828"/>
      <c r="Q1828" t="s">
        <v>291</v>
      </c>
      <c r="R1828"/>
      <c r="S1828"/>
      <c r="T1828" t="s">
        <v>2165</v>
      </c>
      <c r="U1828" t="s">
        <v>137</v>
      </c>
      <c r="V1828" t="s">
        <v>918</v>
      </c>
      <c r="W1828"/>
      <c r="X1828" t="s">
        <v>92</v>
      </c>
      <c r="Y1828"/>
      <c r="Z1828"/>
      <c r="AA1828" t="s">
        <v>4128</v>
      </c>
      <c r="AB1828" t="s">
        <v>5</v>
      </c>
      <c r="AC1828" t="s">
        <v>138</v>
      </c>
      <c r="AD1828" t="s">
        <v>129</v>
      </c>
      <c r="AE1828" s="97"/>
    </row>
    <row r="1829" spans="1:31" ht="14.4" customHeight="1" x14ac:dyDescent="0.3">
      <c r="A1829" t="s">
        <v>4162</v>
      </c>
      <c r="B1829" t="s">
        <v>4163</v>
      </c>
      <c r="C1829"/>
      <c r="D1829"/>
      <c r="E1829"/>
      <c r="F1829"/>
      <c r="G1829" t="s">
        <v>4126</v>
      </c>
      <c r="H1829" t="s">
        <v>132</v>
      </c>
      <c r="I1829" t="s">
        <v>5</v>
      </c>
      <c r="J1829" t="s">
        <v>133</v>
      </c>
      <c r="K1829" t="s">
        <v>55</v>
      </c>
      <c r="L1829" t="s">
        <v>4164</v>
      </c>
      <c r="M1829" t="s">
        <v>134</v>
      </c>
      <c r="N1829" t="s">
        <v>135</v>
      </c>
      <c r="O1829"/>
      <c r="P1829"/>
      <c r="Q1829" t="s">
        <v>291</v>
      </c>
      <c r="R1829"/>
      <c r="S1829"/>
      <c r="T1829" t="s">
        <v>2165</v>
      </c>
      <c r="U1829" t="s">
        <v>137</v>
      </c>
      <c r="V1829" t="s">
        <v>925</v>
      </c>
      <c r="W1829"/>
      <c r="X1829" t="s">
        <v>101</v>
      </c>
      <c r="Y1829"/>
      <c r="Z1829"/>
      <c r="AA1829" t="s">
        <v>4128</v>
      </c>
      <c r="AB1829" t="s">
        <v>5</v>
      </c>
      <c r="AC1829" t="s">
        <v>138</v>
      </c>
      <c r="AD1829" t="s">
        <v>129</v>
      </c>
      <c r="AE1829" s="97"/>
    </row>
    <row r="1830" spans="1:31" ht="14.4" customHeight="1" x14ac:dyDescent="0.3">
      <c r="A1830" t="s">
        <v>4165</v>
      </c>
      <c r="B1830" t="s">
        <v>4166</v>
      </c>
      <c r="C1830"/>
      <c r="D1830"/>
      <c r="E1830"/>
      <c r="F1830"/>
      <c r="G1830" t="s">
        <v>4126</v>
      </c>
      <c r="H1830" t="s">
        <v>132</v>
      </c>
      <c r="I1830" t="s">
        <v>5</v>
      </c>
      <c r="J1830" t="s">
        <v>133</v>
      </c>
      <c r="K1830" t="s">
        <v>55</v>
      </c>
      <c r="L1830" t="s">
        <v>4164</v>
      </c>
      <c r="M1830" t="s">
        <v>134</v>
      </c>
      <c r="N1830" t="s">
        <v>135</v>
      </c>
      <c r="O1830"/>
      <c r="P1830"/>
      <c r="Q1830" t="s">
        <v>291</v>
      </c>
      <c r="R1830"/>
      <c r="S1830"/>
      <c r="T1830" t="s">
        <v>2165</v>
      </c>
      <c r="U1830" t="s">
        <v>137</v>
      </c>
      <c r="V1830" t="s">
        <v>925</v>
      </c>
      <c r="W1830"/>
      <c r="X1830" t="s">
        <v>101</v>
      </c>
      <c r="Y1830"/>
      <c r="Z1830"/>
      <c r="AA1830" t="s">
        <v>4128</v>
      </c>
      <c r="AB1830" t="s">
        <v>5</v>
      </c>
      <c r="AC1830" t="s">
        <v>138</v>
      </c>
      <c r="AD1830" t="s">
        <v>129</v>
      </c>
      <c r="AE1830" s="97"/>
    </row>
    <row r="1831" spans="1:31" ht="14.4" customHeight="1" x14ac:dyDescent="0.3">
      <c r="A1831" t="s">
        <v>4167</v>
      </c>
      <c r="B1831" t="s">
        <v>4168</v>
      </c>
      <c r="C1831"/>
      <c r="D1831"/>
      <c r="E1831"/>
      <c r="F1831"/>
      <c r="G1831" t="s">
        <v>4126</v>
      </c>
      <c r="H1831" t="s">
        <v>132</v>
      </c>
      <c r="I1831" t="s">
        <v>5</v>
      </c>
      <c r="J1831" t="s">
        <v>133</v>
      </c>
      <c r="K1831" t="s">
        <v>55</v>
      </c>
      <c r="L1831" t="s">
        <v>4164</v>
      </c>
      <c r="M1831" t="s">
        <v>134</v>
      </c>
      <c r="N1831" t="s">
        <v>135</v>
      </c>
      <c r="O1831"/>
      <c r="P1831"/>
      <c r="Q1831" t="s">
        <v>291</v>
      </c>
      <c r="R1831"/>
      <c r="S1831"/>
      <c r="T1831" t="s">
        <v>2165</v>
      </c>
      <c r="U1831" t="s">
        <v>137</v>
      </c>
      <c r="V1831" t="s">
        <v>925</v>
      </c>
      <c r="W1831"/>
      <c r="X1831" t="s">
        <v>101</v>
      </c>
      <c r="Y1831"/>
      <c r="Z1831"/>
      <c r="AA1831" t="s">
        <v>4128</v>
      </c>
      <c r="AB1831" t="s">
        <v>5</v>
      </c>
      <c r="AC1831" t="s">
        <v>138</v>
      </c>
      <c r="AD1831" t="s">
        <v>129</v>
      </c>
      <c r="AE1831" s="97"/>
    </row>
    <row r="1832" spans="1:31" ht="14.4" customHeight="1" x14ac:dyDescent="0.3">
      <c r="A1832" t="s">
        <v>4169</v>
      </c>
      <c r="B1832" t="s">
        <v>4170</v>
      </c>
      <c r="C1832"/>
      <c r="D1832"/>
      <c r="E1832"/>
      <c r="F1832"/>
      <c r="G1832" t="s">
        <v>4126</v>
      </c>
      <c r="H1832" t="s">
        <v>132</v>
      </c>
      <c r="I1832" t="s">
        <v>5</v>
      </c>
      <c r="J1832" t="s">
        <v>133</v>
      </c>
      <c r="K1832" t="s">
        <v>55</v>
      </c>
      <c r="L1832" t="s">
        <v>4164</v>
      </c>
      <c r="M1832" t="s">
        <v>134</v>
      </c>
      <c r="N1832" t="s">
        <v>135</v>
      </c>
      <c r="O1832"/>
      <c r="P1832"/>
      <c r="Q1832" t="s">
        <v>291</v>
      </c>
      <c r="R1832"/>
      <c r="S1832"/>
      <c r="T1832" t="s">
        <v>2165</v>
      </c>
      <c r="U1832" t="s">
        <v>137</v>
      </c>
      <c r="V1832" t="s">
        <v>925</v>
      </c>
      <c r="W1832"/>
      <c r="X1832" t="s">
        <v>101</v>
      </c>
      <c r="Y1832"/>
      <c r="Z1832"/>
      <c r="AA1832" t="s">
        <v>4128</v>
      </c>
      <c r="AB1832" t="s">
        <v>5</v>
      </c>
      <c r="AC1832" t="s">
        <v>138</v>
      </c>
      <c r="AD1832" t="s">
        <v>129</v>
      </c>
      <c r="AE1832" s="97"/>
    </row>
    <row r="1833" spans="1:31" ht="14.4" customHeight="1" x14ac:dyDescent="0.3">
      <c r="A1833" t="s">
        <v>4171</v>
      </c>
      <c r="B1833" t="s">
        <v>4172</v>
      </c>
      <c r="C1833"/>
      <c r="D1833"/>
      <c r="E1833"/>
      <c r="F1833"/>
      <c r="G1833" t="s">
        <v>4126</v>
      </c>
      <c r="H1833" t="s">
        <v>132</v>
      </c>
      <c r="I1833" t="s">
        <v>5</v>
      </c>
      <c r="J1833" t="s">
        <v>133</v>
      </c>
      <c r="K1833" t="s">
        <v>55</v>
      </c>
      <c r="L1833" t="s">
        <v>4173</v>
      </c>
      <c r="M1833" t="s">
        <v>134</v>
      </c>
      <c r="N1833" t="s">
        <v>135</v>
      </c>
      <c r="O1833"/>
      <c r="P1833"/>
      <c r="Q1833" t="s">
        <v>291</v>
      </c>
      <c r="R1833"/>
      <c r="S1833"/>
      <c r="T1833" t="s">
        <v>2165</v>
      </c>
      <c r="U1833" t="s">
        <v>137</v>
      </c>
      <c r="V1833" t="s">
        <v>932</v>
      </c>
      <c r="W1833"/>
      <c r="X1833" t="s">
        <v>115</v>
      </c>
      <c r="Y1833"/>
      <c r="Z1833"/>
      <c r="AA1833" t="s">
        <v>4128</v>
      </c>
      <c r="AB1833" t="s">
        <v>5</v>
      </c>
      <c r="AC1833" t="s">
        <v>138</v>
      </c>
      <c r="AD1833" t="s">
        <v>130</v>
      </c>
      <c r="AE1833" s="97"/>
    </row>
    <row r="1834" spans="1:31" ht="14.4" customHeight="1" x14ac:dyDescent="0.3">
      <c r="A1834" t="s">
        <v>4174</v>
      </c>
      <c r="B1834" t="s">
        <v>4175</v>
      </c>
      <c r="C1834"/>
      <c r="D1834"/>
      <c r="E1834"/>
      <c r="F1834"/>
      <c r="G1834" t="s">
        <v>4126</v>
      </c>
      <c r="H1834" t="s">
        <v>132</v>
      </c>
      <c r="I1834" t="s">
        <v>5</v>
      </c>
      <c r="J1834" t="s">
        <v>133</v>
      </c>
      <c r="K1834" t="s">
        <v>55</v>
      </c>
      <c r="L1834" t="s">
        <v>4173</v>
      </c>
      <c r="M1834" t="s">
        <v>134</v>
      </c>
      <c r="N1834" t="s">
        <v>135</v>
      </c>
      <c r="O1834"/>
      <c r="P1834"/>
      <c r="Q1834" t="s">
        <v>291</v>
      </c>
      <c r="R1834"/>
      <c r="S1834"/>
      <c r="T1834" t="s">
        <v>2165</v>
      </c>
      <c r="U1834" t="s">
        <v>137</v>
      </c>
      <c r="V1834" t="s">
        <v>932</v>
      </c>
      <c r="W1834"/>
      <c r="X1834" t="s">
        <v>115</v>
      </c>
      <c r="Y1834"/>
      <c r="Z1834"/>
      <c r="AA1834" t="s">
        <v>4128</v>
      </c>
      <c r="AB1834" t="s">
        <v>5</v>
      </c>
      <c r="AC1834" t="s">
        <v>138</v>
      </c>
      <c r="AD1834" t="s">
        <v>130</v>
      </c>
      <c r="AE1834" s="97"/>
    </row>
    <row r="1835" spans="1:31" ht="14.4" customHeight="1" x14ac:dyDescent="0.3">
      <c r="A1835" t="s">
        <v>4176</v>
      </c>
      <c r="B1835" t="s">
        <v>4177</v>
      </c>
      <c r="C1835"/>
      <c r="D1835"/>
      <c r="E1835"/>
      <c r="F1835"/>
      <c r="G1835" t="s">
        <v>4126</v>
      </c>
      <c r="H1835" t="s">
        <v>132</v>
      </c>
      <c r="I1835" t="s">
        <v>5</v>
      </c>
      <c r="J1835" t="s">
        <v>133</v>
      </c>
      <c r="K1835" t="s">
        <v>55</v>
      </c>
      <c r="L1835" t="s">
        <v>4173</v>
      </c>
      <c r="M1835" t="s">
        <v>134</v>
      </c>
      <c r="N1835" t="s">
        <v>135</v>
      </c>
      <c r="O1835"/>
      <c r="P1835"/>
      <c r="Q1835" t="s">
        <v>291</v>
      </c>
      <c r="R1835"/>
      <c r="S1835"/>
      <c r="T1835" t="s">
        <v>2165</v>
      </c>
      <c r="U1835" t="s">
        <v>137</v>
      </c>
      <c r="V1835" t="s">
        <v>932</v>
      </c>
      <c r="W1835"/>
      <c r="X1835" t="s">
        <v>115</v>
      </c>
      <c r="Y1835"/>
      <c r="Z1835"/>
      <c r="AA1835" t="s">
        <v>4128</v>
      </c>
      <c r="AB1835" t="s">
        <v>5</v>
      </c>
      <c r="AC1835" t="s">
        <v>138</v>
      </c>
      <c r="AD1835" t="s">
        <v>130</v>
      </c>
      <c r="AE1835" s="97"/>
    </row>
    <row r="1836" spans="1:31" ht="14.4" customHeight="1" x14ac:dyDescent="0.3">
      <c r="A1836" t="s">
        <v>4178</v>
      </c>
      <c r="B1836" t="s">
        <v>4179</v>
      </c>
      <c r="C1836"/>
      <c r="D1836"/>
      <c r="E1836"/>
      <c r="F1836"/>
      <c r="G1836" t="s">
        <v>4126</v>
      </c>
      <c r="H1836" t="s">
        <v>132</v>
      </c>
      <c r="I1836" t="s">
        <v>5</v>
      </c>
      <c r="J1836" t="s">
        <v>133</v>
      </c>
      <c r="K1836" t="s">
        <v>55</v>
      </c>
      <c r="L1836" t="s">
        <v>2952</v>
      </c>
      <c r="M1836" t="s">
        <v>134</v>
      </c>
      <c r="N1836" t="s">
        <v>135</v>
      </c>
      <c r="O1836"/>
      <c r="P1836"/>
      <c r="Q1836" t="s">
        <v>291</v>
      </c>
      <c r="R1836"/>
      <c r="S1836"/>
      <c r="T1836" t="s">
        <v>2165</v>
      </c>
      <c r="U1836" t="s">
        <v>137</v>
      </c>
      <c r="V1836" t="s">
        <v>352</v>
      </c>
      <c r="W1836"/>
      <c r="X1836" t="s">
        <v>56</v>
      </c>
      <c r="Y1836"/>
      <c r="Z1836"/>
      <c r="AA1836" t="s">
        <v>4128</v>
      </c>
      <c r="AB1836" t="s">
        <v>5</v>
      </c>
      <c r="AC1836" t="s">
        <v>138</v>
      </c>
      <c r="AD1836" t="s">
        <v>128</v>
      </c>
      <c r="AE1836" s="97"/>
    </row>
    <row r="1837" spans="1:31" ht="14.4" customHeight="1" x14ac:dyDescent="0.3">
      <c r="A1837" t="s">
        <v>4180</v>
      </c>
      <c r="B1837" t="s">
        <v>4181</v>
      </c>
      <c r="C1837"/>
      <c r="D1837"/>
      <c r="E1837"/>
      <c r="F1837"/>
      <c r="G1837" t="s">
        <v>4126</v>
      </c>
      <c r="H1837" t="s">
        <v>132</v>
      </c>
      <c r="I1837" t="s">
        <v>5</v>
      </c>
      <c r="J1837" t="s">
        <v>133</v>
      </c>
      <c r="K1837" t="s">
        <v>55</v>
      </c>
      <c r="L1837" t="s">
        <v>2970</v>
      </c>
      <c r="M1837" t="s">
        <v>134</v>
      </c>
      <c r="N1837" t="s">
        <v>135</v>
      </c>
      <c r="O1837"/>
      <c r="P1837"/>
      <c r="Q1837" t="s">
        <v>291</v>
      </c>
      <c r="R1837"/>
      <c r="S1837"/>
      <c r="T1837" t="s">
        <v>2165</v>
      </c>
      <c r="U1837" t="s">
        <v>137</v>
      </c>
      <c r="V1837" t="s">
        <v>352</v>
      </c>
      <c r="W1837"/>
      <c r="X1837" t="s">
        <v>56</v>
      </c>
      <c r="Y1837"/>
      <c r="Z1837"/>
      <c r="AA1837" t="s">
        <v>4128</v>
      </c>
      <c r="AB1837" t="s">
        <v>5</v>
      </c>
      <c r="AC1837" t="s">
        <v>138</v>
      </c>
      <c r="AD1837" t="s">
        <v>128</v>
      </c>
      <c r="AE1837" s="97"/>
    </row>
    <row r="1838" spans="1:31" ht="14.4" customHeight="1" x14ac:dyDescent="0.3">
      <c r="A1838" t="s">
        <v>4182</v>
      </c>
      <c r="B1838" t="s">
        <v>4183</v>
      </c>
      <c r="C1838"/>
      <c r="D1838"/>
      <c r="E1838"/>
      <c r="F1838"/>
      <c r="G1838" t="s">
        <v>4126</v>
      </c>
      <c r="H1838" t="s">
        <v>132</v>
      </c>
      <c r="I1838" t="s">
        <v>5</v>
      </c>
      <c r="J1838" t="s">
        <v>133</v>
      </c>
      <c r="K1838" t="s">
        <v>55</v>
      </c>
      <c r="L1838" t="s">
        <v>2952</v>
      </c>
      <c r="M1838" t="s">
        <v>134</v>
      </c>
      <c r="N1838" t="s">
        <v>135</v>
      </c>
      <c r="O1838"/>
      <c r="P1838"/>
      <c r="Q1838" t="s">
        <v>291</v>
      </c>
      <c r="R1838"/>
      <c r="S1838"/>
      <c r="T1838" t="s">
        <v>2165</v>
      </c>
      <c r="U1838" t="s">
        <v>137</v>
      </c>
      <c r="V1838" t="s">
        <v>352</v>
      </c>
      <c r="W1838"/>
      <c r="X1838" t="s">
        <v>56</v>
      </c>
      <c r="Y1838"/>
      <c r="Z1838"/>
      <c r="AA1838" t="s">
        <v>4128</v>
      </c>
      <c r="AB1838" t="s">
        <v>5</v>
      </c>
      <c r="AC1838" t="s">
        <v>138</v>
      </c>
      <c r="AD1838" t="s">
        <v>128</v>
      </c>
      <c r="AE1838" s="97"/>
    </row>
    <row r="1839" spans="1:31" ht="14.4" customHeight="1" x14ac:dyDescent="0.3">
      <c r="A1839" t="s">
        <v>4184</v>
      </c>
      <c r="B1839" t="s">
        <v>4185</v>
      </c>
      <c r="C1839"/>
      <c r="D1839"/>
      <c r="E1839"/>
      <c r="F1839"/>
      <c r="G1839" t="s">
        <v>4126</v>
      </c>
      <c r="H1839" t="s">
        <v>132</v>
      </c>
      <c r="I1839" t="s">
        <v>5</v>
      </c>
      <c r="J1839" t="s">
        <v>133</v>
      </c>
      <c r="K1839" t="s">
        <v>55</v>
      </c>
      <c r="L1839" t="s">
        <v>2970</v>
      </c>
      <c r="M1839" t="s">
        <v>134</v>
      </c>
      <c r="N1839" t="s">
        <v>135</v>
      </c>
      <c r="O1839"/>
      <c r="P1839"/>
      <c r="Q1839" t="s">
        <v>291</v>
      </c>
      <c r="R1839"/>
      <c r="S1839"/>
      <c r="T1839" t="s">
        <v>2165</v>
      </c>
      <c r="U1839" t="s">
        <v>137</v>
      </c>
      <c r="V1839" t="s">
        <v>352</v>
      </c>
      <c r="W1839"/>
      <c r="X1839" t="s">
        <v>56</v>
      </c>
      <c r="Y1839"/>
      <c r="Z1839"/>
      <c r="AA1839" t="s">
        <v>4128</v>
      </c>
      <c r="AB1839" t="s">
        <v>5</v>
      </c>
      <c r="AC1839" t="s">
        <v>138</v>
      </c>
      <c r="AD1839" t="s">
        <v>128</v>
      </c>
      <c r="AE1839" s="97"/>
    </row>
    <row r="1840" spans="1:31" ht="14.4" customHeight="1" x14ac:dyDescent="0.3">
      <c r="A1840" t="s">
        <v>4186</v>
      </c>
      <c r="B1840" t="s">
        <v>4187</v>
      </c>
      <c r="C1840"/>
      <c r="D1840"/>
      <c r="E1840"/>
      <c r="F1840"/>
      <c r="G1840" t="s">
        <v>4126</v>
      </c>
      <c r="H1840" t="s">
        <v>132</v>
      </c>
      <c r="I1840" t="s">
        <v>5</v>
      </c>
      <c r="J1840" t="s">
        <v>133</v>
      </c>
      <c r="K1840" t="s">
        <v>55</v>
      </c>
      <c r="L1840" t="s">
        <v>2952</v>
      </c>
      <c r="M1840" t="s">
        <v>134</v>
      </c>
      <c r="N1840" t="s">
        <v>135</v>
      </c>
      <c r="O1840"/>
      <c r="P1840"/>
      <c r="Q1840" t="s">
        <v>291</v>
      </c>
      <c r="R1840"/>
      <c r="S1840"/>
      <c r="T1840" t="s">
        <v>2165</v>
      </c>
      <c r="U1840" t="s">
        <v>137</v>
      </c>
      <c r="V1840" t="s">
        <v>352</v>
      </c>
      <c r="W1840"/>
      <c r="X1840" t="s">
        <v>56</v>
      </c>
      <c r="Y1840"/>
      <c r="Z1840"/>
      <c r="AA1840" t="s">
        <v>4128</v>
      </c>
      <c r="AB1840" t="s">
        <v>5</v>
      </c>
      <c r="AC1840" t="s">
        <v>138</v>
      </c>
      <c r="AD1840" t="s">
        <v>128</v>
      </c>
      <c r="AE1840" s="97"/>
    </row>
    <row r="1841" spans="1:31" ht="14.4" customHeight="1" x14ac:dyDescent="0.3">
      <c r="A1841" t="s">
        <v>4188</v>
      </c>
      <c r="B1841" t="s">
        <v>4189</v>
      </c>
      <c r="C1841"/>
      <c r="D1841"/>
      <c r="E1841"/>
      <c r="F1841"/>
      <c r="G1841" t="s">
        <v>4126</v>
      </c>
      <c r="H1841" t="s">
        <v>132</v>
      </c>
      <c r="I1841" t="s">
        <v>5</v>
      </c>
      <c r="J1841" t="s">
        <v>133</v>
      </c>
      <c r="K1841" t="s">
        <v>55</v>
      </c>
      <c r="L1841" t="s">
        <v>2970</v>
      </c>
      <c r="M1841" t="s">
        <v>134</v>
      </c>
      <c r="N1841" t="s">
        <v>135</v>
      </c>
      <c r="O1841"/>
      <c r="P1841"/>
      <c r="Q1841" t="s">
        <v>291</v>
      </c>
      <c r="R1841"/>
      <c r="S1841"/>
      <c r="T1841" t="s">
        <v>2165</v>
      </c>
      <c r="U1841" t="s">
        <v>137</v>
      </c>
      <c r="V1841" t="s">
        <v>352</v>
      </c>
      <c r="W1841"/>
      <c r="X1841" t="s">
        <v>56</v>
      </c>
      <c r="Y1841"/>
      <c r="Z1841"/>
      <c r="AA1841" t="s">
        <v>4128</v>
      </c>
      <c r="AB1841" t="s">
        <v>5</v>
      </c>
      <c r="AC1841" t="s">
        <v>138</v>
      </c>
      <c r="AD1841" t="s">
        <v>128</v>
      </c>
      <c r="AE1841" s="97"/>
    </row>
    <row r="1842" spans="1:31" ht="14.4" customHeight="1" x14ac:dyDescent="0.3">
      <c r="A1842" t="s">
        <v>4190</v>
      </c>
      <c r="B1842" t="s">
        <v>4191</v>
      </c>
      <c r="C1842"/>
      <c r="D1842"/>
      <c r="E1842"/>
      <c r="F1842"/>
      <c r="G1842" t="s">
        <v>4126</v>
      </c>
      <c r="H1842" t="s">
        <v>132</v>
      </c>
      <c r="I1842" t="s">
        <v>5</v>
      </c>
      <c r="J1842" t="s">
        <v>133</v>
      </c>
      <c r="K1842" t="s">
        <v>55</v>
      </c>
      <c r="L1842" t="s">
        <v>4192</v>
      </c>
      <c r="M1842" t="s">
        <v>134</v>
      </c>
      <c r="N1842" t="s">
        <v>135</v>
      </c>
      <c r="O1842"/>
      <c r="P1842"/>
      <c r="Q1842" t="s">
        <v>291</v>
      </c>
      <c r="R1842"/>
      <c r="S1842"/>
      <c r="T1842" t="s">
        <v>2165</v>
      </c>
      <c r="U1842" t="s">
        <v>137</v>
      </c>
      <c r="V1842" t="s">
        <v>324</v>
      </c>
      <c r="W1842"/>
      <c r="X1842" t="s">
        <v>60</v>
      </c>
      <c r="Y1842"/>
      <c r="Z1842"/>
      <c r="AA1842" t="s">
        <v>4128</v>
      </c>
      <c r="AB1842" t="s">
        <v>5</v>
      </c>
      <c r="AC1842" t="s">
        <v>138</v>
      </c>
      <c r="AD1842" t="s">
        <v>128</v>
      </c>
      <c r="AE1842" s="97"/>
    </row>
    <row r="1843" spans="1:31" ht="14.4" customHeight="1" x14ac:dyDescent="0.3">
      <c r="A1843" t="s">
        <v>4193</v>
      </c>
      <c r="B1843" t="s">
        <v>4194</v>
      </c>
      <c r="C1843"/>
      <c r="D1843"/>
      <c r="E1843"/>
      <c r="F1843"/>
      <c r="G1843" t="s">
        <v>4126</v>
      </c>
      <c r="H1843" t="s">
        <v>132</v>
      </c>
      <c r="I1843" t="s">
        <v>5</v>
      </c>
      <c r="J1843" t="s">
        <v>133</v>
      </c>
      <c r="K1843" t="s">
        <v>55</v>
      </c>
      <c r="L1843" t="s">
        <v>4195</v>
      </c>
      <c r="M1843" t="s">
        <v>134</v>
      </c>
      <c r="N1843" t="s">
        <v>135</v>
      </c>
      <c r="O1843"/>
      <c r="P1843"/>
      <c r="Q1843" t="s">
        <v>291</v>
      </c>
      <c r="R1843"/>
      <c r="S1843"/>
      <c r="T1843" t="s">
        <v>2165</v>
      </c>
      <c r="U1843" t="s">
        <v>137</v>
      </c>
      <c r="V1843" t="s">
        <v>328</v>
      </c>
      <c r="W1843"/>
      <c r="X1843" t="s">
        <v>65</v>
      </c>
      <c r="Y1843"/>
      <c r="Z1843"/>
      <c r="AA1843" t="s">
        <v>4128</v>
      </c>
      <c r="AB1843" t="s">
        <v>5</v>
      </c>
      <c r="AC1843" t="s">
        <v>138</v>
      </c>
      <c r="AD1843" t="s">
        <v>128</v>
      </c>
      <c r="AE1843" s="97"/>
    </row>
    <row r="1844" spans="1:31" ht="14.4" customHeight="1" x14ac:dyDescent="0.3">
      <c r="A1844" t="s">
        <v>4196</v>
      </c>
      <c r="B1844" t="s">
        <v>4197</v>
      </c>
      <c r="C1844"/>
      <c r="D1844"/>
      <c r="E1844"/>
      <c r="F1844"/>
      <c r="G1844" t="s">
        <v>4126</v>
      </c>
      <c r="H1844" t="s">
        <v>132</v>
      </c>
      <c r="I1844" t="s">
        <v>5</v>
      </c>
      <c r="J1844" t="s">
        <v>133</v>
      </c>
      <c r="K1844" t="s">
        <v>55</v>
      </c>
      <c r="L1844" t="s">
        <v>4198</v>
      </c>
      <c r="M1844" t="s">
        <v>134</v>
      </c>
      <c r="N1844" t="s">
        <v>135</v>
      </c>
      <c r="O1844"/>
      <c r="P1844"/>
      <c r="Q1844" t="s">
        <v>291</v>
      </c>
      <c r="R1844"/>
      <c r="S1844"/>
      <c r="T1844" t="s">
        <v>2165</v>
      </c>
      <c r="U1844" t="s">
        <v>137</v>
      </c>
      <c r="V1844" t="s">
        <v>332</v>
      </c>
      <c r="W1844"/>
      <c r="X1844" t="s">
        <v>80</v>
      </c>
      <c r="Y1844"/>
      <c r="Z1844"/>
      <c r="AA1844" t="s">
        <v>4128</v>
      </c>
      <c r="AB1844" t="s">
        <v>5</v>
      </c>
      <c r="AC1844" t="s">
        <v>138</v>
      </c>
      <c r="AD1844" t="s">
        <v>129</v>
      </c>
      <c r="AE1844" s="97"/>
    </row>
    <row r="1845" spans="1:31" ht="14.4" customHeight="1" x14ac:dyDescent="0.3">
      <c r="A1845" t="s">
        <v>4199</v>
      </c>
      <c r="B1845" t="s">
        <v>4200</v>
      </c>
      <c r="C1845"/>
      <c r="D1845"/>
      <c r="E1845"/>
      <c r="F1845"/>
      <c r="G1845" t="s">
        <v>4126</v>
      </c>
      <c r="H1845" t="s">
        <v>132</v>
      </c>
      <c r="I1845" t="s">
        <v>5</v>
      </c>
      <c r="J1845" t="s">
        <v>133</v>
      </c>
      <c r="K1845" t="s">
        <v>55</v>
      </c>
      <c r="L1845" t="s">
        <v>4201</v>
      </c>
      <c r="M1845" t="s">
        <v>134</v>
      </c>
      <c r="N1845" t="s">
        <v>135</v>
      </c>
      <c r="O1845"/>
      <c r="P1845"/>
      <c r="Q1845" t="s">
        <v>291</v>
      </c>
      <c r="R1845"/>
      <c r="S1845"/>
      <c r="T1845" t="s">
        <v>2165</v>
      </c>
      <c r="U1845" t="s">
        <v>137</v>
      </c>
      <c r="V1845" t="s">
        <v>336</v>
      </c>
      <c r="W1845"/>
      <c r="X1845" t="s">
        <v>84</v>
      </c>
      <c r="Y1845"/>
      <c r="Z1845"/>
      <c r="AA1845" t="s">
        <v>4128</v>
      </c>
      <c r="AB1845" t="s">
        <v>5</v>
      </c>
      <c r="AC1845" t="s">
        <v>138</v>
      </c>
      <c r="AD1845" t="s">
        <v>129</v>
      </c>
      <c r="AE1845" s="97"/>
    </row>
    <row r="1846" spans="1:31" ht="14.4" customHeight="1" x14ac:dyDescent="0.3">
      <c r="A1846" t="s">
        <v>4202</v>
      </c>
      <c r="B1846" t="s">
        <v>4203</v>
      </c>
      <c r="C1846"/>
      <c r="D1846"/>
      <c r="E1846"/>
      <c r="F1846"/>
      <c r="G1846" t="s">
        <v>4126</v>
      </c>
      <c r="H1846" t="s">
        <v>132</v>
      </c>
      <c r="I1846" t="s">
        <v>5</v>
      </c>
      <c r="J1846" t="s">
        <v>133</v>
      </c>
      <c r="K1846" t="s">
        <v>55</v>
      </c>
      <c r="L1846" t="s">
        <v>4204</v>
      </c>
      <c r="M1846" t="s">
        <v>134</v>
      </c>
      <c r="N1846" t="s">
        <v>135</v>
      </c>
      <c r="O1846"/>
      <c r="P1846"/>
      <c r="Q1846" t="s">
        <v>291</v>
      </c>
      <c r="R1846"/>
      <c r="S1846"/>
      <c r="T1846" t="s">
        <v>2165</v>
      </c>
      <c r="U1846" t="s">
        <v>137</v>
      </c>
      <c r="V1846" t="s">
        <v>340</v>
      </c>
      <c r="W1846"/>
      <c r="X1846" t="s">
        <v>93</v>
      </c>
      <c r="Y1846"/>
      <c r="Z1846"/>
      <c r="AA1846" t="s">
        <v>4128</v>
      </c>
      <c r="AB1846" t="s">
        <v>5</v>
      </c>
      <c r="AC1846" t="s">
        <v>138</v>
      </c>
      <c r="AD1846" t="s">
        <v>129</v>
      </c>
      <c r="AE1846" s="97"/>
    </row>
    <row r="1847" spans="1:31" ht="14.4" customHeight="1" x14ac:dyDescent="0.3">
      <c r="A1847" t="s">
        <v>4205</v>
      </c>
      <c r="B1847" t="s">
        <v>4206</v>
      </c>
      <c r="C1847"/>
      <c r="D1847"/>
      <c r="E1847"/>
      <c r="F1847"/>
      <c r="G1847" t="s">
        <v>4126</v>
      </c>
      <c r="H1847" t="s">
        <v>132</v>
      </c>
      <c r="I1847" t="s">
        <v>5</v>
      </c>
      <c r="J1847" t="s">
        <v>133</v>
      </c>
      <c r="K1847" t="s">
        <v>55</v>
      </c>
      <c r="L1847" t="s">
        <v>4207</v>
      </c>
      <c r="M1847" t="s">
        <v>134</v>
      </c>
      <c r="N1847" t="s">
        <v>135</v>
      </c>
      <c r="O1847"/>
      <c r="P1847"/>
      <c r="Q1847" t="s">
        <v>291</v>
      </c>
      <c r="R1847"/>
      <c r="S1847"/>
      <c r="T1847" t="s">
        <v>2165</v>
      </c>
      <c r="U1847" t="s">
        <v>137</v>
      </c>
      <c r="V1847" t="s">
        <v>344</v>
      </c>
      <c r="W1847"/>
      <c r="X1847" t="s">
        <v>102</v>
      </c>
      <c r="Y1847"/>
      <c r="Z1847"/>
      <c r="AA1847" t="s">
        <v>4128</v>
      </c>
      <c r="AB1847" t="s">
        <v>5</v>
      </c>
      <c r="AC1847" t="s">
        <v>138</v>
      </c>
      <c r="AD1847" t="s">
        <v>129</v>
      </c>
      <c r="AE1847" s="97"/>
    </row>
    <row r="1848" spans="1:31" ht="14.4" customHeight="1" x14ac:dyDescent="0.3">
      <c r="A1848" t="s">
        <v>4208</v>
      </c>
      <c r="B1848" t="s">
        <v>4209</v>
      </c>
      <c r="C1848"/>
      <c r="D1848"/>
      <c r="E1848"/>
      <c r="F1848"/>
      <c r="G1848" t="s">
        <v>4126</v>
      </c>
      <c r="H1848" t="s">
        <v>132</v>
      </c>
      <c r="I1848" t="s">
        <v>5</v>
      </c>
      <c r="J1848" t="s">
        <v>133</v>
      </c>
      <c r="K1848" t="s">
        <v>55</v>
      </c>
      <c r="L1848" t="s">
        <v>4210</v>
      </c>
      <c r="M1848" t="s">
        <v>134</v>
      </c>
      <c r="N1848" t="s">
        <v>135</v>
      </c>
      <c r="O1848"/>
      <c r="P1848"/>
      <c r="Q1848" t="s">
        <v>291</v>
      </c>
      <c r="R1848"/>
      <c r="S1848"/>
      <c r="T1848" t="s">
        <v>2165</v>
      </c>
      <c r="U1848" t="s">
        <v>137</v>
      </c>
      <c r="V1848" t="s">
        <v>348</v>
      </c>
      <c r="W1848"/>
      <c r="X1848" t="s">
        <v>116</v>
      </c>
      <c r="Y1848"/>
      <c r="Z1848"/>
      <c r="AA1848" t="s">
        <v>4128</v>
      </c>
      <c r="AB1848" t="s">
        <v>5</v>
      </c>
      <c r="AC1848" t="s">
        <v>138</v>
      </c>
      <c r="AD1848" t="s">
        <v>130</v>
      </c>
      <c r="AE1848" s="97"/>
    </row>
    <row r="1849" spans="1:31" ht="14.4" customHeight="1" x14ac:dyDescent="0.3">
      <c r="A1849" t="s">
        <v>4211</v>
      </c>
      <c r="B1849" t="s">
        <v>4212</v>
      </c>
      <c r="C1849"/>
      <c r="D1849"/>
      <c r="E1849"/>
      <c r="F1849"/>
      <c r="G1849" t="s">
        <v>4126</v>
      </c>
      <c r="H1849" t="s">
        <v>132</v>
      </c>
      <c r="I1849" t="s">
        <v>5</v>
      </c>
      <c r="J1849" t="s">
        <v>133</v>
      </c>
      <c r="K1849" t="s">
        <v>55</v>
      </c>
      <c r="L1849" t="s">
        <v>2979</v>
      </c>
      <c r="M1849" t="s">
        <v>134</v>
      </c>
      <c r="N1849" t="s">
        <v>135</v>
      </c>
      <c r="O1849"/>
      <c r="P1849"/>
      <c r="Q1849" t="s">
        <v>291</v>
      </c>
      <c r="R1849"/>
      <c r="S1849"/>
      <c r="T1849" t="s">
        <v>2165</v>
      </c>
      <c r="U1849" t="s">
        <v>137</v>
      </c>
      <c r="V1849" t="s">
        <v>403</v>
      </c>
      <c r="W1849"/>
      <c r="X1849" t="s">
        <v>68</v>
      </c>
      <c r="Y1849"/>
      <c r="Z1849"/>
      <c r="AA1849" t="s">
        <v>4128</v>
      </c>
      <c r="AB1849" t="s">
        <v>5</v>
      </c>
      <c r="AC1849" t="s">
        <v>138</v>
      </c>
      <c r="AD1849" t="s">
        <v>128</v>
      </c>
      <c r="AE1849" s="97"/>
    </row>
    <row r="1850" spans="1:31" ht="14.4" customHeight="1" x14ac:dyDescent="0.3">
      <c r="A1850" t="s">
        <v>4213</v>
      </c>
      <c r="B1850" t="s">
        <v>4214</v>
      </c>
      <c r="C1850"/>
      <c r="D1850"/>
      <c r="E1850"/>
      <c r="F1850"/>
      <c r="G1850" t="s">
        <v>4126</v>
      </c>
      <c r="H1850" t="s">
        <v>132</v>
      </c>
      <c r="I1850" t="s">
        <v>5</v>
      </c>
      <c r="J1850" t="s">
        <v>133</v>
      </c>
      <c r="K1850" t="s">
        <v>55</v>
      </c>
      <c r="L1850" t="s">
        <v>2988</v>
      </c>
      <c r="M1850" t="s">
        <v>134</v>
      </c>
      <c r="N1850" t="s">
        <v>135</v>
      </c>
      <c r="O1850"/>
      <c r="P1850"/>
      <c r="Q1850" t="s">
        <v>291</v>
      </c>
      <c r="R1850"/>
      <c r="S1850"/>
      <c r="T1850" t="s">
        <v>2165</v>
      </c>
      <c r="U1850" t="s">
        <v>137</v>
      </c>
      <c r="V1850" t="s">
        <v>407</v>
      </c>
      <c r="W1850"/>
      <c r="X1850" t="s">
        <v>77</v>
      </c>
      <c r="Y1850"/>
      <c r="Z1850"/>
      <c r="AA1850" t="s">
        <v>4128</v>
      </c>
      <c r="AB1850" t="s">
        <v>5</v>
      </c>
      <c r="AC1850" t="s">
        <v>138</v>
      </c>
      <c r="AD1850" t="s">
        <v>128</v>
      </c>
      <c r="AE1850" s="97"/>
    </row>
    <row r="1851" spans="1:31" ht="14.4" customHeight="1" x14ac:dyDescent="0.3">
      <c r="A1851" t="s">
        <v>4215</v>
      </c>
      <c r="B1851" t="s">
        <v>4216</v>
      </c>
      <c r="C1851"/>
      <c r="D1851"/>
      <c r="E1851"/>
      <c r="F1851"/>
      <c r="G1851" t="s">
        <v>4126</v>
      </c>
      <c r="H1851" t="s">
        <v>132</v>
      </c>
      <c r="I1851" t="s">
        <v>5</v>
      </c>
      <c r="J1851" t="s">
        <v>133</v>
      </c>
      <c r="K1851" t="s">
        <v>55</v>
      </c>
      <c r="L1851" t="s">
        <v>2997</v>
      </c>
      <c r="M1851" t="s">
        <v>134</v>
      </c>
      <c r="N1851" t="s">
        <v>135</v>
      </c>
      <c r="O1851"/>
      <c r="P1851"/>
      <c r="Q1851" t="s">
        <v>291</v>
      </c>
      <c r="R1851"/>
      <c r="S1851"/>
      <c r="T1851" t="s">
        <v>2165</v>
      </c>
      <c r="U1851" t="s">
        <v>137</v>
      </c>
      <c r="V1851" t="s">
        <v>411</v>
      </c>
      <c r="W1851"/>
      <c r="X1851" t="s">
        <v>87</v>
      </c>
      <c r="Y1851"/>
      <c r="Z1851"/>
      <c r="AA1851" t="s">
        <v>4128</v>
      </c>
      <c r="AB1851" t="s">
        <v>5</v>
      </c>
      <c r="AC1851" t="s">
        <v>138</v>
      </c>
      <c r="AD1851" t="s">
        <v>129</v>
      </c>
      <c r="AE1851" s="97"/>
    </row>
    <row r="1852" spans="1:31" ht="14.4" customHeight="1" x14ac:dyDescent="0.3">
      <c r="A1852" t="s">
        <v>4217</v>
      </c>
      <c r="B1852" t="s">
        <v>4218</v>
      </c>
      <c r="C1852"/>
      <c r="D1852"/>
      <c r="E1852"/>
      <c r="F1852"/>
      <c r="G1852" t="s">
        <v>4126</v>
      </c>
      <c r="H1852" t="s">
        <v>132</v>
      </c>
      <c r="I1852" t="s">
        <v>5</v>
      </c>
      <c r="J1852" t="s">
        <v>133</v>
      </c>
      <c r="K1852" t="s">
        <v>55</v>
      </c>
      <c r="L1852" t="s">
        <v>3006</v>
      </c>
      <c r="M1852" t="s">
        <v>134</v>
      </c>
      <c r="N1852" t="s">
        <v>135</v>
      </c>
      <c r="O1852"/>
      <c r="P1852"/>
      <c r="Q1852" t="s">
        <v>291</v>
      </c>
      <c r="R1852"/>
      <c r="S1852"/>
      <c r="T1852" t="s">
        <v>2165</v>
      </c>
      <c r="U1852" t="s">
        <v>137</v>
      </c>
      <c r="V1852" t="s">
        <v>415</v>
      </c>
      <c r="W1852"/>
      <c r="X1852" t="s">
        <v>96</v>
      </c>
      <c r="Y1852"/>
      <c r="Z1852"/>
      <c r="AA1852" t="s">
        <v>4128</v>
      </c>
      <c r="AB1852" t="s">
        <v>5</v>
      </c>
      <c r="AC1852" t="s">
        <v>138</v>
      </c>
      <c r="AD1852" t="s">
        <v>129</v>
      </c>
      <c r="AE1852" s="97"/>
    </row>
    <row r="1853" spans="1:31" ht="14.4" customHeight="1" x14ac:dyDescent="0.3">
      <c r="A1853" t="s">
        <v>4219</v>
      </c>
      <c r="B1853" t="s">
        <v>4220</v>
      </c>
      <c r="C1853"/>
      <c r="D1853"/>
      <c r="E1853"/>
      <c r="F1853"/>
      <c r="G1853" t="s">
        <v>4126</v>
      </c>
      <c r="H1853" t="s">
        <v>132</v>
      </c>
      <c r="I1853" t="s">
        <v>5</v>
      </c>
      <c r="J1853" t="s">
        <v>133</v>
      </c>
      <c r="K1853" t="s">
        <v>55</v>
      </c>
      <c r="L1853" t="s">
        <v>3015</v>
      </c>
      <c r="M1853" t="s">
        <v>134</v>
      </c>
      <c r="N1853" t="s">
        <v>135</v>
      </c>
      <c r="O1853"/>
      <c r="P1853"/>
      <c r="Q1853" t="s">
        <v>291</v>
      </c>
      <c r="R1853"/>
      <c r="S1853"/>
      <c r="T1853" t="s">
        <v>2165</v>
      </c>
      <c r="U1853" t="s">
        <v>137</v>
      </c>
      <c r="V1853" t="s">
        <v>419</v>
      </c>
      <c r="W1853"/>
      <c r="X1853" t="s">
        <v>105</v>
      </c>
      <c r="Y1853"/>
      <c r="Z1853"/>
      <c r="AA1853" t="s">
        <v>4128</v>
      </c>
      <c r="AB1853" t="s">
        <v>5</v>
      </c>
      <c r="AC1853" t="s">
        <v>138</v>
      </c>
      <c r="AD1853" t="s">
        <v>129</v>
      </c>
      <c r="AE1853" s="97"/>
    </row>
    <row r="1854" spans="1:31" ht="14.4" customHeight="1" x14ac:dyDescent="0.3">
      <c r="A1854" t="s">
        <v>4221</v>
      </c>
      <c r="B1854" t="s">
        <v>4222</v>
      </c>
      <c r="C1854"/>
      <c r="D1854"/>
      <c r="E1854"/>
      <c r="F1854"/>
      <c r="G1854" t="s">
        <v>4126</v>
      </c>
      <c r="H1854" t="s">
        <v>132</v>
      </c>
      <c r="I1854" t="s">
        <v>5</v>
      </c>
      <c r="J1854" t="s">
        <v>133</v>
      </c>
      <c r="K1854" t="s">
        <v>55</v>
      </c>
      <c r="L1854" t="s">
        <v>3024</v>
      </c>
      <c r="M1854" t="s">
        <v>134</v>
      </c>
      <c r="N1854" t="s">
        <v>135</v>
      </c>
      <c r="O1854"/>
      <c r="P1854"/>
      <c r="Q1854" t="s">
        <v>291</v>
      </c>
      <c r="R1854"/>
      <c r="S1854"/>
      <c r="T1854" t="s">
        <v>2165</v>
      </c>
      <c r="U1854" t="s">
        <v>137</v>
      </c>
      <c r="V1854" t="s">
        <v>423</v>
      </c>
      <c r="W1854"/>
      <c r="X1854" t="s">
        <v>112</v>
      </c>
      <c r="Y1854"/>
      <c r="Z1854"/>
      <c r="AA1854" t="s">
        <v>4128</v>
      </c>
      <c r="AB1854" t="s">
        <v>5</v>
      </c>
      <c r="AC1854" t="s">
        <v>138</v>
      </c>
      <c r="AD1854" t="s">
        <v>129</v>
      </c>
      <c r="AE1854" s="97"/>
    </row>
    <row r="1855" spans="1:31" ht="14.4" customHeight="1" x14ac:dyDescent="0.3">
      <c r="A1855" t="s">
        <v>4223</v>
      </c>
      <c r="B1855" t="s">
        <v>4224</v>
      </c>
      <c r="C1855"/>
      <c r="D1855"/>
      <c r="E1855"/>
      <c r="F1855"/>
      <c r="G1855" t="s">
        <v>4126</v>
      </c>
      <c r="H1855" t="s">
        <v>132</v>
      </c>
      <c r="I1855" t="s">
        <v>5</v>
      </c>
      <c r="J1855" t="s">
        <v>133</v>
      </c>
      <c r="K1855" t="s">
        <v>55</v>
      </c>
      <c r="L1855" t="s">
        <v>3033</v>
      </c>
      <c r="M1855" t="s">
        <v>134</v>
      </c>
      <c r="N1855" t="s">
        <v>135</v>
      </c>
      <c r="O1855"/>
      <c r="P1855"/>
      <c r="Q1855" t="s">
        <v>291</v>
      </c>
      <c r="R1855"/>
      <c r="S1855"/>
      <c r="T1855" t="s">
        <v>2165</v>
      </c>
      <c r="U1855" t="s">
        <v>137</v>
      </c>
      <c r="V1855" t="s">
        <v>427</v>
      </c>
      <c r="W1855"/>
      <c r="X1855" t="s">
        <v>121</v>
      </c>
      <c r="Y1855"/>
      <c r="Z1855"/>
      <c r="AA1855" t="s">
        <v>4128</v>
      </c>
      <c r="AB1855" t="s">
        <v>5</v>
      </c>
      <c r="AC1855" t="s">
        <v>138</v>
      </c>
      <c r="AD1855" t="s">
        <v>130</v>
      </c>
      <c r="AE1855" s="97"/>
    </row>
    <row r="1856" spans="1:31" ht="14.4" customHeight="1" x14ac:dyDescent="0.3">
      <c r="A1856" t="s">
        <v>4225</v>
      </c>
      <c r="B1856" t="s">
        <v>4226</v>
      </c>
      <c r="C1856"/>
      <c r="D1856"/>
      <c r="E1856"/>
      <c r="F1856"/>
      <c r="G1856" t="s">
        <v>4126</v>
      </c>
      <c r="H1856" t="s">
        <v>132</v>
      </c>
      <c r="I1856" t="s">
        <v>5</v>
      </c>
      <c r="J1856" t="s">
        <v>133</v>
      </c>
      <c r="K1856" t="s">
        <v>55</v>
      </c>
      <c r="L1856" t="s">
        <v>3042</v>
      </c>
      <c r="M1856" t="s">
        <v>134</v>
      </c>
      <c r="N1856" t="s">
        <v>135</v>
      </c>
      <c r="O1856"/>
      <c r="P1856"/>
      <c r="Q1856" t="s">
        <v>291</v>
      </c>
      <c r="R1856"/>
      <c r="S1856"/>
      <c r="T1856" t="s">
        <v>2165</v>
      </c>
      <c r="U1856" t="s">
        <v>137</v>
      </c>
      <c r="V1856" t="s">
        <v>296</v>
      </c>
      <c r="W1856"/>
      <c r="X1856" t="s">
        <v>63</v>
      </c>
      <c r="Y1856"/>
      <c r="Z1856"/>
      <c r="AA1856" t="s">
        <v>4128</v>
      </c>
      <c r="AB1856" t="s">
        <v>5</v>
      </c>
      <c r="AC1856" t="s">
        <v>138</v>
      </c>
      <c r="AD1856" t="s">
        <v>128</v>
      </c>
      <c r="AE1856" s="97"/>
    </row>
    <row r="1857" spans="1:31" ht="14.4" customHeight="1" x14ac:dyDescent="0.3">
      <c r="A1857" t="s">
        <v>4227</v>
      </c>
      <c r="B1857" t="s">
        <v>4228</v>
      </c>
      <c r="C1857"/>
      <c r="D1857"/>
      <c r="E1857"/>
      <c r="F1857"/>
      <c r="G1857" t="s">
        <v>4126</v>
      </c>
      <c r="H1857" t="s">
        <v>132</v>
      </c>
      <c r="I1857" t="s">
        <v>5</v>
      </c>
      <c r="J1857" t="s">
        <v>133</v>
      </c>
      <c r="K1857" t="s">
        <v>55</v>
      </c>
      <c r="L1857" t="s">
        <v>3055</v>
      </c>
      <c r="M1857" t="s">
        <v>134</v>
      </c>
      <c r="N1857" t="s">
        <v>135</v>
      </c>
      <c r="O1857"/>
      <c r="P1857"/>
      <c r="Q1857" t="s">
        <v>291</v>
      </c>
      <c r="R1857"/>
      <c r="S1857"/>
      <c r="T1857" t="s">
        <v>2165</v>
      </c>
      <c r="U1857" t="s">
        <v>137</v>
      </c>
      <c r="V1857" t="s">
        <v>300</v>
      </c>
      <c r="W1857"/>
      <c r="X1857" t="s">
        <v>72</v>
      </c>
      <c r="Y1857"/>
      <c r="Z1857"/>
      <c r="AA1857" t="s">
        <v>4128</v>
      </c>
      <c r="AB1857" t="s">
        <v>5</v>
      </c>
      <c r="AC1857" t="s">
        <v>138</v>
      </c>
      <c r="AD1857" t="s">
        <v>128</v>
      </c>
      <c r="AE1857" s="97"/>
    </row>
    <row r="1858" spans="1:31" ht="14.4" customHeight="1" x14ac:dyDescent="0.3">
      <c r="A1858" t="s">
        <v>4229</v>
      </c>
      <c r="B1858" t="s">
        <v>4230</v>
      </c>
      <c r="C1858"/>
      <c r="D1858"/>
      <c r="E1858"/>
      <c r="F1858"/>
      <c r="G1858" t="s">
        <v>4126</v>
      </c>
      <c r="H1858" t="s">
        <v>132</v>
      </c>
      <c r="I1858" t="s">
        <v>5</v>
      </c>
      <c r="J1858" t="s">
        <v>133</v>
      </c>
      <c r="K1858" t="s">
        <v>55</v>
      </c>
      <c r="L1858" t="s">
        <v>3068</v>
      </c>
      <c r="M1858" t="s">
        <v>134</v>
      </c>
      <c r="N1858" t="s">
        <v>135</v>
      </c>
      <c r="O1858"/>
      <c r="P1858"/>
      <c r="Q1858" t="s">
        <v>291</v>
      </c>
      <c r="R1858"/>
      <c r="S1858"/>
      <c r="T1858" t="s">
        <v>2165</v>
      </c>
      <c r="U1858" t="s">
        <v>137</v>
      </c>
      <c r="V1858" t="s">
        <v>304</v>
      </c>
      <c r="W1858"/>
      <c r="X1858" t="s">
        <v>81</v>
      </c>
      <c r="Y1858"/>
      <c r="Z1858"/>
      <c r="AA1858" t="s">
        <v>4128</v>
      </c>
      <c r="AB1858" t="s">
        <v>5</v>
      </c>
      <c r="AC1858" t="s">
        <v>138</v>
      </c>
      <c r="AD1858" t="s">
        <v>129</v>
      </c>
      <c r="AE1858" s="97"/>
    </row>
    <row r="1859" spans="1:31" ht="14.4" customHeight="1" x14ac:dyDescent="0.3">
      <c r="A1859" t="s">
        <v>4231</v>
      </c>
      <c r="B1859" t="s">
        <v>4232</v>
      </c>
      <c r="C1859"/>
      <c r="D1859"/>
      <c r="E1859"/>
      <c r="F1859"/>
      <c r="G1859" t="s">
        <v>4126</v>
      </c>
      <c r="H1859" t="s">
        <v>132</v>
      </c>
      <c r="I1859" t="s">
        <v>5</v>
      </c>
      <c r="J1859" t="s">
        <v>133</v>
      </c>
      <c r="K1859" t="s">
        <v>55</v>
      </c>
      <c r="L1859" t="s">
        <v>3081</v>
      </c>
      <c r="M1859" t="s">
        <v>134</v>
      </c>
      <c r="N1859" t="s">
        <v>135</v>
      </c>
      <c r="O1859"/>
      <c r="P1859"/>
      <c r="Q1859" t="s">
        <v>291</v>
      </c>
      <c r="R1859"/>
      <c r="S1859"/>
      <c r="T1859" t="s">
        <v>2165</v>
      </c>
      <c r="U1859" t="s">
        <v>137</v>
      </c>
      <c r="V1859" t="s">
        <v>308</v>
      </c>
      <c r="W1859"/>
      <c r="X1859" t="s">
        <v>90</v>
      </c>
      <c r="Y1859"/>
      <c r="Z1859"/>
      <c r="AA1859" t="s">
        <v>4128</v>
      </c>
      <c r="AB1859" t="s">
        <v>5</v>
      </c>
      <c r="AC1859" t="s">
        <v>138</v>
      </c>
      <c r="AD1859" t="s">
        <v>129</v>
      </c>
      <c r="AE1859" s="97"/>
    </row>
    <row r="1860" spans="1:31" ht="14.4" customHeight="1" x14ac:dyDescent="0.3">
      <c r="A1860" t="s">
        <v>4233</v>
      </c>
      <c r="B1860" t="s">
        <v>4234</v>
      </c>
      <c r="C1860"/>
      <c r="D1860"/>
      <c r="E1860"/>
      <c r="F1860"/>
      <c r="G1860" t="s">
        <v>4126</v>
      </c>
      <c r="H1860" t="s">
        <v>132</v>
      </c>
      <c r="I1860" t="s">
        <v>5</v>
      </c>
      <c r="J1860" t="s">
        <v>133</v>
      </c>
      <c r="K1860" t="s">
        <v>55</v>
      </c>
      <c r="L1860" t="s">
        <v>3094</v>
      </c>
      <c r="M1860" t="s">
        <v>134</v>
      </c>
      <c r="N1860" t="s">
        <v>135</v>
      </c>
      <c r="O1860"/>
      <c r="P1860"/>
      <c r="Q1860" t="s">
        <v>291</v>
      </c>
      <c r="R1860"/>
      <c r="S1860"/>
      <c r="T1860" t="s">
        <v>2165</v>
      </c>
      <c r="U1860" t="s">
        <v>137</v>
      </c>
      <c r="V1860" t="s">
        <v>312</v>
      </c>
      <c r="W1860"/>
      <c r="X1860" t="s">
        <v>99</v>
      </c>
      <c r="Y1860"/>
      <c r="Z1860"/>
      <c r="AA1860" t="s">
        <v>4128</v>
      </c>
      <c r="AB1860" t="s">
        <v>5</v>
      </c>
      <c r="AC1860" t="s">
        <v>138</v>
      </c>
      <c r="AD1860" t="s">
        <v>129</v>
      </c>
      <c r="AE1860" s="97"/>
    </row>
    <row r="1861" spans="1:31" ht="14.4" customHeight="1" x14ac:dyDescent="0.3">
      <c r="A1861" t="s">
        <v>4235</v>
      </c>
      <c r="B1861" t="s">
        <v>4236</v>
      </c>
      <c r="C1861"/>
      <c r="D1861"/>
      <c r="E1861"/>
      <c r="F1861"/>
      <c r="G1861" t="s">
        <v>4126</v>
      </c>
      <c r="H1861" t="s">
        <v>132</v>
      </c>
      <c r="I1861" t="s">
        <v>5</v>
      </c>
      <c r="J1861" t="s">
        <v>133</v>
      </c>
      <c r="K1861" t="s">
        <v>55</v>
      </c>
      <c r="L1861" t="s">
        <v>3107</v>
      </c>
      <c r="M1861" t="s">
        <v>134</v>
      </c>
      <c r="N1861" t="s">
        <v>135</v>
      </c>
      <c r="O1861"/>
      <c r="P1861"/>
      <c r="Q1861" t="s">
        <v>291</v>
      </c>
      <c r="R1861"/>
      <c r="S1861"/>
      <c r="T1861" t="s">
        <v>2165</v>
      </c>
      <c r="U1861" t="s">
        <v>137</v>
      </c>
      <c r="V1861" t="s">
        <v>316</v>
      </c>
      <c r="W1861"/>
      <c r="X1861" t="s">
        <v>108</v>
      </c>
      <c r="Y1861"/>
      <c r="Z1861"/>
      <c r="AA1861" t="s">
        <v>4128</v>
      </c>
      <c r="AB1861" t="s">
        <v>5</v>
      </c>
      <c r="AC1861" t="s">
        <v>138</v>
      </c>
      <c r="AD1861" t="s">
        <v>129</v>
      </c>
      <c r="AE1861" s="97"/>
    </row>
    <row r="1862" spans="1:31" ht="14.4" customHeight="1" x14ac:dyDescent="0.3">
      <c r="A1862" t="s">
        <v>4237</v>
      </c>
      <c r="B1862" t="s">
        <v>4238</v>
      </c>
      <c r="C1862"/>
      <c r="D1862"/>
      <c r="E1862"/>
      <c r="F1862"/>
      <c r="G1862" t="s">
        <v>4126</v>
      </c>
      <c r="H1862" t="s">
        <v>132</v>
      </c>
      <c r="I1862" t="s">
        <v>5</v>
      </c>
      <c r="J1862" t="s">
        <v>133</v>
      </c>
      <c r="K1862" t="s">
        <v>55</v>
      </c>
      <c r="L1862" t="s">
        <v>3120</v>
      </c>
      <c r="M1862" t="s">
        <v>134</v>
      </c>
      <c r="N1862" t="s">
        <v>135</v>
      </c>
      <c r="O1862"/>
      <c r="P1862"/>
      <c r="Q1862" t="s">
        <v>291</v>
      </c>
      <c r="R1862"/>
      <c r="S1862"/>
      <c r="T1862" t="s">
        <v>2165</v>
      </c>
      <c r="U1862" t="s">
        <v>137</v>
      </c>
      <c r="V1862" t="s">
        <v>320</v>
      </c>
      <c r="W1862"/>
      <c r="X1862" t="s">
        <v>117</v>
      </c>
      <c r="Y1862"/>
      <c r="Z1862"/>
      <c r="AA1862" t="s">
        <v>4128</v>
      </c>
      <c r="AB1862" t="s">
        <v>5</v>
      </c>
      <c r="AC1862" t="s">
        <v>138</v>
      </c>
      <c r="AD1862" t="s">
        <v>130</v>
      </c>
      <c r="AE1862" s="97"/>
    </row>
    <row r="1863" spans="1:31" ht="14.4" customHeight="1" x14ac:dyDescent="0.3">
      <c r="A1863" t="s">
        <v>4239</v>
      </c>
      <c r="B1863" t="s">
        <v>4240</v>
      </c>
      <c r="C1863"/>
      <c r="D1863"/>
      <c r="E1863"/>
      <c r="F1863"/>
      <c r="G1863" t="s">
        <v>4126</v>
      </c>
      <c r="H1863" t="s">
        <v>132</v>
      </c>
      <c r="I1863" t="s">
        <v>5</v>
      </c>
      <c r="J1863" t="s">
        <v>133</v>
      </c>
      <c r="K1863" t="s">
        <v>55</v>
      </c>
      <c r="L1863" t="s">
        <v>4241</v>
      </c>
      <c r="M1863" t="s">
        <v>134</v>
      </c>
      <c r="N1863" t="s">
        <v>135</v>
      </c>
      <c r="O1863"/>
      <c r="P1863"/>
      <c r="Q1863" t="s">
        <v>291</v>
      </c>
      <c r="R1863"/>
      <c r="S1863"/>
      <c r="T1863" t="s">
        <v>2165</v>
      </c>
      <c r="U1863" t="s">
        <v>137</v>
      </c>
      <c r="V1863" t="s">
        <v>156</v>
      </c>
      <c r="W1863"/>
      <c r="X1863" t="s">
        <v>97</v>
      </c>
      <c r="Y1863"/>
      <c r="Z1863"/>
      <c r="AA1863" t="s">
        <v>4128</v>
      </c>
      <c r="AB1863" t="s">
        <v>5</v>
      </c>
      <c r="AC1863" t="s">
        <v>138</v>
      </c>
      <c r="AD1863" t="s">
        <v>129</v>
      </c>
      <c r="AE1863" s="97"/>
    </row>
    <row r="1864" spans="1:31" ht="14.4" customHeight="1" x14ac:dyDescent="0.3">
      <c r="A1864" t="s">
        <v>4242</v>
      </c>
      <c r="B1864" t="s">
        <v>4243</v>
      </c>
      <c r="C1864"/>
      <c r="D1864"/>
      <c r="E1864"/>
      <c r="F1864"/>
      <c r="G1864" t="s">
        <v>4126</v>
      </c>
      <c r="H1864" t="s">
        <v>132</v>
      </c>
      <c r="I1864" t="s">
        <v>5</v>
      </c>
      <c r="J1864" t="s">
        <v>133</v>
      </c>
      <c r="K1864" t="s">
        <v>55</v>
      </c>
      <c r="L1864" t="s">
        <v>4244</v>
      </c>
      <c r="M1864" t="s">
        <v>134</v>
      </c>
      <c r="N1864" t="s">
        <v>135</v>
      </c>
      <c r="O1864"/>
      <c r="P1864"/>
      <c r="Q1864" t="s">
        <v>291</v>
      </c>
      <c r="R1864"/>
      <c r="S1864"/>
      <c r="T1864" t="s">
        <v>2165</v>
      </c>
      <c r="U1864" t="s">
        <v>137</v>
      </c>
      <c r="V1864" t="s">
        <v>156</v>
      </c>
      <c r="W1864"/>
      <c r="X1864" t="s">
        <v>97</v>
      </c>
      <c r="Y1864"/>
      <c r="Z1864"/>
      <c r="AA1864" t="s">
        <v>4128</v>
      </c>
      <c r="AB1864" t="s">
        <v>5</v>
      </c>
      <c r="AC1864" t="s">
        <v>138</v>
      </c>
      <c r="AD1864" t="s">
        <v>129</v>
      </c>
      <c r="AE1864" s="97"/>
    </row>
    <row r="1865" spans="1:31" ht="14.4" customHeight="1" x14ac:dyDescent="0.3">
      <c r="A1865" t="s">
        <v>4245</v>
      </c>
      <c r="B1865" t="s">
        <v>4246</v>
      </c>
      <c r="C1865"/>
      <c r="D1865"/>
      <c r="E1865"/>
      <c r="F1865"/>
      <c r="G1865" t="s">
        <v>4126</v>
      </c>
      <c r="H1865" t="s">
        <v>132</v>
      </c>
      <c r="I1865" t="s">
        <v>5</v>
      </c>
      <c r="J1865" t="s">
        <v>133</v>
      </c>
      <c r="K1865" t="s">
        <v>55</v>
      </c>
      <c r="L1865" t="s">
        <v>4244</v>
      </c>
      <c r="M1865" t="s">
        <v>134</v>
      </c>
      <c r="N1865" t="s">
        <v>135</v>
      </c>
      <c r="O1865"/>
      <c r="P1865"/>
      <c r="Q1865" t="s">
        <v>291</v>
      </c>
      <c r="R1865"/>
      <c r="S1865"/>
      <c r="T1865" t="s">
        <v>2165</v>
      </c>
      <c r="U1865" t="s">
        <v>137</v>
      </c>
      <c r="V1865" t="s">
        <v>156</v>
      </c>
      <c r="W1865"/>
      <c r="X1865" t="s">
        <v>97</v>
      </c>
      <c r="Y1865"/>
      <c r="Z1865"/>
      <c r="AA1865" t="s">
        <v>4128</v>
      </c>
      <c r="AB1865" t="s">
        <v>5</v>
      </c>
      <c r="AC1865" t="s">
        <v>138</v>
      </c>
      <c r="AD1865" t="s">
        <v>129</v>
      </c>
      <c r="AE1865" s="97"/>
    </row>
    <row r="1866" spans="1:31" ht="14.4" customHeight="1" x14ac:dyDescent="0.3">
      <c r="A1866" t="s">
        <v>4247</v>
      </c>
      <c r="B1866" t="s">
        <v>4248</v>
      </c>
      <c r="C1866"/>
      <c r="D1866"/>
      <c r="E1866"/>
      <c r="F1866"/>
      <c r="G1866" t="s">
        <v>4126</v>
      </c>
      <c r="H1866" t="s">
        <v>132</v>
      </c>
      <c r="I1866" t="s">
        <v>5</v>
      </c>
      <c r="J1866" t="s">
        <v>133</v>
      </c>
      <c r="K1866" t="s">
        <v>55</v>
      </c>
      <c r="L1866" t="s">
        <v>4244</v>
      </c>
      <c r="M1866" t="s">
        <v>134</v>
      </c>
      <c r="N1866" t="s">
        <v>135</v>
      </c>
      <c r="O1866"/>
      <c r="P1866"/>
      <c r="Q1866" t="s">
        <v>291</v>
      </c>
      <c r="R1866"/>
      <c r="S1866"/>
      <c r="T1866" t="s">
        <v>2165</v>
      </c>
      <c r="U1866" t="s">
        <v>137</v>
      </c>
      <c r="V1866" t="s">
        <v>156</v>
      </c>
      <c r="W1866"/>
      <c r="X1866" t="s">
        <v>97</v>
      </c>
      <c r="Y1866"/>
      <c r="Z1866"/>
      <c r="AA1866" t="s">
        <v>4128</v>
      </c>
      <c r="AB1866" t="s">
        <v>5</v>
      </c>
      <c r="AC1866" t="s">
        <v>138</v>
      </c>
      <c r="AD1866" t="s">
        <v>129</v>
      </c>
      <c r="AE1866" s="97"/>
    </row>
    <row r="1867" spans="1:31" ht="14.4" customHeight="1" x14ac:dyDescent="0.3">
      <c r="A1867" t="s">
        <v>4249</v>
      </c>
      <c r="B1867" t="s">
        <v>4250</v>
      </c>
      <c r="C1867"/>
      <c r="D1867"/>
      <c r="E1867"/>
      <c r="F1867"/>
      <c r="G1867" t="s">
        <v>4126</v>
      </c>
      <c r="H1867" t="s">
        <v>132</v>
      </c>
      <c r="I1867" t="s">
        <v>5</v>
      </c>
      <c r="J1867" t="s">
        <v>133</v>
      </c>
      <c r="K1867" t="s">
        <v>55</v>
      </c>
      <c r="L1867" t="s">
        <v>4251</v>
      </c>
      <c r="M1867" t="s">
        <v>134</v>
      </c>
      <c r="N1867" t="s">
        <v>135</v>
      </c>
      <c r="O1867"/>
      <c r="P1867"/>
      <c r="Q1867" t="s">
        <v>291</v>
      </c>
      <c r="R1867"/>
      <c r="S1867"/>
      <c r="T1867" t="s">
        <v>2165</v>
      </c>
      <c r="U1867" t="s">
        <v>137</v>
      </c>
      <c r="V1867" t="s">
        <v>156</v>
      </c>
      <c r="W1867"/>
      <c r="X1867" t="s">
        <v>97</v>
      </c>
      <c r="Y1867"/>
      <c r="Z1867"/>
      <c r="AA1867" t="s">
        <v>4128</v>
      </c>
      <c r="AB1867" t="s">
        <v>5</v>
      </c>
      <c r="AC1867" t="s">
        <v>138</v>
      </c>
      <c r="AD1867" t="s">
        <v>129</v>
      </c>
      <c r="AE1867" s="97"/>
    </row>
    <row r="1868" spans="1:31" ht="14.4" customHeight="1" x14ac:dyDescent="0.3">
      <c r="A1868" t="s">
        <v>4252</v>
      </c>
      <c r="B1868" t="s">
        <v>4253</v>
      </c>
      <c r="C1868"/>
      <c r="D1868"/>
      <c r="E1868"/>
      <c r="F1868"/>
      <c r="G1868" t="s">
        <v>4126</v>
      </c>
      <c r="H1868" t="s">
        <v>132</v>
      </c>
      <c r="I1868" t="s">
        <v>5</v>
      </c>
      <c r="J1868" t="s">
        <v>133</v>
      </c>
      <c r="K1868" t="s">
        <v>55</v>
      </c>
      <c r="L1868" t="s">
        <v>4251</v>
      </c>
      <c r="M1868" t="s">
        <v>134</v>
      </c>
      <c r="N1868" t="s">
        <v>135</v>
      </c>
      <c r="O1868"/>
      <c r="P1868"/>
      <c r="Q1868" t="s">
        <v>291</v>
      </c>
      <c r="R1868"/>
      <c r="S1868"/>
      <c r="T1868" t="s">
        <v>2165</v>
      </c>
      <c r="U1868" t="s">
        <v>137</v>
      </c>
      <c r="V1868" t="s">
        <v>156</v>
      </c>
      <c r="W1868"/>
      <c r="X1868" t="s">
        <v>97</v>
      </c>
      <c r="Y1868"/>
      <c r="Z1868"/>
      <c r="AA1868" t="s">
        <v>4128</v>
      </c>
      <c r="AB1868" t="s">
        <v>5</v>
      </c>
      <c r="AC1868" t="s">
        <v>138</v>
      </c>
      <c r="AD1868" t="s">
        <v>129</v>
      </c>
      <c r="AE1868" s="97"/>
    </row>
    <row r="1869" spans="1:31" ht="14.4" customHeight="1" x14ac:dyDescent="0.3">
      <c r="A1869" t="s">
        <v>4254</v>
      </c>
      <c r="B1869" t="s">
        <v>4255</v>
      </c>
      <c r="C1869"/>
      <c r="D1869"/>
      <c r="E1869"/>
      <c r="F1869"/>
      <c r="G1869" t="s">
        <v>4126</v>
      </c>
      <c r="H1869" t="s">
        <v>132</v>
      </c>
      <c r="I1869" t="s">
        <v>5</v>
      </c>
      <c r="J1869" t="s">
        <v>133</v>
      </c>
      <c r="K1869" t="s">
        <v>55</v>
      </c>
      <c r="L1869" t="s">
        <v>4256</v>
      </c>
      <c r="M1869" t="s">
        <v>134</v>
      </c>
      <c r="N1869" t="s">
        <v>135</v>
      </c>
      <c r="O1869"/>
      <c r="P1869"/>
      <c r="Q1869" t="s">
        <v>291</v>
      </c>
      <c r="R1869"/>
      <c r="S1869"/>
      <c r="T1869" t="s">
        <v>2165</v>
      </c>
      <c r="U1869" t="s">
        <v>137</v>
      </c>
      <c r="V1869" t="s">
        <v>162</v>
      </c>
      <c r="W1869"/>
      <c r="X1869" t="s">
        <v>113</v>
      </c>
      <c r="Y1869"/>
      <c r="Z1869"/>
      <c r="AA1869" t="s">
        <v>4128</v>
      </c>
      <c r="AB1869" t="s">
        <v>5</v>
      </c>
      <c r="AC1869" t="s">
        <v>138</v>
      </c>
      <c r="AD1869" t="s">
        <v>129</v>
      </c>
      <c r="AE1869" s="97"/>
    </row>
    <row r="1870" spans="1:31" ht="14.4" customHeight="1" x14ac:dyDescent="0.3">
      <c r="A1870" t="s">
        <v>4257</v>
      </c>
      <c r="B1870" t="s">
        <v>4258</v>
      </c>
      <c r="C1870"/>
      <c r="D1870"/>
      <c r="E1870"/>
      <c r="F1870"/>
      <c r="G1870" t="s">
        <v>4126</v>
      </c>
      <c r="H1870" t="s">
        <v>132</v>
      </c>
      <c r="I1870" t="s">
        <v>5</v>
      </c>
      <c r="J1870" t="s">
        <v>133</v>
      </c>
      <c r="K1870" t="s">
        <v>55</v>
      </c>
      <c r="L1870" t="s">
        <v>4259</v>
      </c>
      <c r="M1870" t="s">
        <v>134</v>
      </c>
      <c r="N1870" t="s">
        <v>135</v>
      </c>
      <c r="O1870"/>
      <c r="P1870"/>
      <c r="Q1870" t="s">
        <v>291</v>
      </c>
      <c r="R1870"/>
      <c r="S1870"/>
      <c r="T1870" t="s">
        <v>2165</v>
      </c>
      <c r="U1870" t="s">
        <v>137</v>
      </c>
      <c r="V1870" t="s">
        <v>162</v>
      </c>
      <c r="W1870"/>
      <c r="X1870" t="s">
        <v>113</v>
      </c>
      <c r="Y1870"/>
      <c r="Z1870"/>
      <c r="AA1870" t="s">
        <v>4128</v>
      </c>
      <c r="AB1870" t="s">
        <v>5</v>
      </c>
      <c r="AC1870" t="s">
        <v>138</v>
      </c>
      <c r="AD1870" t="s">
        <v>129</v>
      </c>
      <c r="AE1870" s="97"/>
    </row>
    <row r="1871" spans="1:31" ht="14.4" customHeight="1" x14ac:dyDescent="0.3">
      <c r="A1871" t="s">
        <v>4260</v>
      </c>
      <c r="B1871" t="s">
        <v>4261</v>
      </c>
      <c r="C1871"/>
      <c r="D1871"/>
      <c r="E1871"/>
      <c r="F1871"/>
      <c r="G1871" t="s">
        <v>4126</v>
      </c>
      <c r="H1871" t="s">
        <v>132</v>
      </c>
      <c r="I1871" t="s">
        <v>5</v>
      </c>
      <c r="J1871" t="s">
        <v>133</v>
      </c>
      <c r="K1871" t="s">
        <v>55</v>
      </c>
      <c r="L1871" t="s">
        <v>4259</v>
      </c>
      <c r="M1871" t="s">
        <v>134</v>
      </c>
      <c r="N1871" t="s">
        <v>135</v>
      </c>
      <c r="O1871"/>
      <c r="P1871"/>
      <c r="Q1871" t="s">
        <v>291</v>
      </c>
      <c r="R1871"/>
      <c r="S1871"/>
      <c r="T1871" t="s">
        <v>2165</v>
      </c>
      <c r="U1871" t="s">
        <v>137</v>
      </c>
      <c r="V1871" t="s">
        <v>162</v>
      </c>
      <c r="W1871"/>
      <c r="X1871" t="s">
        <v>113</v>
      </c>
      <c r="Y1871"/>
      <c r="Z1871"/>
      <c r="AA1871" t="s">
        <v>4128</v>
      </c>
      <c r="AB1871" t="s">
        <v>5</v>
      </c>
      <c r="AC1871" t="s">
        <v>138</v>
      </c>
      <c r="AD1871" t="s">
        <v>129</v>
      </c>
      <c r="AE1871" s="97"/>
    </row>
    <row r="1872" spans="1:31" ht="14.4" customHeight="1" x14ac:dyDescent="0.3">
      <c r="A1872" t="s">
        <v>4262</v>
      </c>
      <c r="B1872" t="s">
        <v>4263</v>
      </c>
      <c r="C1872"/>
      <c r="D1872"/>
      <c r="E1872"/>
      <c r="F1872"/>
      <c r="G1872" t="s">
        <v>4126</v>
      </c>
      <c r="H1872" t="s">
        <v>132</v>
      </c>
      <c r="I1872" t="s">
        <v>5</v>
      </c>
      <c r="J1872" t="s">
        <v>133</v>
      </c>
      <c r="K1872" t="s">
        <v>55</v>
      </c>
      <c r="L1872" t="s">
        <v>4259</v>
      </c>
      <c r="M1872" t="s">
        <v>134</v>
      </c>
      <c r="N1872" t="s">
        <v>135</v>
      </c>
      <c r="O1872"/>
      <c r="P1872"/>
      <c r="Q1872" t="s">
        <v>291</v>
      </c>
      <c r="R1872"/>
      <c r="S1872"/>
      <c r="T1872" t="s">
        <v>2165</v>
      </c>
      <c r="U1872" t="s">
        <v>137</v>
      </c>
      <c r="V1872" t="s">
        <v>162</v>
      </c>
      <c r="W1872"/>
      <c r="X1872" t="s">
        <v>113</v>
      </c>
      <c r="Y1872"/>
      <c r="Z1872"/>
      <c r="AA1872" t="s">
        <v>4128</v>
      </c>
      <c r="AB1872" t="s">
        <v>5</v>
      </c>
      <c r="AC1872" t="s">
        <v>138</v>
      </c>
      <c r="AD1872" t="s">
        <v>129</v>
      </c>
      <c r="AE1872" s="97"/>
    </row>
    <row r="1873" spans="1:31" ht="14.4" customHeight="1" x14ac:dyDescent="0.3">
      <c r="A1873" t="s">
        <v>4264</v>
      </c>
      <c r="B1873" t="s">
        <v>4265</v>
      </c>
      <c r="C1873"/>
      <c r="D1873"/>
      <c r="E1873"/>
      <c r="F1873"/>
      <c r="G1873" t="s">
        <v>4126</v>
      </c>
      <c r="H1873" t="s">
        <v>132</v>
      </c>
      <c r="I1873" t="s">
        <v>5</v>
      </c>
      <c r="J1873" t="s">
        <v>133</v>
      </c>
      <c r="K1873" t="s">
        <v>55</v>
      </c>
      <c r="L1873" t="s">
        <v>4266</v>
      </c>
      <c r="M1873" t="s">
        <v>134</v>
      </c>
      <c r="N1873" t="s">
        <v>135</v>
      </c>
      <c r="O1873"/>
      <c r="P1873"/>
      <c r="Q1873" t="s">
        <v>291</v>
      </c>
      <c r="R1873"/>
      <c r="S1873"/>
      <c r="T1873" t="s">
        <v>2165</v>
      </c>
      <c r="U1873" t="s">
        <v>137</v>
      </c>
      <c r="V1873" t="s">
        <v>162</v>
      </c>
      <c r="W1873"/>
      <c r="X1873" t="s">
        <v>113</v>
      </c>
      <c r="Y1873"/>
      <c r="Z1873"/>
      <c r="AA1873" t="s">
        <v>4128</v>
      </c>
      <c r="AB1873" t="s">
        <v>5</v>
      </c>
      <c r="AC1873" t="s">
        <v>138</v>
      </c>
      <c r="AD1873" t="s">
        <v>129</v>
      </c>
      <c r="AE1873" s="97"/>
    </row>
    <row r="1874" spans="1:31" ht="14.4" customHeight="1" x14ac:dyDescent="0.3">
      <c r="A1874" t="s">
        <v>4267</v>
      </c>
      <c r="B1874" t="s">
        <v>4268</v>
      </c>
      <c r="C1874"/>
      <c r="D1874"/>
      <c r="E1874"/>
      <c r="F1874"/>
      <c r="G1874" t="s">
        <v>4126</v>
      </c>
      <c r="H1874" t="s">
        <v>132</v>
      </c>
      <c r="I1874" t="s">
        <v>5</v>
      </c>
      <c r="J1874" t="s">
        <v>133</v>
      </c>
      <c r="K1874" t="s">
        <v>55</v>
      </c>
      <c r="L1874" t="s">
        <v>4266</v>
      </c>
      <c r="M1874" t="s">
        <v>134</v>
      </c>
      <c r="N1874" t="s">
        <v>135</v>
      </c>
      <c r="O1874"/>
      <c r="P1874"/>
      <c r="Q1874" t="s">
        <v>291</v>
      </c>
      <c r="R1874"/>
      <c r="S1874"/>
      <c r="T1874" t="s">
        <v>2165</v>
      </c>
      <c r="U1874" t="s">
        <v>137</v>
      </c>
      <c r="V1874" t="s">
        <v>162</v>
      </c>
      <c r="W1874"/>
      <c r="X1874" t="s">
        <v>113</v>
      </c>
      <c r="Y1874"/>
      <c r="Z1874"/>
      <c r="AA1874" t="s">
        <v>4128</v>
      </c>
      <c r="AB1874" t="s">
        <v>5</v>
      </c>
      <c r="AC1874" t="s">
        <v>138</v>
      </c>
      <c r="AD1874" t="s">
        <v>129</v>
      </c>
      <c r="AE1874" s="97"/>
    </row>
    <row r="1875" spans="1:31" ht="14.4" customHeight="1" x14ac:dyDescent="0.3">
      <c r="A1875" t="s">
        <v>4269</v>
      </c>
      <c r="B1875" t="s">
        <v>4270</v>
      </c>
      <c r="C1875"/>
      <c r="D1875"/>
      <c r="E1875"/>
      <c r="F1875"/>
      <c r="G1875" t="s">
        <v>4126</v>
      </c>
      <c r="H1875" t="s">
        <v>132</v>
      </c>
      <c r="I1875" t="s">
        <v>5</v>
      </c>
      <c r="J1875" t="s">
        <v>133</v>
      </c>
      <c r="K1875" t="s">
        <v>55</v>
      </c>
      <c r="L1875" t="s">
        <v>3206</v>
      </c>
      <c r="M1875" t="s">
        <v>134</v>
      </c>
      <c r="N1875" t="s">
        <v>135</v>
      </c>
      <c r="O1875"/>
      <c r="P1875"/>
      <c r="Q1875" t="s">
        <v>291</v>
      </c>
      <c r="R1875"/>
      <c r="S1875"/>
      <c r="T1875" t="s">
        <v>2165</v>
      </c>
      <c r="U1875" t="s">
        <v>137</v>
      </c>
      <c r="V1875" t="s">
        <v>358</v>
      </c>
      <c r="W1875"/>
      <c r="X1875" t="s">
        <v>124</v>
      </c>
      <c r="Y1875"/>
      <c r="Z1875"/>
      <c r="AA1875" t="s">
        <v>4128</v>
      </c>
      <c r="AB1875" t="s">
        <v>5</v>
      </c>
      <c r="AC1875" t="s">
        <v>138</v>
      </c>
      <c r="AD1875" t="s">
        <v>130</v>
      </c>
      <c r="AE1875" s="97"/>
    </row>
    <row r="1876" spans="1:31" ht="14.4" customHeight="1" x14ac:dyDescent="0.3">
      <c r="A1876" t="s">
        <v>4271</v>
      </c>
      <c r="B1876" t="s">
        <v>4272</v>
      </c>
      <c r="C1876"/>
      <c r="D1876"/>
      <c r="E1876"/>
      <c r="F1876"/>
      <c r="G1876" t="s">
        <v>4126</v>
      </c>
      <c r="H1876" t="s">
        <v>132</v>
      </c>
      <c r="I1876" t="s">
        <v>5</v>
      </c>
      <c r="J1876" t="s">
        <v>133</v>
      </c>
      <c r="K1876" t="s">
        <v>55</v>
      </c>
      <c r="L1876" t="s">
        <v>3358</v>
      </c>
      <c r="M1876" t="s">
        <v>134</v>
      </c>
      <c r="N1876" t="s">
        <v>135</v>
      </c>
      <c r="O1876"/>
      <c r="P1876"/>
      <c r="Q1876" t="s">
        <v>291</v>
      </c>
      <c r="R1876"/>
      <c r="S1876"/>
      <c r="T1876" t="s">
        <v>2165</v>
      </c>
      <c r="U1876" t="s">
        <v>137</v>
      </c>
      <c r="V1876" t="s">
        <v>1239</v>
      </c>
      <c r="W1876"/>
      <c r="X1876" t="s">
        <v>127</v>
      </c>
      <c r="Y1876"/>
      <c r="Z1876"/>
      <c r="AA1876" t="s">
        <v>4128</v>
      </c>
      <c r="AB1876" t="s">
        <v>5</v>
      </c>
      <c r="AC1876" t="s">
        <v>138</v>
      </c>
      <c r="AD1876" t="s">
        <v>131</v>
      </c>
      <c r="AE1876" s="97"/>
    </row>
    <row r="1877" spans="1:31" ht="14.4" customHeight="1" x14ac:dyDescent="0.3">
      <c r="A1877" t="s">
        <v>4273</v>
      </c>
      <c r="B1877" t="s">
        <v>4274</v>
      </c>
      <c r="C1877"/>
      <c r="D1877"/>
      <c r="E1877"/>
      <c r="F1877"/>
      <c r="G1877" t="s">
        <v>4126</v>
      </c>
      <c r="H1877" t="s">
        <v>132</v>
      </c>
      <c r="I1877" t="s">
        <v>5</v>
      </c>
      <c r="J1877" t="s">
        <v>133</v>
      </c>
      <c r="K1877" t="s">
        <v>55</v>
      </c>
      <c r="L1877" t="s">
        <v>3373</v>
      </c>
      <c r="M1877" t="s">
        <v>134</v>
      </c>
      <c r="N1877" t="s">
        <v>135</v>
      </c>
      <c r="O1877"/>
      <c r="P1877"/>
      <c r="Q1877" t="s">
        <v>291</v>
      </c>
      <c r="R1877"/>
      <c r="S1877"/>
      <c r="T1877" t="s">
        <v>2165</v>
      </c>
      <c r="U1877" t="s">
        <v>137</v>
      </c>
      <c r="V1877" t="s">
        <v>1249</v>
      </c>
      <c r="W1877"/>
      <c r="X1877" t="s">
        <v>61</v>
      </c>
      <c r="Y1877"/>
      <c r="Z1877"/>
      <c r="AA1877" t="s">
        <v>4128</v>
      </c>
      <c r="AB1877" t="s">
        <v>5</v>
      </c>
      <c r="AC1877" t="s">
        <v>138</v>
      </c>
      <c r="AD1877" t="s">
        <v>128</v>
      </c>
      <c r="AE1877" s="97"/>
    </row>
    <row r="1878" spans="1:31" ht="14.4" customHeight="1" x14ac:dyDescent="0.3">
      <c r="A1878" t="s">
        <v>4279</v>
      </c>
      <c r="B1878"/>
      <c r="C1878" t="s">
        <v>4280</v>
      </c>
      <c r="D1878"/>
      <c r="E1878" t="s">
        <v>4280</v>
      </c>
      <c r="F1878" t="s">
        <v>6769</v>
      </c>
      <c r="G1878" t="s">
        <v>4275</v>
      </c>
      <c r="H1878" t="s">
        <v>132</v>
      </c>
      <c r="I1878" t="s">
        <v>4</v>
      </c>
      <c r="J1878" t="s">
        <v>4276</v>
      </c>
      <c r="K1878" t="s">
        <v>54</v>
      </c>
      <c r="L1878"/>
      <c r="M1878" t="s">
        <v>134</v>
      </c>
      <c r="N1878" t="s">
        <v>135</v>
      </c>
      <c r="O1878"/>
      <c r="P1878"/>
      <c r="Q1878" t="s">
        <v>4277</v>
      </c>
      <c r="R1878"/>
      <c r="S1878"/>
      <c r="T1878"/>
      <c r="U1878" t="s">
        <v>137</v>
      </c>
      <c r="V1878" t="s">
        <v>147</v>
      </c>
      <c r="W1878" s="9">
        <v>46078.285921608796</v>
      </c>
      <c r="X1878" t="s">
        <v>70</v>
      </c>
      <c r="Y1878"/>
      <c r="Z1878"/>
      <c r="AA1878" t="s">
        <v>4278</v>
      </c>
      <c r="AB1878"/>
      <c r="AC1878" t="s">
        <v>24</v>
      </c>
      <c r="AD1878" t="s">
        <v>128</v>
      </c>
      <c r="AE1878" s="97"/>
    </row>
    <row r="1879" spans="1:31" ht="14.4" customHeight="1" x14ac:dyDescent="0.3">
      <c r="A1879" t="s">
        <v>4281</v>
      </c>
      <c r="B1879"/>
      <c r="C1879" t="s">
        <v>4282</v>
      </c>
      <c r="D1879"/>
      <c r="E1879" t="s">
        <v>4282</v>
      </c>
      <c r="F1879" t="s">
        <v>6769</v>
      </c>
      <c r="G1879" t="s">
        <v>4275</v>
      </c>
      <c r="H1879" t="s">
        <v>132</v>
      </c>
      <c r="I1879" t="s">
        <v>4</v>
      </c>
      <c r="J1879" t="s">
        <v>4276</v>
      </c>
      <c r="K1879" t="s">
        <v>54</v>
      </c>
      <c r="L1879"/>
      <c r="M1879" t="s">
        <v>134</v>
      </c>
      <c r="N1879" t="s">
        <v>135</v>
      </c>
      <c r="O1879"/>
      <c r="P1879"/>
      <c r="Q1879" t="s">
        <v>4277</v>
      </c>
      <c r="R1879"/>
      <c r="S1879"/>
      <c r="T1879"/>
      <c r="U1879" t="s">
        <v>137</v>
      </c>
      <c r="V1879" t="s">
        <v>147</v>
      </c>
      <c r="W1879" s="9">
        <v>46078.287742708337</v>
      </c>
      <c r="X1879" t="s">
        <v>70</v>
      </c>
      <c r="Y1879"/>
      <c r="Z1879"/>
      <c r="AA1879" t="s">
        <v>4278</v>
      </c>
      <c r="AB1879"/>
      <c r="AC1879" t="s">
        <v>24</v>
      </c>
      <c r="AD1879" t="s">
        <v>128</v>
      </c>
      <c r="AE1879" s="97"/>
    </row>
    <row r="1880" spans="1:31" ht="14.4" customHeight="1" x14ac:dyDescent="0.3">
      <c r="A1880" t="s">
        <v>4283</v>
      </c>
      <c r="B1880"/>
      <c r="C1880" t="s">
        <v>4284</v>
      </c>
      <c r="D1880"/>
      <c r="E1880" t="s">
        <v>4284</v>
      </c>
      <c r="F1880" t="s">
        <v>6769</v>
      </c>
      <c r="G1880" t="s">
        <v>4275</v>
      </c>
      <c r="H1880" t="s">
        <v>132</v>
      </c>
      <c r="I1880" t="s">
        <v>4</v>
      </c>
      <c r="J1880" t="s">
        <v>4276</v>
      </c>
      <c r="K1880" t="s">
        <v>54</v>
      </c>
      <c r="L1880"/>
      <c r="M1880" t="s">
        <v>134</v>
      </c>
      <c r="N1880" t="s">
        <v>135</v>
      </c>
      <c r="O1880"/>
      <c r="P1880"/>
      <c r="Q1880" t="s">
        <v>4277</v>
      </c>
      <c r="R1880"/>
      <c r="S1880"/>
      <c r="T1880"/>
      <c r="U1880" t="s">
        <v>137</v>
      </c>
      <c r="V1880" t="s">
        <v>147</v>
      </c>
      <c r="W1880" s="9">
        <v>46078.289132141203</v>
      </c>
      <c r="X1880" t="s">
        <v>70</v>
      </c>
      <c r="Y1880"/>
      <c r="Z1880"/>
      <c r="AA1880" t="s">
        <v>4278</v>
      </c>
      <c r="AB1880"/>
      <c r="AC1880" t="s">
        <v>24</v>
      </c>
      <c r="AD1880" t="s">
        <v>128</v>
      </c>
      <c r="AE1880" s="97"/>
    </row>
    <row r="1881" spans="1:31" ht="14.4" customHeight="1" x14ac:dyDescent="0.3">
      <c r="A1881" t="s">
        <v>4285</v>
      </c>
      <c r="B1881"/>
      <c r="C1881" t="s">
        <v>4286</v>
      </c>
      <c r="D1881"/>
      <c r="E1881" t="s">
        <v>4286</v>
      </c>
      <c r="F1881" t="s">
        <v>6769</v>
      </c>
      <c r="G1881" t="s">
        <v>4275</v>
      </c>
      <c r="H1881" t="s">
        <v>132</v>
      </c>
      <c r="I1881" t="s">
        <v>4</v>
      </c>
      <c r="J1881" t="s">
        <v>4276</v>
      </c>
      <c r="K1881" t="s">
        <v>54</v>
      </c>
      <c r="L1881"/>
      <c r="M1881" t="s">
        <v>134</v>
      </c>
      <c r="N1881" t="s">
        <v>135</v>
      </c>
      <c r="O1881"/>
      <c r="P1881"/>
      <c r="Q1881" t="s">
        <v>4277</v>
      </c>
      <c r="R1881"/>
      <c r="S1881"/>
      <c r="T1881"/>
      <c r="U1881" t="s">
        <v>137</v>
      </c>
      <c r="V1881" t="s">
        <v>150</v>
      </c>
      <c r="W1881" s="9">
        <v>46078.290822071758</v>
      </c>
      <c r="X1881" t="s">
        <v>76</v>
      </c>
      <c r="Y1881"/>
      <c r="Z1881"/>
      <c r="AA1881" t="s">
        <v>4278</v>
      </c>
      <c r="AB1881"/>
      <c r="AC1881" t="s">
        <v>24</v>
      </c>
      <c r="AD1881" t="s">
        <v>128</v>
      </c>
      <c r="AE1881" s="97"/>
    </row>
    <row r="1882" spans="1:31" ht="14.4" customHeight="1" x14ac:dyDescent="0.3">
      <c r="A1882" t="s">
        <v>4287</v>
      </c>
      <c r="B1882"/>
      <c r="C1882" t="s">
        <v>4288</v>
      </c>
      <c r="D1882"/>
      <c r="E1882" t="s">
        <v>4288</v>
      </c>
      <c r="F1882" t="s">
        <v>6769</v>
      </c>
      <c r="G1882" t="s">
        <v>4275</v>
      </c>
      <c r="H1882" t="s">
        <v>132</v>
      </c>
      <c r="I1882" t="s">
        <v>4</v>
      </c>
      <c r="J1882" t="s">
        <v>4276</v>
      </c>
      <c r="K1882" t="s">
        <v>54</v>
      </c>
      <c r="L1882"/>
      <c r="M1882" t="s">
        <v>134</v>
      </c>
      <c r="N1882" t="s">
        <v>135</v>
      </c>
      <c r="O1882"/>
      <c r="P1882"/>
      <c r="Q1882" t="s">
        <v>4277</v>
      </c>
      <c r="R1882"/>
      <c r="S1882"/>
      <c r="T1882"/>
      <c r="U1882" t="s">
        <v>137</v>
      </c>
      <c r="V1882" t="s">
        <v>150</v>
      </c>
      <c r="W1882" s="9">
        <v>46078.292137534721</v>
      </c>
      <c r="X1882" t="s">
        <v>76</v>
      </c>
      <c r="Y1882"/>
      <c r="Z1882"/>
      <c r="AA1882" t="s">
        <v>4278</v>
      </c>
      <c r="AB1882"/>
      <c r="AC1882" t="s">
        <v>24</v>
      </c>
      <c r="AD1882" t="s">
        <v>128</v>
      </c>
      <c r="AE1882" s="97"/>
    </row>
    <row r="1883" spans="1:31" ht="14.4" customHeight="1" x14ac:dyDescent="0.3">
      <c r="A1883" t="s">
        <v>4289</v>
      </c>
      <c r="B1883"/>
      <c r="C1883" t="s">
        <v>4290</v>
      </c>
      <c r="D1883"/>
      <c r="E1883" t="s">
        <v>4290</v>
      </c>
      <c r="F1883" t="s">
        <v>6769</v>
      </c>
      <c r="G1883" t="s">
        <v>4275</v>
      </c>
      <c r="H1883" t="s">
        <v>132</v>
      </c>
      <c r="I1883" t="s">
        <v>4</v>
      </c>
      <c r="J1883" t="s">
        <v>4276</v>
      </c>
      <c r="K1883" t="s">
        <v>54</v>
      </c>
      <c r="L1883"/>
      <c r="M1883" t="s">
        <v>134</v>
      </c>
      <c r="N1883" t="s">
        <v>135</v>
      </c>
      <c r="O1883"/>
      <c r="P1883"/>
      <c r="Q1883" t="s">
        <v>4277</v>
      </c>
      <c r="R1883"/>
      <c r="S1883"/>
      <c r="T1883"/>
      <c r="U1883" t="s">
        <v>137</v>
      </c>
      <c r="V1883" t="s">
        <v>150</v>
      </c>
      <c r="W1883" s="9">
        <v>46078.293746678239</v>
      </c>
      <c r="X1883" t="s">
        <v>76</v>
      </c>
      <c r="Y1883"/>
      <c r="Z1883"/>
      <c r="AA1883" t="s">
        <v>4278</v>
      </c>
      <c r="AB1883"/>
      <c r="AC1883" t="s">
        <v>24</v>
      </c>
      <c r="AD1883" t="s">
        <v>128</v>
      </c>
      <c r="AE1883" s="97"/>
    </row>
    <row r="1884" spans="1:31" ht="14.4" customHeight="1" x14ac:dyDescent="0.3">
      <c r="A1884" t="s">
        <v>4291</v>
      </c>
      <c r="B1884"/>
      <c r="C1884" t="s">
        <v>4292</v>
      </c>
      <c r="D1884"/>
      <c r="E1884" t="s">
        <v>4292</v>
      </c>
      <c r="F1884" t="s">
        <v>6769</v>
      </c>
      <c r="G1884" t="s">
        <v>4275</v>
      </c>
      <c r="H1884" t="s">
        <v>132</v>
      </c>
      <c r="I1884" t="s">
        <v>4</v>
      </c>
      <c r="J1884" t="s">
        <v>4276</v>
      </c>
      <c r="K1884" t="s">
        <v>54</v>
      </c>
      <c r="L1884"/>
      <c r="M1884" t="s">
        <v>134</v>
      </c>
      <c r="N1884" t="s">
        <v>135</v>
      </c>
      <c r="O1884"/>
      <c r="P1884"/>
      <c r="Q1884" t="s">
        <v>4277</v>
      </c>
      <c r="R1884"/>
      <c r="S1884"/>
      <c r="T1884"/>
      <c r="U1884" t="s">
        <v>137</v>
      </c>
      <c r="V1884" t="s">
        <v>153</v>
      </c>
      <c r="W1884" s="9">
        <v>46161.268312881948</v>
      </c>
      <c r="X1884" t="s">
        <v>88</v>
      </c>
      <c r="Y1884"/>
      <c r="Z1884"/>
      <c r="AA1884" t="s">
        <v>4278</v>
      </c>
      <c r="AB1884"/>
      <c r="AC1884" t="s">
        <v>24</v>
      </c>
      <c r="AD1884" t="s">
        <v>129</v>
      </c>
      <c r="AE1884" s="97"/>
    </row>
    <row r="1885" spans="1:31" ht="14.4" customHeight="1" x14ac:dyDescent="0.3">
      <c r="A1885" t="s">
        <v>4293</v>
      </c>
      <c r="B1885"/>
      <c r="C1885" t="s">
        <v>4294</v>
      </c>
      <c r="D1885"/>
      <c r="E1885" t="s">
        <v>4294</v>
      </c>
      <c r="F1885" t="s">
        <v>6769</v>
      </c>
      <c r="G1885" t="s">
        <v>4275</v>
      </c>
      <c r="H1885" t="s">
        <v>132</v>
      </c>
      <c r="I1885" t="s">
        <v>4</v>
      </c>
      <c r="J1885" t="s">
        <v>4276</v>
      </c>
      <c r="K1885" t="s">
        <v>54</v>
      </c>
      <c r="L1885"/>
      <c r="M1885" t="s">
        <v>134</v>
      </c>
      <c r="N1885" t="s">
        <v>135</v>
      </c>
      <c r="O1885"/>
      <c r="P1885"/>
      <c r="Q1885" t="s">
        <v>4277</v>
      </c>
      <c r="R1885"/>
      <c r="S1885"/>
      <c r="T1885"/>
      <c r="U1885" t="s">
        <v>137</v>
      </c>
      <c r="V1885" t="s">
        <v>153</v>
      </c>
      <c r="W1885" s="9">
        <v>46161.270443865738</v>
      </c>
      <c r="X1885" t="s">
        <v>88</v>
      </c>
      <c r="Y1885"/>
      <c r="Z1885"/>
      <c r="AA1885" t="s">
        <v>4278</v>
      </c>
      <c r="AB1885"/>
      <c r="AC1885" t="s">
        <v>24</v>
      </c>
      <c r="AD1885" t="s">
        <v>129</v>
      </c>
      <c r="AE1885" s="97"/>
    </row>
    <row r="1886" spans="1:31" ht="14.4" customHeight="1" x14ac:dyDescent="0.3">
      <c r="A1886" t="s">
        <v>4295</v>
      </c>
      <c r="B1886"/>
      <c r="C1886" t="s">
        <v>4296</v>
      </c>
      <c r="D1886"/>
      <c r="E1886" t="s">
        <v>4296</v>
      </c>
      <c r="F1886" t="s">
        <v>6769</v>
      </c>
      <c r="G1886" t="s">
        <v>4275</v>
      </c>
      <c r="H1886" t="s">
        <v>132</v>
      </c>
      <c r="I1886" t="s">
        <v>4</v>
      </c>
      <c r="J1886" t="s">
        <v>4276</v>
      </c>
      <c r="K1886" t="s">
        <v>54</v>
      </c>
      <c r="L1886"/>
      <c r="M1886" t="s">
        <v>134</v>
      </c>
      <c r="N1886" t="s">
        <v>135</v>
      </c>
      <c r="O1886"/>
      <c r="P1886"/>
      <c r="Q1886" t="s">
        <v>4277</v>
      </c>
      <c r="R1886"/>
      <c r="S1886"/>
      <c r="T1886"/>
      <c r="U1886" t="s">
        <v>137</v>
      </c>
      <c r="V1886" t="s">
        <v>153</v>
      </c>
      <c r="W1886" s="9">
        <v>46161.271548414348</v>
      </c>
      <c r="X1886" t="s">
        <v>88</v>
      </c>
      <c r="Y1886"/>
      <c r="Z1886"/>
      <c r="AA1886" t="s">
        <v>4278</v>
      </c>
      <c r="AB1886"/>
      <c r="AC1886" t="s">
        <v>24</v>
      </c>
      <c r="AD1886" t="s">
        <v>129</v>
      </c>
      <c r="AE1886" s="97"/>
    </row>
    <row r="1887" spans="1:31" ht="14.4" customHeight="1" x14ac:dyDescent="0.3">
      <c r="A1887" t="s">
        <v>4297</v>
      </c>
      <c r="B1887"/>
      <c r="C1887" t="s">
        <v>4298</v>
      </c>
      <c r="D1887"/>
      <c r="E1887" t="s">
        <v>4298</v>
      </c>
      <c r="F1887" t="s">
        <v>6769</v>
      </c>
      <c r="G1887" t="s">
        <v>4275</v>
      </c>
      <c r="H1887" t="s">
        <v>132</v>
      </c>
      <c r="I1887" t="s">
        <v>4</v>
      </c>
      <c r="J1887" t="s">
        <v>4276</v>
      </c>
      <c r="K1887" t="s">
        <v>54</v>
      </c>
      <c r="L1887"/>
      <c r="M1887" t="s">
        <v>134</v>
      </c>
      <c r="N1887" t="s">
        <v>135</v>
      </c>
      <c r="O1887"/>
      <c r="P1887"/>
      <c r="Q1887" t="s">
        <v>4277</v>
      </c>
      <c r="R1887"/>
      <c r="S1887"/>
      <c r="T1887"/>
      <c r="U1887" t="s">
        <v>137</v>
      </c>
      <c r="V1887" t="s">
        <v>156</v>
      </c>
      <c r="W1887" s="9">
        <v>46161.351808831016</v>
      </c>
      <c r="X1887" t="s">
        <v>97</v>
      </c>
      <c r="Y1887"/>
      <c r="Z1887"/>
      <c r="AA1887" t="s">
        <v>4278</v>
      </c>
      <c r="AB1887"/>
      <c r="AC1887" t="s">
        <v>24</v>
      </c>
      <c r="AD1887" t="s">
        <v>129</v>
      </c>
      <c r="AE1887" s="97"/>
    </row>
    <row r="1888" spans="1:31" ht="14.4" customHeight="1" x14ac:dyDescent="0.3">
      <c r="A1888" t="s">
        <v>4299</v>
      </c>
      <c r="B1888"/>
      <c r="C1888" t="s">
        <v>4300</v>
      </c>
      <c r="D1888"/>
      <c r="E1888" t="s">
        <v>4300</v>
      </c>
      <c r="F1888" t="s">
        <v>6769</v>
      </c>
      <c r="G1888" t="s">
        <v>4275</v>
      </c>
      <c r="H1888" t="s">
        <v>132</v>
      </c>
      <c r="I1888" t="s">
        <v>4</v>
      </c>
      <c r="J1888" t="s">
        <v>4276</v>
      </c>
      <c r="K1888" t="s">
        <v>54</v>
      </c>
      <c r="L1888"/>
      <c r="M1888" t="s">
        <v>134</v>
      </c>
      <c r="N1888" t="s">
        <v>135</v>
      </c>
      <c r="O1888"/>
      <c r="P1888"/>
      <c r="Q1888" t="s">
        <v>4277</v>
      </c>
      <c r="R1888"/>
      <c r="S1888"/>
      <c r="T1888"/>
      <c r="U1888" t="s">
        <v>137</v>
      </c>
      <c r="V1888" t="s">
        <v>156</v>
      </c>
      <c r="W1888" s="9">
        <v>46161.352243900466</v>
      </c>
      <c r="X1888" t="s">
        <v>97</v>
      </c>
      <c r="Y1888"/>
      <c r="Z1888"/>
      <c r="AA1888" t="s">
        <v>4278</v>
      </c>
      <c r="AB1888"/>
      <c r="AC1888" t="s">
        <v>24</v>
      </c>
      <c r="AD1888" t="s">
        <v>129</v>
      </c>
      <c r="AE1888" s="97"/>
    </row>
    <row r="1889" spans="1:31" ht="14.4" customHeight="1" x14ac:dyDescent="0.3">
      <c r="A1889" t="s">
        <v>4301</v>
      </c>
      <c r="B1889"/>
      <c r="C1889" t="s">
        <v>4302</v>
      </c>
      <c r="D1889"/>
      <c r="E1889" t="s">
        <v>4302</v>
      </c>
      <c r="F1889" t="s">
        <v>6769</v>
      </c>
      <c r="G1889" t="s">
        <v>4275</v>
      </c>
      <c r="H1889" t="s">
        <v>132</v>
      </c>
      <c r="I1889" t="s">
        <v>4</v>
      </c>
      <c r="J1889" t="s">
        <v>4276</v>
      </c>
      <c r="K1889" t="s">
        <v>54</v>
      </c>
      <c r="L1889"/>
      <c r="M1889" t="s">
        <v>134</v>
      </c>
      <c r="N1889" t="s">
        <v>135</v>
      </c>
      <c r="O1889"/>
      <c r="P1889"/>
      <c r="Q1889" t="s">
        <v>4277</v>
      </c>
      <c r="R1889"/>
      <c r="S1889"/>
      <c r="T1889"/>
      <c r="U1889" t="s">
        <v>137</v>
      </c>
      <c r="V1889" t="s">
        <v>156</v>
      </c>
      <c r="W1889" s="9">
        <v>46161.353219293982</v>
      </c>
      <c r="X1889" t="s">
        <v>97</v>
      </c>
      <c r="Y1889"/>
      <c r="Z1889"/>
      <c r="AA1889" t="s">
        <v>4278</v>
      </c>
      <c r="AB1889"/>
      <c r="AC1889" t="s">
        <v>24</v>
      </c>
      <c r="AD1889" t="s">
        <v>129</v>
      </c>
      <c r="AE1889" s="97"/>
    </row>
    <row r="1890" spans="1:31" ht="14.4" customHeight="1" x14ac:dyDescent="0.3">
      <c r="A1890" t="s">
        <v>4303</v>
      </c>
      <c r="B1890"/>
      <c r="C1890" t="s">
        <v>4304</v>
      </c>
      <c r="D1890"/>
      <c r="E1890" t="s">
        <v>4304</v>
      </c>
      <c r="F1890" t="s">
        <v>6769</v>
      </c>
      <c r="G1890" t="s">
        <v>4275</v>
      </c>
      <c r="H1890" t="s">
        <v>132</v>
      </c>
      <c r="I1890" t="s">
        <v>4</v>
      </c>
      <c r="J1890" t="s">
        <v>4276</v>
      </c>
      <c r="K1890" t="s">
        <v>54</v>
      </c>
      <c r="L1890"/>
      <c r="M1890" t="s">
        <v>134</v>
      </c>
      <c r="N1890" t="s">
        <v>135</v>
      </c>
      <c r="O1890"/>
      <c r="P1890"/>
      <c r="Q1890" t="s">
        <v>4277</v>
      </c>
      <c r="R1890"/>
      <c r="S1890"/>
      <c r="T1890"/>
      <c r="U1890" t="s">
        <v>137</v>
      </c>
      <c r="V1890" t="s">
        <v>159</v>
      </c>
      <c r="W1890" s="9">
        <v>46161.352646840278</v>
      </c>
      <c r="X1890" t="s">
        <v>106</v>
      </c>
      <c r="Y1890"/>
      <c r="Z1890"/>
      <c r="AA1890" t="s">
        <v>4278</v>
      </c>
      <c r="AB1890"/>
      <c r="AC1890" t="s">
        <v>24</v>
      </c>
      <c r="AD1890" t="s">
        <v>129</v>
      </c>
      <c r="AE1890" s="97"/>
    </row>
    <row r="1891" spans="1:31" ht="14.4" customHeight="1" x14ac:dyDescent="0.3">
      <c r="A1891" t="s">
        <v>4305</v>
      </c>
      <c r="B1891"/>
      <c r="C1891" t="s">
        <v>4306</v>
      </c>
      <c r="D1891"/>
      <c r="E1891" t="s">
        <v>4306</v>
      </c>
      <c r="F1891" t="s">
        <v>6769</v>
      </c>
      <c r="G1891" t="s">
        <v>4275</v>
      </c>
      <c r="H1891" t="s">
        <v>132</v>
      </c>
      <c r="I1891" t="s">
        <v>4</v>
      </c>
      <c r="J1891" t="s">
        <v>4276</v>
      </c>
      <c r="K1891" t="s">
        <v>54</v>
      </c>
      <c r="L1891"/>
      <c r="M1891" t="s">
        <v>134</v>
      </c>
      <c r="N1891" t="s">
        <v>135</v>
      </c>
      <c r="O1891"/>
      <c r="P1891"/>
      <c r="Q1891" t="s">
        <v>4277</v>
      </c>
      <c r="R1891"/>
      <c r="S1891"/>
      <c r="T1891"/>
      <c r="U1891" t="s">
        <v>137</v>
      </c>
      <c r="V1891" t="s">
        <v>159</v>
      </c>
      <c r="W1891" s="9">
        <v>46161.350653321759</v>
      </c>
      <c r="X1891" t="s">
        <v>106</v>
      </c>
      <c r="Y1891"/>
      <c r="Z1891"/>
      <c r="AA1891" t="s">
        <v>4278</v>
      </c>
      <c r="AB1891"/>
      <c r="AC1891" t="s">
        <v>24</v>
      </c>
      <c r="AD1891" t="s">
        <v>129</v>
      </c>
      <c r="AE1891" s="97"/>
    </row>
    <row r="1892" spans="1:31" ht="14.4" customHeight="1" x14ac:dyDescent="0.3">
      <c r="A1892" t="s">
        <v>4307</v>
      </c>
      <c r="B1892"/>
      <c r="C1892" t="s">
        <v>4308</v>
      </c>
      <c r="D1892"/>
      <c r="E1892" t="s">
        <v>4308</v>
      </c>
      <c r="F1892" t="s">
        <v>6769</v>
      </c>
      <c r="G1892" t="s">
        <v>4275</v>
      </c>
      <c r="H1892" t="s">
        <v>132</v>
      </c>
      <c r="I1892" t="s">
        <v>4</v>
      </c>
      <c r="J1892" t="s">
        <v>4276</v>
      </c>
      <c r="K1892" t="s">
        <v>54</v>
      </c>
      <c r="L1892"/>
      <c r="M1892" t="s">
        <v>134</v>
      </c>
      <c r="N1892" t="s">
        <v>135</v>
      </c>
      <c r="O1892"/>
      <c r="P1892"/>
      <c r="Q1892" t="s">
        <v>4277</v>
      </c>
      <c r="R1892"/>
      <c r="S1892"/>
      <c r="T1892"/>
      <c r="U1892" t="s">
        <v>137</v>
      </c>
      <c r="V1892" t="s">
        <v>159</v>
      </c>
      <c r="W1892" s="9">
        <v>46161.350099849536</v>
      </c>
      <c r="X1892" t="s">
        <v>106</v>
      </c>
      <c r="Y1892"/>
      <c r="Z1892"/>
      <c r="AA1892" t="s">
        <v>4278</v>
      </c>
      <c r="AB1892"/>
      <c r="AC1892" t="s">
        <v>24</v>
      </c>
      <c r="AD1892" t="s">
        <v>129</v>
      </c>
      <c r="AE1892" s="97"/>
    </row>
    <row r="1893" spans="1:31" ht="14.4" customHeight="1" x14ac:dyDescent="0.3">
      <c r="A1893" t="s">
        <v>4309</v>
      </c>
      <c r="B1893"/>
      <c r="C1893" t="s">
        <v>4310</v>
      </c>
      <c r="D1893"/>
      <c r="E1893" t="s">
        <v>4310</v>
      </c>
      <c r="F1893" t="s">
        <v>6769</v>
      </c>
      <c r="G1893" t="s">
        <v>4275</v>
      </c>
      <c r="H1893" t="s">
        <v>132</v>
      </c>
      <c r="I1893" t="s">
        <v>4</v>
      </c>
      <c r="J1893" t="s">
        <v>4276</v>
      </c>
      <c r="K1893" t="s">
        <v>54</v>
      </c>
      <c r="L1893"/>
      <c r="M1893" t="s">
        <v>134</v>
      </c>
      <c r="N1893" t="s">
        <v>135</v>
      </c>
      <c r="O1893"/>
      <c r="P1893"/>
      <c r="Q1893" t="s">
        <v>4277</v>
      </c>
      <c r="R1893"/>
      <c r="S1893"/>
      <c r="T1893"/>
      <c r="U1893" t="s">
        <v>137</v>
      </c>
      <c r="V1893" t="s">
        <v>162</v>
      </c>
      <c r="W1893" s="9">
        <v>46161.349621099536</v>
      </c>
      <c r="X1893" t="s">
        <v>113</v>
      </c>
      <c r="Y1893"/>
      <c r="Z1893"/>
      <c r="AA1893" t="s">
        <v>4278</v>
      </c>
      <c r="AB1893"/>
      <c r="AC1893" t="s">
        <v>24</v>
      </c>
      <c r="AD1893" t="s">
        <v>129</v>
      </c>
      <c r="AE1893" s="97"/>
    </row>
    <row r="1894" spans="1:31" ht="14.4" customHeight="1" x14ac:dyDescent="0.3">
      <c r="A1894" t="s">
        <v>4311</v>
      </c>
      <c r="B1894"/>
      <c r="C1894" t="s">
        <v>4312</v>
      </c>
      <c r="D1894"/>
      <c r="E1894" t="s">
        <v>4312</v>
      </c>
      <c r="F1894" t="s">
        <v>6769</v>
      </c>
      <c r="G1894" t="s">
        <v>4275</v>
      </c>
      <c r="H1894" t="s">
        <v>132</v>
      </c>
      <c r="I1894" t="s">
        <v>4</v>
      </c>
      <c r="J1894" t="s">
        <v>4276</v>
      </c>
      <c r="K1894" t="s">
        <v>54</v>
      </c>
      <c r="L1894"/>
      <c r="M1894" t="s">
        <v>134</v>
      </c>
      <c r="N1894" t="s">
        <v>135</v>
      </c>
      <c r="O1894"/>
      <c r="P1894"/>
      <c r="Q1894" t="s">
        <v>4277</v>
      </c>
      <c r="R1894"/>
      <c r="S1894"/>
      <c r="T1894"/>
      <c r="U1894" t="s">
        <v>137</v>
      </c>
      <c r="V1894" t="s">
        <v>162</v>
      </c>
      <c r="W1894" s="9">
        <v>46161.351161886574</v>
      </c>
      <c r="X1894" t="s">
        <v>113</v>
      </c>
      <c r="Y1894"/>
      <c r="Z1894"/>
      <c r="AA1894" t="s">
        <v>4278</v>
      </c>
      <c r="AB1894"/>
      <c r="AC1894" t="s">
        <v>24</v>
      </c>
      <c r="AD1894" t="s">
        <v>129</v>
      </c>
      <c r="AE1894" s="97"/>
    </row>
    <row r="1895" spans="1:31" ht="14.4" customHeight="1" x14ac:dyDescent="0.3">
      <c r="A1895" t="s">
        <v>4313</v>
      </c>
      <c r="B1895"/>
      <c r="C1895" t="s">
        <v>4314</v>
      </c>
      <c r="D1895"/>
      <c r="E1895" t="s">
        <v>4314</v>
      </c>
      <c r="F1895" t="s">
        <v>6769</v>
      </c>
      <c r="G1895" t="s">
        <v>4275</v>
      </c>
      <c r="H1895" t="s">
        <v>132</v>
      </c>
      <c r="I1895" t="s">
        <v>4</v>
      </c>
      <c r="J1895" t="s">
        <v>4276</v>
      </c>
      <c r="K1895" t="s">
        <v>54</v>
      </c>
      <c r="L1895"/>
      <c r="M1895" t="s">
        <v>134</v>
      </c>
      <c r="N1895" t="s">
        <v>135</v>
      </c>
      <c r="O1895"/>
      <c r="P1895"/>
      <c r="Q1895" t="s">
        <v>4277</v>
      </c>
      <c r="R1895"/>
      <c r="S1895"/>
      <c r="T1895"/>
      <c r="U1895" t="s">
        <v>137</v>
      </c>
      <c r="V1895" t="s">
        <v>162</v>
      </c>
      <c r="W1895" s="9">
        <v>46161.348637268522</v>
      </c>
      <c r="X1895" t="s">
        <v>113</v>
      </c>
      <c r="Y1895"/>
      <c r="Z1895"/>
      <c r="AA1895" t="s">
        <v>4278</v>
      </c>
      <c r="AB1895"/>
      <c r="AC1895" t="s">
        <v>24</v>
      </c>
      <c r="AD1895" t="s">
        <v>129</v>
      </c>
      <c r="AE1895" s="97"/>
    </row>
    <row r="1896" spans="1:31" ht="14.4" customHeight="1" x14ac:dyDescent="0.3">
      <c r="A1896" t="s">
        <v>4315</v>
      </c>
      <c r="B1896"/>
      <c r="C1896" t="s">
        <v>4316</v>
      </c>
      <c r="D1896"/>
      <c r="E1896" t="s">
        <v>4316</v>
      </c>
      <c r="F1896" t="s">
        <v>6769</v>
      </c>
      <c r="G1896" t="s">
        <v>4275</v>
      </c>
      <c r="H1896" t="s">
        <v>132</v>
      </c>
      <c r="I1896" t="s">
        <v>4</v>
      </c>
      <c r="J1896" t="s">
        <v>4276</v>
      </c>
      <c r="K1896" t="s">
        <v>54</v>
      </c>
      <c r="L1896"/>
      <c r="M1896" t="s">
        <v>134</v>
      </c>
      <c r="N1896" t="s">
        <v>135</v>
      </c>
      <c r="O1896"/>
      <c r="P1896"/>
      <c r="Q1896" t="s">
        <v>4277</v>
      </c>
      <c r="R1896"/>
      <c r="S1896"/>
      <c r="T1896"/>
      <c r="U1896" t="s">
        <v>137</v>
      </c>
      <c r="V1896" t="s">
        <v>165</v>
      </c>
      <c r="W1896" s="9">
        <v>46161.353641168978</v>
      </c>
      <c r="X1896" t="s">
        <v>122</v>
      </c>
      <c r="Y1896"/>
      <c r="Z1896"/>
      <c r="AA1896" t="s">
        <v>4278</v>
      </c>
      <c r="AB1896"/>
      <c r="AC1896" t="s">
        <v>24</v>
      </c>
      <c r="AD1896" t="s">
        <v>130</v>
      </c>
      <c r="AE1896" s="97"/>
    </row>
    <row r="1897" spans="1:31" ht="14.4" customHeight="1" x14ac:dyDescent="0.3">
      <c r="A1897" t="s">
        <v>4317</v>
      </c>
      <c r="B1897"/>
      <c r="C1897" t="s">
        <v>4318</v>
      </c>
      <c r="D1897"/>
      <c r="E1897" t="s">
        <v>4318</v>
      </c>
      <c r="F1897" t="s">
        <v>6769</v>
      </c>
      <c r="G1897" t="s">
        <v>4275</v>
      </c>
      <c r="H1897" t="s">
        <v>132</v>
      </c>
      <c r="I1897" t="s">
        <v>4</v>
      </c>
      <c r="J1897" t="s">
        <v>4276</v>
      </c>
      <c r="K1897" t="s">
        <v>54</v>
      </c>
      <c r="L1897"/>
      <c r="M1897" t="s">
        <v>134</v>
      </c>
      <c r="N1897" t="s">
        <v>135</v>
      </c>
      <c r="O1897"/>
      <c r="P1897"/>
      <c r="Q1897" t="s">
        <v>4277</v>
      </c>
      <c r="R1897"/>
      <c r="S1897"/>
      <c r="T1897"/>
      <c r="U1897" t="s">
        <v>137</v>
      </c>
      <c r="V1897" t="s">
        <v>165</v>
      </c>
      <c r="W1897" s="9">
        <v>46191.272738310188</v>
      </c>
      <c r="X1897" t="s">
        <v>122</v>
      </c>
      <c r="Y1897"/>
      <c r="Z1897"/>
      <c r="AA1897" t="s">
        <v>4278</v>
      </c>
      <c r="AB1897"/>
      <c r="AC1897" t="s">
        <v>24</v>
      </c>
      <c r="AD1897" t="s">
        <v>130</v>
      </c>
      <c r="AE1897" s="97"/>
    </row>
    <row r="1898" spans="1:31" ht="14.4" customHeight="1" x14ac:dyDescent="0.3">
      <c r="A1898" t="s">
        <v>4319</v>
      </c>
      <c r="B1898"/>
      <c r="C1898" t="s">
        <v>4320</v>
      </c>
      <c r="D1898"/>
      <c r="E1898" t="s">
        <v>4320</v>
      </c>
      <c r="F1898" t="s">
        <v>6769</v>
      </c>
      <c r="G1898" t="s">
        <v>4275</v>
      </c>
      <c r="H1898" t="s">
        <v>132</v>
      </c>
      <c r="I1898" t="s">
        <v>4</v>
      </c>
      <c r="J1898" t="s">
        <v>4276</v>
      </c>
      <c r="K1898" t="s">
        <v>54</v>
      </c>
      <c r="L1898"/>
      <c r="M1898" t="s">
        <v>134</v>
      </c>
      <c r="N1898" t="s">
        <v>135</v>
      </c>
      <c r="O1898"/>
      <c r="P1898"/>
      <c r="Q1898" t="s">
        <v>4277</v>
      </c>
      <c r="R1898"/>
      <c r="S1898"/>
      <c r="T1898"/>
      <c r="U1898" t="s">
        <v>137</v>
      </c>
      <c r="V1898" t="s">
        <v>165</v>
      </c>
      <c r="W1898" s="9">
        <v>46191.273625462964</v>
      </c>
      <c r="X1898" t="s">
        <v>122</v>
      </c>
      <c r="Y1898"/>
      <c r="Z1898"/>
      <c r="AA1898" t="s">
        <v>4278</v>
      </c>
      <c r="AB1898"/>
      <c r="AC1898" t="s">
        <v>24</v>
      </c>
      <c r="AD1898" t="s">
        <v>130</v>
      </c>
      <c r="AE1898" s="97"/>
    </row>
    <row r="1899" spans="1:31" ht="14.4" customHeight="1" x14ac:dyDescent="0.3">
      <c r="A1899" t="s">
        <v>4321</v>
      </c>
      <c r="B1899"/>
      <c r="C1899" t="s">
        <v>4322</v>
      </c>
      <c r="D1899"/>
      <c r="E1899" t="s">
        <v>4322</v>
      </c>
      <c r="F1899" t="s">
        <v>6769</v>
      </c>
      <c r="G1899" t="s">
        <v>4275</v>
      </c>
      <c r="H1899" t="s">
        <v>132</v>
      </c>
      <c r="I1899" t="s">
        <v>4</v>
      </c>
      <c r="J1899" t="s">
        <v>4276</v>
      </c>
      <c r="K1899" t="s">
        <v>54</v>
      </c>
      <c r="L1899"/>
      <c r="M1899" t="s">
        <v>134</v>
      </c>
      <c r="N1899" t="s">
        <v>135</v>
      </c>
      <c r="O1899"/>
      <c r="P1899"/>
      <c r="Q1899" t="s">
        <v>4277</v>
      </c>
      <c r="R1899"/>
      <c r="S1899"/>
      <c r="T1899"/>
      <c r="U1899" t="s">
        <v>137</v>
      </c>
      <c r="V1899" t="s">
        <v>371</v>
      </c>
      <c r="W1899" s="9">
        <v>46157.266282673612</v>
      </c>
      <c r="X1899" t="s">
        <v>57</v>
      </c>
      <c r="Y1899"/>
      <c r="Z1899"/>
      <c r="AA1899" t="s">
        <v>4278</v>
      </c>
      <c r="AB1899"/>
      <c r="AC1899" t="s">
        <v>24</v>
      </c>
      <c r="AD1899" t="s">
        <v>128</v>
      </c>
      <c r="AE1899" s="97"/>
    </row>
    <row r="1900" spans="1:31" ht="14.4" customHeight="1" x14ac:dyDescent="0.3">
      <c r="A1900" t="s">
        <v>4323</v>
      </c>
      <c r="B1900"/>
      <c r="C1900" t="s">
        <v>4324</v>
      </c>
      <c r="D1900"/>
      <c r="E1900" t="s">
        <v>4324</v>
      </c>
      <c r="F1900" t="s">
        <v>6769</v>
      </c>
      <c r="G1900" t="s">
        <v>4275</v>
      </c>
      <c r="H1900" t="s">
        <v>132</v>
      </c>
      <c r="I1900" t="s">
        <v>4</v>
      </c>
      <c r="J1900" t="s">
        <v>4276</v>
      </c>
      <c r="K1900" t="s">
        <v>54</v>
      </c>
      <c r="L1900"/>
      <c r="M1900" t="s">
        <v>134</v>
      </c>
      <c r="N1900" t="s">
        <v>135</v>
      </c>
      <c r="O1900"/>
      <c r="P1900"/>
      <c r="Q1900" t="s">
        <v>4277</v>
      </c>
      <c r="R1900"/>
      <c r="S1900"/>
      <c r="T1900"/>
      <c r="U1900" t="s">
        <v>137</v>
      </c>
      <c r="V1900" t="s">
        <v>371</v>
      </c>
      <c r="W1900" s="9">
        <v>46116.258581215276</v>
      </c>
      <c r="X1900" t="s">
        <v>57</v>
      </c>
      <c r="Y1900"/>
      <c r="Z1900"/>
      <c r="AA1900" t="s">
        <v>4278</v>
      </c>
      <c r="AB1900"/>
      <c r="AC1900" t="s">
        <v>24</v>
      </c>
      <c r="AD1900" t="s">
        <v>128</v>
      </c>
      <c r="AE1900" s="97"/>
    </row>
    <row r="1901" spans="1:31" ht="14.4" customHeight="1" x14ac:dyDescent="0.3">
      <c r="A1901" t="s">
        <v>4325</v>
      </c>
      <c r="B1901"/>
      <c r="C1901" t="s">
        <v>4326</v>
      </c>
      <c r="D1901"/>
      <c r="E1901" t="s">
        <v>4326</v>
      </c>
      <c r="F1901" t="s">
        <v>6769</v>
      </c>
      <c r="G1901" t="s">
        <v>4275</v>
      </c>
      <c r="H1901" t="s">
        <v>132</v>
      </c>
      <c r="I1901" t="s">
        <v>4</v>
      </c>
      <c r="J1901" t="s">
        <v>4276</v>
      </c>
      <c r="K1901" t="s">
        <v>54</v>
      </c>
      <c r="L1901"/>
      <c r="M1901" t="s">
        <v>134</v>
      </c>
      <c r="N1901" t="s">
        <v>135</v>
      </c>
      <c r="O1901"/>
      <c r="P1901"/>
      <c r="Q1901" t="s">
        <v>4277</v>
      </c>
      <c r="R1901"/>
      <c r="S1901"/>
      <c r="T1901"/>
      <c r="U1901" t="s">
        <v>137</v>
      </c>
      <c r="V1901" t="s">
        <v>362</v>
      </c>
      <c r="W1901" s="9">
        <v>46116.255346180558</v>
      </c>
      <c r="X1901" t="s">
        <v>58</v>
      </c>
      <c r="Y1901"/>
      <c r="Z1901"/>
      <c r="AA1901" t="s">
        <v>4278</v>
      </c>
      <c r="AB1901"/>
      <c r="AC1901" t="s">
        <v>24</v>
      </c>
      <c r="AD1901" t="s">
        <v>128</v>
      </c>
      <c r="AE1901" s="97"/>
    </row>
    <row r="1902" spans="1:31" ht="14.4" customHeight="1" x14ac:dyDescent="0.3">
      <c r="A1902" t="s">
        <v>4327</v>
      </c>
      <c r="B1902"/>
      <c r="C1902" t="s">
        <v>4328</v>
      </c>
      <c r="D1902"/>
      <c r="E1902" t="s">
        <v>4328</v>
      </c>
      <c r="F1902" t="s">
        <v>6769</v>
      </c>
      <c r="G1902" t="s">
        <v>4275</v>
      </c>
      <c r="H1902" t="s">
        <v>132</v>
      </c>
      <c r="I1902" t="s">
        <v>4</v>
      </c>
      <c r="J1902" t="s">
        <v>4276</v>
      </c>
      <c r="K1902" t="s">
        <v>54</v>
      </c>
      <c r="L1902"/>
      <c r="M1902" t="s">
        <v>134</v>
      </c>
      <c r="N1902" t="s">
        <v>135</v>
      </c>
      <c r="O1902"/>
      <c r="P1902"/>
      <c r="Q1902" t="s">
        <v>4277</v>
      </c>
      <c r="R1902"/>
      <c r="S1902"/>
      <c r="T1902"/>
      <c r="U1902" t="s">
        <v>137</v>
      </c>
      <c r="V1902" t="s">
        <v>362</v>
      </c>
      <c r="W1902" s="9">
        <v>46138.193522569447</v>
      </c>
      <c r="X1902" t="s">
        <v>58</v>
      </c>
      <c r="Y1902"/>
      <c r="Z1902"/>
      <c r="AA1902" t="s">
        <v>4278</v>
      </c>
      <c r="AB1902"/>
      <c r="AC1902" t="s">
        <v>24</v>
      </c>
      <c r="AD1902" t="s">
        <v>128</v>
      </c>
      <c r="AE1902" s="97"/>
    </row>
    <row r="1903" spans="1:31" ht="14.4" customHeight="1" x14ac:dyDescent="0.3">
      <c r="A1903" t="s">
        <v>4329</v>
      </c>
      <c r="B1903"/>
      <c r="C1903" t="s">
        <v>4330</v>
      </c>
      <c r="D1903"/>
      <c r="E1903" t="s">
        <v>4330</v>
      </c>
      <c r="F1903" t="s">
        <v>6769</v>
      </c>
      <c r="G1903" t="s">
        <v>4275</v>
      </c>
      <c r="H1903" t="s">
        <v>132</v>
      </c>
      <c r="I1903" t="s">
        <v>4</v>
      </c>
      <c r="J1903" t="s">
        <v>4276</v>
      </c>
      <c r="K1903" t="s">
        <v>54</v>
      </c>
      <c r="L1903"/>
      <c r="M1903" t="s">
        <v>134</v>
      </c>
      <c r="N1903" t="s">
        <v>135</v>
      </c>
      <c r="O1903"/>
      <c r="P1903"/>
      <c r="Q1903" t="s">
        <v>4277</v>
      </c>
      <c r="R1903"/>
      <c r="S1903"/>
      <c r="T1903"/>
      <c r="U1903" t="s">
        <v>137</v>
      </c>
      <c r="V1903" t="s">
        <v>640</v>
      </c>
      <c r="W1903" s="9">
        <v>46138.204286493055</v>
      </c>
      <c r="X1903" t="s">
        <v>66</v>
      </c>
      <c r="Y1903"/>
      <c r="Z1903"/>
      <c r="AA1903" t="s">
        <v>4278</v>
      </c>
      <c r="AB1903"/>
      <c r="AC1903" t="s">
        <v>24</v>
      </c>
      <c r="AD1903" t="s">
        <v>128</v>
      </c>
      <c r="AE1903" s="97"/>
    </row>
    <row r="1904" spans="1:31" ht="14.4" customHeight="1" x14ac:dyDescent="0.3">
      <c r="A1904" t="s">
        <v>4331</v>
      </c>
      <c r="B1904"/>
      <c r="C1904" t="s">
        <v>4332</v>
      </c>
      <c r="D1904"/>
      <c r="E1904" t="s">
        <v>4332</v>
      </c>
      <c r="F1904" t="s">
        <v>6769</v>
      </c>
      <c r="G1904" t="s">
        <v>4275</v>
      </c>
      <c r="H1904" t="s">
        <v>132</v>
      </c>
      <c r="I1904" t="s">
        <v>4</v>
      </c>
      <c r="J1904" t="s">
        <v>4276</v>
      </c>
      <c r="K1904" t="s">
        <v>54</v>
      </c>
      <c r="L1904"/>
      <c r="M1904" t="s">
        <v>134</v>
      </c>
      <c r="N1904" t="s">
        <v>135</v>
      </c>
      <c r="O1904"/>
      <c r="P1904"/>
      <c r="Q1904" t="s">
        <v>4277</v>
      </c>
      <c r="R1904"/>
      <c r="S1904"/>
      <c r="T1904"/>
      <c r="U1904" t="s">
        <v>137</v>
      </c>
      <c r="V1904" t="s">
        <v>640</v>
      </c>
      <c r="W1904" s="9">
        <v>46138.205121261577</v>
      </c>
      <c r="X1904" t="s">
        <v>66</v>
      </c>
      <c r="Y1904"/>
      <c r="Z1904"/>
      <c r="AA1904" t="s">
        <v>4278</v>
      </c>
      <c r="AB1904"/>
      <c r="AC1904" t="s">
        <v>24</v>
      </c>
      <c r="AD1904" t="s">
        <v>128</v>
      </c>
      <c r="AE1904" s="97"/>
    </row>
    <row r="1905" spans="1:31" ht="14.4" customHeight="1" x14ac:dyDescent="0.3">
      <c r="A1905" t="s">
        <v>4333</v>
      </c>
      <c r="B1905"/>
      <c r="C1905" t="s">
        <v>4334</v>
      </c>
      <c r="D1905"/>
      <c r="E1905" t="s">
        <v>4334</v>
      </c>
      <c r="F1905" t="s">
        <v>6769</v>
      </c>
      <c r="G1905" t="s">
        <v>4275</v>
      </c>
      <c r="H1905" t="s">
        <v>132</v>
      </c>
      <c r="I1905" t="s">
        <v>4</v>
      </c>
      <c r="J1905" t="s">
        <v>4276</v>
      </c>
      <c r="K1905" t="s">
        <v>54</v>
      </c>
      <c r="L1905"/>
      <c r="M1905" t="s">
        <v>134</v>
      </c>
      <c r="N1905" t="s">
        <v>135</v>
      </c>
      <c r="O1905"/>
      <c r="P1905"/>
      <c r="Q1905" t="s">
        <v>4277</v>
      </c>
      <c r="R1905"/>
      <c r="S1905"/>
      <c r="T1905"/>
      <c r="U1905" t="s">
        <v>137</v>
      </c>
      <c r="V1905" t="s">
        <v>646</v>
      </c>
      <c r="W1905" s="9">
        <v>46157.267195370368</v>
      </c>
      <c r="X1905" t="s">
        <v>74</v>
      </c>
      <c r="Y1905"/>
      <c r="Z1905"/>
      <c r="AA1905" t="s">
        <v>4278</v>
      </c>
      <c r="AB1905"/>
      <c r="AC1905" t="s">
        <v>24</v>
      </c>
      <c r="AD1905" t="s">
        <v>128</v>
      </c>
      <c r="AE1905" s="97"/>
    </row>
    <row r="1906" spans="1:31" ht="14.4" customHeight="1" x14ac:dyDescent="0.3">
      <c r="A1906" t="s">
        <v>4335</v>
      </c>
      <c r="B1906"/>
      <c r="C1906" t="s">
        <v>4336</v>
      </c>
      <c r="D1906"/>
      <c r="E1906" t="s">
        <v>4336</v>
      </c>
      <c r="F1906" t="s">
        <v>6769</v>
      </c>
      <c r="G1906" t="s">
        <v>4275</v>
      </c>
      <c r="H1906" t="s">
        <v>132</v>
      </c>
      <c r="I1906" t="s">
        <v>4</v>
      </c>
      <c r="J1906" t="s">
        <v>4276</v>
      </c>
      <c r="K1906" t="s">
        <v>54</v>
      </c>
      <c r="L1906"/>
      <c r="M1906" t="s">
        <v>134</v>
      </c>
      <c r="N1906" t="s">
        <v>135</v>
      </c>
      <c r="O1906"/>
      <c r="P1906"/>
      <c r="Q1906" t="s">
        <v>4277</v>
      </c>
      <c r="R1906"/>
      <c r="S1906"/>
      <c r="T1906"/>
      <c r="U1906" t="s">
        <v>137</v>
      </c>
      <c r="V1906" t="s">
        <v>646</v>
      </c>
      <c r="W1906" s="9">
        <v>46116.257679629627</v>
      </c>
      <c r="X1906" t="s">
        <v>74</v>
      </c>
      <c r="Y1906"/>
      <c r="Z1906"/>
      <c r="AA1906" t="s">
        <v>4278</v>
      </c>
      <c r="AB1906"/>
      <c r="AC1906" t="s">
        <v>24</v>
      </c>
      <c r="AD1906" t="s">
        <v>128</v>
      </c>
      <c r="AE1906" s="97"/>
    </row>
    <row r="1907" spans="1:31" ht="14.4" customHeight="1" x14ac:dyDescent="0.3">
      <c r="A1907" t="s">
        <v>4337</v>
      </c>
      <c r="B1907"/>
      <c r="C1907" t="s">
        <v>4338</v>
      </c>
      <c r="D1907"/>
      <c r="E1907" t="s">
        <v>4338</v>
      </c>
      <c r="F1907" t="s">
        <v>6769</v>
      </c>
      <c r="G1907" t="s">
        <v>4275</v>
      </c>
      <c r="H1907" t="s">
        <v>132</v>
      </c>
      <c r="I1907" t="s">
        <v>4</v>
      </c>
      <c r="J1907" t="s">
        <v>4276</v>
      </c>
      <c r="K1907" t="s">
        <v>54</v>
      </c>
      <c r="L1907"/>
      <c r="M1907" t="s">
        <v>134</v>
      </c>
      <c r="N1907" t="s">
        <v>135</v>
      </c>
      <c r="O1907"/>
      <c r="P1907"/>
      <c r="Q1907" t="s">
        <v>4277</v>
      </c>
      <c r="R1907"/>
      <c r="S1907"/>
      <c r="T1907"/>
      <c r="U1907" t="s">
        <v>137</v>
      </c>
      <c r="V1907" t="s">
        <v>652</v>
      </c>
      <c r="W1907" s="9">
        <v>46138.206392627311</v>
      </c>
      <c r="X1907" t="s">
        <v>85</v>
      </c>
      <c r="Y1907"/>
      <c r="Z1907"/>
      <c r="AA1907" t="s">
        <v>4278</v>
      </c>
      <c r="AB1907"/>
      <c r="AC1907" t="s">
        <v>24</v>
      </c>
      <c r="AD1907" t="s">
        <v>129</v>
      </c>
      <c r="AE1907" s="97"/>
    </row>
    <row r="1908" spans="1:31" ht="14.4" customHeight="1" x14ac:dyDescent="0.3">
      <c r="A1908" t="s">
        <v>4339</v>
      </c>
      <c r="B1908"/>
      <c r="C1908" t="s">
        <v>4340</v>
      </c>
      <c r="D1908"/>
      <c r="E1908" t="s">
        <v>4340</v>
      </c>
      <c r="F1908" t="s">
        <v>6769</v>
      </c>
      <c r="G1908" t="s">
        <v>4275</v>
      </c>
      <c r="H1908" t="s">
        <v>132</v>
      </c>
      <c r="I1908" t="s">
        <v>4</v>
      </c>
      <c r="J1908" t="s">
        <v>4276</v>
      </c>
      <c r="K1908" t="s">
        <v>54</v>
      </c>
      <c r="L1908"/>
      <c r="M1908" t="s">
        <v>134</v>
      </c>
      <c r="N1908" t="s">
        <v>135</v>
      </c>
      <c r="O1908"/>
      <c r="P1908"/>
      <c r="Q1908" t="s">
        <v>4277</v>
      </c>
      <c r="R1908"/>
      <c r="S1908"/>
      <c r="T1908"/>
      <c r="U1908" t="s">
        <v>137</v>
      </c>
      <c r="V1908" t="s">
        <v>652</v>
      </c>
      <c r="W1908" s="9">
        <v>46138.207257789349</v>
      </c>
      <c r="X1908" t="s">
        <v>85</v>
      </c>
      <c r="Y1908"/>
      <c r="Z1908"/>
      <c r="AA1908" t="s">
        <v>4278</v>
      </c>
      <c r="AB1908"/>
      <c r="AC1908" t="s">
        <v>24</v>
      </c>
      <c r="AD1908" t="s">
        <v>129</v>
      </c>
      <c r="AE1908" s="97"/>
    </row>
    <row r="1909" spans="1:31" ht="14.4" customHeight="1" x14ac:dyDescent="0.3">
      <c r="A1909" t="s">
        <v>4341</v>
      </c>
      <c r="B1909"/>
      <c r="C1909" t="s">
        <v>4342</v>
      </c>
      <c r="D1909"/>
      <c r="E1909" t="s">
        <v>4342</v>
      </c>
      <c r="F1909" t="s">
        <v>6769</v>
      </c>
      <c r="G1909" t="s">
        <v>4275</v>
      </c>
      <c r="H1909" t="s">
        <v>132</v>
      </c>
      <c r="I1909" t="s">
        <v>4</v>
      </c>
      <c r="J1909" t="s">
        <v>4276</v>
      </c>
      <c r="K1909" t="s">
        <v>54</v>
      </c>
      <c r="L1909"/>
      <c r="M1909" t="s">
        <v>134</v>
      </c>
      <c r="N1909" t="s">
        <v>135</v>
      </c>
      <c r="O1909"/>
      <c r="P1909"/>
      <c r="Q1909" t="s">
        <v>4277</v>
      </c>
      <c r="R1909"/>
      <c r="S1909"/>
      <c r="T1909"/>
      <c r="U1909" t="s">
        <v>137</v>
      </c>
      <c r="V1909" t="s">
        <v>658</v>
      </c>
      <c r="W1909" s="9">
        <v>46138.212138344905</v>
      </c>
      <c r="X1909" t="s">
        <v>94</v>
      </c>
      <c r="Y1909"/>
      <c r="Z1909"/>
      <c r="AA1909" t="s">
        <v>4278</v>
      </c>
      <c r="AB1909"/>
      <c r="AC1909" t="s">
        <v>24</v>
      </c>
      <c r="AD1909" t="s">
        <v>129</v>
      </c>
      <c r="AE1909" s="97"/>
    </row>
    <row r="1910" spans="1:31" ht="14.4" customHeight="1" x14ac:dyDescent="0.3">
      <c r="A1910" t="s">
        <v>4343</v>
      </c>
      <c r="B1910"/>
      <c r="C1910" t="s">
        <v>4344</v>
      </c>
      <c r="D1910"/>
      <c r="E1910" t="s">
        <v>4344</v>
      </c>
      <c r="F1910" t="s">
        <v>6769</v>
      </c>
      <c r="G1910" t="s">
        <v>4275</v>
      </c>
      <c r="H1910" t="s">
        <v>132</v>
      </c>
      <c r="I1910" t="s">
        <v>4</v>
      </c>
      <c r="J1910" t="s">
        <v>4276</v>
      </c>
      <c r="K1910" t="s">
        <v>54</v>
      </c>
      <c r="L1910"/>
      <c r="M1910" t="s">
        <v>134</v>
      </c>
      <c r="N1910" t="s">
        <v>135</v>
      </c>
      <c r="O1910"/>
      <c r="P1910"/>
      <c r="Q1910" t="s">
        <v>4277</v>
      </c>
      <c r="R1910"/>
      <c r="S1910"/>
      <c r="T1910"/>
      <c r="U1910" t="s">
        <v>137</v>
      </c>
      <c r="V1910" t="s">
        <v>658</v>
      </c>
      <c r="W1910" s="9">
        <v>46138.213438576386</v>
      </c>
      <c r="X1910" t="s">
        <v>94</v>
      </c>
      <c r="Y1910"/>
      <c r="Z1910"/>
      <c r="AA1910" t="s">
        <v>4278</v>
      </c>
      <c r="AB1910"/>
      <c r="AC1910" t="s">
        <v>24</v>
      </c>
      <c r="AD1910" t="s">
        <v>129</v>
      </c>
      <c r="AE1910" s="97"/>
    </row>
    <row r="1911" spans="1:31" ht="14.4" customHeight="1" x14ac:dyDescent="0.3">
      <c r="A1911" t="s">
        <v>4345</v>
      </c>
      <c r="B1911"/>
      <c r="C1911" t="s">
        <v>4346</v>
      </c>
      <c r="D1911"/>
      <c r="E1911" t="s">
        <v>4346</v>
      </c>
      <c r="F1911" t="s">
        <v>6769</v>
      </c>
      <c r="G1911" t="s">
        <v>4275</v>
      </c>
      <c r="H1911" t="s">
        <v>132</v>
      </c>
      <c r="I1911" t="s">
        <v>4</v>
      </c>
      <c r="J1911" t="s">
        <v>4276</v>
      </c>
      <c r="K1911" t="s">
        <v>54</v>
      </c>
      <c r="L1911"/>
      <c r="M1911" t="s">
        <v>134</v>
      </c>
      <c r="N1911" t="s">
        <v>135</v>
      </c>
      <c r="O1911"/>
      <c r="P1911"/>
      <c r="Q1911" t="s">
        <v>4277</v>
      </c>
      <c r="R1911"/>
      <c r="S1911"/>
      <c r="T1911"/>
      <c r="U1911" t="s">
        <v>137</v>
      </c>
      <c r="V1911" t="s">
        <v>664</v>
      </c>
      <c r="W1911" s="9">
        <v>46138.214348877314</v>
      </c>
      <c r="X1911" t="s">
        <v>103</v>
      </c>
      <c r="Y1911"/>
      <c r="Z1911"/>
      <c r="AA1911" t="s">
        <v>4278</v>
      </c>
      <c r="AB1911"/>
      <c r="AC1911" t="s">
        <v>24</v>
      </c>
      <c r="AD1911" t="s">
        <v>129</v>
      </c>
      <c r="AE1911" s="97"/>
    </row>
    <row r="1912" spans="1:31" ht="14.4" customHeight="1" x14ac:dyDescent="0.3">
      <c r="A1912" t="s">
        <v>4347</v>
      </c>
      <c r="B1912"/>
      <c r="C1912" t="s">
        <v>4348</v>
      </c>
      <c r="D1912"/>
      <c r="E1912" t="s">
        <v>4348</v>
      </c>
      <c r="F1912" t="s">
        <v>6769</v>
      </c>
      <c r="G1912" t="s">
        <v>4275</v>
      </c>
      <c r="H1912" t="s">
        <v>132</v>
      </c>
      <c r="I1912" t="s">
        <v>4</v>
      </c>
      <c r="J1912" t="s">
        <v>4276</v>
      </c>
      <c r="K1912" t="s">
        <v>54</v>
      </c>
      <c r="L1912"/>
      <c r="M1912" t="s">
        <v>134</v>
      </c>
      <c r="N1912" t="s">
        <v>135</v>
      </c>
      <c r="O1912"/>
      <c r="P1912"/>
      <c r="Q1912" t="s">
        <v>4277</v>
      </c>
      <c r="R1912"/>
      <c r="S1912"/>
      <c r="T1912"/>
      <c r="U1912" t="s">
        <v>137</v>
      </c>
      <c r="V1912" t="s">
        <v>664</v>
      </c>
      <c r="W1912" s="9">
        <v>46138.215299305557</v>
      </c>
      <c r="X1912" t="s">
        <v>103</v>
      </c>
      <c r="Y1912"/>
      <c r="Z1912"/>
      <c r="AA1912" t="s">
        <v>4278</v>
      </c>
      <c r="AB1912"/>
      <c r="AC1912" t="s">
        <v>24</v>
      </c>
      <c r="AD1912" t="s">
        <v>129</v>
      </c>
      <c r="AE1912" s="97"/>
    </row>
    <row r="1913" spans="1:31" ht="14.4" customHeight="1" x14ac:dyDescent="0.3">
      <c r="A1913" t="s">
        <v>4349</v>
      </c>
      <c r="B1913"/>
      <c r="C1913" t="s">
        <v>4350</v>
      </c>
      <c r="D1913"/>
      <c r="E1913" t="s">
        <v>4350</v>
      </c>
      <c r="F1913" t="s">
        <v>6769</v>
      </c>
      <c r="G1913" t="s">
        <v>4275</v>
      </c>
      <c r="H1913" t="s">
        <v>132</v>
      </c>
      <c r="I1913" t="s">
        <v>4</v>
      </c>
      <c r="J1913" t="s">
        <v>4276</v>
      </c>
      <c r="K1913" t="s">
        <v>54</v>
      </c>
      <c r="L1913"/>
      <c r="M1913" t="s">
        <v>134</v>
      </c>
      <c r="N1913" t="s">
        <v>135</v>
      </c>
      <c r="O1913"/>
      <c r="P1913"/>
      <c r="Q1913" t="s">
        <v>4277</v>
      </c>
      <c r="R1913"/>
      <c r="S1913"/>
      <c r="T1913"/>
      <c r="U1913" t="s">
        <v>137</v>
      </c>
      <c r="V1913" t="s">
        <v>670</v>
      </c>
      <c r="W1913" s="9">
        <v>46138.215877696763</v>
      </c>
      <c r="X1913" t="s">
        <v>110</v>
      </c>
      <c r="Y1913"/>
      <c r="Z1913"/>
      <c r="AA1913" t="s">
        <v>4278</v>
      </c>
      <c r="AB1913"/>
      <c r="AC1913" t="s">
        <v>24</v>
      </c>
      <c r="AD1913" t="s">
        <v>129</v>
      </c>
      <c r="AE1913" s="97"/>
    </row>
    <row r="1914" spans="1:31" ht="14.4" customHeight="1" x14ac:dyDescent="0.3">
      <c r="A1914" t="s">
        <v>4351</v>
      </c>
      <c r="B1914"/>
      <c r="C1914" t="s">
        <v>4352</v>
      </c>
      <c r="D1914"/>
      <c r="E1914" t="s">
        <v>4352</v>
      </c>
      <c r="F1914" t="s">
        <v>6769</v>
      </c>
      <c r="G1914" t="s">
        <v>4275</v>
      </c>
      <c r="H1914" t="s">
        <v>132</v>
      </c>
      <c r="I1914" t="s">
        <v>4</v>
      </c>
      <c r="J1914" t="s">
        <v>4276</v>
      </c>
      <c r="K1914" t="s">
        <v>54</v>
      </c>
      <c r="L1914"/>
      <c r="M1914" t="s">
        <v>134</v>
      </c>
      <c r="N1914" t="s">
        <v>135</v>
      </c>
      <c r="O1914"/>
      <c r="P1914"/>
      <c r="Q1914" t="s">
        <v>4277</v>
      </c>
      <c r="R1914"/>
      <c r="S1914"/>
      <c r="T1914"/>
      <c r="U1914" t="s">
        <v>137</v>
      </c>
      <c r="V1914" t="s">
        <v>670</v>
      </c>
      <c r="W1914" s="9">
        <v>46138.217454016201</v>
      </c>
      <c r="X1914" t="s">
        <v>110</v>
      </c>
      <c r="Y1914"/>
      <c r="Z1914"/>
      <c r="AA1914" t="s">
        <v>4278</v>
      </c>
      <c r="AB1914"/>
      <c r="AC1914" t="s">
        <v>24</v>
      </c>
      <c r="AD1914" t="s">
        <v>129</v>
      </c>
      <c r="AE1914" s="97"/>
    </row>
    <row r="1915" spans="1:31" ht="14.4" customHeight="1" x14ac:dyDescent="0.3">
      <c r="A1915" t="s">
        <v>4353</v>
      </c>
      <c r="B1915"/>
      <c r="C1915" t="s">
        <v>4354</v>
      </c>
      <c r="D1915"/>
      <c r="E1915" t="s">
        <v>4354</v>
      </c>
      <c r="F1915" t="s">
        <v>6769</v>
      </c>
      <c r="G1915" t="s">
        <v>4275</v>
      </c>
      <c r="H1915" t="s">
        <v>132</v>
      </c>
      <c r="I1915" t="s">
        <v>4</v>
      </c>
      <c r="J1915" t="s">
        <v>4276</v>
      </c>
      <c r="K1915" t="s">
        <v>54</v>
      </c>
      <c r="L1915"/>
      <c r="M1915" t="s">
        <v>134</v>
      </c>
      <c r="N1915" t="s">
        <v>135</v>
      </c>
      <c r="O1915"/>
      <c r="P1915"/>
      <c r="Q1915" t="s">
        <v>4277</v>
      </c>
      <c r="R1915"/>
      <c r="S1915"/>
      <c r="T1915"/>
      <c r="U1915" t="s">
        <v>137</v>
      </c>
      <c r="V1915" t="s">
        <v>676</v>
      </c>
      <c r="W1915" s="9">
        <v>46138.218107025466</v>
      </c>
      <c r="X1915" t="s">
        <v>119</v>
      </c>
      <c r="Y1915"/>
      <c r="Z1915"/>
      <c r="AA1915" t="s">
        <v>4278</v>
      </c>
      <c r="AB1915"/>
      <c r="AC1915" t="s">
        <v>24</v>
      </c>
      <c r="AD1915" t="s">
        <v>130</v>
      </c>
      <c r="AE1915" s="97"/>
    </row>
    <row r="1916" spans="1:31" ht="14.4" customHeight="1" x14ac:dyDescent="0.3">
      <c r="A1916" t="s">
        <v>4355</v>
      </c>
      <c r="B1916"/>
      <c r="C1916" t="s">
        <v>4356</v>
      </c>
      <c r="D1916"/>
      <c r="E1916" t="s">
        <v>4356</v>
      </c>
      <c r="F1916" t="s">
        <v>6769</v>
      </c>
      <c r="G1916" t="s">
        <v>4275</v>
      </c>
      <c r="H1916" t="s">
        <v>132</v>
      </c>
      <c r="I1916" t="s">
        <v>4</v>
      </c>
      <c r="J1916" t="s">
        <v>4276</v>
      </c>
      <c r="K1916" t="s">
        <v>54</v>
      </c>
      <c r="L1916"/>
      <c r="M1916" t="s">
        <v>134</v>
      </c>
      <c r="N1916" t="s">
        <v>135</v>
      </c>
      <c r="O1916"/>
      <c r="P1916"/>
      <c r="Q1916" t="s">
        <v>4277</v>
      </c>
      <c r="R1916"/>
      <c r="S1916"/>
      <c r="T1916"/>
      <c r="U1916" t="s">
        <v>137</v>
      </c>
      <c r="V1916" t="s">
        <v>676</v>
      </c>
      <c r="W1916" s="9">
        <v>46138.21937515046</v>
      </c>
      <c r="X1916" t="s">
        <v>119</v>
      </c>
      <c r="Y1916"/>
      <c r="Z1916"/>
      <c r="AA1916" t="s">
        <v>4278</v>
      </c>
      <c r="AB1916"/>
      <c r="AC1916" t="s">
        <v>24</v>
      </c>
      <c r="AD1916" t="s">
        <v>130</v>
      </c>
      <c r="AE1916" s="97"/>
    </row>
    <row r="1917" spans="1:31" ht="14.4" customHeight="1" x14ac:dyDescent="0.3">
      <c r="A1917" t="s">
        <v>4357</v>
      </c>
      <c r="B1917"/>
      <c r="C1917" t="s">
        <v>4358</v>
      </c>
      <c r="D1917"/>
      <c r="E1917" t="s">
        <v>4358</v>
      </c>
      <c r="F1917" t="s">
        <v>6769</v>
      </c>
      <c r="G1917" t="s">
        <v>4275</v>
      </c>
      <c r="H1917" t="s">
        <v>132</v>
      </c>
      <c r="I1917" t="s">
        <v>4</v>
      </c>
      <c r="J1917" t="s">
        <v>4276</v>
      </c>
      <c r="K1917" t="s">
        <v>54</v>
      </c>
      <c r="L1917"/>
      <c r="M1917" t="s">
        <v>134</v>
      </c>
      <c r="N1917" t="s">
        <v>135</v>
      </c>
      <c r="O1917"/>
      <c r="P1917"/>
      <c r="Q1917" t="s">
        <v>4277</v>
      </c>
      <c r="R1917"/>
      <c r="S1917"/>
      <c r="T1917"/>
      <c r="U1917" t="s">
        <v>137</v>
      </c>
      <c r="V1917" t="s">
        <v>1190</v>
      </c>
      <c r="W1917" s="9">
        <v>46157.267840243054</v>
      </c>
      <c r="X1917" t="s">
        <v>67</v>
      </c>
      <c r="Y1917"/>
      <c r="Z1917"/>
      <c r="AA1917" t="s">
        <v>4278</v>
      </c>
      <c r="AB1917"/>
      <c r="AC1917" t="s">
        <v>24</v>
      </c>
      <c r="AD1917" t="s">
        <v>128</v>
      </c>
      <c r="AE1917" s="97"/>
    </row>
    <row r="1918" spans="1:31" ht="14.4" customHeight="1" x14ac:dyDescent="0.3">
      <c r="A1918" t="s">
        <v>4359</v>
      </c>
      <c r="B1918"/>
      <c r="C1918" t="s">
        <v>4360</v>
      </c>
      <c r="D1918"/>
      <c r="E1918" t="s">
        <v>4360</v>
      </c>
      <c r="F1918" t="s">
        <v>6769</v>
      </c>
      <c r="G1918" t="s">
        <v>4275</v>
      </c>
      <c r="H1918" t="s">
        <v>132</v>
      </c>
      <c r="I1918" t="s">
        <v>4</v>
      </c>
      <c r="J1918" t="s">
        <v>4276</v>
      </c>
      <c r="K1918" t="s">
        <v>54</v>
      </c>
      <c r="L1918"/>
      <c r="M1918" t="s">
        <v>134</v>
      </c>
      <c r="N1918" t="s">
        <v>135</v>
      </c>
      <c r="O1918"/>
      <c r="P1918"/>
      <c r="Q1918" t="s">
        <v>4277</v>
      </c>
      <c r="R1918"/>
      <c r="S1918"/>
      <c r="T1918"/>
      <c r="U1918" t="s">
        <v>137</v>
      </c>
      <c r="V1918" t="s">
        <v>1190</v>
      </c>
      <c r="W1918" s="9">
        <v>46138.258475347226</v>
      </c>
      <c r="X1918" t="s">
        <v>67</v>
      </c>
      <c r="Y1918"/>
      <c r="Z1918"/>
      <c r="AA1918" t="s">
        <v>4278</v>
      </c>
      <c r="AB1918"/>
      <c r="AC1918" t="s">
        <v>24</v>
      </c>
      <c r="AD1918" t="s">
        <v>128</v>
      </c>
      <c r="AE1918" s="97"/>
    </row>
    <row r="1919" spans="1:31" ht="14.4" customHeight="1" x14ac:dyDescent="0.3">
      <c r="A1919" t="s">
        <v>4361</v>
      </c>
      <c r="B1919"/>
      <c r="C1919" t="s">
        <v>4362</v>
      </c>
      <c r="D1919"/>
      <c r="E1919" t="s">
        <v>4362</v>
      </c>
      <c r="F1919" t="s">
        <v>6769</v>
      </c>
      <c r="G1919" t="s">
        <v>4275</v>
      </c>
      <c r="H1919" t="s">
        <v>132</v>
      </c>
      <c r="I1919" t="s">
        <v>4</v>
      </c>
      <c r="J1919" t="s">
        <v>4276</v>
      </c>
      <c r="K1919" t="s">
        <v>54</v>
      </c>
      <c r="L1919"/>
      <c r="M1919" t="s">
        <v>134</v>
      </c>
      <c r="N1919" t="s">
        <v>135</v>
      </c>
      <c r="O1919"/>
      <c r="P1919"/>
      <c r="Q1919" t="s">
        <v>4277</v>
      </c>
      <c r="R1919"/>
      <c r="S1919"/>
      <c r="T1919"/>
      <c r="U1919" t="s">
        <v>137</v>
      </c>
      <c r="V1919" t="s">
        <v>1194</v>
      </c>
      <c r="W1919" s="9">
        <v>46138.259192743055</v>
      </c>
      <c r="X1919" t="s">
        <v>75</v>
      </c>
      <c r="Y1919"/>
      <c r="Z1919"/>
      <c r="AA1919" t="s">
        <v>4278</v>
      </c>
      <c r="AB1919"/>
      <c r="AC1919" t="s">
        <v>24</v>
      </c>
      <c r="AD1919" t="s">
        <v>128</v>
      </c>
      <c r="AE1919" s="97"/>
    </row>
    <row r="1920" spans="1:31" ht="14.4" customHeight="1" x14ac:dyDescent="0.3">
      <c r="A1920" t="s">
        <v>4363</v>
      </c>
      <c r="B1920"/>
      <c r="C1920" t="s">
        <v>4364</v>
      </c>
      <c r="D1920"/>
      <c r="E1920" t="s">
        <v>4364</v>
      </c>
      <c r="F1920" t="s">
        <v>6769</v>
      </c>
      <c r="G1920" t="s">
        <v>4275</v>
      </c>
      <c r="H1920" t="s">
        <v>132</v>
      </c>
      <c r="I1920" t="s">
        <v>4</v>
      </c>
      <c r="J1920" t="s">
        <v>4276</v>
      </c>
      <c r="K1920" t="s">
        <v>54</v>
      </c>
      <c r="L1920"/>
      <c r="M1920" t="s">
        <v>134</v>
      </c>
      <c r="N1920" t="s">
        <v>135</v>
      </c>
      <c r="O1920"/>
      <c r="P1920"/>
      <c r="Q1920" t="s">
        <v>4277</v>
      </c>
      <c r="R1920"/>
      <c r="S1920"/>
      <c r="T1920"/>
      <c r="U1920" t="s">
        <v>137</v>
      </c>
      <c r="V1920" t="s">
        <v>1194</v>
      </c>
      <c r="W1920" s="9">
        <v>46138.259967905091</v>
      </c>
      <c r="X1920" t="s">
        <v>75</v>
      </c>
      <c r="Y1920"/>
      <c r="Z1920"/>
      <c r="AA1920" t="s">
        <v>4278</v>
      </c>
      <c r="AB1920"/>
      <c r="AC1920" t="s">
        <v>24</v>
      </c>
      <c r="AD1920" t="s">
        <v>128</v>
      </c>
      <c r="AE1920" s="97"/>
    </row>
    <row r="1921" spans="1:31" ht="14.4" customHeight="1" x14ac:dyDescent="0.3">
      <c r="A1921" t="s">
        <v>4365</v>
      </c>
      <c r="B1921"/>
      <c r="C1921" t="s">
        <v>4366</v>
      </c>
      <c r="D1921"/>
      <c r="E1921" t="s">
        <v>4366</v>
      </c>
      <c r="F1921" t="s">
        <v>6769</v>
      </c>
      <c r="G1921" t="s">
        <v>4275</v>
      </c>
      <c r="H1921" t="s">
        <v>132</v>
      </c>
      <c r="I1921" t="s">
        <v>4</v>
      </c>
      <c r="J1921" t="s">
        <v>4276</v>
      </c>
      <c r="K1921" t="s">
        <v>54</v>
      </c>
      <c r="L1921"/>
      <c r="M1921" t="s">
        <v>134</v>
      </c>
      <c r="N1921" t="s">
        <v>135</v>
      </c>
      <c r="O1921"/>
      <c r="P1921"/>
      <c r="Q1921" t="s">
        <v>4277</v>
      </c>
      <c r="R1921"/>
      <c r="S1921"/>
      <c r="T1921"/>
      <c r="U1921" t="s">
        <v>137</v>
      </c>
      <c r="V1921" t="s">
        <v>1198</v>
      </c>
      <c r="W1921" s="9">
        <v>46138.261243090281</v>
      </c>
      <c r="X1921" t="s">
        <v>86</v>
      </c>
      <c r="Y1921"/>
      <c r="Z1921"/>
      <c r="AA1921" t="s">
        <v>4278</v>
      </c>
      <c r="AB1921"/>
      <c r="AC1921" t="s">
        <v>24</v>
      </c>
      <c r="AD1921" t="s">
        <v>129</v>
      </c>
      <c r="AE1921" s="97"/>
    </row>
    <row r="1922" spans="1:31" ht="14.4" customHeight="1" x14ac:dyDescent="0.3">
      <c r="A1922" t="s">
        <v>4367</v>
      </c>
      <c r="B1922"/>
      <c r="C1922" t="s">
        <v>4368</v>
      </c>
      <c r="D1922"/>
      <c r="E1922" t="s">
        <v>4368</v>
      </c>
      <c r="F1922" t="s">
        <v>6769</v>
      </c>
      <c r="G1922" t="s">
        <v>4275</v>
      </c>
      <c r="H1922" t="s">
        <v>132</v>
      </c>
      <c r="I1922" t="s">
        <v>4</v>
      </c>
      <c r="J1922" t="s">
        <v>4276</v>
      </c>
      <c r="K1922" t="s">
        <v>54</v>
      </c>
      <c r="L1922"/>
      <c r="M1922" t="s">
        <v>134</v>
      </c>
      <c r="N1922" t="s">
        <v>135</v>
      </c>
      <c r="O1922"/>
      <c r="P1922"/>
      <c r="Q1922" t="s">
        <v>4277</v>
      </c>
      <c r="R1922"/>
      <c r="S1922"/>
      <c r="T1922"/>
      <c r="U1922" t="s">
        <v>137</v>
      </c>
      <c r="V1922" t="s">
        <v>1198</v>
      </c>
      <c r="W1922" s="9">
        <v>46138.261896145836</v>
      </c>
      <c r="X1922" t="s">
        <v>86</v>
      </c>
      <c r="Y1922"/>
      <c r="Z1922"/>
      <c r="AA1922" t="s">
        <v>4278</v>
      </c>
      <c r="AB1922"/>
      <c r="AC1922" t="s">
        <v>24</v>
      </c>
      <c r="AD1922" t="s">
        <v>129</v>
      </c>
      <c r="AE1922" s="97"/>
    </row>
    <row r="1923" spans="1:31" ht="14.4" customHeight="1" x14ac:dyDescent="0.3">
      <c r="A1923" t="s">
        <v>4369</v>
      </c>
      <c r="B1923"/>
      <c r="C1923" t="s">
        <v>4370</v>
      </c>
      <c r="D1923"/>
      <c r="E1923" t="s">
        <v>4370</v>
      </c>
      <c r="F1923" t="s">
        <v>6769</v>
      </c>
      <c r="G1923" t="s">
        <v>4275</v>
      </c>
      <c r="H1923" t="s">
        <v>132</v>
      </c>
      <c r="I1923" t="s">
        <v>4</v>
      </c>
      <c r="J1923" t="s">
        <v>4276</v>
      </c>
      <c r="K1923" t="s">
        <v>54</v>
      </c>
      <c r="L1923"/>
      <c r="M1923" t="s">
        <v>134</v>
      </c>
      <c r="N1923" t="s">
        <v>135</v>
      </c>
      <c r="O1923"/>
      <c r="P1923"/>
      <c r="Q1923" t="s">
        <v>4277</v>
      </c>
      <c r="R1923"/>
      <c r="S1923"/>
      <c r="T1923"/>
      <c r="U1923" t="s">
        <v>137</v>
      </c>
      <c r="V1923" t="s">
        <v>1202</v>
      </c>
      <c r="W1923" s="9">
        <v>46161.348047187501</v>
      </c>
      <c r="X1923" t="s">
        <v>95</v>
      </c>
      <c r="Y1923"/>
      <c r="Z1923"/>
      <c r="AA1923" t="s">
        <v>4278</v>
      </c>
      <c r="AB1923"/>
      <c r="AC1923" t="s">
        <v>24</v>
      </c>
      <c r="AD1923" t="s">
        <v>129</v>
      </c>
      <c r="AE1923" s="97"/>
    </row>
    <row r="1924" spans="1:31" ht="14.4" customHeight="1" x14ac:dyDescent="0.3">
      <c r="A1924" t="s">
        <v>4371</v>
      </c>
      <c r="B1924"/>
      <c r="C1924" t="s">
        <v>4372</v>
      </c>
      <c r="D1924"/>
      <c r="E1924" t="s">
        <v>4372</v>
      </c>
      <c r="F1924" t="s">
        <v>6769</v>
      </c>
      <c r="G1924" t="s">
        <v>4275</v>
      </c>
      <c r="H1924" t="s">
        <v>132</v>
      </c>
      <c r="I1924" t="s">
        <v>4</v>
      </c>
      <c r="J1924" t="s">
        <v>4276</v>
      </c>
      <c r="K1924" t="s">
        <v>54</v>
      </c>
      <c r="L1924"/>
      <c r="M1924" t="s">
        <v>134</v>
      </c>
      <c r="N1924" t="s">
        <v>135</v>
      </c>
      <c r="O1924"/>
      <c r="P1924"/>
      <c r="Q1924" t="s">
        <v>4277</v>
      </c>
      <c r="R1924"/>
      <c r="S1924"/>
      <c r="T1924"/>
      <c r="U1924" t="s">
        <v>137</v>
      </c>
      <c r="V1924" t="s">
        <v>1202</v>
      </c>
      <c r="W1924" s="9">
        <v>46138.262763738428</v>
      </c>
      <c r="X1924" t="s">
        <v>95</v>
      </c>
      <c r="Y1924"/>
      <c r="Z1924"/>
      <c r="AA1924" t="s">
        <v>4278</v>
      </c>
      <c r="AB1924"/>
      <c r="AC1924" t="s">
        <v>24</v>
      </c>
      <c r="AD1924" t="s">
        <v>129</v>
      </c>
      <c r="AE1924" s="97"/>
    </row>
    <row r="1925" spans="1:31" ht="14.4" customHeight="1" x14ac:dyDescent="0.3">
      <c r="A1925" t="s">
        <v>4373</v>
      </c>
      <c r="B1925"/>
      <c r="C1925" t="s">
        <v>4374</v>
      </c>
      <c r="D1925"/>
      <c r="E1925" t="s">
        <v>4374</v>
      </c>
      <c r="F1925" t="s">
        <v>6769</v>
      </c>
      <c r="G1925" t="s">
        <v>4275</v>
      </c>
      <c r="H1925" t="s">
        <v>132</v>
      </c>
      <c r="I1925" t="s">
        <v>4</v>
      </c>
      <c r="J1925" t="s">
        <v>4276</v>
      </c>
      <c r="K1925" t="s">
        <v>54</v>
      </c>
      <c r="L1925"/>
      <c r="M1925" t="s">
        <v>134</v>
      </c>
      <c r="N1925" t="s">
        <v>135</v>
      </c>
      <c r="O1925"/>
      <c r="P1925"/>
      <c r="Q1925" t="s">
        <v>4277</v>
      </c>
      <c r="R1925"/>
      <c r="S1925"/>
      <c r="T1925"/>
      <c r="U1925" t="s">
        <v>137</v>
      </c>
      <c r="V1925" t="s">
        <v>1206</v>
      </c>
      <c r="W1925" s="9">
        <v>46138.263370486115</v>
      </c>
      <c r="X1925" t="s">
        <v>104</v>
      </c>
      <c r="Y1925"/>
      <c r="Z1925"/>
      <c r="AA1925" t="s">
        <v>4278</v>
      </c>
      <c r="AB1925"/>
      <c r="AC1925" t="s">
        <v>24</v>
      </c>
      <c r="AD1925" t="s">
        <v>129</v>
      </c>
      <c r="AE1925" s="97"/>
    </row>
    <row r="1926" spans="1:31" ht="14.4" customHeight="1" x14ac:dyDescent="0.3">
      <c r="A1926" t="s">
        <v>4375</v>
      </c>
      <c r="B1926"/>
      <c r="C1926" t="s">
        <v>4376</v>
      </c>
      <c r="D1926"/>
      <c r="E1926" t="s">
        <v>4376</v>
      </c>
      <c r="F1926" t="s">
        <v>6769</v>
      </c>
      <c r="G1926" t="s">
        <v>4275</v>
      </c>
      <c r="H1926" t="s">
        <v>132</v>
      </c>
      <c r="I1926" t="s">
        <v>4</v>
      </c>
      <c r="J1926" t="s">
        <v>4276</v>
      </c>
      <c r="K1926" t="s">
        <v>54</v>
      </c>
      <c r="L1926"/>
      <c r="M1926" t="s">
        <v>134</v>
      </c>
      <c r="N1926" t="s">
        <v>135</v>
      </c>
      <c r="O1926"/>
      <c r="P1926"/>
      <c r="Q1926" t="s">
        <v>4277</v>
      </c>
      <c r="R1926"/>
      <c r="S1926"/>
      <c r="T1926"/>
      <c r="U1926" t="s">
        <v>137</v>
      </c>
      <c r="V1926" t="s">
        <v>1206</v>
      </c>
      <c r="W1926" s="9">
        <v>46138.264804664352</v>
      </c>
      <c r="X1926" t="s">
        <v>104</v>
      </c>
      <c r="Y1926"/>
      <c r="Z1926"/>
      <c r="AA1926" t="s">
        <v>4278</v>
      </c>
      <c r="AB1926"/>
      <c r="AC1926" t="s">
        <v>24</v>
      </c>
      <c r="AD1926" t="s">
        <v>129</v>
      </c>
      <c r="AE1926" s="97"/>
    </row>
    <row r="1927" spans="1:31" ht="14.4" customHeight="1" x14ac:dyDescent="0.3">
      <c r="A1927" t="s">
        <v>4377</v>
      </c>
      <c r="B1927"/>
      <c r="C1927" t="s">
        <v>4378</v>
      </c>
      <c r="D1927"/>
      <c r="E1927" t="s">
        <v>4378</v>
      </c>
      <c r="F1927" t="s">
        <v>6769</v>
      </c>
      <c r="G1927" t="s">
        <v>4275</v>
      </c>
      <c r="H1927" t="s">
        <v>132</v>
      </c>
      <c r="I1927" t="s">
        <v>4</v>
      </c>
      <c r="J1927" t="s">
        <v>4276</v>
      </c>
      <c r="K1927" t="s">
        <v>54</v>
      </c>
      <c r="L1927"/>
      <c r="M1927" t="s">
        <v>134</v>
      </c>
      <c r="N1927" t="s">
        <v>135</v>
      </c>
      <c r="O1927"/>
      <c r="P1927"/>
      <c r="Q1927" t="s">
        <v>4277</v>
      </c>
      <c r="R1927"/>
      <c r="S1927"/>
      <c r="T1927"/>
      <c r="U1927" t="s">
        <v>137</v>
      </c>
      <c r="V1927" t="s">
        <v>1210</v>
      </c>
      <c r="W1927" s="9">
        <v>46161.347082442131</v>
      </c>
      <c r="X1927" t="s">
        <v>111</v>
      </c>
      <c r="Y1927"/>
      <c r="Z1927"/>
      <c r="AA1927" t="s">
        <v>4278</v>
      </c>
      <c r="AB1927"/>
      <c r="AC1927" t="s">
        <v>24</v>
      </c>
      <c r="AD1927" t="s">
        <v>129</v>
      </c>
      <c r="AE1927" s="97"/>
    </row>
    <row r="1928" spans="1:31" ht="14.4" customHeight="1" x14ac:dyDescent="0.3">
      <c r="A1928" t="s">
        <v>4379</v>
      </c>
      <c r="B1928"/>
      <c r="C1928" t="s">
        <v>4380</v>
      </c>
      <c r="D1928"/>
      <c r="E1928" t="s">
        <v>4380</v>
      </c>
      <c r="F1928" t="s">
        <v>6769</v>
      </c>
      <c r="G1928" t="s">
        <v>4275</v>
      </c>
      <c r="H1928" t="s">
        <v>132</v>
      </c>
      <c r="I1928" t="s">
        <v>4</v>
      </c>
      <c r="J1928" t="s">
        <v>4276</v>
      </c>
      <c r="K1928" t="s">
        <v>54</v>
      </c>
      <c r="L1928"/>
      <c r="M1928" t="s">
        <v>134</v>
      </c>
      <c r="N1928" t="s">
        <v>135</v>
      </c>
      <c r="O1928"/>
      <c r="P1928"/>
      <c r="Q1928" t="s">
        <v>4277</v>
      </c>
      <c r="R1928"/>
      <c r="S1928"/>
      <c r="T1928"/>
      <c r="U1928" t="s">
        <v>137</v>
      </c>
      <c r="V1928" t="s">
        <v>1210</v>
      </c>
      <c r="W1928" s="9">
        <v>46138.265785960648</v>
      </c>
      <c r="X1928" t="s">
        <v>111</v>
      </c>
      <c r="Y1928"/>
      <c r="Z1928"/>
      <c r="AA1928" t="s">
        <v>4278</v>
      </c>
      <c r="AB1928"/>
      <c r="AC1928" t="s">
        <v>24</v>
      </c>
      <c r="AD1928" t="s">
        <v>129</v>
      </c>
      <c r="AE1928" s="97"/>
    </row>
    <row r="1929" spans="1:31" ht="14.4" customHeight="1" x14ac:dyDescent="0.3">
      <c r="A1929" t="s">
        <v>4381</v>
      </c>
      <c r="B1929"/>
      <c r="C1929" t="s">
        <v>4382</v>
      </c>
      <c r="D1929"/>
      <c r="E1929" t="s">
        <v>4382</v>
      </c>
      <c r="F1929" t="s">
        <v>6769</v>
      </c>
      <c r="G1929" t="s">
        <v>4275</v>
      </c>
      <c r="H1929" t="s">
        <v>132</v>
      </c>
      <c r="I1929" t="s">
        <v>4</v>
      </c>
      <c r="J1929" t="s">
        <v>4276</v>
      </c>
      <c r="K1929" t="s">
        <v>54</v>
      </c>
      <c r="L1929"/>
      <c r="M1929" t="s">
        <v>134</v>
      </c>
      <c r="N1929" t="s">
        <v>135</v>
      </c>
      <c r="O1929"/>
      <c r="P1929"/>
      <c r="Q1929" t="s">
        <v>4277</v>
      </c>
      <c r="R1929"/>
      <c r="S1929"/>
      <c r="T1929"/>
      <c r="U1929" t="s">
        <v>137</v>
      </c>
      <c r="V1929" t="s">
        <v>1214</v>
      </c>
      <c r="W1929" s="9">
        <v>46138.266424768517</v>
      </c>
      <c r="X1929" t="s">
        <v>120</v>
      </c>
      <c r="Y1929"/>
      <c r="Z1929"/>
      <c r="AA1929" t="s">
        <v>4278</v>
      </c>
      <c r="AB1929"/>
      <c r="AC1929" t="s">
        <v>24</v>
      </c>
      <c r="AD1929" t="s">
        <v>130</v>
      </c>
      <c r="AE1929" s="97"/>
    </row>
    <row r="1930" spans="1:31" ht="14.4" customHeight="1" x14ac:dyDescent="0.3">
      <c r="A1930" t="s">
        <v>4383</v>
      </c>
      <c r="B1930"/>
      <c r="C1930" t="s">
        <v>4384</v>
      </c>
      <c r="D1930"/>
      <c r="E1930" t="s">
        <v>4384</v>
      </c>
      <c r="F1930" t="s">
        <v>6769</v>
      </c>
      <c r="G1930" t="s">
        <v>4275</v>
      </c>
      <c r="H1930" t="s">
        <v>132</v>
      </c>
      <c r="I1930" t="s">
        <v>4</v>
      </c>
      <c r="J1930" t="s">
        <v>4276</v>
      </c>
      <c r="K1930" t="s">
        <v>54</v>
      </c>
      <c r="L1930"/>
      <c r="M1930" t="s">
        <v>134</v>
      </c>
      <c r="N1930" t="s">
        <v>135</v>
      </c>
      <c r="O1930"/>
      <c r="P1930"/>
      <c r="Q1930" t="s">
        <v>4277</v>
      </c>
      <c r="R1930"/>
      <c r="S1930"/>
      <c r="T1930"/>
      <c r="U1930" t="s">
        <v>137</v>
      </c>
      <c r="V1930" t="s">
        <v>1214</v>
      </c>
      <c r="W1930" s="9">
        <v>46164.238693749998</v>
      </c>
      <c r="X1930" t="s">
        <v>120</v>
      </c>
      <c r="Y1930"/>
      <c r="Z1930"/>
      <c r="AA1930" t="s">
        <v>4278</v>
      </c>
      <c r="AB1930"/>
      <c r="AC1930" t="s">
        <v>24</v>
      </c>
      <c r="AD1930" t="s">
        <v>130</v>
      </c>
      <c r="AE1930" s="97"/>
    </row>
    <row r="1931" spans="1:31" ht="14.4" customHeight="1" x14ac:dyDescent="0.3">
      <c r="A1931" t="s">
        <v>4385</v>
      </c>
      <c r="B1931"/>
      <c r="C1931" t="s">
        <v>4386</v>
      </c>
      <c r="D1931"/>
      <c r="E1931" t="s">
        <v>4386</v>
      </c>
      <c r="F1931" t="s">
        <v>6769</v>
      </c>
      <c r="G1931" t="s">
        <v>4275</v>
      </c>
      <c r="H1931" t="s">
        <v>132</v>
      </c>
      <c r="I1931" t="s">
        <v>4</v>
      </c>
      <c r="J1931" t="s">
        <v>4276</v>
      </c>
      <c r="K1931" t="s">
        <v>54</v>
      </c>
      <c r="L1931"/>
      <c r="M1931" t="s">
        <v>134</v>
      </c>
      <c r="N1931" t="s">
        <v>135</v>
      </c>
      <c r="O1931"/>
      <c r="P1931"/>
      <c r="Q1931" t="s">
        <v>4277</v>
      </c>
      <c r="R1931"/>
      <c r="S1931"/>
      <c r="T1931"/>
      <c r="U1931" t="s">
        <v>137</v>
      </c>
      <c r="V1931" t="s">
        <v>403</v>
      </c>
      <c r="W1931" s="9">
        <v>46157.268844942133</v>
      </c>
      <c r="X1931" t="s">
        <v>68</v>
      </c>
      <c r="Y1931"/>
      <c r="Z1931"/>
      <c r="AA1931" t="s">
        <v>4278</v>
      </c>
      <c r="AB1931"/>
      <c r="AC1931" t="s">
        <v>24</v>
      </c>
      <c r="AD1931" t="s">
        <v>128</v>
      </c>
      <c r="AE1931" s="97"/>
    </row>
    <row r="1932" spans="1:31" ht="14.4" customHeight="1" x14ac:dyDescent="0.3">
      <c r="A1932" t="s">
        <v>4387</v>
      </c>
      <c r="B1932"/>
      <c r="C1932" t="s">
        <v>4388</v>
      </c>
      <c r="D1932"/>
      <c r="E1932" t="s">
        <v>4388</v>
      </c>
      <c r="F1932" t="s">
        <v>6769</v>
      </c>
      <c r="G1932" t="s">
        <v>4275</v>
      </c>
      <c r="H1932" t="s">
        <v>132</v>
      </c>
      <c r="I1932" t="s">
        <v>4</v>
      </c>
      <c r="J1932" t="s">
        <v>4276</v>
      </c>
      <c r="K1932" t="s">
        <v>54</v>
      </c>
      <c r="L1932"/>
      <c r="M1932" t="s">
        <v>134</v>
      </c>
      <c r="N1932" t="s">
        <v>135</v>
      </c>
      <c r="O1932"/>
      <c r="P1932"/>
      <c r="Q1932" t="s">
        <v>4277</v>
      </c>
      <c r="R1932"/>
      <c r="S1932"/>
      <c r="T1932"/>
      <c r="U1932" t="s">
        <v>137</v>
      </c>
      <c r="V1932" t="s">
        <v>403</v>
      </c>
      <c r="W1932" s="9">
        <v>46157.269571562501</v>
      </c>
      <c r="X1932" t="s">
        <v>68</v>
      </c>
      <c r="Y1932"/>
      <c r="Z1932"/>
      <c r="AA1932" t="s">
        <v>4278</v>
      </c>
      <c r="AB1932"/>
      <c r="AC1932" t="s">
        <v>24</v>
      </c>
      <c r="AD1932" t="s">
        <v>128</v>
      </c>
      <c r="AE1932" s="97"/>
    </row>
    <row r="1933" spans="1:31" ht="14.4" customHeight="1" x14ac:dyDescent="0.3">
      <c r="A1933" t="s">
        <v>4389</v>
      </c>
      <c r="B1933"/>
      <c r="C1933" t="s">
        <v>4390</v>
      </c>
      <c r="D1933"/>
      <c r="E1933" t="s">
        <v>4390</v>
      </c>
      <c r="F1933" t="s">
        <v>6769</v>
      </c>
      <c r="G1933" t="s">
        <v>4275</v>
      </c>
      <c r="H1933" t="s">
        <v>132</v>
      </c>
      <c r="I1933" t="s">
        <v>4</v>
      </c>
      <c r="J1933" t="s">
        <v>4276</v>
      </c>
      <c r="K1933" t="s">
        <v>54</v>
      </c>
      <c r="L1933"/>
      <c r="M1933" t="s">
        <v>134</v>
      </c>
      <c r="N1933" t="s">
        <v>135</v>
      </c>
      <c r="O1933"/>
      <c r="P1933"/>
      <c r="Q1933" t="s">
        <v>4277</v>
      </c>
      <c r="R1933"/>
      <c r="S1933"/>
      <c r="T1933"/>
      <c r="U1933" t="s">
        <v>137</v>
      </c>
      <c r="V1933" t="s">
        <v>407</v>
      </c>
      <c r="W1933" s="9">
        <v>46157.270388078701</v>
      </c>
      <c r="X1933" t="s">
        <v>77</v>
      </c>
      <c r="Y1933"/>
      <c r="Z1933"/>
      <c r="AA1933" t="s">
        <v>4278</v>
      </c>
      <c r="AB1933"/>
      <c r="AC1933" t="s">
        <v>24</v>
      </c>
      <c r="AD1933" t="s">
        <v>128</v>
      </c>
      <c r="AE1933" s="97"/>
    </row>
    <row r="1934" spans="1:31" ht="14.4" customHeight="1" x14ac:dyDescent="0.3">
      <c r="A1934" t="s">
        <v>4391</v>
      </c>
      <c r="B1934"/>
      <c r="C1934" t="s">
        <v>4392</v>
      </c>
      <c r="D1934"/>
      <c r="E1934" t="s">
        <v>4392</v>
      </c>
      <c r="F1934" t="s">
        <v>6769</v>
      </c>
      <c r="G1934" t="s">
        <v>4275</v>
      </c>
      <c r="H1934" t="s">
        <v>132</v>
      </c>
      <c r="I1934" t="s">
        <v>4</v>
      </c>
      <c r="J1934" t="s">
        <v>4276</v>
      </c>
      <c r="K1934" t="s">
        <v>54</v>
      </c>
      <c r="L1934"/>
      <c r="M1934" t="s">
        <v>134</v>
      </c>
      <c r="N1934" t="s">
        <v>135</v>
      </c>
      <c r="O1934"/>
      <c r="P1934"/>
      <c r="Q1934" t="s">
        <v>4277</v>
      </c>
      <c r="R1934"/>
      <c r="S1934"/>
      <c r="T1934"/>
      <c r="U1934" t="s">
        <v>137</v>
      </c>
      <c r="V1934" t="s">
        <v>407</v>
      </c>
      <c r="W1934" s="9">
        <v>46157.271087349538</v>
      </c>
      <c r="X1934" t="s">
        <v>77</v>
      </c>
      <c r="Y1934"/>
      <c r="Z1934"/>
      <c r="AA1934" t="s">
        <v>4278</v>
      </c>
      <c r="AB1934"/>
      <c r="AC1934" t="s">
        <v>24</v>
      </c>
      <c r="AD1934" t="s">
        <v>128</v>
      </c>
      <c r="AE1934" s="97"/>
    </row>
    <row r="1935" spans="1:31" ht="14.4" customHeight="1" x14ac:dyDescent="0.3">
      <c r="A1935" t="s">
        <v>4393</v>
      </c>
      <c r="B1935"/>
      <c r="C1935" t="s">
        <v>4394</v>
      </c>
      <c r="D1935"/>
      <c r="E1935" t="s">
        <v>4394</v>
      </c>
      <c r="F1935" t="s">
        <v>6769</v>
      </c>
      <c r="G1935" t="s">
        <v>4275</v>
      </c>
      <c r="H1935" t="s">
        <v>132</v>
      </c>
      <c r="I1935" t="s">
        <v>4</v>
      </c>
      <c r="J1935" t="s">
        <v>4276</v>
      </c>
      <c r="K1935" t="s">
        <v>54</v>
      </c>
      <c r="L1935"/>
      <c r="M1935" t="s">
        <v>134</v>
      </c>
      <c r="N1935" t="s">
        <v>135</v>
      </c>
      <c r="O1935"/>
      <c r="P1935"/>
      <c r="Q1935" t="s">
        <v>4277</v>
      </c>
      <c r="R1935"/>
      <c r="S1935"/>
      <c r="T1935"/>
      <c r="U1935" t="s">
        <v>137</v>
      </c>
      <c r="V1935" t="s">
        <v>411</v>
      </c>
      <c r="W1935" s="9">
        <v>46161.345777430557</v>
      </c>
      <c r="X1935" t="s">
        <v>87</v>
      </c>
      <c r="Y1935"/>
      <c r="Z1935"/>
      <c r="AA1935" t="s">
        <v>4278</v>
      </c>
      <c r="AB1935"/>
      <c r="AC1935" t="s">
        <v>24</v>
      </c>
      <c r="AD1935" t="s">
        <v>129</v>
      </c>
      <c r="AE1935" s="97"/>
    </row>
    <row r="1936" spans="1:31" ht="14.4" customHeight="1" x14ac:dyDescent="0.3">
      <c r="A1936" t="s">
        <v>4395</v>
      </c>
      <c r="B1936"/>
      <c r="C1936" t="s">
        <v>4396</v>
      </c>
      <c r="D1936"/>
      <c r="E1936" t="s">
        <v>4396</v>
      </c>
      <c r="F1936" t="s">
        <v>6769</v>
      </c>
      <c r="G1936" t="s">
        <v>4275</v>
      </c>
      <c r="H1936" t="s">
        <v>132</v>
      </c>
      <c r="I1936" t="s">
        <v>4</v>
      </c>
      <c r="J1936" t="s">
        <v>4276</v>
      </c>
      <c r="K1936" t="s">
        <v>54</v>
      </c>
      <c r="L1936"/>
      <c r="M1936" t="s">
        <v>134</v>
      </c>
      <c r="N1936" t="s">
        <v>135</v>
      </c>
      <c r="O1936"/>
      <c r="P1936"/>
      <c r="Q1936" t="s">
        <v>4277</v>
      </c>
      <c r="R1936"/>
      <c r="S1936"/>
      <c r="T1936"/>
      <c r="U1936" t="s">
        <v>137</v>
      </c>
      <c r="V1936" t="s">
        <v>411</v>
      </c>
      <c r="W1936" s="9">
        <v>46161.344687037039</v>
      </c>
      <c r="X1936" t="s">
        <v>87</v>
      </c>
      <c r="Y1936"/>
      <c r="Z1936"/>
      <c r="AA1936" t="s">
        <v>4278</v>
      </c>
      <c r="AB1936"/>
      <c r="AC1936" t="s">
        <v>24</v>
      </c>
      <c r="AD1936" t="s">
        <v>129</v>
      </c>
      <c r="AE1936" s="97"/>
    </row>
    <row r="1937" spans="1:31" ht="14.4" customHeight="1" x14ac:dyDescent="0.3">
      <c r="A1937" t="s">
        <v>4397</v>
      </c>
      <c r="B1937"/>
      <c r="C1937" t="s">
        <v>4398</v>
      </c>
      <c r="D1937"/>
      <c r="E1937" t="s">
        <v>4398</v>
      </c>
      <c r="F1937" t="s">
        <v>6769</v>
      </c>
      <c r="G1937" t="s">
        <v>4275</v>
      </c>
      <c r="H1937" t="s">
        <v>132</v>
      </c>
      <c r="I1937" t="s">
        <v>4</v>
      </c>
      <c r="J1937" t="s">
        <v>4276</v>
      </c>
      <c r="K1937" t="s">
        <v>54</v>
      </c>
      <c r="L1937"/>
      <c r="M1937" t="s">
        <v>134</v>
      </c>
      <c r="N1937" t="s">
        <v>135</v>
      </c>
      <c r="O1937"/>
      <c r="P1937"/>
      <c r="Q1937" t="s">
        <v>4277</v>
      </c>
      <c r="R1937"/>
      <c r="S1937"/>
      <c r="T1937"/>
      <c r="U1937" t="s">
        <v>137</v>
      </c>
      <c r="V1937" t="s">
        <v>415</v>
      </c>
      <c r="W1937" s="9">
        <v>46161.343250578706</v>
      </c>
      <c r="X1937" t="s">
        <v>96</v>
      </c>
      <c r="Y1937"/>
      <c r="Z1937"/>
      <c r="AA1937" t="s">
        <v>4278</v>
      </c>
      <c r="AB1937"/>
      <c r="AC1937" t="s">
        <v>24</v>
      </c>
      <c r="AD1937" t="s">
        <v>129</v>
      </c>
      <c r="AE1937" s="97"/>
    </row>
    <row r="1938" spans="1:31" ht="14.4" customHeight="1" x14ac:dyDescent="0.3">
      <c r="A1938" t="s">
        <v>4399</v>
      </c>
      <c r="B1938"/>
      <c r="C1938" t="s">
        <v>4400</v>
      </c>
      <c r="D1938"/>
      <c r="E1938" t="s">
        <v>4400</v>
      </c>
      <c r="F1938" t="s">
        <v>6769</v>
      </c>
      <c r="G1938" t="s">
        <v>4275</v>
      </c>
      <c r="H1938" t="s">
        <v>132</v>
      </c>
      <c r="I1938" t="s">
        <v>4</v>
      </c>
      <c r="J1938" t="s">
        <v>4276</v>
      </c>
      <c r="K1938" t="s">
        <v>54</v>
      </c>
      <c r="L1938"/>
      <c r="M1938" t="s">
        <v>134</v>
      </c>
      <c r="N1938" t="s">
        <v>135</v>
      </c>
      <c r="O1938"/>
      <c r="P1938"/>
      <c r="Q1938" t="s">
        <v>4277</v>
      </c>
      <c r="R1938"/>
      <c r="S1938"/>
      <c r="T1938"/>
      <c r="U1938" t="s">
        <v>137</v>
      </c>
      <c r="V1938" t="s">
        <v>415</v>
      </c>
      <c r="W1938" s="9">
        <v>46161.341654131946</v>
      </c>
      <c r="X1938" t="s">
        <v>96</v>
      </c>
      <c r="Y1938"/>
      <c r="Z1938"/>
      <c r="AA1938" t="s">
        <v>4278</v>
      </c>
      <c r="AB1938"/>
      <c r="AC1938" t="s">
        <v>24</v>
      </c>
      <c r="AD1938" t="s">
        <v>129</v>
      </c>
      <c r="AE1938" s="97"/>
    </row>
    <row r="1939" spans="1:31" ht="14.4" customHeight="1" x14ac:dyDescent="0.3">
      <c r="A1939" t="s">
        <v>4401</v>
      </c>
      <c r="B1939"/>
      <c r="C1939" t="s">
        <v>4402</v>
      </c>
      <c r="D1939"/>
      <c r="E1939" t="s">
        <v>4402</v>
      </c>
      <c r="F1939" t="s">
        <v>6769</v>
      </c>
      <c r="G1939" t="s">
        <v>4275</v>
      </c>
      <c r="H1939" t="s">
        <v>132</v>
      </c>
      <c r="I1939" t="s">
        <v>4</v>
      </c>
      <c r="J1939" t="s">
        <v>4276</v>
      </c>
      <c r="K1939" t="s">
        <v>54</v>
      </c>
      <c r="L1939"/>
      <c r="M1939" t="s">
        <v>134</v>
      </c>
      <c r="N1939" t="s">
        <v>135</v>
      </c>
      <c r="O1939"/>
      <c r="P1939"/>
      <c r="Q1939" t="s">
        <v>4277</v>
      </c>
      <c r="R1939"/>
      <c r="S1939"/>
      <c r="T1939"/>
      <c r="U1939" t="s">
        <v>137</v>
      </c>
      <c r="V1939" t="s">
        <v>419</v>
      </c>
      <c r="W1939" s="9">
        <v>46161.340323182871</v>
      </c>
      <c r="X1939" t="s">
        <v>105</v>
      </c>
      <c r="Y1939"/>
      <c r="Z1939"/>
      <c r="AA1939" t="s">
        <v>4278</v>
      </c>
      <c r="AB1939"/>
      <c r="AC1939" t="s">
        <v>24</v>
      </c>
      <c r="AD1939" t="s">
        <v>129</v>
      </c>
      <c r="AE1939" s="97"/>
    </row>
    <row r="1940" spans="1:31" ht="14.4" customHeight="1" x14ac:dyDescent="0.3">
      <c r="A1940" t="s">
        <v>4403</v>
      </c>
      <c r="B1940"/>
      <c r="C1940" t="s">
        <v>4404</v>
      </c>
      <c r="D1940"/>
      <c r="E1940" t="s">
        <v>4404</v>
      </c>
      <c r="F1940" t="s">
        <v>6769</v>
      </c>
      <c r="G1940" t="s">
        <v>4275</v>
      </c>
      <c r="H1940" t="s">
        <v>132</v>
      </c>
      <c r="I1940" t="s">
        <v>4</v>
      </c>
      <c r="J1940" t="s">
        <v>4276</v>
      </c>
      <c r="K1940" t="s">
        <v>54</v>
      </c>
      <c r="L1940"/>
      <c r="M1940" t="s">
        <v>134</v>
      </c>
      <c r="N1940" t="s">
        <v>135</v>
      </c>
      <c r="O1940"/>
      <c r="P1940"/>
      <c r="Q1940" t="s">
        <v>4277</v>
      </c>
      <c r="R1940"/>
      <c r="S1940"/>
      <c r="T1940"/>
      <c r="U1940" t="s">
        <v>137</v>
      </c>
      <c r="V1940" t="s">
        <v>419</v>
      </c>
      <c r="W1940" s="9">
        <v>46161.339231631944</v>
      </c>
      <c r="X1940" t="s">
        <v>105</v>
      </c>
      <c r="Y1940"/>
      <c r="Z1940"/>
      <c r="AA1940" t="s">
        <v>4278</v>
      </c>
      <c r="AB1940"/>
      <c r="AC1940" t="s">
        <v>24</v>
      </c>
      <c r="AD1940" t="s">
        <v>129</v>
      </c>
      <c r="AE1940" s="97"/>
    </row>
    <row r="1941" spans="1:31" ht="14.4" customHeight="1" x14ac:dyDescent="0.3">
      <c r="A1941" t="s">
        <v>4405</v>
      </c>
      <c r="B1941"/>
      <c r="C1941" t="s">
        <v>4406</v>
      </c>
      <c r="D1941"/>
      <c r="E1941" t="s">
        <v>4406</v>
      </c>
      <c r="F1941" t="s">
        <v>6769</v>
      </c>
      <c r="G1941" t="s">
        <v>4275</v>
      </c>
      <c r="H1941" t="s">
        <v>132</v>
      </c>
      <c r="I1941" t="s">
        <v>4</v>
      </c>
      <c r="J1941" t="s">
        <v>4276</v>
      </c>
      <c r="K1941" t="s">
        <v>54</v>
      </c>
      <c r="L1941"/>
      <c r="M1941" t="s">
        <v>134</v>
      </c>
      <c r="N1941" t="s">
        <v>135</v>
      </c>
      <c r="O1941"/>
      <c r="P1941"/>
      <c r="Q1941" t="s">
        <v>4277</v>
      </c>
      <c r="R1941"/>
      <c r="S1941"/>
      <c r="T1941"/>
      <c r="U1941" t="s">
        <v>137</v>
      </c>
      <c r="V1941" t="s">
        <v>423</v>
      </c>
      <c r="W1941" s="9">
        <v>46161.338019212963</v>
      </c>
      <c r="X1941" t="s">
        <v>112</v>
      </c>
      <c r="Y1941"/>
      <c r="Z1941"/>
      <c r="AA1941" t="s">
        <v>4278</v>
      </c>
      <c r="AB1941"/>
      <c r="AC1941" t="s">
        <v>24</v>
      </c>
      <c r="AD1941" t="s">
        <v>129</v>
      </c>
      <c r="AE1941" s="97"/>
    </row>
    <row r="1942" spans="1:31" ht="14.4" customHeight="1" x14ac:dyDescent="0.3">
      <c r="A1942" t="s">
        <v>4407</v>
      </c>
      <c r="B1942"/>
      <c r="C1942" t="s">
        <v>4408</v>
      </c>
      <c r="D1942"/>
      <c r="E1942" t="s">
        <v>4408</v>
      </c>
      <c r="F1942" t="s">
        <v>6769</v>
      </c>
      <c r="G1942" t="s">
        <v>4275</v>
      </c>
      <c r="H1942" t="s">
        <v>132</v>
      </c>
      <c r="I1942" t="s">
        <v>4</v>
      </c>
      <c r="J1942" t="s">
        <v>4276</v>
      </c>
      <c r="K1942" t="s">
        <v>54</v>
      </c>
      <c r="L1942"/>
      <c r="M1942" t="s">
        <v>134</v>
      </c>
      <c r="N1942" t="s">
        <v>135</v>
      </c>
      <c r="O1942"/>
      <c r="P1942"/>
      <c r="Q1942" t="s">
        <v>4277</v>
      </c>
      <c r="R1942"/>
      <c r="S1942"/>
      <c r="T1942"/>
      <c r="U1942" t="s">
        <v>137</v>
      </c>
      <c r="V1942" t="s">
        <v>423</v>
      </c>
      <c r="W1942" s="9">
        <v>46161.336890856481</v>
      </c>
      <c r="X1942" t="s">
        <v>112</v>
      </c>
      <c r="Y1942"/>
      <c r="Z1942"/>
      <c r="AA1942" t="s">
        <v>4278</v>
      </c>
      <c r="AB1942"/>
      <c r="AC1942" t="s">
        <v>24</v>
      </c>
      <c r="AD1942" t="s">
        <v>129</v>
      </c>
      <c r="AE1942" s="97"/>
    </row>
    <row r="1943" spans="1:31" ht="14.4" customHeight="1" x14ac:dyDescent="0.3">
      <c r="A1943" t="s">
        <v>4409</v>
      </c>
      <c r="B1943"/>
      <c r="C1943" t="s">
        <v>4410</v>
      </c>
      <c r="D1943"/>
      <c r="E1943" t="s">
        <v>4410</v>
      </c>
      <c r="F1943" t="s">
        <v>6769</v>
      </c>
      <c r="G1943" t="s">
        <v>4275</v>
      </c>
      <c r="H1943" t="s">
        <v>132</v>
      </c>
      <c r="I1943" t="s">
        <v>4</v>
      </c>
      <c r="J1943" t="s">
        <v>4276</v>
      </c>
      <c r="K1943" t="s">
        <v>54</v>
      </c>
      <c r="L1943"/>
      <c r="M1943" t="s">
        <v>134</v>
      </c>
      <c r="N1943" t="s">
        <v>135</v>
      </c>
      <c r="O1943"/>
      <c r="P1943"/>
      <c r="Q1943" t="s">
        <v>4277</v>
      </c>
      <c r="R1943"/>
      <c r="S1943"/>
      <c r="T1943"/>
      <c r="U1943" t="s">
        <v>137</v>
      </c>
      <c r="V1943" t="s">
        <v>427</v>
      </c>
      <c r="W1943" s="9">
        <v>46191.275459722223</v>
      </c>
      <c r="X1943" t="s">
        <v>121</v>
      </c>
      <c r="Y1943"/>
      <c r="Z1943"/>
      <c r="AA1943" t="s">
        <v>4278</v>
      </c>
      <c r="AB1943"/>
      <c r="AC1943" t="s">
        <v>24</v>
      </c>
      <c r="AD1943" t="s">
        <v>130</v>
      </c>
      <c r="AE1943" s="97"/>
    </row>
    <row r="1944" spans="1:31" ht="14.4" customHeight="1" x14ac:dyDescent="0.3">
      <c r="A1944" t="s">
        <v>4411</v>
      </c>
      <c r="B1944"/>
      <c r="C1944" t="s">
        <v>4412</v>
      </c>
      <c r="D1944"/>
      <c r="E1944" t="s">
        <v>4412</v>
      </c>
      <c r="F1944" t="s">
        <v>6769</v>
      </c>
      <c r="G1944" t="s">
        <v>4275</v>
      </c>
      <c r="H1944" t="s">
        <v>132</v>
      </c>
      <c r="I1944" t="s">
        <v>4</v>
      </c>
      <c r="J1944" t="s">
        <v>4276</v>
      </c>
      <c r="K1944" t="s">
        <v>54</v>
      </c>
      <c r="L1944"/>
      <c r="M1944" t="s">
        <v>134</v>
      </c>
      <c r="N1944" t="s">
        <v>135</v>
      </c>
      <c r="O1944"/>
      <c r="P1944"/>
      <c r="Q1944" t="s">
        <v>4277</v>
      </c>
      <c r="R1944"/>
      <c r="S1944"/>
      <c r="T1944"/>
      <c r="U1944" t="s">
        <v>137</v>
      </c>
      <c r="V1944" t="s">
        <v>427</v>
      </c>
      <c r="W1944" s="9">
        <v>46191.276253275464</v>
      </c>
      <c r="X1944" t="s">
        <v>121</v>
      </c>
      <c r="Y1944"/>
      <c r="Z1944"/>
      <c r="AA1944" t="s">
        <v>4278</v>
      </c>
      <c r="AB1944"/>
      <c r="AC1944" t="s">
        <v>24</v>
      </c>
      <c r="AD1944" t="s">
        <v>130</v>
      </c>
      <c r="AE1944" s="97"/>
    </row>
    <row r="1945" spans="1:31" ht="14.4" customHeight="1" x14ac:dyDescent="0.3">
      <c r="A1945" t="s">
        <v>4413</v>
      </c>
      <c r="B1945"/>
      <c r="C1945" t="s">
        <v>4414</v>
      </c>
      <c r="D1945"/>
      <c r="E1945" t="s">
        <v>4414</v>
      </c>
      <c r="F1945" t="s">
        <v>6769</v>
      </c>
      <c r="G1945" t="s">
        <v>4275</v>
      </c>
      <c r="H1945" t="s">
        <v>132</v>
      </c>
      <c r="I1945" t="s">
        <v>4</v>
      </c>
      <c r="J1945" t="s">
        <v>4276</v>
      </c>
      <c r="K1945" t="s">
        <v>54</v>
      </c>
      <c r="L1945"/>
      <c r="M1945" t="s">
        <v>134</v>
      </c>
      <c r="N1945" t="s">
        <v>135</v>
      </c>
      <c r="O1945"/>
      <c r="P1945"/>
      <c r="Q1945" t="s">
        <v>4277</v>
      </c>
      <c r="R1945"/>
      <c r="S1945"/>
      <c r="T1945"/>
      <c r="U1945" t="s">
        <v>137</v>
      </c>
      <c r="V1945" t="s">
        <v>1279</v>
      </c>
      <c r="W1945" s="9">
        <v>46134.567943136572</v>
      </c>
      <c r="X1945" t="s">
        <v>71</v>
      </c>
      <c r="Y1945"/>
      <c r="Z1945"/>
      <c r="AA1945" t="s">
        <v>4278</v>
      </c>
      <c r="AB1945"/>
      <c r="AC1945" t="s">
        <v>24</v>
      </c>
      <c r="AD1945" t="s">
        <v>128</v>
      </c>
      <c r="AE1945" s="97"/>
    </row>
    <row r="1946" spans="1:31" ht="14.4" customHeight="1" x14ac:dyDescent="0.3">
      <c r="A1946" t="s">
        <v>4415</v>
      </c>
      <c r="B1946"/>
      <c r="C1946" t="s">
        <v>4416</v>
      </c>
      <c r="D1946"/>
      <c r="E1946" t="s">
        <v>4416</v>
      </c>
      <c r="F1946" t="s">
        <v>6769</v>
      </c>
      <c r="G1946" t="s">
        <v>4275</v>
      </c>
      <c r="H1946" t="s">
        <v>132</v>
      </c>
      <c r="I1946" t="s">
        <v>4</v>
      </c>
      <c r="J1946" t="s">
        <v>4276</v>
      </c>
      <c r="K1946" t="s">
        <v>54</v>
      </c>
      <c r="L1946"/>
      <c r="M1946" t="s">
        <v>134</v>
      </c>
      <c r="N1946" t="s">
        <v>135</v>
      </c>
      <c r="O1946"/>
      <c r="P1946"/>
      <c r="Q1946" t="s">
        <v>4277</v>
      </c>
      <c r="R1946"/>
      <c r="S1946"/>
      <c r="T1946"/>
      <c r="U1946" t="s">
        <v>137</v>
      </c>
      <c r="V1946" t="s">
        <v>1279</v>
      </c>
      <c r="W1946" s="9">
        <v>46116.254439895834</v>
      </c>
      <c r="X1946" t="s">
        <v>71</v>
      </c>
      <c r="Y1946"/>
      <c r="Z1946"/>
      <c r="AA1946" t="s">
        <v>4278</v>
      </c>
      <c r="AB1946"/>
      <c r="AC1946" t="s">
        <v>24</v>
      </c>
      <c r="AD1946" t="s">
        <v>128</v>
      </c>
      <c r="AE1946" s="97"/>
    </row>
    <row r="1947" spans="1:31" ht="14.4" customHeight="1" x14ac:dyDescent="0.3">
      <c r="A1947" t="s">
        <v>4417</v>
      </c>
      <c r="B1947"/>
      <c r="C1947" t="s">
        <v>4418</v>
      </c>
      <c r="D1947"/>
      <c r="E1947" t="s">
        <v>4418</v>
      </c>
      <c r="F1947" t="s">
        <v>6769</v>
      </c>
      <c r="G1947" t="s">
        <v>4275</v>
      </c>
      <c r="H1947" t="s">
        <v>132</v>
      </c>
      <c r="I1947" t="s">
        <v>4</v>
      </c>
      <c r="J1947" t="s">
        <v>4276</v>
      </c>
      <c r="K1947" t="s">
        <v>54</v>
      </c>
      <c r="L1947"/>
      <c r="M1947" t="s">
        <v>134</v>
      </c>
      <c r="N1947" t="s">
        <v>135</v>
      </c>
      <c r="O1947"/>
      <c r="P1947"/>
      <c r="Q1947" t="s">
        <v>4277</v>
      </c>
      <c r="R1947"/>
      <c r="S1947"/>
      <c r="T1947"/>
      <c r="U1947" t="s">
        <v>137</v>
      </c>
      <c r="V1947" t="s">
        <v>1283</v>
      </c>
      <c r="W1947" s="9">
        <v>46116.259866782406</v>
      </c>
      <c r="X1947" t="s">
        <v>78</v>
      </c>
      <c r="Y1947"/>
      <c r="Z1947"/>
      <c r="AA1947" t="s">
        <v>4278</v>
      </c>
      <c r="AB1947"/>
      <c r="AC1947" t="s">
        <v>24</v>
      </c>
      <c r="AD1947" t="s">
        <v>128</v>
      </c>
      <c r="AE1947" s="97"/>
    </row>
    <row r="1948" spans="1:31" ht="14.4" customHeight="1" x14ac:dyDescent="0.3">
      <c r="A1948" t="s">
        <v>4419</v>
      </c>
      <c r="B1948"/>
      <c r="C1948" t="s">
        <v>4420</v>
      </c>
      <c r="D1948"/>
      <c r="E1948" t="s">
        <v>4420</v>
      </c>
      <c r="F1948" t="s">
        <v>6769</v>
      </c>
      <c r="G1948" t="s">
        <v>4275</v>
      </c>
      <c r="H1948" t="s">
        <v>132</v>
      </c>
      <c r="I1948" t="s">
        <v>4</v>
      </c>
      <c r="J1948" t="s">
        <v>4276</v>
      </c>
      <c r="K1948" t="s">
        <v>54</v>
      </c>
      <c r="L1948"/>
      <c r="M1948" t="s">
        <v>134</v>
      </c>
      <c r="N1948" t="s">
        <v>135</v>
      </c>
      <c r="O1948"/>
      <c r="P1948"/>
      <c r="Q1948" t="s">
        <v>4277</v>
      </c>
      <c r="R1948"/>
      <c r="S1948"/>
      <c r="T1948"/>
      <c r="U1948" t="s">
        <v>137</v>
      </c>
      <c r="V1948" t="s">
        <v>1283</v>
      </c>
      <c r="W1948" s="9">
        <v>46116.249986377312</v>
      </c>
      <c r="X1948" t="s">
        <v>78</v>
      </c>
      <c r="Y1948"/>
      <c r="Z1948"/>
      <c r="AA1948" t="s">
        <v>4278</v>
      </c>
      <c r="AB1948"/>
      <c r="AC1948" t="s">
        <v>24</v>
      </c>
      <c r="AD1948" t="s">
        <v>128</v>
      </c>
      <c r="AE1948" s="97"/>
    </row>
    <row r="1949" spans="1:31" ht="14.4" customHeight="1" x14ac:dyDescent="0.3">
      <c r="A1949" t="s">
        <v>4421</v>
      </c>
      <c r="B1949"/>
      <c r="C1949" t="s">
        <v>4422</v>
      </c>
      <c r="D1949"/>
      <c r="E1949" t="s">
        <v>4422</v>
      </c>
      <c r="F1949" t="s">
        <v>6769</v>
      </c>
      <c r="G1949" t="s">
        <v>4275</v>
      </c>
      <c r="H1949" t="s">
        <v>132</v>
      </c>
      <c r="I1949" t="s">
        <v>4</v>
      </c>
      <c r="J1949" t="s">
        <v>4276</v>
      </c>
      <c r="K1949" t="s">
        <v>54</v>
      </c>
      <c r="L1949"/>
      <c r="M1949" t="s">
        <v>134</v>
      </c>
      <c r="N1949" t="s">
        <v>135</v>
      </c>
      <c r="O1949"/>
      <c r="P1949"/>
      <c r="Q1949" t="s">
        <v>4277</v>
      </c>
      <c r="R1949"/>
      <c r="S1949"/>
      <c r="T1949"/>
      <c r="U1949" t="s">
        <v>137</v>
      </c>
      <c r="V1949" t="s">
        <v>1287</v>
      </c>
      <c r="W1949" s="9">
        <v>46129.737087187503</v>
      </c>
      <c r="X1949" t="s">
        <v>89</v>
      </c>
      <c r="Y1949"/>
      <c r="Z1949"/>
      <c r="AA1949" t="s">
        <v>4278</v>
      </c>
      <c r="AB1949"/>
      <c r="AC1949" t="s">
        <v>24</v>
      </c>
      <c r="AD1949" t="s">
        <v>129</v>
      </c>
      <c r="AE1949" s="97"/>
    </row>
    <row r="1950" spans="1:31" ht="14.4" customHeight="1" x14ac:dyDescent="0.3">
      <c r="A1950" t="s">
        <v>4423</v>
      </c>
      <c r="B1950"/>
      <c r="C1950" t="s">
        <v>4424</v>
      </c>
      <c r="D1950"/>
      <c r="E1950" t="s">
        <v>4424</v>
      </c>
      <c r="F1950" t="s">
        <v>6769</v>
      </c>
      <c r="G1950" t="s">
        <v>4275</v>
      </c>
      <c r="H1950" t="s">
        <v>132</v>
      </c>
      <c r="I1950" t="s">
        <v>4</v>
      </c>
      <c r="J1950" t="s">
        <v>4276</v>
      </c>
      <c r="K1950" t="s">
        <v>54</v>
      </c>
      <c r="L1950"/>
      <c r="M1950" t="s">
        <v>134</v>
      </c>
      <c r="N1950" t="s">
        <v>135</v>
      </c>
      <c r="O1950"/>
      <c r="P1950"/>
      <c r="Q1950" t="s">
        <v>4277</v>
      </c>
      <c r="R1950"/>
      <c r="S1950"/>
      <c r="T1950"/>
      <c r="U1950" t="s">
        <v>137</v>
      </c>
      <c r="V1950" t="s">
        <v>1287</v>
      </c>
      <c r="W1950" s="9">
        <v>46156.463291087966</v>
      </c>
      <c r="X1950" t="s">
        <v>89</v>
      </c>
      <c r="Y1950"/>
      <c r="Z1950"/>
      <c r="AA1950" t="s">
        <v>4278</v>
      </c>
      <c r="AB1950"/>
      <c r="AC1950" t="s">
        <v>24</v>
      </c>
      <c r="AD1950" t="s">
        <v>129</v>
      </c>
      <c r="AE1950" s="97"/>
    </row>
    <row r="1951" spans="1:31" ht="14.4" customHeight="1" x14ac:dyDescent="0.3">
      <c r="A1951" t="s">
        <v>4425</v>
      </c>
      <c r="B1951"/>
      <c r="C1951" t="s">
        <v>4426</v>
      </c>
      <c r="D1951"/>
      <c r="E1951" t="s">
        <v>4426</v>
      </c>
      <c r="F1951" t="s">
        <v>6769</v>
      </c>
      <c r="G1951" t="s">
        <v>4275</v>
      </c>
      <c r="H1951" t="s">
        <v>132</v>
      </c>
      <c r="I1951" t="s">
        <v>4</v>
      </c>
      <c r="J1951" t="s">
        <v>4276</v>
      </c>
      <c r="K1951" t="s">
        <v>54</v>
      </c>
      <c r="L1951"/>
      <c r="M1951" t="s">
        <v>134</v>
      </c>
      <c r="N1951" t="s">
        <v>135</v>
      </c>
      <c r="O1951"/>
      <c r="P1951"/>
      <c r="Q1951" t="s">
        <v>4277</v>
      </c>
      <c r="R1951"/>
      <c r="S1951"/>
      <c r="T1951"/>
      <c r="U1951" t="s">
        <v>137</v>
      </c>
      <c r="V1951" t="s">
        <v>1291</v>
      </c>
      <c r="W1951" s="9">
        <v>46127.366742094906</v>
      </c>
      <c r="X1951" t="s">
        <v>98</v>
      </c>
      <c r="Y1951"/>
      <c r="Z1951"/>
      <c r="AA1951" t="s">
        <v>4278</v>
      </c>
      <c r="AB1951"/>
      <c r="AC1951" t="s">
        <v>24</v>
      </c>
      <c r="AD1951" t="s">
        <v>129</v>
      </c>
      <c r="AE1951" s="97"/>
    </row>
    <row r="1952" spans="1:31" ht="14.4" customHeight="1" x14ac:dyDescent="0.3">
      <c r="A1952" t="s">
        <v>4427</v>
      </c>
      <c r="B1952"/>
      <c r="C1952" t="s">
        <v>4428</v>
      </c>
      <c r="D1952"/>
      <c r="E1952" t="s">
        <v>4428</v>
      </c>
      <c r="F1952" t="s">
        <v>6769</v>
      </c>
      <c r="G1952" t="s">
        <v>4275</v>
      </c>
      <c r="H1952" t="s">
        <v>132</v>
      </c>
      <c r="I1952" t="s">
        <v>4</v>
      </c>
      <c r="J1952" t="s">
        <v>4276</v>
      </c>
      <c r="K1952" t="s">
        <v>54</v>
      </c>
      <c r="L1952"/>
      <c r="M1952" t="s">
        <v>134</v>
      </c>
      <c r="N1952" t="s">
        <v>135</v>
      </c>
      <c r="O1952"/>
      <c r="P1952"/>
      <c r="Q1952" t="s">
        <v>4277</v>
      </c>
      <c r="R1952"/>
      <c r="S1952"/>
      <c r="T1952"/>
      <c r="U1952" t="s">
        <v>137</v>
      </c>
      <c r="V1952" t="s">
        <v>1291</v>
      </c>
      <c r="W1952" s="9">
        <v>46161.26833240741</v>
      </c>
      <c r="X1952" t="s">
        <v>98</v>
      </c>
      <c r="Y1952"/>
      <c r="Z1952"/>
      <c r="AA1952" t="s">
        <v>4278</v>
      </c>
      <c r="AB1952"/>
      <c r="AC1952" t="s">
        <v>24</v>
      </c>
      <c r="AD1952" t="s">
        <v>129</v>
      </c>
      <c r="AE1952" s="97"/>
    </row>
    <row r="1953" spans="1:31" ht="14.4" customHeight="1" x14ac:dyDescent="0.3">
      <c r="A1953" t="s">
        <v>4429</v>
      </c>
      <c r="B1953"/>
      <c r="C1953" t="s">
        <v>4430</v>
      </c>
      <c r="D1953"/>
      <c r="E1953" t="s">
        <v>4430</v>
      </c>
      <c r="F1953" t="s">
        <v>6769</v>
      </c>
      <c r="G1953" t="s">
        <v>4275</v>
      </c>
      <c r="H1953" t="s">
        <v>132</v>
      </c>
      <c r="I1953" t="s">
        <v>4</v>
      </c>
      <c r="J1953" t="s">
        <v>4276</v>
      </c>
      <c r="K1953" t="s">
        <v>54</v>
      </c>
      <c r="L1953"/>
      <c r="M1953" t="s">
        <v>134</v>
      </c>
      <c r="N1953" t="s">
        <v>135</v>
      </c>
      <c r="O1953"/>
      <c r="P1953"/>
      <c r="Q1953" t="s">
        <v>4277</v>
      </c>
      <c r="R1953"/>
      <c r="S1953"/>
      <c r="T1953"/>
      <c r="U1953" t="s">
        <v>137</v>
      </c>
      <c r="V1953" t="s">
        <v>1295</v>
      </c>
      <c r="W1953" s="9">
        <v>46136.732876423608</v>
      </c>
      <c r="X1953" t="s">
        <v>107</v>
      </c>
      <c r="Y1953"/>
      <c r="Z1953"/>
      <c r="AA1953" t="s">
        <v>4278</v>
      </c>
      <c r="AB1953"/>
      <c r="AC1953" t="s">
        <v>24</v>
      </c>
      <c r="AD1953" t="s">
        <v>129</v>
      </c>
      <c r="AE1953" s="97"/>
    </row>
    <row r="1954" spans="1:31" ht="14.4" customHeight="1" x14ac:dyDescent="0.3">
      <c r="A1954" t="s">
        <v>4431</v>
      </c>
      <c r="B1954"/>
      <c r="C1954" t="s">
        <v>4432</v>
      </c>
      <c r="D1954"/>
      <c r="E1954" t="s">
        <v>4432</v>
      </c>
      <c r="F1954" t="s">
        <v>6769</v>
      </c>
      <c r="G1954" t="s">
        <v>4275</v>
      </c>
      <c r="H1954" t="s">
        <v>132</v>
      </c>
      <c r="I1954" t="s">
        <v>4</v>
      </c>
      <c r="J1954" t="s">
        <v>4276</v>
      </c>
      <c r="K1954" t="s">
        <v>54</v>
      </c>
      <c r="L1954"/>
      <c r="M1954" t="s">
        <v>134</v>
      </c>
      <c r="N1954" t="s">
        <v>135</v>
      </c>
      <c r="O1954"/>
      <c r="P1954"/>
      <c r="Q1954" t="s">
        <v>4277</v>
      </c>
      <c r="R1954"/>
      <c r="S1954"/>
      <c r="T1954"/>
      <c r="U1954" t="s">
        <v>137</v>
      </c>
      <c r="V1954" t="s">
        <v>1295</v>
      </c>
      <c r="W1954" s="9">
        <v>46161.27010775463</v>
      </c>
      <c r="X1954" t="s">
        <v>107</v>
      </c>
      <c r="Y1954"/>
      <c r="Z1954"/>
      <c r="AA1954" t="s">
        <v>4278</v>
      </c>
      <c r="AB1954"/>
      <c r="AC1954" t="s">
        <v>24</v>
      </c>
      <c r="AD1954" t="s">
        <v>129</v>
      </c>
      <c r="AE1954" s="97"/>
    </row>
    <row r="1955" spans="1:31" ht="14.4" customHeight="1" x14ac:dyDescent="0.3">
      <c r="A1955" t="s">
        <v>4433</v>
      </c>
      <c r="B1955"/>
      <c r="C1955" t="s">
        <v>4434</v>
      </c>
      <c r="D1955"/>
      <c r="E1955" t="s">
        <v>4434</v>
      </c>
      <c r="F1955" t="s">
        <v>6769</v>
      </c>
      <c r="G1955" t="s">
        <v>4275</v>
      </c>
      <c r="H1955" t="s">
        <v>132</v>
      </c>
      <c r="I1955" t="s">
        <v>4</v>
      </c>
      <c r="J1955" t="s">
        <v>4276</v>
      </c>
      <c r="K1955" t="s">
        <v>54</v>
      </c>
      <c r="L1955"/>
      <c r="M1955" t="s">
        <v>134</v>
      </c>
      <c r="N1955" t="s">
        <v>135</v>
      </c>
      <c r="O1955"/>
      <c r="P1955"/>
      <c r="Q1955" t="s">
        <v>4277</v>
      </c>
      <c r="R1955"/>
      <c r="S1955"/>
      <c r="T1955"/>
      <c r="U1955" t="s">
        <v>137</v>
      </c>
      <c r="V1955" t="s">
        <v>1299</v>
      </c>
      <c r="W1955" s="9">
        <v>46151.227072303242</v>
      </c>
      <c r="X1955" t="s">
        <v>114</v>
      </c>
      <c r="Y1955"/>
      <c r="Z1955"/>
      <c r="AA1955" t="s">
        <v>4278</v>
      </c>
      <c r="AB1955"/>
      <c r="AC1955" t="s">
        <v>24</v>
      </c>
      <c r="AD1955" t="s">
        <v>129</v>
      </c>
      <c r="AE1955" s="97"/>
    </row>
    <row r="1956" spans="1:31" ht="14.4" customHeight="1" x14ac:dyDescent="0.3">
      <c r="A1956" t="s">
        <v>4435</v>
      </c>
      <c r="B1956"/>
      <c r="C1956" t="s">
        <v>4436</v>
      </c>
      <c r="D1956"/>
      <c r="E1956" t="s">
        <v>4436</v>
      </c>
      <c r="F1956" t="s">
        <v>6769</v>
      </c>
      <c r="G1956" t="s">
        <v>4275</v>
      </c>
      <c r="H1956" t="s">
        <v>132</v>
      </c>
      <c r="I1956" t="s">
        <v>4</v>
      </c>
      <c r="J1956" t="s">
        <v>4276</v>
      </c>
      <c r="K1956" t="s">
        <v>54</v>
      </c>
      <c r="L1956"/>
      <c r="M1956" t="s">
        <v>134</v>
      </c>
      <c r="N1956" t="s">
        <v>135</v>
      </c>
      <c r="O1956"/>
      <c r="P1956"/>
      <c r="Q1956" t="s">
        <v>4277</v>
      </c>
      <c r="R1956"/>
      <c r="S1956"/>
      <c r="T1956"/>
      <c r="U1956" t="s">
        <v>137</v>
      </c>
      <c r="V1956" t="s">
        <v>1299</v>
      </c>
      <c r="W1956" s="9">
        <v>46161.271448229163</v>
      </c>
      <c r="X1956" t="s">
        <v>114</v>
      </c>
      <c r="Y1956"/>
      <c r="Z1956"/>
      <c r="AA1956" t="s">
        <v>4278</v>
      </c>
      <c r="AB1956"/>
      <c r="AC1956" t="s">
        <v>24</v>
      </c>
      <c r="AD1956" t="s">
        <v>129</v>
      </c>
      <c r="AE1956" s="97"/>
    </row>
    <row r="1957" spans="1:31" ht="14.4" customHeight="1" x14ac:dyDescent="0.3">
      <c r="A1957" t="s">
        <v>4437</v>
      </c>
      <c r="B1957"/>
      <c r="C1957" t="s">
        <v>4438</v>
      </c>
      <c r="D1957"/>
      <c r="E1957" t="s">
        <v>4438</v>
      </c>
      <c r="F1957" t="s">
        <v>6769</v>
      </c>
      <c r="G1957" t="s">
        <v>4275</v>
      </c>
      <c r="H1957" t="s">
        <v>132</v>
      </c>
      <c r="I1957" t="s">
        <v>4</v>
      </c>
      <c r="J1957" t="s">
        <v>4276</v>
      </c>
      <c r="K1957" t="s">
        <v>54</v>
      </c>
      <c r="L1957"/>
      <c r="M1957" t="s">
        <v>134</v>
      </c>
      <c r="N1957" t="s">
        <v>135</v>
      </c>
      <c r="O1957"/>
      <c r="P1957"/>
      <c r="Q1957" t="s">
        <v>4277</v>
      </c>
      <c r="R1957"/>
      <c r="S1957"/>
      <c r="T1957"/>
      <c r="U1957" t="s">
        <v>137</v>
      </c>
      <c r="V1957" t="s">
        <v>1303</v>
      </c>
      <c r="W1957" s="9">
        <v>46138.297901006947</v>
      </c>
      <c r="X1957" t="s">
        <v>123</v>
      </c>
      <c r="Y1957"/>
      <c r="Z1957"/>
      <c r="AA1957" t="s">
        <v>4278</v>
      </c>
      <c r="AB1957"/>
      <c r="AC1957" t="s">
        <v>24</v>
      </c>
      <c r="AD1957" t="s">
        <v>130</v>
      </c>
      <c r="AE1957" s="97"/>
    </row>
    <row r="1958" spans="1:31" ht="14.4" customHeight="1" x14ac:dyDescent="0.3">
      <c r="A1958" t="s">
        <v>4439</v>
      </c>
      <c r="B1958"/>
      <c r="C1958" t="s">
        <v>4440</v>
      </c>
      <c r="D1958"/>
      <c r="E1958" t="s">
        <v>4440</v>
      </c>
      <c r="F1958" t="s">
        <v>6769</v>
      </c>
      <c r="G1958" t="s">
        <v>4275</v>
      </c>
      <c r="H1958" t="s">
        <v>132</v>
      </c>
      <c r="I1958" t="s">
        <v>4</v>
      </c>
      <c r="J1958" t="s">
        <v>4276</v>
      </c>
      <c r="K1958" t="s">
        <v>54</v>
      </c>
      <c r="L1958"/>
      <c r="M1958" t="s">
        <v>134</v>
      </c>
      <c r="N1958" t="s">
        <v>135</v>
      </c>
      <c r="O1958"/>
      <c r="P1958"/>
      <c r="Q1958" t="s">
        <v>4277</v>
      </c>
      <c r="R1958"/>
      <c r="S1958"/>
      <c r="T1958"/>
      <c r="U1958" t="s">
        <v>137</v>
      </c>
      <c r="V1958" t="s">
        <v>1303</v>
      </c>
      <c r="W1958" s="9">
        <v>46161.272233993055</v>
      </c>
      <c r="X1958" t="s">
        <v>123</v>
      </c>
      <c r="Y1958"/>
      <c r="Z1958"/>
      <c r="AA1958" t="s">
        <v>4278</v>
      </c>
      <c r="AB1958"/>
      <c r="AC1958" t="s">
        <v>24</v>
      </c>
      <c r="AD1958" t="s">
        <v>130</v>
      </c>
      <c r="AE1958" s="97"/>
    </row>
    <row r="1959" spans="1:31" ht="14.4" customHeight="1" x14ac:dyDescent="0.3">
      <c r="A1959" t="s">
        <v>4441</v>
      </c>
      <c r="B1959"/>
      <c r="C1959" t="s">
        <v>4442</v>
      </c>
      <c r="D1959"/>
      <c r="E1959" t="s">
        <v>4442</v>
      </c>
      <c r="F1959" t="s">
        <v>6769</v>
      </c>
      <c r="G1959" t="s">
        <v>4275</v>
      </c>
      <c r="H1959" t="s">
        <v>132</v>
      </c>
      <c r="I1959" t="s">
        <v>4</v>
      </c>
      <c r="J1959" t="s">
        <v>4276</v>
      </c>
      <c r="K1959" t="s">
        <v>54</v>
      </c>
      <c r="L1959"/>
      <c r="M1959" t="s">
        <v>134</v>
      </c>
      <c r="N1959" t="s">
        <v>135</v>
      </c>
      <c r="O1959"/>
      <c r="P1959"/>
      <c r="Q1959" t="s">
        <v>4277</v>
      </c>
      <c r="R1959"/>
      <c r="S1959"/>
      <c r="T1959"/>
      <c r="U1959" t="s">
        <v>137</v>
      </c>
      <c r="V1959" t="s">
        <v>703</v>
      </c>
      <c r="W1959" s="9">
        <v>46157.272020833334</v>
      </c>
      <c r="X1959" t="s">
        <v>62</v>
      </c>
      <c r="Y1959"/>
      <c r="Z1959"/>
      <c r="AA1959" t="s">
        <v>4278</v>
      </c>
      <c r="AB1959"/>
      <c r="AC1959" t="s">
        <v>24</v>
      </c>
      <c r="AD1959" t="s">
        <v>128</v>
      </c>
      <c r="AE1959" s="97"/>
    </row>
    <row r="1960" spans="1:31" ht="14.4" customHeight="1" x14ac:dyDescent="0.3">
      <c r="A1960" t="s">
        <v>4443</v>
      </c>
      <c r="B1960"/>
      <c r="C1960" t="s">
        <v>4444</v>
      </c>
      <c r="D1960"/>
      <c r="E1960" t="s">
        <v>4444</v>
      </c>
      <c r="F1960" t="s">
        <v>6769</v>
      </c>
      <c r="G1960" t="s">
        <v>4275</v>
      </c>
      <c r="H1960" t="s">
        <v>132</v>
      </c>
      <c r="I1960" t="s">
        <v>4</v>
      </c>
      <c r="J1960" t="s">
        <v>4276</v>
      </c>
      <c r="K1960" t="s">
        <v>54</v>
      </c>
      <c r="L1960"/>
      <c r="M1960" t="s">
        <v>134</v>
      </c>
      <c r="N1960" t="s">
        <v>135</v>
      </c>
      <c r="O1960"/>
      <c r="P1960"/>
      <c r="Q1960" t="s">
        <v>4277</v>
      </c>
      <c r="R1960"/>
      <c r="S1960"/>
      <c r="T1960"/>
      <c r="U1960" t="s">
        <v>137</v>
      </c>
      <c r="V1960" t="s">
        <v>703</v>
      </c>
      <c r="W1960" s="9">
        <v>46144.765430983796</v>
      </c>
      <c r="X1960" t="s">
        <v>62</v>
      </c>
      <c r="Y1960"/>
      <c r="Z1960"/>
      <c r="AA1960" t="s">
        <v>4278</v>
      </c>
      <c r="AB1960"/>
      <c r="AC1960" t="s">
        <v>24</v>
      </c>
      <c r="AD1960" t="s">
        <v>128</v>
      </c>
      <c r="AE1960" s="97"/>
    </row>
    <row r="1961" spans="1:31" ht="14.4" customHeight="1" x14ac:dyDescent="0.3">
      <c r="A1961" t="s">
        <v>4445</v>
      </c>
      <c r="B1961"/>
      <c r="C1961" t="s">
        <v>4446</v>
      </c>
      <c r="D1961"/>
      <c r="E1961" t="s">
        <v>4446</v>
      </c>
      <c r="F1961" t="s">
        <v>6769</v>
      </c>
      <c r="G1961" t="s">
        <v>4275</v>
      </c>
      <c r="H1961" t="s">
        <v>132</v>
      </c>
      <c r="I1961" t="s">
        <v>4</v>
      </c>
      <c r="J1961" t="s">
        <v>4276</v>
      </c>
      <c r="K1961" t="s">
        <v>54</v>
      </c>
      <c r="L1961"/>
      <c r="M1961" t="s">
        <v>134</v>
      </c>
      <c r="N1961" t="s">
        <v>135</v>
      </c>
      <c r="O1961"/>
      <c r="P1961"/>
      <c r="Q1961" t="s">
        <v>4277</v>
      </c>
      <c r="R1961"/>
      <c r="S1961"/>
      <c r="T1961"/>
      <c r="U1961" t="s">
        <v>137</v>
      </c>
      <c r="V1961" t="s">
        <v>703</v>
      </c>
      <c r="W1961" s="9">
        <v>46157.27280702546</v>
      </c>
      <c r="X1961" t="s">
        <v>62</v>
      </c>
      <c r="Y1961"/>
      <c r="Z1961"/>
      <c r="AA1961" t="s">
        <v>4278</v>
      </c>
      <c r="AB1961"/>
      <c r="AC1961" t="s">
        <v>24</v>
      </c>
      <c r="AD1961" t="s">
        <v>128</v>
      </c>
      <c r="AE1961" s="97"/>
    </row>
    <row r="1962" spans="1:31" ht="14.4" customHeight="1" x14ac:dyDescent="0.3">
      <c r="A1962" t="s">
        <v>4447</v>
      </c>
      <c r="B1962"/>
      <c r="C1962" t="s">
        <v>4448</v>
      </c>
      <c r="D1962"/>
      <c r="E1962" t="s">
        <v>4448</v>
      </c>
      <c r="F1962" t="s">
        <v>6769</v>
      </c>
      <c r="G1962" t="s">
        <v>4275</v>
      </c>
      <c r="H1962" t="s">
        <v>132</v>
      </c>
      <c r="I1962" t="s">
        <v>4</v>
      </c>
      <c r="J1962" t="s">
        <v>4276</v>
      </c>
      <c r="K1962" t="s">
        <v>54</v>
      </c>
      <c r="L1962"/>
      <c r="M1962" t="s">
        <v>134</v>
      </c>
      <c r="N1962" t="s">
        <v>135</v>
      </c>
      <c r="O1962"/>
      <c r="P1962"/>
      <c r="Q1962" t="s">
        <v>4277</v>
      </c>
      <c r="R1962"/>
      <c r="S1962"/>
      <c r="T1962"/>
      <c r="U1962" t="s">
        <v>137</v>
      </c>
      <c r="V1962" t="s">
        <v>703</v>
      </c>
      <c r="W1962" s="9">
        <v>46157.273809988423</v>
      </c>
      <c r="X1962" t="s">
        <v>62</v>
      </c>
      <c r="Y1962"/>
      <c r="Z1962"/>
      <c r="AA1962" t="s">
        <v>4278</v>
      </c>
      <c r="AB1962"/>
      <c r="AC1962" t="s">
        <v>24</v>
      </c>
      <c r="AD1962" t="s">
        <v>128</v>
      </c>
      <c r="AE1962" s="97"/>
    </row>
    <row r="1963" spans="1:31" ht="14.4" customHeight="1" x14ac:dyDescent="0.3">
      <c r="A1963" t="s">
        <v>4449</v>
      </c>
      <c r="B1963"/>
      <c r="C1963" t="s">
        <v>4450</v>
      </c>
      <c r="D1963"/>
      <c r="E1963" t="s">
        <v>4450</v>
      </c>
      <c r="F1963" t="s">
        <v>6769</v>
      </c>
      <c r="G1963" t="s">
        <v>4275</v>
      </c>
      <c r="H1963" t="s">
        <v>132</v>
      </c>
      <c r="I1963" t="s">
        <v>4</v>
      </c>
      <c r="J1963" t="s">
        <v>4276</v>
      </c>
      <c r="K1963" t="s">
        <v>54</v>
      </c>
      <c r="L1963"/>
      <c r="M1963" t="s">
        <v>134</v>
      </c>
      <c r="N1963" t="s">
        <v>135</v>
      </c>
      <c r="O1963"/>
      <c r="P1963"/>
      <c r="Q1963" t="s">
        <v>4277</v>
      </c>
      <c r="R1963"/>
      <c r="S1963"/>
      <c r="T1963"/>
      <c r="U1963" t="s">
        <v>137</v>
      </c>
      <c r="V1963" t="s">
        <v>703</v>
      </c>
      <c r="W1963" s="9">
        <v>46157.274493599536</v>
      </c>
      <c r="X1963" t="s">
        <v>62</v>
      </c>
      <c r="Y1963"/>
      <c r="Z1963"/>
      <c r="AA1963" t="s">
        <v>4278</v>
      </c>
      <c r="AB1963"/>
      <c r="AC1963" t="s">
        <v>24</v>
      </c>
      <c r="AD1963" t="s">
        <v>128</v>
      </c>
      <c r="AE1963" s="97"/>
    </row>
    <row r="1964" spans="1:31" ht="14.4" customHeight="1" x14ac:dyDescent="0.3">
      <c r="A1964" t="s">
        <v>4451</v>
      </c>
      <c r="B1964"/>
      <c r="C1964" t="s">
        <v>4452</v>
      </c>
      <c r="D1964"/>
      <c r="E1964" t="s">
        <v>4452</v>
      </c>
      <c r="F1964" t="s">
        <v>6769</v>
      </c>
      <c r="G1964" t="s">
        <v>4275</v>
      </c>
      <c r="H1964" t="s">
        <v>132</v>
      </c>
      <c r="I1964" t="s">
        <v>4</v>
      </c>
      <c r="J1964" t="s">
        <v>4276</v>
      </c>
      <c r="K1964" t="s">
        <v>54</v>
      </c>
      <c r="L1964"/>
      <c r="M1964" t="s">
        <v>134</v>
      </c>
      <c r="N1964" t="s">
        <v>135</v>
      </c>
      <c r="O1964"/>
      <c r="P1964"/>
      <c r="Q1964" t="s">
        <v>4277</v>
      </c>
      <c r="R1964"/>
      <c r="S1964"/>
      <c r="T1964"/>
      <c r="U1964" t="s">
        <v>137</v>
      </c>
      <c r="V1964" t="s">
        <v>703</v>
      </c>
      <c r="W1964" s="9">
        <v>46157.27535517361</v>
      </c>
      <c r="X1964" t="s">
        <v>62</v>
      </c>
      <c r="Y1964"/>
      <c r="Z1964"/>
      <c r="AA1964" t="s">
        <v>4278</v>
      </c>
      <c r="AB1964"/>
      <c r="AC1964" t="s">
        <v>24</v>
      </c>
      <c r="AD1964" t="s">
        <v>128</v>
      </c>
      <c r="AE1964" s="97"/>
    </row>
    <row r="1965" spans="1:31" ht="14.4" customHeight="1" x14ac:dyDescent="0.3">
      <c r="A1965" t="s">
        <v>4453</v>
      </c>
      <c r="B1965"/>
      <c r="C1965" t="s">
        <v>4454</v>
      </c>
      <c r="D1965"/>
      <c r="E1965" t="s">
        <v>4454</v>
      </c>
      <c r="F1965" t="s">
        <v>6769</v>
      </c>
      <c r="G1965" t="s">
        <v>4275</v>
      </c>
      <c r="H1965" t="s">
        <v>132</v>
      </c>
      <c r="I1965" t="s">
        <v>4</v>
      </c>
      <c r="J1965" t="s">
        <v>4276</v>
      </c>
      <c r="K1965" t="s">
        <v>54</v>
      </c>
      <c r="L1965"/>
      <c r="M1965" t="s">
        <v>134</v>
      </c>
      <c r="N1965" t="s">
        <v>135</v>
      </c>
      <c r="O1965"/>
      <c r="P1965"/>
      <c r="Q1965" t="s">
        <v>4277</v>
      </c>
      <c r="R1965"/>
      <c r="S1965"/>
      <c r="T1965"/>
      <c r="U1965" t="s">
        <v>137</v>
      </c>
      <c r="V1965" t="s">
        <v>709</v>
      </c>
      <c r="W1965" s="9">
        <v>46157.27617769676</v>
      </c>
      <c r="X1965" t="s">
        <v>73</v>
      </c>
      <c r="Y1965"/>
      <c r="Z1965"/>
      <c r="AA1965" t="s">
        <v>4278</v>
      </c>
      <c r="AB1965"/>
      <c r="AC1965" t="s">
        <v>24</v>
      </c>
      <c r="AD1965" t="s">
        <v>128</v>
      </c>
      <c r="AE1965" s="97"/>
    </row>
    <row r="1966" spans="1:31" ht="14.4" customHeight="1" x14ac:dyDescent="0.3">
      <c r="A1966" t="s">
        <v>4455</v>
      </c>
      <c r="B1966"/>
      <c r="C1966" t="s">
        <v>4456</v>
      </c>
      <c r="D1966"/>
      <c r="E1966" t="s">
        <v>4456</v>
      </c>
      <c r="F1966" t="s">
        <v>6769</v>
      </c>
      <c r="G1966" t="s">
        <v>4275</v>
      </c>
      <c r="H1966" t="s">
        <v>132</v>
      </c>
      <c r="I1966" t="s">
        <v>4</v>
      </c>
      <c r="J1966" t="s">
        <v>4276</v>
      </c>
      <c r="K1966" t="s">
        <v>54</v>
      </c>
      <c r="L1966"/>
      <c r="M1966" t="s">
        <v>134</v>
      </c>
      <c r="N1966" t="s">
        <v>135</v>
      </c>
      <c r="O1966"/>
      <c r="P1966"/>
      <c r="Q1966" t="s">
        <v>4277</v>
      </c>
      <c r="R1966"/>
      <c r="S1966"/>
      <c r="T1966"/>
      <c r="U1966" t="s">
        <v>137</v>
      </c>
      <c r="V1966" t="s">
        <v>709</v>
      </c>
      <c r="W1966" s="9">
        <v>46148.224174039351</v>
      </c>
      <c r="X1966" t="s">
        <v>73</v>
      </c>
      <c r="Y1966"/>
      <c r="Z1966"/>
      <c r="AA1966" t="s">
        <v>4278</v>
      </c>
      <c r="AB1966"/>
      <c r="AC1966" t="s">
        <v>24</v>
      </c>
      <c r="AD1966" t="s">
        <v>128</v>
      </c>
      <c r="AE1966" s="97"/>
    </row>
    <row r="1967" spans="1:31" ht="14.4" customHeight="1" x14ac:dyDescent="0.3">
      <c r="A1967" t="s">
        <v>4457</v>
      </c>
      <c r="B1967"/>
      <c r="C1967" t="s">
        <v>4458</v>
      </c>
      <c r="D1967"/>
      <c r="E1967" t="s">
        <v>4458</v>
      </c>
      <c r="F1967" t="s">
        <v>6769</v>
      </c>
      <c r="G1967" t="s">
        <v>4275</v>
      </c>
      <c r="H1967" t="s">
        <v>132</v>
      </c>
      <c r="I1967" t="s">
        <v>4</v>
      </c>
      <c r="J1967" t="s">
        <v>4276</v>
      </c>
      <c r="K1967" t="s">
        <v>54</v>
      </c>
      <c r="L1967"/>
      <c r="M1967" t="s">
        <v>134</v>
      </c>
      <c r="N1967" t="s">
        <v>135</v>
      </c>
      <c r="O1967"/>
      <c r="P1967"/>
      <c r="Q1967" t="s">
        <v>4277</v>
      </c>
      <c r="R1967"/>
      <c r="S1967"/>
      <c r="T1967"/>
      <c r="U1967" t="s">
        <v>137</v>
      </c>
      <c r="V1967" t="s">
        <v>709</v>
      </c>
      <c r="W1967" s="9">
        <v>46157.276873379633</v>
      </c>
      <c r="X1967" t="s">
        <v>73</v>
      </c>
      <c r="Y1967"/>
      <c r="Z1967"/>
      <c r="AA1967" t="s">
        <v>4278</v>
      </c>
      <c r="AB1967"/>
      <c r="AC1967" t="s">
        <v>24</v>
      </c>
      <c r="AD1967" t="s">
        <v>128</v>
      </c>
      <c r="AE1967" s="97"/>
    </row>
    <row r="1968" spans="1:31" ht="14.4" customHeight="1" x14ac:dyDescent="0.3">
      <c r="A1968" t="s">
        <v>4459</v>
      </c>
      <c r="B1968"/>
      <c r="C1968" t="s">
        <v>4460</v>
      </c>
      <c r="D1968"/>
      <c r="E1968" t="s">
        <v>4460</v>
      </c>
      <c r="F1968" t="s">
        <v>6769</v>
      </c>
      <c r="G1968" t="s">
        <v>4275</v>
      </c>
      <c r="H1968" t="s">
        <v>132</v>
      </c>
      <c r="I1968" t="s">
        <v>4</v>
      </c>
      <c r="J1968" t="s">
        <v>4276</v>
      </c>
      <c r="K1968" t="s">
        <v>54</v>
      </c>
      <c r="L1968"/>
      <c r="M1968" t="s">
        <v>134</v>
      </c>
      <c r="N1968" t="s">
        <v>135</v>
      </c>
      <c r="O1968"/>
      <c r="P1968"/>
      <c r="Q1968" t="s">
        <v>4277</v>
      </c>
      <c r="R1968"/>
      <c r="S1968"/>
      <c r="T1968"/>
      <c r="U1968" t="s">
        <v>137</v>
      </c>
      <c r="V1968" t="s">
        <v>709</v>
      </c>
      <c r="W1968" s="9">
        <v>46157.277585648146</v>
      </c>
      <c r="X1968" t="s">
        <v>73</v>
      </c>
      <c r="Y1968"/>
      <c r="Z1968"/>
      <c r="AA1968" t="s">
        <v>4278</v>
      </c>
      <c r="AB1968"/>
      <c r="AC1968" t="s">
        <v>24</v>
      </c>
      <c r="AD1968" t="s">
        <v>128</v>
      </c>
      <c r="AE1968" s="97"/>
    </row>
    <row r="1969" spans="1:31" ht="14.4" customHeight="1" x14ac:dyDescent="0.3">
      <c r="A1969" t="s">
        <v>4461</v>
      </c>
      <c r="B1969"/>
      <c r="C1969" t="s">
        <v>4462</v>
      </c>
      <c r="D1969"/>
      <c r="E1969" t="s">
        <v>4462</v>
      </c>
      <c r="F1969" t="s">
        <v>6769</v>
      </c>
      <c r="G1969" t="s">
        <v>4275</v>
      </c>
      <c r="H1969" t="s">
        <v>132</v>
      </c>
      <c r="I1969" t="s">
        <v>4</v>
      </c>
      <c r="J1969" t="s">
        <v>4276</v>
      </c>
      <c r="K1969" t="s">
        <v>54</v>
      </c>
      <c r="L1969"/>
      <c r="M1969" t="s">
        <v>134</v>
      </c>
      <c r="N1969" t="s">
        <v>135</v>
      </c>
      <c r="O1969"/>
      <c r="P1969"/>
      <c r="Q1969" t="s">
        <v>4277</v>
      </c>
      <c r="R1969"/>
      <c r="S1969"/>
      <c r="T1969"/>
      <c r="U1969" t="s">
        <v>137</v>
      </c>
      <c r="V1969" t="s">
        <v>709</v>
      </c>
      <c r="W1969" s="9">
        <v>46157.278475960651</v>
      </c>
      <c r="X1969" t="s">
        <v>73</v>
      </c>
      <c r="Y1969"/>
      <c r="Z1969"/>
      <c r="AA1969" t="s">
        <v>4278</v>
      </c>
      <c r="AB1969"/>
      <c r="AC1969" t="s">
        <v>24</v>
      </c>
      <c r="AD1969" t="s">
        <v>128</v>
      </c>
      <c r="AE1969" s="97"/>
    </row>
    <row r="1970" spans="1:31" ht="14.4" customHeight="1" x14ac:dyDescent="0.3">
      <c r="A1970" t="s">
        <v>4463</v>
      </c>
      <c r="B1970"/>
      <c r="C1970" t="s">
        <v>4464</v>
      </c>
      <c r="D1970"/>
      <c r="E1970" t="s">
        <v>4464</v>
      </c>
      <c r="F1970" t="s">
        <v>6769</v>
      </c>
      <c r="G1970" t="s">
        <v>4275</v>
      </c>
      <c r="H1970" t="s">
        <v>132</v>
      </c>
      <c r="I1970" t="s">
        <v>4</v>
      </c>
      <c r="J1970" t="s">
        <v>4276</v>
      </c>
      <c r="K1970" t="s">
        <v>54</v>
      </c>
      <c r="L1970"/>
      <c r="M1970" t="s">
        <v>134</v>
      </c>
      <c r="N1970" t="s">
        <v>135</v>
      </c>
      <c r="O1970"/>
      <c r="P1970"/>
      <c r="Q1970" t="s">
        <v>4277</v>
      </c>
      <c r="R1970"/>
      <c r="S1970"/>
      <c r="T1970"/>
      <c r="U1970" t="s">
        <v>137</v>
      </c>
      <c r="V1970" t="s">
        <v>709</v>
      </c>
      <c r="W1970" s="9">
        <v>46157.279102395834</v>
      </c>
      <c r="X1970" t="s">
        <v>73</v>
      </c>
      <c r="Y1970"/>
      <c r="Z1970"/>
      <c r="AA1970" t="s">
        <v>4278</v>
      </c>
      <c r="AB1970"/>
      <c r="AC1970" t="s">
        <v>24</v>
      </c>
      <c r="AD1970" t="s">
        <v>128</v>
      </c>
      <c r="AE1970" s="97"/>
    </row>
    <row r="1971" spans="1:31" ht="14.4" customHeight="1" x14ac:dyDescent="0.3">
      <c r="A1971" t="s">
        <v>4465</v>
      </c>
      <c r="B1971"/>
      <c r="C1971" t="s">
        <v>4466</v>
      </c>
      <c r="D1971"/>
      <c r="E1971" t="s">
        <v>4466</v>
      </c>
      <c r="F1971" t="s">
        <v>6769</v>
      </c>
      <c r="G1971" t="s">
        <v>4275</v>
      </c>
      <c r="H1971" t="s">
        <v>132</v>
      </c>
      <c r="I1971" t="s">
        <v>4</v>
      </c>
      <c r="J1971" t="s">
        <v>4276</v>
      </c>
      <c r="K1971" t="s">
        <v>54</v>
      </c>
      <c r="L1971"/>
      <c r="M1971" t="s">
        <v>134</v>
      </c>
      <c r="N1971" t="s">
        <v>135</v>
      </c>
      <c r="O1971"/>
      <c r="P1971"/>
      <c r="Q1971" t="s">
        <v>4277</v>
      </c>
      <c r="R1971"/>
      <c r="S1971"/>
      <c r="T1971"/>
      <c r="U1971" t="s">
        <v>137</v>
      </c>
      <c r="V1971" t="s">
        <v>715</v>
      </c>
      <c r="W1971" s="9">
        <v>46158.241253506945</v>
      </c>
      <c r="X1971" t="s">
        <v>82</v>
      </c>
      <c r="Y1971"/>
      <c r="Z1971"/>
      <c r="AA1971" t="s">
        <v>4278</v>
      </c>
      <c r="AB1971"/>
      <c r="AC1971" t="s">
        <v>24</v>
      </c>
      <c r="AD1971" t="s">
        <v>129</v>
      </c>
      <c r="AE1971" s="97"/>
    </row>
    <row r="1972" spans="1:31" ht="14.4" customHeight="1" x14ac:dyDescent="0.3">
      <c r="A1972" t="s">
        <v>4467</v>
      </c>
      <c r="B1972"/>
      <c r="C1972" t="s">
        <v>4468</v>
      </c>
      <c r="D1972"/>
      <c r="E1972" t="s">
        <v>4468</v>
      </c>
      <c r="F1972" t="s">
        <v>6769</v>
      </c>
      <c r="G1972" t="s">
        <v>4275</v>
      </c>
      <c r="H1972" t="s">
        <v>132</v>
      </c>
      <c r="I1972" t="s">
        <v>4</v>
      </c>
      <c r="J1972" t="s">
        <v>4276</v>
      </c>
      <c r="K1972" t="s">
        <v>54</v>
      </c>
      <c r="L1972"/>
      <c r="M1972" t="s">
        <v>134</v>
      </c>
      <c r="N1972" t="s">
        <v>135</v>
      </c>
      <c r="O1972"/>
      <c r="P1972"/>
      <c r="Q1972" t="s">
        <v>4277</v>
      </c>
      <c r="R1972"/>
      <c r="S1972"/>
      <c r="T1972"/>
      <c r="U1972" t="s">
        <v>137</v>
      </c>
      <c r="V1972" t="s">
        <v>715</v>
      </c>
      <c r="W1972" s="9">
        <v>46154.823844641207</v>
      </c>
      <c r="X1972" t="s">
        <v>82</v>
      </c>
      <c r="Y1972"/>
      <c r="Z1972"/>
      <c r="AA1972" t="s">
        <v>4278</v>
      </c>
      <c r="AB1972"/>
      <c r="AC1972" t="s">
        <v>24</v>
      </c>
      <c r="AD1972" t="s">
        <v>129</v>
      </c>
      <c r="AE1972" s="97"/>
    </row>
    <row r="1973" spans="1:31" ht="14.4" customHeight="1" x14ac:dyDescent="0.3">
      <c r="A1973" t="s">
        <v>4469</v>
      </c>
      <c r="B1973"/>
      <c r="C1973" t="s">
        <v>4470</v>
      </c>
      <c r="D1973"/>
      <c r="E1973" t="s">
        <v>4470</v>
      </c>
      <c r="F1973" t="s">
        <v>6769</v>
      </c>
      <c r="G1973" t="s">
        <v>4275</v>
      </c>
      <c r="H1973" t="s">
        <v>132</v>
      </c>
      <c r="I1973" t="s">
        <v>4</v>
      </c>
      <c r="J1973" t="s">
        <v>4276</v>
      </c>
      <c r="K1973" t="s">
        <v>54</v>
      </c>
      <c r="L1973"/>
      <c r="M1973" t="s">
        <v>134</v>
      </c>
      <c r="N1973" t="s">
        <v>135</v>
      </c>
      <c r="O1973"/>
      <c r="P1973"/>
      <c r="Q1973" t="s">
        <v>4277</v>
      </c>
      <c r="R1973"/>
      <c r="S1973"/>
      <c r="T1973"/>
      <c r="U1973" t="s">
        <v>137</v>
      </c>
      <c r="V1973" t="s">
        <v>715</v>
      </c>
      <c r="W1973" s="9">
        <v>46158.2401378125</v>
      </c>
      <c r="X1973" t="s">
        <v>82</v>
      </c>
      <c r="Y1973"/>
      <c r="Z1973"/>
      <c r="AA1973" t="s">
        <v>4278</v>
      </c>
      <c r="AB1973"/>
      <c r="AC1973" t="s">
        <v>24</v>
      </c>
      <c r="AD1973" t="s">
        <v>129</v>
      </c>
      <c r="AE1973" s="97"/>
    </row>
    <row r="1974" spans="1:31" ht="14.4" customHeight="1" x14ac:dyDescent="0.3">
      <c r="A1974" t="s">
        <v>4471</v>
      </c>
      <c r="B1974"/>
      <c r="C1974" t="s">
        <v>4472</v>
      </c>
      <c r="D1974"/>
      <c r="E1974" t="s">
        <v>4472</v>
      </c>
      <c r="F1974" t="s">
        <v>6769</v>
      </c>
      <c r="G1974" t="s">
        <v>4275</v>
      </c>
      <c r="H1974" t="s">
        <v>132</v>
      </c>
      <c r="I1974" t="s">
        <v>4</v>
      </c>
      <c r="J1974" t="s">
        <v>4276</v>
      </c>
      <c r="K1974" t="s">
        <v>54</v>
      </c>
      <c r="L1974"/>
      <c r="M1974" t="s">
        <v>134</v>
      </c>
      <c r="N1974" t="s">
        <v>135</v>
      </c>
      <c r="O1974"/>
      <c r="P1974"/>
      <c r="Q1974" t="s">
        <v>4277</v>
      </c>
      <c r="R1974"/>
      <c r="S1974"/>
      <c r="T1974"/>
      <c r="U1974" t="s">
        <v>137</v>
      </c>
      <c r="V1974" t="s">
        <v>715</v>
      </c>
      <c r="W1974" s="9">
        <v>46158.239472187503</v>
      </c>
      <c r="X1974" t="s">
        <v>82</v>
      </c>
      <c r="Y1974"/>
      <c r="Z1974"/>
      <c r="AA1974" t="s">
        <v>4278</v>
      </c>
      <c r="AB1974"/>
      <c r="AC1974" t="s">
        <v>24</v>
      </c>
      <c r="AD1974" t="s">
        <v>129</v>
      </c>
      <c r="AE1974" s="97"/>
    </row>
    <row r="1975" spans="1:31" ht="14.4" customHeight="1" x14ac:dyDescent="0.3">
      <c r="A1975" t="s">
        <v>4473</v>
      </c>
      <c r="B1975"/>
      <c r="C1975" t="s">
        <v>4474</v>
      </c>
      <c r="D1975"/>
      <c r="E1975" t="s">
        <v>4474</v>
      </c>
      <c r="F1975" t="s">
        <v>6769</v>
      </c>
      <c r="G1975" t="s">
        <v>4275</v>
      </c>
      <c r="H1975" t="s">
        <v>132</v>
      </c>
      <c r="I1975" t="s">
        <v>4</v>
      </c>
      <c r="J1975" t="s">
        <v>4276</v>
      </c>
      <c r="K1975" t="s">
        <v>54</v>
      </c>
      <c r="L1975"/>
      <c r="M1975" t="s">
        <v>134</v>
      </c>
      <c r="N1975" t="s">
        <v>135</v>
      </c>
      <c r="O1975"/>
      <c r="P1975"/>
      <c r="Q1975" t="s">
        <v>4277</v>
      </c>
      <c r="R1975"/>
      <c r="S1975"/>
      <c r="T1975"/>
      <c r="U1975" t="s">
        <v>137</v>
      </c>
      <c r="V1975" t="s">
        <v>715</v>
      </c>
      <c r="W1975" s="9">
        <v>46161.333774074075</v>
      </c>
      <c r="X1975" t="s">
        <v>82</v>
      </c>
      <c r="Y1975"/>
      <c r="Z1975"/>
      <c r="AA1975" t="s">
        <v>4278</v>
      </c>
      <c r="AB1975"/>
      <c r="AC1975" t="s">
        <v>24</v>
      </c>
      <c r="AD1975" t="s">
        <v>129</v>
      </c>
      <c r="AE1975" s="97"/>
    </row>
    <row r="1976" spans="1:31" ht="14.4" customHeight="1" x14ac:dyDescent="0.3">
      <c r="A1976" t="s">
        <v>4475</v>
      </c>
      <c r="B1976"/>
      <c r="C1976" t="s">
        <v>4476</v>
      </c>
      <c r="D1976"/>
      <c r="E1976" t="s">
        <v>4476</v>
      </c>
      <c r="F1976" t="s">
        <v>6769</v>
      </c>
      <c r="G1976" t="s">
        <v>4275</v>
      </c>
      <c r="H1976" t="s">
        <v>132</v>
      </c>
      <c r="I1976" t="s">
        <v>4</v>
      </c>
      <c r="J1976" t="s">
        <v>4276</v>
      </c>
      <c r="K1976" t="s">
        <v>54</v>
      </c>
      <c r="L1976"/>
      <c r="M1976" t="s">
        <v>134</v>
      </c>
      <c r="N1976" t="s">
        <v>135</v>
      </c>
      <c r="O1976"/>
      <c r="P1976"/>
      <c r="Q1976" t="s">
        <v>4277</v>
      </c>
      <c r="R1976"/>
      <c r="S1976"/>
      <c r="T1976"/>
      <c r="U1976" t="s">
        <v>137</v>
      </c>
      <c r="V1976" t="s">
        <v>715</v>
      </c>
      <c r="W1976" s="9">
        <v>46158.238738113425</v>
      </c>
      <c r="X1976" t="s">
        <v>82</v>
      </c>
      <c r="Y1976"/>
      <c r="Z1976"/>
      <c r="AA1976" t="s">
        <v>4278</v>
      </c>
      <c r="AB1976"/>
      <c r="AC1976" t="s">
        <v>24</v>
      </c>
      <c r="AD1976" t="s">
        <v>129</v>
      </c>
      <c r="AE1976" s="97"/>
    </row>
    <row r="1977" spans="1:31" ht="14.4" customHeight="1" x14ac:dyDescent="0.3">
      <c r="A1977" t="s">
        <v>4477</v>
      </c>
      <c r="B1977"/>
      <c r="C1977" t="s">
        <v>4478</v>
      </c>
      <c r="D1977"/>
      <c r="E1977" t="s">
        <v>4478</v>
      </c>
      <c r="F1977" t="s">
        <v>6769</v>
      </c>
      <c r="G1977" t="s">
        <v>4275</v>
      </c>
      <c r="H1977" t="s">
        <v>132</v>
      </c>
      <c r="I1977" t="s">
        <v>4</v>
      </c>
      <c r="J1977" t="s">
        <v>4276</v>
      </c>
      <c r="K1977" t="s">
        <v>54</v>
      </c>
      <c r="L1977"/>
      <c r="M1977" t="s">
        <v>134</v>
      </c>
      <c r="N1977" t="s">
        <v>135</v>
      </c>
      <c r="O1977"/>
      <c r="P1977"/>
      <c r="Q1977" t="s">
        <v>4277</v>
      </c>
      <c r="R1977"/>
      <c r="S1977"/>
      <c r="T1977"/>
      <c r="U1977" t="s">
        <v>137</v>
      </c>
      <c r="V1977" t="s">
        <v>721</v>
      </c>
      <c r="W1977" s="9">
        <v>46158.238167326388</v>
      </c>
      <c r="X1977" t="s">
        <v>91</v>
      </c>
      <c r="Y1977"/>
      <c r="Z1977"/>
      <c r="AA1977" t="s">
        <v>4278</v>
      </c>
      <c r="AB1977"/>
      <c r="AC1977" t="s">
        <v>24</v>
      </c>
      <c r="AD1977" t="s">
        <v>129</v>
      </c>
      <c r="AE1977" s="97"/>
    </row>
    <row r="1978" spans="1:31" ht="14.4" customHeight="1" x14ac:dyDescent="0.3">
      <c r="A1978" t="s">
        <v>4479</v>
      </c>
      <c r="B1978"/>
      <c r="C1978" t="s">
        <v>4480</v>
      </c>
      <c r="D1978"/>
      <c r="E1978" t="s">
        <v>4480</v>
      </c>
      <c r="F1978" t="s">
        <v>6769</v>
      </c>
      <c r="G1978" t="s">
        <v>4275</v>
      </c>
      <c r="H1978" t="s">
        <v>132</v>
      </c>
      <c r="I1978" t="s">
        <v>4</v>
      </c>
      <c r="J1978" t="s">
        <v>4276</v>
      </c>
      <c r="K1978" t="s">
        <v>54</v>
      </c>
      <c r="L1978"/>
      <c r="M1978" t="s">
        <v>134</v>
      </c>
      <c r="N1978" t="s">
        <v>135</v>
      </c>
      <c r="O1978"/>
      <c r="P1978"/>
      <c r="Q1978" t="s">
        <v>4277</v>
      </c>
      <c r="R1978"/>
      <c r="S1978"/>
      <c r="T1978"/>
      <c r="U1978" t="s">
        <v>137</v>
      </c>
      <c r="V1978" t="s">
        <v>721</v>
      </c>
      <c r="W1978" s="9">
        <v>46158.202961921299</v>
      </c>
      <c r="X1978" t="s">
        <v>91</v>
      </c>
      <c r="Y1978"/>
      <c r="Z1978"/>
      <c r="AA1978" t="s">
        <v>4278</v>
      </c>
      <c r="AB1978"/>
      <c r="AC1978" t="s">
        <v>24</v>
      </c>
      <c r="AD1978" t="s">
        <v>129</v>
      </c>
      <c r="AE1978" s="97"/>
    </row>
    <row r="1979" spans="1:31" ht="14.4" customHeight="1" x14ac:dyDescent="0.3">
      <c r="A1979" t="s">
        <v>4481</v>
      </c>
      <c r="B1979"/>
      <c r="C1979" t="s">
        <v>4482</v>
      </c>
      <c r="D1979"/>
      <c r="E1979" t="s">
        <v>4482</v>
      </c>
      <c r="F1979" t="s">
        <v>6769</v>
      </c>
      <c r="G1979" t="s">
        <v>4275</v>
      </c>
      <c r="H1979" t="s">
        <v>132</v>
      </c>
      <c r="I1979" t="s">
        <v>4</v>
      </c>
      <c r="J1979" t="s">
        <v>4276</v>
      </c>
      <c r="K1979" t="s">
        <v>54</v>
      </c>
      <c r="L1979"/>
      <c r="M1979" t="s">
        <v>134</v>
      </c>
      <c r="N1979" t="s">
        <v>135</v>
      </c>
      <c r="O1979"/>
      <c r="P1979"/>
      <c r="Q1979" t="s">
        <v>4277</v>
      </c>
      <c r="R1979"/>
      <c r="S1979"/>
      <c r="T1979"/>
      <c r="U1979" t="s">
        <v>137</v>
      </c>
      <c r="V1979" t="s">
        <v>721</v>
      </c>
      <c r="W1979" s="9">
        <v>46158.237190624997</v>
      </c>
      <c r="X1979" t="s">
        <v>91</v>
      </c>
      <c r="Y1979"/>
      <c r="Z1979"/>
      <c r="AA1979" t="s">
        <v>4278</v>
      </c>
      <c r="AB1979"/>
      <c r="AC1979" t="s">
        <v>24</v>
      </c>
      <c r="AD1979" t="s">
        <v>129</v>
      </c>
      <c r="AE1979" s="97"/>
    </row>
    <row r="1980" spans="1:31" ht="14.4" customHeight="1" x14ac:dyDescent="0.3">
      <c r="A1980" t="s">
        <v>4483</v>
      </c>
      <c r="B1980"/>
      <c r="C1980" t="s">
        <v>4484</v>
      </c>
      <c r="D1980"/>
      <c r="E1980" t="s">
        <v>4484</v>
      </c>
      <c r="F1980" t="s">
        <v>6769</v>
      </c>
      <c r="G1980" t="s">
        <v>4275</v>
      </c>
      <c r="H1980" t="s">
        <v>132</v>
      </c>
      <c r="I1980" t="s">
        <v>4</v>
      </c>
      <c r="J1980" t="s">
        <v>4276</v>
      </c>
      <c r="K1980" t="s">
        <v>54</v>
      </c>
      <c r="L1980"/>
      <c r="M1980" t="s">
        <v>134</v>
      </c>
      <c r="N1980" t="s">
        <v>135</v>
      </c>
      <c r="O1980"/>
      <c r="P1980"/>
      <c r="Q1980" t="s">
        <v>4277</v>
      </c>
      <c r="R1980"/>
      <c r="S1980"/>
      <c r="T1980"/>
      <c r="U1980" t="s">
        <v>137</v>
      </c>
      <c r="V1980" t="s">
        <v>721</v>
      </c>
      <c r="W1980" s="9">
        <v>46158.242588043984</v>
      </c>
      <c r="X1980" t="s">
        <v>91</v>
      </c>
      <c r="Y1980"/>
      <c r="Z1980"/>
      <c r="AA1980" t="s">
        <v>4278</v>
      </c>
      <c r="AB1980"/>
      <c r="AC1980" t="s">
        <v>24</v>
      </c>
      <c r="AD1980" t="s">
        <v>129</v>
      </c>
      <c r="AE1980" s="97"/>
    </row>
    <row r="1981" spans="1:31" ht="14.4" customHeight="1" x14ac:dyDescent="0.3">
      <c r="A1981" t="s">
        <v>4485</v>
      </c>
      <c r="B1981"/>
      <c r="C1981" t="s">
        <v>4486</v>
      </c>
      <c r="D1981"/>
      <c r="E1981" t="s">
        <v>4486</v>
      </c>
      <c r="F1981" t="s">
        <v>6769</v>
      </c>
      <c r="G1981" t="s">
        <v>4275</v>
      </c>
      <c r="H1981" t="s">
        <v>132</v>
      </c>
      <c r="I1981" t="s">
        <v>4</v>
      </c>
      <c r="J1981" t="s">
        <v>4276</v>
      </c>
      <c r="K1981" t="s">
        <v>54</v>
      </c>
      <c r="L1981"/>
      <c r="M1981" t="s">
        <v>134</v>
      </c>
      <c r="N1981" t="s">
        <v>135</v>
      </c>
      <c r="O1981"/>
      <c r="P1981"/>
      <c r="Q1981" t="s">
        <v>4277</v>
      </c>
      <c r="R1981"/>
      <c r="S1981"/>
      <c r="T1981"/>
      <c r="U1981" t="s">
        <v>137</v>
      </c>
      <c r="V1981" t="s">
        <v>721</v>
      </c>
      <c r="W1981" s="9">
        <v>46158.243765740743</v>
      </c>
      <c r="X1981" t="s">
        <v>91</v>
      </c>
      <c r="Y1981"/>
      <c r="Z1981"/>
      <c r="AA1981" t="s">
        <v>4278</v>
      </c>
      <c r="AB1981"/>
      <c r="AC1981" t="s">
        <v>24</v>
      </c>
      <c r="AD1981" t="s">
        <v>129</v>
      </c>
      <c r="AE1981" s="97"/>
    </row>
    <row r="1982" spans="1:31" ht="14.4" customHeight="1" x14ac:dyDescent="0.3">
      <c r="A1982" t="s">
        <v>4487</v>
      </c>
      <c r="B1982"/>
      <c r="C1982" t="s">
        <v>4488</v>
      </c>
      <c r="D1982"/>
      <c r="E1982" t="s">
        <v>4488</v>
      </c>
      <c r="F1982" t="s">
        <v>6769</v>
      </c>
      <c r="G1982" t="s">
        <v>4275</v>
      </c>
      <c r="H1982" t="s">
        <v>132</v>
      </c>
      <c r="I1982" t="s">
        <v>4</v>
      </c>
      <c r="J1982" t="s">
        <v>4276</v>
      </c>
      <c r="K1982" t="s">
        <v>54</v>
      </c>
      <c r="L1982"/>
      <c r="M1982" t="s">
        <v>134</v>
      </c>
      <c r="N1982" t="s">
        <v>135</v>
      </c>
      <c r="O1982"/>
      <c r="P1982"/>
      <c r="Q1982" t="s">
        <v>4277</v>
      </c>
      <c r="R1982"/>
      <c r="S1982"/>
      <c r="T1982"/>
      <c r="U1982" t="s">
        <v>137</v>
      </c>
      <c r="V1982" t="s">
        <v>721</v>
      </c>
      <c r="W1982" s="9">
        <v>46158.244570717594</v>
      </c>
      <c r="X1982" t="s">
        <v>91</v>
      </c>
      <c r="Y1982"/>
      <c r="Z1982"/>
      <c r="AA1982" t="s">
        <v>4278</v>
      </c>
      <c r="AB1982"/>
      <c r="AC1982" t="s">
        <v>24</v>
      </c>
      <c r="AD1982" t="s">
        <v>129</v>
      </c>
      <c r="AE1982" s="97"/>
    </row>
    <row r="1983" spans="1:31" ht="14.4" customHeight="1" x14ac:dyDescent="0.3">
      <c r="A1983" t="s">
        <v>4489</v>
      </c>
      <c r="B1983"/>
      <c r="C1983" t="s">
        <v>4490</v>
      </c>
      <c r="D1983"/>
      <c r="E1983" t="s">
        <v>4490</v>
      </c>
      <c r="F1983" t="s">
        <v>6769</v>
      </c>
      <c r="G1983" t="s">
        <v>4275</v>
      </c>
      <c r="H1983" t="s">
        <v>132</v>
      </c>
      <c r="I1983" t="s">
        <v>4</v>
      </c>
      <c r="J1983" t="s">
        <v>4276</v>
      </c>
      <c r="K1983" t="s">
        <v>54</v>
      </c>
      <c r="L1983"/>
      <c r="M1983" t="s">
        <v>134</v>
      </c>
      <c r="N1983" t="s">
        <v>135</v>
      </c>
      <c r="O1983"/>
      <c r="P1983"/>
      <c r="Q1983" t="s">
        <v>4277</v>
      </c>
      <c r="R1983"/>
      <c r="S1983"/>
      <c r="T1983"/>
      <c r="U1983" t="s">
        <v>137</v>
      </c>
      <c r="V1983" t="s">
        <v>727</v>
      </c>
      <c r="W1983" s="9">
        <v>46158.245434456017</v>
      </c>
      <c r="X1983" t="s">
        <v>100</v>
      </c>
      <c r="Y1983"/>
      <c r="Z1983"/>
      <c r="AA1983" t="s">
        <v>4278</v>
      </c>
      <c r="AB1983"/>
      <c r="AC1983" t="s">
        <v>24</v>
      </c>
      <c r="AD1983" t="s">
        <v>129</v>
      </c>
      <c r="AE1983" s="97"/>
    </row>
    <row r="1984" spans="1:31" ht="14.4" customHeight="1" x14ac:dyDescent="0.3">
      <c r="A1984" t="s">
        <v>4491</v>
      </c>
      <c r="B1984"/>
      <c r="C1984" t="s">
        <v>4492</v>
      </c>
      <c r="D1984"/>
      <c r="E1984" t="s">
        <v>4492</v>
      </c>
      <c r="F1984" t="s">
        <v>6769</v>
      </c>
      <c r="G1984" t="s">
        <v>4275</v>
      </c>
      <c r="H1984" t="s">
        <v>132</v>
      </c>
      <c r="I1984" t="s">
        <v>4</v>
      </c>
      <c r="J1984" t="s">
        <v>4276</v>
      </c>
      <c r="K1984" t="s">
        <v>54</v>
      </c>
      <c r="L1984"/>
      <c r="M1984" t="s">
        <v>134</v>
      </c>
      <c r="N1984" t="s">
        <v>135</v>
      </c>
      <c r="O1984"/>
      <c r="P1984"/>
      <c r="Q1984" t="s">
        <v>4277</v>
      </c>
      <c r="R1984"/>
      <c r="S1984"/>
      <c r="T1984"/>
      <c r="U1984" t="s">
        <v>137</v>
      </c>
      <c r="V1984" t="s">
        <v>727</v>
      </c>
      <c r="W1984" s="9">
        <v>46158.219915277776</v>
      </c>
      <c r="X1984" t="s">
        <v>100</v>
      </c>
      <c r="Y1984"/>
      <c r="Z1984"/>
      <c r="AA1984" t="s">
        <v>4278</v>
      </c>
      <c r="AB1984"/>
      <c r="AC1984" t="s">
        <v>24</v>
      </c>
      <c r="AD1984" t="s">
        <v>129</v>
      </c>
      <c r="AE1984" s="97"/>
    </row>
    <row r="1985" spans="1:31" ht="14.4" customHeight="1" x14ac:dyDescent="0.3">
      <c r="A1985" t="s">
        <v>4493</v>
      </c>
      <c r="B1985"/>
      <c r="C1985" t="s">
        <v>4494</v>
      </c>
      <c r="D1985"/>
      <c r="E1985" t="s">
        <v>4494</v>
      </c>
      <c r="F1985" t="s">
        <v>6769</v>
      </c>
      <c r="G1985" t="s">
        <v>4275</v>
      </c>
      <c r="H1985" t="s">
        <v>132</v>
      </c>
      <c r="I1985" t="s">
        <v>4</v>
      </c>
      <c r="J1985" t="s">
        <v>4276</v>
      </c>
      <c r="K1985" t="s">
        <v>54</v>
      </c>
      <c r="L1985"/>
      <c r="M1985" t="s">
        <v>134</v>
      </c>
      <c r="N1985" t="s">
        <v>135</v>
      </c>
      <c r="O1985"/>
      <c r="P1985"/>
      <c r="Q1985" t="s">
        <v>4277</v>
      </c>
      <c r="R1985"/>
      <c r="S1985"/>
      <c r="T1985"/>
      <c r="U1985" t="s">
        <v>137</v>
      </c>
      <c r="V1985" t="s">
        <v>727</v>
      </c>
      <c r="W1985" s="9">
        <v>46141.276067592589</v>
      </c>
      <c r="X1985" t="s">
        <v>100</v>
      </c>
      <c r="Y1985"/>
      <c r="Z1985"/>
      <c r="AA1985" t="s">
        <v>4278</v>
      </c>
      <c r="AB1985"/>
      <c r="AC1985" t="s">
        <v>24</v>
      </c>
      <c r="AD1985" t="s">
        <v>129</v>
      </c>
      <c r="AE1985" s="97"/>
    </row>
    <row r="1986" spans="1:31" ht="14.4" customHeight="1" x14ac:dyDescent="0.3">
      <c r="A1986" t="s">
        <v>4495</v>
      </c>
      <c r="B1986"/>
      <c r="C1986" t="s">
        <v>4496</v>
      </c>
      <c r="D1986"/>
      <c r="E1986" t="s">
        <v>4496</v>
      </c>
      <c r="F1986" t="s">
        <v>6769</v>
      </c>
      <c r="G1986" t="s">
        <v>4275</v>
      </c>
      <c r="H1986" t="s">
        <v>132</v>
      </c>
      <c r="I1986" t="s">
        <v>4</v>
      </c>
      <c r="J1986" t="s">
        <v>4276</v>
      </c>
      <c r="K1986" t="s">
        <v>54</v>
      </c>
      <c r="L1986"/>
      <c r="M1986" t="s">
        <v>134</v>
      </c>
      <c r="N1986" t="s">
        <v>135</v>
      </c>
      <c r="O1986"/>
      <c r="P1986"/>
      <c r="Q1986" t="s">
        <v>4277</v>
      </c>
      <c r="R1986"/>
      <c r="S1986"/>
      <c r="T1986"/>
      <c r="U1986" t="s">
        <v>137</v>
      </c>
      <c r="V1986" t="s">
        <v>727</v>
      </c>
      <c r="W1986" s="9">
        <v>46141.274863425926</v>
      </c>
      <c r="X1986" t="s">
        <v>100</v>
      </c>
      <c r="Y1986"/>
      <c r="Z1986"/>
      <c r="AA1986" t="s">
        <v>4278</v>
      </c>
      <c r="AB1986"/>
      <c r="AC1986" t="s">
        <v>24</v>
      </c>
      <c r="AD1986" t="s">
        <v>129</v>
      </c>
      <c r="AE1986" s="97"/>
    </row>
    <row r="1987" spans="1:31" ht="14.4" customHeight="1" x14ac:dyDescent="0.3">
      <c r="A1987" t="s">
        <v>4497</v>
      </c>
      <c r="B1987"/>
      <c r="C1987" t="s">
        <v>4498</v>
      </c>
      <c r="D1987"/>
      <c r="E1987" t="s">
        <v>4498</v>
      </c>
      <c r="F1987" t="s">
        <v>6769</v>
      </c>
      <c r="G1987" t="s">
        <v>4275</v>
      </c>
      <c r="H1987" t="s">
        <v>132</v>
      </c>
      <c r="I1987" t="s">
        <v>4</v>
      </c>
      <c r="J1987" t="s">
        <v>4276</v>
      </c>
      <c r="K1987" t="s">
        <v>54</v>
      </c>
      <c r="L1987"/>
      <c r="M1987" t="s">
        <v>134</v>
      </c>
      <c r="N1987" t="s">
        <v>135</v>
      </c>
      <c r="O1987"/>
      <c r="P1987"/>
      <c r="Q1987" t="s">
        <v>4277</v>
      </c>
      <c r="R1987"/>
      <c r="S1987"/>
      <c r="T1987"/>
      <c r="U1987" t="s">
        <v>137</v>
      </c>
      <c r="V1987" t="s">
        <v>727</v>
      </c>
      <c r="W1987" s="9">
        <v>46141.273623993053</v>
      </c>
      <c r="X1987" t="s">
        <v>100</v>
      </c>
      <c r="Y1987"/>
      <c r="Z1987"/>
      <c r="AA1987" t="s">
        <v>4278</v>
      </c>
      <c r="AB1987"/>
      <c r="AC1987" t="s">
        <v>24</v>
      </c>
      <c r="AD1987" t="s">
        <v>129</v>
      </c>
      <c r="AE1987" s="97"/>
    </row>
    <row r="1988" spans="1:31" ht="14.4" customHeight="1" x14ac:dyDescent="0.3">
      <c r="A1988" t="s">
        <v>4499</v>
      </c>
      <c r="B1988"/>
      <c r="C1988" t="s">
        <v>4500</v>
      </c>
      <c r="D1988"/>
      <c r="E1988" t="s">
        <v>4500</v>
      </c>
      <c r="F1988" t="s">
        <v>6769</v>
      </c>
      <c r="G1988" t="s">
        <v>4275</v>
      </c>
      <c r="H1988" t="s">
        <v>132</v>
      </c>
      <c r="I1988" t="s">
        <v>4</v>
      </c>
      <c r="J1988" t="s">
        <v>4276</v>
      </c>
      <c r="K1988" t="s">
        <v>54</v>
      </c>
      <c r="L1988"/>
      <c r="M1988" t="s">
        <v>134</v>
      </c>
      <c r="N1988" t="s">
        <v>135</v>
      </c>
      <c r="O1988"/>
      <c r="P1988"/>
      <c r="Q1988" t="s">
        <v>4277</v>
      </c>
      <c r="R1988"/>
      <c r="S1988"/>
      <c r="T1988"/>
      <c r="U1988" t="s">
        <v>137</v>
      </c>
      <c r="V1988" t="s">
        <v>727</v>
      </c>
      <c r="W1988" s="9">
        <v>46141.272007256943</v>
      </c>
      <c r="X1988" t="s">
        <v>100</v>
      </c>
      <c r="Y1988"/>
      <c r="Z1988"/>
      <c r="AA1988" t="s">
        <v>4278</v>
      </c>
      <c r="AB1988"/>
      <c r="AC1988" t="s">
        <v>24</v>
      </c>
      <c r="AD1988" t="s">
        <v>129</v>
      </c>
      <c r="AE1988" s="97"/>
    </row>
    <row r="1989" spans="1:31" ht="14.4" customHeight="1" x14ac:dyDescent="0.3">
      <c r="A1989" t="s">
        <v>4501</v>
      </c>
      <c r="B1989"/>
      <c r="C1989" t="s">
        <v>4502</v>
      </c>
      <c r="D1989"/>
      <c r="E1989" t="s">
        <v>4502</v>
      </c>
      <c r="F1989" t="s">
        <v>6769</v>
      </c>
      <c r="G1989" t="s">
        <v>4275</v>
      </c>
      <c r="H1989" t="s">
        <v>132</v>
      </c>
      <c r="I1989" t="s">
        <v>4</v>
      </c>
      <c r="J1989" t="s">
        <v>4276</v>
      </c>
      <c r="K1989" t="s">
        <v>54</v>
      </c>
      <c r="L1989"/>
      <c r="M1989" t="s">
        <v>134</v>
      </c>
      <c r="N1989" t="s">
        <v>135</v>
      </c>
      <c r="O1989"/>
      <c r="P1989"/>
      <c r="Q1989" t="s">
        <v>4277</v>
      </c>
      <c r="R1989"/>
      <c r="S1989"/>
      <c r="T1989"/>
      <c r="U1989" t="s">
        <v>137</v>
      </c>
      <c r="V1989" t="s">
        <v>733</v>
      </c>
      <c r="W1989" s="9">
        <v>46141.270134606479</v>
      </c>
      <c r="X1989" t="s">
        <v>109</v>
      </c>
      <c r="Y1989"/>
      <c r="Z1989"/>
      <c r="AA1989" t="s">
        <v>4278</v>
      </c>
      <c r="AB1989"/>
      <c r="AC1989" t="s">
        <v>24</v>
      </c>
      <c r="AD1989" t="s">
        <v>129</v>
      </c>
      <c r="AE1989" s="97"/>
    </row>
    <row r="1990" spans="1:31" ht="14.4" customHeight="1" x14ac:dyDescent="0.3">
      <c r="A1990" t="s">
        <v>4503</v>
      </c>
      <c r="B1990"/>
      <c r="C1990" t="s">
        <v>4504</v>
      </c>
      <c r="D1990"/>
      <c r="E1990" t="s">
        <v>4504</v>
      </c>
      <c r="F1990" t="s">
        <v>6769</v>
      </c>
      <c r="G1990" t="s">
        <v>4275</v>
      </c>
      <c r="H1990" t="s">
        <v>132</v>
      </c>
      <c r="I1990" t="s">
        <v>4</v>
      </c>
      <c r="J1990" t="s">
        <v>4276</v>
      </c>
      <c r="K1990" t="s">
        <v>54</v>
      </c>
      <c r="L1990"/>
      <c r="M1990" t="s">
        <v>134</v>
      </c>
      <c r="N1990" t="s">
        <v>135</v>
      </c>
      <c r="O1990"/>
      <c r="P1990"/>
      <c r="Q1990" t="s">
        <v>4277</v>
      </c>
      <c r="R1990"/>
      <c r="S1990"/>
      <c r="T1990"/>
      <c r="U1990" t="s">
        <v>137</v>
      </c>
      <c r="V1990" t="s">
        <v>733</v>
      </c>
      <c r="W1990" s="9">
        <v>46141.268901932868</v>
      </c>
      <c r="X1990" t="s">
        <v>109</v>
      </c>
      <c r="Y1990"/>
      <c r="Z1990"/>
      <c r="AA1990" t="s">
        <v>4278</v>
      </c>
      <c r="AB1990"/>
      <c r="AC1990" t="s">
        <v>24</v>
      </c>
      <c r="AD1990" t="s">
        <v>129</v>
      </c>
      <c r="AE1990" s="97"/>
    </row>
    <row r="1991" spans="1:31" ht="14.4" customHeight="1" x14ac:dyDescent="0.3">
      <c r="A1991" t="s">
        <v>4505</v>
      </c>
      <c r="B1991"/>
      <c r="C1991" t="s">
        <v>4506</v>
      </c>
      <c r="D1991"/>
      <c r="E1991" t="s">
        <v>4506</v>
      </c>
      <c r="F1991" t="s">
        <v>6769</v>
      </c>
      <c r="G1991" t="s">
        <v>4275</v>
      </c>
      <c r="H1991" t="s">
        <v>132</v>
      </c>
      <c r="I1991" t="s">
        <v>4</v>
      </c>
      <c r="J1991" t="s">
        <v>4276</v>
      </c>
      <c r="K1991" t="s">
        <v>54</v>
      </c>
      <c r="L1991"/>
      <c r="M1991" t="s">
        <v>134</v>
      </c>
      <c r="N1991" t="s">
        <v>135</v>
      </c>
      <c r="O1991"/>
      <c r="P1991"/>
      <c r="Q1991" t="s">
        <v>4277</v>
      </c>
      <c r="R1991"/>
      <c r="S1991"/>
      <c r="T1991"/>
      <c r="U1991" t="s">
        <v>137</v>
      </c>
      <c r="V1991" t="s">
        <v>733</v>
      </c>
      <c r="W1991" s="9">
        <v>46141.267754664354</v>
      </c>
      <c r="X1991" t="s">
        <v>109</v>
      </c>
      <c r="Y1991"/>
      <c r="Z1991"/>
      <c r="AA1991" t="s">
        <v>4278</v>
      </c>
      <c r="AB1991"/>
      <c r="AC1991" t="s">
        <v>24</v>
      </c>
      <c r="AD1991" t="s">
        <v>129</v>
      </c>
      <c r="AE1991" s="97"/>
    </row>
    <row r="1992" spans="1:31" ht="14.4" customHeight="1" x14ac:dyDescent="0.3">
      <c r="A1992" t="s">
        <v>4507</v>
      </c>
      <c r="B1992"/>
      <c r="C1992" t="s">
        <v>4508</v>
      </c>
      <c r="D1992"/>
      <c r="E1992" t="s">
        <v>4508</v>
      </c>
      <c r="F1992" t="s">
        <v>6769</v>
      </c>
      <c r="G1992" t="s">
        <v>4275</v>
      </c>
      <c r="H1992" t="s">
        <v>132</v>
      </c>
      <c r="I1992" t="s">
        <v>4</v>
      </c>
      <c r="J1992" t="s">
        <v>4276</v>
      </c>
      <c r="K1992" t="s">
        <v>54</v>
      </c>
      <c r="L1992"/>
      <c r="M1992" t="s">
        <v>134</v>
      </c>
      <c r="N1992" t="s">
        <v>135</v>
      </c>
      <c r="O1992"/>
      <c r="P1992"/>
      <c r="Q1992" t="s">
        <v>4277</v>
      </c>
      <c r="R1992"/>
      <c r="S1992"/>
      <c r="T1992"/>
      <c r="U1992" t="s">
        <v>137</v>
      </c>
      <c r="V1992" t="s">
        <v>733</v>
      </c>
      <c r="W1992" s="9">
        <v>46141.266997303239</v>
      </c>
      <c r="X1992" t="s">
        <v>109</v>
      </c>
      <c r="Y1992"/>
      <c r="Z1992"/>
      <c r="AA1992" t="s">
        <v>4278</v>
      </c>
      <c r="AB1992"/>
      <c r="AC1992" t="s">
        <v>24</v>
      </c>
      <c r="AD1992" t="s">
        <v>129</v>
      </c>
      <c r="AE1992" s="97"/>
    </row>
    <row r="1993" spans="1:31" ht="14.4" customHeight="1" x14ac:dyDescent="0.3">
      <c r="A1993" t="s">
        <v>4509</v>
      </c>
      <c r="B1993"/>
      <c r="C1993" t="s">
        <v>4510</v>
      </c>
      <c r="D1993"/>
      <c r="E1993" t="s">
        <v>4510</v>
      </c>
      <c r="F1993" t="s">
        <v>6769</v>
      </c>
      <c r="G1993" t="s">
        <v>4275</v>
      </c>
      <c r="H1993" t="s">
        <v>132</v>
      </c>
      <c r="I1993" t="s">
        <v>4</v>
      </c>
      <c r="J1993" t="s">
        <v>4276</v>
      </c>
      <c r="K1993" t="s">
        <v>54</v>
      </c>
      <c r="L1993"/>
      <c r="M1993" t="s">
        <v>134</v>
      </c>
      <c r="N1993" t="s">
        <v>135</v>
      </c>
      <c r="O1993"/>
      <c r="P1993"/>
      <c r="Q1993" t="s">
        <v>4277</v>
      </c>
      <c r="R1993"/>
      <c r="S1993"/>
      <c r="T1993"/>
      <c r="U1993" t="s">
        <v>137</v>
      </c>
      <c r="V1993" t="s">
        <v>733</v>
      </c>
      <c r="W1993" s="9">
        <v>46141.265968599539</v>
      </c>
      <c r="X1993" t="s">
        <v>109</v>
      </c>
      <c r="Y1993"/>
      <c r="Z1993"/>
      <c r="AA1993" t="s">
        <v>4278</v>
      </c>
      <c r="AB1993"/>
      <c r="AC1993" t="s">
        <v>24</v>
      </c>
      <c r="AD1993" t="s">
        <v>129</v>
      </c>
      <c r="AE1993" s="97"/>
    </row>
    <row r="1994" spans="1:31" ht="14.4" customHeight="1" x14ac:dyDescent="0.3">
      <c r="A1994" t="s">
        <v>4511</v>
      </c>
      <c r="B1994"/>
      <c r="C1994" t="s">
        <v>4512</v>
      </c>
      <c r="D1994"/>
      <c r="E1994" t="s">
        <v>4512</v>
      </c>
      <c r="F1994" t="s">
        <v>6769</v>
      </c>
      <c r="G1994" t="s">
        <v>4275</v>
      </c>
      <c r="H1994" t="s">
        <v>132</v>
      </c>
      <c r="I1994" t="s">
        <v>4</v>
      </c>
      <c r="J1994" t="s">
        <v>4276</v>
      </c>
      <c r="K1994" t="s">
        <v>54</v>
      </c>
      <c r="L1994"/>
      <c r="M1994" t="s">
        <v>134</v>
      </c>
      <c r="N1994" t="s">
        <v>135</v>
      </c>
      <c r="O1994"/>
      <c r="P1994"/>
      <c r="Q1994" t="s">
        <v>4277</v>
      </c>
      <c r="R1994"/>
      <c r="S1994"/>
      <c r="T1994"/>
      <c r="U1994" t="s">
        <v>137</v>
      </c>
      <c r="V1994" t="s">
        <v>733</v>
      </c>
      <c r="W1994" s="9">
        <v>46141.265141400465</v>
      </c>
      <c r="X1994" t="s">
        <v>109</v>
      </c>
      <c r="Y1994"/>
      <c r="Z1994"/>
      <c r="AA1994" t="s">
        <v>4278</v>
      </c>
      <c r="AB1994"/>
      <c r="AC1994" t="s">
        <v>24</v>
      </c>
      <c r="AD1994" t="s">
        <v>129</v>
      </c>
      <c r="AE1994" s="97"/>
    </row>
    <row r="1995" spans="1:31" ht="14.4" customHeight="1" x14ac:dyDescent="0.3">
      <c r="A1995" t="s">
        <v>4513</v>
      </c>
      <c r="B1995"/>
      <c r="C1995" t="s">
        <v>4514</v>
      </c>
      <c r="D1995"/>
      <c r="E1995" t="s">
        <v>4514</v>
      </c>
      <c r="F1995" t="s">
        <v>6769</v>
      </c>
      <c r="G1995" t="s">
        <v>4275</v>
      </c>
      <c r="H1995" t="s">
        <v>132</v>
      </c>
      <c r="I1995" t="s">
        <v>4</v>
      </c>
      <c r="J1995" t="s">
        <v>4276</v>
      </c>
      <c r="K1995" t="s">
        <v>54</v>
      </c>
      <c r="L1995"/>
      <c r="M1995" t="s">
        <v>134</v>
      </c>
      <c r="N1995" t="s">
        <v>135</v>
      </c>
      <c r="O1995"/>
      <c r="P1995"/>
      <c r="Q1995" t="s">
        <v>4277</v>
      </c>
      <c r="R1995"/>
      <c r="S1995"/>
      <c r="T1995"/>
      <c r="U1995" t="s">
        <v>137</v>
      </c>
      <c r="V1995" t="s">
        <v>739</v>
      </c>
      <c r="W1995" s="9">
        <v>46140.792043668982</v>
      </c>
      <c r="X1995" t="s">
        <v>118</v>
      </c>
      <c r="Y1995"/>
      <c r="Z1995"/>
      <c r="AA1995" t="s">
        <v>4278</v>
      </c>
      <c r="AB1995"/>
      <c r="AC1995" t="s">
        <v>24</v>
      </c>
      <c r="AD1995" t="s">
        <v>130</v>
      </c>
      <c r="AE1995" s="97"/>
    </row>
    <row r="1996" spans="1:31" ht="14.4" customHeight="1" x14ac:dyDescent="0.3">
      <c r="A1996" t="s">
        <v>4515</v>
      </c>
      <c r="B1996"/>
      <c r="C1996" t="s">
        <v>4516</v>
      </c>
      <c r="D1996"/>
      <c r="E1996" t="s">
        <v>4516</v>
      </c>
      <c r="F1996" t="s">
        <v>6769</v>
      </c>
      <c r="G1996" t="s">
        <v>4275</v>
      </c>
      <c r="H1996" t="s">
        <v>132</v>
      </c>
      <c r="I1996" t="s">
        <v>4</v>
      </c>
      <c r="J1996" t="s">
        <v>4276</v>
      </c>
      <c r="K1996" t="s">
        <v>54</v>
      </c>
      <c r="L1996"/>
      <c r="M1996" t="s">
        <v>134</v>
      </c>
      <c r="N1996" t="s">
        <v>135</v>
      </c>
      <c r="O1996"/>
      <c r="P1996"/>
      <c r="Q1996" t="s">
        <v>4277</v>
      </c>
      <c r="R1996"/>
      <c r="S1996"/>
      <c r="T1996"/>
      <c r="U1996" t="s">
        <v>137</v>
      </c>
      <c r="V1996" t="s">
        <v>739</v>
      </c>
      <c r="W1996" s="9">
        <v>46140.783938159722</v>
      </c>
      <c r="X1996" t="s">
        <v>118</v>
      </c>
      <c r="Y1996"/>
      <c r="Z1996"/>
      <c r="AA1996" t="s">
        <v>4278</v>
      </c>
      <c r="AB1996"/>
      <c r="AC1996" t="s">
        <v>24</v>
      </c>
      <c r="AD1996" t="s">
        <v>130</v>
      </c>
      <c r="AE1996" s="97"/>
    </row>
    <row r="1997" spans="1:31" ht="14.4" customHeight="1" x14ac:dyDescent="0.3">
      <c r="A1997" t="s">
        <v>4517</v>
      </c>
      <c r="B1997"/>
      <c r="C1997" t="s">
        <v>4518</v>
      </c>
      <c r="D1997"/>
      <c r="E1997" t="s">
        <v>4518</v>
      </c>
      <c r="F1997" t="s">
        <v>6769</v>
      </c>
      <c r="G1997" t="s">
        <v>4275</v>
      </c>
      <c r="H1997" t="s">
        <v>132</v>
      </c>
      <c r="I1997" t="s">
        <v>4</v>
      </c>
      <c r="J1997" t="s">
        <v>4276</v>
      </c>
      <c r="K1997" t="s">
        <v>54</v>
      </c>
      <c r="L1997"/>
      <c r="M1997" t="s">
        <v>134</v>
      </c>
      <c r="N1997" t="s">
        <v>135</v>
      </c>
      <c r="O1997"/>
      <c r="P1997"/>
      <c r="Q1997" t="s">
        <v>4277</v>
      </c>
      <c r="R1997"/>
      <c r="S1997"/>
      <c r="T1997"/>
      <c r="U1997" t="s">
        <v>137</v>
      </c>
      <c r="V1997" t="s">
        <v>739</v>
      </c>
      <c r="W1997" s="9">
        <v>46140.7826866088</v>
      </c>
      <c r="X1997" t="s">
        <v>118</v>
      </c>
      <c r="Y1997"/>
      <c r="Z1997"/>
      <c r="AA1997" t="s">
        <v>4278</v>
      </c>
      <c r="AB1997"/>
      <c r="AC1997" t="s">
        <v>24</v>
      </c>
      <c r="AD1997" t="s">
        <v>130</v>
      </c>
      <c r="AE1997" s="97"/>
    </row>
    <row r="1998" spans="1:31" ht="14.4" customHeight="1" x14ac:dyDescent="0.3">
      <c r="A1998" t="s">
        <v>4519</v>
      </c>
      <c r="B1998"/>
      <c r="C1998" t="s">
        <v>4520</v>
      </c>
      <c r="D1998"/>
      <c r="E1998" t="s">
        <v>4520</v>
      </c>
      <c r="F1998" t="s">
        <v>6769</v>
      </c>
      <c r="G1998" t="s">
        <v>4275</v>
      </c>
      <c r="H1998" t="s">
        <v>132</v>
      </c>
      <c r="I1998" t="s">
        <v>4</v>
      </c>
      <c r="J1998" t="s">
        <v>4276</v>
      </c>
      <c r="K1998" t="s">
        <v>54</v>
      </c>
      <c r="L1998"/>
      <c r="M1998" t="s">
        <v>134</v>
      </c>
      <c r="N1998" t="s">
        <v>135</v>
      </c>
      <c r="O1998"/>
      <c r="P1998"/>
      <c r="Q1998" t="s">
        <v>4277</v>
      </c>
      <c r="R1998"/>
      <c r="S1998"/>
      <c r="T1998"/>
      <c r="U1998" t="s">
        <v>137</v>
      </c>
      <c r="V1998" t="s">
        <v>739</v>
      </c>
      <c r="W1998" s="9">
        <v>46140.781871099534</v>
      </c>
      <c r="X1998" t="s">
        <v>118</v>
      </c>
      <c r="Y1998"/>
      <c r="Z1998"/>
      <c r="AA1998" t="s">
        <v>4278</v>
      </c>
      <c r="AB1998"/>
      <c r="AC1998" t="s">
        <v>24</v>
      </c>
      <c r="AD1998" t="s">
        <v>130</v>
      </c>
      <c r="AE1998" s="97"/>
    </row>
    <row r="1999" spans="1:31" ht="14.4" customHeight="1" x14ac:dyDescent="0.3">
      <c r="A1999" t="s">
        <v>4521</v>
      </c>
      <c r="B1999"/>
      <c r="C1999" t="s">
        <v>4522</v>
      </c>
      <c r="D1999"/>
      <c r="E1999" t="s">
        <v>4522</v>
      </c>
      <c r="F1999" t="s">
        <v>6769</v>
      </c>
      <c r="G1999" t="s">
        <v>4275</v>
      </c>
      <c r="H1999" t="s">
        <v>132</v>
      </c>
      <c r="I1999" t="s">
        <v>4</v>
      </c>
      <c r="J1999" t="s">
        <v>4276</v>
      </c>
      <c r="K1999" t="s">
        <v>54</v>
      </c>
      <c r="L1999"/>
      <c r="M1999" t="s">
        <v>134</v>
      </c>
      <c r="N1999" t="s">
        <v>135</v>
      </c>
      <c r="O1999"/>
      <c r="P1999"/>
      <c r="Q1999" t="s">
        <v>4277</v>
      </c>
      <c r="R1999"/>
      <c r="S1999"/>
      <c r="T1999"/>
      <c r="U1999" t="s">
        <v>137</v>
      </c>
      <c r="V1999" t="s">
        <v>739</v>
      </c>
      <c r="W1999" s="9">
        <v>46140.780512928242</v>
      </c>
      <c r="X1999" t="s">
        <v>118</v>
      </c>
      <c r="Y1999"/>
      <c r="Z1999"/>
      <c r="AA1999" t="s">
        <v>4278</v>
      </c>
      <c r="AB1999"/>
      <c r="AC1999" t="s">
        <v>24</v>
      </c>
      <c r="AD1999" t="s">
        <v>130</v>
      </c>
      <c r="AE1999" s="97"/>
    </row>
    <row r="2000" spans="1:31" ht="14.4" customHeight="1" x14ac:dyDescent="0.3">
      <c r="A2000" t="s">
        <v>4523</v>
      </c>
      <c r="B2000"/>
      <c r="C2000" t="s">
        <v>4524</v>
      </c>
      <c r="D2000"/>
      <c r="E2000" t="s">
        <v>4524</v>
      </c>
      <c r="F2000" t="s">
        <v>6769</v>
      </c>
      <c r="G2000" t="s">
        <v>4275</v>
      </c>
      <c r="H2000" t="s">
        <v>132</v>
      </c>
      <c r="I2000" t="s">
        <v>4</v>
      </c>
      <c r="J2000" t="s">
        <v>4276</v>
      </c>
      <c r="K2000" t="s">
        <v>54</v>
      </c>
      <c r="L2000"/>
      <c r="M2000" t="s">
        <v>134</v>
      </c>
      <c r="N2000" t="s">
        <v>135</v>
      </c>
      <c r="O2000"/>
      <c r="P2000"/>
      <c r="Q2000" t="s">
        <v>4277</v>
      </c>
      <c r="R2000"/>
      <c r="S2000"/>
      <c r="T2000"/>
      <c r="U2000" t="s">
        <v>137</v>
      </c>
      <c r="V2000" t="s">
        <v>739</v>
      </c>
      <c r="W2000" s="9">
        <v>46140.778450694444</v>
      </c>
      <c r="X2000" t="s">
        <v>118</v>
      </c>
      <c r="Y2000"/>
      <c r="Z2000"/>
      <c r="AA2000" t="s">
        <v>4278</v>
      </c>
      <c r="AB2000"/>
      <c r="AC2000" t="s">
        <v>24</v>
      </c>
      <c r="AD2000" t="s">
        <v>130</v>
      </c>
      <c r="AE2000" s="97"/>
    </row>
    <row r="2001" spans="1:31" ht="14.4" customHeight="1" x14ac:dyDescent="0.3">
      <c r="A2001" t="s">
        <v>4525</v>
      </c>
      <c r="B2001"/>
      <c r="C2001" t="s">
        <v>4526</v>
      </c>
      <c r="D2001"/>
      <c r="E2001" t="s">
        <v>4526</v>
      </c>
      <c r="F2001" t="s">
        <v>6769</v>
      </c>
      <c r="G2001" t="s">
        <v>4275</v>
      </c>
      <c r="H2001" t="s">
        <v>132</v>
      </c>
      <c r="I2001" t="s">
        <v>4</v>
      </c>
      <c r="J2001" t="s">
        <v>4276</v>
      </c>
      <c r="K2001" t="s">
        <v>54</v>
      </c>
      <c r="L2001"/>
      <c r="M2001" t="s">
        <v>134</v>
      </c>
      <c r="N2001" t="s">
        <v>135</v>
      </c>
      <c r="O2001"/>
      <c r="P2001"/>
      <c r="Q2001" t="s">
        <v>4277</v>
      </c>
      <c r="R2001"/>
      <c r="S2001"/>
      <c r="T2001"/>
      <c r="U2001" t="s">
        <v>137</v>
      </c>
      <c r="V2001" t="s">
        <v>1967</v>
      </c>
      <c r="W2001" s="9">
        <v>46078.27160659722</v>
      </c>
      <c r="X2001" t="s">
        <v>125</v>
      </c>
      <c r="Y2001"/>
      <c r="Z2001"/>
      <c r="AA2001" t="s">
        <v>4278</v>
      </c>
      <c r="AB2001"/>
      <c r="AC2001" t="s">
        <v>24</v>
      </c>
      <c r="AD2001" t="s">
        <v>131</v>
      </c>
      <c r="AE2001" s="97"/>
    </row>
    <row r="2002" spans="1:31" ht="14.4" customHeight="1" x14ac:dyDescent="0.3">
      <c r="A2002" t="s">
        <v>4527</v>
      </c>
      <c r="B2002"/>
      <c r="C2002" t="s">
        <v>4528</v>
      </c>
      <c r="D2002"/>
      <c r="E2002" t="s">
        <v>4528</v>
      </c>
      <c r="F2002" t="s">
        <v>6769</v>
      </c>
      <c r="G2002" t="s">
        <v>4275</v>
      </c>
      <c r="H2002" t="s">
        <v>132</v>
      </c>
      <c r="I2002" t="s">
        <v>4</v>
      </c>
      <c r="J2002" t="s">
        <v>4276</v>
      </c>
      <c r="K2002" t="s">
        <v>54</v>
      </c>
      <c r="L2002"/>
      <c r="M2002" t="s">
        <v>134</v>
      </c>
      <c r="N2002" t="s">
        <v>135</v>
      </c>
      <c r="O2002"/>
      <c r="P2002"/>
      <c r="Q2002" t="s">
        <v>4277</v>
      </c>
      <c r="R2002"/>
      <c r="S2002"/>
      <c r="T2002"/>
      <c r="U2002" t="s">
        <v>137</v>
      </c>
      <c r="V2002" t="s">
        <v>1967</v>
      </c>
      <c r="W2002" s="9">
        <v>46158.236051585649</v>
      </c>
      <c r="X2002" t="s">
        <v>125</v>
      </c>
      <c r="Y2002"/>
      <c r="Z2002"/>
      <c r="AA2002" t="s">
        <v>4278</v>
      </c>
      <c r="AB2002"/>
      <c r="AC2002" t="s">
        <v>24</v>
      </c>
      <c r="AD2002" t="s">
        <v>131</v>
      </c>
      <c r="AE2002" s="97"/>
    </row>
    <row r="2003" spans="1:31" ht="14.4" customHeight="1" x14ac:dyDescent="0.3">
      <c r="A2003" t="s">
        <v>4529</v>
      </c>
      <c r="B2003"/>
      <c r="C2003" t="s">
        <v>4530</v>
      </c>
      <c r="D2003"/>
      <c r="E2003" t="s">
        <v>4530</v>
      </c>
      <c r="F2003" t="s">
        <v>6769</v>
      </c>
      <c r="G2003" t="s">
        <v>4275</v>
      </c>
      <c r="H2003" t="s">
        <v>132</v>
      </c>
      <c r="I2003" t="s">
        <v>4</v>
      </c>
      <c r="J2003" t="s">
        <v>4276</v>
      </c>
      <c r="K2003" t="s">
        <v>54</v>
      </c>
      <c r="L2003"/>
      <c r="M2003" t="s">
        <v>134</v>
      </c>
      <c r="N2003" t="s">
        <v>135</v>
      </c>
      <c r="O2003"/>
      <c r="P2003"/>
      <c r="Q2003" t="s">
        <v>4277</v>
      </c>
      <c r="R2003"/>
      <c r="S2003"/>
      <c r="T2003"/>
      <c r="U2003" t="s">
        <v>137</v>
      </c>
      <c r="V2003" t="s">
        <v>1967</v>
      </c>
      <c r="W2003" s="9">
        <v>46107.774061342592</v>
      </c>
      <c r="X2003" t="s">
        <v>125</v>
      </c>
      <c r="Y2003"/>
      <c r="Z2003"/>
      <c r="AA2003" t="s">
        <v>4278</v>
      </c>
      <c r="AB2003"/>
      <c r="AC2003" t="s">
        <v>24</v>
      </c>
      <c r="AD2003" t="s">
        <v>131</v>
      </c>
      <c r="AE2003" s="97"/>
    </row>
    <row r="2004" spans="1:31" ht="14.4" customHeight="1" x14ac:dyDescent="0.3">
      <c r="A2004" t="s">
        <v>4531</v>
      </c>
      <c r="B2004"/>
      <c r="C2004" t="s">
        <v>4532</v>
      </c>
      <c r="D2004"/>
      <c r="E2004" t="s">
        <v>4532</v>
      </c>
      <c r="F2004" t="s">
        <v>6769</v>
      </c>
      <c r="G2004" t="s">
        <v>4275</v>
      </c>
      <c r="H2004" t="s">
        <v>132</v>
      </c>
      <c r="I2004" t="s">
        <v>4</v>
      </c>
      <c r="J2004" t="s">
        <v>4276</v>
      </c>
      <c r="K2004" t="s">
        <v>54</v>
      </c>
      <c r="L2004"/>
      <c r="M2004" t="s">
        <v>134</v>
      </c>
      <c r="N2004" t="s">
        <v>135</v>
      </c>
      <c r="O2004"/>
      <c r="P2004"/>
      <c r="Q2004" t="s">
        <v>4277</v>
      </c>
      <c r="R2004"/>
      <c r="S2004"/>
      <c r="T2004"/>
      <c r="U2004" t="s">
        <v>137</v>
      </c>
      <c r="V2004" t="s">
        <v>1259</v>
      </c>
      <c r="W2004" s="9">
        <v>46078.272628321756</v>
      </c>
      <c r="X2004" t="s">
        <v>126</v>
      </c>
      <c r="Y2004"/>
      <c r="Z2004"/>
      <c r="AA2004" t="s">
        <v>4278</v>
      </c>
      <c r="AB2004"/>
      <c r="AC2004" t="s">
        <v>24</v>
      </c>
      <c r="AD2004" t="s">
        <v>131</v>
      </c>
      <c r="AE2004" s="97"/>
    </row>
    <row r="2005" spans="1:31" ht="14.4" customHeight="1" x14ac:dyDescent="0.3">
      <c r="A2005" t="s">
        <v>4533</v>
      </c>
      <c r="B2005"/>
      <c r="C2005" t="s">
        <v>4534</v>
      </c>
      <c r="D2005"/>
      <c r="E2005" t="s">
        <v>4534</v>
      </c>
      <c r="F2005" t="s">
        <v>6769</v>
      </c>
      <c r="G2005" t="s">
        <v>4275</v>
      </c>
      <c r="H2005" t="s">
        <v>132</v>
      </c>
      <c r="I2005" t="s">
        <v>4</v>
      </c>
      <c r="J2005" t="s">
        <v>4276</v>
      </c>
      <c r="K2005" t="s">
        <v>54</v>
      </c>
      <c r="L2005"/>
      <c r="M2005" t="s">
        <v>134</v>
      </c>
      <c r="N2005" t="s">
        <v>135</v>
      </c>
      <c r="O2005"/>
      <c r="P2005"/>
      <c r="Q2005" t="s">
        <v>4277</v>
      </c>
      <c r="R2005"/>
      <c r="S2005"/>
      <c r="T2005"/>
      <c r="U2005" t="s">
        <v>137</v>
      </c>
      <c r="V2005" t="s">
        <v>1259</v>
      </c>
      <c r="W2005" s="9">
        <v>46140.615063854166</v>
      </c>
      <c r="X2005" t="s">
        <v>126</v>
      </c>
      <c r="Y2005"/>
      <c r="Z2005"/>
      <c r="AA2005" t="s">
        <v>4278</v>
      </c>
      <c r="AB2005"/>
      <c r="AC2005" t="s">
        <v>24</v>
      </c>
      <c r="AD2005" t="s">
        <v>131</v>
      </c>
      <c r="AE2005" s="97"/>
    </row>
    <row r="2006" spans="1:31" ht="14.4" customHeight="1" x14ac:dyDescent="0.3">
      <c r="A2006" t="s">
        <v>4535</v>
      </c>
      <c r="B2006"/>
      <c r="C2006" t="s">
        <v>4536</v>
      </c>
      <c r="D2006"/>
      <c r="E2006" t="s">
        <v>4536</v>
      </c>
      <c r="F2006" t="s">
        <v>6769</v>
      </c>
      <c r="G2006" t="s">
        <v>4275</v>
      </c>
      <c r="H2006" t="s">
        <v>132</v>
      </c>
      <c r="I2006" t="s">
        <v>4</v>
      </c>
      <c r="J2006" t="s">
        <v>4276</v>
      </c>
      <c r="K2006" t="s">
        <v>54</v>
      </c>
      <c r="L2006"/>
      <c r="M2006" t="s">
        <v>134</v>
      </c>
      <c r="N2006" t="s">
        <v>135</v>
      </c>
      <c r="O2006"/>
      <c r="P2006"/>
      <c r="Q2006" t="s">
        <v>4277</v>
      </c>
      <c r="R2006"/>
      <c r="S2006" t="s">
        <v>4277</v>
      </c>
      <c r="T2006"/>
      <c r="U2006" t="s">
        <v>137</v>
      </c>
      <c r="V2006" t="s">
        <v>1263</v>
      </c>
      <c r="W2006" s="9">
        <v>46140.761007719906</v>
      </c>
      <c r="X2006" t="s">
        <v>69</v>
      </c>
      <c r="Y2006"/>
      <c r="Z2006"/>
      <c r="AA2006" t="s">
        <v>4278</v>
      </c>
      <c r="AB2006"/>
      <c r="AC2006" t="s">
        <v>24</v>
      </c>
      <c r="AD2006" t="s">
        <v>128</v>
      </c>
      <c r="AE2006" s="97"/>
    </row>
    <row r="2007" spans="1:31" ht="14.4" customHeight="1" x14ac:dyDescent="0.3">
      <c r="A2007" t="s">
        <v>4537</v>
      </c>
      <c r="B2007"/>
      <c r="C2007" t="s">
        <v>4538</v>
      </c>
      <c r="D2007"/>
      <c r="E2007" t="s">
        <v>4538</v>
      </c>
      <c r="F2007" t="s">
        <v>6769</v>
      </c>
      <c r="G2007" t="s">
        <v>4275</v>
      </c>
      <c r="H2007" t="s">
        <v>132</v>
      </c>
      <c r="I2007" t="s">
        <v>4</v>
      </c>
      <c r="J2007" t="s">
        <v>4276</v>
      </c>
      <c r="K2007" t="s">
        <v>54</v>
      </c>
      <c r="L2007"/>
      <c r="M2007" t="s">
        <v>134</v>
      </c>
      <c r="N2007" t="s">
        <v>135</v>
      </c>
      <c r="O2007"/>
      <c r="P2007"/>
      <c r="Q2007" t="s">
        <v>4277</v>
      </c>
      <c r="R2007"/>
      <c r="S2007"/>
      <c r="T2007"/>
      <c r="U2007" t="s">
        <v>137</v>
      </c>
      <c r="V2007" t="s">
        <v>1263</v>
      </c>
      <c r="W2007" s="9">
        <v>46138.297130590276</v>
      </c>
      <c r="X2007" t="s">
        <v>69</v>
      </c>
      <c r="Y2007"/>
      <c r="Z2007"/>
      <c r="AA2007" t="s">
        <v>4278</v>
      </c>
      <c r="AB2007"/>
      <c r="AC2007" t="s">
        <v>24</v>
      </c>
      <c r="AD2007" t="s">
        <v>128</v>
      </c>
      <c r="AE2007" s="97"/>
    </row>
    <row r="2008" spans="1:31" ht="14.4" customHeight="1" x14ac:dyDescent="0.3">
      <c r="A2008" t="s">
        <v>4539</v>
      </c>
      <c r="B2008"/>
      <c r="C2008" t="s">
        <v>4540</v>
      </c>
      <c r="D2008"/>
      <c r="E2008" t="s">
        <v>4540</v>
      </c>
      <c r="F2008" t="s">
        <v>6769</v>
      </c>
      <c r="G2008" t="s">
        <v>4275</v>
      </c>
      <c r="H2008" t="s">
        <v>132</v>
      </c>
      <c r="I2008" t="s">
        <v>4</v>
      </c>
      <c r="J2008" t="s">
        <v>4276</v>
      </c>
      <c r="K2008" t="s">
        <v>54</v>
      </c>
      <c r="L2008"/>
      <c r="M2008" t="s">
        <v>134</v>
      </c>
      <c r="N2008" t="s">
        <v>135</v>
      </c>
      <c r="O2008"/>
      <c r="P2008"/>
      <c r="Q2008" t="s">
        <v>4277</v>
      </c>
      <c r="R2008"/>
      <c r="S2008"/>
      <c r="T2008"/>
      <c r="U2008" t="s">
        <v>137</v>
      </c>
      <c r="V2008" t="s">
        <v>1263</v>
      </c>
      <c r="W2008" s="9">
        <v>46140.762102777779</v>
      </c>
      <c r="X2008" t="s">
        <v>69</v>
      </c>
      <c r="Y2008"/>
      <c r="Z2008"/>
      <c r="AA2008" t="s">
        <v>4278</v>
      </c>
      <c r="AB2008"/>
      <c r="AC2008" t="s">
        <v>24</v>
      </c>
      <c r="AD2008" t="s">
        <v>128</v>
      </c>
      <c r="AE2008" s="97"/>
    </row>
    <row r="2009" spans="1:31" ht="14.4" customHeight="1" x14ac:dyDescent="0.3">
      <c r="A2009" t="s">
        <v>4541</v>
      </c>
      <c r="B2009"/>
      <c r="C2009" t="s">
        <v>4542</v>
      </c>
      <c r="D2009"/>
      <c r="E2009" t="s">
        <v>4542</v>
      </c>
      <c r="F2009" t="s">
        <v>6769</v>
      </c>
      <c r="G2009" t="s">
        <v>4275</v>
      </c>
      <c r="H2009" t="s">
        <v>132</v>
      </c>
      <c r="I2009" t="s">
        <v>4</v>
      </c>
      <c r="J2009" t="s">
        <v>4276</v>
      </c>
      <c r="K2009" t="s">
        <v>54</v>
      </c>
      <c r="L2009"/>
      <c r="M2009" t="s">
        <v>134</v>
      </c>
      <c r="N2009" t="s">
        <v>135</v>
      </c>
      <c r="O2009"/>
      <c r="P2009"/>
      <c r="Q2009" t="s">
        <v>4277</v>
      </c>
      <c r="R2009"/>
      <c r="S2009"/>
      <c r="T2009"/>
      <c r="U2009" t="s">
        <v>137</v>
      </c>
      <c r="V2009" t="s">
        <v>1263</v>
      </c>
      <c r="W2009" s="9">
        <v>46088.306090821759</v>
      </c>
      <c r="X2009" t="s">
        <v>69</v>
      </c>
      <c r="Y2009"/>
      <c r="Z2009"/>
      <c r="AA2009" t="s">
        <v>4278</v>
      </c>
      <c r="AB2009"/>
      <c r="AC2009" t="s">
        <v>24</v>
      </c>
      <c r="AD2009" t="s">
        <v>128</v>
      </c>
      <c r="AE2009" s="97"/>
    </row>
    <row r="2010" spans="1:31" ht="14.4" customHeight="1" x14ac:dyDescent="0.3">
      <c r="A2010" t="s">
        <v>4543</v>
      </c>
      <c r="B2010"/>
      <c r="C2010" t="s">
        <v>4544</v>
      </c>
      <c r="D2010"/>
      <c r="E2010" t="s">
        <v>4544</v>
      </c>
      <c r="F2010" t="s">
        <v>6769</v>
      </c>
      <c r="G2010" t="s">
        <v>4275</v>
      </c>
      <c r="H2010" t="s">
        <v>132</v>
      </c>
      <c r="I2010" t="s">
        <v>4</v>
      </c>
      <c r="J2010" t="s">
        <v>4276</v>
      </c>
      <c r="K2010" t="s">
        <v>54</v>
      </c>
      <c r="L2010"/>
      <c r="M2010" t="s">
        <v>134</v>
      </c>
      <c r="N2010" t="s">
        <v>135</v>
      </c>
      <c r="O2010"/>
      <c r="P2010"/>
      <c r="Q2010" t="s">
        <v>4277</v>
      </c>
      <c r="R2010"/>
      <c r="S2010"/>
      <c r="T2010"/>
      <c r="U2010" t="s">
        <v>137</v>
      </c>
      <c r="V2010" t="s">
        <v>1263</v>
      </c>
      <c r="W2010" s="9">
        <v>46088.304841585646</v>
      </c>
      <c r="X2010" t="s">
        <v>69</v>
      </c>
      <c r="Y2010"/>
      <c r="Z2010"/>
      <c r="AA2010" t="s">
        <v>4278</v>
      </c>
      <c r="AB2010"/>
      <c r="AC2010" t="s">
        <v>24</v>
      </c>
      <c r="AD2010" t="s">
        <v>128</v>
      </c>
      <c r="AE2010" s="97"/>
    </row>
    <row r="2011" spans="1:31" ht="14.4" customHeight="1" x14ac:dyDescent="0.3">
      <c r="A2011" t="s">
        <v>4545</v>
      </c>
      <c r="B2011"/>
      <c r="C2011" t="s">
        <v>4546</v>
      </c>
      <c r="D2011"/>
      <c r="E2011" t="s">
        <v>4546</v>
      </c>
      <c r="F2011" t="s">
        <v>6769</v>
      </c>
      <c r="G2011" t="s">
        <v>4275</v>
      </c>
      <c r="H2011" t="s">
        <v>132</v>
      </c>
      <c r="I2011" t="s">
        <v>4</v>
      </c>
      <c r="J2011" t="s">
        <v>4276</v>
      </c>
      <c r="K2011" t="s">
        <v>54</v>
      </c>
      <c r="L2011"/>
      <c r="M2011" t="s">
        <v>134</v>
      </c>
      <c r="N2011" t="s">
        <v>135</v>
      </c>
      <c r="O2011"/>
      <c r="P2011"/>
      <c r="Q2011" t="s">
        <v>4277</v>
      </c>
      <c r="R2011"/>
      <c r="S2011"/>
      <c r="T2011"/>
      <c r="U2011" t="s">
        <v>137</v>
      </c>
      <c r="V2011" t="s">
        <v>1190</v>
      </c>
      <c r="W2011" s="9">
        <v>46149.237706863423</v>
      </c>
      <c r="X2011" t="s">
        <v>67</v>
      </c>
      <c r="Y2011"/>
      <c r="Z2011"/>
      <c r="AA2011" t="s">
        <v>4278</v>
      </c>
      <c r="AB2011"/>
      <c r="AC2011" t="s">
        <v>24</v>
      </c>
      <c r="AD2011" t="s">
        <v>128</v>
      </c>
      <c r="AE2011" s="97"/>
    </row>
    <row r="2012" spans="1:31" ht="14.4" customHeight="1" x14ac:dyDescent="0.3">
      <c r="A2012" t="s">
        <v>4547</v>
      </c>
      <c r="B2012"/>
      <c r="C2012" t="s">
        <v>4548</v>
      </c>
      <c r="D2012"/>
      <c r="E2012" t="s">
        <v>4548</v>
      </c>
      <c r="F2012" t="s">
        <v>6769</v>
      </c>
      <c r="G2012" t="s">
        <v>4275</v>
      </c>
      <c r="H2012" t="s">
        <v>132</v>
      </c>
      <c r="I2012" t="s">
        <v>4</v>
      </c>
      <c r="J2012" t="s">
        <v>4276</v>
      </c>
      <c r="K2012" t="s">
        <v>54</v>
      </c>
      <c r="L2012"/>
      <c r="M2012" t="s">
        <v>134</v>
      </c>
      <c r="N2012" t="s">
        <v>135</v>
      </c>
      <c r="O2012"/>
      <c r="P2012"/>
      <c r="Q2012" t="s">
        <v>4277</v>
      </c>
      <c r="R2012"/>
      <c r="S2012"/>
      <c r="T2012"/>
      <c r="U2012" t="s">
        <v>137</v>
      </c>
      <c r="V2012" t="s">
        <v>1194</v>
      </c>
      <c r="W2012" s="9">
        <v>46149.248761655093</v>
      </c>
      <c r="X2012" t="s">
        <v>75</v>
      </c>
      <c r="Y2012"/>
      <c r="Z2012"/>
      <c r="AA2012" t="s">
        <v>4278</v>
      </c>
      <c r="AB2012"/>
      <c r="AC2012" t="s">
        <v>24</v>
      </c>
      <c r="AD2012" t="s">
        <v>128</v>
      </c>
      <c r="AE2012" s="97"/>
    </row>
    <row r="2013" spans="1:31" ht="14.4" customHeight="1" x14ac:dyDescent="0.3">
      <c r="A2013" t="s">
        <v>4549</v>
      </c>
      <c r="B2013"/>
      <c r="C2013" t="s">
        <v>4550</v>
      </c>
      <c r="D2013"/>
      <c r="E2013" t="s">
        <v>4550</v>
      </c>
      <c r="F2013" t="s">
        <v>6769</v>
      </c>
      <c r="G2013" t="s">
        <v>4275</v>
      </c>
      <c r="H2013" t="s">
        <v>132</v>
      </c>
      <c r="I2013" t="s">
        <v>4</v>
      </c>
      <c r="J2013" t="s">
        <v>4276</v>
      </c>
      <c r="K2013" t="s">
        <v>54</v>
      </c>
      <c r="L2013"/>
      <c r="M2013" t="s">
        <v>134</v>
      </c>
      <c r="N2013" t="s">
        <v>135</v>
      </c>
      <c r="O2013"/>
      <c r="P2013"/>
      <c r="Q2013" t="s">
        <v>4277</v>
      </c>
      <c r="R2013"/>
      <c r="S2013"/>
      <c r="T2013"/>
      <c r="U2013" t="s">
        <v>137</v>
      </c>
      <c r="V2013" t="s">
        <v>1198</v>
      </c>
      <c r="W2013" s="9">
        <v>46149.255325312501</v>
      </c>
      <c r="X2013" t="s">
        <v>86</v>
      </c>
      <c r="Y2013"/>
      <c r="Z2013"/>
      <c r="AA2013" t="s">
        <v>4278</v>
      </c>
      <c r="AB2013"/>
      <c r="AC2013" t="s">
        <v>24</v>
      </c>
      <c r="AD2013" t="s">
        <v>129</v>
      </c>
      <c r="AE2013" s="97"/>
    </row>
    <row r="2014" spans="1:31" ht="14.4" customHeight="1" x14ac:dyDescent="0.3">
      <c r="A2014" t="s">
        <v>4551</v>
      </c>
      <c r="B2014"/>
      <c r="C2014" t="s">
        <v>4552</v>
      </c>
      <c r="D2014"/>
      <c r="E2014" t="s">
        <v>4552</v>
      </c>
      <c r="F2014" t="s">
        <v>6769</v>
      </c>
      <c r="G2014" t="s">
        <v>4275</v>
      </c>
      <c r="H2014" t="s">
        <v>132</v>
      </c>
      <c r="I2014" t="s">
        <v>4</v>
      </c>
      <c r="J2014" t="s">
        <v>4276</v>
      </c>
      <c r="K2014" t="s">
        <v>54</v>
      </c>
      <c r="L2014"/>
      <c r="M2014" t="s">
        <v>134</v>
      </c>
      <c r="N2014" t="s">
        <v>135</v>
      </c>
      <c r="O2014"/>
      <c r="P2014"/>
      <c r="Q2014" t="s">
        <v>4277</v>
      </c>
      <c r="R2014"/>
      <c r="S2014"/>
      <c r="T2014"/>
      <c r="U2014" t="s">
        <v>137</v>
      </c>
      <c r="V2014" t="s">
        <v>1202</v>
      </c>
      <c r="W2014" s="9">
        <v>46149.259374502311</v>
      </c>
      <c r="X2014" t="s">
        <v>95</v>
      </c>
      <c r="Y2014"/>
      <c r="Z2014"/>
      <c r="AA2014" t="s">
        <v>4278</v>
      </c>
      <c r="AB2014"/>
      <c r="AC2014" t="s">
        <v>24</v>
      </c>
      <c r="AD2014" t="s">
        <v>129</v>
      </c>
      <c r="AE2014" s="97"/>
    </row>
    <row r="2015" spans="1:31" ht="14.4" customHeight="1" x14ac:dyDescent="0.3">
      <c r="A2015" t="s">
        <v>4553</v>
      </c>
      <c r="B2015"/>
      <c r="C2015" t="s">
        <v>4554</v>
      </c>
      <c r="D2015"/>
      <c r="E2015" t="s">
        <v>4554</v>
      </c>
      <c r="F2015" t="s">
        <v>6769</v>
      </c>
      <c r="G2015" t="s">
        <v>4275</v>
      </c>
      <c r="H2015" t="s">
        <v>132</v>
      </c>
      <c r="I2015" t="s">
        <v>4</v>
      </c>
      <c r="J2015" t="s">
        <v>4276</v>
      </c>
      <c r="K2015" t="s">
        <v>54</v>
      </c>
      <c r="L2015"/>
      <c r="M2015" t="s">
        <v>134</v>
      </c>
      <c r="N2015" t="s">
        <v>135</v>
      </c>
      <c r="O2015"/>
      <c r="P2015"/>
      <c r="Q2015" t="s">
        <v>4277</v>
      </c>
      <c r="R2015"/>
      <c r="S2015"/>
      <c r="T2015"/>
      <c r="U2015" t="s">
        <v>137</v>
      </c>
      <c r="V2015" t="s">
        <v>1206</v>
      </c>
      <c r="W2015" s="9">
        <v>46149.442847418984</v>
      </c>
      <c r="X2015" t="s">
        <v>104</v>
      </c>
      <c r="Y2015"/>
      <c r="Z2015"/>
      <c r="AA2015" t="s">
        <v>4278</v>
      </c>
      <c r="AB2015"/>
      <c r="AC2015" t="s">
        <v>24</v>
      </c>
      <c r="AD2015" t="s">
        <v>129</v>
      </c>
      <c r="AE2015" s="97"/>
    </row>
    <row r="2016" spans="1:31" ht="14.4" customHeight="1" x14ac:dyDescent="0.3">
      <c r="A2016" t="s">
        <v>4555</v>
      </c>
      <c r="B2016"/>
      <c r="C2016" t="s">
        <v>4556</v>
      </c>
      <c r="D2016"/>
      <c r="E2016" t="s">
        <v>4556</v>
      </c>
      <c r="F2016" t="s">
        <v>6769</v>
      </c>
      <c r="G2016" t="s">
        <v>4275</v>
      </c>
      <c r="H2016" t="s">
        <v>132</v>
      </c>
      <c r="I2016" t="s">
        <v>4</v>
      </c>
      <c r="J2016" t="s">
        <v>4276</v>
      </c>
      <c r="K2016" t="s">
        <v>54</v>
      </c>
      <c r="L2016"/>
      <c r="M2016" t="s">
        <v>134</v>
      </c>
      <c r="N2016" t="s">
        <v>135</v>
      </c>
      <c r="O2016"/>
      <c r="P2016"/>
      <c r="Q2016" t="s">
        <v>4277</v>
      </c>
      <c r="R2016"/>
      <c r="S2016"/>
      <c r="T2016"/>
      <c r="U2016" t="s">
        <v>137</v>
      </c>
      <c r="V2016" t="s">
        <v>1210</v>
      </c>
      <c r="W2016" s="9">
        <v>46149.448348877311</v>
      </c>
      <c r="X2016" t="s">
        <v>111</v>
      </c>
      <c r="Y2016"/>
      <c r="Z2016"/>
      <c r="AA2016" t="s">
        <v>4278</v>
      </c>
      <c r="AB2016"/>
      <c r="AC2016" t="s">
        <v>24</v>
      </c>
      <c r="AD2016" t="s">
        <v>129</v>
      </c>
      <c r="AE2016" s="97"/>
    </row>
    <row r="2017" spans="1:31" ht="14.4" customHeight="1" x14ac:dyDescent="0.3">
      <c r="A2017" t="s">
        <v>4557</v>
      </c>
      <c r="B2017"/>
      <c r="C2017" t="s">
        <v>4558</v>
      </c>
      <c r="D2017"/>
      <c r="E2017" t="s">
        <v>4558</v>
      </c>
      <c r="F2017" t="s">
        <v>6769</v>
      </c>
      <c r="G2017" t="s">
        <v>4275</v>
      </c>
      <c r="H2017" t="s">
        <v>132</v>
      </c>
      <c r="I2017" t="s">
        <v>4</v>
      </c>
      <c r="J2017" t="s">
        <v>4276</v>
      </c>
      <c r="K2017" t="s">
        <v>54</v>
      </c>
      <c r="L2017"/>
      <c r="M2017" t="s">
        <v>134</v>
      </c>
      <c r="N2017" t="s">
        <v>135</v>
      </c>
      <c r="O2017"/>
      <c r="P2017"/>
      <c r="Q2017" t="s">
        <v>4277</v>
      </c>
      <c r="R2017"/>
      <c r="S2017"/>
      <c r="T2017"/>
      <c r="U2017" t="s">
        <v>137</v>
      </c>
      <c r="V2017" t="s">
        <v>1214</v>
      </c>
      <c r="W2017" s="9">
        <v>46149.242149537036</v>
      </c>
      <c r="X2017" t="s">
        <v>120</v>
      </c>
      <c r="Y2017"/>
      <c r="Z2017"/>
      <c r="AA2017" t="s">
        <v>4278</v>
      </c>
      <c r="AB2017"/>
      <c r="AC2017" t="s">
        <v>24</v>
      </c>
      <c r="AD2017" t="s">
        <v>130</v>
      </c>
      <c r="AE2017" s="97"/>
    </row>
    <row r="2018" spans="1:31" ht="14.4" customHeight="1" x14ac:dyDescent="0.3">
      <c r="A2018" t="s">
        <v>4561</v>
      </c>
      <c r="B2018"/>
      <c r="C2018" t="s">
        <v>4280</v>
      </c>
      <c r="D2018"/>
      <c r="E2018" t="s">
        <v>4280</v>
      </c>
      <c r="F2018" t="s">
        <v>6769</v>
      </c>
      <c r="G2018" t="s">
        <v>4559</v>
      </c>
      <c r="H2018" t="s">
        <v>132</v>
      </c>
      <c r="I2018" t="s">
        <v>4</v>
      </c>
      <c r="J2018" t="s">
        <v>4276</v>
      </c>
      <c r="K2018" t="s">
        <v>54</v>
      </c>
      <c r="L2018"/>
      <c r="M2018" t="s">
        <v>134</v>
      </c>
      <c r="N2018" t="s">
        <v>135</v>
      </c>
      <c r="O2018"/>
      <c r="P2018"/>
      <c r="Q2018" t="s">
        <v>3731</v>
      </c>
      <c r="R2018"/>
      <c r="S2018"/>
      <c r="T2018"/>
      <c r="U2018" t="s">
        <v>137</v>
      </c>
      <c r="V2018" t="s">
        <v>147</v>
      </c>
      <c r="W2018" s="9">
        <v>46180.730348182871</v>
      </c>
      <c r="X2018" t="s">
        <v>70</v>
      </c>
      <c r="Y2018"/>
      <c r="Z2018"/>
      <c r="AA2018" t="s">
        <v>4560</v>
      </c>
      <c r="AB2018"/>
      <c r="AC2018" t="s">
        <v>24</v>
      </c>
      <c r="AD2018" t="s">
        <v>128</v>
      </c>
      <c r="AE2018" s="97"/>
    </row>
    <row r="2019" spans="1:31" ht="14.4" customHeight="1" x14ac:dyDescent="0.3">
      <c r="A2019" t="s">
        <v>4562</v>
      </c>
      <c r="B2019"/>
      <c r="C2019" t="s">
        <v>4282</v>
      </c>
      <c r="D2019"/>
      <c r="E2019" t="s">
        <v>4282</v>
      </c>
      <c r="F2019" t="s">
        <v>6769</v>
      </c>
      <c r="G2019" t="s">
        <v>4559</v>
      </c>
      <c r="H2019" t="s">
        <v>132</v>
      </c>
      <c r="I2019" t="s">
        <v>4</v>
      </c>
      <c r="J2019" t="s">
        <v>4276</v>
      </c>
      <c r="K2019" t="s">
        <v>54</v>
      </c>
      <c r="L2019"/>
      <c r="M2019" t="s">
        <v>134</v>
      </c>
      <c r="N2019" t="s">
        <v>135</v>
      </c>
      <c r="O2019"/>
      <c r="P2019"/>
      <c r="Q2019" t="s">
        <v>3731</v>
      </c>
      <c r="R2019"/>
      <c r="S2019"/>
      <c r="T2019"/>
      <c r="U2019" t="s">
        <v>137</v>
      </c>
      <c r="V2019" t="s">
        <v>147</v>
      </c>
      <c r="W2019" s="9">
        <v>46176.610844675924</v>
      </c>
      <c r="X2019" t="s">
        <v>70</v>
      </c>
      <c r="Y2019"/>
      <c r="Z2019"/>
      <c r="AA2019" t="s">
        <v>4560</v>
      </c>
      <c r="AB2019"/>
      <c r="AC2019" t="s">
        <v>24</v>
      </c>
      <c r="AD2019" t="s">
        <v>128</v>
      </c>
      <c r="AE2019" s="97"/>
    </row>
    <row r="2020" spans="1:31" ht="14.4" customHeight="1" x14ac:dyDescent="0.3">
      <c r="A2020" t="s">
        <v>4563</v>
      </c>
      <c r="B2020"/>
      <c r="C2020" t="s">
        <v>4284</v>
      </c>
      <c r="D2020"/>
      <c r="E2020" t="s">
        <v>4284</v>
      </c>
      <c r="F2020" t="s">
        <v>6769</v>
      </c>
      <c r="G2020" t="s">
        <v>4559</v>
      </c>
      <c r="H2020" t="s">
        <v>132</v>
      </c>
      <c r="I2020" t="s">
        <v>4</v>
      </c>
      <c r="J2020" t="s">
        <v>4276</v>
      </c>
      <c r="K2020" t="s">
        <v>54</v>
      </c>
      <c r="L2020"/>
      <c r="M2020" t="s">
        <v>134</v>
      </c>
      <c r="N2020" t="s">
        <v>135</v>
      </c>
      <c r="O2020"/>
      <c r="P2020"/>
      <c r="Q2020" t="s">
        <v>3731</v>
      </c>
      <c r="R2020"/>
      <c r="S2020"/>
      <c r="T2020"/>
      <c r="U2020" t="s">
        <v>137</v>
      </c>
      <c r="V2020" t="s">
        <v>147</v>
      </c>
      <c r="W2020" s="9">
        <v>46180.733720833334</v>
      </c>
      <c r="X2020" t="s">
        <v>70</v>
      </c>
      <c r="Y2020"/>
      <c r="Z2020"/>
      <c r="AA2020" t="s">
        <v>4560</v>
      </c>
      <c r="AB2020"/>
      <c r="AC2020" t="s">
        <v>24</v>
      </c>
      <c r="AD2020" t="s">
        <v>128</v>
      </c>
      <c r="AE2020" s="97"/>
    </row>
    <row r="2021" spans="1:31" ht="14.4" customHeight="1" x14ac:dyDescent="0.3">
      <c r="A2021" t="s">
        <v>4564</v>
      </c>
      <c r="B2021"/>
      <c r="C2021" t="s">
        <v>4286</v>
      </c>
      <c r="D2021"/>
      <c r="E2021" t="s">
        <v>4286</v>
      </c>
      <c r="F2021" t="s">
        <v>6769</v>
      </c>
      <c r="G2021" t="s">
        <v>4559</v>
      </c>
      <c r="H2021" t="s">
        <v>132</v>
      </c>
      <c r="I2021" t="s">
        <v>4</v>
      </c>
      <c r="J2021" t="s">
        <v>4276</v>
      </c>
      <c r="K2021" t="s">
        <v>54</v>
      </c>
      <c r="L2021"/>
      <c r="M2021" t="s">
        <v>134</v>
      </c>
      <c r="N2021" t="s">
        <v>135</v>
      </c>
      <c r="O2021"/>
      <c r="P2021"/>
      <c r="Q2021" t="s">
        <v>3731</v>
      </c>
      <c r="R2021"/>
      <c r="S2021"/>
      <c r="T2021"/>
      <c r="U2021" t="s">
        <v>137</v>
      </c>
      <c r="V2021" t="s">
        <v>150</v>
      </c>
      <c r="W2021" s="9">
        <v>46176.612941284722</v>
      </c>
      <c r="X2021" t="s">
        <v>76</v>
      </c>
      <c r="Y2021"/>
      <c r="Z2021"/>
      <c r="AA2021" t="s">
        <v>4560</v>
      </c>
      <c r="AB2021"/>
      <c r="AC2021" t="s">
        <v>24</v>
      </c>
      <c r="AD2021" t="s">
        <v>128</v>
      </c>
      <c r="AE2021" s="97"/>
    </row>
    <row r="2022" spans="1:31" ht="14.4" customHeight="1" x14ac:dyDescent="0.3">
      <c r="A2022" t="s">
        <v>4565</v>
      </c>
      <c r="B2022"/>
      <c r="C2022" t="s">
        <v>4288</v>
      </c>
      <c r="D2022"/>
      <c r="E2022" t="s">
        <v>4288</v>
      </c>
      <c r="F2022" t="s">
        <v>6769</v>
      </c>
      <c r="G2022" t="s">
        <v>4559</v>
      </c>
      <c r="H2022" t="s">
        <v>132</v>
      </c>
      <c r="I2022" t="s">
        <v>4</v>
      </c>
      <c r="J2022" t="s">
        <v>4276</v>
      </c>
      <c r="K2022" t="s">
        <v>54</v>
      </c>
      <c r="L2022"/>
      <c r="M2022" t="s">
        <v>134</v>
      </c>
      <c r="N2022" t="s">
        <v>135</v>
      </c>
      <c r="O2022"/>
      <c r="P2022"/>
      <c r="Q2022" t="s">
        <v>3731</v>
      </c>
      <c r="R2022"/>
      <c r="S2022"/>
      <c r="T2022"/>
      <c r="U2022" t="s">
        <v>137</v>
      </c>
      <c r="V2022" t="s">
        <v>150</v>
      </c>
      <c r="W2022" s="9">
        <v>46183.6205003125</v>
      </c>
      <c r="X2022" t="s">
        <v>76</v>
      </c>
      <c r="Y2022"/>
      <c r="Z2022"/>
      <c r="AA2022" t="s">
        <v>4560</v>
      </c>
      <c r="AB2022"/>
      <c r="AC2022" t="s">
        <v>24</v>
      </c>
      <c r="AD2022" t="s">
        <v>128</v>
      </c>
      <c r="AE2022" s="97"/>
    </row>
    <row r="2023" spans="1:31" ht="14.4" customHeight="1" x14ac:dyDescent="0.3">
      <c r="A2023" t="s">
        <v>4566</v>
      </c>
      <c r="B2023"/>
      <c r="C2023" t="s">
        <v>4290</v>
      </c>
      <c r="D2023"/>
      <c r="E2023" t="s">
        <v>4290</v>
      </c>
      <c r="F2023" t="s">
        <v>6769</v>
      </c>
      <c r="G2023" t="s">
        <v>4559</v>
      </c>
      <c r="H2023" t="s">
        <v>132</v>
      </c>
      <c r="I2023" t="s">
        <v>4</v>
      </c>
      <c r="J2023" t="s">
        <v>4276</v>
      </c>
      <c r="K2023" t="s">
        <v>54</v>
      </c>
      <c r="L2023"/>
      <c r="M2023" t="s">
        <v>134</v>
      </c>
      <c r="N2023" t="s">
        <v>135</v>
      </c>
      <c r="O2023"/>
      <c r="P2023"/>
      <c r="Q2023" t="s">
        <v>3731</v>
      </c>
      <c r="R2023"/>
      <c r="S2023"/>
      <c r="T2023"/>
      <c r="U2023" t="s">
        <v>137</v>
      </c>
      <c r="V2023" t="s">
        <v>150</v>
      </c>
      <c r="W2023" s="9">
        <v>46183.623516631946</v>
      </c>
      <c r="X2023" t="s">
        <v>76</v>
      </c>
      <c r="Y2023"/>
      <c r="Z2023"/>
      <c r="AA2023" t="s">
        <v>4560</v>
      </c>
      <c r="AB2023"/>
      <c r="AC2023" t="s">
        <v>24</v>
      </c>
      <c r="AD2023" t="s">
        <v>128</v>
      </c>
      <c r="AE2023" s="97"/>
    </row>
    <row r="2024" spans="1:31" ht="14.4" customHeight="1" x14ac:dyDescent="0.3">
      <c r="A2024" t="s">
        <v>4567</v>
      </c>
      <c r="B2024"/>
      <c r="C2024" t="s">
        <v>4292</v>
      </c>
      <c r="D2024"/>
      <c r="E2024" t="s">
        <v>4292</v>
      </c>
      <c r="F2024" t="s">
        <v>6769</v>
      </c>
      <c r="G2024" t="s">
        <v>4559</v>
      </c>
      <c r="H2024" t="s">
        <v>132</v>
      </c>
      <c r="I2024" t="s">
        <v>4</v>
      </c>
      <c r="J2024" t="s">
        <v>4276</v>
      </c>
      <c r="K2024" t="s">
        <v>54</v>
      </c>
      <c r="L2024"/>
      <c r="M2024" t="s">
        <v>134</v>
      </c>
      <c r="N2024" t="s">
        <v>135</v>
      </c>
      <c r="O2024"/>
      <c r="P2024"/>
      <c r="Q2024" t="s">
        <v>3731</v>
      </c>
      <c r="R2024"/>
      <c r="S2024"/>
      <c r="T2024"/>
      <c r="U2024" t="s">
        <v>137</v>
      </c>
      <c r="V2024" t="s">
        <v>153</v>
      </c>
      <c r="W2024" s="9">
        <v>46183.624871446758</v>
      </c>
      <c r="X2024" t="s">
        <v>88</v>
      </c>
      <c r="Y2024"/>
      <c r="Z2024"/>
      <c r="AA2024" t="s">
        <v>4560</v>
      </c>
      <c r="AB2024"/>
      <c r="AC2024" t="s">
        <v>24</v>
      </c>
      <c r="AD2024" t="s">
        <v>129</v>
      </c>
      <c r="AE2024" s="97"/>
    </row>
    <row r="2025" spans="1:31" ht="14.4" customHeight="1" x14ac:dyDescent="0.3">
      <c r="A2025" t="s">
        <v>4568</v>
      </c>
      <c r="B2025"/>
      <c r="C2025" t="s">
        <v>4294</v>
      </c>
      <c r="D2025"/>
      <c r="E2025" t="s">
        <v>4294</v>
      </c>
      <c r="F2025" t="s">
        <v>6769</v>
      </c>
      <c r="G2025" t="s">
        <v>4559</v>
      </c>
      <c r="H2025" t="s">
        <v>132</v>
      </c>
      <c r="I2025" t="s">
        <v>4</v>
      </c>
      <c r="J2025" t="s">
        <v>4276</v>
      </c>
      <c r="K2025" t="s">
        <v>54</v>
      </c>
      <c r="L2025"/>
      <c r="M2025" t="s">
        <v>134</v>
      </c>
      <c r="N2025" t="s">
        <v>135</v>
      </c>
      <c r="O2025"/>
      <c r="P2025"/>
      <c r="Q2025" t="s">
        <v>3731</v>
      </c>
      <c r="R2025"/>
      <c r="S2025"/>
      <c r="T2025"/>
      <c r="U2025" t="s">
        <v>137</v>
      </c>
      <c r="V2025" t="s">
        <v>153</v>
      </c>
      <c r="W2025" s="9">
        <v>46190.252442939818</v>
      </c>
      <c r="X2025" t="s">
        <v>88</v>
      </c>
      <c r="Y2025"/>
      <c r="Z2025"/>
      <c r="AA2025" t="s">
        <v>4560</v>
      </c>
      <c r="AB2025"/>
      <c r="AC2025" t="s">
        <v>24</v>
      </c>
      <c r="AD2025" t="s">
        <v>129</v>
      </c>
      <c r="AE2025" s="97"/>
    </row>
    <row r="2026" spans="1:31" ht="14.4" customHeight="1" x14ac:dyDescent="0.3">
      <c r="A2026" t="s">
        <v>4569</v>
      </c>
      <c r="B2026"/>
      <c r="C2026" t="s">
        <v>4296</v>
      </c>
      <c r="D2026"/>
      <c r="E2026" t="s">
        <v>4296</v>
      </c>
      <c r="F2026" t="s">
        <v>6769</v>
      </c>
      <c r="G2026" t="s">
        <v>4559</v>
      </c>
      <c r="H2026" t="s">
        <v>132</v>
      </c>
      <c r="I2026" t="s">
        <v>4</v>
      </c>
      <c r="J2026" t="s">
        <v>4276</v>
      </c>
      <c r="K2026" t="s">
        <v>54</v>
      </c>
      <c r="L2026"/>
      <c r="M2026" t="s">
        <v>134</v>
      </c>
      <c r="N2026" t="s">
        <v>135</v>
      </c>
      <c r="O2026"/>
      <c r="P2026"/>
      <c r="Q2026" t="s">
        <v>3731</v>
      </c>
      <c r="R2026"/>
      <c r="S2026"/>
      <c r="T2026"/>
      <c r="U2026" t="s">
        <v>137</v>
      </c>
      <c r="V2026" t="s">
        <v>153</v>
      </c>
      <c r="W2026" s="9">
        <v>46185.284669525463</v>
      </c>
      <c r="X2026" t="s">
        <v>88</v>
      </c>
      <c r="Y2026"/>
      <c r="Z2026"/>
      <c r="AA2026" t="s">
        <v>4560</v>
      </c>
      <c r="AB2026"/>
      <c r="AC2026" t="s">
        <v>24</v>
      </c>
      <c r="AD2026" t="s">
        <v>129</v>
      </c>
      <c r="AE2026" s="97"/>
    </row>
    <row r="2027" spans="1:31" ht="14.4" customHeight="1" x14ac:dyDescent="0.3">
      <c r="A2027" t="s">
        <v>4570</v>
      </c>
      <c r="B2027"/>
      <c r="C2027" t="s">
        <v>4298</v>
      </c>
      <c r="D2027"/>
      <c r="E2027" t="s">
        <v>4298</v>
      </c>
      <c r="F2027" t="s">
        <v>6769</v>
      </c>
      <c r="G2027" t="s">
        <v>4559</v>
      </c>
      <c r="H2027" t="s">
        <v>132</v>
      </c>
      <c r="I2027" t="s">
        <v>4</v>
      </c>
      <c r="J2027" t="s">
        <v>4276</v>
      </c>
      <c r="K2027" t="s">
        <v>54</v>
      </c>
      <c r="L2027"/>
      <c r="M2027" t="s">
        <v>134</v>
      </c>
      <c r="N2027" t="s">
        <v>135</v>
      </c>
      <c r="O2027"/>
      <c r="P2027"/>
      <c r="Q2027" t="s">
        <v>3731</v>
      </c>
      <c r="R2027"/>
      <c r="S2027"/>
      <c r="T2027"/>
      <c r="U2027" t="s">
        <v>137</v>
      </c>
      <c r="V2027" t="s">
        <v>156</v>
      </c>
      <c r="W2027" s="9">
        <v>46185.285767048612</v>
      </c>
      <c r="X2027" t="s">
        <v>97</v>
      </c>
      <c r="Y2027"/>
      <c r="Z2027"/>
      <c r="AA2027" t="s">
        <v>4560</v>
      </c>
      <c r="AB2027"/>
      <c r="AC2027" t="s">
        <v>24</v>
      </c>
      <c r="AD2027" t="s">
        <v>129</v>
      </c>
      <c r="AE2027" s="97"/>
    </row>
    <row r="2028" spans="1:31" ht="14.4" customHeight="1" x14ac:dyDescent="0.3">
      <c r="A2028" t="s">
        <v>4571</v>
      </c>
      <c r="B2028"/>
      <c r="C2028" t="s">
        <v>4300</v>
      </c>
      <c r="D2028"/>
      <c r="E2028" t="s">
        <v>4300</v>
      </c>
      <c r="F2028" t="s">
        <v>6769</v>
      </c>
      <c r="G2028" t="s">
        <v>4559</v>
      </c>
      <c r="H2028" t="s">
        <v>132</v>
      </c>
      <c r="I2028" t="s">
        <v>4</v>
      </c>
      <c r="J2028" t="s">
        <v>4276</v>
      </c>
      <c r="K2028" t="s">
        <v>54</v>
      </c>
      <c r="L2028"/>
      <c r="M2028" t="s">
        <v>134</v>
      </c>
      <c r="N2028" t="s">
        <v>135</v>
      </c>
      <c r="O2028"/>
      <c r="P2028"/>
      <c r="Q2028" t="s">
        <v>3731</v>
      </c>
      <c r="R2028"/>
      <c r="S2028"/>
      <c r="T2028"/>
      <c r="U2028" t="s">
        <v>137</v>
      </c>
      <c r="V2028" t="s">
        <v>156</v>
      </c>
      <c r="W2028" s="9">
        <v>46196.204072650464</v>
      </c>
      <c r="X2028" t="s">
        <v>97</v>
      </c>
      <c r="Y2028"/>
      <c r="Z2028"/>
      <c r="AA2028" t="s">
        <v>4560</v>
      </c>
      <c r="AB2028"/>
      <c r="AC2028" t="s">
        <v>24</v>
      </c>
      <c r="AD2028" t="s">
        <v>129</v>
      </c>
      <c r="AE2028" s="97"/>
    </row>
    <row r="2029" spans="1:31" ht="14.4" customHeight="1" x14ac:dyDescent="0.3">
      <c r="A2029" t="s">
        <v>4572</v>
      </c>
      <c r="B2029"/>
      <c r="C2029" t="s">
        <v>4302</v>
      </c>
      <c r="D2029"/>
      <c r="E2029" t="s">
        <v>4302</v>
      </c>
      <c r="F2029" t="s">
        <v>6769</v>
      </c>
      <c r="G2029" t="s">
        <v>4559</v>
      </c>
      <c r="H2029" t="s">
        <v>132</v>
      </c>
      <c r="I2029" t="s">
        <v>4</v>
      </c>
      <c r="J2029" t="s">
        <v>4276</v>
      </c>
      <c r="K2029" t="s">
        <v>54</v>
      </c>
      <c r="L2029"/>
      <c r="M2029" t="s">
        <v>134</v>
      </c>
      <c r="N2029" t="s">
        <v>135</v>
      </c>
      <c r="O2029"/>
      <c r="P2029"/>
      <c r="Q2029" t="s">
        <v>3731</v>
      </c>
      <c r="R2029"/>
      <c r="S2029"/>
      <c r="T2029"/>
      <c r="U2029" t="s">
        <v>137</v>
      </c>
      <c r="V2029" t="s">
        <v>156</v>
      </c>
      <c r="W2029" s="9">
        <v>46196.205365706017</v>
      </c>
      <c r="X2029" t="s">
        <v>97</v>
      </c>
      <c r="Y2029"/>
      <c r="Z2029"/>
      <c r="AA2029" t="s">
        <v>4560</v>
      </c>
      <c r="AB2029"/>
      <c r="AC2029" t="s">
        <v>24</v>
      </c>
      <c r="AD2029" t="s">
        <v>129</v>
      </c>
      <c r="AE2029" s="97"/>
    </row>
    <row r="2030" spans="1:31" ht="14.4" customHeight="1" x14ac:dyDescent="0.3">
      <c r="A2030" t="s">
        <v>4573</v>
      </c>
      <c r="B2030"/>
      <c r="C2030" t="s">
        <v>4304</v>
      </c>
      <c r="D2030"/>
      <c r="E2030" t="s">
        <v>4304</v>
      </c>
      <c r="F2030" t="s">
        <v>6769</v>
      </c>
      <c r="G2030" t="s">
        <v>4559</v>
      </c>
      <c r="H2030" t="s">
        <v>132</v>
      </c>
      <c r="I2030" t="s">
        <v>4</v>
      </c>
      <c r="J2030" t="s">
        <v>4276</v>
      </c>
      <c r="K2030" t="s">
        <v>54</v>
      </c>
      <c r="L2030"/>
      <c r="M2030" t="s">
        <v>134</v>
      </c>
      <c r="N2030" t="s">
        <v>135</v>
      </c>
      <c r="O2030"/>
      <c r="P2030"/>
      <c r="Q2030" t="s">
        <v>3731</v>
      </c>
      <c r="R2030"/>
      <c r="S2030"/>
      <c r="T2030"/>
      <c r="U2030" t="s">
        <v>137</v>
      </c>
      <c r="V2030" t="s">
        <v>159</v>
      </c>
      <c r="W2030" s="9">
        <v>46196.207797650466</v>
      </c>
      <c r="X2030" t="s">
        <v>106</v>
      </c>
      <c r="Y2030"/>
      <c r="Z2030"/>
      <c r="AA2030" t="s">
        <v>4560</v>
      </c>
      <c r="AB2030"/>
      <c r="AC2030" t="s">
        <v>24</v>
      </c>
      <c r="AD2030" t="s">
        <v>129</v>
      </c>
      <c r="AE2030" s="97"/>
    </row>
    <row r="2031" spans="1:31" ht="14.4" customHeight="1" x14ac:dyDescent="0.3">
      <c r="A2031" t="s">
        <v>4574</v>
      </c>
      <c r="B2031"/>
      <c r="C2031" t="s">
        <v>4306</v>
      </c>
      <c r="D2031"/>
      <c r="E2031" t="s">
        <v>4306</v>
      </c>
      <c r="F2031" t="s">
        <v>6769</v>
      </c>
      <c r="G2031" t="s">
        <v>4559</v>
      </c>
      <c r="H2031" t="s">
        <v>132</v>
      </c>
      <c r="I2031" t="s">
        <v>4</v>
      </c>
      <c r="J2031" t="s">
        <v>4276</v>
      </c>
      <c r="K2031" t="s">
        <v>54</v>
      </c>
      <c r="L2031"/>
      <c r="M2031" t="s">
        <v>134</v>
      </c>
      <c r="N2031" t="s">
        <v>135</v>
      </c>
      <c r="O2031"/>
      <c r="P2031"/>
      <c r="Q2031" t="s">
        <v>3731</v>
      </c>
      <c r="R2031"/>
      <c r="S2031"/>
      <c r="T2031"/>
      <c r="U2031" t="s">
        <v>137</v>
      </c>
      <c r="V2031" t="s">
        <v>159</v>
      </c>
      <c r="W2031" s="9">
        <v>46196.209327743054</v>
      </c>
      <c r="X2031" t="s">
        <v>106</v>
      </c>
      <c r="Y2031"/>
      <c r="Z2031"/>
      <c r="AA2031" t="s">
        <v>4560</v>
      </c>
      <c r="AB2031"/>
      <c r="AC2031" t="s">
        <v>24</v>
      </c>
      <c r="AD2031" t="s">
        <v>129</v>
      </c>
      <c r="AE2031" s="97"/>
    </row>
    <row r="2032" spans="1:31" ht="14.4" customHeight="1" x14ac:dyDescent="0.3">
      <c r="A2032" t="s">
        <v>4575</v>
      </c>
      <c r="B2032"/>
      <c r="C2032" t="s">
        <v>4308</v>
      </c>
      <c r="D2032"/>
      <c r="E2032" t="s">
        <v>4308</v>
      </c>
      <c r="F2032" t="s">
        <v>6769</v>
      </c>
      <c r="G2032" t="s">
        <v>4559</v>
      </c>
      <c r="H2032" t="s">
        <v>132</v>
      </c>
      <c r="I2032" t="s">
        <v>4</v>
      </c>
      <c r="J2032" t="s">
        <v>4276</v>
      </c>
      <c r="K2032" t="s">
        <v>54</v>
      </c>
      <c r="L2032"/>
      <c r="M2032" t="s">
        <v>134</v>
      </c>
      <c r="N2032" t="s">
        <v>135</v>
      </c>
      <c r="O2032"/>
      <c r="P2032"/>
      <c r="Q2032" t="s">
        <v>3731</v>
      </c>
      <c r="R2032"/>
      <c r="S2032"/>
      <c r="T2032"/>
      <c r="U2032" t="s">
        <v>137</v>
      </c>
      <c r="V2032" t="s">
        <v>159</v>
      </c>
      <c r="W2032" s="9">
        <v>46196.210469675927</v>
      </c>
      <c r="X2032" t="s">
        <v>106</v>
      </c>
      <c r="Y2032"/>
      <c r="Z2032"/>
      <c r="AA2032" t="s">
        <v>4560</v>
      </c>
      <c r="AB2032"/>
      <c r="AC2032" t="s">
        <v>24</v>
      </c>
      <c r="AD2032" t="s">
        <v>129</v>
      </c>
      <c r="AE2032" s="97"/>
    </row>
    <row r="2033" spans="1:31" ht="14.4" customHeight="1" x14ac:dyDescent="0.3">
      <c r="A2033" t="s">
        <v>4576</v>
      </c>
      <c r="B2033"/>
      <c r="C2033" t="s">
        <v>4310</v>
      </c>
      <c r="D2033"/>
      <c r="E2033" t="s">
        <v>4310</v>
      </c>
      <c r="F2033" t="s">
        <v>6769</v>
      </c>
      <c r="G2033" t="s">
        <v>4559</v>
      </c>
      <c r="H2033" t="s">
        <v>132</v>
      </c>
      <c r="I2033" t="s">
        <v>4</v>
      </c>
      <c r="J2033" t="s">
        <v>4276</v>
      </c>
      <c r="K2033" t="s">
        <v>54</v>
      </c>
      <c r="L2033"/>
      <c r="M2033" t="s">
        <v>134</v>
      </c>
      <c r="N2033" t="s">
        <v>135</v>
      </c>
      <c r="O2033"/>
      <c r="P2033"/>
      <c r="Q2033" t="s">
        <v>3731</v>
      </c>
      <c r="R2033"/>
      <c r="S2033"/>
      <c r="T2033"/>
      <c r="U2033" t="s">
        <v>137</v>
      </c>
      <c r="V2033" t="s">
        <v>162</v>
      </c>
      <c r="W2033" s="9">
        <v>46196.211331979168</v>
      </c>
      <c r="X2033" t="s">
        <v>113</v>
      </c>
      <c r="Y2033"/>
      <c r="Z2033"/>
      <c r="AA2033" t="s">
        <v>4560</v>
      </c>
      <c r="AB2033"/>
      <c r="AC2033" t="s">
        <v>24</v>
      </c>
      <c r="AD2033" t="s">
        <v>129</v>
      </c>
      <c r="AE2033" s="97"/>
    </row>
    <row r="2034" spans="1:31" ht="14.4" customHeight="1" x14ac:dyDescent="0.3">
      <c r="A2034" t="s">
        <v>4577</v>
      </c>
      <c r="B2034"/>
      <c r="C2034" t="s">
        <v>4312</v>
      </c>
      <c r="D2034"/>
      <c r="E2034" t="s">
        <v>4312</v>
      </c>
      <c r="F2034" t="s">
        <v>6769</v>
      </c>
      <c r="G2034" t="s">
        <v>4559</v>
      </c>
      <c r="H2034" t="s">
        <v>132</v>
      </c>
      <c r="I2034" t="s">
        <v>4</v>
      </c>
      <c r="J2034" t="s">
        <v>4276</v>
      </c>
      <c r="K2034" t="s">
        <v>54</v>
      </c>
      <c r="L2034"/>
      <c r="M2034" t="s">
        <v>134</v>
      </c>
      <c r="N2034" t="s">
        <v>135</v>
      </c>
      <c r="O2034"/>
      <c r="P2034"/>
      <c r="Q2034" t="s">
        <v>3731</v>
      </c>
      <c r="R2034"/>
      <c r="S2034"/>
      <c r="T2034"/>
      <c r="U2034" t="s">
        <v>137</v>
      </c>
      <c r="V2034" t="s">
        <v>162</v>
      </c>
      <c r="W2034" s="9">
        <v>46198.792424270832</v>
      </c>
      <c r="X2034" t="s">
        <v>113</v>
      </c>
      <c r="Y2034"/>
      <c r="Z2034"/>
      <c r="AA2034" t="s">
        <v>4560</v>
      </c>
      <c r="AB2034"/>
      <c r="AC2034" t="s">
        <v>24</v>
      </c>
      <c r="AD2034" t="s">
        <v>129</v>
      </c>
      <c r="AE2034" s="97"/>
    </row>
    <row r="2035" spans="1:31" ht="14.4" customHeight="1" x14ac:dyDescent="0.3">
      <c r="A2035" t="s">
        <v>4578</v>
      </c>
      <c r="B2035"/>
      <c r="C2035" t="s">
        <v>4314</v>
      </c>
      <c r="D2035"/>
      <c r="E2035" t="s">
        <v>4314</v>
      </c>
      <c r="F2035" t="s">
        <v>6769</v>
      </c>
      <c r="G2035" t="s">
        <v>4559</v>
      </c>
      <c r="H2035" t="s">
        <v>132</v>
      </c>
      <c r="I2035" t="s">
        <v>4</v>
      </c>
      <c r="J2035" t="s">
        <v>4276</v>
      </c>
      <c r="K2035" t="s">
        <v>54</v>
      </c>
      <c r="L2035"/>
      <c r="M2035" t="s">
        <v>134</v>
      </c>
      <c r="N2035" t="s">
        <v>135</v>
      </c>
      <c r="O2035"/>
      <c r="P2035"/>
      <c r="Q2035" t="s">
        <v>3731</v>
      </c>
      <c r="R2035"/>
      <c r="S2035"/>
      <c r="T2035"/>
      <c r="U2035" t="s">
        <v>137</v>
      </c>
      <c r="V2035" t="s">
        <v>162</v>
      </c>
      <c r="W2035" s="9">
        <v>46198.794042094909</v>
      </c>
      <c r="X2035" t="s">
        <v>113</v>
      </c>
      <c r="Y2035"/>
      <c r="Z2035"/>
      <c r="AA2035" t="s">
        <v>4560</v>
      </c>
      <c r="AB2035"/>
      <c r="AC2035" t="s">
        <v>24</v>
      </c>
      <c r="AD2035" t="s">
        <v>129</v>
      </c>
      <c r="AE2035" s="97"/>
    </row>
    <row r="2036" spans="1:31" ht="14.4" customHeight="1" x14ac:dyDescent="0.3">
      <c r="A2036" t="s">
        <v>4579</v>
      </c>
      <c r="B2036"/>
      <c r="C2036" t="s">
        <v>4316</v>
      </c>
      <c r="D2036"/>
      <c r="E2036" t="s">
        <v>4316</v>
      </c>
      <c r="F2036" t="s">
        <v>6769</v>
      </c>
      <c r="G2036" t="s">
        <v>4559</v>
      </c>
      <c r="H2036" t="s">
        <v>132</v>
      </c>
      <c r="I2036" t="s">
        <v>4</v>
      </c>
      <c r="J2036" t="s">
        <v>4276</v>
      </c>
      <c r="K2036" t="s">
        <v>54</v>
      </c>
      <c r="L2036"/>
      <c r="M2036" t="s">
        <v>134</v>
      </c>
      <c r="N2036" t="s">
        <v>135</v>
      </c>
      <c r="O2036"/>
      <c r="P2036"/>
      <c r="Q2036" t="s">
        <v>3731</v>
      </c>
      <c r="R2036"/>
      <c r="S2036"/>
      <c r="T2036"/>
      <c r="U2036" t="s">
        <v>137</v>
      </c>
      <c r="V2036" t="s">
        <v>165</v>
      </c>
      <c r="W2036" s="9">
        <v>46199.213661192131</v>
      </c>
      <c r="X2036" t="s">
        <v>122</v>
      </c>
      <c r="Y2036"/>
      <c r="Z2036"/>
      <c r="AA2036" t="s">
        <v>4560</v>
      </c>
      <c r="AB2036"/>
      <c r="AC2036" t="s">
        <v>24</v>
      </c>
      <c r="AD2036" t="s">
        <v>130</v>
      </c>
      <c r="AE2036" s="97"/>
    </row>
    <row r="2037" spans="1:31" ht="14.4" customHeight="1" x14ac:dyDescent="0.3">
      <c r="A2037" t="s">
        <v>4580</v>
      </c>
      <c r="B2037"/>
      <c r="C2037" t="s">
        <v>4318</v>
      </c>
      <c r="D2037"/>
      <c r="E2037" t="s">
        <v>4318</v>
      </c>
      <c r="F2037" t="s">
        <v>6769</v>
      </c>
      <c r="G2037" t="s">
        <v>4559</v>
      </c>
      <c r="H2037" t="s">
        <v>132</v>
      </c>
      <c r="I2037" t="s">
        <v>4</v>
      </c>
      <c r="J2037" t="s">
        <v>4276</v>
      </c>
      <c r="K2037" t="s">
        <v>54</v>
      </c>
      <c r="L2037"/>
      <c r="M2037" t="s">
        <v>134</v>
      </c>
      <c r="N2037" t="s">
        <v>135</v>
      </c>
      <c r="O2037"/>
      <c r="P2037"/>
      <c r="Q2037" t="s">
        <v>3731</v>
      </c>
      <c r="R2037"/>
      <c r="S2037"/>
      <c r="T2037"/>
      <c r="U2037" t="s">
        <v>137</v>
      </c>
      <c r="V2037" t="s">
        <v>165</v>
      </c>
      <c r="W2037" s="9">
        <v>46205.482297951392</v>
      </c>
      <c r="X2037" t="s">
        <v>122</v>
      </c>
      <c r="Y2037"/>
      <c r="Z2037"/>
      <c r="AA2037" t="s">
        <v>4560</v>
      </c>
      <c r="AB2037"/>
      <c r="AC2037" t="s">
        <v>24</v>
      </c>
      <c r="AD2037" t="s">
        <v>130</v>
      </c>
      <c r="AE2037" s="97"/>
    </row>
    <row r="2038" spans="1:31" ht="14.4" customHeight="1" x14ac:dyDescent="0.3">
      <c r="A2038" t="s">
        <v>4581</v>
      </c>
      <c r="B2038"/>
      <c r="C2038" t="s">
        <v>4320</v>
      </c>
      <c r="D2038"/>
      <c r="E2038" t="s">
        <v>4320</v>
      </c>
      <c r="F2038" t="s">
        <v>6769</v>
      </c>
      <c r="G2038" t="s">
        <v>4559</v>
      </c>
      <c r="H2038" t="s">
        <v>132</v>
      </c>
      <c r="I2038" t="s">
        <v>4</v>
      </c>
      <c r="J2038" t="s">
        <v>4276</v>
      </c>
      <c r="K2038" t="s">
        <v>54</v>
      </c>
      <c r="L2038"/>
      <c r="M2038" t="s">
        <v>134</v>
      </c>
      <c r="N2038" t="s">
        <v>135</v>
      </c>
      <c r="O2038"/>
      <c r="P2038"/>
      <c r="Q2038" t="s">
        <v>3731</v>
      </c>
      <c r="R2038"/>
      <c r="S2038"/>
      <c r="T2038"/>
      <c r="U2038" t="s">
        <v>137</v>
      </c>
      <c r="V2038" t="s">
        <v>165</v>
      </c>
      <c r="W2038" s="9">
        <v>46205.483460381947</v>
      </c>
      <c r="X2038" t="s">
        <v>122</v>
      </c>
      <c r="Y2038"/>
      <c r="Z2038"/>
      <c r="AA2038" t="s">
        <v>4560</v>
      </c>
      <c r="AB2038"/>
      <c r="AC2038" t="s">
        <v>24</v>
      </c>
      <c r="AD2038" t="s">
        <v>130</v>
      </c>
      <c r="AE2038" s="97"/>
    </row>
    <row r="2039" spans="1:31" ht="14.4" customHeight="1" x14ac:dyDescent="0.3">
      <c r="A2039" t="s">
        <v>4582</v>
      </c>
      <c r="B2039"/>
      <c r="C2039" t="s">
        <v>4322</v>
      </c>
      <c r="D2039"/>
      <c r="E2039" t="s">
        <v>4322</v>
      </c>
      <c r="F2039" t="s">
        <v>6769</v>
      </c>
      <c r="G2039" t="s">
        <v>4559</v>
      </c>
      <c r="H2039" t="s">
        <v>132</v>
      </c>
      <c r="I2039" t="s">
        <v>4</v>
      </c>
      <c r="J2039" t="s">
        <v>4276</v>
      </c>
      <c r="K2039" t="s">
        <v>54</v>
      </c>
      <c r="L2039"/>
      <c r="M2039" t="s">
        <v>134</v>
      </c>
      <c r="N2039" t="s">
        <v>135</v>
      </c>
      <c r="O2039"/>
      <c r="P2039"/>
      <c r="Q2039" t="s">
        <v>3731</v>
      </c>
      <c r="R2039"/>
      <c r="S2039"/>
      <c r="T2039"/>
      <c r="U2039" t="s">
        <v>137</v>
      </c>
      <c r="V2039" t="s">
        <v>371</v>
      </c>
      <c r="W2039" s="9">
        <v>46176.614426307868</v>
      </c>
      <c r="X2039" t="s">
        <v>57</v>
      </c>
      <c r="Y2039"/>
      <c r="Z2039"/>
      <c r="AA2039" t="s">
        <v>4560</v>
      </c>
      <c r="AB2039"/>
      <c r="AC2039" t="s">
        <v>24</v>
      </c>
      <c r="AD2039" t="s">
        <v>128</v>
      </c>
      <c r="AE2039" s="97"/>
    </row>
    <row r="2040" spans="1:31" ht="14.4" customHeight="1" x14ac:dyDescent="0.3">
      <c r="A2040" t="s">
        <v>4583</v>
      </c>
      <c r="B2040"/>
      <c r="C2040" t="s">
        <v>4324</v>
      </c>
      <c r="D2040"/>
      <c r="E2040" t="s">
        <v>4324</v>
      </c>
      <c r="F2040" t="s">
        <v>6769</v>
      </c>
      <c r="G2040" t="s">
        <v>4559</v>
      </c>
      <c r="H2040" t="s">
        <v>132</v>
      </c>
      <c r="I2040" t="s">
        <v>4</v>
      </c>
      <c r="J2040" t="s">
        <v>4276</v>
      </c>
      <c r="K2040" t="s">
        <v>54</v>
      </c>
      <c r="L2040"/>
      <c r="M2040" t="s">
        <v>134</v>
      </c>
      <c r="N2040" t="s">
        <v>135</v>
      </c>
      <c r="O2040"/>
      <c r="P2040"/>
      <c r="Q2040" t="s">
        <v>3731</v>
      </c>
      <c r="R2040"/>
      <c r="S2040"/>
      <c r="T2040"/>
      <c r="U2040" t="s">
        <v>137</v>
      </c>
      <c r="V2040" t="s">
        <v>371</v>
      </c>
      <c r="W2040" s="9">
        <v>46149.589032175929</v>
      </c>
      <c r="X2040" t="s">
        <v>57</v>
      </c>
      <c r="Y2040"/>
      <c r="Z2040"/>
      <c r="AA2040" t="s">
        <v>4560</v>
      </c>
      <c r="AB2040"/>
      <c r="AC2040" t="s">
        <v>24</v>
      </c>
      <c r="AD2040" t="s">
        <v>128</v>
      </c>
      <c r="AE2040" s="97"/>
    </row>
    <row r="2041" spans="1:31" ht="14.4" customHeight="1" x14ac:dyDescent="0.3">
      <c r="A2041" t="s">
        <v>4584</v>
      </c>
      <c r="B2041"/>
      <c r="C2041" t="s">
        <v>4326</v>
      </c>
      <c r="D2041"/>
      <c r="E2041" t="s">
        <v>4326</v>
      </c>
      <c r="F2041" t="s">
        <v>6769</v>
      </c>
      <c r="G2041" t="s">
        <v>4559</v>
      </c>
      <c r="H2041" t="s">
        <v>132</v>
      </c>
      <c r="I2041" t="s">
        <v>4</v>
      </c>
      <c r="J2041" t="s">
        <v>4276</v>
      </c>
      <c r="K2041" t="s">
        <v>54</v>
      </c>
      <c r="L2041"/>
      <c r="M2041" t="s">
        <v>134</v>
      </c>
      <c r="N2041" t="s">
        <v>135</v>
      </c>
      <c r="O2041"/>
      <c r="P2041"/>
      <c r="Q2041" t="s">
        <v>3731</v>
      </c>
      <c r="R2041"/>
      <c r="S2041"/>
      <c r="T2041"/>
      <c r="U2041" t="s">
        <v>137</v>
      </c>
      <c r="V2041" t="s">
        <v>362</v>
      </c>
      <c r="W2041" s="9">
        <v>46149.602168750003</v>
      </c>
      <c r="X2041" t="s">
        <v>58</v>
      </c>
      <c r="Y2041"/>
      <c r="Z2041"/>
      <c r="AA2041" t="s">
        <v>4560</v>
      </c>
      <c r="AB2041"/>
      <c r="AC2041" t="s">
        <v>24</v>
      </c>
      <c r="AD2041" t="s">
        <v>128</v>
      </c>
      <c r="AE2041" s="97"/>
    </row>
    <row r="2042" spans="1:31" ht="14.4" customHeight="1" x14ac:dyDescent="0.3">
      <c r="A2042" t="s">
        <v>4585</v>
      </c>
      <c r="B2042"/>
      <c r="C2042" t="s">
        <v>4328</v>
      </c>
      <c r="D2042"/>
      <c r="E2042" t="s">
        <v>4328</v>
      </c>
      <c r="F2042" t="s">
        <v>6769</v>
      </c>
      <c r="G2042" t="s">
        <v>4559</v>
      </c>
      <c r="H2042" t="s">
        <v>132</v>
      </c>
      <c r="I2042" t="s">
        <v>4</v>
      </c>
      <c r="J2042" t="s">
        <v>4276</v>
      </c>
      <c r="K2042" t="s">
        <v>54</v>
      </c>
      <c r="L2042"/>
      <c r="M2042" t="s">
        <v>134</v>
      </c>
      <c r="N2042" t="s">
        <v>135</v>
      </c>
      <c r="O2042"/>
      <c r="P2042"/>
      <c r="Q2042" t="s">
        <v>3731</v>
      </c>
      <c r="R2042"/>
      <c r="S2042"/>
      <c r="T2042"/>
      <c r="U2042" t="s">
        <v>137</v>
      </c>
      <c r="V2042" t="s">
        <v>362</v>
      </c>
      <c r="W2042"/>
      <c r="X2042" t="s">
        <v>58</v>
      </c>
      <c r="Y2042"/>
      <c r="Z2042"/>
      <c r="AA2042" t="s">
        <v>4560</v>
      </c>
      <c r="AB2042"/>
      <c r="AC2042" t="s">
        <v>138</v>
      </c>
      <c r="AD2042" t="s">
        <v>128</v>
      </c>
      <c r="AE2042" s="97"/>
    </row>
    <row r="2043" spans="1:31" ht="14.4" customHeight="1" x14ac:dyDescent="0.3">
      <c r="A2043" t="s">
        <v>4586</v>
      </c>
      <c r="B2043"/>
      <c r="C2043" t="s">
        <v>4330</v>
      </c>
      <c r="D2043"/>
      <c r="E2043" t="s">
        <v>4330</v>
      </c>
      <c r="F2043" t="s">
        <v>6769</v>
      </c>
      <c r="G2043" t="s">
        <v>4559</v>
      </c>
      <c r="H2043" t="s">
        <v>132</v>
      </c>
      <c r="I2043" t="s">
        <v>4</v>
      </c>
      <c r="J2043" t="s">
        <v>4276</v>
      </c>
      <c r="K2043" t="s">
        <v>54</v>
      </c>
      <c r="L2043"/>
      <c r="M2043" t="s">
        <v>134</v>
      </c>
      <c r="N2043" t="s">
        <v>135</v>
      </c>
      <c r="O2043"/>
      <c r="P2043"/>
      <c r="Q2043" t="s">
        <v>3731</v>
      </c>
      <c r="R2043"/>
      <c r="S2043"/>
      <c r="T2043"/>
      <c r="U2043" t="s">
        <v>137</v>
      </c>
      <c r="V2043" t="s">
        <v>640</v>
      </c>
      <c r="W2043"/>
      <c r="X2043" t="s">
        <v>66</v>
      </c>
      <c r="Y2043"/>
      <c r="Z2043"/>
      <c r="AA2043" t="s">
        <v>4560</v>
      </c>
      <c r="AB2043"/>
      <c r="AC2043" t="s">
        <v>138</v>
      </c>
      <c r="AD2043" t="s">
        <v>128</v>
      </c>
      <c r="AE2043" s="97"/>
    </row>
    <row r="2044" spans="1:31" ht="14.4" customHeight="1" x14ac:dyDescent="0.3">
      <c r="A2044" t="s">
        <v>4587</v>
      </c>
      <c r="B2044"/>
      <c r="C2044" t="s">
        <v>4332</v>
      </c>
      <c r="D2044"/>
      <c r="E2044" t="s">
        <v>4332</v>
      </c>
      <c r="F2044" t="s">
        <v>6769</v>
      </c>
      <c r="G2044" t="s">
        <v>4559</v>
      </c>
      <c r="H2044" t="s">
        <v>132</v>
      </c>
      <c r="I2044" t="s">
        <v>4</v>
      </c>
      <c r="J2044" t="s">
        <v>4276</v>
      </c>
      <c r="K2044" t="s">
        <v>54</v>
      </c>
      <c r="L2044"/>
      <c r="M2044" t="s">
        <v>134</v>
      </c>
      <c r="N2044" t="s">
        <v>135</v>
      </c>
      <c r="O2044"/>
      <c r="P2044"/>
      <c r="Q2044" t="s">
        <v>3731</v>
      </c>
      <c r="R2044"/>
      <c r="S2044"/>
      <c r="T2044"/>
      <c r="U2044" t="s">
        <v>137</v>
      </c>
      <c r="V2044" t="s">
        <v>640</v>
      </c>
      <c r="W2044" s="9">
        <v>46146.360526157405</v>
      </c>
      <c r="X2044" t="s">
        <v>66</v>
      </c>
      <c r="Y2044"/>
      <c r="Z2044"/>
      <c r="AA2044" t="s">
        <v>4560</v>
      </c>
      <c r="AB2044"/>
      <c r="AC2044" t="s">
        <v>24</v>
      </c>
      <c r="AD2044" t="s">
        <v>128</v>
      </c>
      <c r="AE2044" s="97"/>
    </row>
    <row r="2045" spans="1:31" ht="14.4" customHeight="1" x14ac:dyDescent="0.3">
      <c r="A2045" t="s">
        <v>4588</v>
      </c>
      <c r="B2045"/>
      <c r="C2045" t="s">
        <v>4334</v>
      </c>
      <c r="D2045"/>
      <c r="E2045" t="s">
        <v>4334</v>
      </c>
      <c r="F2045" t="s">
        <v>6769</v>
      </c>
      <c r="G2045" t="s">
        <v>4559</v>
      </c>
      <c r="H2045" t="s">
        <v>132</v>
      </c>
      <c r="I2045" t="s">
        <v>4</v>
      </c>
      <c r="J2045" t="s">
        <v>4276</v>
      </c>
      <c r="K2045" t="s">
        <v>54</v>
      </c>
      <c r="L2045"/>
      <c r="M2045" t="s">
        <v>134</v>
      </c>
      <c r="N2045" t="s">
        <v>135</v>
      </c>
      <c r="O2045"/>
      <c r="P2045"/>
      <c r="Q2045" t="s">
        <v>3731</v>
      </c>
      <c r="R2045"/>
      <c r="S2045"/>
      <c r="T2045"/>
      <c r="U2045" t="s">
        <v>137</v>
      </c>
      <c r="V2045" t="s">
        <v>646</v>
      </c>
      <c r="W2045"/>
      <c r="X2045" t="s">
        <v>74</v>
      </c>
      <c r="Y2045"/>
      <c r="Z2045"/>
      <c r="AA2045" t="s">
        <v>4560</v>
      </c>
      <c r="AB2045"/>
      <c r="AC2045" t="s">
        <v>138</v>
      </c>
      <c r="AD2045" t="s">
        <v>128</v>
      </c>
      <c r="AE2045" s="97"/>
    </row>
    <row r="2046" spans="1:31" ht="14.4" customHeight="1" x14ac:dyDescent="0.3">
      <c r="A2046" t="s">
        <v>4589</v>
      </c>
      <c r="B2046"/>
      <c r="C2046" t="s">
        <v>4336</v>
      </c>
      <c r="D2046"/>
      <c r="E2046" t="s">
        <v>4336</v>
      </c>
      <c r="F2046" t="s">
        <v>6769</v>
      </c>
      <c r="G2046" t="s">
        <v>4559</v>
      </c>
      <c r="H2046" t="s">
        <v>132</v>
      </c>
      <c r="I2046" t="s">
        <v>4</v>
      </c>
      <c r="J2046" t="s">
        <v>4276</v>
      </c>
      <c r="K2046" t="s">
        <v>54</v>
      </c>
      <c r="L2046"/>
      <c r="M2046" t="s">
        <v>134</v>
      </c>
      <c r="N2046" t="s">
        <v>135</v>
      </c>
      <c r="O2046"/>
      <c r="P2046"/>
      <c r="Q2046" t="s">
        <v>3731</v>
      </c>
      <c r="R2046"/>
      <c r="S2046"/>
      <c r="T2046"/>
      <c r="U2046" t="s">
        <v>137</v>
      </c>
      <c r="V2046" t="s">
        <v>646</v>
      </c>
      <c r="W2046" s="9">
        <v>46166.534735995374</v>
      </c>
      <c r="X2046" t="s">
        <v>74</v>
      </c>
      <c r="Y2046"/>
      <c r="Z2046"/>
      <c r="AA2046" t="s">
        <v>4560</v>
      </c>
      <c r="AB2046"/>
      <c r="AC2046" t="s">
        <v>24</v>
      </c>
      <c r="AD2046" t="s">
        <v>128</v>
      </c>
      <c r="AE2046" s="97"/>
    </row>
    <row r="2047" spans="1:31" ht="14.4" customHeight="1" x14ac:dyDescent="0.3">
      <c r="A2047" t="s">
        <v>4590</v>
      </c>
      <c r="B2047"/>
      <c r="C2047" t="s">
        <v>4338</v>
      </c>
      <c r="D2047"/>
      <c r="E2047" t="s">
        <v>4338</v>
      </c>
      <c r="F2047" t="s">
        <v>6769</v>
      </c>
      <c r="G2047" t="s">
        <v>4559</v>
      </c>
      <c r="H2047" t="s">
        <v>132</v>
      </c>
      <c r="I2047" t="s">
        <v>4</v>
      </c>
      <c r="J2047" t="s">
        <v>4276</v>
      </c>
      <c r="K2047" t="s">
        <v>54</v>
      </c>
      <c r="L2047"/>
      <c r="M2047" t="s">
        <v>134</v>
      </c>
      <c r="N2047" t="s">
        <v>135</v>
      </c>
      <c r="O2047"/>
      <c r="P2047"/>
      <c r="Q2047" t="s">
        <v>3731</v>
      </c>
      <c r="R2047"/>
      <c r="S2047"/>
      <c r="T2047"/>
      <c r="U2047" t="s">
        <v>137</v>
      </c>
      <c r="V2047" t="s">
        <v>652</v>
      </c>
      <c r="W2047"/>
      <c r="X2047" t="s">
        <v>85</v>
      </c>
      <c r="Y2047"/>
      <c r="Z2047"/>
      <c r="AA2047" t="s">
        <v>4560</v>
      </c>
      <c r="AB2047"/>
      <c r="AC2047" t="s">
        <v>138</v>
      </c>
      <c r="AD2047" t="s">
        <v>129</v>
      </c>
      <c r="AE2047" s="97"/>
    </row>
    <row r="2048" spans="1:31" ht="14.4" customHeight="1" x14ac:dyDescent="0.3">
      <c r="A2048" t="s">
        <v>4591</v>
      </c>
      <c r="B2048"/>
      <c r="C2048" t="s">
        <v>4340</v>
      </c>
      <c r="D2048"/>
      <c r="E2048" t="s">
        <v>4340</v>
      </c>
      <c r="F2048" t="s">
        <v>6769</v>
      </c>
      <c r="G2048" t="s">
        <v>4559</v>
      </c>
      <c r="H2048" t="s">
        <v>132</v>
      </c>
      <c r="I2048" t="s">
        <v>4</v>
      </c>
      <c r="J2048" t="s">
        <v>4276</v>
      </c>
      <c r="K2048" t="s">
        <v>54</v>
      </c>
      <c r="L2048"/>
      <c r="M2048" t="s">
        <v>134</v>
      </c>
      <c r="N2048" t="s">
        <v>135</v>
      </c>
      <c r="O2048"/>
      <c r="P2048"/>
      <c r="Q2048" t="s">
        <v>3731</v>
      </c>
      <c r="R2048"/>
      <c r="S2048"/>
      <c r="T2048"/>
      <c r="U2048" t="s">
        <v>137</v>
      </c>
      <c r="V2048" t="s">
        <v>652</v>
      </c>
      <c r="W2048" s="9">
        <v>46166.576773460649</v>
      </c>
      <c r="X2048" t="s">
        <v>85</v>
      </c>
      <c r="Y2048"/>
      <c r="Z2048"/>
      <c r="AA2048" t="s">
        <v>4560</v>
      </c>
      <c r="AB2048"/>
      <c r="AC2048" t="s">
        <v>24</v>
      </c>
      <c r="AD2048" t="s">
        <v>129</v>
      </c>
      <c r="AE2048" s="97"/>
    </row>
    <row r="2049" spans="1:31" ht="14.4" customHeight="1" x14ac:dyDescent="0.3">
      <c r="A2049" t="s">
        <v>4592</v>
      </c>
      <c r="B2049"/>
      <c r="C2049" t="s">
        <v>4342</v>
      </c>
      <c r="D2049"/>
      <c r="E2049" t="s">
        <v>4342</v>
      </c>
      <c r="F2049" t="s">
        <v>6769</v>
      </c>
      <c r="G2049" t="s">
        <v>4559</v>
      </c>
      <c r="H2049" t="s">
        <v>132</v>
      </c>
      <c r="I2049" t="s">
        <v>4</v>
      </c>
      <c r="J2049" t="s">
        <v>4276</v>
      </c>
      <c r="K2049" t="s">
        <v>54</v>
      </c>
      <c r="L2049"/>
      <c r="M2049" t="s">
        <v>134</v>
      </c>
      <c r="N2049" t="s">
        <v>135</v>
      </c>
      <c r="O2049"/>
      <c r="P2049"/>
      <c r="Q2049" t="s">
        <v>3731</v>
      </c>
      <c r="R2049"/>
      <c r="S2049"/>
      <c r="T2049"/>
      <c r="U2049" t="s">
        <v>137</v>
      </c>
      <c r="V2049" t="s">
        <v>658</v>
      </c>
      <c r="W2049"/>
      <c r="X2049" t="s">
        <v>94</v>
      </c>
      <c r="Y2049"/>
      <c r="Z2049"/>
      <c r="AA2049" t="s">
        <v>4560</v>
      </c>
      <c r="AB2049"/>
      <c r="AC2049" t="s">
        <v>138</v>
      </c>
      <c r="AD2049" t="s">
        <v>129</v>
      </c>
      <c r="AE2049" s="97"/>
    </row>
    <row r="2050" spans="1:31" ht="14.4" customHeight="1" x14ac:dyDescent="0.3">
      <c r="A2050" t="s">
        <v>4593</v>
      </c>
      <c r="B2050"/>
      <c r="C2050" t="s">
        <v>4344</v>
      </c>
      <c r="D2050"/>
      <c r="E2050" t="s">
        <v>4344</v>
      </c>
      <c r="F2050" t="s">
        <v>6769</v>
      </c>
      <c r="G2050" t="s">
        <v>4559</v>
      </c>
      <c r="H2050" t="s">
        <v>132</v>
      </c>
      <c r="I2050" t="s">
        <v>4</v>
      </c>
      <c r="J2050" t="s">
        <v>4276</v>
      </c>
      <c r="K2050" t="s">
        <v>54</v>
      </c>
      <c r="L2050"/>
      <c r="M2050" t="s">
        <v>134</v>
      </c>
      <c r="N2050" t="s">
        <v>135</v>
      </c>
      <c r="O2050"/>
      <c r="P2050"/>
      <c r="Q2050" t="s">
        <v>3731</v>
      </c>
      <c r="R2050"/>
      <c r="S2050"/>
      <c r="T2050"/>
      <c r="U2050" t="s">
        <v>137</v>
      </c>
      <c r="V2050" t="s">
        <v>658</v>
      </c>
      <c r="W2050" s="9">
        <v>46180.738129050929</v>
      </c>
      <c r="X2050" t="s">
        <v>94</v>
      </c>
      <c r="Y2050"/>
      <c r="Z2050"/>
      <c r="AA2050" t="s">
        <v>4560</v>
      </c>
      <c r="AB2050"/>
      <c r="AC2050" t="s">
        <v>24</v>
      </c>
      <c r="AD2050" t="s">
        <v>129</v>
      </c>
      <c r="AE2050" s="97"/>
    </row>
    <row r="2051" spans="1:31" ht="14.4" customHeight="1" x14ac:dyDescent="0.3">
      <c r="A2051" t="s">
        <v>4594</v>
      </c>
      <c r="B2051"/>
      <c r="C2051" t="s">
        <v>4346</v>
      </c>
      <c r="D2051"/>
      <c r="E2051" t="s">
        <v>4346</v>
      </c>
      <c r="F2051" t="s">
        <v>6769</v>
      </c>
      <c r="G2051" t="s">
        <v>4559</v>
      </c>
      <c r="H2051" t="s">
        <v>132</v>
      </c>
      <c r="I2051" t="s">
        <v>4</v>
      </c>
      <c r="J2051" t="s">
        <v>4276</v>
      </c>
      <c r="K2051" t="s">
        <v>54</v>
      </c>
      <c r="L2051"/>
      <c r="M2051" t="s">
        <v>134</v>
      </c>
      <c r="N2051" t="s">
        <v>135</v>
      </c>
      <c r="O2051"/>
      <c r="P2051"/>
      <c r="Q2051" t="s">
        <v>3731</v>
      </c>
      <c r="R2051"/>
      <c r="S2051"/>
      <c r="T2051"/>
      <c r="U2051" t="s">
        <v>137</v>
      </c>
      <c r="V2051" t="s">
        <v>664</v>
      </c>
      <c r="W2051"/>
      <c r="X2051" t="s">
        <v>103</v>
      </c>
      <c r="Y2051"/>
      <c r="Z2051"/>
      <c r="AA2051" t="s">
        <v>4560</v>
      </c>
      <c r="AB2051"/>
      <c r="AC2051" t="s">
        <v>138</v>
      </c>
      <c r="AD2051" t="s">
        <v>129</v>
      </c>
      <c r="AE2051" s="97"/>
    </row>
    <row r="2052" spans="1:31" ht="14.4" customHeight="1" x14ac:dyDescent="0.3">
      <c r="A2052" t="s">
        <v>4595</v>
      </c>
      <c r="B2052"/>
      <c r="C2052" t="s">
        <v>4348</v>
      </c>
      <c r="D2052"/>
      <c r="E2052" t="s">
        <v>4348</v>
      </c>
      <c r="F2052" t="s">
        <v>6769</v>
      </c>
      <c r="G2052" t="s">
        <v>4559</v>
      </c>
      <c r="H2052" t="s">
        <v>132</v>
      </c>
      <c r="I2052" t="s">
        <v>4</v>
      </c>
      <c r="J2052" t="s">
        <v>4276</v>
      </c>
      <c r="K2052" t="s">
        <v>54</v>
      </c>
      <c r="L2052"/>
      <c r="M2052" t="s">
        <v>134</v>
      </c>
      <c r="N2052" t="s">
        <v>135</v>
      </c>
      <c r="O2052"/>
      <c r="P2052"/>
      <c r="Q2052" t="s">
        <v>3731</v>
      </c>
      <c r="R2052"/>
      <c r="S2052"/>
      <c r="T2052"/>
      <c r="U2052" t="s">
        <v>137</v>
      </c>
      <c r="V2052" t="s">
        <v>664</v>
      </c>
      <c r="W2052" s="9">
        <v>46198.801421064818</v>
      </c>
      <c r="X2052" t="s">
        <v>103</v>
      </c>
      <c r="Y2052"/>
      <c r="Z2052"/>
      <c r="AA2052" t="s">
        <v>4560</v>
      </c>
      <c r="AB2052"/>
      <c r="AC2052" t="s">
        <v>24</v>
      </c>
      <c r="AD2052" t="s">
        <v>129</v>
      </c>
      <c r="AE2052" s="97"/>
    </row>
    <row r="2053" spans="1:31" ht="14.4" customHeight="1" x14ac:dyDescent="0.3">
      <c r="A2053" t="s">
        <v>4596</v>
      </c>
      <c r="B2053"/>
      <c r="C2053" t="s">
        <v>4350</v>
      </c>
      <c r="D2053"/>
      <c r="E2053" t="s">
        <v>4350</v>
      </c>
      <c r="F2053" t="s">
        <v>6769</v>
      </c>
      <c r="G2053" t="s">
        <v>4559</v>
      </c>
      <c r="H2053" t="s">
        <v>132</v>
      </c>
      <c r="I2053" t="s">
        <v>4</v>
      </c>
      <c r="J2053" t="s">
        <v>4276</v>
      </c>
      <c r="K2053" t="s">
        <v>54</v>
      </c>
      <c r="L2053"/>
      <c r="M2053" t="s">
        <v>134</v>
      </c>
      <c r="N2053" t="s">
        <v>135</v>
      </c>
      <c r="O2053"/>
      <c r="P2053"/>
      <c r="Q2053" t="s">
        <v>3731</v>
      </c>
      <c r="R2053"/>
      <c r="S2053"/>
      <c r="T2053"/>
      <c r="U2053" t="s">
        <v>137</v>
      </c>
      <c r="V2053" t="s">
        <v>670</v>
      </c>
      <c r="W2053"/>
      <c r="X2053" t="s">
        <v>110</v>
      </c>
      <c r="Y2053"/>
      <c r="Z2053"/>
      <c r="AA2053" t="s">
        <v>4560</v>
      </c>
      <c r="AB2053"/>
      <c r="AC2053" t="s">
        <v>138</v>
      </c>
      <c r="AD2053" t="s">
        <v>129</v>
      </c>
      <c r="AE2053" s="97"/>
    </row>
    <row r="2054" spans="1:31" ht="14.4" customHeight="1" x14ac:dyDescent="0.3">
      <c r="A2054" t="s">
        <v>4597</v>
      </c>
      <c r="B2054"/>
      <c r="C2054" t="s">
        <v>4352</v>
      </c>
      <c r="D2054"/>
      <c r="E2054" t="s">
        <v>4352</v>
      </c>
      <c r="F2054" t="s">
        <v>6769</v>
      </c>
      <c r="G2054" t="s">
        <v>4559</v>
      </c>
      <c r="H2054" t="s">
        <v>132</v>
      </c>
      <c r="I2054" t="s">
        <v>4</v>
      </c>
      <c r="J2054" t="s">
        <v>4276</v>
      </c>
      <c r="K2054" t="s">
        <v>54</v>
      </c>
      <c r="L2054"/>
      <c r="M2054" t="s">
        <v>134</v>
      </c>
      <c r="N2054" t="s">
        <v>135</v>
      </c>
      <c r="O2054"/>
      <c r="P2054"/>
      <c r="Q2054" t="s">
        <v>3731</v>
      </c>
      <c r="R2054"/>
      <c r="S2054"/>
      <c r="T2054"/>
      <c r="U2054" t="s">
        <v>137</v>
      </c>
      <c r="V2054" t="s">
        <v>670</v>
      </c>
      <c r="W2054" s="9">
        <v>46180.740065590275</v>
      </c>
      <c r="X2054" t="s">
        <v>110</v>
      </c>
      <c r="Y2054"/>
      <c r="Z2054"/>
      <c r="AA2054" t="s">
        <v>4560</v>
      </c>
      <c r="AB2054"/>
      <c r="AC2054" t="s">
        <v>24</v>
      </c>
      <c r="AD2054" t="s">
        <v>129</v>
      </c>
      <c r="AE2054" s="97"/>
    </row>
    <row r="2055" spans="1:31" ht="14.4" customHeight="1" x14ac:dyDescent="0.3">
      <c r="A2055" t="s">
        <v>4598</v>
      </c>
      <c r="B2055"/>
      <c r="C2055" t="s">
        <v>4354</v>
      </c>
      <c r="D2055"/>
      <c r="E2055" t="s">
        <v>4354</v>
      </c>
      <c r="F2055" t="s">
        <v>6769</v>
      </c>
      <c r="G2055" t="s">
        <v>4559</v>
      </c>
      <c r="H2055" t="s">
        <v>132</v>
      </c>
      <c r="I2055" t="s">
        <v>4</v>
      </c>
      <c r="J2055" t="s">
        <v>4276</v>
      </c>
      <c r="K2055" t="s">
        <v>54</v>
      </c>
      <c r="L2055"/>
      <c r="M2055" t="s">
        <v>134</v>
      </c>
      <c r="N2055" t="s">
        <v>135</v>
      </c>
      <c r="O2055"/>
      <c r="P2055"/>
      <c r="Q2055" t="s">
        <v>3731</v>
      </c>
      <c r="R2055"/>
      <c r="S2055"/>
      <c r="T2055"/>
      <c r="U2055" t="s">
        <v>137</v>
      </c>
      <c r="V2055" t="s">
        <v>676</v>
      </c>
      <c r="W2055"/>
      <c r="X2055" t="s">
        <v>119</v>
      </c>
      <c r="Y2055"/>
      <c r="Z2055"/>
      <c r="AA2055" t="s">
        <v>4560</v>
      </c>
      <c r="AB2055"/>
      <c r="AC2055" t="s">
        <v>138</v>
      </c>
      <c r="AD2055" t="s">
        <v>130</v>
      </c>
      <c r="AE2055" s="97"/>
    </row>
    <row r="2056" spans="1:31" ht="14.4" customHeight="1" x14ac:dyDescent="0.3">
      <c r="A2056" t="s">
        <v>4599</v>
      </c>
      <c r="B2056"/>
      <c r="C2056" t="s">
        <v>4356</v>
      </c>
      <c r="D2056"/>
      <c r="E2056" t="s">
        <v>4356</v>
      </c>
      <c r="F2056" t="s">
        <v>6769</v>
      </c>
      <c r="G2056" t="s">
        <v>4559</v>
      </c>
      <c r="H2056" t="s">
        <v>132</v>
      </c>
      <c r="I2056" t="s">
        <v>4</v>
      </c>
      <c r="J2056" t="s">
        <v>4276</v>
      </c>
      <c r="K2056" t="s">
        <v>54</v>
      </c>
      <c r="L2056"/>
      <c r="M2056" t="s">
        <v>134</v>
      </c>
      <c r="N2056" t="s">
        <v>135</v>
      </c>
      <c r="O2056"/>
      <c r="P2056"/>
      <c r="Q2056" t="s">
        <v>3731</v>
      </c>
      <c r="R2056"/>
      <c r="S2056"/>
      <c r="T2056"/>
      <c r="U2056" t="s">
        <v>137</v>
      </c>
      <c r="V2056" t="s">
        <v>676</v>
      </c>
      <c r="W2056" s="9">
        <v>46205.48501207176</v>
      </c>
      <c r="X2056" t="s">
        <v>119</v>
      </c>
      <c r="Y2056"/>
      <c r="Z2056"/>
      <c r="AA2056" t="s">
        <v>4560</v>
      </c>
      <c r="AB2056"/>
      <c r="AC2056" t="s">
        <v>24</v>
      </c>
      <c r="AD2056" t="s">
        <v>130</v>
      </c>
      <c r="AE2056" s="97"/>
    </row>
    <row r="2057" spans="1:31" ht="14.4" customHeight="1" x14ac:dyDescent="0.3">
      <c r="A2057" t="s">
        <v>4600</v>
      </c>
      <c r="B2057"/>
      <c r="C2057" t="s">
        <v>4358</v>
      </c>
      <c r="D2057"/>
      <c r="E2057" t="s">
        <v>4358</v>
      </c>
      <c r="F2057" t="s">
        <v>6769</v>
      </c>
      <c r="G2057" t="s">
        <v>4559</v>
      </c>
      <c r="H2057" t="s">
        <v>132</v>
      </c>
      <c r="I2057" t="s">
        <v>4</v>
      </c>
      <c r="J2057" t="s">
        <v>4276</v>
      </c>
      <c r="K2057" t="s">
        <v>54</v>
      </c>
      <c r="L2057"/>
      <c r="M2057" t="s">
        <v>134</v>
      </c>
      <c r="N2057" t="s">
        <v>135</v>
      </c>
      <c r="O2057"/>
      <c r="P2057"/>
      <c r="Q2057" t="s">
        <v>3731</v>
      </c>
      <c r="R2057"/>
      <c r="S2057"/>
      <c r="T2057"/>
      <c r="U2057" t="s">
        <v>137</v>
      </c>
      <c r="V2057" t="s">
        <v>1190</v>
      </c>
      <c r="W2057"/>
      <c r="X2057" t="s">
        <v>67</v>
      </c>
      <c r="Y2057"/>
      <c r="Z2057"/>
      <c r="AA2057" t="s">
        <v>4560</v>
      </c>
      <c r="AB2057"/>
      <c r="AC2057" t="s">
        <v>138</v>
      </c>
      <c r="AD2057" t="s">
        <v>128</v>
      </c>
      <c r="AE2057" s="97"/>
    </row>
    <row r="2058" spans="1:31" ht="14.4" customHeight="1" x14ac:dyDescent="0.3">
      <c r="A2058" t="s">
        <v>4601</v>
      </c>
      <c r="B2058"/>
      <c r="C2058" t="s">
        <v>4360</v>
      </c>
      <c r="D2058"/>
      <c r="E2058" t="s">
        <v>4360</v>
      </c>
      <c r="F2058" t="s">
        <v>6769</v>
      </c>
      <c r="G2058" t="s">
        <v>4559</v>
      </c>
      <c r="H2058" t="s">
        <v>132</v>
      </c>
      <c r="I2058" t="s">
        <v>4</v>
      </c>
      <c r="J2058" t="s">
        <v>4276</v>
      </c>
      <c r="K2058" t="s">
        <v>54</v>
      </c>
      <c r="L2058"/>
      <c r="M2058" t="s">
        <v>134</v>
      </c>
      <c r="N2058" t="s">
        <v>135</v>
      </c>
      <c r="O2058"/>
      <c r="P2058"/>
      <c r="Q2058" t="s">
        <v>3731</v>
      </c>
      <c r="R2058"/>
      <c r="S2058"/>
      <c r="T2058"/>
      <c r="U2058" t="s">
        <v>137</v>
      </c>
      <c r="V2058" t="s">
        <v>1190</v>
      </c>
      <c r="W2058" s="9">
        <v>46180.752277743057</v>
      </c>
      <c r="X2058" t="s">
        <v>67</v>
      </c>
      <c r="Y2058"/>
      <c r="Z2058"/>
      <c r="AA2058" t="s">
        <v>4560</v>
      </c>
      <c r="AB2058"/>
      <c r="AC2058" t="s">
        <v>24</v>
      </c>
      <c r="AD2058" t="s">
        <v>128</v>
      </c>
      <c r="AE2058" s="97"/>
    </row>
    <row r="2059" spans="1:31" ht="14.4" customHeight="1" x14ac:dyDescent="0.3">
      <c r="A2059" t="s">
        <v>4602</v>
      </c>
      <c r="B2059"/>
      <c r="C2059" t="s">
        <v>4362</v>
      </c>
      <c r="D2059"/>
      <c r="E2059" t="s">
        <v>4362</v>
      </c>
      <c r="F2059" t="s">
        <v>6769</v>
      </c>
      <c r="G2059" t="s">
        <v>4559</v>
      </c>
      <c r="H2059" t="s">
        <v>132</v>
      </c>
      <c r="I2059" t="s">
        <v>4</v>
      </c>
      <c r="J2059" t="s">
        <v>4276</v>
      </c>
      <c r="K2059" t="s">
        <v>54</v>
      </c>
      <c r="L2059"/>
      <c r="M2059" t="s">
        <v>134</v>
      </c>
      <c r="N2059" t="s">
        <v>135</v>
      </c>
      <c r="O2059"/>
      <c r="P2059"/>
      <c r="Q2059" t="s">
        <v>3731</v>
      </c>
      <c r="R2059"/>
      <c r="S2059"/>
      <c r="T2059"/>
      <c r="U2059" t="s">
        <v>137</v>
      </c>
      <c r="V2059" t="s">
        <v>1194</v>
      </c>
      <c r="W2059"/>
      <c r="X2059" t="s">
        <v>75</v>
      </c>
      <c r="Y2059"/>
      <c r="Z2059"/>
      <c r="AA2059" t="s">
        <v>4560</v>
      </c>
      <c r="AB2059"/>
      <c r="AC2059" t="s">
        <v>138</v>
      </c>
      <c r="AD2059" t="s">
        <v>128</v>
      </c>
      <c r="AE2059" s="97"/>
    </row>
    <row r="2060" spans="1:31" ht="14.4" customHeight="1" x14ac:dyDescent="0.3">
      <c r="A2060" t="s">
        <v>4603</v>
      </c>
      <c r="B2060"/>
      <c r="C2060" t="s">
        <v>4364</v>
      </c>
      <c r="D2060"/>
      <c r="E2060" t="s">
        <v>4364</v>
      </c>
      <c r="F2060" t="s">
        <v>6769</v>
      </c>
      <c r="G2060" t="s">
        <v>4559</v>
      </c>
      <c r="H2060" t="s">
        <v>132</v>
      </c>
      <c r="I2060" t="s">
        <v>4</v>
      </c>
      <c r="J2060" t="s">
        <v>4276</v>
      </c>
      <c r="K2060" t="s">
        <v>54</v>
      </c>
      <c r="L2060"/>
      <c r="M2060" t="s">
        <v>134</v>
      </c>
      <c r="N2060" t="s">
        <v>135</v>
      </c>
      <c r="O2060"/>
      <c r="P2060"/>
      <c r="Q2060" t="s">
        <v>3731</v>
      </c>
      <c r="R2060"/>
      <c r="S2060"/>
      <c r="T2060"/>
      <c r="U2060" t="s">
        <v>137</v>
      </c>
      <c r="V2060" t="s">
        <v>1194</v>
      </c>
      <c r="W2060" s="9">
        <v>46166.463462268519</v>
      </c>
      <c r="X2060" t="s">
        <v>75</v>
      </c>
      <c r="Y2060"/>
      <c r="Z2060"/>
      <c r="AA2060" t="s">
        <v>4560</v>
      </c>
      <c r="AB2060"/>
      <c r="AC2060" t="s">
        <v>24</v>
      </c>
      <c r="AD2060" t="s">
        <v>128</v>
      </c>
      <c r="AE2060" s="97"/>
    </row>
    <row r="2061" spans="1:31" ht="14.4" customHeight="1" x14ac:dyDescent="0.3">
      <c r="A2061" t="s">
        <v>4604</v>
      </c>
      <c r="B2061"/>
      <c r="C2061" t="s">
        <v>4366</v>
      </c>
      <c r="D2061"/>
      <c r="E2061" t="s">
        <v>4366</v>
      </c>
      <c r="F2061" t="s">
        <v>6769</v>
      </c>
      <c r="G2061" t="s">
        <v>4559</v>
      </c>
      <c r="H2061" t="s">
        <v>132</v>
      </c>
      <c r="I2061" t="s">
        <v>4</v>
      </c>
      <c r="J2061" t="s">
        <v>4276</v>
      </c>
      <c r="K2061" t="s">
        <v>54</v>
      </c>
      <c r="L2061"/>
      <c r="M2061" t="s">
        <v>134</v>
      </c>
      <c r="N2061" t="s">
        <v>135</v>
      </c>
      <c r="O2061"/>
      <c r="P2061"/>
      <c r="Q2061" t="s">
        <v>3731</v>
      </c>
      <c r="R2061"/>
      <c r="S2061"/>
      <c r="T2061"/>
      <c r="U2061" t="s">
        <v>137</v>
      </c>
      <c r="V2061" t="s">
        <v>1198</v>
      </c>
      <c r="W2061"/>
      <c r="X2061" t="s">
        <v>86</v>
      </c>
      <c r="Y2061"/>
      <c r="Z2061"/>
      <c r="AA2061" t="s">
        <v>4560</v>
      </c>
      <c r="AB2061"/>
      <c r="AC2061" t="s">
        <v>138</v>
      </c>
      <c r="AD2061" t="s">
        <v>129</v>
      </c>
      <c r="AE2061" s="97"/>
    </row>
    <row r="2062" spans="1:31" ht="14.4" customHeight="1" x14ac:dyDescent="0.3">
      <c r="A2062" t="s">
        <v>4605</v>
      </c>
      <c r="B2062"/>
      <c r="C2062" t="s">
        <v>4368</v>
      </c>
      <c r="D2062"/>
      <c r="E2062" t="s">
        <v>4368</v>
      </c>
      <c r="F2062" t="s">
        <v>6769</v>
      </c>
      <c r="G2062" t="s">
        <v>4559</v>
      </c>
      <c r="H2062" t="s">
        <v>132</v>
      </c>
      <c r="I2062" t="s">
        <v>4</v>
      </c>
      <c r="J2062" t="s">
        <v>4276</v>
      </c>
      <c r="K2062" t="s">
        <v>54</v>
      </c>
      <c r="L2062"/>
      <c r="M2062" t="s">
        <v>134</v>
      </c>
      <c r="N2062" t="s">
        <v>135</v>
      </c>
      <c r="O2062"/>
      <c r="P2062"/>
      <c r="Q2062" t="s">
        <v>3731</v>
      </c>
      <c r="R2062"/>
      <c r="S2062"/>
      <c r="T2062"/>
      <c r="U2062" t="s">
        <v>137</v>
      </c>
      <c r="V2062" t="s">
        <v>1198</v>
      </c>
      <c r="W2062" s="9">
        <v>46166.529942627312</v>
      </c>
      <c r="X2062" t="s">
        <v>86</v>
      </c>
      <c r="Y2062"/>
      <c r="Z2062"/>
      <c r="AA2062" t="s">
        <v>4560</v>
      </c>
      <c r="AB2062"/>
      <c r="AC2062" t="s">
        <v>24</v>
      </c>
      <c r="AD2062" t="s">
        <v>129</v>
      </c>
      <c r="AE2062" s="97"/>
    </row>
    <row r="2063" spans="1:31" ht="14.4" customHeight="1" x14ac:dyDescent="0.3">
      <c r="A2063" t="s">
        <v>4606</v>
      </c>
      <c r="B2063"/>
      <c r="C2063" t="s">
        <v>4370</v>
      </c>
      <c r="D2063"/>
      <c r="E2063" t="s">
        <v>4370</v>
      </c>
      <c r="F2063" t="s">
        <v>6769</v>
      </c>
      <c r="G2063" t="s">
        <v>4559</v>
      </c>
      <c r="H2063" t="s">
        <v>132</v>
      </c>
      <c r="I2063" t="s">
        <v>4</v>
      </c>
      <c r="J2063" t="s">
        <v>4276</v>
      </c>
      <c r="K2063" t="s">
        <v>54</v>
      </c>
      <c r="L2063"/>
      <c r="M2063" t="s">
        <v>134</v>
      </c>
      <c r="N2063" t="s">
        <v>135</v>
      </c>
      <c r="O2063"/>
      <c r="P2063"/>
      <c r="Q2063" t="s">
        <v>3731</v>
      </c>
      <c r="R2063"/>
      <c r="S2063"/>
      <c r="T2063"/>
      <c r="U2063" t="s">
        <v>137</v>
      </c>
      <c r="V2063" t="s">
        <v>1202</v>
      </c>
      <c r="W2063"/>
      <c r="X2063" t="s">
        <v>95</v>
      </c>
      <c r="Y2063"/>
      <c r="Z2063"/>
      <c r="AA2063" t="s">
        <v>4560</v>
      </c>
      <c r="AB2063"/>
      <c r="AC2063" t="s">
        <v>138</v>
      </c>
      <c r="AD2063" t="s">
        <v>129</v>
      </c>
      <c r="AE2063" s="97"/>
    </row>
    <row r="2064" spans="1:31" ht="14.4" customHeight="1" x14ac:dyDescent="0.3">
      <c r="A2064" t="s">
        <v>4607</v>
      </c>
      <c r="B2064"/>
      <c r="C2064" t="s">
        <v>4372</v>
      </c>
      <c r="D2064"/>
      <c r="E2064" t="s">
        <v>4372</v>
      </c>
      <c r="F2064" t="s">
        <v>6769</v>
      </c>
      <c r="G2064" t="s">
        <v>4559</v>
      </c>
      <c r="H2064" t="s">
        <v>132</v>
      </c>
      <c r="I2064" t="s">
        <v>4</v>
      </c>
      <c r="J2064" t="s">
        <v>4276</v>
      </c>
      <c r="K2064" t="s">
        <v>54</v>
      </c>
      <c r="L2064"/>
      <c r="M2064" t="s">
        <v>134</v>
      </c>
      <c r="N2064" t="s">
        <v>135</v>
      </c>
      <c r="O2064"/>
      <c r="P2064"/>
      <c r="Q2064" t="s">
        <v>3731</v>
      </c>
      <c r="R2064"/>
      <c r="S2064"/>
      <c r="T2064"/>
      <c r="U2064" t="s">
        <v>137</v>
      </c>
      <c r="V2064" t="s">
        <v>1202</v>
      </c>
      <c r="W2064" s="9">
        <v>46166.541019872682</v>
      </c>
      <c r="X2064" t="s">
        <v>95</v>
      </c>
      <c r="Y2064"/>
      <c r="Z2064"/>
      <c r="AA2064" t="s">
        <v>4560</v>
      </c>
      <c r="AB2064"/>
      <c r="AC2064" t="s">
        <v>24</v>
      </c>
      <c r="AD2064" t="s">
        <v>129</v>
      </c>
      <c r="AE2064" s="97"/>
    </row>
    <row r="2065" spans="1:31" ht="14.4" customHeight="1" x14ac:dyDescent="0.3">
      <c r="A2065" t="s">
        <v>4608</v>
      </c>
      <c r="B2065"/>
      <c r="C2065" t="s">
        <v>4374</v>
      </c>
      <c r="D2065"/>
      <c r="E2065" t="s">
        <v>4374</v>
      </c>
      <c r="F2065" t="s">
        <v>6769</v>
      </c>
      <c r="G2065" t="s">
        <v>4559</v>
      </c>
      <c r="H2065" t="s">
        <v>132</v>
      </c>
      <c r="I2065" t="s">
        <v>4</v>
      </c>
      <c r="J2065" t="s">
        <v>4276</v>
      </c>
      <c r="K2065" t="s">
        <v>54</v>
      </c>
      <c r="L2065"/>
      <c r="M2065" t="s">
        <v>134</v>
      </c>
      <c r="N2065" t="s">
        <v>135</v>
      </c>
      <c r="O2065"/>
      <c r="P2065"/>
      <c r="Q2065" t="s">
        <v>3731</v>
      </c>
      <c r="R2065"/>
      <c r="S2065" t="s">
        <v>3731</v>
      </c>
      <c r="T2065"/>
      <c r="U2065" t="s">
        <v>137</v>
      </c>
      <c r="V2065" t="s">
        <v>1206</v>
      </c>
      <c r="W2065"/>
      <c r="X2065" t="s">
        <v>104</v>
      </c>
      <c r="Y2065"/>
      <c r="Z2065"/>
      <c r="AA2065" t="s">
        <v>4560</v>
      </c>
      <c r="AB2065"/>
      <c r="AC2065" t="s">
        <v>138</v>
      </c>
      <c r="AD2065" t="s">
        <v>129</v>
      </c>
      <c r="AE2065" s="97"/>
    </row>
    <row r="2066" spans="1:31" ht="14.4" customHeight="1" x14ac:dyDescent="0.3">
      <c r="A2066" t="s">
        <v>4609</v>
      </c>
      <c r="B2066"/>
      <c r="C2066" t="s">
        <v>4376</v>
      </c>
      <c r="D2066"/>
      <c r="E2066" t="s">
        <v>4376</v>
      </c>
      <c r="F2066" t="s">
        <v>6769</v>
      </c>
      <c r="G2066" t="s">
        <v>4559</v>
      </c>
      <c r="H2066" t="s">
        <v>132</v>
      </c>
      <c r="I2066" t="s">
        <v>4</v>
      </c>
      <c r="J2066" t="s">
        <v>4276</v>
      </c>
      <c r="K2066" t="s">
        <v>54</v>
      </c>
      <c r="L2066"/>
      <c r="M2066" t="s">
        <v>134</v>
      </c>
      <c r="N2066" t="s">
        <v>135</v>
      </c>
      <c r="O2066"/>
      <c r="P2066"/>
      <c r="Q2066" t="s">
        <v>3731</v>
      </c>
      <c r="R2066"/>
      <c r="S2066"/>
      <c r="T2066"/>
      <c r="U2066" t="s">
        <v>137</v>
      </c>
      <c r="V2066" t="s">
        <v>1206</v>
      </c>
      <c r="W2066" s="9">
        <v>46166.582235960646</v>
      </c>
      <c r="X2066" t="s">
        <v>104</v>
      </c>
      <c r="Y2066"/>
      <c r="Z2066"/>
      <c r="AA2066" t="s">
        <v>4560</v>
      </c>
      <c r="AB2066"/>
      <c r="AC2066" t="s">
        <v>24</v>
      </c>
      <c r="AD2066" t="s">
        <v>129</v>
      </c>
      <c r="AE2066" s="97"/>
    </row>
    <row r="2067" spans="1:31" ht="14.4" customHeight="1" x14ac:dyDescent="0.3">
      <c r="A2067" t="s">
        <v>4610</v>
      </c>
      <c r="B2067"/>
      <c r="C2067" t="s">
        <v>4378</v>
      </c>
      <c r="D2067"/>
      <c r="E2067" t="s">
        <v>4378</v>
      </c>
      <c r="F2067" t="s">
        <v>6769</v>
      </c>
      <c r="G2067" t="s">
        <v>4559</v>
      </c>
      <c r="H2067" t="s">
        <v>132</v>
      </c>
      <c r="I2067" t="s">
        <v>4</v>
      </c>
      <c r="J2067" t="s">
        <v>4276</v>
      </c>
      <c r="K2067" t="s">
        <v>54</v>
      </c>
      <c r="L2067"/>
      <c r="M2067" t="s">
        <v>134</v>
      </c>
      <c r="N2067" t="s">
        <v>135</v>
      </c>
      <c r="O2067"/>
      <c r="P2067"/>
      <c r="Q2067" t="s">
        <v>3731</v>
      </c>
      <c r="R2067"/>
      <c r="S2067"/>
      <c r="T2067"/>
      <c r="U2067" t="s">
        <v>137</v>
      </c>
      <c r="V2067" t="s">
        <v>1210</v>
      </c>
      <c r="W2067"/>
      <c r="X2067" t="s">
        <v>111</v>
      </c>
      <c r="Y2067"/>
      <c r="Z2067"/>
      <c r="AA2067" t="s">
        <v>4560</v>
      </c>
      <c r="AB2067"/>
      <c r="AC2067" t="s">
        <v>138</v>
      </c>
      <c r="AD2067" t="s">
        <v>129</v>
      </c>
      <c r="AE2067" s="97"/>
    </row>
    <row r="2068" spans="1:31" ht="14.4" customHeight="1" x14ac:dyDescent="0.3">
      <c r="A2068" t="s">
        <v>4611</v>
      </c>
      <c r="B2068"/>
      <c r="C2068" t="s">
        <v>4380</v>
      </c>
      <c r="D2068"/>
      <c r="E2068" t="s">
        <v>4380</v>
      </c>
      <c r="F2068" t="s">
        <v>6769</v>
      </c>
      <c r="G2068" t="s">
        <v>4559</v>
      </c>
      <c r="H2068" t="s">
        <v>132</v>
      </c>
      <c r="I2068" t="s">
        <v>4</v>
      </c>
      <c r="J2068" t="s">
        <v>4276</v>
      </c>
      <c r="K2068" t="s">
        <v>54</v>
      </c>
      <c r="L2068"/>
      <c r="M2068" t="s">
        <v>134</v>
      </c>
      <c r="N2068" t="s">
        <v>135</v>
      </c>
      <c r="O2068"/>
      <c r="P2068"/>
      <c r="Q2068" t="s">
        <v>3731</v>
      </c>
      <c r="R2068"/>
      <c r="S2068"/>
      <c r="T2068"/>
      <c r="U2068" t="s">
        <v>137</v>
      </c>
      <c r="V2068" t="s">
        <v>1210</v>
      </c>
      <c r="W2068" s="9">
        <v>46166.587259918982</v>
      </c>
      <c r="X2068" t="s">
        <v>111</v>
      </c>
      <c r="Y2068"/>
      <c r="Z2068"/>
      <c r="AA2068" t="s">
        <v>4560</v>
      </c>
      <c r="AB2068"/>
      <c r="AC2068" t="s">
        <v>24</v>
      </c>
      <c r="AD2068" t="s">
        <v>129</v>
      </c>
      <c r="AE2068" s="97"/>
    </row>
    <row r="2069" spans="1:31" ht="14.4" customHeight="1" x14ac:dyDescent="0.3">
      <c r="A2069" t="s">
        <v>4612</v>
      </c>
      <c r="B2069"/>
      <c r="C2069" t="s">
        <v>4382</v>
      </c>
      <c r="D2069"/>
      <c r="E2069" t="s">
        <v>4382</v>
      </c>
      <c r="F2069" t="s">
        <v>6769</v>
      </c>
      <c r="G2069" t="s">
        <v>4559</v>
      </c>
      <c r="H2069" t="s">
        <v>132</v>
      </c>
      <c r="I2069" t="s">
        <v>4</v>
      </c>
      <c r="J2069" t="s">
        <v>4276</v>
      </c>
      <c r="K2069" t="s">
        <v>54</v>
      </c>
      <c r="L2069"/>
      <c r="M2069" t="s">
        <v>134</v>
      </c>
      <c r="N2069" t="s">
        <v>135</v>
      </c>
      <c r="O2069"/>
      <c r="P2069"/>
      <c r="Q2069" t="s">
        <v>3731</v>
      </c>
      <c r="R2069"/>
      <c r="S2069"/>
      <c r="T2069"/>
      <c r="U2069" t="s">
        <v>137</v>
      </c>
      <c r="V2069" t="s">
        <v>1214</v>
      </c>
      <c r="W2069"/>
      <c r="X2069" t="s">
        <v>120</v>
      </c>
      <c r="Y2069"/>
      <c r="Z2069"/>
      <c r="AA2069" t="s">
        <v>4560</v>
      </c>
      <c r="AB2069"/>
      <c r="AC2069" t="s">
        <v>138</v>
      </c>
      <c r="AD2069" t="s">
        <v>130</v>
      </c>
      <c r="AE2069" s="97"/>
    </row>
    <row r="2070" spans="1:31" ht="14.4" customHeight="1" x14ac:dyDescent="0.3">
      <c r="A2070" t="s">
        <v>4613</v>
      </c>
      <c r="B2070"/>
      <c r="C2070" t="s">
        <v>4384</v>
      </c>
      <c r="D2070"/>
      <c r="E2070" t="s">
        <v>4384</v>
      </c>
      <c r="F2070" t="s">
        <v>6769</v>
      </c>
      <c r="G2070" t="s">
        <v>4559</v>
      </c>
      <c r="H2070" t="s">
        <v>132</v>
      </c>
      <c r="I2070" t="s">
        <v>4</v>
      </c>
      <c r="J2070" t="s">
        <v>4276</v>
      </c>
      <c r="K2070" t="s">
        <v>54</v>
      </c>
      <c r="L2070"/>
      <c r="M2070" t="s">
        <v>134</v>
      </c>
      <c r="N2070" t="s">
        <v>135</v>
      </c>
      <c r="O2070"/>
      <c r="P2070"/>
      <c r="Q2070" t="s">
        <v>3731</v>
      </c>
      <c r="R2070"/>
      <c r="S2070"/>
      <c r="T2070"/>
      <c r="U2070" t="s">
        <v>137</v>
      </c>
      <c r="V2070" t="s">
        <v>1214</v>
      </c>
      <c r="W2070" s="9">
        <v>46166.589360069447</v>
      </c>
      <c r="X2070" t="s">
        <v>120</v>
      </c>
      <c r="Y2070"/>
      <c r="Z2070"/>
      <c r="AA2070" t="s">
        <v>4560</v>
      </c>
      <c r="AB2070"/>
      <c r="AC2070" t="s">
        <v>24</v>
      </c>
      <c r="AD2070" t="s">
        <v>130</v>
      </c>
      <c r="AE2070" s="97"/>
    </row>
    <row r="2071" spans="1:31" ht="14.4" customHeight="1" x14ac:dyDescent="0.3">
      <c r="A2071" t="s">
        <v>4614</v>
      </c>
      <c r="B2071"/>
      <c r="C2071" t="s">
        <v>4386</v>
      </c>
      <c r="D2071"/>
      <c r="E2071" t="s">
        <v>4386</v>
      </c>
      <c r="F2071" t="s">
        <v>6769</v>
      </c>
      <c r="G2071" t="s">
        <v>4559</v>
      </c>
      <c r="H2071" t="s">
        <v>132</v>
      </c>
      <c r="I2071" t="s">
        <v>4</v>
      </c>
      <c r="J2071" t="s">
        <v>4276</v>
      </c>
      <c r="K2071" t="s">
        <v>54</v>
      </c>
      <c r="L2071"/>
      <c r="M2071" t="s">
        <v>134</v>
      </c>
      <c r="N2071" t="s">
        <v>135</v>
      </c>
      <c r="O2071"/>
      <c r="P2071"/>
      <c r="Q2071" t="s">
        <v>3731</v>
      </c>
      <c r="R2071"/>
      <c r="S2071"/>
      <c r="T2071"/>
      <c r="U2071" t="s">
        <v>137</v>
      </c>
      <c r="V2071" t="s">
        <v>403</v>
      </c>
      <c r="W2071"/>
      <c r="X2071" t="s">
        <v>68</v>
      </c>
      <c r="Y2071"/>
      <c r="Z2071"/>
      <c r="AA2071" t="s">
        <v>4560</v>
      </c>
      <c r="AB2071"/>
      <c r="AC2071" t="s">
        <v>138</v>
      </c>
      <c r="AD2071" t="s">
        <v>128</v>
      </c>
      <c r="AE2071" s="97"/>
    </row>
    <row r="2072" spans="1:31" ht="14.4" customHeight="1" x14ac:dyDescent="0.3">
      <c r="A2072" t="s">
        <v>4615</v>
      </c>
      <c r="B2072"/>
      <c r="C2072" t="s">
        <v>4388</v>
      </c>
      <c r="D2072"/>
      <c r="E2072" t="s">
        <v>4388</v>
      </c>
      <c r="F2072" t="s">
        <v>6769</v>
      </c>
      <c r="G2072" t="s">
        <v>4559</v>
      </c>
      <c r="H2072" t="s">
        <v>132</v>
      </c>
      <c r="I2072" t="s">
        <v>4</v>
      </c>
      <c r="J2072" t="s">
        <v>4276</v>
      </c>
      <c r="K2072" t="s">
        <v>54</v>
      </c>
      <c r="L2072"/>
      <c r="M2072" t="s">
        <v>134</v>
      </c>
      <c r="N2072" t="s">
        <v>135</v>
      </c>
      <c r="O2072"/>
      <c r="P2072"/>
      <c r="Q2072" t="s">
        <v>3731</v>
      </c>
      <c r="R2072"/>
      <c r="S2072"/>
      <c r="T2072"/>
      <c r="U2072" t="s">
        <v>137</v>
      </c>
      <c r="V2072" t="s">
        <v>403</v>
      </c>
      <c r="W2072" s="9">
        <v>46180.754473877314</v>
      </c>
      <c r="X2072" t="s">
        <v>68</v>
      </c>
      <c r="Y2072"/>
      <c r="Z2072"/>
      <c r="AA2072" t="s">
        <v>4560</v>
      </c>
      <c r="AB2072"/>
      <c r="AC2072" t="s">
        <v>24</v>
      </c>
      <c r="AD2072" t="s">
        <v>128</v>
      </c>
      <c r="AE2072" s="97"/>
    </row>
    <row r="2073" spans="1:31" ht="14.4" customHeight="1" x14ac:dyDescent="0.3">
      <c r="A2073" t="s">
        <v>4616</v>
      </c>
      <c r="B2073"/>
      <c r="C2073" t="s">
        <v>4390</v>
      </c>
      <c r="D2073"/>
      <c r="E2073" t="s">
        <v>4390</v>
      </c>
      <c r="F2073" t="s">
        <v>6769</v>
      </c>
      <c r="G2073" t="s">
        <v>4559</v>
      </c>
      <c r="H2073" t="s">
        <v>132</v>
      </c>
      <c r="I2073" t="s">
        <v>4</v>
      </c>
      <c r="J2073" t="s">
        <v>4276</v>
      </c>
      <c r="K2073" t="s">
        <v>54</v>
      </c>
      <c r="L2073"/>
      <c r="M2073" t="s">
        <v>134</v>
      </c>
      <c r="N2073" t="s">
        <v>135</v>
      </c>
      <c r="O2073"/>
      <c r="P2073"/>
      <c r="Q2073" t="s">
        <v>3731</v>
      </c>
      <c r="R2073"/>
      <c r="S2073"/>
      <c r="T2073"/>
      <c r="U2073" t="s">
        <v>137</v>
      </c>
      <c r="V2073" t="s">
        <v>407</v>
      </c>
      <c r="W2073"/>
      <c r="X2073" t="s">
        <v>77</v>
      </c>
      <c r="Y2073"/>
      <c r="Z2073"/>
      <c r="AA2073" t="s">
        <v>4560</v>
      </c>
      <c r="AB2073"/>
      <c r="AC2073" t="s">
        <v>138</v>
      </c>
      <c r="AD2073" t="s">
        <v>128</v>
      </c>
      <c r="AE2073" s="97"/>
    </row>
    <row r="2074" spans="1:31" ht="14.4" customHeight="1" x14ac:dyDescent="0.3">
      <c r="A2074" t="s">
        <v>4617</v>
      </c>
      <c r="B2074"/>
      <c r="C2074" t="s">
        <v>4392</v>
      </c>
      <c r="D2074"/>
      <c r="E2074" t="s">
        <v>4392</v>
      </c>
      <c r="F2074" t="s">
        <v>6769</v>
      </c>
      <c r="G2074" t="s">
        <v>4559</v>
      </c>
      <c r="H2074" t="s">
        <v>132</v>
      </c>
      <c r="I2074" t="s">
        <v>4</v>
      </c>
      <c r="J2074" t="s">
        <v>4276</v>
      </c>
      <c r="K2074" t="s">
        <v>54</v>
      </c>
      <c r="L2074"/>
      <c r="M2074" t="s">
        <v>134</v>
      </c>
      <c r="N2074" t="s">
        <v>135</v>
      </c>
      <c r="O2074"/>
      <c r="P2074"/>
      <c r="Q2074" t="s">
        <v>3731</v>
      </c>
      <c r="R2074"/>
      <c r="S2074"/>
      <c r="T2074"/>
      <c r="U2074" t="s">
        <v>137</v>
      </c>
      <c r="V2074" t="s">
        <v>407</v>
      </c>
      <c r="W2074" s="9">
        <v>46176.618119363426</v>
      </c>
      <c r="X2074" t="s">
        <v>77</v>
      </c>
      <c r="Y2074"/>
      <c r="Z2074"/>
      <c r="AA2074" t="s">
        <v>4560</v>
      </c>
      <c r="AB2074"/>
      <c r="AC2074" t="s">
        <v>24</v>
      </c>
      <c r="AD2074" t="s">
        <v>128</v>
      </c>
      <c r="AE2074" s="97"/>
    </row>
    <row r="2075" spans="1:31" ht="14.4" customHeight="1" x14ac:dyDescent="0.3">
      <c r="A2075" t="s">
        <v>4618</v>
      </c>
      <c r="B2075"/>
      <c r="C2075" t="s">
        <v>4394</v>
      </c>
      <c r="D2075"/>
      <c r="E2075" t="s">
        <v>4394</v>
      </c>
      <c r="F2075" t="s">
        <v>6769</v>
      </c>
      <c r="G2075" t="s">
        <v>4559</v>
      </c>
      <c r="H2075" t="s">
        <v>132</v>
      </c>
      <c r="I2075" t="s">
        <v>4</v>
      </c>
      <c r="J2075" t="s">
        <v>4276</v>
      </c>
      <c r="K2075" t="s">
        <v>54</v>
      </c>
      <c r="L2075"/>
      <c r="M2075" t="s">
        <v>134</v>
      </c>
      <c r="N2075" t="s">
        <v>135</v>
      </c>
      <c r="O2075"/>
      <c r="P2075"/>
      <c r="Q2075" t="s">
        <v>3731</v>
      </c>
      <c r="R2075"/>
      <c r="S2075"/>
      <c r="T2075"/>
      <c r="U2075" t="s">
        <v>137</v>
      </c>
      <c r="V2075" t="s">
        <v>411</v>
      </c>
      <c r="W2075"/>
      <c r="X2075" t="s">
        <v>87</v>
      </c>
      <c r="Y2075"/>
      <c r="Z2075"/>
      <c r="AA2075" t="s">
        <v>4560</v>
      </c>
      <c r="AB2075"/>
      <c r="AC2075" t="s">
        <v>138</v>
      </c>
      <c r="AD2075" t="s">
        <v>129</v>
      </c>
      <c r="AE2075" s="97"/>
    </row>
    <row r="2076" spans="1:31" ht="14.4" customHeight="1" x14ac:dyDescent="0.3">
      <c r="A2076" t="s">
        <v>4619</v>
      </c>
      <c r="B2076"/>
      <c r="C2076" t="s">
        <v>4396</v>
      </c>
      <c r="D2076"/>
      <c r="E2076" t="s">
        <v>4396</v>
      </c>
      <c r="F2076" t="s">
        <v>6769</v>
      </c>
      <c r="G2076" t="s">
        <v>4559</v>
      </c>
      <c r="H2076" t="s">
        <v>132</v>
      </c>
      <c r="I2076" t="s">
        <v>4</v>
      </c>
      <c r="J2076" t="s">
        <v>4276</v>
      </c>
      <c r="K2076" t="s">
        <v>54</v>
      </c>
      <c r="L2076"/>
      <c r="M2076" t="s">
        <v>134</v>
      </c>
      <c r="N2076" t="s">
        <v>135</v>
      </c>
      <c r="O2076"/>
      <c r="P2076"/>
      <c r="Q2076" t="s">
        <v>3731</v>
      </c>
      <c r="R2076"/>
      <c r="S2076"/>
      <c r="T2076"/>
      <c r="U2076" t="s">
        <v>137</v>
      </c>
      <c r="V2076" t="s">
        <v>411</v>
      </c>
      <c r="W2076" s="9">
        <v>46190.242700659721</v>
      </c>
      <c r="X2076" t="s">
        <v>87</v>
      </c>
      <c r="Y2076"/>
      <c r="Z2076"/>
      <c r="AA2076" t="s">
        <v>4560</v>
      </c>
      <c r="AB2076"/>
      <c r="AC2076" t="s">
        <v>24</v>
      </c>
      <c r="AD2076" t="s">
        <v>129</v>
      </c>
      <c r="AE2076" s="97"/>
    </row>
    <row r="2077" spans="1:31" ht="14.4" customHeight="1" x14ac:dyDescent="0.3">
      <c r="A2077" t="s">
        <v>4620</v>
      </c>
      <c r="B2077"/>
      <c r="C2077" t="s">
        <v>4398</v>
      </c>
      <c r="D2077"/>
      <c r="E2077" t="s">
        <v>4398</v>
      </c>
      <c r="F2077" t="s">
        <v>6769</v>
      </c>
      <c r="G2077" t="s">
        <v>4559</v>
      </c>
      <c r="H2077" t="s">
        <v>132</v>
      </c>
      <c r="I2077" t="s">
        <v>4</v>
      </c>
      <c r="J2077" t="s">
        <v>4276</v>
      </c>
      <c r="K2077" t="s">
        <v>54</v>
      </c>
      <c r="L2077"/>
      <c r="M2077" t="s">
        <v>134</v>
      </c>
      <c r="N2077" t="s">
        <v>135</v>
      </c>
      <c r="O2077"/>
      <c r="P2077"/>
      <c r="Q2077" t="s">
        <v>3731</v>
      </c>
      <c r="R2077"/>
      <c r="S2077"/>
      <c r="T2077"/>
      <c r="U2077" t="s">
        <v>137</v>
      </c>
      <c r="V2077" t="s">
        <v>415</v>
      </c>
      <c r="W2077"/>
      <c r="X2077" t="s">
        <v>96</v>
      </c>
      <c r="Y2077"/>
      <c r="Z2077"/>
      <c r="AA2077" t="s">
        <v>4560</v>
      </c>
      <c r="AB2077"/>
      <c r="AC2077" t="s">
        <v>138</v>
      </c>
      <c r="AD2077" t="s">
        <v>129</v>
      </c>
      <c r="AE2077" s="97"/>
    </row>
    <row r="2078" spans="1:31" ht="14.4" customHeight="1" x14ac:dyDescent="0.3">
      <c r="A2078" t="s">
        <v>4621</v>
      </c>
      <c r="B2078"/>
      <c r="C2078" t="s">
        <v>4400</v>
      </c>
      <c r="D2078"/>
      <c r="E2078" t="s">
        <v>4400</v>
      </c>
      <c r="F2078" t="s">
        <v>6769</v>
      </c>
      <c r="G2078" t="s">
        <v>4559</v>
      </c>
      <c r="H2078" t="s">
        <v>132</v>
      </c>
      <c r="I2078" t="s">
        <v>4</v>
      </c>
      <c r="J2078" t="s">
        <v>4276</v>
      </c>
      <c r="K2078" t="s">
        <v>54</v>
      </c>
      <c r="L2078"/>
      <c r="M2078" t="s">
        <v>134</v>
      </c>
      <c r="N2078" t="s">
        <v>135</v>
      </c>
      <c r="O2078"/>
      <c r="P2078"/>
      <c r="Q2078" t="s">
        <v>3731</v>
      </c>
      <c r="R2078"/>
      <c r="S2078"/>
      <c r="T2078"/>
      <c r="U2078" t="s">
        <v>137</v>
      </c>
      <c r="V2078" t="s">
        <v>415</v>
      </c>
      <c r="W2078" s="9">
        <v>46196.23701744213</v>
      </c>
      <c r="X2078" t="s">
        <v>96</v>
      </c>
      <c r="Y2078"/>
      <c r="Z2078"/>
      <c r="AA2078" t="s">
        <v>4560</v>
      </c>
      <c r="AB2078"/>
      <c r="AC2078" t="s">
        <v>24</v>
      </c>
      <c r="AD2078" t="s">
        <v>129</v>
      </c>
      <c r="AE2078" s="97"/>
    </row>
    <row r="2079" spans="1:31" ht="14.4" customHeight="1" x14ac:dyDescent="0.3">
      <c r="A2079" t="s">
        <v>4622</v>
      </c>
      <c r="B2079"/>
      <c r="C2079" t="s">
        <v>4402</v>
      </c>
      <c r="D2079"/>
      <c r="E2079" t="s">
        <v>4402</v>
      </c>
      <c r="F2079" t="s">
        <v>6769</v>
      </c>
      <c r="G2079" t="s">
        <v>4559</v>
      </c>
      <c r="H2079" t="s">
        <v>132</v>
      </c>
      <c r="I2079" t="s">
        <v>4</v>
      </c>
      <c r="J2079" t="s">
        <v>4276</v>
      </c>
      <c r="K2079" t="s">
        <v>54</v>
      </c>
      <c r="L2079"/>
      <c r="M2079" t="s">
        <v>134</v>
      </c>
      <c r="N2079" t="s">
        <v>135</v>
      </c>
      <c r="O2079"/>
      <c r="P2079"/>
      <c r="Q2079" t="s">
        <v>3731</v>
      </c>
      <c r="R2079"/>
      <c r="S2079"/>
      <c r="T2079"/>
      <c r="U2079" t="s">
        <v>137</v>
      </c>
      <c r="V2079" t="s">
        <v>419</v>
      </c>
      <c r="W2079"/>
      <c r="X2079" t="s">
        <v>105</v>
      </c>
      <c r="Y2079"/>
      <c r="Z2079"/>
      <c r="AA2079" t="s">
        <v>4560</v>
      </c>
      <c r="AB2079"/>
      <c r="AC2079" t="s">
        <v>138</v>
      </c>
      <c r="AD2079" t="s">
        <v>129</v>
      </c>
      <c r="AE2079" s="97"/>
    </row>
    <row r="2080" spans="1:31" ht="14.4" customHeight="1" x14ac:dyDescent="0.3">
      <c r="A2080" t="s">
        <v>4623</v>
      </c>
      <c r="B2080"/>
      <c r="C2080" t="s">
        <v>4404</v>
      </c>
      <c r="D2080"/>
      <c r="E2080" t="s">
        <v>4404</v>
      </c>
      <c r="F2080" t="s">
        <v>6769</v>
      </c>
      <c r="G2080" t="s">
        <v>4559</v>
      </c>
      <c r="H2080" t="s">
        <v>132</v>
      </c>
      <c r="I2080" t="s">
        <v>4</v>
      </c>
      <c r="J2080" t="s">
        <v>4276</v>
      </c>
      <c r="K2080" t="s">
        <v>54</v>
      </c>
      <c r="L2080"/>
      <c r="M2080" t="s">
        <v>134</v>
      </c>
      <c r="N2080" t="s">
        <v>135</v>
      </c>
      <c r="O2080"/>
      <c r="P2080"/>
      <c r="Q2080" t="s">
        <v>3731</v>
      </c>
      <c r="R2080"/>
      <c r="S2080"/>
      <c r="T2080"/>
      <c r="U2080" t="s">
        <v>137</v>
      </c>
      <c r="V2080" t="s">
        <v>419</v>
      </c>
      <c r="W2080" s="9">
        <v>46196.238599652781</v>
      </c>
      <c r="X2080" t="s">
        <v>105</v>
      </c>
      <c r="Y2080"/>
      <c r="Z2080"/>
      <c r="AA2080" t="s">
        <v>4560</v>
      </c>
      <c r="AB2080"/>
      <c r="AC2080" t="s">
        <v>24</v>
      </c>
      <c r="AD2080" t="s">
        <v>129</v>
      </c>
      <c r="AE2080" s="97"/>
    </row>
    <row r="2081" spans="1:31" ht="14.4" customHeight="1" x14ac:dyDescent="0.3">
      <c r="A2081" t="s">
        <v>4624</v>
      </c>
      <c r="B2081"/>
      <c r="C2081" t="s">
        <v>4406</v>
      </c>
      <c r="D2081"/>
      <c r="E2081" t="s">
        <v>4406</v>
      </c>
      <c r="F2081" t="s">
        <v>6769</v>
      </c>
      <c r="G2081" t="s">
        <v>4559</v>
      </c>
      <c r="H2081" t="s">
        <v>132</v>
      </c>
      <c r="I2081" t="s">
        <v>4</v>
      </c>
      <c r="J2081" t="s">
        <v>4276</v>
      </c>
      <c r="K2081" t="s">
        <v>54</v>
      </c>
      <c r="L2081"/>
      <c r="M2081" t="s">
        <v>134</v>
      </c>
      <c r="N2081" t="s">
        <v>135</v>
      </c>
      <c r="O2081"/>
      <c r="P2081"/>
      <c r="Q2081" t="s">
        <v>3731</v>
      </c>
      <c r="R2081"/>
      <c r="S2081"/>
      <c r="T2081"/>
      <c r="U2081" t="s">
        <v>137</v>
      </c>
      <c r="V2081" t="s">
        <v>423</v>
      </c>
      <c r="W2081"/>
      <c r="X2081" t="s">
        <v>112</v>
      </c>
      <c r="Y2081"/>
      <c r="Z2081"/>
      <c r="AA2081" t="s">
        <v>4560</v>
      </c>
      <c r="AB2081"/>
      <c r="AC2081" t="s">
        <v>138</v>
      </c>
      <c r="AD2081" t="s">
        <v>129</v>
      </c>
      <c r="AE2081" s="97"/>
    </row>
    <row r="2082" spans="1:31" ht="14.4" customHeight="1" x14ac:dyDescent="0.3">
      <c r="A2082" t="s">
        <v>4625</v>
      </c>
      <c r="B2082"/>
      <c r="C2082" t="s">
        <v>4408</v>
      </c>
      <c r="D2082"/>
      <c r="E2082" t="s">
        <v>4408</v>
      </c>
      <c r="F2082" t="s">
        <v>6769</v>
      </c>
      <c r="G2082" t="s">
        <v>4559</v>
      </c>
      <c r="H2082" t="s">
        <v>132</v>
      </c>
      <c r="I2082" t="s">
        <v>4</v>
      </c>
      <c r="J2082" t="s">
        <v>4276</v>
      </c>
      <c r="K2082" t="s">
        <v>54</v>
      </c>
      <c r="L2082"/>
      <c r="M2082" t="s">
        <v>134</v>
      </c>
      <c r="N2082" t="s">
        <v>135</v>
      </c>
      <c r="O2082"/>
      <c r="P2082"/>
      <c r="Q2082" t="s">
        <v>3731</v>
      </c>
      <c r="R2082"/>
      <c r="S2082"/>
      <c r="T2082"/>
      <c r="U2082" t="s">
        <v>137</v>
      </c>
      <c r="V2082" t="s">
        <v>423</v>
      </c>
      <c r="W2082" s="9">
        <v>46198.803217939814</v>
      </c>
      <c r="X2082" t="s">
        <v>112</v>
      </c>
      <c r="Y2082"/>
      <c r="Z2082"/>
      <c r="AA2082" t="s">
        <v>4560</v>
      </c>
      <c r="AB2082"/>
      <c r="AC2082" t="s">
        <v>24</v>
      </c>
      <c r="AD2082" t="s">
        <v>129</v>
      </c>
      <c r="AE2082" s="97"/>
    </row>
    <row r="2083" spans="1:31" ht="14.4" customHeight="1" x14ac:dyDescent="0.3">
      <c r="A2083" t="s">
        <v>4626</v>
      </c>
      <c r="B2083"/>
      <c r="C2083" t="s">
        <v>4410</v>
      </c>
      <c r="D2083"/>
      <c r="E2083" t="s">
        <v>4410</v>
      </c>
      <c r="F2083" t="s">
        <v>6769</v>
      </c>
      <c r="G2083" t="s">
        <v>4559</v>
      </c>
      <c r="H2083" t="s">
        <v>132</v>
      </c>
      <c r="I2083" t="s">
        <v>4</v>
      </c>
      <c r="J2083" t="s">
        <v>4276</v>
      </c>
      <c r="K2083" t="s">
        <v>54</v>
      </c>
      <c r="L2083"/>
      <c r="M2083" t="s">
        <v>134</v>
      </c>
      <c r="N2083" t="s">
        <v>135</v>
      </c>
      <c r="O2083"/>
      <c r="P2083"/>
      <c r="Q2083" t="s">
        <v>3731</v>
      </c>
      <c r="R2083"/>
      <c r="S2083"/>
      <c r="T2083"/>
      <c r="U2083" t="s">
        <v>137</v>
      </c>
      <c r="V2083" t="s">
        <v>427</v>
      </c>
      <c r="W2083"/>
      <c r="X2083" t="s">
        <v>121</v>
      </c>
      <c r="Y2083"/>
      <c r="Z2083"/>
      <c r="AA2083" t="s">
        <v>4560</v>
      </c>
      <c r="AB2083"/>
      <c r="AC2083" t="s">
        <v>138</v>
      </c>
      <c r="AD2083" t="s">
        <v>130</v>
      </c>
      <c r="AE2083" s="97"/>
    </row>
    <row r="2084" spans="1:31" ht="14.4" customHeight="1" x14ac:dyDescent="0.3">
      <c r="A2084" t="s">
        <v>4627</v>
      </c>
      <c r="B2084"/>
      <c r="C2084" t="s">
        <v>4412</v>
      </c>
      <c r="D2084"/>
      <c r="E2084" t="s">
        <v>4412</v>
      </c>
      <c r="F2084" t="s">
        <v>6769</v>
      </c>
      <c r="G2084" t="s">
        <v>4559</v>
      </c>
      <c r="H2084" t="s">
        <v>132</v>
      </c>
      <c r="I2084" t="s">
        <v>4</v>
      </c>
      <c r="J2084" t="s">
        <v>4276</v>
      </c>
      <c r="K2084" t="s">
        <v>54</v>
      </c>
      <c r="L2084"/>
      <c r="M2084" t="s">
        <v>134</v>
      </c>
      <c r="N2084" t="s">
        <v>135</v>
      </c>
      <c r="O2084"/>
      <c r="P2084"/>
      <c r="Q2084" t="s">
        <v>3731</v>
      </c>
      <c r="R2084"/>
      <c r="S2084"/>
      <c r="T2084"/>
      <c r="U2084" t="s">
        <v>137</v>
      </c>
      <c r="V2084" t="s">
        <v>427</v>
      </c>
      <c r="W2084" s="9">
        <v>46205.487257175926</v>
      </c>
      <c r="X2084" t="s">
        <v>121</v>
      </c>
      <c r="Y2084"/>
      <c r="Z2084"/>
      <c r="AA2084" t="s">
        <v>4560</v>
      </c>
      <c r="AB2084"/>
      <c r="AC2084" t="s">
        <v>24</v>
      </c>
      <c r="AD2084" t="s">
        <v>130</v>
      </c>
      <c r="AE2084" s="97"/>
    </row>
    <row r="2085" spans="1:31" ht="14.4" customHeight="1" x14ac:dyDescent="0.3">
      <c r="A2085" t="s">
        <v>4628</v>
      </c>
      <c r="B2085"/>
      <c r="C2085" t="s">
        <v>4414</v>
      </c>
      <c r="D2085"/>
      <c r="E2085" t="s">
        <v>4414</v>
      </c>
      <c r="F2085" t="s">
        <v>6769</v>
      </c>
      <c r="G2085" t="s">
        <v>4559</v>
      </c>
      <c r="H2085" t="s">
        <v>132</v>
      </c>
      <c r="I2085" t="s">
        <v>4</v>
      </c>
      <c r="J2085" t="s">
        <v>4276</v>
      </c>
      <c r="K2085" t="s">
        <v>54</v>
      </c>
      <c r="L2085"/>
      <c r="M2085" t="s">
        <v>134</v>
      </c>
      <c r="N2085" t="s">
        <v>135</v>
      </c>
      <c r="O2085"/>
      <c r="P2085"/>
      <c r="Q2085" t="s">
        <v>3731</v>
      </c>
      <c r="R2085"/>
      <c r="S2085"/>
      <c r="T2085"/>
      <c r="U2085" t="s">
        <v>137</v>
      </c>
      <c r="V2085" t="s">
        <v>1279</v>
      </c>
      <c r="W2085" s="9">
        <v>46134.569803819446</v>
      </c>
      <c r="X2085" t="s">
        <v>71</v>
      </c>
      <c r="Y2085"/>
      <c r="Z2085"/>
      <c r="AA2085" t="s">
        <v>4560</v>
      </c>
      <c r="AB2085"/>
      <c r="AC2085" t="s">
        <v>24</v>
      </c>
      <c r="AD2085" t="s">
        <v>128</v>
      </c>
      <c r="AE2085" s="97"/>
    </row>
    <row r="2086" spans="1:31" ht="14.4" customHeight="1" x14ac:dyDescent="0.3">
      <c r="A2086" t="s">
        <v>4629</v>
      </c>
      <c r="B2086"/>
      <c r="C2086" t="s">
        <v>4416</v>
      </c>
      <c r="D2086"/>
      <c r="E2086" t="s">
        <v>4416</v>
      </c>
      <c r="F2086" t="s">
        <v>6769</v>
      </c>
      <c r="G2086" t="s">
        <v>4559</v>
      </c>
      <c r="H2086" t="s">
        <v>132</v>
      </c>
      <c r="I2086" t="s">
        <v>4</v>
      </c>
      <c r="J2086" t="s">
        <v>4276</v>
      </c>
      <c r="K2086" t="s">
        <v>54</v>
      </c>
      <c r="L2086"/>
      <c r="M2086" t="s">
        <v>134</v>
      </c>
      <c r="N2086" t="s">
        <v>135</v>
      </c>
      <c r="O2086"/>
      <c r="P2086"/>
      <c r="Q2086" t="s">
        <v>3731</v>
      </c>
      <c r="R2086"/>
      <c r="S2086"/>
      <c r="T2086"/>
      <c r="U2086" t="s">
        <v>137</v>
      </c>
      <c r="V2086" t="s">
        <v>1279</v>
      </c>
      <c r="W2086" s="9">
        <v>46180.756005092589</v>
      </c>
      <c r="X2086" t="s">
        <v>71</v>
      </c>
      <c r="Y2086"/>
      <c r="Z2086"/>
      <c r="AA2086" t="s">
        <v>4560</v>
      </c>
      <c r="AB2086"/>
      <c r="AC2086" t="s">
        <v>24</v>
      </c>
      <c r="AD2086" t="s">
        <v>128</v>
      </c>
      <c r="AE2086" s="97"/>
    </row>
    <row r="2087" spans="1:31" ht="14.4" customHeight="1" x14ac:dyDescent="0.3">
      <c r="A2087" t="s">
        <v>4630</v>
      </c>
      <c r="B2087"/>
      <c r="C2087" t="s">
        <v>4418</v>
      </c>
      <c r="D2087"/>
      <c r="E2087" t="s">
        <v>4418</v>
      </c>
      <c r="F2087" t="s">
        <v>6769</v>
      </c>
      <c r="G2087" t="s">
        <v>4559</v>
      </c>
      <c r="H2087" t="s">
        <v>132</v>
      </c>
      <c r="I2087" t="s">
        <v>4</v>
      </c>
      <c r="J2087" t="s">
        <v>4276</v>
      </c>
      <c r="K2087" t="s">
        <v>54</v>
      </c>
      <c r="L2087"/>
      <c r="M2087" t="s">
        <v>134</v>
      </c>
      <c r="N2087" t="s">
        <v>135</v>
      </c>
      <c r="O2087"/>
      <c r="P2087"/>
      <c r="Q2087" t="s">
        <v>3731</v>
      </c>
      <c r="R2087"/>
      <c r="S2087"/>
      <c r="T2087"/>
      <c r="U2087" t="s">
        <v>137</v>
      </c>
      <c r="V2087" t="s">
        <v>1283</v>
      </c>
      <c r="W2087" s="9">
        <v>46134.582791122688</v>
      </c>
      <c r="X2087" t="s">
        <v>78</v>
      </c>
      <c r="Y2087"/>
      <c r="Z2087"/>
      <c r="AA2087" t="s">
        <v>4560</v>
      </c>
      <c r="AB2087"/>
      <c r="AC2087" t="s">
        <v>24</v>
      </c>
      <c r="AD2087" t="s">
        <v>128</v>
      </c>
      <c r="AE2087" s="97"/>
    </row>
    <row r="2088" spans="1:31" ht="14.4" customHeight="1" x14ac:dyDescent="0.3">
      <c r="A2088" t="s">
        <v>4631</v>
      </c>
      <c r="B2088"/>
      <c r="C2088" t="s">
        <v>4420</v>
      </c>
      <c r="D2088"/>
      <c r="E2088" t="s">
        <v>4420</v>
      </c>
      <c r="F2088" t="s">
        <v>6769</v>
      </c>
      <c r="G2088" t="s">
        <v>4559</v>
      </c>
      <c r="H2088" t="s">
        <v>132</v>
      </c>
      <c r="I2088" t="s">
        <v>4</v>
      </c>
      <c r="J2088" t="s">
        <v>4276</v>
      </c>
      <c r="K2088" t="s">
        <v>54</v>
      </c>
      <c r="L2088"/>
      <c r="M2088" t="s">
        <v>134</v>
      </c>
      <c r="N2088" t="s">
        <v>135</v>
      </c>
      <c r="O2088"/>
      <c r="P2088"/>
      <c r="Q2088" t="s">
        <v>3731</v>
      </c>
      <c r="R2088"/>
      <c r="S2088"/>
      <c r="T2088"/>
      <c r="U2088" t="s">
        <v>137</v>
      </c>
      <c r="V2088" t="s">
        <v>1283</v>
      </c>
      <c r="W2088" s="9">
        <v>46166.465798263889</v>
      </c>
      <c r="X2088" t="s">
        <v>78</v>
      </c>
      <c r="Y2088"/>
      <c r="Z2088"/>
      <c r="AA2088" t="s">
        <v>4560</v>
      </c>
      <c r="AB2088"/>
      <c r="AC2088" t="s">
        <v>24</v>
      </c>
      <c r="AD2088" t="s">
        <v>128</v>
      </c>
      <c r="AE2088" s="97"/>
    </row>
    <row r="2089" spans="1:31" ht="14.4" customHeight="1" x14ac:dyDescent="0.3">
      <c r="A2089" t="s">
        <v>4632</v>
      </c>
      <c r="B2089"/>
      <c r="C2089" t="s">
        <v>4422</v>
      </c>
      <c r="D2089"/>
      <c r="E2089" t="s">
        <v>4422</v>
      </c>
      <c r="F2089" t="s">
        <v>6769</v>
      </c>
      <c r="G2089" t="s">
        <v>4559</v>
      </c>
      <c r="H2089" t="s">
        <v>132</v>
      </c>
      <c r="I2089" t="s">
        <v>4</v>
      </c>
      <c r="J2089" t="s">
        <v>4276</v>
      </c>
      <c r="K2089" t="s">
        <v>54</v>
      </c>
      <c r="L2089"/>
      <c r="M2089" t="s">
        <v>134</v>
      </c>
      <c r="N2089" t="s">
        <v>135</v>
      </c>
      <c r="O2089"/>
      <c r="P2089"/>
      <c r="Q2089" t="s">
        <v>3731</v>
      </c>
      <c r="R2089"/>
      <c r="S2089"/>
      <c r="T2089"/>
      <c r="U2089" t="s">
        <v>137</v>
      </c>
      <c r="V2089" t="s">
        <v>1287</v>
      </c>
      <c r="W2089" s="9">
        <v>46134.585093946756</v>
      </c>
      <c r="X2089" t="s">
        <v>89</v>
      </c>
      <c r="Y2089"/>
      <c r="Z2089"/>
      <c r="AA2089" t="s">
        <v>4560</v>
      </c>
      <c r="AB2089"/>
      <c r="AC2089" t="s">
        <v>24</v>
      </c>
      <c r="AD2089" t="s">
        <v>129</v>
      </c>
      <c r="AE2089" s="97"/>
    </row>
    <row r="2090" spans="1:31" ht="14.4" customHeight="1" x14ac:dyDescent="0.3">
      <c r="A2090" t="s">
        <v>4633</v>
      </c>
      <c r="B2090"/>
      <c r="C2090" t="s">
        <v>4424</v>
      </c>
      <c r="D2090"/>
      <c r="E2090" t="s">
        <v>4424</v>
      </c>
      <c r="F2090" t="s">
        <v>6769</v>
      </c>
      <c r="G2090" t="s">
        <v>4559</v>
      </c>
      <c r="H2090" t="s">
        <v>132</v>
      </c>
      <c r="I2090" t="s">
        <v>4</v>
      </c>
      <c r="J2090" t="s">
        <v>4276</v>
      </c>
      <c r="K2090" t="s">
        <v>54</v>
      </c>
      <c r="L2090"/>
      <c r="M2090" t="s">
        <v>134</v>
      </c>
      <c r="N2090" t="s">
        <v>135</v>
      </c>
      <c r="O2090"/>
      <c r="P2090"/>
      <c r="Q2090" t="s">
        <v>3731</v>
      </c>
      <c r="R2090"/>
      <c r="S2090"/>
      <c r="T2090"/>
      <c r="U2090" t="s">
        <v>137</v>
      </c>
      <c r="V2090" t="s">
        <v>1287</v>
      </c>
      <c r="W2090" s="9">
        <v>46166.59206466435</v>
      </c>
      <c r="X2090" t="s">
        <v>89</v>
      </c>
      <c r="Y2090"/>
      <c r="Z2090"/>
      <c r="AA2090" t="s">
        <v>4560</v>
      </c>
      <c r="AB2090"/>
      <c r="AC2090" t="s">
        <v>24</v>
      </c>
      <c r="AD2090" t="s">
        <v>129</v>
      </c>
      <c r="AE2090" s="97"/>
    </row>
    <row r="2091" spans="1:31" ht="14.4" customHeight="1" x14ac:dyDescent="0.3">
      <c r="A2091" t="s">
        <v>4634</v>
      </c>
      <c r="B2091"/>
      <c r="C2091" t="s">
        <v>4426</v>
      </c>
      <c r="D2091"/>
      <c r="E2091" t="s">
        <v>4426</v>
      </c>
      <c r="F2091" t="s">
        <v>6769</v>
      </c>
      <c r="G2091" t="s">
        <v>4559</v>
      </c>
      <c r="H2091" t="s">
        <v>132</v>
      </c>
      <c r="I2091" t="s">
        <v>4</v>
      </c>
      <c r="J2091" t="s">
        <v>4276</v>
      </c>
      <c r="K2091" t="s">
        <v>54</v>
      </c>
      <c r="L2091"/>
      <c r="M2091" t="s">
        <v>134</v>
      </c>
      <c r="N2091" t="s">
        <v>135</v>
      </c>
      <c r="O2091"/>
      <c r="P2091"/>
      <c r="Q2091" t="s">
        <v>3731</v>
      </c>
      <c r="R2091"/>
      <c r="S2091"/>
      <c r="T2091"/>
      <c r="U2091" t="s">
        <v>137</v>
      </c>
      <c r="V2091" t="s">
        <v>1291</v>
      </c>
      <c r="W2091" s="9">
        <v>46127.444936307867</v>
      </c>
      <c r="X2091" t="s">
        <v>98</v>
      </c>
      <c r="Y2091"/>
      <c r="Z2091"/>
      <c r="AA2091" t="s">
        <v>4560</v>
      </c>
      <c r="AB2091"/>
      <c r="AC2091" t="s">
        <v>24</v>
      </c>
      <c r="AD2091" t="s">
        <v>129</v>
      </c>
      <c r="AE2091" s="97"/>
    </row>
    <row r="2092" spans="1:31" ht="14.4" customHeight="1" x14ac:dyDescent="0.3">
      <c r="A2092" t="s">
        <v>4635</v>
      </c>
      <c r="B2092"/>
      <c r="C2092" t="s">
        <v>4428</v>
      </c>
      <c r="D2092"/>
      <c r="E2092" t="s">
        <v>4428</v>
      </c>
      <c r="F2092" t="s">
        <v>6769</v>
      </c>
      <c r="G2092" t="s">
        <v>4559</v>
      </c>
      <c r="H2092" t="s">
        <v>132</v>
      </c>
      <c r="I2092" t="s">
        <v>4</v>
      </c>
      <c r="J2092" t="s">
        <v>4276</v>
      </c>
      <c r="K2092" t="s">
        <v>54</v>
      </c>
      <c r="L2092"/>
      <c r="M2092" t="s">
        <v>134</v>
      </c>
      <c r="N2092" t="s">
        <v>135</v>
      </c>
      <c r="O2092"/>
      <c r="P2092"/>
      <c r="Q2092" t="s">
        <v>3731</v>
      </c>
      <c r="R2092"/>
      <c r="S2092"/>
      <c r="T2092"/>
      <c r="U2092" t="s">
        <v>137</v>
      </c>
      <c r="V2092" t="s">
        <v>1291</v>
      </c>
      <c r="W2092" s="9">
        <v>46166.593971875001</v>
      </c>
      <c r="X2092" t="s">
        <v>98</v>
      </c>
      <c r="Y2092"/>
      <c r="Z2092"/>
      <c r="AA2092" t="s">
        <v>4560</v>
      </c>
      <c r="AB2092"/>
      <c r="AC2092" t="s">
        <v>24</v>
      </c>
      <c r="AD2092" t="s">
        <v>129</v>
      </c>
      <c r="AE2092" s="97"/>
    </row>
    <row r="2093" spans="1:31" ht="14.4" customHeight="1" x14ac:dyDescent="0.3">
      <c r="A2093" t="s">
        <v>4636</v>
      </c>
      <c r="B2093"/>
      <c r="C2093" t="s">
        <v>4430</v>
      </c>
      <c r="D2093"/>
      <c r="E2093" t="s">
        <v>4430</v>
      </c>
      <c r="F2093" t="s">
        <v>6769</v>
      </c>
      <c r="G2093" t="s">
        <v>4559</v>
      </c>
      <c r="H2093" t="s">
        <v>132</v>
      </c>
      <c r="I2093" t="s">
        <v>4</v>
      </c>
      <c r="J2093" t="s">
        <v>4276</v>
      </c>
      <c r="K2093" t="s">
        <v>54</v>
      </c>
      <c r="L2093"/>
      <c r="M2093" t="s">
        <v>134</v>
      </c>
      <c r="N2093" t="s">
        <v>135</v>
      </c>
      <c r="O2093"/>
      <c r="P2093"/>
      <c r="Q2093" t="s">
        <v>3731</v>
      </c>
      <c r="R2093"/>
      <c r="S2093"/>
      <c r="T2093"/>
      <c r="U2093" t="s">
        <v>137</v>
      </c>
      <c r="V2093" t="s">
        <v>1295</v>
      </c>
      <c r="W2093" s="9">
        <v>46138.759355439812</v>
      </c>
      <c r="X2093" t="s">
        <v>107</v>
      </c>
      <c r="Y2093"/>
      <c r="Z2093"/>
      <c r="AA2093" t="s">
        <v>4560</v>
      </c>
      <c r="AB2093"/>
      <c r="AC2093" t="s">
        <v>24</v>
      </c>
      <c r="AD2093" t="s">
        <v>129</v>
      </c>
      <c r="AE2093" s="97"/>
    </row>
    <row r="2094" spans="1:31" ht="14.4" customHeight="1" x14ac:dyDescent="0.3">
      <c r="A2094" t="s">
        <v>4637</v>
      </c>
      <c r="B2094"/>
      <c r="C2094" t="s">
        <v>4432</v>
      </c>
      <c r="D2094"/>
      <c r="E2094" t="s">
        <v>4432</v>
      </c>
      <c r="F2094" t="s">
        <v>6769</v>
      </c>
      <c r="G2094" t="s">
        <v>4559</v>
      </c>
      <c r="H2094" t="s">
        <v>132</v>
      </c>
      <c r="I2094" t="s">
        <v>4</v>
      </c>
      <c r="J2094" t="s">
        <v>4276</v>
      </c>
      <c r="K2094" t="s">
        <v>54</v>
      </c>
      <c r="L2094"/>
      <c r="M2094" t="s">
        <v>134</v>
      </c>
      <c r="N2094" t="s">
        <v>135</v>
      </c>
      <c r="O2094"/>
      <c r="P2094"/>
      <c r="Q2094" t="s">
        <v>3731</v>
      </c>
      <c r="R2094"/>
      <c r="S2094"/>
      <c r="T2094"/>
      <c r="U2094" t="s">
        <v>137</v>
      </c>
      <c r="V2094" t="s">
        <v>1295</v>
      </c>
      <c r="W2094" s="9">
        <v>46176.620486458334</v>
      </c>
      <c r="X2094" t="s">
        <v>107</v>
      </c>
      <c r="Y2094"/>
      <c r="Z2094"/>
      <c r="AA2094" t="s">
        <v>4560</v>
      </c>
      <c r="AB2094"/>
      <c r="AC2094" t="s">
        <v>24</v>
      </c>
      <c r="AD2094" t="s">
        <v>129</v>
      </c>
      <c r="AE2094" s="97"/>
    </row>
    <row r="2095" spans="1:31" ht="14.4" customHeight="1" x14ac:dyDescent="0.3">
      <c r="A2095" t="s">
        <v>4638</v>
      </c>
      <c r="B2095"/>
      <c r="C2095" t="s">
        <v>4434</v>
      </c>
      <c r="D2095"/>
      <c r="E2095" t="s">
        <v>4434</v>
      </c>
      <c r="F2095" t="s">
        <v>6769</v>
      </c>
      <c r="G2095" t="s">
        <v>4559</v>
      </c>
      <c r="H2095" t="s">
        <v>132</v>
      </c>
      <c r="I2095" t="s">
        <v>4</v>
      </c>
      <c r="J2095" t="s">
        <v>4276</v>
      </c>
      <c r="K2095" t="s">
        <v>54</v>
      </c>
      <c r="L2095"/>
      <c r="M2095" t="s">
        <v>134</v>
      </c>
      <c r="N2095" t="s">
        <v>135</v>
      </c>
      <c r="O2095"/>
      <c r="P2095"/>
      <c r="Q2095" t="s">
        <v>3731</v>
      </c>
      <c r="R2095"/>
      <c r="S2095"/>
      <c r="T2095"/>
      <c r="U2095" t="s">
        <v>137</v>
      </c>
      <c r="V2095" t="s">
        <v>1299</v>
      </c>
      <c r="W2095" s="9">
        <v>46166.542526817131</v>
      </c>
      <c r="X2095" t="s">
        <v>114</v>
      </c>
      <c r="Y2095"/>
      <c r="Z2095"/>
      <c r="AA2095" t="s">
        <v>4560</v>
      </c>
      <c r="AB2095"/>
      <c r="AC2095" t="s">
        <v>24</v>
      </c>
      <c r="AD2095" t="s">
        <v>129</v>
      </c>
      <c r="AE2095" s="97"/>
    </row>
    <row r="2096" spans="1:31" ht="14.4" customHeight="1" x14ac:dyDescent="0.3">
      <c r="A2096" t="s">
        <v>4639</v>
      </c>
      <c r="B2096"/>
      <c r="C2096" t="s">
        <v>4436</v>
      </c>
      <c r="D2096"/>
      <c r="E2096" t="s">
        <v>4436</v>
      </c>
      <c r="F2096" t="s">
        <v>6769</v>
      </c>
      <c r="G2096" t="s">
        <v>4559</v>
      </c>
      <c r="H2096" t="s">
        <v>132</v>
      </c>
      <c r="I2096" t="s">
        <v>4</v>
      </c>
      <c r="J2096" t="s">
        <v>4276</v>
      </c>
      <c r="K2096" t="s">
        <v>54</v>
      </c>
      <c r="L2096"/>
      <c r="M2096" t="s">
        <v>134</v>
      </c>
      <c r="N2096" t="s">
        <v>135</v>
      </c>
      <c r="O2096"/>
      <c r="P2096"/>
      <c r="Q2096" t="s">
        <v>3731</v>
      </c>
      <c r="R2096"/>
      <c r="S2096"/>
      <c r="T2096"/>
      <c r="U2096" t="s">
        <v>137</v>
      </c>
      <c r="V2096" t="s">
        <v>1299</v>
      </c>
      <c r="W2096" s="9">
        <v>46180.75903804398</v>
      </c>
      <c r="X2096" t="s">
        <v>114</v>
      </c>
      <c r="Y2096"/>
      <c r="Z2096"/>
      <c r="AA2096" t="s">
        <v>4560</v>
      </c>
      <c r="AB2096"/>
      <c r="AC2096" t="s">
        <v>24</v>
      </c>
      <c r="AD2096" t="s">
        <v>129</v>
      </c>
      <c r="AE2096" s="97"/>
    </row>
    <row r="2097" spans="1:31" ht="14.4" customHeight="1" x14ac:dyDescent="0.3">
      <c r="A2097" t="s">
        <v>4640</v>
      </c>
      <c r="B2097"/>
      <c r="C2097" t="s">
        <v>4438</v>
      </c>
      <c r="D2097"/>
      <c r="E2097" t="s">
        <v>4438</v>
      </c>
      <c r="F2097" t="s">
        <v>6769</v>
      </c>
      <c r="G2097" t="s">
        <v>4559</v>
      </c>
      <c r="H2097" t="s">
        <v>132</v>
      </c>
      <c r="I2097" t="s">
        <v>4</v>
      </c>
      <c r="J2097" t="s">
        <v>4276</v>
      </c>
      <c r="K2097" t="s">
        <v>54</v>
      </c>
      <c r="L2097"/>
      <c r="M2097" t="s">
        <v>134</v>
      </c>
      <c r="N2097" t="s">
        <v>135</v>
      </c>
      <c r="O2097"/>
      <c r="P2097"/>
      <c r="Q2097" t="s">
        <v>3731</v>
      </c>
      <c r="R2097"/>
      <c r="S2097"/>
      <c r="T2097"/>
      <c r="U2097" t="s">
        <v>137</v>
      </c>
      <c r="V2097" t="s">
        <v>1303</v>
      </c>
      <c r="W2097" s="9">
        <v>46180.760767210646</v>
      </c>
      <c r="X2097" t="s">
        <v>123</v>
      </c>
      <c r="Y2097"/>
      <c r="Z2097"/>
      <c r="AA2097" t="s">
        <v>4560</v>
      </c>
      <c r="AB2097"/>
      <c r="AC2097" t="s">
        <v>24</v>
      </c>
      <c r="AD2097" t="s">
        <v>130</v>
      </c>
      <c r="AE2097" s="97"/>
    </row>
    <row r="2098" spans="1:31" ht="14.4" customHeight="1" x14ac:dyDescent="0.3">
      <c r="A2098" t="s">
        <v>4641</v>
      </c>
      <c r="B2098"/>
      <c r="C2098" t="s">
        <v>4440</v>
      </c>
      <c r="D2098"/>
      <c r="E2098" t="s">
        <v>4440</v>
      </c>
      <c r="F2098" t="s">
        <v>6769</v>
      </c>
      <c r="G2098" t="s">
        <v>4559</v>
      </c>
      <c r="H2098" t="s">
        <v>132</v>
      </c>
      <c r="I2098" t="s">
        <v>4</v>
      </c>
      <c r="J2098" t="s">
        <v>4276</v>
      </c>
      <c r="K2098" t="s">
        <v>54</v>
      </c>
      <c r="L2098"/>
      <c r="M2098" t="s">
        <v>134</v>
      </c>
      <c r="N2098" t="s">
        <v>135</v>
      </c>
      <c r="O2098"/>
      <c r="P2098"/>
      <c r="Q2098" t="s">
        <v>3731</v>
      </c>
      <c r="R2098"/>
      <c r="S2098"/>
      <c r="T2098"/>
      <c r="U2098" t="s">
        <v>137</v>
      </c>
      <c r="V2098" t="s">
        <v>1303</v>
      </c>
      <c r="W2098" s="9">
        <v>46205.488612696761</v>
      </c>
      <c r="X2098" t="s">
        <v>123</v>
      </c>
      <c r="Y2098"/>
      <c r="Z2098"/>
      <c r="AA2098" t="s">
        <v>4560</v>
      </c>
      <c r="AB2098"/>
      <c r="AC2098" t="s">
        <v>24</v>
      </c>
      <c r="AD2098" t="s">
        <v>130</v>
      </c>
      <c r="AE2098" s="97"/>
    </row>
    <row r="2099" spans="1:31" ht="14.4" customHeight="1" x14ac:dyDescent="0.3">
      <c r="A2099" t="s">
        <v>4642</v>
      </c>
      <c r="B2099"/>
      <c r="C2099" t="s">
        <v>4442</v>
      </c>
      <c r="D2099"/>
      <c r="E2099" t="s">
        <v>4442</v>
      </c>
      <c r="F2099" t="s">
        <v>6769</v>
      </c>
      <c r="G2099" t="s">
        <v>4559</v>
      </c>
      <c r="H2099" t="s">
        <v>132</v>
      </c>
      <c r="I2099" t="s">
        <v>4</v>
      </c>
      <c r="J2099" t="s">
        <v>4276</v>
      </c>
      <c r="K2099" t="s">
        <v>54</v>
      </c>
      <c r="L2099"/>
      <c r="M2099" t="s">
        <v>134</v>
      </c>
      <c r="N2099" t="s">
        <v>135</v>
      </c>
      <c r="O2099"/>
      <c r="P2099"/>
      <c r="Q2099" t="s">
        <v>3731</v>
      </c>
      <c r="R2099"/>
      <c r="S2099"/>
      <c r="T2099"/>
      <c r="U2099" t="s">
        <v>137</v>
      </c>
      <c r="V2099" t="s">
        <v>703</v>
      </c>
      <c r="W2099" s="9">
        <v>46176.624949618054</v>
      </c>
      <c r="X2099" t="s">
        <v>62</v>
      </c>
      <c r="Y2099"/>
      <c r="Z2099"/>
      <c r="AA2099" t="s">
        <v>4560</v>
      </c>
      <c r="AB2099"/>
      <c r="AC2099" t="s">
        <v>24</v>
      </c>
      <c r="AD2099" t="s">
        <v>128</v>
      </c>
      <c r="AE2099" s="97"/>
    </row>
    <row r="2100" spans="1:31" ht="14.4" customHeight="1" x14ac:dyDescent="0.3">
      <c r="A2100" t="s">
        <v>4643</v>
      </c>
      <c r="B2100"/>
      <c r="C2100" t="s">
        <v>4444</v>
      </c>
      <c r="D2100"/>
      <c r="E2100" t="s">
        <v>4444</v>
      </c>
      <c r="F2100" t="s">
        <v>6769</v>
      </c>
      <c r="G2100" t="s">
        <v>4559</v>
      </c>
      <c r="H2100" t="s">
        <v>132</v>
      </c>
      <c r="I2100" t="s">
        <v>4</v>
      </c>
      <c r="J2100" t="s">
        <v>4276</v>
      </c>
      <c r="K2100" t="s">
        <v>54</v>
      </c>
      <c r="L2100"/>
      <c r="M2100" t="s">
        <v>134</v>
      </c>
      <c r="N2100" t="s">
        <v>135</v>
      </c>
      <c r="O2100"/>
      <c r="P2100"/>
      <c r="Q2100" t="s">
        <v>3731</v>
      </c>
      <c r="R2100"/>
      <c r="S2100"/>
      <c r="T2100"/>
      <c r="U2100" t="s">
        <v>137</v>
      </c>
      <c r="V2100" t="s">
        <v>703</v>
      </c>
      <c r="W2100" s="9">
        <v>46146.362320567132</v>
      </c>
      <c r="X2100" t="s">
        <v>62</v>
      </c>
      <c r="Y2100"/>
      <c r="Z2100"/>
      <c r="AA2100" t="s">
        <v>4560</v>
      </c>
      <c r="AB2100"/>
      <c r="AC2100" t="s">
        <v>24</v>
      </c>
      <c r="AD2100" t="s">
        <v>128</v>
      </c>
      <c r="AE2100" s="97"/>
    </row>
    <row r="2101" spans="1:31" ht="14.4" customHeight="1" x14ac:dyDescent="0.3">
      <c r="A2101" t="s">
        <v>4644</v>
      </c>
      <c r="B2101"/>
      <c r="C2101" t="s">
        <v>4446</v>
      </c>
      <c r="D2101"/>
      <c r="E2101" t="s">
        <v>4446</v>
      </c>
      <c r="F2101" t="s">
        <v>6769</v>
      </c>
      <c r="G2101" t="s">
        <v>4559</v>
      </c>
      <c r="H2101" t="s">
        <v>132</v>
      </c>
      <c r="I2101" t="s">
        <v>4</v>
      </c>
      <c r="J2101" t="s">
        <v>4276</v>
      </c>
      <c r="K2101" t="s">
        <v>54</v>
      </c>
      <c r="L2101"/>
      <c r="M2101" t="s">
        <v>134</v>
      </c>
      <c r="N2101" t="s">
        <v>135</v>
      </c>
      <c r="O2101"/>
      <c r="P2101"/>
      <c r="Q2101" t="s">
        <v>3731</v>
      </c>
      <c r="R2101"/>
      <c r="S2101"/>
      <c r="T2101"/>
      <c r="U2101" t="s">
        <v>137</v>
      </c>
      <c r="V2101" t="s">
        <v>703</v>
      </c>
      <c r="W2101" s="9">
        <v>46176.627605671296</v>
      </c>
      <c r="X2101" t="s">
        <v>62</v>
      </c>
      <c r="Y2101"/>
      <c r="Z2101"/>
      <c r="AA2101" t="s">
        <v>4560</v>
      </c>
      <c r="AB2101"/>
      <c r="AC2101" t="s">
        <v>24</v>
      </c>
      <c r="AD2101" t="s">
        <v>128</v>
      </c>
      <c r="AE2101" s="97"/>
    </row>
    <row r="2102" spans="1:31" ht="14.4" customHeight="1" x14ac:dyDescent="0.3">
      <c r="A2102" t="s">
        <v>4645</v>
      </c>
      <c r="B2102"/>
      <c r="C2102" t="s">
        <v>4448</v>
      </c>
      <c r="D2102"/>
      <c r="E2102" t="s">
        <v>4448</v>
      </c>
      <c r="F2102" t="s">
        <v>6769</v>
      </c>
      <c r="G2102" t="s">
        <v>4559</v>
      </c>
      <c r="H2102" t="s">
        <v>132</v>
      </c>
      <c r="I2102" t="s">
        <v>4</v>
      </c>
      <c r="J2102" t="s">
        <v>4276</v>
      </c>
      <c r="K2102" t="s">
        <v>54</v>
      </c>
      <c r="L2102"/>
      <c r="M2102" t="s">
        <v>134</v>
      </c>
      <c r="N2102" t="s">
        <v>135</v>
      </c>
      <c r="O2102"/>
      <c r="P2102"/>
      <c r="Q2102" t="s">
        <v>3731</v>
      </c>
      <c r="R2102"/>
      <c r="S2102"/>
      <c r="T2102"/>
      <c r="U2102" t="s">
        <v>137</v>
      </c>
      <c r="V2102" t="s">
        <v>703</v>
      </c>
      <c r="W2102" s="9">
        <v>46176.629769826388</v>
      </c>
      <c r="X2102" t="s">
        <v>62</v>
      </c>
      <c r="Y2102"/>
      <c r="Z2102"/>
      <c r="AA2102" t="s">
        <v>4560</v>
      </c>
      <c r="AB2102"/>
      <c r="AC2102" t="s">
        <v>24</v>
      </c>
      <c r="AD2102" t="s">
        <v>128</v>
      </c>
      <c r="AE2102" s="97"/>
    </row>
    <row r="2103" spans="1:31" ht="14.4" customHeight="1" x14ac:dyDescent="0.3">
      <c r="A2103" t="s">
        <v>4646</v>
      </c>
      <c r="B2103"/>
      <c r="C2103" t="s">
        <v>4450</v>
      </c>
      <c r="D2103"/>
      <c r="E2103" t="s">
        <v>4450</v>
      </c>
      <c r="F2103" t="s">
        <v>6769</v>
      </c>
      <c r="G2103" t="s">
        <v>4559</v>
      </c>
      <c r="H2103" t="s">
        <v>132</v>
      </c>
      <c r="I2103" t="s">
        <v>4</v>
      </c>
      <c r="J2103" t="s">
        <v>4276</v>
      </c>
      <c r="K2103" t="s">
        <v>54</v>
      </c>
      <c r="L2103"/>
      <c r="M2103" t="s">
        <v>134</v>
      </c>
      <c r="N2103" t="s">
        <v>135</v>
      </c>
      <c r="O2103"/>
      <c r="P2103"/>
      <c r="Q2103" t="s">
        <v>3731</v>
      </c>
      <c r="R2103"/>
      <c r="S2103"/>
      <c r="T2103"/>
      <c r="U2103" t="s">
        <v>137</v>
      </c>
      <c r="V2103" t="s">
        <v>703</v>
      </c>
      <c r="W2103" s="9">
        <v>46176.63183445602</v>
      </c>
      <c r="X2103" t="s">
        <v>62</v>
      </c>
      <c r="Y2103"/>
      <c r="Z2103"/>
      <c r="AA2103" t="s">
        <v>4560</v>
      </c>
      <c r="AB2103"/>
      <c r="AC2103" t="s">
        <v>24</v>
      </c>
      <c r="AD2103" t="s">
        <v>128</v>
      </c>
      <c r="AE2103" s="97"/>
    </row>
    <row r="2104" spans="1:31" ht="14.4" customHeight="1" x14ac:dyDescent="0.3">
      <c r="A2104" t="s">
        <v>4647</v>
      </c>
      <c r="B2104"/>
      <c r="C2104" t="s">
        <v>4452</v>
      </c>
      <c r="D2104"/>
      <c r="E2104" t="s">
        <v>4452</v>
      </c>
      <c r="F2104" t="s">
        <v>6769</v>
      </c>
      <c r="G2104" t="s">
        <v>4559</v>
      </c>
      <c r="H2104" t="s">
        <v>132</v>
      </c>
      <c r="I2104" t="s">
        <v>4</v>
      </c>
      <c r="J2104" t="s">
        <v>4276</v>
      </c>
      <c r="K2104" t="s">
        <v>54</v>
      </c>
      <c r="L2104"/>
      <c r="M2104" t="s">
        <v>134</v>
      </c>
      <c r="N2104" t="s">
        <v>135</v>
      </c>
      <c r="O2104"/>
      <c r="P2104"/>
      <c r="Q2104" t="s">
        <v>3731</v>
      </c>
      <c r="R2104"/>
      <c r="S2104"/>
      <c r="T2104"/>
      <c r="U2104" t="s">
        <v>137</v>
      </c>
      <c r="V2104" t="s">
        <v>703</v>
      </c>
      <c r="W2104" s="9">
        <v>46180.762969328702</v>
      </c>
      <c r="X2104" t="s">
        <v>62</v>
      </c>
      <c r="Y2104"/>
      <c r="Z2104"/>
      <c r="AA2104" t="s">
        <v>4560</v>
      </c>
      <c r="AB2104"/>
      <c r="AC2104" t="s">
        <v>24</v>
      </c>
      <c r="AD2104" t="s">
        <v>128</v>
      </c>
      <c r="AE2104" s="97"/>
    </row>
    <row r="2105" spans="1:31" ht="14.4" customHeight="1" x14ac:dyDescent="0.3">
      <c r="A2105" t="s">
        <v>4648</v>
      </c>
      <c r="B2105"/>
      <c r="C2105" t="s">
        <v>4454</v>
      </c>
      <c r="D2105"/>
      <c r="E2105" t="s">
        <v>4454</v>
      </c>
      <c r="F2105" t="s">
        <v>6769</v>
      </c>
      <c r="G2105" t="s">
        <v>4559</v>
      </c>
      <c r="H2105" t="s">
        <v>132</v>
      </c>
      <c r="I2105" t="s">
        <v>4</v>
      </c>
      <c r="J2105" t="s">
        <v>4276</v>
      </c>
      <c r="K2105" t="s">
        <v>54</v>
      </c>
      <c r="L2105"/>
      <c r="M2105" t="s">
        <v>134</v>
      </c>
      <c r="N2105" t="s">
        <v>135</v>
      </c>
      <c r="O2105"/>
      <c r="P2105"/>
      <c r="Q2105" t="s">
        <v>3731</v>
      </c>
      <c r="R2105"/>
      <c r="S2105"/>
      <c r="T2105"/>
      <c r="U2105" t="s">
        <v>137</v>
      </c>
      <c r="V2105" t="s">
        <v>709</v>
      </c>
      <c r="W2105" s="9">
        <v>46183.628573842594</v>
      </c>
      <c r="X2105" t="s">
        <v>73</v>
      </c>
      <c r="Y2105"/>
      <c r="Z2105"/>
      <c r="AA2105" t="s">
        <v>4560</v>
      </c>
      <c r="AB2105"/>
      <c r="AC2105" t="s">
        <v>24</v>
      </c>
      <c r="AD2105" t="s">
        <v>128</v>
      </c>
      <c r="AE2105" s="97"/>
    </row>
    <row r="2106" spans="1:31" ht="14.4" customHeight="1" x14ac:dyDescent="0.3">
      <c r="A2106" t="s">
        <v>4649</v>
      </c>
      <c r="B2106"/>
      <c r="C2106" t="s">
        <v>4456</v>
      </c>
      <c r="D2106"/>
      <c r="E2106" t="s">
        <v>4456</v>
      </c>
      <c r="F2106" t="s">
        <v>6769</v>
      </c>
      <c r="G2106" t="s">
        <v>4559</v>
      </c>
      <c r="H2106" t="s">
        <v>132</v>
      </c>
      <c r="I2106" t="s">
        <v>4</v>
      </c>
      <c r="J2106" t="s">
        <v>4276</v>
      </c>
      <c r="K2106" t="s">
        <v>54</v>
      </c>
      <c r="L2106"/>
      <c r="M2106" t="s">
        <v>134</v>
      </c>
      <c r="N2106" t="s">
        <v>135</v>
      </c>
      <c r="O2106"/>
      <c r="P2106"/>
      <c r="Q2106" t="s">
        <v>3731</v>
      </c>
      <c r="R2106"/>
      <c r="S2106"/>
      <c r="T2106"/>
      <c r="U2106" t="s">
        <v>137</v>
      </c>
      <c r="V2106" t="s">
        <v>709</v>
      </c>
      <c r="W2106" s="9">
        <v>46166.467655474538</v>
      </c>
      <c r="X2106" t="s">
        <v>73</v>
      </c>
      <c r="Y2106"/>
      <c r="Z2106"/>
      <c r="AA2106" t="s">
        <v>4560</v>
      </c>
      <c r="AB2106"/>
      <c r="AC2106" t="s">
        <v>24</v>
      </c>
      <c r="AD2106" t="s">
        <v>128</v>
      </c>
      <c r="AE2106" s="97"/>
    </row>
    <row r="2107" spans="1:31" ht="14.4" customHeight="1" x14ac:dyDescent="0.3">
      <c r="A2107" t="s">
        <v>4650</v>
      </c>
      <c r="B2107"/>
      <c r="C2107" t="s">
        <v>4458</v>
      </c>
      <c r="D2107"/>
      <c r="E2107" t="s">
        <v>4458</v>
      </c>
      <c r="F2107" t="s">
        <v>6769</v>
      </c>
      <c r="G2107" t="s">
        <v>4559</v>
      </c>
      <c r="H2107" t="s">
        <v>132</v>
      </c>
      <c r="I2107" t="s">
        <v>4</v>
      </c>
      <c r="J2107" t="s">
        <v>4276</v>
      </c>
      <c r="K2107" t="s">
        <v>54</v>
      </c>
      <c r="L2107"/>
      <c r="M2107" t="s">
        <v>134</v>
      </c>
      <c r="N2107" t="s">
        <v>135</v>
      </c>
      <c r="O2107"/>
      <c r="P2107"/>
      <c r="Q2107" t="s">
        <v>3731</v>
      </c>
      <c r="R2107"/>
      <c r="S2107"/>
      <c r="T2107"/>
      <c r="U2107" t="s">
        <v>137</v>
      </c>
      <c r="V2107" t="s">
        <v>709</v>
      </c>
      <c r="W2107" s="9">
        <v>46176.709811956018</v>
      </c>
      <c r="X2107" t="s">
        <v>73</v>
      </c>
      <c r="Y2107"/>
      <c r="Z2107"/>
      <c r="AA2107" t="s">
        <v>4560</v>
      </c>
      <c r="AB2107"/>
      <c r="AC2107" t="s">
        <v>24</v>
      </c>
      <c r="AD2107" t="s">
        <v>128</v>
      </c>
      <c r="AE2107" s="97"/>
    </row>
    <row r="2108" spans="1:31" ht="14.4" customHeight="1" x14ac:dyDescent="0.3">
      <c r="A2108" t="s">
        <v>4651</v>
      </c>
      <c r="B2108"/>
      <c r="C2108" t="s">
        <v>4460</v>
      </c>
      <c r="D2108"/>
      <c r="E2108" t="s">
        <v>4460</v>
      </c>
      <c r="F2108" t="s">
        <v>6769</v>
      </c>
      <c r="G2108" t="s">
        <v>4559</v>
      </c>
      <c r="H2108" t="s">
        <v>132</v>
      </c>
      <c r="I2108" t="s">
        <v>4</v>
      </c>
      <c r="J2108" t="s">
        <v>4276</v>
      </c>
      <c r="K2108" t="s">
        <v>54</v>
      </c>
      <c r="L2108"/>
      <c r="M2108" t="s">
        <v>134</v>
      </c>
      <c r="N2108" t="s">
        <v>135</v>
      </c>
      <c r="O2108"/>
      <c r="P2108"/>
      <c r="Q2108" t="s">
        <v>3731</v>
      </c>
      <c r="R2108"/>
      <c r="S2108"/>
      <c r="T2108"/>
      <c r="U2108" t="s">
        <v>137</v>
      </c>
      <c r="V2108" t="s">
        <v>709</v>
      </c>
      <c r="W2108" s="9">
        <v>46176.711263854166</v>
      </c>
      <c r="X2108" t="s">
        <v>73</v>
      </c>
      <c r="Y2108"/>
      <c r="Z2108"/>
      <c r="AA2108" t="s">
        <v>4560</v>
      </c>
      <c r="AB2108"/>
      <c r="AC2108" t="s">
        <v>24</v>
      </c>
      <c r="AD2108" t="s">
        <v>128</v>
      </c>
      <c r="AE2108" s="97"/>
    </row>
    <row r="2109" spans="1:31" ht="14.4" customHeight="1" x14ac:dyDescent="0.3">
      <c r="A2109" t="s">
        <v>4652</v>
      </c>
      <c r="B2109"/>
      <c r="C2109" t="s">
        <v>4462</v>
      </c>
      <c r="D2109"/>
      <c r="E2109" t="s">
        <v>4462</v>
      </c>
      <c r="F2109" t="s">
        <v>6769</v>
      </c>
      <c r="G2109" t="s">
        <v>4559</v>
      </c>
      <c r="H2109" t="s">
        <v>132</v>
      </c>
      <c r="I2109" t="s">
        <v>4</v>
      </c>
      <c r="J2109" t="s">
        <v>4276</v>
      </c>
      <c r="K2109" t="s">
        <v>54</v>
      </c>
      <c r="L2109"/>
      <c r="M2109" t="s">
        <v>134</v>
      </c>
      <c r="N2109" t="s">
        <v>135</v>
      </c>
      <c r="O2109"/>
      <c r="P2109"/>
      <c r="Q2109" t="s">
        <v>3731</v>
      </c>
      <c r="R2109"/>
      <c r="S2109"/>
      <c r="T2109"/>
      <c r="U2109" t="s">
        <v>137</v>
      </c>
      <c r="V2109" t="s">
        <v>709</v>
      </c>
      <c r="W2109" s="9">
        <v>46176.713297569448</v>
      </c>
      <c r="X2109" t="s">
        <v>73</v>
      </c>
      <c r="Y2109"/>
      <c r="Z2109"/>
      <c r="AA2109" t="s">
        <v>4560</v>
      </c>
      <c r="AB2109"/>
      <c r="AC2109" t="s">
        <v>24</v>
      </c>
      <c r="AD2109" t="s">
        <v>128</v>
      </c>
      <c r="AE2109" s="97"/>
    </row>
    <row r="2110" spans="1:31" ht="14.4" customHeight="1" x14ac:dyDescent="0.3">
      <c r="A2110" t="s">
        <v>4653</v>
      </c>
      <c r="B2110"/>
      <c r="C2110" t="s">
        <v>4464</v>
      </c>
      <c r="D2110"/>
      <c r="E2110" t="s">
        <v>4464</v>
      </c>
      <c r="F2110" t="s">
        <v>6769</v>
      </c>
      <c r="G2110" t="s">
        <v>4559</v>
      </c>
      <c r="H2110" t="s">
        <v>132</v>
      </c>
      <c r="I2110" t="s">
        <v>4</v>
      </c>
      <c r="J2110" t="s">
        <v>4276</v>
      </c>
      <c r="K2110" t="s">
        <v>54</v>
      </c>
      <c r="L2110"/>
      <c r="M2110" t="s">
        <v>134</v>
      </c>
      <c r="N2110" t="s">
        <v>135</v>
      </c>
      <c r="O2110"/>
      <c r="P2110"/>
      <c r="Q2110" t="s">
        <v>3731</v>
      </c>
      <c r="R2110"/>
      <c r="S2110"/>
      <c r="T2110"/>
      <c r="U2110" t="s">
        <v>137</v>
      </c>
      <c r="V2110" t="s">
        <v>709</v>
      </c>
      <c r="W2110" s="9">
        <v>46176.715079050926</v>
      </c>
      <c r="X2110" t="s">
        <v>73</v>
      </c>
      <c r="Y2110"/>
      <c r="Z2110"/>
      <c r="AA2110" t="s">
        <v>4560</v>
      </c>
      <c r="AB2110"/>
      <c r="AC2110" t="s">
        <v>24</v>
      </c>
      <c r="AD2110" t="s">
        <v>128</v>
      </c>
      <c r="AE2110" s="97"/>
    </row>
    <row r="2111" spans="1:31" ht="14.4" customHeight="1" x14ac:dyDescent="0.3">
      <c r="A2111" t="s">
        <v>4654</v>
      </c>
      <c r="B2111"/>
      <c r="C2111" t="s">
        <v>4466</v>
      </c>
      <c r="D2111"/>
      <c r="E2111" t="s">
        <v>4466</v>
      </c>
      <c r="F2111" t="s">
        <v>6769</v>
      </c>
      <c r="G2111" t="s">
        <v>4559</v>
      </c>
      <c r="H2111" t="s">
        <v>132</v>
      </c>
      <c r="I2111" t="s">
        <v>4</v>
      </c>
      <c r="J2111" t="s">
        <v>4276</v>
      </c>
      <c r="K2111" t="s">
        <v>54</v>
      </c>
      <c r="L2111"/>
      <c r="M2111" t="s">
        <v>134</v>
      </c>
      <c r="N2111" t="s">
        <v>135</v>
      </c>
      <c r="O2111"/>
      <c r="P2111"/>
      <c r="Q2111" t="s">
        <v>3731</v>
      </c>
      <c r="R2111"/>
      <c r="S2111"/>
      <c r="T2111"/>
      <c r="U2111" t="s">
        <v>137</v>
      </c>
      <c r="V2111" t="s">
        <v>715</v>
      </c>
      <c r="W2111" s="9">
        <v>46192.228622222225</v>
      </c>
      <c r="X2111" t="s">
        <v>82</v>
      </c>
      <c r="Y2111"/>
      <c r="Z2111"/>
      <c r="AA2111" t="s">
        <v>4560</v>
      </c>
      <c r="AB2111"/>
      <c r="AC2111" t="s">
        <v>24</v>
      </c>
      <c r="AD2111" t="s">
        <v>129</v>
      </c>
      <c r="AE2111" s="97"/>
    </row>
    <row r="2112" spans="1:31" ht="14.4" customHeight="1" x14ac:dyDescent="0.3">
      <c r="A2112" t="s">
        <v>4655</v>
      </c>
      <c r="B2112"/>
      <c r="C2112" t="s">
        <v>4468</v>
      </c>
      <c r="D2112"/>
      <c r="E2112" t="s">
        <v>4468</v>
      </c>
      <c r="F2112" t="s">
        <v>6769</v>
      </c>
      <c r="G2112" t="s">
        <v>4559</v>
      </c>
      <c r="H2112" t="s">
        <v>132</v>
      </c>
      <c r="I2112" t="s">
        <v>4</v>
      </c>
      <c r="J2112" t="s">
        <v>4276</v>
      </c>
      <c r="K2112" t="s">
        <v>54</v>
      </c>
      <c r="L2112"/>
      <c r="M2112" t="s">
        <v>134</v>
      </c>
      <c r="N2112" t="s">
        <v>135</v>
      </c>
      <c r="O2112"/>
      <c r="P2112"/>
      <c r="Q2112" t="s">
        <v>3731</v>
      </c>
      <c r="R2112"/>
      <c r="S2112"/>
      <c r="T2112"/>
      <c r="U2112" t="s">
        <v>137</v>
      </c>
      <c r="V2112" t="s">
        <v>715</v>
      </c>
      <c r="W2112" s="9">
        <v>46166.544132175928</v>
      </c>
      <c r="X2112" t="s">
        <v>82</v>
      </c>
      <c r="Y2112"/>
      <c r="Z2112"/>
      <c r="AA2112" t="s">
        <v>4560</v>
      </c>
      <c r="AB2112"/>
      <c r="AC2112" t="s">
        <v>24</v>
      </c>
      <c r="AD2112" t="s">
        <v>129</v>
      </c>
      <c r="AE2112" s="97"/>
    </row>
    <row r="2113" spans="1:31" ht="14.4" customHeight="1" x14ac:dyDescent="0.3">
      <c r="A2113" t="s">
        <v>4656</v>
      </c>
      <c r="B2113"/>
      <c r="C2113" t="s">
        <v>4470</v>
      </c>
      <c r="D2113"/>
      <c r="E2113" t="s">
        <v>4470</v>
      </c>
      <c r="F2113" t="s">
        <v>6769</v>
      </c>
      <c r="G2113" t="s">
        <v>4559</v>
      </c>
      <c r="H2113" t="s">
        <v>132</v>
      </c>
      <c r="I2113" t="s">
        <v>4</v>
      </c>
      <c r="J2113" t="s">
        <v>4276</v>
      </c>
      <c r="K2113" t="s">
        <v>54</v>
      </c>
      <c r="L2113"/>
      <c r="M2113" t="s">
        <v>134</v>
      </c>
      <c r="N2113" t="s">
        <v>135</v>
      </c>
      <c r="O2113"/>
      <c r="P2113"/>
      <c r="Q2113" t="s">
        <v>3731</v>
      </c>
      <c r="R2113"/>
      <c r="S2113"/>
      <c r="T2113"/>
      <c r="U2113" t="s">
        <v>137</v>
      </c>
      <c r="V2113" t="s">
        <v>715</v>
      </c>
      <c r="W2113" s="9">
        <v>46183.704668090279</v>
      </c>
      <c r="X2113" t="s">
        <v>82</v>
      </c>
      <c r="Y2113"/>
      <c r="Z2113"/>
      <c r="AA2113" t="s">
        <v>4560</v>
      </c>
      <c r="AB2113"/>
      <c r="AC2113" t="s">
        <v>24</v>
      </c>
      <c r="AD2113" t="s">
        <v>129</v>
      </c>
      <c r="AE2113" s="97"/>
    </row>
    <row r="2114" spans="1:31" ht="14.4" customHeight="1" x14ac:dyDescent="0.3">
      <c r="A2114" t="s">
        <v>4657</v>
      </c>
      <c r="B2114"/>
      <c r="C2114" t="s">
        <v>4472</v>
      </c>
      <c r="D2114"/>
      <c r="E2114" t="s">
        <v>4472</v>
      </c>
      <c r="F2114" t="s">
        <v>6769</v>
      </c>
      <c r="G2114" t="s">
        <v>4559</v>
      </c>
      <c r="H2114" t="s">
        <v>132</v>
      </c>
      <c r="I2114" t="s">
        <v>4</v>
      </c>
      <c r="J2114" t="s">
        <v>4276</v>
      </c>
      <c r="K2114" t="s">
        <v>54</v>
      </c>
      <c r="L2114"/>
      <c r="M2114" t="s">
        <v>134</v>
      </c>
      <c r="N2114" t="s">
        <v>135</v>
      </c>
      <c r="O2114"/>
      <c r="P2114"/>
      <c r="Q2114" t="s">
        <v>3731</v>
      </c>
      <c r="R2114"/>
      <c r="S2114"/>
      <c r="T2114"/>
      <c r="U2114" t="s">
        <v>137</v>
      </c>
      <c r="V2114" t="s">
        <v>715</v>
      </c>
      <c r="W2114" s="9">
        <v>46183.706756678243</v>
      </c>
      <c r="X2114" t="s">
        <v>82</v>
      </c>
      <c r="Y2114"/>
      <c r="Z2114"/>
      <c r="AA2114" t="s">
        <v>4560</v>
      </c>
      <c r="AB2114"/>
      <c r="AC2114" t="s">
        <v>24</v>
      </c>
      <c r="AD2114" t="s">
        <v>129</v>
      </c>
      <c r="AE2114" s="97"/>
    </row>
    <row r="2115" spans="1:31" ht="14.4" customHeight="1" x14ac:dyDescent="0.3">
      <c r="A2115" t="s">
        <v>4658</v>
      </c>
      <c r="B2115"/>
      <c r="C2115" t="s">
        <v>4474</v>
      </c>
      <c r="D2115"/>
      <c r="E2115" t="s">
        <v>4474</v>
      </c>
      <c r="F2115" t="s">
        <v>6769</v>
      </c>
      <c r="G2115" t="s">
        <v>4559</v>
      </c>
      <c r="H2115" t="s">
        <v>132</v>
      </c>
      <c r="I2115" t="s">
        <v>4</v>
      </c>
      <c r="J2115" t="s">
        <v>4276</v>
      </c>
      <c r="K2115" t="s">
        <v>54</v>
      </c>
      <c r="L2115"/>
      <c r="M2115" t="s">
        <v>134</v>
      </c>
      <c r="N2115" t="s">
        <v>135</v>
      </c>
      <c r="O2115"/>
      <c r="P2115"/>
      <c r="Q2115" t="s">
        <v>3731</v>
      </c>
      <c r="R2115"/>
      <c r="S2115"/>
      <c r="T2115"/>
      <c r="U2115" t="s">
        <v>137</v>
      </c>
      <c r="V2115" t="s">
        <v>715</v>
      </c>
      <c r="W2115" s="9">
        <v>46183.713470486109</v>
      </c>
      <c r="X2115" t="s">
        <v>82</v>
      </c>
      <c r="Y2115"/>
      <c r="Z2115"/>
      <c r="AA2115" t="s">
        <v>4560</v>
      </c>
      <c r="AB2115"/>
      <c r="AC2115" t="s">
        <v>24</v>
      </c>
      <c r="AD2115" t="s">
        <v>129</v>
      </c>
      <c r="AE2115" s="97"/>
    </row>
    <row r="2116" spans="1:31" ht="14.4" customHeight="1" x14ac:dyDescent="0.3">
      <c r="A2116" t="s">
        <v>4659</v>
      </c>
      <c r="B2116"/>
      <c r="C2116" t="s">
        <v>4476</v>
      </c>
      <c r="D2116"/>
      <c r="E2116" t="s">
        <v>4476</v>
      </c>
      <c r="F2116" t="s">
        <v>6769</v>
      </c>
      <c r="G2116" t="s">
        <v>4559</v>
      </c>
      <c r="H2116" t="s">
        <v>132</v>
      </c>
      <c r="I2116" t="s">
        <v>4</v>
      </c>
      <c r="J2116" t="s">
        <v>4276</v>
      </c>
      <c r="K2116" t="s">
        <v>54</v>
      </c>
      <c r="L2116"/>
      <c r="M2116" t="s">
        <v>134</v>
      </c>
      <c r="N2116" t="s">
        <v>135</v>
      </c>
      <c r="O2116"/>
      <c r="P2116"/>
      <c r="Q2116" t="s">
        <v>3731</v>
      </c>
      <c r="R2116"/>
      <c r="S2116"/>
      <c r="T2116"/>
      <c r="U2116" t="s">
        <v>137</v>
      </c>
      <c r="V2116" t="s">
        <v>715</v>
      </c>
      <c r="W2116" s="9">
        <v>46183.715082407405</v>
      </c>
      <c r="X2116" t="s">
        <v>82</v>
      </c>
      <c r="Y2116"/>
      <c r="Z2116"/>
      <c r="AA2116" t="s">
        <v>4560</v>
      </c>
      <c r="AB2116"/>
      <c r="AC2116" t="s">
        <v>24</v>
      </c>
      <c r="AD2116" t="s">
        <v>129</v>
      </c>
      <c r="AE2116" s="97"/>
    </row>
    <row r="2117" spans="1:31" ht="14.4" customHeight="1" x14ac:dyDescent="0.3">
      <c r="A2117" t="s">
        <v>4660</v>
      </c>
      <c r="B2117"/>
      <c r="C2117" t="s">
        <v>4478</v>
      </c>
      <c r="D2117"/>
      <c r="E2117" t="s">
        <v>4478</v>
      </c>
      <c r="F2117" t="s">
        <v>6769</v>
      </c>
      <c r="G2117" t="s">
        <v>4559</v>
      </c>
      <c r="H2117" t="s">
        <v>132</v>
      </c>
      <c r="I2117" t="s">
        <v>4</v>
      </c>
      <c r="J2117" t="s">
        <v>4276</v>
      </c>
      <c r="K2117" t="s">
        <v>54</v>
      </c>
      <c r="L2117"/>
      <c r="M2117" t="s">
        <v>134</v>
      </c>
      <c r="N2117" t="s">
        <v>135</v>
      </c>
      <c r="O2117"/>
      <c r="P2117"/>
      <c r="Q2117" t="s">
        <v>3731</v>
      </c>
      <c r="R2117"/>
      <c r="S2117"/>
      <c r="T2117"/>
      <c r="U2117" t="s">
        <v>137</v>
      </c>
      <c r="V2117" t="s">
        <v>721</v>
      </c>
      <c r="W2117" s="9">
        <v>46190.247629861115</v>
      </c>
      <c r="X2117" t="s">
        <v>91</v>
      </c>
      <c r="Y2117"/>
      <c r="Z2117"/>
      <c r="AA2117" t="s">
        <v>4560</v>
      </c>
      <c r="AB2117"/>
      <c r="AC2117" t="s">
        <v>24</v>
      </c>
      <c r="AD2117" t="s">
        <v>129</v>
      </c>
      <c r="AE2117" s="97"/>
    </row>
    <row r="2118" spans="1:31" ht="14.4" customHeight="1" x14ac:dyDescent="0.3">
      <c r="A2118" t="s">
        <v>4661</v>
      </c>
      <c r="B2118"/>
      <c r="C2118" t="s">
        <v>4480</v>
      </c>
      <c r="D2118"/>
      <c r="E2118" t="s">
        <v>4480</v>
      </c>
      <c r="F2118" t="s">
        <v>6769</v>
      </c>
      <c r="G2118" t="s">
        <v>4559</v>
      </c>
      <c r="H2118" t="s">
        <v>132</v>
      </c>
      <c r="I2118" t="s">
        <v>4</v>
      </c>
      <c r="J2118" t="s">
        <v>4276</v>
      </c>
      <c r="K2118" t="s">
        <v>54</v>
      </c>
      <c r="L2118"/>
      <c r="M2118" t="s">
        <v>134</v>
      </c>
      <c r="N2118" t="s">
        <v>135</v>
      </c>
      <c r="O2118"/>
      <c r="P2118"/>
      <c r="Q2118" t="s">
        <v>3731</v>
      </c>
      <c r="R2118"/>
      <c r="S2118"/>
      <c r="T2118"/>
      <c r="U2118" t="s">
        <v>137</v>
      </c>
      <c r="V2118" t="s">
        <v>721</v>
      </c>
      <c r="W2118" s="9">
        <v>46166.615051655092</v>
      </c>
      <c r="X2118" t="s">
        <v>91</v>
      </c>
      <c r="Y2118"/>
      <c r="Z2118"/>
      <c r="AA2118" t="s">
        <v>4560</v>
      </c>
      <c r="AB2118"/>
      <c r="AC2118" t="s">
        <v>24</v>
      </c>
      <c r="AD2118" t="s">
        <v>129</v>
      </c>
      <c r="AE2118" s="97"/>
    </row>
    <row r="2119" spans="1:31" ht="14.4" customHeight="1" x14ac:dyDescent="0.3">
      <c r="A2119" t="s">
        <v>4662</v>
      </c>
      <c r="B2119"/>
      <c r="C2119" t="s">
        <v>4482</v>
      </c>
      <c r="D2119"/>
      <c r="E2119" t="s">
        <v>4482</v>
      </c>
      <c r="F2119" t="s">
        <v>6769</v>
      </c>
      <c r="G2119" t="s">
        <v>4559</v>
      </c>
      <c r="H2119" t="s">
        <v>132</v>
      </c>
      <c r="I2119" t="s">
        <v>4</v>
      </c>
      <c r="J2119" t="s">
        <v>4276</v>
      </c>
      <c r="K2119" t="s">
        <v>54</v>
      </c>
      <c r="L2119"/>
      <c r="M2119" t="s">
        <v>134</v>
      </c>
      <c r="N2119" t="s">
        <v>135</v>
      </c>
      <c r="O2119"/>
      <c r="P2119"/>
      <c r="Q2119" t="s">
        <v>3731</v>
      </c>
      <c r="R2119"/>
      <c r="S2119"/>
      <c r="T2119"/>
      <c r="U2119" t="s">
        <v>137</v>
      </c>
      <c r="V2119" t="s">
        <v>721</v>
      </c>
      <c r="W2119" s="9">
        <v>46185.287823344908</v>
      </c>
      <c r="X2119" t="s">
        <v>91</v>
      </c>
      <c r="Y2119"/>
      <c r="Z2119"/>
      <c r="AA2119" t="s">
        <v>4560</v>
      </c>
      <c r="AB2119"/>
      <c r="AC2119" t="s">
        <v>24</v>
      </c>
      <c r="AD2119" t="s">
        <v>129</v>
      </c>
      <c r="AE2119" s="97"/>
    </row>
    <row r="2120" spans="1:31" ht="14.4" customHeight="1" x14ac:dyDescent="0.3">
      <c r="A2120" t="s">
        <v>4663</v>
      </c>
      <c r="B2120"/>
      <c r="C2120" t="s">
        <v>4484</v>
      </c>
      <c r="D2120"/>
      <c r="E2120" t="s">
        <v>4484</v>
      </c>
      <c r="F2120" t="s">
        <v>6769</v>
      </c>
      <c r="G2120" t="s">
        <v>4559</v>
      </c>
      <c r="H2120" t="s">
        <v>132</v>
      </c>
      <c r="I2120" t="s">
        <v>4</v>
      </c>
      <c r="J2120" t="s">
        <v>4276</v>
      </c>
      <c r="K2120" t="s">
        <v>54</v>
      </c>
      <c r="L2120"/>
      <c r="M2120" t="s">
        <v>134</v>
      </c>
      <c r="N2120" t="s">
        <v>135</v>
      </c>
      <c r="O2120"/>
      <c r="P2120"/>
      <c r="Q2120" t="s">
        <v>3731</v>
      </c>
      <c r="R2120"/>
      <c r="S2120"/>
      <c r="T2120"/>
      <c r="U2120" t="s">
        <v>137</v>
      </c>
      <c r="V2120" t="s">
        <v>721</v>
      </c>
      <c r="W2120" s="9">
        <v>46185.289019212963</v>
      </c>
      <c r="X2120" t="s">
        <v>91</v>
      </c>
      <c r="Y2120"/>
      <c r="Z2120"/>
      <c r="AA2120" t="s">
        <v>4560</v>
      </c>
      <c r="AB2120"/>
      <c r="AC2120" t="s">
        <v>24</v>
      </c>
      <c r="AD2120" t="s">
        <v>129</v>
      </c>
      <c r="AE2120" s="97"/>
    </row>
    <row r="2121" spans="1:31" ht="14.4" customHeight="1" x14ac:dyDescent="0.3">
      <c r="A2121" t="s">
        <v>4664</v>
      </c>
      <c r="B2121"/>
      <c r="C2121" t="s">
        <v>4486</v>
      </c>
      <c r="D2121"/>
      <c r="E2121" t="s">
        <v>4486</v>
      </c>
      <c r="F2121" t="s">
        <v>6769</v>
      </c>
      <c r="G2121" t="s">
        <v>4559</v>
      </c>
      <c r="H2121" t="s">
        <v>132</v>
      </c>
      <c r="I2121" t="s">
        <v>4</v>
      </c>
      <c r="J2121" t="s">
        <v>4276</v>
      </c>
      <c r="K2121" t="s">
        <v>54</v>
      </c>
      <c r="L2121"/>
      <c r="M2121" t="s">
        <v>134</v>
      </c>
      <c r="N2121" t="s">
        <v>135</v>
      </c>
      <c r="O2121"/>
      <c r="P2121"/>
      <c r="Q2121" t="s">
        <v>3731</v>
      </c>
      <c r="R2121"/>
      <c r="S2121"/>
      <c r="T2121"/>
      <c r="U2121" t="s">
        <v>137</v>
      </c>
      <c r="V2121" t="s">
        <v>721</v>
      </c>
      <c r="W2121" s="9">
        <v>46185.29003611111</v>
      </c>
      <c r="X2121" t="s">
        <v>91</v>
      </c>
      <c r="Y2121"/>
      <c r="Z2121"/>
      <c r="AA2121" t="s">
        <v>4560</v>
      </c>
      <c r="AB2121"/>
      <c r="AC2121" t="s">
        <v>24</v>
      </c>
      <c r="AD2121" t="s">
        <v>129</v>
      </c>
      <c r="AE2121" s="97"/>
    </row>
    <row r="2122" spans="1:31" ht="14.4" customHeight="1" x14ac:dyDescent="0.3">
      <c r="A2122" t="s">
        <v>4665</v>
      </c>
      <c r="B2122"/>
      <c r="C2122" t="s">
        <v>4488</v>
      </c>
      <c r="D2122"/>
      <c r="E2122" t="s">
        <v>4488</v>
      </c>
      <c r="F2122" t="s">
        <v>6769</v>
      </c>
      <c r="G2122" t="s">
        <v>4559</v>
      </c>
      <c r="H2122" t="s">
        <v>132</v>
      </c>
      <c r="I2122" t="s">
        <v>4</v>
      </c>
      <c r="J2122" t="s">
        <v>4276</v>
      </c>
      <c r="K2122" t="s">
        <v>54</v>
      </c>
      <c r="L2122"/>
      <c r="M2122" t="s">
        <v>134</v>
      </c>
      <c r="N2122" t="s">
        <v>135</v>
      </c>
      <c r="O2122"/>
      <c r="P2122"/>
      <c r="Q2122" t="s">
        <v>3731</v>
      </c>
      <c r="R2122"/>
      <c r="S2122"/>
      <c r="T2122"/>
      <c r="U2122" t="s">
        <v>137</v>
      </c>
      <c r="V2122" t="s">
        <v>721</v>
      </c>
      <c r="W2122" s="9">
        <v>46185.291102743053</v>
      </c>
      <c r="X2122" t="s">
        <v>91</v>
      </c>
      <c r="Y2122"/>
      <c r="Z2122"/>
      <c r="AA2122" t="s">
        <v>4560</v>
      </c>
      <c r="AB2122"/>
      <c r="AC2122" t="s">
        <v>24</v>
      </c>
      <c r="AD2122" t="s">
        <v>129</v>
      </c>
      <c r="AE2122" s="97"/>
    </row>
    <row r="2123" spans="1:31" ht="14.4" customHeight="1" x14ac:dyDescent="0.3">
      <c r="A2123" t="s">
        <v>4666</v>
      </c>
      <c r="B2123"/>
      <c r="C2123" t="s">
        <v>4490</v>
      </c>
      <c r="D2123"/>
      <c r="E2123" t="s">
        <v>4490</v>
      </c>
      <c r="F2123" t="s">
        <v>6769</v>
      </c>
      <c r="G2123" t="s">
        <v>4559</v>
      </c>
      <c r="H2123" t="s">
        <v>132</v>
      </c>
      <c r="I2123" t="s">
        <v>4</v>
      </c>
      <c r="J2123" t="s">
        <v>4276</v>
      </c>
      <c r="K2123" t="s">
        <v>54</v>
      </c>
      <c r="L2123"/>
      <c r="M2123" t="s">
        <v>134</v>
      </c>
      <c r="N2123" t="s">
        <v>135</v>
      </c>
      <c r="O2123"/>
      <c r="P2123"/>
      <c r="Q2123" t="s">
        <v>3731</v>
      </c>
      <c r="R2123"/>
      <c r="S2123"/>
      <c r="T2123"/>
      <c r="U2123" t="s">
        <v>137</v>
      </c>
      <c r="V2123" t="s">
        <v>727</v>
      </c>
      <c r="W2123" s="9">
        <v>46196.240164085648</v>
      </c>
      <c r="X2123" t="s">
        <v>100</v>
      </c>
      <c r="Y2123"/>
      <c r="Z2123"/>
      <c r="AA2123" t="s">
        <v>4560</v>
      </c>
      <c r="AB2123"/>
      <c r="AC2123" t="s">
        <v>24</v>
      </c>
      <c r="AD2123" t="s">
        <v>129</v>
      </c>
      <c r="AE2123" s="97"/>
    </row>
    <row r="2124" spans="1:31" ht="14.4" customHeight="1" x14ac:dyDescent="0.3">
      <c r="A2124" t="s">
        <v>4667</v>
      </c>
      <c r="B2124"/>
      <c r="C2124" t="s">
        <v>4492</v>
      </c>
      <c r="D2124"/>
      <c r="E2124" t="s">
        <v>4492</v>
      </c>
      <c r="F2124" t="s">
        <v>6769</v>
      </c>
      <c r="G2124" t="s">
        <v>4559</v>
      </c>
      <c r="H2124" t="s">
        <v>132</v>
      </c>
      <c r="I2124" t="s">
        <v>4</v>
      </c>
      <c r="J2124" t="s">
        <v>4276</v>
      </c>
      <c r="K2124" t="s">
        <v>54</v>
      </c>
      <c r="L2124"/>
      <c r="M2124" t="s">
        <v>134</v>
      </c>
      <c r="N2124" t="s">
        <v>135</v>
      </c>
      <c r="O2124"/>
      <c r="P2124"/>
      <c r="Q2124" t="s">
        <v>3731</v>
      </c>
      <c r="R2124"/>
      <c r="S2124"/>
      <c r="T2124"/>
      <c r="U2124" t="s">
        <v>137</v>
      </c>
      <c r="V2124" t="s">
        <v>727</v>
      </c>
      <c r="W2124" s="9">
        <v>46166.617238043982</v>
      </c>
      <c r="X2124" t="s">
        <v>100</v>
      </c>
      <c r="Y2124"/>
      <c r="Z2124"/>
      <c r="AA2124" t="s">
        <v>4560</v>
      </c>
      <c r="AB2124"/>
      <c r="AC2124" t="s">
        <v>24</v>
      </c>
      <c r="AD2124" t="s">
        <v>129</v>
      </c>
      <c r="AE2124" s="97"/>
    </row>
    <row r="2125" spans="1:31" ht="14.4" customHeight="1" x14ac:dyDescent="0.3">
      <c r="A2125" t="s">
        <v>4668</v>
      </c>
      <c r="B2125"/>
      <c r="C2125" t="s">
        <v>4494</v>
      </c>
      <c r="D2125"/>
      <c r="E2125" t="s">
        <v>4494</v>
      </c>
      <c r="F2125" t="s">
        <v>6769</v>
      </c>
      <c r="G2125" t="s">
        <v>4559</v>
      </c>
      <c r="H2125" t="s">
        <v>132</v>
      </c>
      <c r="I2125" t="s">
        <v>4</v>
      </c>
      <c r="J2125" t="s">
        <v>4276</v>
      </c>
      <c r="K2125" t="s">
        <v>54</v>
      </c>
      <c r="L2125"/>
      <c r="M2125" t="s">
        <v>134</v>
      </c>
      <c r="N2125" t="s">
        <v>135</v>
      </c>
      <c r="O2125"/>
      <c r="P2125"/>
      <c r="Q2125" t="s">
        <v>3731</v>
      </c>
      <c r="R2125"/>
      <c r="S2125"/>
      <c r="T2125"/>
      <c r="U2125" t="s">
        <v>137</v>
      </c>
      <c r="V2125" t="s">
        <v>727</v>
      </c>
      <c r="W2125" s="9">
        <v>46196.241323182869</v>
      </c>
      <c r="X2125" t="s">
        <v>100</v>
      </c>
      <c r="Y2125"/>
      <c r="Z2125"/>
      <c r="AA2125" t="s">
        <v>4560</v>
      </c>
      <c r="AB2125"/>
      <c r="AC2125" t="s">
        <v>24</v>
      </c>
      <c r="AD2125" t="s">
        <v>129</v>
      </c>
      <c r="AE2125" s="97"/>
    </row>
    <row r="2126" spans="1:31" ht="14.4" customHeight="1" x14ac:dyDescent="0.3">
      <c r="A2126" t="s">
        <v>4669</v>
      </c>
      <c r="B2126"/>
      <c r="C2126" t="s">
        <v>4496</v>
      </c>
      <c r="D2126"/>
      <c r="E2126" t="s">
        <v>4496</v>
      </c>
      <c r="F2126" t="s">
        <v>6769</v>
      </c>
      <c r="G2126" t="s">
        <v>4559</v>
      </c>
      <c r="H2126" t="s">
        <v>132</v>
      </c>
      <c r="I2126" t="s">
        <v>4</v>
      </c>
      <c r="J2126" t="s">
        <v>4276</v>
      </c>
      <c r="K2126" t="s">
        <v>54</v>
      </c>
      <c r="L2126"/>
      <c r="M2126" t="s">
        <v>134</v>
      </c>
      <c r="N2126" t="s">
        <v>135</v>
      </c>
      <c r="O2126"/>
      <c r="P2126"/>
      <c r="Q2126" t="s">
        <v>3731</v>
      </c>
      <c r="R2126"/>
      <c r="S2126"/>
      <c r="T2126"/>
      <c r="U2126" t="s">
        <v>137</v>
      </c>
      <c r="V2126" t="s">
        <v>727</v>
      </c>
      <c r="W2126" s="9">
        <v>46196.243236111113</v>
      </c>
      <c r="X2126" t="s">
        <v>100</v>
      </c>
      <c r="Y2126"/>
      <c r="Z2126"/>
      <c r="AA2126" t="s">
        <v>4560</v>
      </c>
      <c r="AB2126"/>
      <c r="AC2126" t="s">
        <v>24</v>
      </c>
      <c r="AD2126" t="s">
        <v>129</v>
      </c>
      <c r="AE2126" s="97"/>
    </row>
    <row r="2127" spans="1:31" ht="14.4" customHeight="1" x14ac:dyDescent="0.3">
      <c r="A2127" t="s">
        <v>4670</v>
      </c>
      <c r="B2127"/>
      <c r="C2127" t="s">
        <v>4498</v>
      </c>
      <c r="D2127"/>
      <c r="E2127" t="s">
        <v>4498</v>
      </c>
      <c r="F2127" t="s">
        <v>6769</v>
      </c>
      <c r="G2127" t="s">
        <v>4559</v>
      </c>
      <c r="H2127" t="s">
        <v>132</v>
      </c>
      <c r="I2127" t="s">
        <v>4</v>
      </c>
      <c r="J2127" t="s">
        <v>4276</v>
      </c>
      <c r="K2127" t="s">
        <v>54</v>
      </c>
      <c r="L2127"/>
      <c r="M2127" t="s">
        <v>134</v>
      </c>
      <c r="N2127" t="s">
        <v>135</v>
      </c>
      <c r="O2127"/>
      <c r="P2127"/>
      <c r="Q2127" t="s">
        <v>3731</v>
      </c>
      <c r="R2127"/>
      <c r="S2127"/>
      <c r="T2127"/>
      <c r="U2127" t="s">
        <v>137</v>
      </c>
      <c r="V2127" t="s">
        <v>727</v>
      </c>
      <c r="W2127" s="9">
        <v>46196.244436689813</v>
      </c>
      <c r="X2127" t="s">
        <v>100</v>
      </c>
      <c r="Y2127"/>
      <c r="Z2127"/>
      <c r="AA2127" t="s">
        <v>4560</v>
      </c>
      <c r="AB2127"/>
      <c r="AC2127" t="s">
        <v>24</v>
      </c>
      <c r="AD2127" t="s">
        <v>129</v>
      </c>
      <c r="AE2127" s="97"/>
    </row>
    <row r="2128" spans="1:31" ht="14.4" customHeight="1" x14ac:dyDescent="0.3">
      <c r="A2128" t="s">
        <v>4671</v>
      </c>
      <c r="B2128"/>
      <c r="C2128" t="s">
        <v>4500</v>
      </c>
      <c r="D2128"/>
      <c r="E2128" t="s">
        <v>4500</v>
      </c>
      <c r="F2128" t="s">
        <v>6769</v>
      </c>
      <c r="G2128" t="s">
        <v>4559</v>
      </c>
      <c r="H2128" t="s">
        <v>132</v>
      </c>
      <c r="I2128" t="s">
        <v>4</v>
      </c>
      <c r="J2128" t="s">
        <v>4276</v>
      </c>
      <c r="K2128" t="s">
        <v>54</v>
      </c>
      <c r="L2128"/>
      <c r="M2128" t="s">
        <v>134</v>
      </c>
      <c r="N2128" t="s">
        <v>135</v>
      </c>
      <c r="O2128"/>
      <c r="P2128"/>
      <c r="Q2128" t="s">
        <v>3731</v>
      </c>
      <c r="R2128"/>
      <c r="S2128"/>
      <c r="T2128"/>
      <c r="U2128" t="s">
        <v>137</v>
      </c>
      <c r="V2128" t="s">
        <v>727</v>
      </c>
      <c r="W2128" s="9">
        <v>46196.246037881945</v>
      </c>
      <c r="X2128" t="s">
        <v>100</v>
      </c>
      <c r="Y2128"/>
      <c r="Z2128"/>
      <c r="AA2128" t="s">
        <v>4560</v>
      </c>
      <c r="AB2128"/>
      <c r="AC2128" t="s">
        <v>24</v>
      </c>
      <c r="AD2128" t="s">
        <v>129</v>
      </c>
      <c r="AE2128" s="97"/>
    </row>
    <row r="2129" spans="1:31" ht="14.4" customHeight="1" x14ac:dyDescent="0.3">
      <c r="A2129" t="s">
        <v>4672</v>
      </c>
      <c r="B2129"/>
      <c r="C2129" t="s">
        <v>4502</v>
      </c>
      <c r="D2129"/>
      <c r="E2129" t="s">
        <v>4502</v>
      </c>
      <c r="F2129" t="s">
        <v>6769</v>
      </c>
      <c r="G2129" t="s">
        <v>4559</v>
      </c>
      <c r="H2129" t="s">
        <v>132</v>
      </c>
      <c r="I2129" t="s">
        <v>4</v>
      </c>
      <c r="J2129" t="s">
        <v>4276</v>
      </c>
      <c r="K2129" t="s">
        <v>54</v>
      </c>
      <c r="L2129"/>
      <c r="M2129" t="s">
        <v>134</v>
      </c>
      <c r="N2129" t="s">
        <v>135</v>
      </c>
      <c r="O2129"/>
      <c r="P2129"/>
      <c r="Q2129" t="s">
        <v>3731</v>
      </c>
      <c r="R2129"/>
      <c r="S2129"/>
      <c r="T2129"/>
      <c r="U2129" t="s">
        <v>137</v>
      </c>
      <c r="V2129" t="s">
        <v>733</v>
      </c>
      <c r="W2129" s="9">
        <v>46199.207798298608</v>
      </c>
      <c r="X2129" t="s">
        <v>109</v>
      </c>
      <c r="Y2129"/>
      <c r="Z2129"/>
      <c r="AA2129" t="s">
        <v>4560</v>
      </c>
      <c r="AB2129"/>
      <c r="AC2129" t="s">
        <v>24</v>
      </c>
      <c r="AD2129" t="s">
        <v>129</v>
      </c>
      <c r="AE2129" s="97"/>
    </row>
    <row r="2130" spans="1:31" ht="14.4" customHeight="1" x14ac:dyDescent="0.3">
      <c r="A2130" t="s">
        <v>4673</v>
      </c>
      <c r="B2130"/>
      <c r="C2130" t="s">
        <v>4504</v>
      </c>
      <c r="D2130"/>
      <c r="E2130" t="s">
        <v>4504</v>
      </c>
      <c r="F2130" t="s">
        <v>6769</v>
      </c>
      <c r="G2130" t="s">
        <v>4559</v>
      </c>
      <c r="H2130" t="s">
        <v>132</v>
      </c>
      <c r="I2130" t="s">
        <v>4</v>
      </c>
      <c r="J2130" t="s">
        <v>4276</v>
      </c>
      <c r="K2130" t="s">
        <v>54</v>
      </c>
      <c r="L2130"/>
      <c r="M2130" t="s">
        <v>134</v>
      </c>
      <c r="N2130" t="s">
        <v>135</v>
      </c>
      <c r="O2130"/>
      <c r="P2130"/>
      <c r="Q2130" t="s">
        <v>3731</v>
      </c>
      <c r="R2130"/>
      <c r="S2130"/>
      <c r="T2130"/>
      <c r="U2130" t="s">
        <v>137</v>
      </c>
      <c r="V2130" t="s">
        <v>733</v>
      </c>
      <c r="W2130" s="9">
        <v>46180.774252280091</v>
      </c>
      <c r="X2130" t="s">
        <v>109</v>
      </c>
      <c r="Y2130"/>
      <c r="Z2130"/>
      <c r="AA2130" t="s">
        <v>4560</v>
      </c>
      <c r="AB2130"/>
      <c r="AC2130" t="s">
        <v>24</v>
      </c>
      <c r="AD2130" t="s">
        <v>129</v>
      </c>
      <c r="AE2130" s="97"/>
    </row>
    <row r="2131" spans="1:31" ht="14.4" customHeight="1" x14ac:dyDescent="0.3">
      <c r="A2131" t="s">
        <v>4674</v>
      </c>
      <c r="B2131"/>
      <c r="C2131" t="s">
        <v>4506</v>
      </c>
      <c r="D2131"/>
      <c r="E2131" t="s">
        <v>4506</v>
      </c>
      <c r="F2131" t="s">
        <v>6769</v>
      </c>
      <c r="G2131" t="s">
        <v>4559</v>
      </c>
      <c r="H2131" t="s">
        <v>132</v>
      </c>
      <c r="I2131" t="s">
        <v>4</v>
      </c>
      <c r="J2131" t="s">
        <v>4276</v>
      </c>
      <c r="K2131" t="s">
        <v>54</v>
      </c>
      <c r="L2131"/>
      <c r="M2131" t="s">
        <v>134</v>
      </c>
      <c r="N2131" t="s">
        <v>135</v>
      </c>
      <c r="O2131"/>
      <c r="P2131"/>
      <c r="Q2131" t="s">
        <v>3731</v>
      </c>
      <c r="R2131"/>
      <c r="S2131"/>
      <c r="T2131"/>
      <c r="U2131" t="s">
        <v>137</v>
      </c>
      <c r="V2131" t="s">
        <v>733</v>
      </c>
      <c r="W2131" s="9">
        <v>46199.209049999998</v>
      </c>
      <c r="X2131" t="s">
        <v>109</v>
      </c>
      <c r="Y2131"/>
      <c r="Z2131"/>
      <c r="AA2131" t="s">
        <v>4560</v>
      </c>
      <c r="AB2131"/>
      <c r="AC2131" t="s">
        <v>24</v>
      </c>
      <c r="AD2131" t="s">
        <v>129</v>
      </c>
      <c r="AE2131" s="97"/>
    </row>
    <row r="2132" spans="1:31" ht="14.4" customHeight="1" x14ac:dyDescent="0.3">
      <c r="A2132" t="s">
        <v>4675</v>
      </c>
      <c r="B2132"/>
      <c r="C2132" t="s">
        <v>4508</v>
      </c>
      <c r="D2132"/>
      <c r="E2132" t="s">
        <v>4508</v>
      </c>
      <c r="F2132" t="s">
        <v>6769</v>
      </c>
      <c r="G2132" t="s">
        <v>4559</v>
      </c>
      <c r="H2132" t="s">
        <v>132</v>
      </c>
      <c r="I2132" t="s">
        <v>4</v>
      </c>
      <c r="J2132" t="s">
        <v>4276</v>
      </c>
      <c r="K2132" t="s">
        <v>54</v>
      </c>
      <c r="L2132"/>
      <c r="M2132" t="s">
        <v>134</v>
      </c>
      <c r="N2132" t="s">
        <v>135</v>
      </c>
      <c r="O2132"/>
      <c r="P2132"/>
      <c r="Q2132" t="s">
        <v>3731</v>
      </c>
      <c r="R2132"/>
      <c r="S2132"/>
      <c r="T2132"/>
      <c r="U2132" t="s">
        <v>137</v>
      </c>
      <c r="V2132" t="s">
        <v>733</v>
      </c>
      <c r="W2132" s="9">
        <v>46199.210106678242</v>
      </c>
      <c r="X2132" t="s">
        <v>109</v>
      </c>
      <c r="Y2132"/>
      <c r="Z2132"/>
      <c r="AA2132" t="s">
        <v>4560</v>
      </c>
      <c r="AB2132"/>
      <c r="AC2132" t="s">
        <v>24</v>
      </c>
      <c r="AD2132" t="s">
        <v>129</v>
      </c>
      <c r="AE2132" s="97"/>
    </row>
    <row r="2133" spans="1:31" ht="14.4" customHeight="1" x14ac:dyDescent="0.3">
      <c r="A2133" t="s">
        <v>4676</v>
      </c>
      <c r="B2133"/>
      <c r="C2133" t="s">
        <v>4510</v>
      </c>
      <c r="D2133"/>
      <c r="E2133" t="s">
        <v>4510</v>
      </c>
      <c r="F2133" t="s">
        <v>6769</v>
      </c>
      <c r="G2133" t="s">
        <v>4559</v>
      </c>
      <c r="H2133" t="s">
        <v>132</v>
      </c>
      <c r="I2133" t="s">
        <v>4</v>
      </c>
      <c r="J2133" t="s">
        <v>4276</v>
      </c>
      <c r="K2133" t="s">
        <v>54</v>
      </c>
      <c r="L2133"/>
      <c r="M2133" t="s">
        <v>134</v>
      </c>
      <c r="N2133" t="s">
        <v>135</v>
      </c>
      <c r="O2133"/>
      <c r="P2133"/>
      <c r="Q2133" t="s">
        <v>3731</v>
      </c>
      <c r="R2133"/>
      <c r="S2133"/>
      <c r="T2133"/>
      <c r="U2133" t="s">
        <v>137</v>
      </c>
      <c r="V2133" t="s">
        <v>733</v>
      </c>
      <c r="W2133" s="9">
        <v>46199.211197418983</v>
      </c>
      <c r="X2133" t="s">
        <v>109</v>
      </c>
      <c r="Y2133"/>
      <c r="Z2133"/>
      <c r="AA2133" t="s">
        <v>4560</v>
      </c>
      <c r="AB2133"/>
      <c r="AC2133" t="s">
        <v>24</v>
      </c>
      <c r="AD2133" t="s">
        <v>129</v>
      </c>
      <c r="AE2133" s="97"/>
    </row>
    <row r="2134" spans="1:31" ht="14.4" customHeight="1" x14ac:dyDescent="0.3">
      <c r="A2134" t="s">
        <v>4677</v>
      </c>
      <c r="B2134"/>
      <c r="C2134" t="s">
        <v>4512</v>
      </c>
      <c r="D2134"/>
      <c r="E2134" t="s">
        <v>4512</v>
      </c>
      <c r="F2134" t="s">
        <v>6769</v>
      </c>
      <c r="G2134" t="s">
        <v>4559</v>
      </c>
      <c r="H2134" t="s">
        <v>132</v>
      </c>
      <c r="I2134" t="s">
        <v>4</v>
      </c>
      <c r="J2134" t="s">
        <v>4276</v>
      </c>
      <c r="K2134" t="s">
        <v>54</v>
      </c>
      <c r="L2134"/>
      <c r="M2134" t="s">
        <v>134</v>
      </c>
      <c r="N2134" t="s">
        <v>135</v>
      </c>
      <c r="O2134"/>
      <c r="P2134"/>
      <c r="Q2134" t="s">
        <v>3731</v>
      </c>
      <c r="R2134"/>
      <c r="S2134"/>
      <c r="T2134"/>
      <c r="U2134" t="s">
        <v>137</v>
      </c>
      <c r="V2134" t="s">
        <v>733</v>
      </c>
      <c r="W2134" s="9">
        <v>46199.212072071758</v>
      </c>
      <c r="X2134" t="s">
        <v>109</v>
      </c>
      <c r="Y2134"/>
      <c r="Z2134"/>
      <c r="AA2134" t="s">
        <v>4560</v>
      </c>
      <c r="AB2134"/>
      <c r="AC2134" t="s">
        <v>24</v>
      </c>
      <c r="AD2134" t="s">
        <v>129</v>
      </c>
      <c r="AE2134" s="97"/>
    </row>
    <row r="2135" spans="1:31" ht="14.4" customHeight="1" x14ac:dyDescent="0.3">
      <c r="A2135" t="s">
        <v>4678</v>
      </c>
      <c r="B2135"/>
      <c r="C2135" t="s">
        <v>4514</v>
      </c>
      <c r="D2135"/>
      <c r="E2135" t="s">
        <v>4514</v>
      </c>
      <c r="F2135" t="s">
        <v>6769</v>
      </c>
      <c r="G2135" t="s">
        <v>4559</v>
      </c>
      <c r="H2135" t="s">
        <v>132</v>
      </c>
      <c r="I2135" t="s">
        <v>4</v>
      </c>
      <c r="J2135" t="s">
        <v>4276</v>
      </c>
      <c r="K2135" t="s">
        <v>54</v>
      </c>
      <c r="L2135"/>
      <c r="M2135" t="s">
        <v>134</v>
      </c>
      <c r="N2135" t="s">
        <v>135</v>
      </c>
      <c r="O2135"/>
      <c r="P2135"/>
      <c r="Q2135" t="s">
        <v>3731</v>
      </c>
      <c r="R2135"/>
      <c r="S2135"/>
      <c r="T2135"/>
      <c r="U2135" t="s">
        <v>137</v>
      </c>
      <c r="V2135" t="s">
        <v>739</v>
      </c>
      <c r="W2135" s="9">
        <v>46199.21463209491</v>
      </c>
      <c r="X2135" t="s">
        <v>118</v>
      </c>
      <c r="Y2135"/>
      <c r="Z2135"/>
      <c r="AA2135" t="s">
        <v>4560</v>
      </c>
      <c r="AB2135"/>
      <c r="AC2135" t="s">
        <v>24</v>
      </c>
      <c r="AD2135" t="s">
        <v>130</v>
      </c>
      <c r="AE2135" s="97"/>
    </row>
    <row r="2136" spans="1:31" ht="14.4" customHeight="1" x14ac:dyDescent="0.3">
      <c r="A2136" t="s">
        <v>4679</v>
      </c>
      <c r="B2136"/>
      <c r="C2136" t="s">
        <v>4516</v>
      </c>
      <c r="D2136"/>
      <c r="E2136" t="s">
        <v>4516</v>
      </c>
      <c r="F2136" t="s">
        <v>6769</v>
      </c>
      <c r="G2136" t="s">
        <v>4559</v>
      </c>
      <c r="H2136" t="s">
        <v>132</v>
      </c>
      <c r="I2136" t="s">
        <v>4</v>
      </c>
      <c r="J2136" t="s">
        <v>4276</v>
      </c>
      <c r="K2136" t="s">
        <v>54</v>
      </c>
      <c r="L2136"/>
      <c r="M2136" t="s">
        <v>134</v>
      </c>
      <c r="N2136" t="s">
        <v>135</v>
      </c>
      <c r="O2136"/>
      <c r="P2136"/>
      <c r="Q2136" t="s">
        <v>3731</v>
      </c>
      <c r="R2136"/>
      <c r="S2136"/>
      <c r="T2136"/>
      <c r="U2136" t="s">
        <v>137</v>
      </c>
      <c r="V2136" t="s">
        <v>739</v>
      </c>
      <c r="W2136" s="9">
        <v>46180.775763391204</v>
      </c>
      <c r="X2136" t="s">
        <v>118</v>
      </c>
      <c r="Y2136"/>
      <c r="Z2136"/>
      <c r="AA2136" t="s">
        <v>4560</v>
      </c>
      <c r="AB2136"/>
      <c r="AC2136" t="s">
        <v>24</v>
      </c>
      <c r="AD2136" t="s">
        <v>130</v>
      </c>
      <c r="AE2136" s="97"/>
    </row>
    <row r="2137" spans="1:31" ht="14.4" customHeight="1" x14ac:dyDescent="0.3">
      <c r="A2137" t="s">
        <v>4680</v>
      </c>
      <c r="B2137"/>
      <c r="C2137" t="s">
        <v>4518</v>
      </c>
      <c r="D2137"/>
      <c r="E2137" t="s">
        <v>4518</v>
      </c>
      <c r="F2137" t="s">
        <v>6769</v>
      </c>
      <c r="G2137" t="s">
        <v>4559</v>
      </c>
      <c r="H2137" t="s">
        <v>132</v>
      </c>
      <c r="I2137" t="s">
        <v>4</v>
      </c>
      <c r="J2137" t="s">
        <v>4276</v>
      </c>
      <c r="K2137" t="s">
        <v>54</v>
      </c>
      <c r="L2137"/>
      <c r="M2137" t="s">
        <v>134</v>
      </c>
      <c r="N2137" t="s">
        <v>135</v>
      </c>
      <c r="O2137"/>
      <c r="P2137"/>
      <c r="Q2137" t="s">
        <v>3731</v>
      </c>
      <c r="R2137"/>
      <c r="S2137"/>
      <c r="T2137"/>
      <c r="U2137" t="s">
        <v>137</v>
      </c>
      <c r="V2137" t="s">
        <v>739</v>
      </c>
      <c r="W2137" s="9">
        <v>46199.220547604164</v>
      </c>
      <c r="X2137" t="s">
        <v>118</v>
      </c>
      <c r="Y2137"/>
      <c r="Z2137"/>
      <c r="AA2137" t="s">
        <v>4560</v>
      </c>
      <c r="AB2137"/>
      <c r="AC2137" t="s">
        <v>24</v>
      </c>
      <c r="AD2137" t="s">
        <v>130</v>
      </c>
      <c r="AE2137" s="97"/>
    </row>
    <row r="2138" spans="1:31" ht="14.4" customHeight="1" x14ac:dyDescent="0.3">
      <c r="A2138" t="s">
        <v>4681</v>
      </c>
      <c r="B2138"/>
      <c r="C2138" t="s">
        <v>4520</v>
      </c>
      <c r="D2138"/>
      <c r="E2138" t="s">
        <v>4520</v>
      </c>
      <c r="F2138" t="s">
        <v>6769</v>
      </c>
      <c r="G2138" t="s">
        <v>4559</v>
      </c>
      <c r="H2138" t="s">
        <v>132</v>
      </c>
      <c r="I2138" t="s">
        <v>4</v>
      </c>
      <c r="J2138" t="s">
        <v>4276</v>
      </c>
      <c r="K2138" t="s">
        <v>54</v>
      </c>
      <c r="L2138"/>
      <c r="M2138" t="s">
        <v>134</v>
      </c>
      <c r="N2138" t="s">
        <v>135</v>
      </c>
      <c r="O2138"/>
      <c r="P2138"/>
      <c r="Q2138" t="s">
        <v>3731</v>
      </c>
      <c r="R2138"/>
      <c r="S2138"/>
      <c r="T2138"/>
      <c r="U2138" t="s">
        <v>137</v>
      </c>
      <c r="V2138" t="s">
        <v>739</v>
      </c>
      <c r="W2138" s="9">
        <v>46199.222944988425</v>
      </c>
      <c r="X2138" t="s">
        <v>118</v>
      </c>
      <c r="Y2138"/>
      <c r="Z2138"/>
      <c r="AA2138" t="s">
        <v>4560</v>
      </c>
      <c r="AB2138"/>
      <c r="AC2138" t="s">
        <v>24</v>
      </c>
      <c r="AD2138" t="s">
        <v>130</v>
      </c>
      <c r="AE2138" s="97"/>
    </row>
    <row r="2139" spans="1:31" ht="14.4" customHeight="1" x14ac:dyDescent="0.3">
      <c r="A2139" t="s">
        <v>4682</v>
      </c>
      <c r="B2139"/>
      <c r="C2139" t="s">
        <v>4522</v>
      </c>
      <c r="D2139"/>
      <c r="E2139" t="s">
        <v>4522</v>
      </c>
      <c r="F2139" t="s">
        <v>6769</v>
      </c>
      <c r="G2139" t="s">
        <v>4559</v>
      </c>
      <c r="H2139" t="s">
        <v>132</v>
      </c>
      <c r="I2139" t="s">
        <v>4</v>
      </c>
      <c r="J2139" t="s">
        <v>4276</v>
      </c>
      <c r="K2139" t="s">
        <v>54</v>
      </c>
      <c r="L2139"/>
      <c r="M2139" t="s">
        <v>134</v>
      </c>
      <c r="N2139" t="s">
        <v>135</v>
      </c>
      <c r="O2139"/>
      <c r="P2139"/>
      <c r="Q2139" t="s">
        <v>3731</v>
      </c>
      <c r="R2139"/>
      <c r="S2139"/>
      <c r="T2139"/>
      <c r="U2139" t="s">
        <v>137</v>
      </c>
      <c r="V2139" t="s">
        <v>739</v>
      </c>
      <c r="W2139" s="9">
        <v>46199.225518055558</v>
      </c>
      <c r="X2139" t="s">
        <v>118</v>
      </c>
      <c r="Y2139"/>
      <c r="Z2139"/>
      <c r="AA2139" t="s">
        <v>4560</v>
      </c>
      <c r="AB2139"/>
      <c r="AC2139" t="s">
        <v>24</v>
      </c>
      <c r="AD2139" t="s">
        <v>130</v>
      </c>
      <c r="AE2139" s="97"/>
    </row>
    <row r="2140" spans="1:31" ht="14.4" customHeight="1" x14ac:dyDescent="0.3">
      <c r="A2140" t="s">
        <v>4683</v>
      </c>
      <c r="B2140"/>
      <c r="C2140" t="s">
        <v>4524</v>
      </c>
      <c r="D2140"/>
      <c r="E2140" t="s">
        <v>4524</v>
      </c>
      <c r="F2140" t="s">
        <v>6769</v>
      </c>
      <c r="G2140" t="s">
        <v>4559</v>
      </c>
      <c r="H2140" t="s">
        <v>132</v>
      </c>
      <c r="I2140" t="s">
        <v>4</v>
      </c>
      <c r="J2140" t="s">
        <v>4276</v>
      </c>
      <c r="K2140" t="s">
        <v>54</v>
      </c>
      <c r="L2140"/>
      <c r="M2140" t="s">
        <v>134</v>
      </c>
      <c r="N2140" t="s">
        <v>135</v>
      </c>
      <c r="O2140"/>
      <c r="P2140"/>
      <c r="Q2140" t="s">
        <v>3731</v>
      </c>
      <c r="R2140"/>
      <c r="S2140"/>
      <c r="T2140"/>
      <c r="U2140" t="s">
        <v>137</v>
      </c>
      <c r="V2140" t="s">
        <v>739</v>
      </c>
      <c r="W2140" s="9">
        <v>46199.226523113422</v>
      </c>
      <c r="X2140" t="s">
        <v>118</v>
      </c>
      <c r="Y2140"/>
      <c r="Z2140"/>
      <c r="AA2140" t="s">
        <v>4560</v>
      </c>
      <c r="AB2140"/>
      <c r="AC2140" t="s">
        <v>24</v>
      </c>
      <c r="AD2140" t="s">
        <v>130</v>
      </c>
      <c r="AE2140" s="97"/>
    </row>
    <row r="2141" spans="1:31" ht="14.4" customHeight="1" x14ac:dyDescent="0.3">
      <c r="A2141" t="s">
        <v>4684</v>
      </c>
      <c r="B2141"/>
      <c r="C2141" t="s">
        <v>4526</v>
      </c>
      <c r="D2141"/>
      <c r="E2141" t="s">
        <v>4526</v>
      </c>
      <c r="F2141" t="s">
        <v>6769</v>
      </c>
      <c r="G2141" t="s">
        <v>4559</v>
      </c>
      <c r="H2141" t="s">
        <v>132</v>
      </c>
      <c r="I2141" t="s">
        <v>4</v>
      </c>
      <c r="J2141" t="s">
        <v>4276</v>
      </c>
      <c r="K2141" t="s">
        <v>54</v>
      </c>
      <c r="L2141"/>
      <c r="M2141" t="s">
        <v>134</v>
      </c>
      <c r="N2141" t="s">
        <v>135</v>
      </c>
      <c r="O2141"/>
      <c r="P2141"/>
      <c r="Q2141" t="s">
        <v>3731</v>
      </c>
      <c r="R2141"/>
      <c r="S2141"/>
      <c r="T2141"/>
      <c r="U2141" t="s">
        <v>137</v>
      </c>
      <c r="V2141" t="s">
        <v>1967</v>
      </c>
      <c r="W2141" s="9">
        <v>46114.511094479167</v>
      </c>
      <c r="X2141" t="s">
        <v>125</v>
      </c>
      <c r="Y2141"/>
      <c r="Z2141"/>
      <c r="AA2141" t="s">
        <v>4560</v>
      </c>
      <c r="AB2141"/>
      <c r="AC2141" t="s">
        <v>24</v>
      </c>
      <c r="AD2141" t="s">
        <v>131</v>
      </c>
      <c r="AE2141" s="97"/>
    </row>
    <row r="2142" spans="1:31" ht="14.4" customHeight="1" x14ac:dyDescent="0.3">
      <c r="A2142" t="s">
        <v>4685</v>
      </c>
      <c r="B2142"/>
      <c r="C2142" t="s">
        <v>4528</v>
      </c>
      <c r="D2142"/>
      <c r="E2142" t="s">
        <v>4528</v>
      </c>
      <c r="F2142" t="s">
        <v>6769</v>
      </c>
      <c r="G2142" t="s">
        <v>4559</v>
      </c>
      <c r="H2142" t="s">
        <v>132</v>
      </c>
      <c r="I2142" t="s">
        <v>4</v>
      </c>
      <c r="J2142" t="s">
        <v>4276</v>
      </c>
      <c r="K2142" t="s">
        <v>54</v>
      </c>
      <c r="L2142"/>
      <c r="M2142" t="s">
        <v>134</v>
      </c>
      <c r="N2142" t="s">
        <v>135</v>
      </c>
      <c r="O2142"/>
      <c r="P2142"/>
      <c r="Q2142" t="s">
        <v>3731</v>
      </c>
      <c r="R2142"/>
      <c r="S2142"/>
      <c r="T2142"/>
      <c r="U2142" t="s">
        <v>137</v>
      </c>
      <c r="V2142" t="s">
        <v>1967</v>
      </c>
      <c r="W2142" s="9">
        <v>46166.618505092592</v>
      </c>
      <c r="X2142" t="s">
        <v>125</v>
      </c>
      <c r="Y2142"/>
      <c r="Z2142"/>
      <c r="AA2142" t="s">
        <v>4560</v>
      </c>
      <c r="AB2142"/>
      <c r="AC2142" t="s">
        <v>24</v>
      </c>
      <c r="AD2142" t="s">
        <v>131</v>
      </c>
      <c r="AE2142" s="97"/>
    </row>
    <row r="2143" spans="1:31" ht="14.4" customHeight="1" x14ac:dyDescent="0.3">
      <c r="A2143" t="s">
        <v>4686</v>
      </c>
      <c r="B2143"/>
      <c r="C2143" t="s">
        <v>4530</v>
      </c>
      <c r="D2143"/>
      <c r="E2143" t="s">
        <v>4530</v>
      </c>
      <c r="F2143" t="s">
        <v>6769</v>
      </c>
      <c r="G2143" t="s">
        <v>4559</v>
      </c>
      <c r="H2143" t="s">
        <v>132</v>
      </c>
      <c r="I2143" t="s">
        <v>4</v>
      </c>
      <c r="J2143" t="s">
        <v>4276</v>
      </c>
      <c r="K2143" t="s">
        <v>54</v>
      </c>
      <c r="L2143"/>
      <c r="M2143" t="s">
        <v>134</v>
      </c>
      <c r="N2143" t="s">
        <v>135</v>
      </c>
      <c r="O2143"/>
      <c r="P2143"/>
      <c r="Q2143" t="s">
        <v>3731</v>
      </c>
      <c r="R2143"/>
      <c r="S2143"/>
      <c r="T2143"/>
      <c r="U2143" t="s">
        <v>137</v>
      </c>
      <c r="V2143" t="s">
        <v>1967</v>
      </c>
      <c r="W2143" s="9">
        <v>46107.775964583336</v>
      </c>
      <c r="X2143" t="s">
        <v>125</v>
      </c>
      <c r="Y2143"/>
      <c r="Z2143"/>
      <c r="AA2143" t="s">
        <v>4560</v>
      </c>
      <c r="AB2143"/>
      <c r="AC2143" t="s">
        <v>24</v>
      </c>
      <c r="AD2143" t="s">
        <v>131</v>
      </c>
      <c r="AE2143" s="97"/>
    </row>
    <row r="2144" spans="1:31" ht="14.4" customHeight="1" x14ac:dyDescent="0.3">
      <c r="A2144" t="s">
        <v>4687</v>
      </c>
      <c r="B2144"/>
      <c r="C2144" t="s">
        <v>4532</v>
      </c>
      <c r="D2144"/>
      <c r="E2144" t="s">
        <v>4532</v>
      </c>
      <c r="F2144" t="s">
        <v>6769</v>
      </c>
      <c r="G2144" t="s">
        <v>4559</v>
      </c>
      <c r="H2144" t="s">
        <v>132</v>
      </c>
      <c r="I2144" t="s">
        <v>4</v>
      </c>
      <c r="J2144" t="s">
        <v>4276</v>
      </c>
      <c r="K2144" t="s">
        <v>54</v>
      </c>
      <c r="L2144"/>
      <c r="M2144" t="s">
        <v>134</v>
      </c>
      <c r="N2144" t="s">
        <v>135</v>
      </c>
      <c r="O2144"/>
      <c r="P2144"/>
      <c r="Q2144" t="s">
        <v>3731</v>
      </c>
      <c r="R2144"/>
      <c r="S2144"/>
      <c r="T2144"/>
      <c r="U2144" t="s">
        <v>137</v>
      </c>
      <c r="V2144" t="s">
        <v>1259</v>
      </c>
      <c r="W2144" s="9">
        <v>46114.519403506943</v>
      </c>
      <c r="X2144" t="s">
        <v>126</v>
      </c>
      <c r="Y2144"/>
      <c r="Z2144"/>
      <c r="AA2144" t="s">
        <v>4560</v>
      </c>
      <c r="AB2144"/>
      <c r="AC2144" t="s">
        <v>24</v>
      </c>
      <c r="AD2144" t="s">
        <v>131</v>
      </c>
      <c r="AE2144" s="97"/>
    </row>
    <row r="2145" spans="1:31" ht="14.4" customHeight="1" x14ac:dyDescent="0.3">
      <c r="A2145" t="s">
        <v>4688</v>
      </c>
      <c r="B2145"/>
      <c r="C2145" t="s">
        <v>4534</v>
      </c>
      <c r="D2145"/>
      <c r="E2145" t="s">
        <v>4534</v>
      </c>
      <c r="F2145" t="s">
        <v>6769</v>
      </c>
      <c r="G2145" t="s">
        <v>4559</v>
      </c>
      <c r="H2145" t="s">
        <v>132</v>
      </c>
      <c r="I2145" t="s">
        <v>4</v>
      </c>
      <c r="J2145" t="s">
        <v>4276</v>
      </c>
      <c r="K2145" t="s">
        <v>54</v>
      </c>
      <c r="L2145"/>
      <c r="M2145" t="s">
        <v>134</v>
      </c>
      <c r="N2145" t="s">
        <v>135</v>
      </c>
      <c r="O2145"/>
      <c r="P2145"/>
      <c r="Q2145" t="s">
        <v>3731</v>
      </c>
      <c r="R2145"/>
      <c r="S2145"/>
      <c r="T2145"/>
      <c r="U2145" t="s">
        <v>137</v>
      </c>
      <c r="V2145" t="s">
        <v>1259</v>
      </c>
      <c r="W2145" s="9">
        <v>46199.218054942132</v>
      </c>
      <c r="X2145" t="s">
        <v>126</v>
      </c>
      <c r="Y2145"/>
      <c r="Z2145"/>
      <c r="AA2145" t="s">
        <v>4560</v>
      </c>
      <c r="AB2145"/>
      <c r="AC2145" t="s">
        <v>24</v>
      </c>
      <c r="AD2145" t="s">
        <v>131</v>
      </c>
      <c r="AE2145" s="97"/>
    </row>
    <row r="2146" spans="1:31" ht="14.4" customHeight="1" x14ac:dyDescent="0.3">
      <c r="A2146" t="s">
        <v>4689</v>
      </c>
      <c r="B2146"/>
      <c r="C2146" t="s">
        <v>4536</v>
      </c>
      <c r="D2146"/>
      <c r="E2146" t="s">
        <v>4536</v>
      </c>
      <c r="F2146" t="s">
        <v>6769</v>
      </c>
      <c r="G2146" t="s">
        <v>4559</v>
      </c>
      <c r="H2146" t="s">
        <v>132</v>
      </c>
      <c r="I2146" t="s">
        <v>4</v>
      </c>
      <c r="J2146" t="s">
        <v>4276</v>
      </c>
      <c r="K2146" t="s">
        <v>54</v>
      </c>
      <c r="L2146"/>
      <c r="M2146" t="s">
        <v>134</v>
      </c>
      <c r="N2146" t="s">
        <v>135</v>
      </c>
      <c r="O2146"/>
      <c r="P2146"/>
      <c r="Q2146" t="s">
        <v>3731</v>
      </c>
      <c r="R2146"/>
      <c r="S2146"/>
      <c r="T2146"/>
      <c r="U2146" t="s">
        <v>137</v>
      </c>
      <c r="V2146" t="s">
        <v>1263</v>
      </c>
      <c r="W2146" s="9">
        <v>46166.620707141206</v>
      </c>
      <c r="X2146" t="s">
        <v>69</v>
      </c>
      <c r="Y2146"/>
      <c r="Z2146"/>
      <c r="AA2146" t="s">
        <v>4560</v>
      </c>
      <c r="AB2146"/>
      <c r="AC2146" t="s">
        <v>24</v>
      </c>
      <c r="AD2146" t="s">
        <v>128</v>
      </c>
      <c r="AE2146" s="97"/>
    </row>
    <row r="2147" spans="1:31" ht="14.4" customHeight="1" x14ac:dyDescent="0.3">
      <c r="A2147" t="s">
        <v>4690</v>
      </c>
      <c r="B2147"/>
      <c r="C2147" t="s">
        <v>4538</v>
      </c>
      <c r="D2147"/>
      <c r="E2147" t="s">
        <v>4538</v>
      </c>
      <c r="F2147" t="s">
        <v>6769</v>
      </c>
      <c r="G2147" t="s">
        <v>4559</v>
      </c>
      <c r="H2147" t="s">
        <v>132</v>
      </c>
      <c r="I2147" t="s">
        <v>4</v>
      </c>
      <c r="J2147" t="s">
        <v>4276</v>
      </c>
      <c r="K2147" t="s">
        <v>54</v>
      </c>
      <c r="L2147"/>
      <c r="M2147" t="s">
        <v>134</v>
      </c>
      <c r="N2147" t="s">
        <v>135</v>
      </c>
      <c r="O2147"/>
      <c r="P2147"/>
      <c r="Q2147" t="s">
        <v>3731</v>
      </c>
      <c r="R2147"/>
      <c r="S2147"/>
      <c r="T2147"/>
      <c r="U2147" t="s">
        <v>137</v>
      </c>
      <c r="V2147" t="s">
        <v>1263</v>
      </c>
      <c r="W2147" s="9">
        <v>46138.764463460648</v>
      </c>
      <c r="X2147" t="s">
        <v>69</v>
      </c>
      <c r="Y2147"/>
      <c r="Z2147"/>
      <c r="AA2147" t="s">
        <v>4560</v>
      </c>
      <c r="AB2147"/>
      <c r="AC2147" t="s">
        <v>24</v>
      </c>
      <c r="AD2147" t="s">
        <v>128</v>
      </c>
      <c r="AE2147" s="97"/>
    </row>
    <row r="2148" spans="1:31" ht="14.4" customHeight="1" x14ac:dyDescent="0.3">
      <c r="A2148" t="s">
        <v>4691</v>
      </c>
      <c r="B2148"/>
      <c r="C2148" t="s">
        <v>4540</v>
      </c>
      <c r="D2148"/>
      <c r="E2148" t="s">
        <v>4540</v>
      </c>
      <c r="F2148" t="s">
        <v>6769</v>
      </c>
      <c r="G2148" t="s">
        <v>4559</v>
      </c>
      <c r="H2148" t="s">
        <v>132</v>
      </c>
      <c r="I2148" t="s">
        <v>4</v>
      </c>
      <c r="J2148" t="s">
        <v>4276</v>
      </c>
      <c r="K2148" t="s">
        <v>54</v>
      </c>
      <c r="L2148"/>
      <c r="M2148" t="s">
        <v>134</v>
      </c>
      <c r="N2148" t="s">
        <v>135</v>
      </c>
      <c r="O2148"/>
      <c r="P2148"/>
      <c r="Q2148" t="s">
        <v>3731</v>
      </c>
      <c r="R2148"/>
      <c r="S2148"/>
      <c r="T2148"/>
      <c r="U2148" t="s">
        <v>137</v>
      </c>
      <c r="V2148" t="s">
        <v>1263</v>
      </c>
      <c r="W2148" s="9">
        <v>46146.365953206019</v>
      </c>
      <c r="X2148" t="s">
        <v>69</v>
      </c>
      <c r="Y2148"/>
      <c r="Z2148"/>
      <c r="AA2148" t="s">
        <v>4560</v>
      </c>
      <c r="AB2148"/>
      <c r="AC2148" t="s">
        <v>24</v>
      </c>
      <c r="AD2148" t="s">
        <v>128</v>
      </c>
      <c r="AE2148" s="97"/>
    </row>
    <row r="2149" spans="1:31" ht="14.4" customHeight="1" x14ac:dyDescent="0.3">
      <c r="A2149" t="s">
        <v>4692</v>
      </c>
      <c r="B2149"/>
      <c r="C2149" t="s">
        <v>4542</v>
      </c>
      <c r="D2149"/>
      <c r="E2149" t="s">
        <v>4542</v>
      </c>
      <c r="F2149" t="s">
        <v>6769</v>
      </c>
      <c r="G2149" t="s">
        <v>4559</v>
      </c>
      <c r="H2149" t="s">
        <v>132</v>
      </c>
      <c r="I2149" t="s">
        <v>4</v>
      </c>
      <c r="J2149" t="s">
        <v>4276</v>
      </c>
      <c r="K2149" t="s">
        <v>54</v>
      </c>
      <c r="L2149"/>
      <c r="M2149" t="s">
        <v>134</v>
      </c>
      <c r="N2149" t="s">
        <v>135</v>
      </c>
      <c r="O2149"/>
      <c r="P2149"/>
      <c r="Q2149" t="s">
        <v>3731</v>
      </c>
      <c r="R2149"/>
      <c r="S2149" t="s">
        <v>3731</v>
      </c>
      <c r="T2149"/>
      <c r="U2149" t="s">
        <v>137</v>
      </c>
      <c r="V2149" t="s">
        <v>1263</v>
      </c>
      <c r="W2149" s="9">
        <v>46166.514349618054</v>
      </c>
      <c r="X2149" t="s">
        <v>69</v>
      </c>
      <c r="Y2149"/>
      <c r="Z2149"/>
      <c r="AA2149" t="s">
        <v>4560</v>
      </c>
      <c r="AB2149"/>
      <c r="AC2149" t="s">
        <v>24</v>
      </c>
      <c r="AD2149" t="s">
        <v>128</v>
      </c>
      <c r="AE2149" s="97"/>
    </row>
    <row r="2150" spans="1:31" ht="14.4" customHeight="1" x14ac:dyDescent="0.3">
      <c r="A2150" t="s">
        <v>4693</v>
      </c>
      <c r="B2150"/>
      <c r="C2150" t="s">
        <v>4544</v>
      </c>
      <c r="D2150"/>
      <c r="E2150" t="s">
        <v>4544</v>
      </c>
      <c r="F2150" t="s">
        <v>6769</v>
      </c>
      <c r="G2150" t="s">
        <v>4559</v>
      </c>
      <c r="H2150" t="s">
        <v>132</v>
      </c>
      <c r="I2150" t="s">
        <v>4</v>
      </c>
      <c r="J2150" t="s">
        <v>4276</v>
      </c>
      <c r="K2150" t="s">
        <v>54</v>
      </c>
      <c r="L2150"/>
      <c r="M2150" t="s">
        <v>134</v>
      </c>
      <c r="N2150" t="s">
        <v>135</v>
      </c>
      <c r="O2150"/>
      <c r="P2150"/>
      <c r="Q2150" t="s">
        <v>3731</v>
      </c>
      <c r="R2150"/>
      <c r="S2150"/>
      <c r="T2150"/>
      <c r="U2150" t="s">
        <v>137</v>
      </c>
      <c r="V2150" t="s">
        <v>1263</v>
      </c>
      <c r="W2150" s="9">
        <v>46180.783245370367</v>
      </c>
      <c r="X2150" t="s">
        <v>69</v>
      </c>
      <c r="Y2150"/>
      <c r="Z2150"/>
      <c r="AA2150" t="s">
        <v>4560</v>
      </c>
      <c r="AB2150"/>
      <c r="AC2150" t="s">
        <v>24</v>
      </c>
      <c r="AD2150" t="s">
        <v>128</v>
      </c>
      <c r="AE2150" s="97"/>
    </row>
    <row r="2151" spans="1:31" ht="14.4" customHeight="1" x14ac:dyDescent="0.3">
      <c r="A2151" t="s">
        <v>4694</v>
      </c>
      <c r="B2151"/>
      <c r="C2151" t="s">
        <v>4546</v>
      </c>
      <c r="D2151"/>
      <c r="E2151" t="s">
        <v>4546</v>
      </c>
      <c r="F2151" t="s">
        <v>6769</v>
      </c>
      <c r="G2151" t="s">
        <v>4559</v>
      </c>
      <c r="H2151" t="s">
        <v>132</v>
      </c>
      <c r="I2151" t="s">
        <v>4</v>
      </c>
      <c r="J2151" t="s">
        <v>4276</v>
      </c>
      <c r="K2151" t="s">
        <v>54</v>
      </c>
      <c r="L2151"/>
      <c r="M2151" t="s">
        <v>134</v>
      </c>
      <c r="N2151" t="s">
        <v>135</v>
      </c>
      <c r="O2151"/>
      <c r="P2151"/>
      <c r="Q2151" t="s">
        <v>3731</v>
      </c>
      <c r="R2151"/>
      <c r="S2151"/>
      <c r="T2151"/>
      <c r="U2151" t="s">
        <v>137</v>
      </c>
      <c r="V2151" t="s">
        <v>1190</v>
      </c>
      <c r="W2151" s="9">
        <v>46149.581576076387</v>
      </c>
      <c r="X2151" t="s">
        <v>67</v>
      </c>
      <c r="Y2151"/>
      <c r="Z2151"/>
      <c r="AA2151" t="s">
        <v>4560</v>
      </c>
      <c r="AB2151"/>
      <c r="AC2151" t="s">
        <v>24</v>
      </c>
      <c r="AD2151" t="s">
        <v>128</v>
      </c>
      <c r="AE2151" s="97"/>
    </row>
    <row r="2152" spans="1:31" ht="14.4" customHeight="1" x14ac:dyDescent="0.3">
      <c r="A2152" t="s">
        <v>4695</v>
      </c>
      <c r="B2152"/>
      <c r="C2152" t="s">
        <v>4548</v>
      </c>
      <c r="D2152"/>
      <c r="E2152" t="s">
        <v>4548</v>
      </c>
      <c r="F2152" t="s">
        <v>6769</v>
      </c>
      <c r="G2152" t="s">
        <v>4559</v>
      </c>
      <c r="H2152" t="s">
        <v>132</v>
      </c>
      <c r="I2152" t="s">
        <v>4</v>
      </c>
      <c r="J2152" t="s">
        <v>4276</v>
      </c>
      <c r="K2152" t="s">
        <v>54</v>
      </c>
      <c r="L2152"/>
      <c r="M2152" t="s">
        <v>134</v>
      </c>
      <c r="N2152" t="s">
        <v>135</v>
      </c>
      <c r="O2152"/>
      <c r="P2152"/>
      <c r="Q2152" t="s">
        <v>3731</v>
      </c>
      <c r="R2152"/>
      <c r="S2152"/>
      <c r="T2152"/>
      <c r="U2152" t="s">
        <v>137</v>
      </c>
      <c r="V2152" t="s">
        <v>1194</v>
      </c>
      <c r="W2152" s="9">
        <v>46149.586147337963</v>
      </c>
      <c r="X2152" t="s">
        <v>75</v>
      </c>
      <c r="Y2152"/>
      <c r="Z2152"/>
      <c r="AA2152" t="s">
        <v>4560</v>
      </c>
      <c r="AB2152"/>
      <c r="AC2152" t="s">
        <v>24</v>
      </c>
      <c r="AD2152" t="s">
        <v>128</v>
      </c>
      <c r="AE2152" s="97"/>
    </row>
    <row r="2153" spans="1:31" ht="14.4" customHeight="1" x14ac:dyDescent="0.3">
      <c r="A2153" t="s">
        <v>4696</v>
      </c>
      <c r="B2153"/>
      <c r="C2153" t="s">
        <v>4550</v>
      </c>
      <c r="D2153"/>
      <c r="E2153" t="s">
        <v>4550</v>
      </c>
      <c r="F2153" t="s">
        <v>6769</v>
      </c>
      <c r="G2153" t="s">
        <v>4559</v>
      </c>
      <c r="H2153" t="s">
        <v>132</v>
      </c>
      <c r="I2153" t="s">
        <v>4</v>
      </c>
      <c r="J2153" t="s">
        <v>4276</v>
      </c>
      <c r="K2153" t="s">
        <v>54</v>
      </c>
      <c r="L2153"/>
      <c r="M2153" t="s">
        <v>134</v>
      </c>
      <c r="N2153" t="s">
        <v>135</v>
      </c>
      <c r="O2153"/>
      <c r="P2153"/>
      <c r="Q2153" t="s">
        <v>3731</v>
      </c>
      <c r="R2153"/>
      <c r="S2153"/>
      <c r="T2153"/>
      <c r="U2153" t="s">
        <v>137</v>
      </c>
      <c r="V2153" t="s">
        <v>1198</v>
      </c>
      <c r="W2153" s="9">
        <v>46149.604810613426</v>
      </c>
      <c r="X2153" t="s">
        <v>86</v>
      </c>
      <c r="Y2153"/>
      <c r="Z2153"/>
      <c r="AA2153" t="s">
        <v>4560</v>
      </c>
      <c r="AB2153"/>
      <c r="AC2153" t="s">
        <v>24</v>
      </c>
      <c r="AD2153" t="s">
        <v>129</v>
      </c>
      <c r="AE2153" s="97"/>
    </row>
    <row r="2154" spans="1:31" ht="14.4" customHeight="1" x14ac:dyDescent="0.3">
      <c r="A2154" t="s">
        <v>4697</v>
      </c>
      <c r="B2154"/>
      <c r="C2154" t="s">
        <v>4552</v>
      </c>
      <c r="D2154"/>
      <c r="E2154" t="s">
        <v>4552</v>
      </c>
      <c r="F2154" t="s">
        <v>6769</v>
      </c>
      <c r="G2154" t="s">
        <v>4559</v>
      </c>
      <c r="H2154" t="s">
        <v>132</v>
      </c>
      <c r="I2154" t="s">
        <v>4</v>
      </c>
      <c r="J2154" t="s">
        <v>4276</v>
      </c>
      <c r="K2154" t="s">
        <v>54</v>
      </c>
      <c r="L2154"/>
      <c r="M2154" t="s">
        <v>134</v>
      </c>
      <c r="N2154" t="s">
        <v>135</v>
      </c>
      <c r="O2154"/>
      <c r="P2154"/>
      <c r="Q2154" t="s">
        <v>3731</v>
      </c>
      <c r="R2154"/>
      <c r="S2154"/>
      <c r="T2154"/>
      <c r="U2154" t="s">
        <v>137</v>
      </c>
      <c r="V2154" t="s">
        <v>1202</v>
      </c>
      <c r="W2154" s="9">
        <v>46149.6058346875</v>
      </c>
      <c r="X2154" t="s">
        <v>95</v>
      </c>
      <c r="Y2154"/>
      <c r="Z2154"/>
      <c r="AA2154" t="s">
        <v>4560</v>
      </c>
      <c r="AB2154"/>
      <c r="AC2154" t="s">
        <v>24</v>
      </c>
      <c r="AD2154" t="s">
        <v>129</v>
      </c>
      <c r="AE2154" s="97"/>
    </row>
    <row r="2155" spans="1:31" ht="14.4" customHeight="1" x14ac:dyDescent="0.3">
      <c r="A2155" t="s">
        <v>4698</v>
      </c>
      <c r="B2155"/>
      <c r="C2155" t="s">
        <v>4554</v>
      </c>
      <c r="D2155"/>
      <c r="E2155" t="s">
        <v>4554</v>
      </c>
      <c r="F2155" t="s">
        <v>6769</v>
      </c>
      <c r="G2155" t="s">
        <v>4559</v>
      </c>
      <c r="H2155" t="s">
        <v>132</v>
      </c>
      <c r="I2155" t="s">
        <v>4</v>
      </c>
      <c r="J2155" t="s">
        <v>4276</v>
      </c>
      <c r="K2155" t="s">
        <v>54</v>
      </c>
      <c r="L2155"/>
      <c r="M2155" t="s">
        <v>134</v>
      </c>
      <c r="N2155" t="s">
        <v>135</v>
      </c>
      <c r="O2155"/>
      <c r="P2155"/>
      <c r="Q2155" t="s">
        <v>3731</v>
      </c>
      <c r="R2155"/>
      <c r="S2155"/>
      <c r="T2155"/>
      <c r="U2155" t="s">
        <v>137</v>
      </c>
      <c r="V2155" t="s">
        <v>1206</v>
      </c>
      <c r="W2155" s="9">
        <v>46149.606470983796</v>
      </c>
      <c r="X2155" t="s">
        <v>104</v>
      </c>
      <c r="Y2155"/>
      <c r="Z2155"/>
      <c r="AA2155" t="s">
        <v>4560</v>
      </c>
      <c r="AB2155"/>
      <c r="AC2155" t="s">
        <v>24</v>
      </c>
      <c r="AD2155" t="s">
        <v>129</v>
      </c>
      <c r="AE2155" s="97"/>
    </row>
    <row r="2156" spans="1:31" ht="14.4" customHeight="1" x14ac:dyDescent="0.3">
      <c r="A2156" t="s">
        <v>4699</v>
      </c>
      <c r="B2156"/>
      <c r="C2156" t="s">
        <v>4556</v>
      </c>
      <c r="D2156"/>
      <c r="E2156" t="s">
        <v>4556</v>
      </c>
      <c r="F2156" t="s">
        <v>6769</v>
      </c>
      <c r="G2156" t="s">
        <v>4559</v>
      </c>
      <c r="H2156" t="s">
        <v>132</v>
      </c>
      <c r="I2156" t="s">
        <v>4</v>
      </c>
      <c r="J2156" t="s">
        <v>4276</v>
      </c>
      <c r="K2156" t="s">
        <v>54</v>
      </c>
      <c r="L2156"/>
      <c r="M2156" t="s">
        <v>134</v>
      </c>
      <c r="N2156" t="s">
        <v>135</v>
      </c>
      <c r="O2156"/>
      <c r="P2156"/>
      <c r="Q2156" t="s">
        <v>3731</v>
      </c>
      <c r="R2156"/>
      <c r="S2156"/>
      <c r="T2156"/>
      <c r="U2156" t="s">
        <v>137</v>
      </c>
      <c r="V2156" t="s">
        <v>1210</v>
      </c>
      <c r="W2156" s="9">
        <v>46149.607252048612</v>
      </c>
      <c r="X2156" t="s">
        <v>111</v>
      </c>
      <c r="Y2156"/>
      <c r="Z2156"/>
      <c r="AA2156" t="s">
        <v>4560</v>
      </c>
      <c r="AB2156"/>
      <c r="AC2156" t="s">
        <v>24</v>
      </c>
      <c r="AD2156" t="s">
        <v>129</v>
      </c>
      <c r="AE2156" s="97"/>
    </row>
    <row r="2157" spans="1:31" ht="14.4" customHeight="1" x14ac:dyDescent="0.3">
      <c r="A2157" t="s">
        <v>4700</v>
      </c>
      <c r="B2157"/>
      <c r="C2157" t="s">
        <v>4558</v>
      </c>
      <c r="D2157"/>
      <c r="E2157" t="s">
        <v>4558</v>
      </c>
      <c r="F2157" t="s">
        <v>6769</v>
      </c>
      <c r="G2157" t="s">
        <v>4559</v>
      </c>
      <c r="H2157" t="s">
        <v>132</v>
      </c>
      <c r="I2157" t="s">
        <v>4</v>
      </c>
      <c r="J2157" t="s">
        <v>4276</v>
      </c>
      <c r="K2157" t="s">
        <v>54</v>
      </c>
      <c r="L2157"/>
      <c r="M2157" t="s">
        <v>134</v>
      </c>
      <c r="N2157" t="s">
        <v>135</v>
      </c>
      <c r="O2157"/>
      <c r="P2157"/>
      <c r="Q2157" t="s">
        <v>3731</v>
      </c>
      <c r="R2157"/>
      <c r="S2157"/>
      <c r="T2157"/>
      <c r="U2157" t="s">
        <v>137</v>
      </c>
      <c r="V2157" t="s">
        <v>1214</v>
      </c>
      <c r="W2157" s="9">
        <v>46149.58519568287</v>
      </c>
      <c r="X2157" t="s">
        <v>120</v>
      </c>
      <c r="Y2157"/>
      <c r="Z2157"/>
      <c r="AA2157" t="s">
        <v>4560</v>
      </c>
      <c r="AB2157"/>
      <c r="AC2157" t="s">
        <v>24</v>
      </c>
      <c r="AD2157" t="s">
        <v>130</v>
      </c>
      <c r="AE2157" s="97"/>
    </row>
    <row r="2158" spans="1:31" ht="14.4" customHeight="1" x14ac:dyDescent="0.3">
      <c r="A2158" t="s">
        <v>4703</v>
      </c>
      <c r="B2158"/>
      <c r="C2158" t="s">
        <v>4280</v>
      </c>
      <c r="D2158"/>
      <c r="E2158" t="s">
        <v>4280</v>
      </c>
      <c r="F2158" t="s">
        <v>6769</v>
      </c>
      <c r="G2158" t="s">
        <v>4701</v>
      </c>
      <c r="H2158" t="s">
        <v>132</v>
      </c>
      <c r="I2158" t="s">
        <v>4</v>
      </c>
      <c r="J2158" t="s">
        <v>4276</v>
      </c>
      <c r="K2158" t="s">
        <v>54</v>
      </c>
      <c r="L2158"/>
      <c r="M2158" t="s">
        <v>134</v>
      </c>
      <c r="N2158" t="s">
        <v>135</v>
      </c>
      <c r="O2158"/>
      <c r="P2158"/>
      <c r="Q2158" t="s">
        <v>3731</v>
      </c>
      <c r="R2158"/>
      <c r="S2158"/>
      <c r="T2158"/>
      <c r="U2158" t="s">
        <v>137</v>
      </c>
      <c r="V2158" t="s">
        <v>147</v>
      </c>
      <c r="W2158"/>
      <c r="X2158" t="s">
        <v>70</v>
      </c>
      <c r="Y2158"/>
      <c r="Z2158"/>
      <c r="AA2158" t="s">
        <v>4702</v>
      </c>
      <c r="AB2158"/>
      <c r="AC2158" t="s">
        <v>138</v>
      </c>
      <c r="AD2158" t="s">
        <v>128</v>
      </c>
      <c r="AE2158" s="97"/>
    </row>
    <row r="2159" spans="1:31" ht="14.4" customHeight="1" x14ac:dyDescent="0.3">
      <c r="A2159" t="s">
        <v>4704</v>
      </c>
      <c r="B2159"/>
      <c r="C2159" t="s">
        <v>4282</v>
      </c>
      <c r="D2159"/>
      <c r="E2159" t="s">
        <v>4282</v>
      </c>
      <c r="F2159" t="s">
        <v>6769</v>
      </c>
      <c r="G2159" t="s">
        <v>4701</v>
      </c>
      <c r="H2159" t="s">
        <v>132</v>
      </c>
      <c r="I2159" t="s">
        <v>4</v>
      </c>
      <c r="J2159" t="s">
        <v>4276</v>
      </c>
      <c r="K2159" t="s">
        <v>54</v>
      </c>
      <c r="L2159"/>
      <c r="M2159" t="s">
        <v>134</v>
      </c>
      <c r="N2159" t="s">
        <v>135</v>
      </c>
      <c r="O2159"/>
      <c r="P2159"/>
      <c r="Q2159" t="s">
        <v>3731</v>
      </c>
      <c r="R2159"/>
      <c r="S2159"/>
      <c r="T2159"/>
      <c r="U2159" t="s">
        <v>137</v>
      </c>
      <c r="V2159" t="s">
        <v>147</v>
      </c>
      <c r="W2159"/>
      <c r="X2159" t="s">
        <v>70</v>
      </c>
      <c r="Y2159"/>
      <c r="Z2159"/>
      <c r="AA2159" t="s">
        <v>4702</v>
      </c>
      <c r="AB2159"/>
      <c r="AC2159" t="s">
        <v>138</v>
      </c>
      <c r="AD2159" t="s">
        <v>128</v>
      </c>
      <c r="AE2159" s="97"/>
    </row>
    <row r="2160" spans="1:31" ht="14.4" customHeight="1" x14ac:dyDescent="0.3">
      <c r="A2160" t="s">
        <v>4705</v>
      </c>
      <c r="B2160"/>
      <c r="C2160" t="s">
        <v>4284</v>
      </c>
      <c r="D2160"/>
      <c r="E2160" t="s">
        <v>4284</v>
      </c>
      <c r="F2160" t="s">
        <v>6769</v>
      </c>
      <c r="G2160" t="s">
        <v>4701</v>
      </c>
      <c r="H2160" t="s">
        <v>132</v>
      </c>
      <c r="I2160" t="s">
        <v>4</v>
      </c>
      <c r="J2160" t="s">
        <v>4276</v>
      </c>
      <c r="K2160" t="s">
        <v>54</v>
      </c>
      <c r="L2160"/>
      <c r="M2160" t="s">
        <v>134</v>
      </c>
      <c r="N2160" t="s">
        <v>135</v>
      </c>
      <c r="O2160"/>
      <c r="P2160"/>
      <c r="Q2160" t="s">
        <v>3731</v>
      </c>
      <c r="R2160"/>
      <c r="S2160"/>
      <c r="T2160"/>
      <c r="U2160" t="s">
        <v>137</v>
      </c>
      <c r="V2160" t="s">
        <v>147</v>
      </c>
      <c r="W2160"/>
      <c r="X2160" t="s">
        <v>70</v>
      </c>
      <c r="Y2160"/>
      <c r="Z2160"/>
      <c r="AA2160" t="s">
        <v>4702</v>
      </c>
      <c r="AB2160"/>
      <c r="AC2160" t="s">
        <v>138</v>
      </c>
      <c r="AD2160" t="s">
        <v>128</v>
      </c>
      <c r="AE2160" s="97"/>
    </row>
    <row r="2161" spans="1:31" ht="14.4" customHeight="1" x14ac:dyDescent="0.3">
      <c r="A2161" t="s">
        <v>4706</v>
      </c>
      <c r="B2161"/>
      <c r="C2161" t="s">
        <v>4286</v>
      </c>
      <c r="D2161"/>
      <c r="E2161" t="s">
        <v>4286</v>
      </c>
      <c r="F2161" t="s">
        <v>6769</v>
      </c>
      <c r="G2161" t="s">
        <v>4701</v>
      </c>
      <c r="H2161" t="s">
        <v>132</v>
      </c>
      <c r="I2161" t="s">
        <v>4</v>
      </c>
      <c r="J2161" t="s">
        <v>4276</v>
      </c>
      <c r="K2161" t="s">
        <v>54</v>
      </c>
      <c r="L2161"/>
      <c r="M2161" t="s">
        <v>134</v>
      </c>
      <c r="N2161" t="s">
        <v>135</v>
      </c>
      <c r="O2161"/>
      <c r="P2161"/>
      <c r="Q2161" t="s">
        <v>3731</v>
      </c>
      <c r="R2161"/>
      <c r="S2161"/>
      <c r="T2161"/>
      <c r="U2161" t="s">
        <v>137</v>
      </c>
      <c r="V2161" t="s">
        <v>150</v>
      </c>
      <c r="W2161"/>
      <c r="X2161" t="s">
        <v>76</v>
      </c>
      <c r="Y2161"/>
      <c r="Z2161"/>
      <c r="AA2161" t="s">
        <v>4702</v>
      </c>
      <c r="AB2161"/>
      <c r="AC2161" t="s">
        <v>138</v>
      </c>
      <c r="AD2161" t="s">
        <v>128</v>
      </c>
      <c r="AE2161" s="97"/>
    </row>
    <row r="2162" spans="1:31" ht="14.4" customHeight="1" x14ac:dyDescent="0.3">
      <c r="A2162" t="s">
        <v>4707</v>
      </c>
      <c r="B2162"/>
      <c r="C2162" t="s">
        <v>4288</v>
      </c>
      <c r="D2162"/>
      <c r="E2162" t="s">
        <v>4288</v>
      </c>
      <c r="F2162" t="s">
        <v>6769</v>
      </c>
      <c r="G2162" t="s">
        <v>4701</v>
      </c>
      <c r="H2162" t="s">
        <v>132</v>
      </c>
      <c r="I2162" t="s">
        <v>4</v>
      </c>
      <c r="J2162" t="s">
        <v>4276</v>
      </c>
      <c r="K2162" t="s">
        <v>54</v>
      </c>
      <c r="L2162"/>
      <c r="M2162" t="s">
        <v>134</v>
      </c>
      <c r="N2162" t="s">
        <v>135</v>
      </c>
      <c r="O2162"/>
      <c r="P2162"/>
      <c r="Q2162" t="s">
        <v>3731</v>
      </c>
      <c r="R2162"/>
      <c r="S2162"/>
      <c r="T2162"/>
      <c r="U2162" t="s">
        <v>137</v>
      </c>
      <c r="V2162" t="s">
        <v>150</v>
      </c>
      <c r="W2162"/>
      <c r="X2162" t="s">
        <v>76</v>
      </c>
      <c r="Y2162"/>
      <c r="Z2162"/>
      <c r="AA2162" t="s">
        <v>4702</v>
      </c>
      <c r="AB2162"/>
      <c r="AC2162" t="s">
        <v>138</v>
      </c>
      <c r="AD2162" t="s">
        <v>128</v>
      </c>
      <c r="AE2162" s="97"/>
    </row>
    <row r="2163" spans="1:31" ht="14.4" customHeight="1" x14ac:dyDescent="0.3">
      <c r="A2163" t="s">
        <v>4708</v>
      </c>
      <c r="B2163"/>
      <c r="C2163" t="s">
        <v>4290</v>
      </c>
      <c r="D2163"/>
      <c r="E2163" t="s">
        <v>4290</v>
      </c>
      <c r="F2163" t="s">
        <v>6769</v>
      </c>
      <c r="G2163" t="s">
        <v>4701</v>
      </c>
      <c r="H2163" t="s">
        <v>132</v>
      </c>
      <c r="I2163" t="s">
        <v>4</v>
      </c>
      <c r="J2163" t="s">
        <v>4276</v>
      </c>
      <c r="K2163" t="s">
        <v>54</v>
      </c>
      <c r="L2163"/>
      <c r="M2163" t="s">
        <v>134</v>
      </c>
      <c r="N2163" t="s">
        <v>135</v>
      </c>
      <c r="O2163"/>
      <c r="P2163"/>
      <c r="Q2163" t="s">
        <v>3731</v>
      </c>
      <c r="R2163"/>
      <c r="S2163"/>
      <c r="T2163"/>
      <c r="U2163" t="s">
        <v>137</v>
      </c>
      <c r="V2163" t="s">
        <v>150</v>
      </c>
      <c r="W2163"/>
      <c r="X2163" t="s">
        <v>76</v>
      </c>
      <c r="Y2163"/>
      <c r="Z2163"/>
      <c r="AA2163" t="s">
        <v>4702</v>
      </c>
      <c r="AB2163"/>
      <c r="AC2163" t="s">
        <v>138</v>
      </c>
      <c r="AD2163" t="s">
        <v>128</v>
      </c>
      <c r="AE2163" s="97"/>
    </row>
    <row r="2164" spans="1:31" ht="14.4" customHeight="1" x14ac:dyDescent="0.3">
      <c r="A2164" t="s">
        <v>4709</v>
      </c>
      <c r="B2164"/>
      <c r="C2164" t="s">
        <v>4292</v>
      </c>
      <c r="D2164"/>
      <c r="E2164" t="s">
        <v>4292</v>
      </c>
      <c r="F2164" t="s">
        <v>6769</v>
      </c>
      <c r="G2164" t="s">
        <v>4701</v>
      </c>
      <c r="H2164" t="s">
        <v>132</v>
      </c>
      <c r="I2164" t="s">
        <v>4</v>
      </c>
      <c r="J2164" t="s">
        <v>4276</v>
      </c>
      <c r="K2164" t="s">
        <v>54</v>
      </c>
      <c r="L2164"/>
      <c r="M2164" t="s">
        <v>134</v>
      </c>
      <c r="N2164" t="s">
        <v>135</v>
      </c>
      <c r="O2164"/>
      <c r="P2164"/>
      <c r="Q2164" t="s">
        <v>3731</v>
      </c>
      <c r="R2164"/>
      <c r="S2164"/>
      <c r="T2164"/>
      <c r="U2164" t="s">
        <v>137</v>
      </c>
      <c r="V2164" t="s">
        <v>153</v>
      </c>
      <c r="W2164"/>
      <c r="X2164" t="s">
        <v>88</v>
      </c>
      <c r="Y2164"/>
      <c r="Z2164"/>
      <c r="AA2164" t="s">
        <v>4702</v>
      </c>
      <c r="AB2164"/>
      <c r="AC2164" t="s">
        <v>138</v>
      </c>
      <c r="AD2164" t="s">
        <v>129</v>
      </c>
      <c r="AE2164" s="97"/>
    </row>
    <row r="2165" spans="1:31" ht="14.4" customHeight="1" x14ac:dyDescent="0.3">
      <c r="A2165" t="s">
        <v>4710</v>
      </c>
      <c r="B2165"/>
      <c r="C2165" t="s">
        <v>4294</v>
      </c>
      <c r="D2165"/>
      <c r="E2165" t="s">
        <v>4294</v>
      </c>
      <c r="F2165" t="s">
        <v>6769</v>
      </c>
      <c r="G2165" t="s">
        <v>4701</v>
      </c>
      <c r="H2165" t="s">
        <v>132</v>
      </c>
      <c r="I2165" t="s">
        <v>4</v>
      </c>
      <c r="J2165" t="s">
        <v>4276</v>
      </c>
      <c r="K2165" t="s">
        <v>54</v>
      </c>
      <c r="L2165"/>
      <c r="M2165" t="s">
        <v>134</v>
      </c>
      <c r="N2165" t="s">
        <v>135</v>
      </c>
      <c r="O2165"/>
      <c r="P2165"/>
      <c r="Q2165" t="s">
        <v>3731</v>
      </c>
      <c r="R2165"/>
      <c r="S2165"/>
      <c r="T2165"/>
      <c r="U2165" t="s">
        <v>137</v>
      </c>
      <c r="V2165" t="s">
        <v>153</v>
      </c>
      <c r="W2165"/>
      <c r="X2165" t="s">
        <v>88</v>
      </c>
      <c r="Y2165"/>
      <c r="Z2165"/>
      <c r="AA2165" t="s">
        <v>4702</v>
      </c>
      <c r="AB2165"/>
      <c r="AC2165" t="s">
        <v>138</v>
      </c>
      <c r="AD2165" t="s">
        <v>129</v>
      </c>
      <c r="AE2165" s="97"/>
    </row>
    <row r="2166" spans="1:31" ht="14.4" customHeight="1" x14ac:dyDescent="0.3">
      <c r="A2166" t="s">
        <v>4711</v>
      </c>
      <c r="B2166"/>
      <c r="C2166" t="s">
        <v>4296</v>
      </c>
      <c r="D2166"/>
      <c r="E2166" t="s">
        <v>4296</v>
      </c>
      <c r="F2166" t="s">
        <v>6769</v>
      </c>
      <c r="G2166" t="s">
        <v>4701</v>
      </c>
      <c r="H2166" t="s">
        <v>132</v>
      </c>
      <c r="I2166" t="s">
        <v>4</v>
      </c>
      <c r="J2166" t="s">
        <v>4276</v>
      </c>
      <c r="K2166" t="s">
        <v>54</v>
      </c>
      <c r="L2166"/>
      <c r="M2166" t="s">
        <v>134</v>
      </c>
      <c r="N2166" t="s">
        <v>135</v>
      </c>
      <c r="O2166"/>
      <c r="P2166"/>
      <c r="Q2166" t="s">
        <v>3731</v>
      </c>
      <c r="R2166"/>
      <c r="S2166"/>
      <c r="T2166"/>
      <c r="U2166" t="s">
        <v>137</v>
      </c>
      <c r="V2166" t="s">
        <v>153</v>
      </c>
      <c r="W2166"/>
      <c r="X2166" t="s">
        <v>88</v>
      </c>
      <c r="Y2166"/>
      <c r="Z2166"/>
      <c r="AA2166" t="s">
        <v>4702</v>
      </c>
      <c r="AB2166"/>
      <c r="AC2166" t="s">
        <v>138</v>
      </c>
      <c r="AD2166" t="s">
        <v>129</v>
      </c>
      <c r="AE2166" s="97"/>
    </row>
    <row r="2167" spans="1:31" ht="14.4" customHeight="1" x14ac:dyDescent="0.3">
      <c r="A2167" t="s">
        <v>4712</v>
      </c>
      <c r="B2167"/>
      <c r="C2167" t="s">
        <v>4298</v>
      </c>
      <c r="D2167"/>
      <c r="E2167" t="s">
        <v>4298</v>
      </c>
      <c r="F2167" t="s">
        <v>6769</v>
      </c>
      <c r="G2167" t="s">
        <v>4701</v>
      </c>
      <c r="H2167" t="s">
        <v>132</v>
      </c>
      <c r="I2167" t="s">
        <v>4</v>
      </c>
      <c r="J2167" t="s">
        <v>4276</v>
      </c>
      <c r="K2167" t="s">
        <v>54</v>
      </c>
      <c r="L2167"/>
      <c r="M2167" t="s">
        <v>134</v>
      </c>
      <c r="N2167" t="s">
        <v>135</v>
      </c>
      <c r="O2167"/>
      <c r="P2167"/>
      <c r="Q2167" t="s">
        <v>3731</v>
      </c>
      <c r="R2167"/>
      <c r="S2167"/>
      <c r="T2167"/>
      <c r="U2167" t="s">
        <v>137</v>
      </c>
      <c r="V2167" t="s">
        <v>156</v>
      </c>
      <c r="W2167"/>
      <c r="X2167" t="s">
        <v>97</v>
      </c>
      <c r="Y2167"/>
      <c r="Z2167"/>
      <c r="AA2167" t="s">
        <v>4702</v>
      </c>
      <c r="AB2167"/>
      <c r="AC2167" t="s">
        <v>138</v>
      </c>
      <c r="AD2167" t="s">
        <v>129</v>
      </c>
      <c r="AE2167" s="97"/>
    </row>
    <row r="2168" spans="1:31" ht="14.4" customHeight="1" x14ac:dyDescent="0.3">
      <c r="A2168" t="s">
        <v>4713</v>
      </c>
      <c r="B2168"/>
      <c r="C2168" t="s">
        <v>4300</v>
      </c>
      <c r="D2168"/>
      <c r="E2168" t="s">
        <v>4300</v>
      </c>
      <c r="F2168" t="s">
        <v>6769</v>
      </c>
      <c r="G2168" t="s">
        <v>4701</v>
      </c>
      <c r="H2168" t="s">
        <v>132</v>
      </c>
      <c r="I2168" t="s">
        <v>4</v>
      </c>
      <c r="J2168" t="s">
        <v>4276</v>
      </c>
      <c r="K2168" t="s">
        <v>54</v>
      </c>
      <c r="L2168"/>
      <c r="M2168" t="s">
        <v>134</v>
      </c>
      <c r="N2168" t="s">
        <v>135</v>
      </c>
      <c r="O2168"/>
      <c r="P2168"/>
      <c r="Q2168" t="s">
        <v>3731</v>
      </c>
      <c r="R2168"/>
      <c r="S2168"/>
      <c r="T2168"/>
      <c r="U2168" t="s">
        <v>137</v>
      </c>
      <c r="V2168" t="s">
        <v>156</v>
      </c>
      <c r="W2168"/>
      <c r="X2168" t="s">
        <v>97</v>
      </c>
      <c r="Y2168"/>
      <c r="Z2168"/>
      <c r="AA2168" t="s">
        <v>4702</v>
      </c>
      <c r="AB2168"/>
      <c r="AC2168" t="s">
        <v>138</v>
      </c>
      <c r="AD2168" t="s">
        <v>129</v>
      </c>
      <c r="AE2168" s="97"/>
    </row>
    <row r="2169" spans="1:31" ht="14.4" customHeight="1" x14ac:dyDescent="0.3">
      <c r="A2169" t="s">
        <v>4714</v>
      </c>
      <c r="B2169"/>
      <c r="C2169" t="s">
        <v>4302</v>
      </c>
      <c r="D2169"/>
      <c r="E2169" t="s">
        <v>4302</v>
      </c>
      <c r="F2169" t="s">
        <v>6769</v>
      </c>
      <c r="G2169" t="s">
        <v>4701</v>
      </c>
      <c r="H2169" t="s">
        <v>132</v>
      </c>
      <c r="I2169" t="s">
        <v>4</v>
      </c>
      <c r="J2169" t="s">
        <v>4276</v>
      </c>
      <c r="K2169" t="s">
        <v>54</v>
      </c>
      <c r="L2169"/>
      <c r="M2169" t="s">
        <v>134</v>
      </c>
      <c r="N2169" t="s">
        <v>135</v>
      </c>
      <c r="O2169"/>
      <c r="P2169"/>
      <c r="Q2169" t="s">
        <v>3731</v>
      </c>
      <c r="R2169"/>
      <c r="S2169"/>
      <c r="T2169"/>
      <c r="U2169" t="s">
        <v>137</v>
      </c>
      <c r="V2169" t="s">
        <v>156</v>
      </c>
      <c r="W2169"/>
      <c r="X2169" t="s">
        <v>97</v>
      </c>
      <c r="Y2169"/>
      <c r="Z2169"/>
      <c r="AA2169" t="s">
        <v>4702</v>
      </c>
      <c r="AB2169"/>
      <c r="AC2169" t="s">
        <v>138</v>
      </c>
      <c r="AD2169" t="s">
        <v>129</v>
      </c>
      <c r="AE2169" s="97"/>
    </row>
    <row r="2170" spans="1:31" ht="14.4" customHeight="1" x14ac:dyDescent="0.3">
      <c r="A2170" t="s">
        <v>4715</v>
      </c>
      <c r="B2170"/>
      <c r="C2170" t="s">
        <v>4304</v>
      </c>
      <c r="D2170"/>
      <c r="E2170" t="s">
        <v>4304</v>
      </c>
      <c r="F2170" t="s">
        <v>6769</v>
      </c>
      <c r="G2170" t="s">
        <v>4701</v>
      </c>
      <c r="H2170" t="s">
        <v>132</v>
      </c>
      <c r="I2170" t="s">
        <v>4</v>
      </c>
      <c r="J2170" t="s">
        <v>4276</v>
      </c>
      <c r="K2170" t="s">
        <v>54</v>
      </c>
      <c r="L2170"/>
      <c r="M2170" t="s">
        <v>134</v>
      </c>
      <c r="N2170" t="s">
        <v>135</v>
      </c>
      <c r="O2170"/>
      <c r="P2170"/>
      <c r="Q2170" t="s">
        <v>3731</v>
      </c>
      <c r="R2170"/>
      <c r="S2170"/>
      <c r="T2170"/>
      <c r="U2170" t="s">
        <v>137</v>
      </c>
      <c r="V2170" t="s">
        <v>159</v>
      </c>
      <c r="W2170"/>
      <c r="X2170" t="s">
        <v>106</v>
      </c>
      <c r="Y2170"/>
      <c r="Z2170"/>
      <c r="AA2170" t="s">
        <v>4702</v>
      </c>
      <c r="AB2170"/>
      <c r="AC2170" t="s">
        <v>138</v>
      </c>
      <c r="AD2170" t="s">
        <v>129</v>
      </c>
      <c r="AE2170" s="97"/>
    </row>
    <row r="2171" spans="1:31" ht="14.4" customHeight="1" x14ac:dyDescent="0.3">
      <c r="A2171" t="s">
        <v>4716</v>
      </c>
      <c r="B2171"/>
      <c r="C2171" t="s">
        <v>4306</v>
      </c>
      <c r="D2171"/>
      <c r="E2171" t="s">
        <v>4306</v>
      </c>
      <c r="F2171" t="s">
        <v>6769</v>
      </c>
      <c r="G2171" t="s">
        <v>4701</v>
      </c>
      <c r="H2171" t="s">
        <v>132</v>
      </c>
      <c r="I2171" t="s">
        <v>4</v>
      </c>
      <c r="J2171" t="s">
        <v>4276</v>
      </c>
      <c r="K2171" t="s">
        <v>54</v>
      </c>
      <c r="L2171"/>
      <c r="M2171" t="s">
        <v>134</v>
      </c>
      <c r="N2171" t="s">
        <v>135</v>
      </c>
      <c r="O2171"/>
      <c r="P2171"/>
      <c r="Q2171" t="s">
        <v>3731</v>
      </c>
      <c r="R2171"/>
      <c r="S2171"/>
      <c r="T2171"/>
      <c r="U2171" t="s">
        <v>137</v>
      </c>
      <c r="V2171" t="s">
        <v>159</v>
      </c>
      <c r="W2171"/>
      <c r="X2171" t="s">
        <v>106</v>
      </c>
      <c r="Y2171"/>
      <c r="Z2171"/>
      <c r="AA2171" t="s">
        <v>4702</v>
      </c>
      <c r="AB2171"/>
      <c r="AC2171" t="s">
        <v>138</v>
      </c>
      <c r="AD2171" t="s">
        <v>129</v>
      </c>
      <c r="AE2171" s="97"/>
    </row>
    <row r="2172" spans="1:31" ht="14.4" customHeight="1" x14ac:dyDescent="0.3">
      <c r="A2172" t="s">
        <v>4717</v>
      </c>
      <c r="B2172"/>
      <c r="C2172" t="s">
        <v>4308</v>
      </c>
      <c r="D2172"/>
      <c r="E2172" t="s">
        <v>4308</v>
      </c>
      <c r="F2172" t="s">
        <v>6769</v>
      </c>
      <c r="G2172" t="s">
        <v>4701</v>
      </c>
      <c r="H2172" t="s">
        <v>132</v>
      </c>
      <c r="I2172" t="s">
        <v>4</v>
      </c>
      <c r="J2172" t="s">
        <v>4276</v>
      </c>
      <c r="K2172" t="s">
        <v>54</v>
      </c>
      <c r="L2172"/>
      <c r="M2172" t="s">
        <v>134</v>
      </c>
      <c r="N2172" t="s">
        <v>135</v>
      </c>
      <c r="O2172"/>
      <c r="P2172"/>
      <c r="Q2172" t="s">
        <v>3731</v>
      </c>
      <c r="R2172"/>
      <c r="S2172"/>
      <c r="T2172"/>
      <c r="U2172" t="s">
        <v>137</v>
      </c>
      <c r="V2172" t="s">
        <v>159</v>
      </c>
      <c r="W2172"/>
      <c r="X2172" t="s">
        <v>106</v>
      </c>
      <c r="Y2172"/>
      <c r="Z2172"/>
      <c r="AA2172" t="s">
        <v>4702</v>
      </c>
      <c r="AB2172"/>
      <c r="AC2172" t="s">
        <v>138</v>
      </c>
      <c r="AD2172" t="s">
        <v>129</v>
      </c>
      <c r="AE2172" s="97"/>
    </row>
    <row r="2173" spans="1:31" ht="14.4" customHeight="1" x14ac:dyDescent="0.3">
      <c r="A2173" t="s">
        <v>4718</v>
      </c>
      <c r="B2173"/>
      <c r="C2173" t="s">
        <v>4310</v>
      </c>
      <c r="D2173"/>
      <c r="E2173" t="s">
        <v>4310</v>
      </c>
      <c r="F2173" t="s">
        <v>6769</v>
      </c>
      <c r="G2173" t="s">
        <v>4701</v>
      </c>
      <c r="H2173" t="s">
        <v>132</v>
      </c>
      <c r="I2173" t="s">
        <v>4</v>
      </c>
      <c r="J2173" t="s">
        <v>4276</v>
      </c>
      <c r="K2173" t="s">
        <v>54</v>
      </c>
      <c r="L2173"/>
      <c r="M2173" t="s">
        <v>134</v>
      </c>
      <c r="N2173" t="s">
        <v>135</v>
      </c>
      <c r="O2173"/>
      <c r="P2173"/>
      <c r="Q2173" t="s">
        <v>3731</v>
      </c>
      <c r="R2173"/>
      <c r="S2173"/>
      <c r="T2173"/>
      <c r="U2173" t="s">
        <v>137</v>
      </c>
      <c r="V2173" t="s">
        <v>162</v>
      </c>
      <c r="W2173"/>
      <c r="X2173" t="s">
        <v>113</v>
      </c>
      <c r="Y2173"/>
      <c r="Z2173"/>
      <c r="AA2173" t="s">
        <v>4702</v>
      </c>
      <c r="AB2173"/>
      <c r="AC2173" t="s">
        <v>138</v>
      </c>
      <c r="AD2173" t="s">
        <v>129</v>
      </c>
      <c r="AE2173" s="97"/>
    </row>
    <row r="2174" spans="1:31" ht="14.4" customHeight="1" x14ac:dyDescent="0.3">
      <c r="A2174" t="s">
        <v>4719</v>
      </c>
      <c r="B2174"/>
      <c r="C2174" t="s">
        <v>4312</v>
      </c>
      <c r="D2174"/>
      <c r="E2174" t="s">
        <v>4312</v>
      </c>
      <c r="F2174" t="s">
        <v>6769</v>
      </c>
      <c r="G2174" t="s">
        <v>4701</v>
      </c>
      <c r="H2174" t="s">
        <v>132</v>
      </c>
      <c r="I2174" t="s">
        <v>4</v>
      </c>
      <c r="J2174" t="s">
        <v>4276</v>
      </c>
      <c r="K2174" t="s">
        <v>54</v>
      </c>
      <c r="L2174"/>
      <c r="M2174" t="s">
        <v>134</v>
      </c>
      <c r="N2174" t="s">
        <v>135</v>
      </c>
      <c r="O2174"/>
      <c r="P2174"/>
      <c r="Q2174" t="s">
        <v>3731</v>
      </c>
      <c r="R2174"/>
      <c r="S2174"/>
      <c r="T2174"/>
      <c r="U2174" t="s">
        <v>137</v>
      </c>
      <c r="V2174" t="s">
        <v>162</v>
      </c>
      <c r="W2174"/>
      <c r="X2174" t="s">
        <v>113</v>
      </c>
      <c r="Y2174"/>
      <c r="Z2174"/>
      <c r="AA2174" t="s">
        <v>4702</v>
      </c>
      <c r="AB2174"/>
      <c r="AC2174" t="s">
        <v>138</v>
      </c>
      <c r="AD2174" t="s">
        <v>129</v>
      </c>
      <c r="AE2174" s="97"/>
    </row>
    <row r="2175" spans="1:31" ht="14.4" customHeight="1" x14ac:dyDescent="0.3">
      <c r="A2175" t="s">
        <v>4720</v>
      </c>
      <c r="B2175"/>
      <c r="C2175" t="s">
        <v>4314</v>
      </c>
      <c r="D2175"/>
      <c r="E2175" t="s">
        <v>4314</v>
      </c>
      <c r="F2175" t="s">
        <v>6769</v>
      </c>
      <c r="G2175" t="s">
        <v>4701</v>
      </c>
      <c r="H2175" t="s">
        <v>132</v>
      </c>
      <c r="I2175" t="s">
        <v>4</v>
      </c>
      <c r="J2175" t="s">
        <v>4276</v>
      </c>
      <c r="K2175" t="s">
        <v>54</v>
      </c>
      <c r="L2175"/>
      <c r="M2175" t="s">
        <v>134</v>
      </c>
      <c r="N2175" t="s">
        <v>135</v>
      </c>
      <c r="O2175"/>
      <c r="P2175"/>
      <c r="Q2175" t="s">
        <v>3731</v>
      </c>
      <c r="R2175"/>
      <c r="S2175"/>
      <c r="T2175"/>
      <c r="U2175" t="s">
        <v>137</v>
      </c>
      <c r="V2175" t="s">
        <v>162</v>
      </c>
      <c r="W2175"/>
      <c r="X2175" t="s">
        <v>113</v>
      </c>
      <c r="Y2175"/>
      <c r="Z2175"/>
      <c r="AA2175" t="s">
        <v>4702</v>
      </c>
      <c r="AB2175"/>
      <c r="AC2175" t="s">
        <v>138</v>
      </c>
      <c r="AD2175" t="s">
        <v>129</v>
      </c>
      <c r="AE2175" s="97"/>
    </row>
    <row r="2176" spans="1:31" ht="14.4" customHeight="1" x14ac:dyDescent="0.3">
      <c r="A2176" t="s">
        <v>4721</v>
      </c>
      <c r="B2176"/>
      <c r="C2176" t="s">
        <v>4316</v>
      </c>
      <c r="D2176"/>
      <c r="E2176" t="s">
        <v>4316</v>
      </c>
      <c r="F2176" t="s">
        <v>6769</v>
      </c>
      <c r="G2176" t="s">
        <v>4701</v>
      </c>
      <c r="H2176" t="s">
        <v>132</v>
      </c>
      <c r="I2176" t="s">
        <v>4</v>
      </c>
      <c r="J2176" t="s">
        <v>4276</v>
      </c>
      <c r="K2176" t="s">
        <v>54</v>
      </c>
      <c r="L2176"/>
      <c r="M2176" t="s">
        <v>134</v>
      </c>
      <c r="N2176" t="s">
        <v>135</v>
      </c>
      <c r="O2176"/>
      <c r="P2176"/>
      <c r="Q2176" t="s">
        <v>3731</v>
      </c>
      <c r="R2176"/>
      <c r="S2176"/>
      <c r="T2176"/>
      <c r="U2176" t="s">
        <v>137</v>
      </c>
      <c r="V2176" t="s">
        <v>165</v>
      </c>
      <c r="W2176"/>
      <c r="X2176" t="s">
        <v>122</v>
      </c>
      <c r="Y2176"/>
      <c r="Z2176"/>
      <c r="AA2176" t="s">
        <v>4702</v>
      </c>
      <c r="AB2176"/>
      <c r="AC2176" t="s">
        <v>138</v>
      </c>
      <c r="AD2176" t="s">
        <v>130</v>
      </c>
      <c r="AE2176" s="97"/>
    </row>
    <row r="2177" spans="1:31" ht="14.4" customHeight="1" x14ac:dyDescent="0.3">
      <c r="A2177" t="s">
        <v>4722</v>
      </c>
      <c r="B2177"/>
      <c r="C2177" t="s">
        <v>4318</v>
      </c>
      <c r="D2177"/>
      <c r="E2177" t="s">
        <v>4318</v>
      </c>
      <c r="F2177" t="s">
        <v>6769</v>
      </c>
      <c r="G2177" t="s">
        <v>4701</v>
      </c>
      <c r="H2177" t="s">
        <v>132</v>
      </c>
      <c r="I2177" t="s">
        <v>4</v>
      </c>
      <c r="J2177" t="s">
        <v>4276</v>
      </c>
      <c r="K2177" t="s">
        <v>54</v>
      </c>
      <c r="L2177"/>
      <c r="M2177" t="s">
        <v>134</v>
      </c>
      <c r="N2177" t="s">
        <v>135</v>
      </c>
      <c r="O2177"/>
      <c r="P2177"/>
      <c r="Q2177" t="s">
        <v>3731</v>
      </c>
      <c r="R2177"/>
      <c r="S2177"/>
      <c r="T2177"/>
      <c r="U2177" t="s">
        <v>137</v>
      </c>
      <c r="V2177" t="s">
        <v>165</v>
      </c>
      <c r="W2177"/>
      <c r="X2177" t="s">
        <v>122</v>
      </c>
      <c r="Y2177"/>
      <c r="Z2177"/>
      <c r="AA2177" t="s">
        <v>4702</v>
      </c>
      <c r="AB2177"/>
      <c r="AC2177" t="s">
        <v>138</v>
      </c>
      <c r="AD2177" t="s">
        <v>130</v>
      </c>
      <c r="AE2177" s="97"/>
    </row>
    <row r="2178" spans="1:31" ht="14.4" customHeight="1" x14ac:dyDescent="0.3">
      <c r="A2178" t="s">
        <v>4723</v>
      </c>
      <c r="B2178"/>
      <c r="C2178" t="s">
        <v>4320</v>
      </c>
      <c r="D2178"/>
      <c r="E2178" t="s">
        <v>4320</v>
      </c>
      <c r="F2178" t="s">
        <v>6769</v>
      </c>
      <c r="G2178" t="s">
        <v>4701</v>
      </c>
      <c r="H2178" t="s">
        <v>132</v>
      </c>
      <c r="I2178" t="s">
        <v>4</v>
      </c>
      <c r="J2178" t="s">
        <v>4276</v>
      </c>
      <c r="K2178" t="s">
        <v>54</v>
      </c>
      <c r="L2178"/>
      <c r="M2178" t="s">
        <v>134</v>
      </c>
      <c r="N2178" t="s">
        <v>135</v>
      </c>
      <c r="O2178"/>
      <c r="P2178"/>
      <c r="Q2178" t="s">
        <v>3731</v>
      </c>
      <c r="R2178"/>
      <c r="S2178"/>
      <c r="T2178"/>
      <c r="U2178" t="s">
        <v>137</v>
      </c>
      <c r="V2178" t="s">
        <v>165</v>
      </c>
      <c r="W2178"/>
      <c r="X2178" t="s">
        <v>122</v>
      </c>
      <c r="Y2178"/>
      <c r="Z2178"/>
      <c r="AA2178" t="s">
        <v>4702</v>
      </c>
      <c r="AB2178"/>
      <c r="AC2178" t="s">
        <v>138</v>
      </c>
      <c r="AD2178" t="s">
        <v>130</v>
      </c>
      <c r="AE2178" s="97"/>
    </row>
    <row r="2179" spans="1:31" ht="14.4" customHeight="1" x14ac:dyDescent="0.3">
      <c r="A2179" t="s">
        <v>4724</v>
      </c>
      <c r="B2179"/>
      <c r="C2179" t="s">
        <v>4322</v>
      </c>
      <c r="D2179"/>
      <c r="E2179" t="s">
        <v>4322</v>
      </c>
      <c r="F2179" t="s">
        <v>6769</v>
      </c>
      <c r="G2179" t="s">
        <v>4701</v>
      </c>
      <c r="H2179" t="s">
        <v>132</v>
      </c>
      <c r="I2179" t="s">
        <v>4</v>
      </c>
      <c r="J2179" t="s">
        <v>4276</v>
      </c>
      <c r="K2179" t="s">
        <v>54</v>
      </c>
      <c r="L2179"/>
      <c r="M2179" t="s">
        <v>134</v>
      </c>
      <c r="N2179" t="s">
        <v>135</v>
      </c>
      <c r="O2179"/>
      <c r="P2179"/>
      <c r="Q2179" t="s">
        <v>3731</v>
      </c>
      <c r="R2179"/>
      <c r="S2179"/>
      <c r="T2179"/>
      <c r="U2179" t="s">
        <v>137</v>
      </c>
      <c r="V2179" t="s">
        <v>371</v>
      </c>
      <c r="W2179"/>
      <c r="X2179" t="s">
        <v>57</v>
      </c>
      <c r="Y2179"/>
      <c r="Z2179"/>
      <c r="AA2179" t="s">
        <v>4702</v>
      </c>
      <c r="AB2179"/>
      <c r="AC2179" t="s">
        <v>138</v>
      </c>
      <c r="AD2179" t="s">
        <v>128</v>
      </c>
      <c r="AE2179" s="97"/>
    </row>
    <row r="2180" spans="1:31" ht="14.4" customHeight="1" x14ac:dyDescent="0.3">
      <c r="A2180" t="s">
        <v>4725</v>
      </c>
      <c r="B2180"/>
      <c r="C2180" t="s">
        <v>4324</v>
      </c>
      <c r="D2180"/>
      <c r="E2180" t="s">
        <v>4324</v>
      </c>
      <c r="F2180" t="s">
        <v>6769</v>
      </c>
      <c r="G2180" t="s">
        <v>4701</v>
      </c>
      <c r="H2180" t="s">
        <v>132</v>
      </c>
      <c r="I2180" t="s">
        <v>4</v>
      </c>
      <c r="J2180" t="s">
        <v>4276</v>
      </c>
      <c r="K2180" t="s">
        <v>54</v>
      </c>
      <c r="L2180"/>
      <c r="M2180" t="s">
        <v>134</v>
      </c>
      <c r="N2180" t="s">
        <v>135</v>
      </c>
      <c r="O2180"/>
      <c r="P2180"/>
      <c r="Q2180" t="s">
        <v>3731</v>
      </c>
      <c r="R2180"/>
      <c r="S2180"/>
      <c r="T2180"/>
      <c r="U2180" t="s">
        <v>137</v>
      </c>
      <c r="V2180" t="s">
        <v>371</v>
      </c>
      <c r="W2180"/>
      <c r="X2180" t="s">
        <v>57</v>
      </c>
      <c r="Y2180"/>
      <c r="Z2180"/>
      <c r="AA2180" t="s">
        <v>4702</v>
      </c>
      <c r="AB2180"/>
      <c r="AC2180" t="s">
        <v>138</v>
      </c>
      <c r="AD2180" t="s">
        <v>128</v>
      </c>
      <c r="AE2180" s="97"/>
    </row>
    <row r="2181" spans="1:31" ht="14.4" customHeight="1" x14ac:dyDescent="0.3">
      <c r="A2181" t="s">
        <v>4726</v>
      </c>
      <c r="B2181"/>
      <c r="C2181" t="s">
        <v>4326</v>
      </c>
      <c r="D2181"/>
      <c r="E2181" t="s">
        <v>4326</v>
      </c>
      <c r="F2181" t="s">
        <v>6769</v>
      </c>
      <c r="G2181" t="s">
        <v>4701</v>
      </c>
      <c r="H2181" t="s">
        <v>132</v>
      </c>
      <c r="I2181" t="s">
        <v>4</v>
      </c>
      <c r="J2181" t="s">
        <v>4276</v>
      </c>
      <c r="K2181" t="s">
        <v>54</v>
      </c>
      <c r="L2181"/>
      <c r="M2181" t="s">
        <v>134</v>
      </c>
      <c r="N2181" t="s">
        <v>135</v>
      </c>
      <c r="O2181"/>
      <c r="P2181"/>
      <c r="Q2181" t="s">
        <v>3731</v>
      </c>
      <c r="R2181"/>
      <c r="S2181"/>
      <c r="T2181"/>
      <c r="U2181" t="s">
        <v>137</v>
      </c>
      <c r="V2181" t="s">
        <v>362</v>
      </c>
      <c r="W2181"/>
      <c r="X2181" t="s">
        <v>58</v>
      </c>
      <c r="Y2181"/>
      <c r="Z2181"/>
      <c r="AA2181" t="s">
        <v>4702</v>
      </c>
      <c r="AB2181"/>
      <c r="AC2181" t="s">
        <v>138</v>
      </c>
      <c r="AD2181" t="s">
        <v>128</v>
      </c>
      <c r="AE2181" s="97"/>
    </row>
    <row r="2182" spans="1:31" ht="14.4" customHeight="1" x14ac:dyDescent="0.3">
      <c r="A2182" t="s">
        <v>4727</v>
      </c>
      <c r="B2182"/>
      <c r="C2182" t="s">
        <v>4328</v>
      </c>
      <c r="D2182"/>
      <c r="E2182" t="s">
        <v>4328</v>
      </c>
      <c r="F2182" t="s">
        <v>6769</v>
      </c>
      <c r="G2182" t="s">
        <v>4701</v>
      </c>
      <c r="H2182" t="s">
        <v>132</v>
      </c>
      <c r="I2182" t="s">
        <v>4</v>
      </c>
      <c r="J2182" t="s">
        <v>4276</v>
      </c>
      <c r="K2182" t="s">
        <v>54</v>
      </c>
      <c r="L2182"/>
      <c r="M2182" t="s">
        <v>134</v>
      </c>
      <c r="N2182" t="s">
        <v>135</v>
      </c>
      <c r="O2182"/>
      <c r="P2182"/>
      <c r="Q2182" t="s">
        <v>3731</v>
      </c>
      <c r="R2182"/>
      <c r="S2182"/>
      <c r="T2182"/>
      <c r="U2182" t="s">
        <v>137</v>
      </c>
      <c r="V2182" t="s">
        <v>362</v>
      </c>
      <c r="W2182"/>
      <c r="X2182" t="s">
        <v>58</v>
      </c>
      <c r="Y2182"/>
      <c r="Z2182"/>
      <c r="AA2182" t="s">
        <v>4702</v>
      </c>
      <c r="AB2182"/>
      <c r="AC2182" t="s">
        <v>138</v>
      </c>
      <c r="AD2182" t="s">
        <v>128</v>
      </c>
      <c r="AE2182" s="97"/>
    </row>
    <row r="2183" spans="1:31" ht="14.4" customHeight="1" x14ac:dyDescent="0.3">
      <c r="A2183" t="s">
        <v>4728</v>
      </c>
      <c r="B2183"/>
      <c r="C2183" t="s">
        <v>4330</v>
      </c>
      <c r="D2183"/>
      <c r="E2183" t="s">
        <v>4330</v>
      </c>
      <c r="F2183" t="s">
        <v>6769</v>
      </c>
      <c r="G2183" t="s">
        <v>4701</v>
      </c>
      <c r="H2183" t="s">
        <v>132</v>
      </c>
      <c r="I2183" t="s">
        <v>4</v>
      </c>
      <c r="J2183" t="s">
        <v>4276</v>
      </c>
      <c r="K2183" t="s">
        <v>54</v>
      </c>
      <c r="L2183"/>
      <c r="M2183" t="s">
        <v>134</v>
      </c>
      <c r="N2183" t="s">
        <v>135</v>
      </c>
      <c r="O2183"/>
      <c r="P2183"/>
      <c r="Q2183" t="s">
        <v>3731</v>
      </c>
      <c r="R2183"/>
      <c r="S2183"/>
      <c r="T2183"/>
      <c r="U2183" t="s">
        <v>137</v>
      </c>
      <c r="V2183" t="s">
        <v>640</v>
      </c>
      <c r="W2183"/>
      <c r="X2183" t="s">
        <v>66</v>
      </c>
      <c r="Y2183"/>
      <c r="Z2183"/>
      <c r="AA2183" t="s">
        <v>4702</v>
      </c>
      <c r="AB2183"/>
      <c r="AC2183" t="s">
        <v>138</v>
      </c>
      <c r="AD2183" t="s">
        <v>128</v>
      </c>
      <c r="AE2183" s="97"/>
    </row>
    <row r="2184" spans="1:31" ht="14.4" customHeight="1" x14ac:dyDescent="0.3">
      <c r="A2184" t="s">
        <v>4729</v>
      </c>
      <c r="B2184"/>
      <c r="C2184" t="s">
        <v>4332</v>
      </c>
      <c r="D2184"/>
      <c r="E2184" t="s">
        <v>4332</v>
      </c>
      <c r="F2184" t="s">
        <v>6769</v>
      </c>
      <c r="G2184" t="s">
        <v>4701</v>
      </c>
      <c r="H2184" t="s">
        <v>132</v>
      </c>
      <c r="I2184" t="s">
        <v>4</v>
      </c>
      <c r="J2184" t="s">
        <v>4276</v>
      </c>
      <c r="K2184" t="s">
        <v>54</v>
      </c>
      <c r="L2184"/>
      <c r="M2184" t="s">
        <v>134</v>
      </c>
      <c r="N2184" t="s">
        <v>135</v>
      </c>
      <c r="O2184"/>
      <c r="P2184"/>
      <c r="Q2184" t="s">
        <v>3731</v>
      </c>
      <c r="R2184"/>
      <c r="S2184"/>
      <c r="T2184"/>
      <c r="U2184" t="s">
        <v>137</v>
      </c>
      <c r="V2184" t="s">
        <v>640</v>
      </c>
      <c r="W2184"/>
      <c r="X2184" t="s">
        <v>66</v>
      </c>
      <c r="Y2184"/>
      <c r="Z2184"/>
      <c r="AA2184" t="s">
        <v>4702</v>
      </c>
      <c r="AB2184"/>
      <c r="AC2184" t="s">
        <v>138</v>
      </c>
      <c r="AD2184" t="s">
        <v>128</v>
      </c>
      <c r="AE2184" s="97"/>
    </row>
    <row r="2185" spans="1:31" ht="14.4" customHeight="1" x14ac:dyDescent="0.3">
      <c r="A2185" t="s">
        <v>4730</v>
      </c>
      <c r="B2185"/>
      <c r="C2185" t="s">
        <v>4334</v>
      </c>
      <c r="D2185"/>
      <c r="E2185" t="s">
        <v>4334</v>
      </c>
      <c r="F2185" t="s">
        <v>6769</v>
      </c>
      <c r="G2185" t="s">
        <v>4701</v>
      </c>
      <c r="H2185" t="s">
        <v>132</v>
      </c>
      <c r="I2185" t="s">
        <v>4</v>
      </c>
      <c r="J2185" t="s">
        <v>4276</v>
      </c>
      <c r="K2185" t="s">
        <v>54</v>
      </c>
      <c r="L2185"/>
      <c r="M2185" t="s">
        <v>134</v>
      </c>
      <c r="N2185" t="s">
        <v>135</v>
      </c>
      <c r="O2185"/>
      <c r="P2185"/>
      <c r="Q2185" t="s">
        <v>3731</v>
      </c>
      <c r="R2185"/>
      <c r="S2185"/>
      <c r="T2185"/>
      <c r="U2185" t="s">
        <v>137</v>
      </c>
      <c r="V2185" t="s">
        <v>646</v>
      </c>
      <c r="W2185"/>
      <c r="X2185" t="s">
        <v>74</v>
      </c>
      <c r="Y2185"/>
      <c r="Z2185"/>
      <c r="AA2185" t="s">
        <v>4702</v>
      </c>
      <c r="AB2185"/>
      <c r="AC2185" t="s">
        <v>138</v>
      </c>
      <c r="AD2185" t="s">
        <v>128</v>
      </c>
      <c r="AE2185" s="97"/>
    </row>
    <row r="2186" spans="1:31" ht="14.4" customHeight="1" x14ac:dyDescent="0.3">
      <c r="A2186" t="s">
        <v>4731</v>
      </c>
      <c r="B2186"/>
      <c r="C2186" t="s">
        <v>4336</v>
      </c>
      <c r="D2186"/>
      <c r="E2186" t="s">
        <v>4336</v>
      </c>
      <c r="F2186" t="s">
        <v>6769</v>
      </c>
      <c r="G2186" t="s">
        <v>4701</v>
      </c>
      <c r="H2186" t="s">
        <v>132</v>
      </c>
      <c r="I2186" t="s">
        <v>4</v>
      </c>
      <c r="J2186" t="s">
        <v>4276</v>
      </c>
      <c r="K2186" t="s">
        <v>54</v>
      </c>
      <c r="L2186"/>
      <c r="M2186" t="s">
        <v>134</v>
      </c>
      <c r="N2186" t="s">
        <v>135</v>
      </c>
      <c r="O2186"/>
      <c r="P2186"/>
      <c r="Q2186" t="s">
        <v>3731</v>
      </c>
      <c r="R2186"/>
      <c r="S2186"/>
      <c r="T2186"/>
      <c r="U2186" t="s">
        <v>137</v>
      </c>
      <c r="V2186" t="s">
        <v>646</v>
      </c>
      <c r="W2186"/>
      <c r="X2186" t="s">
        <v>74</v>
      </c>
      <c r="Y2186"/>
      <c r="Z2186"/>
      <c r="AA2186" t="s">
        <v>4702</v>
      </c>
      <c r="AB2186"/>
      <c r="AC2186" t="s">
        <v>138</v>
      </c>
      <c r="AD2186" t="s">
        <v>128</v>
      </c>
      <c r="AE2186" s="97"/>
    </row>
    <row r="2187" spans="1:31" ht="14.4" customHeight="1" x14ac:dyDescent="0.3">
      <c r="A2187" t="s">
        <v>4732</v>
      </c>
      <c r="B2187"/>
      <c r="C2187" t="s">
        <v>4338</v>
      </c>
      <c r="D2187"/>
      <c r="E2187" t="s">
        <v>4338</v>
      </c>
      <c r="F2187" t="s">
        <v>6769</v>
      </c>
      <c r="G2187" t="s">
        <v>4701</v>
      </c>
      <c r="H2187" t="s">
        <v>132</v>
      </c>
      <c r="I2187" t="s">
        <v>4</v>
      </c>
      <c r="J2187" t="s">
        <v>4276</v>
      </c>
      <c r="K2187" t="s">
        <v>54</v>
      </c>
      <c r="L2187"/>
      <c r="M2187" t="s">
        <v>134</v>
      </c>
      <c r="N2187" t="s">
        <v>135</v>
      </c>
      <c r="O2187"/>
      <c r="P2187"/>
      <c r="Q2187" t="s">
        <v>3731</v>
      </c>
      <c r="R2187"/>
      <c r="S2187"/>
      <c r="T2187"/>
      <c r="U2187" t="s">
        <v>137</v>
      </c>
      <c r="V2187" t="s">
        <v>652</v>
      </c>
      <c r="W2187"/>
      <c r="X2187" t="s">
        <v>85</v>
      </c>
      <c r="Y2187"/>
      <c r="Z2187"/>
      <c r="AA2187" t="s">
        <v>4702</v>
      </c>
      <c r="AB2187"/>
      <c r="AC2187" t="s">
        <v>138</v>
      </c>
      <c r="AD2187" t="s">
        <v>129</v>
      </c>
      <c r="AE2187" s="97"/>
    </row>
    <row r="2188" spans="1:31" ht="14.4" customHeight="1" x14ac:dyDescent="0.3">
      <c r="A2188" t="s">
        <v>4733</v>
      </c>
      <c r="B2188"/>
      <c r="C2188" t="s">
        <v>4340</v>
      </c>
      <c r="D2188"/>
      <c r="E2188" t="s">
        <v>4340</v>
      </c>
      <c r="F2188" t="s">
        <v>6769</v>
      </c>
      <c r="G2188" t="s">
        <v>4701</v>
      </c>
      <c r="H2188" t="s">
        <v>132</v>
      </c>
      <c r="I2188" t="s">
        <v>4</v>
      </c>
      <c r="J2188" t="s">
        <v>4276</v>
      </c>
      <c r="K2188" t="s">
        <v>54</v>
      </c>
      <c r="L2188"/>
      <c r="M2188" t="s">
        <v>134</v>
      </c>
      <c r="N2188" t="s">
        <v>135</v>
      </c>
      <c r="O2188"/>
      <c r="P2188"/>
      <c r="Q2188" t="s">
        <v>3731</v>
      </c>
      <c r="R2188"/>
      <c r="S2188"/>
      <c r="T2188"/>
      <c r="U2188" t="s">
        <v>137</v>
      </c>
      <c r="V2188" t="s">
        <v>652</v>
      </c>
      <c r="W2188"/>
      <c r="X2188" t="s">
        <v>85</v>
      </c>
      <c r="Y2188"/>
      <c r="Z2188"/>
      <c r="AA2188" t="s">
        <v>4702</v>
      </c>
      <c r="AB2188"/>
      <c r="AC2188" t="s">
        <v>138</v>
      </c>
      <c r="AD2188" t="s">
        <v>129</v>
      </c>
      <c r="AE2188" s="97"/>
    </row>
    <row r="2189" spans="1:31" ht="14.4" customHeight="1" x14ac:dyDescent="0.3">
      <c r="A2189" t="s">
        <v>4734</v>
      </c>
      <c r="B2189"/>
      <c r="C2189" t="s">
        <v>4342</v>
      </c>
      <c r="D2189"/>
      <c r="E2189" t="s">
        <v>4342</v>
      </c>
      <c r="F2189" t="s">
        <v>6769</v>
      </c>
      <c r="G2189" t="s">
        <v>4701</v>
      </c>
      <c r="H2189" t="s">
        <v>132</v>
      </c>
      <c r="I2189" t="s">
        <v>4</v>
      </c>
      <c r="J2189" t="s">
        <v>4276</v>
      </c>
      <c r="K2189" t="s">
        <v>54</v>
      </c>
      <c r="L2189"/>
      <c r="M2189" t="s">
        <v>134</v>
      </c>
      <c r="N2189" t="s">
        <v>135</v>
      </c>
      <c r="O2189"/>
      <c r="P2189"/>
      <c r="Q2189" t="s">
        <v>3731</v>
      </c>
      <c r="R2189"/>
      <c r="S2189"/>
      <c r="T2189"/>
      <c r="U2189" t="s">
        <v>137</v>
      </c>
      <c r="V2189" t="s">
        <v>658</v>
      </c>
      <c r="W2189"/>
      <c r="X2189" t="s">
        <v>94</v>
      </c>
      <c r="Y2189"/>
      <c r="Z2189"/>
      <c r="AA2189" t="s">
        <v>4702</v>
      </c>
      <c r="AB2189"/>
      <c r="AC2189" t="s">
        <v>138</v>
      </c>
      <c r="AD2189" t="s">
        <v>129</v>
      </c>
      <c r="AE2189" s="97"/>
    </row>
    <row r="2190" spans="1:31" ht="14.4" customHeight="1" x14ac:dyDescent="0.3">
      <c r="A2190" t="s">
        <v>4735</v>
      </c>
      <c r="B2190"/>
      <c r="C2190" t="s">
        <v>4344</v>
      </c>
      <c r="D2190"/>
      <c r="E2190" t="s">
        <v>4344</v>
      </c>
      <c r="F2190" t="s">
        <v>6769</v>
      </c>
      <c r="G2190" t="s">
        <v>4701</v>
      </c>
      <c r="H2190" t="s">
        <v>132</v>
      </c>
      <c r="I2190" t="s">
        <v>4</v>
      </c>
      <c r="J2190" t="s">
        <v>4276</v>
      </c>
      <c r="K2190" t="s">
        <v>54</v>
      </c>
      <c r="L2190"/>
      <c r="M2190" t="s">
        <v>134</v>
      </c>
      <c r="N2190" t="s">
        <v>135</v>
      </c>
      <c r="O2190"/>
      <c r="P2190"/>
      <c r="Q2190" t="s">
        <v>3731</v>
      </c>
      <c r="R2190"/>
      <c r="S2190"/>
      <c r="T2190"/>
      <c r="U2190" t="s">
        <v>137</v>
      </c>
      <c r="V2190" t="s">
        <v>658</v>
      </c>
      <c r="W2190"/>
      <c r="X2190" t="s">
        <v>94</v>
      </c>
      <c r="Y2190"/>
      <c r="Z2190"/>
      <c r="AA2190" t="s">
        <v>4702</v>
      </c>
      <c r="AB2190"/>
      <c r="AC2190" t="s">
        <v>138</v>
      </c>
      <c r="AD2190" t="s">
        <v>129</v>
      </c>
      <c r="AE2190" s="97"/>
    </row>
    <row r="2191" spans="1:31" ht="14.4" customHeight="1" x14ac:dyDescent="0.3">
      <c r="A2191" t="s">
        <v>4736</v>
      </c>
      <c r="B2191"/>
      <c r="C2191" t="s">
        <v>4346</v>
      </c>
      <c r="D2191"/>
      <c r="E2191" t="s">
        <v>4346</v>
      </c>
      <c r="F2191" t="s">
        <v>6769</v>
      </c>
      <c r="G2191" t="s">
        <v>4701</v>
      </c>
      <c r="H2191" t="s">
        <v>132</v>
      </c>
      <c r="I2191" t="s">
        <v>4</v>
      </c>
      <c r="J2191" t="s">
        <v>4276</v>
      </c>
      <c r="K2191" t="s">
        <v>54</v>
      </c>
      <c r="L2191"/>
      <c r="M2191" t="s">
        <v>134</v>
      </c>
      <c r="N2191" t="s">
        <v>135</v>
      </c>
      <c r="O2191"/>
      <c r="P2191"/>
      <c r="Q2191" t="s">
        <v>3731</v>
      </c>
      <c r="R2191"/>
      <c r="S2191"/>
      <c r="T2191"/>
      <c r="U2191" t="s">
        <v>137</v>
      </c>
      <c r="V2191" t="s">
        <v>664</v>
      </c>
      <c r="W2191"/>
      <c r="X2191" t="s">
        <v>103</v>
      </c>
      <c r="Y2191"/>
      <c r="Z2191"/>
      <c r="AA2191" t="s">
        <v>4702</v>
      </c>
      <c r="AB2191"/>
      <c r="AC2191" t="s">
        <v>138</v>
      </c>
      <c r="AD2191" t="s">
        <v>129</v>
      </c>
      <c r="AE2191" s="97"/>
    </row>
    <row r="2192" spans="1:31" ht="14.4" customHeight="1" x14ac:dyDescent="0.3">
      <c r="A2192" t="s">
        <v>4737</v>
      </c>
      <c r="B2192"/>
      <c r="C2192" t="s">
        <v>4348</v>
      </c>
      <c r="D2192"/>
      <c r="E2192" t="s">
        <v>4348</v>
      </c>
      <c r="F2192" t="s">
        <v>6769</v>
      </c>
      <c r="G2192" t="s">
        <v>4701</v>
      </c>
      <c r="H2192" t="s">
        <v>132</v>
      </c>
      <c r="I2192" t="s">
        <v>4</v>
      </c>
      <c r="J2192" t="s">
        <v>4276</v>
      </c>
      <c r="K2192" t="s">
        <v>54</v>
      </c>
      <c r="L2192"/>
      <c r="M2192" t="s">
        <v>134</v>
      </c>
      <c r="N2192" t="s">
        <v>135</v>
      </c>
      <c r="O2192"/>
      <c r="P2192"/>
      <c r="Q2192" t="s">
        <v>3731</v>
      </c>
      <c r="R2192"/>
      <c r="S2192"/>
      <c r="T2192"/>
      <c r="U2192" t="s">
        <v>137</v>
      </c>
      <c r="V2192" t="s">
        <v>664</v>
      </c>
      <c r="W2192"/>
      <c r="X2192" t="s">
        <v>103</v>
      </c>
      <c r="Y2192"/>
      <c r="Z2192"/>
      <c r="AA2192" t="s">
        <v>4702</v>
      </c>
      <c r="AB2192"/>
      <c r="AC2192" t="s">
        <v>138</v>
      </c>
      <c r="AD2192" t="s">
        <v>129</v>
      </c>
      <c r="AE2192" s="97"/>
    </row>
    <row r="2193" spans="1:31" ht="14.4" customHeight="1" x14ac:dyDescent="0.3">
      <c r="A2193" t="s">
        <v>4738</v>
      </c>
      <c r="B2193"/>
      <c r="C2193" t="s">
        <v>4350</v>
      </c>
      <c r="D2193"/>
      <c r="E2193" t="s">
        <v>4350</v>
      </c>
      <c r="F2193" t="s">
        <v>6769</v>
      </c>
      <c r="G2193" t="s">
        <v>4701</v>
      </c>
      <c r="H2193" t="s">
        <v>132</v>
      </c>
      <c r="I2193" t="s">
        <v>4</v>
      </c>
      <c r="J2193" t="s">
        <v>4276</v>
      </c>
      <c r="K2193" t="s">
        <v>54</v>
      </c>
      <c r="L2193"/>
      <c r="M2193" t="s">
        <v>134</v>
      </c>
      <c r="N2193" t="s">
        <v>135</v>
      </c>
      <c r="O2193"/>
      <c r="P2193"/>
      <c r="Q2193" t="s">
        <v>3731</v>
      </c>
      <c r="R2193"/>
      <c r="S2193"/>
      <c r="T2193"/>
      <c r="U2193" t="s">
        <v>137</v>
      </c>
      <c r="V2193" t="s">
        <v>670</v>
      </c>
      <c r="W2193"/>
      <c r="X2193" t="s">
        <v>110</v>
      </c>
      <c r="Y2193"/>
      <c r="Z2193"/>
      <c r="AA2193" t="s">
        <v>4702</v>
      </c>
      <c r="AB2193"/>
      <c r="AC2193" t="s">
        <v>138</v>
      </c>
      <c r="AD2193" t="s">
        <v>129</v>
      </c>
      <c r="AE2193" s="97"/>
    </row>
    <row r="2194" spans="1:31" ht="14.4" customHeight="1" x14ac:dyDescent="0.3">
      <c r="A2194" t="s">
        <v>4739</v>
      </c>
      <c r="B2194"/>
      <c r="C2194" t="s">
        <v>4352</v>
      </c>
      <c r="D2194"/>
      <c r="E2194" t="s">
        <v>4352</v>
      </c>
      <c r="F2194" t="s">
        <v>6769</v>
      </c>
      <c r="G2194" t="s">
        <v>4701</v>
      </c>
      <c r="H2194" t="s">
        <v>132</v>
      </c>
      <c r="I2194" t="s">
        <v>4</v>
      </c>
      <c r="J2194" t="s">
        <v>4276</v>
      </c>
      <c r="K2194" t="s">
        <v>54</v>
      </c>
      <c r="L2194"/>
      <c r="M2194" t="s">
        <v>134</v>
      </c>
      <c r="N2194" t="s">
        <v>135</v>
      </c>
      <c r="O2194"/>
      <c r="P2194"/>
      <c r="Q2194" t="s">
        <v>3731</v>
      </c>
      <c r="R2194"/>
      <c r="S2194"/>
      <c r="T2194"/>
      <c r="U2194" t="s">
        <v>137</v>
      </c>
      <c r="V2194" t="s">
        <v>670</v>
      </c>
      <c r="W2194"/>
      <c r="X2194" t="s">
        <v>110</v>
      </c>
      <c r="Y2194"/>
      <c r="Z2194"/>
      <c r="AA2194" t="s">
        <v>4702</v>
      </c>
      <c r="AB2194"/>
      <c r="AC2194" t="s">
        <v>138</v>
      </c>
      <c r="AD2194" t="s">
        <v>129</v>
      </c>
      <c r="AE2194" s="97"/>
    </row>
    <row r="2195" spans="1:31" ht="14.4" customHeight="1" x14ac:dyDescent="0.3">
      <c r="A2195" t="s">
        <v>4740</v>
      </c>
      <c r="B2195"/>
      <c r="C2195" t="s">
        <v>4354</v>
      </c>
      <c r="D2195"/>
      <c r="E2195" t="s">
        <v>4354</v>
      </c>
      <c r="F2195" t="s">
        <v>6769</v>
      </c>
      <c r="G2195" t="s">
        <v>4701</v>
      </c>
      <c r="H2195" t="s">
        <v>132</v>
      </c>
      <c r="I2195" t="s">
        <v>4</v>
      </c>
      <c r="J2195" t="s">
        <v>4276</v>
      </c>
      <c r="K2195" t="s">
        <v>54</v>
      </c>
      <c r="L2195"/>
      <c r="M2195" t="s">
        <v>134</v>
      </c>
      <c r="N2195" t="s">
        <v>135</v>
      </c>
      <c r="O2195"/>
      <c r="P2195"/>
      <c r="Q2195" t="s">
        <v>3731</v>
      </c>
      <c r="R2195"/>
      <c r="S2195"/>
      <c r="T2195"/>
      <c r="U2195" t="s">
        <v>137</v>
      </c>
      <c r="V2195" t="s">
        <v>676</v>
      </c>
      <c r="W2195"/>
      <c r="X2195" t="s">
        <v>119</v>
      </c>
      <c r="Y2195"/>
      <c r="Z2195"/>
      <c r="AA2195" t="s">
        <v>4702</v>
      </c>
      <c r="AB2195"/>
      <c r="AC2195" t="s">
        <v>138</v>
      </c>
      <c r="AD2195" t="s">
        <v>130</v>
      </c>
      <c r="AE2195" s="97"/>
    </row>
    <row r="2196" spans="1:31" ht="14.4" customHeight="1" x14ac:dyDescent="0.3">
      <c r="A2196" t="s">
        <v>4741</v>
      </c>
      <c r="B2196"/>
      <c r="C2196" t="s">
        <v>4356</v>
      </c>
      <c r="D2196"/>
      <c r="E2196" t="s">
        <v>4356</v>
      </c>
      <c r="F2196" t="s">
        <v>6769</v>
      </c>
      <c r="G2196" t="s">
        <v>4701</v>
      </c>
      <c r="H2196" t="s">
        <v>132</v>
      </c>
      <c r="I2196" t="s">
        <v>4</v>
      </c>
      <c r="J2196" t="s">
        <v>4276</v>
      </c>
      <c r="K2196" t="s">
        <v>54</v>
      </c>
      <c r="L2196"/>
      <c r="M2196" t="s">
        <v>134</v>
      </c>
      <c r="N2196" t="s">
        <v>135</v>
      </c>
      <c r="O2196"/>
      <c r="P2196"/>
      <c r="Q2196" t="s">
        <v>3731</v>
      </c>
      <c r="R2196"/>
      <c r="S2196"/>
      <c r="T2196"/>
      <c r="U2196" t="s">
        <v>137</v>
      </c>
      <c r="V2196" t="s">
        <v>676</v>
      </c>
      <c r="W2196"/>
      <c r="X2196" t="s">
        <v>119</v>
      </c>
      <c r="Y2196"/>
      <c r="Z2196"/>
      <c r="AA2196" t="s">
        <v>4702</v>
      </c>
      <c r="AB2196"/>
      <c r="AC2196" t="s">
        <v>138</v>
      </c>
      <c r="AD2196" t="s">
        <v>130</v>
      </c>
      <c r="AE2196" s="97"/>
    </row>
    <row r="2197" spans="1:31" ht="14.4" customHeight="1" x14ac:dyDescent="0.3">
      <c r="A2197" t="s">
        <v>4742</v>
      </c>
      <c r="B2197"/>
      <c r="C2197" t="s">
        <v>4358</v>
      </c>
      <c r="D2197"/>
      <c r="E2197" t="s">
        <v>4358</v>
      </c>
      <c r="F2197" t="s">
        <v>6769</v>
      </c>
      <c r="G2197" t="s">
        <v>4701</v>
      </c>
      <c r="H2197" t="s">
        <v>132</v>
      </c>
      <c r="I2197" t="s">
        <v>4</v>
      </c>
      <c r="J2197" t="s">
        <v>4276</v>
      </c>
      <c r="K2197" t="s">
        <v>54</v>
      </c>
      <c r="L2197"/>
      <c r="M2197" t="s">
        <v>134</v>
      </c>
      <c r="N2197" t="s">
        <v>135</v>
      </c>
      <c r="O2197"/>
      <c r="P2197"/>
      <c r="Q2197" t="s">
        <v>3731</v>
      </c>
      <c r="R2197"/>
      <c r="S2197"/>
      <c r="T2197"/>
      <c r="U2197" t="s">
        <v>137</v>
      </c>
      <c r="V2197" t="s">
        <v>1190</v>
      </c>
      <c r="W2197"/>
      <c r="X2197" t="s">
        <v>67</v>
      </c>
      <c r="Y2197"/>
      <c r="Z2197"/>
      <c r="AA2197" t="s">
        <v>4702</v>
      </c>
      <c r="AB2197"/>
      <c r="AC2197" t="s">
        <v>138</v>
      </c>
      <c r="AD2197" t="s">
        <v>128</v>
      </c>
      <c r="AE2197" s="97"/>
    </row>
    <row r="2198" spans="1:31" ht="14.4" customHeight="1" x14ac:dyDescent="0.3">
      <c r="A2198" t="s">
        <v>4743</v>
      </c>
      <c r="B2198"/>
      <c r="C2198" t="s">
        <v>4360</v>
      </c>
      <c r="D2198"/>
      <c r="E2198" t="s">
        <v>4360</v>
      </c>
      <c r="F2198" t="s">
        <v>6769</v>
      </c>
      <c r="G2198" t="s">
        <v>4701</v>
      </c>
      <c r="H2198" t="s">
        <v>132</v>
      </c>
      <c r="I2198" t="s">
        <v>4</v>
      </c>
      <c r="J2198" t="s">
        <v>4276</v>
      </c>
      <c r="K2198" t="s">
        <v>54</v>
      </c>
      <c r="L2198"/>
      <c r="M2198" t="s">
        <v>134</v>
      </c>
      <c r="N2198" t="s">
        <v>135</v>
      </c>
      <c r="O2198"/>
      <c r="P2198"/>
      <c r="Q2198" t="s">
        <v>3731</v>
      </c>
      <c r="R2198"/>
      <c r="S2198"/>
      <c r="T2198"/>
      <c r="U2198" t="s">
        <v>137</v>
      </c>
      <c r="V2198" t="s">
        <v>1190</v>
      </c>
      <c r="W2198"/>
      <c r="X2198" t="s">
        <v>67</v>
      </c>
      <c r="Y2198"/>
      <c r="Z2198"/>
      <c r="AA2198" t="s">
        <v>4702</v>
      </c>
      <c r="AB2198"/>
      <c r="AC2198" t="s">
        <v>138</v>
      </c>
      <c r="AD2198" t="s">
        <v>128</v>
      </c>
      <c r="AE2198" s="97"/>
    </row>
    <row r="2199" spans="1:31" ht="14.4" customHeight="1" x14ac:dyDescent="0.3">
      <c r="A2199" t="s">
        <v>4744</v>
      </c>
      <c r="B2199"/>
      <c r="C2199" t="s">
        <v>4362</v>
      </c>
      <c r="D2199"/>
      <c r="E2199" t="s">
        <v>4362</v>
      </c>
      <c r="F2199" t="s">
        <v>6769</v>
      </c>
      <c r="G2199" t="s">
        <v>4701</v>
      </c>
      <c r="H2199" t="s">
        <v>132</v>
      </c>
      <c r="I2199" t="s">
        <v>4</v>
      </c>
      <c r="J2199" t="s">
        <v>4276</v>
      </c>
      <c r="K2199" t="s">
        <v>54</v>
      </c>
      <c r="L2199"/>
      <c r="M2199" t="s">
        <v>134</v>
      </c>
      <c r="N2199" t="s">
        <v>135</v>
      </c>
      <c r="O2199"/>
      <c r="P2199"/>
      <c r="Q2199" t="s">
        <v>3731</v>
      </c>
      <c r="R2199"/>
      <c r="S2199"/>
      <c r="T2199"/>
      <c r="U2199" t="s">
        <v>137</v>
      </c>
      <c r="V2199" t="s">
        <v>1194</v>
      </c>
      <c r="W2199"/>
      <c r="X2199" t="s">
        <v>75</v>
      </c>
      <c r="Y2199"/>
      <c r="Z2199"/>
      <c r="AA2199" t="s">
        <v>4702</v>
      </c>
      <c r="AB2199"/>
      <c r="AC2199" t="s">
        <v>138</v>
      </c>
      <c r="AD2199" t="s">
        <v>128</v>
      </c>
      <c r="AE2199" s="97"/>
    </row>
    <row r="2200" spans="1:31" ht="14.4" customHeight="1" x14ac:dyDescent="0.3">
      <c r="A2200" t="s">
        <v>4745</v>
      </c>
      <c r="B2200"/>
      <c r="C2200" t="s">
        <v>4364</v>
      </c>
      <c r="D2200"/>
      <c r="E2200" t="s">
        <v>4364</v>
      </c>
      <c r="F2200" t="s">
        <v>6769</v>
      </c>
      <c r="G2200" t="s">
        <v>4701</v>
      </c>
      <c r="H2200" t="s">
        <v>132</v>
      </c>
      <c r="I2200" t="s">
        <v>4</v>
      </c>
      <c r="J2200" t="s">
        <v>4276</v>
      </c>
      <c r="K2200" t="s">
        <v>54</v>
      </c>
      <c r="L2200"/>
      <c r="M2200" t="s">
        <v>134</v>
      </c>
      <c r="N2200" t="s">
        <v>135</v>
      </c>
      <c r="O2200"/>
      <c r="P2200"/>
      <c r="Q2200" t="s">
        <v>3731</v>
      </c>
      <c r="R2200"/>
      <c r="S2200"/>
      <c r="T2200"/>
      <c r="U2200" t="s">
        <v>137</v>
      </c>
      <c r="V2200" t="s">
        <v>1194</v>
      </c>
      <c r="W2200"/>
      <c r="X2200" t="s">
        <v>75</v>
      </c>
      <c r="Y2200"/>
      <c r="Z2200"/>
      <c r="AA2200" t="s">
        <v>4702</v>
      </c>
      <c r="AB2200"/>
      <c r="AC2200" t="s">
        <v>138</v>
      </c>
      <c r="AD2200" t="s">
        <v>128</v>
      </c>
      <c r="AE2200" s="97"/>
    </row>
    <row r="2201" spans="1:31" ht="14.4" customHeight="1" x14ac:dyDescent="0.3">
      <c r="A2201" t="s">
        <v>4746</v>
      </c>
      <c r="B2201"/>
      <c r="C2201" t="s">
        <v>4366</v>
      </c>
      <c r="D2201"/>
      <c r="E2201" t="s">
        <v>4366</v>
      </c>
      <c r="F2201" t="s">
        <v>6769</v>
      </c>
      <c r="G2201" t="s">
        <v>4701</v>
      </c>
      <c r="H2201" t="s">
        <v>132</v>
      </c>
      <c r="I2201" t="s">
        <v>4</v>
      </c>
      <c r="J2201" t="s">
        <v>4276</v>
      </c>
      <c r="K2201" t="s">
        <v>54</v>
      </c>
      <c r="L2201"/>
      <c r="M2201" t="s">
        <v>134</v>
      </c>
      <c r="N2201" t="s">
        <v>135</v>
      </c>
      <c r="O2201"/>
      <c r="P2201"/>
      <c r="Q2201" t="s">
        <v>3731</v>
      </c>
      <c r="R2201"/>
      <c r="S2201"/>
      <c r="T2201"/>
      <c r="U2201" t="s">
        <v>137</v>
      </c>
      <c r="V2201" t="s">
        <v>1198</v>
      </c>
      <c r="W2201"/>
      <c r="X2201" t="s">
        <v>86</v>
      </c>
      <c r="Y2201"/>
      <c r="Z2201"/>
      <c r="AA2201" t="s">
        <v>4702</v>
      </c>
      <c r="AB2201"/>
      <c r="AC2201" t="s">
        <v>138</v>
      </c>
      <c r="AD2201" t="s">
        <v>129</v>
      </c>
      <c r="AE2201" s="97"/>
    </row>
    <row r="2202" spans="1:31" ht="14.4" customHeight="1" x14ac:dyDescent="0.3">
      <c r="A2202" t="s">
        <v>4747</v>
      </c>
      <c r="B2202"/>
      <c r="C2202" t="s">
        <v>4368</v>
      </c>
      <c r="D2202"/>
      <c r="E2202" t="s">
        <v>4368</v>
      </c>
      <c r="F2202" t="s">
        <v>6769</v>
      </c>
      <c r="G2202" t="s">
        <v>4701</v>
      </c>
      <c r="H2202" t="s">
        <v>132</v>
      </c>
      <c r="I2202" t="s">
        <v>4</v>
      </c>
      <c r="J2202" t="s">
        <v>4276</v>
      </c>
      <c r="K2202" t="s">
        <v>54</v>
      </c>
      <c r="L2202"/>
      <c r="M2202" t="s">
        <v>134</v>
      </c>
      <c r="N2202" t="s">
        <v>135</v>
      </c>
      <c r="O2202"/>
      <c r="P2202"/>
      <c r="Q2202" t="s">
        <v>3731</v>
      </c>
      <c r="R2202"/>
      <c r="S2202"/>
      <c r="T2202"/>
      <c r="U2202" t="s">
        <v>137</v>
      </c>
      <c r="V2202" t="s">
        <v>1198</v>
      </c>
      <c r="W2202"/>
      <c r="X2202" t="s">
        <v>86</v>
      </c>
      <c r="Y2202"/>
      <c r="Z2202"/>
      <c r="AA2202" t="s">
        <v>4702</v>
      </c>
      <c r="AB2202"/>
      <c r="AC2202" t="s">
        <v>138</v>
      </c>
      <c r="AD2202" t="s">
        <v>129</v>
      </c>
      <c r="AE2202" s="97"/>
    </row>
    <row r="2203" spans="1:31" ht="14.4" customHeight="1" x14ac:dyDescent="0.3">
      <c r="A2203" t="s">
        <v>4748</v>
      </c>
      <c r="B2203"/>
      <c r="C2203" t="s">
        <v>4370</v>
      </c>
      <c r="D2203"/>
      <c r="E2203" t="s">
        <v>4370</v>
      </c>
      <c r="F2203" t="s">
        <v>6769</v>
      </c>
      <c r="G2203" t="s">
        <v>4701</v>
      </c>
      <c r="H2203" t="s">
        <v>132</v>
      </c>
      <c r="I2203" t="s">
        <v>4</v>
      </c>
      <c r="J2203" t="s">
        <v>4276</v>
      </c>
      <c r="K2203" t="s">
        <v>54</v>
      </c>
      <c r="L2203"/>
      <c r="M2203" t="s">
        <v>134</v>
      </c>
      <c r="N2203" t="s">
        <v>135</v>
      </c>
      <c r="O2203"/>
      <c r="P2203"/>
      <c r="Q2203" t="s">
        <v>3731</v>
      </c>
      <c r="R2203"/>
      <c r="S2203"/>
      <c r="T2203"/>
      <c r="U2203" t="s">
        <v>137</v>
      </c>
      <c r="V2203" t="s">
        <v>1202</v>
      </c>
      <c r="W2203"/>
      <c r="X2203" t="s">
        <v>95</v>
      </c>
      <c r="Y2203"/>
      <c r="Z2203"/>
      <c r="AA2203" t="s">
        <v>4702</v>
      </c>
      <c r="AB2203"/>
      <c r="AC2203" t="s">
        <v>138</v>
      </c>
      <c r="AD2203" t="s">
        <v>129</v>
      </c>
      <c r="AE2203" s="97"/>
    </row>
    <row r="2204" spans="1:31" ht="14.4" customHeight="1" x14ac:dyDescent="0.3">
      <c r="A2204" t="s">
        <v>4749</v>
      </c>
      <c r="B2204"/>
      <c r="C2204" t="s">
        <v>4372</v>
      </c>
      <c r="D2204"/>
      <c r="E2204" t="s">
        <v>4372</v>
      </c>
      <c r="F2204" t="s">
        <v>6769</v>
      </c>
      <c r="G2204" t="s">
        <v>4701</v>
      </c>
      <c r="H2204" t="s">
        <v>132</v>
      </c>
      <c r="I2204" t="s">
        <v>4</v>
      </c>
      <c r="J2204" t="s">
        <v>4276</v>
      </c>
      <c r="K2204" t="s">
        <v>54</v>
      </c>
      <c r="L2204"/>
      <c r="M2204" t="s">
        <v>134</v>
      </c>
      <c r="N2204" t="s">
        <v>135</v>
      </c>
      <c r="O2204"/>
      <c r="P2204"/>
      <c r="Q2204" t="s">
        <v>3731</v>
      </c>
      <c r="R2204"/>
      <c r="S2204"/>
      <c r="T2204"/>
      <c r="U2204" t="s">
        <v>137</v>
      </c>
      <c r="V2204" t="s">
        <v>1202</v>
      </c>
      <c r="W2204"/>
      <c r="X2204" t="s">
        <v>95</v>
      </c>
      <c r="Y2204"/>
      <c r="Z2204"/>
      <c r="AA2204" t="s">
        <v>4702</v>
      </c>
      <c r="AB2204"/>
      <c r="AC2204" t="s">
        <v>138</v>
      </c>
      <c r="AD2204" t="s">
        <v>129</v>
      </c>
      <c r="AE2204" s="97"/>
    </row>
    <row r="2205" spans="1:31" ht="14.4" customHeight="1" x14ac:dyDescent="0.3">
      <c r="A2205" t="s">
        <v>4750</v>
      </c>
      <c r="B2205"/>
      <c r="C2205" t="s">
        <v>4374</v>
      </c>
      <c r="D2205"/>
      <c r="E2205" t="s">
        <v>4374</v>
      </c>
      <c r="F2205" t="s">
        <v>6769</v>
      </c>
      <c r="G2205" t="s">
        <v>4701</v>
      </c>
      <c r="H2205" t="s">
        <v>132</v>
      </c>
      <c r="I2205" t="s">
        <v>4</v>
      </c>
      <c r="J2205" t="s">
        <v>4276</v>
      </c>
      <c r="K2205" t="s">
        <v>54</v>
      </c>
      <c r="L2205"/>
      <c r="M2205" t="s">
        <v>134</v>
      </c>
      <c r="N2205" t="s">
        <v>135</v>
      </c>
      <c r="O2205"/>
      <c r="P2205"/>
      <c r="Q2205" t="s">
        <v>3731</v>
      </c>
      <c r="R2205"/>
      <c r="S2205"/>
      <c r="T2205"/>
      <c r="U2205" t="s">
        <v>137</v>
      </c>
      <c r="V2205" t="s">
        <v>1206</v>
      </c>
      <c r="W2205"/>
      <c r="X2205" t="s">
        <v>104</v>
      </c>
      <c r="Y2205"/>
      <c r="Z2205"/>
      <c r="AA2205" t="s">
        <v>4702</v>
      </c>
      <c r="AB2205"/>
      <c r="AC2205" t="s">
        <v>138</v>
      </c>
      <c r="AD2205" t="s">
        <v>129</v>
      </c>
      <c r="AE2205" s="97"/>
    </row>
    <row r="2206" spans="1:31" ht="14.4" customHeight="1" x14ac:dyDescent="0.3">
      <c r="A2206" t="s">
        <v>4751</v>
      </c>
      <c r="B2206"/>
      <c r="C2206" t="s">
        <v>4376</v>
      </c>
      <c r="D2206"/>
      <c r="E2206" t="s">
        <v>4376</v>
      </c>
      <c r="F2206" t="s">
        <v>6769</v>
      </c>
      <c r="G2206" t="s">
        <v>4701</v>
      </c>
      <c r="H2206" t="s">
        <v>132</v>
      </c>
      <c r="I2206" t="s">
        <v>4</v>
      </c>
      <c r="J2206" t="s">
        <v>4276</v>
      </c>
      <c r="K2206" t="s">
        <v>54</v>
      </c>
      <c r="L2206"/>
      <c r="M2206" t="s">
        <v>134</v>
      </c>
      <c r="N2206" t="s">
        <v>135</v>
      </c>
      <c r="O2206"/>
      <c r="P2206"/>
      <c r="Q2206" t="s">
        <v>3731</v>
      </c>
      <c r="R2206"/>
      <c r="S2206"/>
      <c r="T2206"/>
      <c r="U2206" t="s">
        <v>137</v>
      </c>
      <c r="V2206" t="s">
        <v>1206</v>
      </c>
      <c r="W2206"/>
      <c r="X2206" t="s">
        <v>104</v>
      </c>
      <c r="Y2206"/>
      <c r="Z2206"/>
      <c r="AA2206" t="s">
        <v>4702</v>
      </c>
      <c r="AB2206"/>
      <c r="AC2206" t="s">
        <v>138</v>
      </c>
      <c r="AD2206" t="s">
        <v>129</v>
      </c>
      <c r="AE2206" s="97"/>
    </row>
    <row r="2207" spans="1:31" ht="14.4" customHeight="1" x14ac:dyDescent="0.3">
      <c r="A2207" t="s">
        <v>4752</v>
      </c>
      <c r="B2207"/>
      <c r="C2207" t="s">
        <v>4378</v>
      </c>
      <c r="D2207"/>
      <c r="E2207" t="s">
        <v>4378</v>
      </c>
      <c r="F2207" t="s">
        <v>6769</v>
      </c>
      <c r="G2207" t="s">
        <v>4701</v>
      </c>
      <c r="H2207" t="s">
        <v>132</v>
      </c>
      <c r="I2207" t="s">
        <v>4</v>
      </c>
      <c r="J2207" t="s">
        <v>4276</v>
      </c>
      <c r="K2207" t="s">
        <v>54</v>
      </c>
      <c r="L2207"/>
      <c r="M2207" t="s">
        <v>134</v>
      </c>
      <c r="N2207" t="s">
        <v>135</v>
      </c>
      <c r="O2207"/>
      <c r="P2207"/>
      <c r="Q2207" t="s">
        <v>3731</v>
      </c>
      <c r="R2207"/>
      <c r="S2207"/>
      <c r="T2207"/>
      <c r="U2207" t="s">
        <v>137</v>
      </c>
      <c r="V2207" t="s">
        <v>1210</v>
      </c>
      <c r="W2207"/>
      <c r="X2207" t="s">
        <v>111</v>
      </c>
      <c r="Y2207"/>
      <c r="Z2207"/>
      <c r="AA2207" t="s">
        <v>4702</v>
      </c>
      <c r="AB2207"/>
      <c r="AC2207" t="s">
        <v>138</v>
      </c>
      <c r="AD2207" t="s">
        <v>129</v>
      </c>
      <c r="AE2207" s="97"/>
    </row>
    <row r="2208" spans="1:31" ht="14.4" customHeight="1" x14ac:dyDescent="0.3">
      <c r="A2208" t="s">
        <v>4753</v>
      </c>
      <c r="B2208"/>
      <c r="C2208" t="s">
        <v>4380</v>
      </c>
      <c r="D2208"/>
      <c r="E2208" t="s">
        <v>4380</v>
      </c>
      <c r="F2208" t="s">
        <v>6769</v>
      </c>
      <c r="G2208" t="s">
        <v>4701</v>
      </c>
      <c r="H2208" t="s">
        <v>132</v>
      </c>
      <c r="I2208" t="s">
        <v>4</v>
      </c>
      <c r="J2208" t="s">
        <v>4276</v>
      </c>
      <c r="K2208" t="s">
        <v>54</v>
      </c>
      <c r="L2208"/>
      <c r="M2208" t="s">
        <v>134</v>
      </c>
      <c r="N2208" t="s">
        <v>135</v>
      </c>
      <c r="O2208"/>
      <c r="P2208"/>
      <c r="Q2208" t="s">
        <v>3731</v>
      </c>
      <c r="R2208"/>
      <c r="S2208"/>
      <c r="T2208"/>
      <c r="U2208" t="s">
        <v>137</v>
      </c>
      <c r="V2208" t="s">
        <v>1210</v>
      </c>
      <c r="W2208"/>
      <c r="X2208" t="s">
        <v>111</v>
      </c>
      <c r="Y2208"/>
      <c r="Z2208"/>
      <c r="AA2208" t="s">
        <v>4702</v>
      </c>
      <c r="AB2208"/>
      <c r="AC2208" t="s">
        <v>138</v>
      </c>
      <c r="AD2208" t="s">
        <v>129</v>
      </c>
      <c r="AE2208" s="97"/>
    </row>
    <row r="2209" spans="1:31" ht="14.4" customHeight="1" x14ac:dyDescent="0.3">
      <c r="A2209" t="s">
        <v>4754</v>
      </c>
      <c r="B2209"/>
      <c r="C2209" t="s">
        <v>4382</v>
      </c>
      <c r="D2209"/>
      <c r="E2209" t="s">
        <v>4382</v>
      </c>
      <c r="F2209" t="s">
        <v>6769</v>
      </c>
      <c r="G2209" t="s">
        <v>4701</v>
      </c>
      <c r="H2209" t="s">
        <v>132</v>
      </c>
      <c r="I2209" t="s">
        <v>4</v>
      </c>
      <c r="J2209" t="s">
        <v>4276</v>
      </c>
      <c r="K2209" t="s">
        <v>54</v>
      </c>
      <c r="L2209"/>
      <c r="M2209" t="s">
        <v>134</v>
      </c>
      <c r="N2209" t="s">
        <v>135</v>
      </c>
      <c r="O2209"/>
      <c r="P2209"/>
      <c r="Q2209" t="s">
        <v>3731</v>
      </c>
      <c r="R2209"/>
      <c r="S2209"/>
      <c r="T2209"/>
      <c r="U2209" t="s">
        <v>137</v>
      </c>
      <c r="V2209" t="s">
        <v>1214</v>
      </c>
      <c r="W2209"/>
      <c r="X2209" t="s">
        <v>120</v>
      </c>
      <c r="Y2209"/>
      <c r="Z2209"/>
      <c r="AA2209" t="s">
        <v>4702</v>
      </c>
      <c r="AB2209"/>
      <c r="AC2209" t="s">
        <v>138</v>
      </c>
      <c r="AD2209" t="s">
        <v>130</v>
      </c>
      <c r="AE2209" s="97"/>
    </row>
    <row r="2210" spans="1:31" ht="14.4" customHeight="1" x14ac:dyDescent="0.3">
      <c r="A2210" t="s">
        <v>4755</v>
      </c>
      <c r="B2210"/>
      <c r="C2210" t="s">
        <v>4384</v>
      </c>
      <c r="D2210"/>
      <c r="E2210" t="s">
        <v>4384</v>
      </c>
      <c r="F2210" t="s">
        <v>6769</v>
      </c>
      <c r="G2210" t="s">
        <v>4701</v>
      </c>
      <c r="H2210" t="s">
        <v>132</v>
      </c>
      <c r="I2210" t="s">
        <v>4</v>
      </c>
      <c r="J2210" t="s">
        <v>4276</v>
      </c>
      <c r="K2210" t="s">
        <v>54</v>
      </c>
      <c r="L2210"/>
      <c r="M2210" t="s">
        <v>134</v>
      </c>
      <c r="N2210" t="s">
        <v>135</v>
      </c>
      <c r="O2210"/>
      <c r="P2210"/>
      <c r="Q2210" t="s">
        <v>3731</v>
      </c>
      <c r="R2210"/>
      <c r="S2210"/>
      <c r="T2210"/>
      <c r="U2210" t="s">
        <v>137</v>
      </c>
      <c r="V2210" t="s">
        <v>1214</v>
      </c>
      <c r="W2210"/>
      <c r="X2210" t="s">
        <v>120</v>
      </c>
      <c r="Y2210"/>
      <c r="Z2210"/>
      <c r="AA2210" t="s">
        <v>4702</v>
      </c>
      <c r="AB2210"/>
      <c r="AC2210" t="s">
        <v>138</v>
      </c>
      <c r="AD2210" t="s">
        <v>130</v>
      </c>
      <c r="AE2210" s="97"/>
    </row>
    <row r="2211" spans="1:31" ht="14.4" customHeight="1" x14ac:dyDescent="0.3">
      <c r="A2211" t="s">
        <v>4756</v>
      </c>
      <c r="B2211"/>
      <c r="C2211" t="s">
        <v>4386</v>
      </c>
      <c r="D2211"/>
      <c r="E2211" t="s">
        <v>4386</v>
      </c>
      <c r="F2211" t="s">
        <v>6769</v>
      </c>
      <c r="G2211" t="s">
        <v>4701</v>
      </c>
      <c r="H2211" t="s">
        <v>132</v>
      </c>
      <c r="I2211" t="s">
        <v>4</v>
      </c>
      <c r="J2211" t="s">
        <v>4276</v>
      </c>
      <c r="K2211" t="s">
        <v>54</v>
      </c>
      <c r="L2211"/>
      <c r="M2211" t="s">
        <v>134</v>
      </c>
      <c r="N2211" t="s">
        <v>135</v>
      </c>
      <c r="O2211"/>
      <c r="P2211"/>
      <c r="Q2211" t="s">
        <v>3731</v>
      </c>
      <c r="R2211"/>
      <c r="S2211"/>
      <c r="T2211"/>
      <c r="U2211" t="s">
        <v>137</v>
      </c>
      <c r="V2211" t="s">
        <v>403</v>
      </c>
      <c r="W2211"/>
      <c r="X2211" t="s">
        <v>68</v>
      </c>
      <c r="Y2211"/>
      <c r="Z2211"/>
      <c r="AA2211" t="s">
        <v>4702</v>
      </c>
      <c r="AB2211"/>
      <c r="AC2211" t="s">
        <v>138</v>
      </c>
      <c r="AD2211" t="s">
        <v>128</v>
      </c>
      <c r="AE2211" s="97"/>
    </row>
    <row r="2212" spans="1:31" ht="14.4" customHeight="1" x14ac:dyDescent="0.3">
      <c r="A2212" t="s">
        <v>4757</v>
      </c>
      <c r="B2212"/>
      <c r="C2212" t="s">
        <v>4388</v>
      </c>
      <c r="D2212"/>
      <c r="E2212" t="s">
        <v>4388</v>
      </c>
      <c r="F2212" t="s">
        <v>6769</v>
      </c>
      <c r="G2212" t="s">
        <v>4701</v>
      </c>
      <c r="H2212" t="s">
        <v>132</v>
      </c>
      <c r="I2212" t="s">
        <v>4</v>
      </c>
      <c r="J2212" t="s">
        <v>4276</v>
      </c>
      <c r="K2212" t="s">
        <v>54</v>
      </c>
      <c r="L2212"/>
      <c r="M2212" t="s">
        <v>134</v>
      </c>
      <c r="N2212" t="s">
        <v>135</v>
      </c>
      <c r="O2212"/>
      <c r="P2212"/>
      <c r="Q2212" t="s">
        <v>3731</v>
      </c>
      <c r="R2212"/>
      <c r="S2212"/>
      <c r="T2212"/>
      <c r="U2212" t="s">
        <v>137</v>
      </c>
      <c r="V2212" t="s">
        <v>403</v>
      </c>
      <c r="W2212"/>
      <c r="X2212" t="s">
        <v>68</v>
      </c>
      <c r="Y2212"/>
      <c r="Z2212"/>
      <c r="AA2212" t="s">
        <v>4702</v>
      </c>
      <c r="AB2212"/>
      <c r="AC2212" t="s">
        <v>138</v>
      </c>
      <c r="AD2212" t="s">
        <v>128</v>
      </c>
      <c r="AE2212" s="97"/>
    </row>
    <row r="2213" spans="1:31" ht="14.4" customHeight="1" x14ac:dyDescent="0.3">
      <c r="A2213" t="s">
        <v>4758</v>
      </c>
      <c r="B2213"/>
      <c r="C2213" t="s">
        <v>4390</v>
      </c>
      <c r="D2213"/>
      <c r="E2213" t="s">
        <v>4390</v>
      </c>
      <c r="F2213" t="s">
        <v>6769</v>
      </c>
      <c r="G2213" t="s">
        <v>4701</v>
      </c>
      <c r="H2213" t="s">
        <v>132</v>
      </c>
      <c r="I2213" t="s">
        <v>4</v>
      </c>
      <c r="J2213" t="s">
        <v>4276</v>
      </c>
      <c r="K2213" t="s">
        <v>54</v>
      </c>
      <c r="L2213"/>
      <c r="M2213" t="s">
        <v>134</v>
      </c>
      <c r="N2213" t="s">
        <v>135</v>
      </c>
      <c r="O2213"/>
      <c r="P2213"/>
      <c r="Q2213" t="s">
        <v>3731</v>
      </c>
      <c r="R2213"/>
      <c r="S2213"/>
      <c r="T2213"/>
      <c r="U2213" t="s">
        <v>137</v>
      </c>
      <c r="V2213" t="s">
        <v>407</v>
      </c>
      <c r="W2213"/>
      <c r="X2213" t="s">
        <v>77</v>
      </c>
      <c r="Y2213"/>
      <c r="Z2213"/>
      <c r="AA2213" t="s">
        <v>4702</v>
      </c>
      <c r="AB2213"/>
      <c r="AC2213" t="s">
        <v>138</v>
      </c>
      <c r="AD2213" t="s">
        <v>128</v>
      </c>
      <c r="AE2213" s="97"/>
    </row>
    <row r="2214" spans="1:31" ht="14.4" customHeight="1" x14ac:dyDescent="0.3">
      <c r="A2214" t="s">
        <v>4759</v>
      </c>
      <c r="B2214"/>
      <c r="C2214" t="s">
        <v>4392</v>
      </c>
      <c r="D2214"/>
      <c r="E2214" t="s">
        <v>4392</v>
      </c>
      <c r="F2214" t="s">
        <v>6769</v>
      </c>
      <c r="G2214" t="s">
        <v>4701</v>
      </c>
      <c r="H2214" t="s">
        <v>132</v>
      </c>
      <c r="I2214" t="s">
        <v>4</v>
      </c>
      <c r="J2214" t="s">
        <v>4276</v>
      </c>
      <c r="K2214" t="s">
        <v>54</v>
      </c>
      <c r="L2214"/>
      <c r="M2214" t="s">
        <v>134</v>
      </c>
      <c r="N2214" t="s">
        <v>135</v>
      </c>
      <c r="O2214"/>
      <c r="P2214"/>
      <c r="Q2214" t="s">
        <v>3731</v>
      </c>
      <c r="R2214"/>
      <c r="S2214"/>
      <c r="T2214"/>
      <c r="U2214" t="s">
        <v>137</v>
      </c>
      <c r="V2214" t="s">
        <v>407</v>
      </c>
      <c r="W2214"/>
      <c r="X2214" t="s">
        <v>77</v>
      </c>
      <c r="Y2214"/>
      <c r="Z2214"/>
      <c r="AA2214" t="s">
        <v>4702</v>
      </c>
      <c r="AB2214"/>
      <c r="AC2214" t="s">
        <v>138</v>
      </c>
      <c r="AD2214" t="s">
        <v>128</v>
      </c>
      <c r="AE2214" s="97"/>
    </row>
    <row r="2215" spans="1:31" ht="14.4" customHeight="1" x14ac:dyDescent="0.3">
      <c r="A2215" t="s">
        <v>4760</v>
      </c>
      <c r="B2215"/>
      <c r="C2215" t="s">
        <v>4394</v>
      </c>
      <c r="D2215"/>
      <c r="E2215" t="s">
        <v>4394</v>
      </c>
      <c r="F2215" t="s">
        <v>6769</v>
      </c>
      <c r="G2215" t="s">
        <v>4701</v>
      </c>
      <c r="H2215" t="s">
        <v>132</v>
      </c>
      <c r="I2215" t="s">
        <v>4</v>
      </c>
      <c r="J2215" t="s">
        <v>4276</v>
      </c>
      <c r="K2215" t="s">
        <v>54</v>
      </c>
      <c r="L2215"/>
      <c r="M2215" t="s">
        <v>134</v>
      </c>
      <c r="N2215" t="s">
        <v>135</v>
      </c>
      <c r="O2215"/>
      <c r="P2215"/>
      <c r="Q2215" t="s">
        <v>3731</v>
      </c>
      <c r="R2215"/>
      <c r="S2215"/>
      <c r="T2215"/>
      <c r="U2215" t="s">
        <v>137</v>
      </c>
      <c r="V2215" t="s">
        <v>411</v>
      </c>
      <c r="W2215"/>
      <c r="X2215" t="s">
        <v>87</v>
      </c>
      <c r="Y2215"/>
      <c r="Z2215"/>
      <c r="AA2215" t="s">
        <v>4702</v>
      </c>
      <c r="AB2215"/>
      <c r="AC2215" t="s">
        <v>138</v>
      </c>
      <c r="AD2215" t="s">
        <v>129</v>
      </c>
      <c r="AE2215" s="97"/>
    </row>
    <row r="2216" spans="1:31" ht="14.4" customHeight="1" x14ac:dyDescent="0.3">
      <c r="A2216" t="s">
        <v>4761</v>
      </c>
      <c r="B2216"/>
      <c r="C2216" t="s">
        <v>4396</v>
      </c>
      <c r="D2216"/>
      <c r="E2216" t="s">
        <v>4396</v>
      </c>
      <c r="F2216" t="s">
        <v>6769</v>
      </c>
      <c r="G2216" t="s">
        <v>4701</v>
      </c>
      <c r="H2216" t="s">
        <v>132</v>
      </c>
      <c r="I2216" t="s">
        <v>4</v>
      </c>
      <c r="J2216" t="s">
        <v>4276</v>
      </c>
      <c r="K2216" t="s">
        <v>54</v>
      </c>
      <c r="L2216"/>
      <c r="M2216" t="s">
        <v>134</v>
      </c>
      <c r="N2216" t="s">
        <v>135</v>
      </c>
      <c r="O2216"/>
      <c r="P2216"/>
      <c r="Q2216" t="s">
        <v>3731</v>
      </c>
      <c r="R2216"/>
      <c r="S2216"/>
      <c r="T2216"/>
      <c r="U2216" t="s">
        <v>137</v>
      </c>
      <c r="V2216" t="s">
        <v>411</v>
      </c>
      <c r="W2216"/>
      <c r="X2216" t="s">
        <v>87</v>
      </c>
      <c r="Y2216"/>
      <c r="Z2216"/>
      <c r="AA2216" t="s">
        <v>4702</v>
      </c>
      <c r="AB2216"/>
      <c r="AC2216" t="s">
        <v>138</v>
      </c>
      <c r="AD2216" t="s">
        <v>129</v>
      </c>
      <c r="AE2216" s="97"/>
    </row>
    <row r="2217" spans="1:31" ht="14.4" customHeight="1" x14ac:dyDescent="0.3">
      <c r="A2217" t="s">
        <v>4762</v>
      </c>
      <c r="B2217"/>
      <c r="C2217" t="s">
        <v>4398</v>
      </c>
      <c r="D2217"/>
      <c r="E2217" t="s">
        <v>4398</v>
      </c>
      <c r="F2217" t="s">
        <v>6769</v>
      </c>
      <c r="G2217" t="s">
        <v>4701</v>
      </c>
      <c r="H2217" t="s">
        <v>132</v>
      </c>
      <c r="I2217" t="s">
        <v>4</v>
      </c>
      <c r="J2217" t="s">
        <v>4276</v>
      </c>
      <c r="K2217" t="s">
        <v>54</v>
      </c>
      <c r="L2217"/>
      <c r="M2217" t="s">
        <v>134</v>
      </c>
      <c r="N2217" t="s">
        <v>135</v>
      </c>
      <c r="O2217"/>
      <c r="P2217"/>
      <c r="Q2217" t="s">
        <v>3731</v>
      </c>
      <c r="R2217"/>
      <c r="S2217"/>
      <c r="T2217"/>
      <c r="U2217" t="s">
        <v>137</v>
      </c>
      <c r="V2217" t="s">
        <v>415</v>
      </c>
      <c r="W2217"/>
      <c r="X2217" t="s">
        <v>96</v>
      </c>
      <c r="Y2217"/>
      <c r="Z2217"/>
      <c r="AA2217" t="s">
        <v>4702</v>
      </c>
      <c r="AB2217"/>
      <c r="AC2217" t="s">
        <v>138</v>
      </c>
      <c r="AD2217" t="s">
        <v>129</v>
      </c>
      <c r="AE2217" s="97"/>
    </row>
    <row r="2218" spans="1:31" ht="14.4" customHeight="1" x14ac:dyDescent="0.3">
      <c r="A2218" t="s">
        <v>4763</v>
      </c>
      <c r="B2218"/>
      <c r="C2218" t="s">
        <v>4400</v>
      </c>
      <c r="D2218"/>
      <c r="E2218" t="s">
        <v>4400</v>
      </c>
      <c r="F2218" t="s">
        <v>6769</v>
      </c>
      <c r="G2218" t="s">
        <v>4701</v>
      </c>
      <c r="H2218" t="s">
        <v>132</v>
      </c>
      <c r="I2218" t="s">
        <v>4</v>
      </c>
      <c r="J2218" t="s">
        <v>4276</v>
      </c>
      <c r="K2218" t="s">
        <v>54</v>
      </c>
      <c r="L2218"/>
      <c r="M2218" t="s">
        <v>134</v>
      </c>
      <c r="N2218" t="s">
        <v>135</v>
      </c>
      <c r="O2218"/>
      <c r="P2218"/>
      <c r="Q2218" t="s">
        <v>3731</v>
      </c>
      <c r="R2218"/>
      <c r="S2218"/>
      <c r="T2218"/>
      <c r="U2218" t="s">
        <v>137</v>
      </c>
      <c r="V2218" t="s">
        <v>415</v>
      </c>
      <c r="W2218"/>
      <c r="X2218" t="s">
        <v>96</v>
      </c>
      <c r="Y2218"/>
      <c r="Z2218"/>
      <c r="AA2218" t="s">
        <v>4702</v>
      </c>
      <c r="AB2218"/>
      <c r="AC2218" t="s">
        <v>138</v>
      </c>
      <c r="AD2218" t="s">
        <v>129</v>
      </c>
      <c r="AE2218" s="97"/>
    </row>
    <row r="2219" spans="1:31" ht="14.4" customHeight="1" x14ac:dyDescent="0.3">
      <c r="A2219" t="s">
        <v>4764</v>
      </c>
      <c r="B2219"/>
      <c r="C2219" t="s">
        <v>4402</v>
      </c>
      <c r="D2219"/>
      <c r="E2219" t="s">
        <v>4402</v>
      </c>
      <c r="F2219" t="s">
        <v>6769</v>
      </c>
      <c r="G2219" t="s">
        <v>4701</v>
      </c>
      <c r="H2219" t="s">
        <v>132</v>
      </c>
      <c r="I2219" t="s">
        <v>4</v>
      </c>
      <c r="J2219" t="s">
        <v>4276</v>
      </c>
      <c r="K2219" t="s">
        <v>54</v>
      </c>
      <c r="L2219"/>
      <c r="M2219" t="s">
        <v>134</v>
      </c>
      <c r="N2219" t="s">
        <v>135</v>
      </c>
      <c r="O2219"/>
      <c r="P2219"/>
      <c r="Q2219" t="s">
        <v>3731</v>
      </c>
      <c r="R2219"/>
      <c r="S2219"/>
      <c r="T2219"/>
      <c r="U2219" t="s">
        <v>137</v>
      </c>
      <c r="V2219" t="s">
        <v>419</v>
      </c>
      <c r="W2219"/>
      <c r="X2219" t="s">
        <v>105</v>
      </c>
      <c r="Y2219"/>
      <c r="Z2219"/>
      <c r="AA2219" t="s">
        <v>4702</v>
      </c>
      <c r="AB2219"/>
      <c r="AC2219" t="s">
        <v>138</v>
      </c>
      <c r="AD2219" t="s">
        <v>129</v>
      </c>
      <c r="AE2219" s="97"/>
    </row>
    <row r="2220" spans="1:31" ht="14.4" customHeight="1" x14ac:dyDescent="0.3">
      <c r="A2220" t="s">
        <v>4765</v>
      </c>
      <c r="B2220"/>
      <c r="C2220" t="s">
        <v>4404</v>
      </c>
      <c r="D2220"/>
      <c r="E2220" t="s">
        <v>4404</v>
      </c>
      <c r="F2220" t="s">
        <v>6769</v>
      </c>
      <c r="G2220" t="s">
        <v>4701</v>
      </c>
      <c r="H2220" t="s">
        <v>132</v>
      </c>
      <c r="I2220" t="s">
        <v>4</v>
      </c>
      <c r="J2220" t="s">
        <v>4276</v>
      </c>
      <c r="K2220" t="s">
        <v>54</v>
      </c>
      <c r="L2220"/>
      <c r="M2220" t="s">
        <v>134</v>
      </c>
      <c r="N2220" t="s">
        <v>135</v>
      </c>
      <c r="O2220"/>
      <c r="P2220"/>
      <c r="Q2220" t="s">
        <v>3731</v>
      </c>
      <c r="R2220"/>
      <c r="S2220"/>
      <c r="T2220"/>
      <c r="U2220" t="s">
        <v>137</v>
      </c>
      <c r="V2220" t="s">
        <v>419</v>
      </c>
      <c r="W2220"/>
      <c r="X2220" t="s">
        <v>105</v>
      </c>
      <c r="Y2220"/>
      <c r="Z2220"/>
      <c r="AA2220" t="s">
        <v>4702</v>
      </c>
      <c r="AB2220"/>
      <c r="AC2220" t="s">
        <v>138</v>
      </c>
      <c r="AD2220" t="s">
        <v>129</v>
      </c>
      <c r="AE2220" s="97"/>
    </row>
    <row r="2221" spans="1:31" ht="14.4" customHeight="1" x14ac:dyDescent="0.3">
      <c r="A2221" t="s">
        <v>4766</v>
      </c>
      <c r="B2221"/>
      <c r="C2221" t="s">
        <v>4406</v>
      </c>
      <c r="D2221"/>
      <c r="E2221" t="s">
        <v>4406</v>
      </c>
      <c r="F2221" t="s">
        <v>6769</v>
      </c>
      <c r="G2221" t="s">
        <v>4701</v>
      </c>
      <c r="H2221" t="s">
        <v>132</v>
      </c>
      <c r="I2221" t="s">
        <v>4</v>
      </c>
      <c r="J2221" t="s">
        <v>4276</v>
      </c>
      <c r="K2221" t="s">
        <v>54</v>
      </c>
      <c r="L2221"/>
      <c r="M2221" t="s">
        <v>134</v>
      </c>
      <c r="N2221" t="s">
        <v>135</v>
      </c>
      <c r="O2221"/>
      <c r="P2221"/>
      <c r="Q2221" t="s">
        <v>3731</v>
      </c>
      <c r="R2221"/>
      <c r="S2221"/>
      <c r="T2221"/>
      <c r="U2221" t="s">
        <v>137</v>
      </c>
      <c r="V2221" t="s">
        <v>423</v>
      </c>
      <c r="W2221"/>
      <c r="X2221" t="s">
        <v>112</v>
      </c>
      <c r="Y2221"/>
      <c r="Z2221"/>
      <c r="AA2221" t="s">
        <v>4702</v>
      </c>
      <c r="AB2221"/>
      <c r="AC2221" t="s">
        <v>138</v>
      </c>
      <c r="AD2221" t="s">
        <v>129</v>
      </c>
      <c r="AE2221" s="97"/>
    </row>
    <row r="2222" spans="1:31" ht="14.4" customHeight="1" x14ac:dyDescent="0.3">
      <c r="A2222" t="s">
        <v>4767</v>
      </c>
      <c r="B2222"/>
      <c r="C2222" t="s">
        <v>4408</v>
      </c>
      <c r="D2222"/>
      <c r="E2222" t="s">
        <v>4408</v>
      </c>
      <c r="F2222" t="s">
        <v>6769</v>
      </c>
      <c r="G2222" t="s">
        <v>4701</v>
      </c>
      <c r="H2222" t="s">
        <v>132</v>
      </c>
      <c r="I2222" t="s">
        <v>4</v>
      </c>
      <c r="J2222" t="s">
        <v>4276</v>
      </c>
      <c r="K2222" t="s">
        <v>54</v>
      </c>
      <c r="L2222"/>
      <c r="M2222" t="s">
        <v>134</v>
      </c>
      <c r="N2222" t="s">
        <v>135</v>
      </c>
      <c r="O2222"/>
      <c r="P2222"/>
      <c r="Q2222" t="s">
        <v>3731</v>
      </c>
      <c r="R2222"/>
      <c r="S2222"/>
      <c r="T2222"/>
      <c r="U2222" t="s">
        <v>137</v>
      </c>
      <c r="V2222" t="s">
        <v>423</v>
      </c>
      <c r="W2222"/>
      <c r="X2222" t="s">
        <v>112</v>
      </c>
      <c r="Y2222"/>
      <c r="Z2222"/>
      <c r="AA2222" t="s">
        <v>4702</v>
      </c>
      <c r="AB2222"/>
      <c r="AC2222" t="s">
        <v>138</v>
      </c>
      <c r="AD2222" t="s">
        <v>129</v>
      </c>
      <c r="AE2222" s="97"/>
    </row>
    <row r="2223" spans="1:31" ht="14.4" customHeight="1" x14ac:dyDescent="0.3">
      <c r="A2223" t="s">
        <v>4768</v>
      </c>
      <c r="B2223"/>
      <c r="C2223" t="s">
        <v>4410</v>
      </c>
      <c r="D2223"/>
      <c r="E2223" t="s">
        <v>4410</v>
      </c>
      <c r="F2223" t="s">
        <v>6769</v>
      </c>
      <c r="G2223" t="s">
        <v>4701</v>
      </c>
      <c r="H2223" t="s">
        <v>132</v>
      </c>
      <c r="I2223" t="s">
        <v>4</v>
      </c>
      <c r="J2223" t="s">
        <v>4276</v>
      </c>
      <c r="K2223" t="s">
        <v>54</v>
      </c>
      <c r="L2223"/>
      <c r="M2223" t="s">
        <v>134</v>
      </c>
      <c r="N2223" t="s">
        <v>135</v>
      </c>
      <c r="O2223"/>
      <c r="P2223"/>
      <c r="Q2223" t="s">
        <v>3731</v>
      </c>
      <c r="R2223"/>
      <c r="S2223"/>
      <c r="T2223"/>
      <c r="U2223" t="s">
        <v>137</v>
      </c>
      <c r="V2223" t="s">
        <v>427</v>
      </c>
      <c r="W2223"/>
      <c r="X2223" t="s">
        <v>121</v>
      </c>
      <c r="Y2223"/>
      <c r="Z2223"/>
      <c r="AA2223" t="s">
        <v>4702</v>
      </c>
      <c r="AB2223"/>
      <c r="AC2223" t="s">
        <v>138</v>
      </c>
      <c r="AD2223" t="s">
        <v>130</v>
      </c>
      <c r="AE2223" s="97"/>
    </row>
    <row r="2224" spans="1:31" ht="14.4" customHeight="1" x14ac:dyDescent="0.3">
      <c r="A2224" t="s">
        <v>4769</v>
      </c>
      <c r="B2224"/>
      <c r="C2224" t="s">
        <v>4412</v>
      </c>
      <c r="D2224"/>
      <c r="E2224" t="s">
        <v>4412</v>
      </c>
      <c r="F2224" t="s">
        <v>6769</v>
      </c>
      <c r="G2224" t="s">
        <v>4701</v>
      </c>
      <c r="H2224" t="s">
        <v>132</v>
      </c>
      <c r="I2224" t="s">
        <v>4</v>
      </c>
      <c r="J2224" t="s">
        <v>4276</v>
      </c>
      <c r="K2224" t="s">
        <v>54</v>
      </c>
      <c r="L2224"/>
      <c r="M2224" t="s">
        <v>134</v>
      </c>
      <c r="N2224" t="s">
        <v>135</v>
      </c>
      <c r="O2224"/>
      <c r="P2224"/>
      <c r="Q2224" t="s">
        <v>3731</v>
      </c>
      <c r="R2224"/>
      <c r="S2224"/>
      <c r="T2224"/>
      <c r="U2224" t="s">
        <v>137</v>
      </c>
      <c r="V2224" t="s">
        <v>427</v>
      </c>
      <c r="W2224"/>
      <c r="X2224" t="s">
        <v>121</v>
      </c>
      <c r="Y2224"/>
      <c r="Z2224"/>
      <c r="AA2224" t="s">
        <v>4702</v>
      </c>
      <c r="AB2224"/>
      <c r="AC2224" t="s">
        <v>138</v>
      </c>
      <c r="AD2224" t="s">
        <v>130</v>
      </c>
      <c r="AE2224" s="97"/>
    </row>
    <row r="2225" spans="1:31" ht="14.4" customHeight="1" x14ac:dyDescent="0.3">
      <c r="A2225" t="s">
        <v>4770</v>
      </c>
      <c r="B2225"/>
      <c r="C2225" t="s">
        <v>4414</v>
      </c>
      <c r="D2225"/>
      <c r="E2225" t="s">
        <v>4414</v>
      </c>
      <c r="F2225" t="s">
        <v>6769</v>
      </c>
      <c r="G2225" t="s">
        <v>4701</v>
      </c>
      <c r="H2225" t="s">
        <v>132</v>
      </c>
      <c r="I2225" t="s">
        <v>4</v>
      </c>
      <c r="J2225" t="s">
        <v>4276</v>
      </c>
      <c r="K2225" t="s">
        <v>54</v>
      </c>
      <c r="L2225"/>
      <c r="M2225" t="s">
        <v>134</v>
      </c>
      <c r="N2225" t="s">
        <v>135</v>
      </c>
      <c r="O2225"/>
      <c r="P2225"/>
      <c r="Q2225" t="s">
        <v>3731</v>
      </c>
      <c r="R2225"/>
      <c r="S2225"/>
      <c r="T2225"/>
      <c r="U2225" t="s">
        <v>137</v>
      </c>
      <c r="V2225" t="s">
        <v>1279</v>
      </c>
      <c r="W2225"/>
      <c r="X2225" t="s">
        <v>71</v>
      </c>
      <c r="Y2225"/>
      <c r="Z2225"/>
      <c r="AA2225" t="s">
        <v>4702</v>
      </c>
      <c r="AB2225"/>
      <c r="AC2225" t="s">
        <v>138</v>
      </c>
      <c r="AD2225" t="s">
        <v>128</v>
      </c>
      <c r="AE2225" s="97"/>
    </row>
    <row r="2226" spans="1:31" ht="14.4" customHeight="1" x14ac:dyDescent="0.3">
      <c r="A2226" t="s">
        <v>4771</v>
      </c>
      <c r="B2226"/>
      <c r="C2226" t="s">
        <v>4416</v>
      </c>
      <c r="D2226"/>
      <c r="E2226" t="s">
        <v>4416</v>
      </c>
      <c r="F2226" t="s">
        <v>6769</v>
      </c>
      <c r="G2226" t="s">
        <v>4701</v>
      </c>
      <c r="H2226" t="s">
        <v>132</v>
      </c>
      <c r="I2226" t="s">
        <v>4</v>
      </c>
      <c r="J2226" t="s">
        <v>4276</v>
      </c>
      <c r="K2226" t="s">
        <v>54</v>
      </c>
      <c r="L2226"/>
      <c r="M2226" t="s">
        <v>134</v>
      </c>
      <c r="N2226" t="s">
        <v>135</v>
      </c>
      <c r="O2226"/>
      <c r="P2226"/>
      <c r="Q2226" t="s">
        <v>3731</v>
      </c>
      <c r="R2226"/>
      <c r="S2226"/>
      <c r="T2226"/>
      <c r="U2226" t="s">
        <v>137</v>
      </c>
      <c r="V2226" t="s">
        <v>1279</v>
      </c>
      <c r="W2226"/>
      <c r="X2226" t="s">
        <v>71</v>
      </c>
      <c r="Y2226"/>
      <c r="Z2226"/>
      <c r="AA2226" t="s">
        <v>4702</v>
      </c>
      <c r="AB2226"/>
      <c r="AC2226" t="s">
        <v>138</v>
      </c>
      <c r="AD2226" t="s">
        <v>128</v>
      </c>
      <c r="AE2226" s="97"/>
    </row>
    <row r="2227" spans="1:31" ht="14.4" customHeight="1" x14ac:dyDescent="0.3">
      <c r="A2227" t="s">
        <v>4772</v>
      </c>
      <c r="B2227"/>
      <c r="C2227" t="s">
        <v>4418</v>
      </c>
      <c r="D2227"/>
      <c r="E2227" t="s">
        <v>4418</v>
      </c>
      <c r="F2227" t="s">
        <v>6769</v>
      </c>
      <c r="G2227" t="s">
        <v>4701</v>
      </c>
      <c r="H2227" t="s">
        <v>132</v>
      </c>
      <c r="I2227" t="s">
        <v>4</v>
      </c>
      <c r="J2227" t="s">
        <v>4276</v>
      </c>
      <c r="K2227" t="s">
        <v>54</v>
      </c>
      <c r="L2227"/>
      <c r="M2227" t="s">
        <v>134</v>
      </c>
      <c r="N2227" t="s">
        <v>135</v>
      </c>
      <c r="O2227"/>
      <c r="P2227"/>
      <c r="Q2227" t="s">
        <v>3731</v>
      </c>
      <c r="R2227"/>
      <c r="S2227"/>
      <c r="T2227"/>
      <c r="U2227" t="s">
        <v>137</v>
      </c>
      <c r="V2227" t="s">
        <v>1283</v>
      </c>
      <c r="W2227"/>
      <c r="X2227" t="s">
        <v>78</v>
      </c>
      <c r="Y2227"/>
      <c r="Z2227"/>
      <c r="AA2227" t="s">
        <v>4702</v>
      </c>
      <c r="AB2227"/>
      <c r="AC2227" t="s">
        <v>138</v>
      </c>
      <c r="AD2227" t="s">
        <v>128</v>
      </c>
      <c r="AE2227" s="97"/>
    </row>
    <row r="2228" spans="1:31" ht="14.4" customHeight="1" x14ac:dyDescent="0.3">
      <c r="A2228" t="s">
        <v>4773</v>
      </c>
      <c r="B2228"/>
      <c r="C2228" t="s">
        <v>4420</v>
      </c>
      <c r="D2228"/>
      <c r="E2228" t="s">
        <v>4420</v>
      </c>
      <c r="F2228" t="s">
        <v>6769</v>
      </c>
      <c r="G2228" t="s">
        <v>4701</v>
      </c>
      <c r="H2228" t="s">
        <v>132</v>
      </c>
      <c r="I2228" t="s">
        <v>4</v>
      </c>
      <c r="J2228" t="s">
        <v>4276</v>
      </c>
      <c r="K2228" t="s">
        <v>54</v>
      </c>
      <c r="L2228"/>
      <c r="M2228" t="s">
        <v>134</v>
      </c>
      <c r="N2228" t="s">
        <v>135</v>
      </c>
      <c r="O2228"/>
      <c r="P2228"/>
      <c r="Q2228" t="s">
        <v>3731</v>
      </c>
      <c r="R2228"/>
      <c r="S2228"/>
      <c r="T2228"/>
      <c r="U2228" t="s">
        <v>137</v>
      </c>
      <c r="V2228" t="s">
        <v>1283</v>
      </c>
      <c r="W2228"/>
      <c r="X2228" t="s">
        <v>78</v>
      </c>
      <c r="Y2228"/>
      <c r="Z2228"/>
      <c r="AA2228" t="s">
        <v>4702</v>
      </c>
      <c r="AB2228"/>
      <c r="AC2228" t="s">
        <v>138</v>
      </c>
      <c r="AD2228" t="s">
        <v>128</v>
      </c>
      <c r="AE2228" s="97"/>
    </row>
    <row r="2229" spans="1:31" ht="14.4" customHeight="1" x14ac:dyDescent="0.3">
      <c r="A2229" t="s">
        <v>4774</v>
      </c>
      <c r="B2229"/>
      <c r="C2229" t="s">
        <v>4422</v>
      </c>
      <c r="D2229"/>
      <c r="E2229" t="s">
        <v>4422</v>
      </c>
      <c r="F2229" t="s">
        <v>6769</v>
      </c>
      <c r="G2229" t="s">
        <v>4701</v>
      </c>
      <c r="H2229" t="s">
        <v>132</v>
      </c>
      <c r="I2229" t="s">
        <v>4</v>
      </c>
      <c r="J2229" t="s">
        <v>4276</v>
      </c>
      <c r="K2229" t="s">
        <v>54</v>
      </c>
      <c r="L2229"/>
      <c r="M2229" t="s">
        <v>134</v>
      </c>
      <c r="N2229" t="s">
        <v>135</v>
      </c>
      <c r="O2229"/>
      <c r="P2229"/>
      <c r="Q2229" t="s">
        <v>3731</v>
      </c>
      <c r="R2229"/>
      <c r="S2229"/>
      <c r="T2229"/>
      <c r="U2229" t="s">
        <v>137</v>
      </c>
      <c r="V2229" t="s">
        <v>1287</v>
      </c>
      <c r="W2229"/>
      <c r="X2229" t="s">
        <v>89</v>
      </c>
      <c r="Y2229"/>
      <c r="Z2229"/>
      <c r="AA2229" t="s">
        <v>4702</v>
      </c>
      <c r="AB2229"/>
      <c r="AC2229" t="s">
        <v>138</v>
      </c>
      <c r="AD2229" t="s">
        <v>129</v>
      </c>
      <c r="AE2229" s="97"/>
    </row>
    <row r="2230" spans="1:31" ht="14.4" customHeight="1" x14ac:dyDescent="0.3">
      <c r="A2230" t="s">
        <v>4775</v>
      </c>
      <c r="B2230"/>
      <c r="C2230" t="s">
        <v>4424</v>
      </c>
      <c r="D2230"/>
      <c r="E2230" t="s">
        <v>4424</v>
      </c>
      <c r="F2230" t="s">
        <v>6769</v>
      </c>
      <c r="G2230" t="s">
        <v>4701</v>
      </c>
      <c r="H2230" t="s">
        <v>132</v>
      </c>
      <c r="I2230" t="s">
        <v>4</v>
      </c>
      <c r="J2230" t="s">
        <v>4276</v>
      </c>
      <c r="K2230" t="s">
        <v>54</v>
      </c>
      <c r="L2230"/>
      <c r="M2230" t="s">
        <v>134</v>
      </c>
      <c r="N2230" t="s">
        <v>135</v>
      </c>
      <c r="O2230"/>
      <c r="P2230"/>
      <c r="Q2230" t="s">
        <v>3731</v>
      </c>
      <c r="R2230"/>
      <c r="S2230"/>
      <c r="T2230"/>
      <c r="U2230" t="s">
        <v>137</v>
      </c>
      <c r="V2230" t="s">
        <v>1287</v>
      </c>
      <c r="W2230"/>
      <c r="X2230" t="s">
        <v>89</v>
      </c>
      <c r="Y2230"/>
      <c r="Z2230"/>
      <c r="AA2230" t="s">
        <v>4702</v>
      </c>
      <c r="AB2230"/>
      <c r="AC2230" t="s">
        <v>138</v>
      </c>
      <c r="AD2230" t="s">
        <v>129</v>
      </c>
      <c r="AE2230" s="97"/>
    </row>
    <row r="2231" spans="1:31" ht="14.4" customHeight="1" x14ac:dyDescent="0.3">
      <c r="A2231" t="s">
        <v>4776</v>
      </c>
      <c r="B2231"/>
      <c r="C2231" t="s">
        <v>4426</v>
      </c>
      <c r="D2231"/>
      <c r="E2231" t="s">
        <v>4426</v>
      </c>
      <c r="F2231" t="s">
        <v>6769</v>
      </c>
      <c r="G2231" t="s">
        <v>4701</v>
      </c>
      <c r="H2231" t="s">
        <v>132</v>
      </c>
      <c r="I2231" t="s">
        <v>4</v>
      </c>
      <c r="J2231" t="s">
        <v>4276</v>
      </c>
      <c r="K2231" t="s">
        <v>54</v>
      </c>
      <c r="L2231"/>
      <c r="M2231" t="s">
        <v>134</v>
      </c>
      <c r="N2231" t="s">
        <v>135</v>
      </c>
      <c r="O2231"/>
      <c r="P2231"/>
      <c r="Q2231" t="s">
        <v>3731</v>
      </c>
      <c r="R2231"/>
      <c r="S2231"/>
      <c r="T2231"/>
      <c r="U2231" t="s">
        <v>137</v>
      </c>
      <c r="V2231" t="s">
        <v>1291</v>
      </c>
      <c r="W2231"/>
      <c r="X2231" t="s">
        <v>98</v>
      </c>
      <c r="Y2231"/>
      <c r="Z2231"/>
      <c r="AA2231" t="s">
        <v>4702</v>
      </c>
      <c r="AB2231"/>
      <c r="AC2231" t="s">
        <v>138</v>
      </c>
      <c r="AD2231" t="s">
        <v>129</v>
      </c>
      <c r="AE2231" s="97"/>
    </row>
    <row r="2232" spans="1:31" ht="14.4" customHeight="1" x14ac:dyDescent="0.3">
      <c r="A2232" t="s">
        <v>4777</v>
      </c>
      <c r="B2232"/>
      <c r="C2232" t="s">
        <v>4428</v>
      </c>
      <c r="D2232"/>
      <c r="E2232" t="s">
        <v>4428</v>
      </c>
      <c r="F2232" t="s">
        <v>6769</v>
      </c>
      <c r="G2232" t="s">
        <v>4701</v>
      </c>
      <c r="H2232" t="s">
        <v>132</v>
      </c>
      <c r="I2232" t="s">
        <v>4</v>
      </c>
      <c r="J2232" t="s">
        <v>4276</v>
      </c>
      <c r="K2232" t="s">
        <v>54</v>
      </c>
      <c r="L2232"/>
      <c r="M2232" t="s">
        <v>134</v>
      </c>
      <c r="N2232" t="s">
        <v>135</v>
      </c>
      <c r="O2232"/>
      <c r="P2232"/>
      <c r="Q2232" t="s">
        <v>3731</v>
      </c>
      <c r="R2232"/>
      <c r="S2232"/>
      <c r="T2232"/>
      <c r="U2232" t="s">
        <v>137</v>
      </c>
      <c r="V2232" t="s">
        <v>1291</v>
      </c>
      <c r="W2232"/>
      <c r="X2232" t="s">
        <v>98</v>
      </c>
      <c r="Y2232"/>
      <c r="Z2232"/>
      <c r="AA2232" t="s">
        <v>4702</v>
      </c>
      <c r="AB2232"/>
      <c r="AC2232" t="s">
        <v>138</v>
      </c>
      <c r="AD2232" t="s">
        <v>129</v>
      </c>
      <c r="AE2232" s="97"/>
    </row>
    <row r="2233" spans="1:31" ht="14.4" customHeight="1" x14ac:dyDescent="0.3">
      <c r="A2233" t="s">
        <v>4778</v>
      </c>
      <c r="B2233"/>
      <c r="C2233" t="s">
        <v>4430</v>
      </c>
      <c r="D2233"/>
      <c r="E2233" t="s">
        <v>4430</v>
      </c>
      <c r="F2233" t="s">
        <v>6769</v>
      </c>
      <c r="G2233" t="s">
        <v>4701</v>
      </c>
      <c r="H2233" t="s">
        <v>132</v>
      </c>
      <c r="I2233" t="s">
        <v>4</v>
      </c>
      <c r="J2233" t="s">
        <v>4276</v>
      </c>
      <c r="K2233" t="s">
        <v>54</v>
      </c>
      <c r="L2233"/>
      <c r="M2233" t="s">
        <v>134</v>
      </c>
      <c r="N2233" t="s">
        <v>135</v>
      </c>
      <c r="O2233"/>
      <c r="P2233"/>
      <c r="Q2233" t="s">
        <v>3731</v>
      </c>
      <c r="R2233"/>
      <c r="S2233"/>
      <c r="T2233"/>
      <c r="U2233" t="s">
        <v>137</v>
      </c>
      <c r="V2233" t="s">
        <v>1295</v>
      </c>
      <c r="W2233"/>
      <c r="X2233" t="s">
        <v>107</v>
      </c>
      <c r="Y2233"/>
      <c r="Z2233"/>
      <c r="AA2233" t="s">
        <v>4702</v>
      </c>
      <c r="AB2233"/>
      <c r="AC2233" t="s">
        <v>138</v>
      </c>
      <c r="AD2233" t="s">
        <v>129</v>
      </c>
      <c r="AE2233" s="97"/>
    </row>
    <row r="2234" spans="1:31" ht="14.4" customHeight="1" x14ac:dyDescent="0.3">
      <c r="A2234" t="s">
        <v>4779</v>
      </c>
      <c r="B2234"/>
      <c r="C2234" t="s">
        <v>4432</v>
      </c>
      <c r="D2234"/>
      <c r="E2234" t="s">
        <v>4432</v>
      </c>
      <c r="F2234" t="s">
        <v>6769</v>
      </c>
      <c r="G2234" t="s">
        <v>4701</v>
      </c>
      <c r="H2234" t="s">
        <v>132</v>
      </c>
      <c r="I2234" t="s">
        <v>4</v>
      </c>
      <c r="J2234" t="s">
        <v>4276</v>
      </c>
      <c r="K2234" t="s">
        <v>54</v>
      </c>
      <c r="L2234"/>
      <c r="M2234" t="s">
        <v>134</v>
      </c>
      <c r="N2234" t="s">
        <v>135</v>
      </c>
      <c r="O2234"/>
      <c r="P2234"/>
      <c r="Q2234" t="s">
        <v>3731</v>
      </c>
      <c r="R2234"/>
      <c r="S2234"/>
      <c r="T2234"/>
      <c r="U2234" t="s">
        <v>137</v>
      </c>
      <c r="V2234" t="s">
        <v>1295</v>
      </c>
      <c r="W2234"/>
      <c r="X2234" t="s">
        <v>107</v>
      </c>
      <c r="Y2234"/>
      <c r="Z2234"/>
      <c r="AA2234" t="s">
        <v>4702</v>
      </c>
      <c r="AB2234"/>
      <c r="AC2234" t="s">
        <v>138</v>
      </c>
      <c r="AD2234" t="s">
        <v>129</v>
      </c>
      <c r="AE2234" s="97"/>
    </row>
    <row r="2235" spans="1:31" ht="14.4" customHeight="1" x14ac:dyDescent="0.3">
      <c r="A2235" t="s">
        <v>4780</v>
      </c>
      <c r="B2235"/>
      <c r="C2235" t="s">
        <v>4434</v>
      </c>
      <c r="D2235"/>
      <c r="E2235" t="s">
        <v>4434</v>
      </c>
      <c r="F2235" t="s">
        <v>6769</v>
      </c>
      <c r="G2235" t="s">
        <v>4701</v>
      </c>
      <c r="H2235" t="s">
        <v>132</v>
      </c>
      <c r="I2235" t="s">
        <v>4</v>
      </c>
      <c r="J2235" t="s">
        <v>4276</v>
      </c>
      <c r="K2235" t="s">
        <v>54</v>
      </c>
      <c r="L2235"/>
      <c r="M2235" t="s">
        <v>134</v>
      </c>
      <c r="N2235" t="s">
        <v>135</v>
      </c>
      <c r="O2235"/>
      <c r="P2235"/>
      <c r="Q2235" t="s">
        <v>3731</v>
      </c>
      <c r="R2235"/>
      <c r="S2235"/>
      <c r="T2235"/>
      <c r="U2235" t="s">
        <v>137</v>
      </c>
      <c r="V2235" t="s">
        <v>1299</v>
      </c>
      <c r="W2235"/>
      <c r="X2235" t="s">
        <v>114</v>
      </c>
      <c r="Y2235"/>
      <c r="Z2235"/>
      <c r="AA2235" t="s">
        <v>4702</v>
      </c>
      <c r="AB2235"/>
      <c r="AC2235" t="s">
        <v>138</v>
      </c>
      <c r="AD2235" t="s">
        <v>129</v>
      </c>
      <c r="AE2235" s="97"/>
    </row>
    <row r="2236" spans="1:31" ht="14.4" customHeight="1" x14ac:dyDescent="0.3">
      <c r="A2236" t="s">
        <v>4781</v>
      </c>
      <c r="B2236"/>
      <c r="C2236" t="s">
        <v>4436</v>
      </c>
      <c r="D2236"/>
      <c r="E2236" t="s">
        <v>4436</v>
      </c>
      <c r="F2236" t="s">
        <v>6769</v>
      </c>
      <c r="G2236" t="s">
        <v>4701</v>
      </c>
      <c r="H2236" t="s">
        <v>132</v>
      </c>
      <c r="I2236" t="s">
        <v>4</v>
      </c>
      <c r="J2236" t="s">
        <v>4276</v>
      </c>
      <c r="K2236" t="s">
        <v>54</v>
      </c>
      <c r="L2236"/>
      <c r="M2236" t="s">
        <v>134</v>
      </c>
      <c r="N2236" t="s">
        <v>135</v>
      </c>
      <c r="O2236"/>
      <c r="P2236"/>
      <c r="Q2236" t="s">
        <v>3731</v>
      </c>
      <c r="R2236"/>
      <c r="S2236"/>
      <c r="T2236"/>
      <c r="U2236" t="s">
        <v>137</v>
      </c>
      <c r="V2236" t="s">
        <v>1299</v>
      </c>
      <c r="W2236"/>
      <c r="X2236" t="s">
        <v>114</v>
      </c>
      <c r="Y2236"/>
      <c r="Z2236"/>
      <c r="AA2236" t="s">
        <v>4702</v>
      </c>
      <c r="AB2236"/>
      <c r="AC2236" t="s">
        <v>138</v>
      </c>
      <c r="AD2236" t="s">
        <v>129</v>
      </c>
      <c r="AE2236" s="97"/>
    </row>
    <row r="2237" spans="1:31" ht="14.4" customHeight="1" x14ac:dyDescent="0.3">
      <c r="A2237" t="s">
        <v>4782</v>
      </c>
      <c r="B2237"/>
      <c r="C2237" t="s">
        <v>4438</v>
      </c>
      <c r="D2237"/>
      <c r="E2237" t="s">
        <v>4438</v>
      </c>
      <c r="F2237" t="s">
        <v>6769</v>
      </c>
      <c r="G2237" t="s">
        <v>4701</v>
      </c>
      <c r="H2237" t="s">
        <v>132</v>
      </c>
      <c r="I2237" t="s">
        <v>4</v>
      </c>
      <c r="J2237" t="s">
        <v>4276</v>
      </c>
      <c r="K2237" t="s">
        <v>54</v>
      </c>
      <c r="L2237"/>
      <c r="M2237" t="s">
        <v>134</v>
      </c>
      <c r="N2237" t="s">
        <v>135</v>
      </c>
      <c r="O2237"/>
      <c r="P2237"/>
      <c r="Q2237" t="s">
        <v>3731</v>
      </c>
      <c r="R2237"/>
      <c r="S2237"/>
      <c r="T2237"/>
      <c r="U2237" t="s">
        <v>137</v>
      </c>
      <c r="V2237" t="s">
        <v>1303</v>
      </c>
      <c r="W2237"/>
      <c r="X2237" t="s">
        <v>123</v>
      </c>
      <c r="Y2237"/>
      <c r="Z2237"/>
      <c r="AA2237" t="s">
        <v>4702</v>
      </c>
      <c r="AB2237"/>
      <c r="AC2237" t="s">
        <v>138</v>
      </c>
      <c r="AD2237" t="s">
        <v>130</v>
      </c>
      <c r="AE2237" s="97"/>
    </row>
    <row r="2238" spans="1:31" ht="14.4" customHeight="1" x14ac:dyDescent="0.3">
      <c r="A2238" t="s">
        <v>4783</v>
      </c>
      <c r="B2238"/>
      <c r="C2238" t="s">
        <v>4440</v>
      </c>
      <c r="D2238"/>
      <c r="E2238" t="s">
        <v>4440</v>
      </c>
      <c r="F2238" t="s">
        <v>6769</v>
      </c>
      <c r="G2238" t="s">
        <v>4701</v>
      </c>
      <c r="H2238" t="s">
        <v>132</v>
      </c>
      <c r="I2238" t="s">
        <v>4</v>
      </c>
      <c r="J2238" t="s">
        <v>4276</v>
      </c>
      <c r="K2238" t="s">
        <v>54</v>
      </c>
      <c r="L2238"/>
      <c r="M2238" t="s">
        <v>134</v>
      </c>
      <c r="N2238" t="s">
        <v>135</v>
      </c>
      <c r="O2238"/>
      <c r="P2238"/>
      <c r="Q2238" t="s">
        <v>3731</v>
      </c>
      <c r="R2238"/>
      <c r="S2238"/>
      <c r="T2238"/>
      <c r="U2238" t="s">
        <v>137</v>
      </c>
      <c r="V2238" t="s">
        <v>1303</v>
      </c>
      <c r="W2238"/>
      <c r="X2238" t="s">
        <v>123</v>
      </c>
      <c r="Y2238"/>
      <c r="Z2238"/>
      <c r="AA2238" t="s">
        <v>4702</v>
      </c>
      <c r="AB2238"/>
      <c r="AC2238" t="s">
        <v>138</v>
      </c>
      <c r="AD2238" t="s">
        <v>130</v>
      </c>
      <c r="AE2238" s="97"/>
    </row>
    <row r="2239" spans="1:31" ht="14.4" customHeight="1" x14ac:dyDescent="0.3">
      <c r="A2239" t="s">
        <v>4784</v>
      </c>
      <c r="B2239"/>
      <c r="C2239" t="s">
        <v>4442</v>
      </c>
      <c r="D2239"/>
      <c r="E2239" t="s">
        <v>4442</v>
      </c>
      <c r="F2239" t="s">
        <v>6769</v>
      </c>
      <c r="G2239" t="s">
        <v>4701</v>
      </c>
      <c r="H2239" t="s">
        <v>132</v>
      </c>
      <c r="I2239" t="s">
        <v>4</v>
      </c>
      <c r="J2239" t="s">
        <v>4276</v>
      </c>
      <c r="K2239" t="s">
        <v>54</v>
      </c>
      <c r="L2239"/>
      <c r="M2239" t="s">
        <v>134</v>
      </c>
      <c r="N2239" t="s">
        <v>135</v>
      </c>
      <c r="O2239"/>
      <c r="P2239"/>
      <c r="Q2239" t="s">
        <v>3731</v>
      </c>
      <c r="R2239"/>
      <c r="S2239"/>
      <c r="T2239"/>
      <c r="U2239" t="s">
        <v>137</v>
      </c>
      <c r="V2239" t="s">
        <v>703</v>
      </c>
      <c r="W2239"/>
      <c r="X2239" t="s">
        <v>62</v>
      </c>
      <c r="Y2239"/>
      <c r="Z2239"/>
      <c r="AA2239" t="s">
        <v>4702</v>
      </c>
      <c r="AB2239"/>
      <c r="AC2239" t="s">
        <v>138</v>
      </c>
      <c r="AD2239" t="s">
        <v>128</v>
      </c>
      <c r="AE2239" s="97"/>
    </row>
    <row r="2240" spans="1:31" ht="14.4" customHeight="1" x14ac:dyDescent="0.3">
      <c r="A2240" t="s">
        <v>4785</v>
      </c>
      <c r="B2240"/>
      <c r="C2240" t="s">
        <v>4444</v>
      </c>
      <c r="D2240"/>
      <c r="E2240" t="s">
        <v>4444</v>
      </c>
      <c r="F2240" t="s">
        <v>6769</v>
      </c>
      <c r="G2240" t="s">
        <v>4701</v>
      </c>
      <c r="H2240" t="s">
        <v>132</v>
      </c>
      <c r="I2240" t="s">
        <v>4</v>
      </c>
      <c r="J2240" t="s">
        <v>4276</v>
      </c>
      <c r="K2240" t="s">
        <v>54</v>
      </c>
      <c r="L2240"/>
      <c r="M2240" t="s">
        <v>134</v>
      </c>
      <c r="N2240" t="s">
        <v>135</v>
      </c>
      <c r="O2240"/>
      <c r="P2240"/>
      <c r="Q2240" t="s">
        <v>3731</v>
      </c>
      <c r="R2240"/>
      <c r="S2240"/>
      <c r="T2240"/>
      <c r="U2240" t="s">
        <v>137</v>
      </c>
      <c r="V2240" t="s">
        <v>703</v>
      </c>
      <c r="W2240"/>
      <c r="X2240" t="s">
        <v>62</v>
      </c>
      <c r="Y2240"/>
      <c r="Z2240"/>
      <c r="AA2240" t="s">
        <v>4702</v>
      </c>
      <c r="AB2240"/>
      <c r="AC2240" t="s">
        <v>138</v>
      </c>
      <c r="AD2240" t="s">
        <v>128</v>
      </c>
      <c r="AE2240" s="97"/>
    </row>
    <row r="2241" spans="1:31" ht="14.4" customHeight="1" x14ac:dyDescent="0.3">
      <c r="A2241" t="s">
        <v>4786</v>
      </c>
      <c r="B2241"/>
      <c r="C2241" t="s">
        <v>4446</v>
      </c>
      <c r="D2241"/>
      <c r="E2241" t="s">
        <v>4446</v>
      </c>
      <c r="F2241" t="s">
        <v>6769</v>
      </c>
      <c r="G2241" t="s">
        <v>4701</v>
      </c>
      <c r="H2241" t="s">
        <v>132</v>
      </c>
      <c r="I2241" t="s">
        <v>4</v>
      </c>
      <c r="J2241" t="s">
        <v>4276</v>
      </c>
      <c r="K2241" t="s">
        <v>54</v>
      </c>
      <c r="L2241"/>
      <c r="M2241" t="s">
        <v>134</v>
      </c>
      <c r="N2241" t="s">
        <v>135</v>
      </c>
      <c r="O2241"/>
      <c r="P2241"/>
      <c r="Q2241" t="s">
        <v>3731</v>
      </c>
      <c r="R2241"/>
      <c r="S2241"/>
      <c r="T2241"/>
      <c r="U2241" t="s">
        <v>137</v>
      </c>
      <c r="V2241" t="s">
        <v>703</v>
      </c>
      <c r="W2241"/>
      <c r="X2241" t="s">
        <v>62</v>
      </c>
      <c r="Y2241"/>
      <c r="Z2241"/>
      <c r="AA2241" t="s">
        <v>4702</v>
      </c>
      <c r="AB2241"/>
      <c r="AC2241" t="s">
        <v>138</v>
      </c>
      <c r="AD2241" t="s">
        <v>128</v>
      </c>
      <c r="AE2241" s="97"/>
    </row>
    <row r="2242" spans="1:31" ht="14.4" customHeight="1" x14ac:dyDescent="0.3">
      <c r="A2242" t="s">
        <v>4787</v>
      </c>
      <c r="B2242"/>
      <c r="C2242" t="s">
        <v>4448</v>
      </c>
      <c r="D2242"/>
      <c r="E2242" t="s">
        <v>4448</v>
      </c>
      <c r="F2242" t="s">
        <v>6769</v>
      </c>
      <c r="G2242" t="s">
        <v>4701</v>
      </c>
      <c r="H2242" t="s">
        <v>132</v>
      </c>
      <c r="I2242" t="s">
        <v>4</v>
      </c>
      <c r="J2242" t="s">
        <v>4276</v>
      </c>
      <c r="K2242" t="s">
        <v>54</v>
      </c>
      <c r="L2242"/>
      <c r="M2242" t="s">
        <v>134</v>
      </c>
      <c r="N2242" t="s">
        <v>135</v>
      </c>
      <c r="O2242"/>
      <c r="P2242"/>
      <c r="Q2242" t="s">
        <v>3731</v>
      </c>
      <c r="R2242"/>
      <c r="S2242"/>
      <c r="T2242"/>
      <c r="U2242" t="s">
        <v>137</v>
      </c>
      <c r="V2242" t="s">
        <v>703</v>
      </c>
      <c r="W2242"/>
      <c r="X2242" t="s">
        <v>62</v>
      </c>
      <c r="Y2242"/>
      <c r="Z2242"/>
      <c r="AA2242" t="s">
        <v>4702</v>
      </c>
      <c r="AB2242"/>
      <c r="AC2242" t="s">
        <v>138</v>
      </c>
      <c r="AD2242" t="s">
        <v>128</v>
      </c>
      <c r="AE2242" s="97"/>
    </row>
    <row r="2243" spans="1:31" ht="14.4" customHeight="1" x14ac:dyDescent="0.3">
      <c r="A2243" t="s">
        <v>4788</v>
      </c>
      <c r="B2243"/>
      <c r="C2243" t="s">
        <v>4450</v>
      </c>
      <c r="D2243"/>
      <c r="E2243" t="s">
        <v>4450</v>
      </c>
      <c r="F2243" t="s">
        <v>6769</v>
      </c>
      <c r="G2243" t="s">
        <v>4701</v>
      </c>
      <c r="H2243" t="s">
        <v>132</v>
      </c>
      <c r="I2243" t="s">
        <v>4</v>
      </c>
      <c r="J2243" t="s">
        <v>4276</v>
      </c>
      <c r="K2243" t="s">
        <v>54</v>
      </c>
      <c r="L2243"/>
      <c r="M2243" t="s">
        <v>134</v>
      </c>
      <c r="N2243" t="s">
        <v>135</v>
      </c>
      <c r="O2243"/>
      <c r="P2243"/>
      <c r="Q2243" t="s">
        <v>3731</v>
      </c>
      <c r="R2243"/>
      <c r="S2243"/>
      <c r="T2243"/>
      <c r="U2243" t="s">
        <v>137</v>
      </c>
      <c r="V2243" t="s">
        <v>703</v>
      </c>
      <c r="W2243"/>
      <c r="X2243" t="s">
        <v>62</v>
      </c>
      <c r="Y2243"/>
      <c r="Z2243"/>
      <c r="AA2243" t="s">
        <v>4702</v>
      </c>
      <c r="AB2243"/>
      <c r="AC2243" t="s">
        <v>138</v>
      </c>
      <c r="AD2243" t="s">
        <v>128</v>
      </c>
      <c r="AE2243" s="97"/>
    </row>
    <row r="2244" spans="1:31" ht="14.4" customHeight="1" x14ac:dyDescent="0.3">
      <c r="A2244" t="s">
        <v>4789</v>
      </c>
      <c r="B2244"/>
      <c r="C2244" t="s">
        <v>4452</v>
      </c>
      <c r="D2244"/>
      <c r="E2244" t="s">
        <v>4452</v>
      </c>
      <c r="F2244" t="s">
        <v>6769</v>
      </c>
      <c r="G2244" t="s">
        <v>4701</v>
      </c>
      <c r="H2244" t="s">
        <v>132</v>
      </c>
      <c r="I2244" t="s">
        <v>4</v>
      </c>
      <c r="J2244" t="s">
        <v>4276</v>
      </c>
      <c r="K2244" t="s">
        <v>54</v>
      </c>
      <c r="L2244"/>
      <c r="M2244" t="s">
        <v>134</v>
      </c>
      <c r="N2244" t="s">
        <v>135</v>
      </c>
      <c r="O2244"/>
      <c r="P2244"/>
      <c r="Q2244" t="s">
        <v>3731</v>
      </c>
      <c r="R2244"/>
      <c r="S2244"/>
      <c r="T2244"/>
      <c r="U2244" t="s">
        <v>137</v>
      </c>
      <c r="V2244" t="s">
        <v>703</v>
      </c>
      <c r="W2244"/>
      <c r="X2244" t="s">
        <v>62</v>
      </c>
      <c r="Y2244"/>
      <c r="Z2244"/>
      <c r="AA2244" t="s">
        <v>4702</v>
      </c>
      <c r="AB2244"/>
      <c r="AC2244" t="s">
        <v>138</v>
      </c>
      <c r="AD2244" t="s">
        <v>128</v>
      </c>
      <c r="AE2244" s="97"/>
    </row>
    <row r="2245" spans="1:31" ht="14.4" customHeight="1" x14ac:dyDescent="0.3">
      <c r="A2245" t="s">
        <v>4790</v>
      </c>
      <c r="B2245"/>
      <c r="C2245" t="s">
        <v>4454</v>
      </c>
      <c r="D2245"/>
      <c r="E2245" t="s">
        <v>4454</v>
      </c>
      <c r="F2245" t="s">
        <v>6769</v>
      </c>
      <c r="G2245" t="s">
        <v>4701</v>
      </c>
      <c r="H2245" t="s">
        <v>132</v>
      </c>
      <c r="I2245" t="s">
        <v>4</v>
      </c>
      <c r="J2245" t="s">
        <v>4276</v>
      </c>
      <c r="K2245" t="s">
        <v>54</v>
      </c>
      <c r="L2245"/>
      <c r="M2245" t="s">
        <v>134</v>
      </c>
      <c r="N2245" t="s">
        <v>135</v>
      </c>
      <c r="O2245"/>
      <c r="P2245"/>
      <c r="Q2245" t="s">
        <v>3731</v>
      </c>
      <c r="R2245"/>
      <c r="S2245"/>
      <c r="T2245"/>
      <c r="U2245" t="s">
        <v>137</v>
      </c>
      <c r="V2245" t="s">
        <v>709</v>
      </c>
      <c r="W2245"/>
      <c r="X2245" t="s">
        <v>73</v>
      </c>
      <c r="Y2245"/>
      <c r="Z2245"/>
      <c r="AA2245" t="s">
        <v>4702</v>
      </c>
      <c r="AB2245"/>
      <c r="AC2245" t="s">
        <v>138</v>
      </c>
      <c r="AD2245" t="s">
        <v>128</v>
      </c>
      <c r="AE2245" s="97"/>
    </row>
    <row r="2246" spans="1:31" ht="14.4" customHeight="1" x14ac:dyDescent="0.3">
      <c r="A2246" t="s">
        <v>4791</v>
      </c>
      <c r="B2246"/>
      <c r="C2246" t="s">
        <v>4456</v>
      </c>
      <c r="D2246"/>
      <c r="E2246" t="s">
        <v>4456</v>
      </c>
      <c r="F2246" t="s">
        <v>6769</v>
      </c>
      <c r="G2246" t="s">
        <v>4701</v>
      </c>
      <c r="H2246" t="s">
        <v>132</v>
      </c>
      <c r="I2246" t="s">
        <v>4</v>
      </c>
      <c r="J2246" t="s">
        <v>4276</v>
      </c>
      <c r="K2246" t="s">
        <v>54</v>
      </c>
      <c r="L2246"/>
      <c r="M2246" t="s">
        <v>134</v>
      </c>
      <c r="N2246" t="s">
        <v>135</v>
      </c>
      <c r="O2246"/>
      <c r="P2246"/>
      <c r="Q2246" t="s">
        <v>3731</v>
      </c>
      <c r="R2246"/>
      <c r="S2246"/>
      <c r="T2246"/>
      <c r="U2246" t="s">
        <v>137</v>
      </c>
      <c r="V2246" t="s">
        <v>709</v>
      </c>
      <c r="W2246"/>
      <c r="X2246" t="s">
        <v>73</v>
      </c>
      <c r="Y2246"/>
      <c r="Z2246"/>
      <c r="AA2246" t="s">
        <v>4702</v>
      </c>
      <c r="AB2246"/>
      <c r="AC2246" t="s">
        <v>138</v>
      </c>
      <c r="AD2246" t="s">
        <v>128</v>
      </c>
      <c r="AE2246" s="97"/>
    </row>
    <row r="2247" spans="1:31" ht="14.4" customHeight="1" x14ac:dyDescent="0.3">
      <c r="A2247" t="s">
        <v>4792</v>
      </c>
      <c r="B2247"/>
      <c r="C2247" t="s">
        <v>4458</v>
      </c>
      <c r="D2247"/>
      <c r="E2247" t="s">
        <v>4458</v>
      </c>
      <c r="F2247" t="s">
        <v>6769</v>
      </c>
      <c r="G2247" t="s">
        <v>4701</v>
      </c>
      <c r="H2247" t="s">
        <v>132</v>
      </c>
      <c r="I2247" t="s">
        <v>4</v>
      </c>
      <c r="J2247" t="s">
        <v>4276</v>
      </c>
      <c r="K2247" t="s">
        <v>54</v>
      </c>
      <c r="L2247"/>
      <c r="M2247" t="s">
        <v>134</v>
      </c>
      <c r="N2247" t="s">
        <v>135</v>
      </c>
      <c r="O2247"/>
      <c r="P2247"/>
      <c r="Q2247" t="s">
        <v>3731</v>
      </c>
      <c r="R2247"/>
      <c r="S2247"/>
      <c r="T2247"/>
      <c r="U2247" t="s">
        <v>137</v>
      </c>
      <c r="V2247" t="s">
        <v>709</v>
      </c>
      <c r="W2247"/>
      <c r="X2247" t="s">
        <v>73</v>
      </c>
      <c r="Y2247"/>
      <c r="Z2247"/>
      <c r="AA2247" t="s">
        <v>4702</v>
      </c>
      <c r="AB2247"/>
      <c r="AC2247" t="s">
        <v>138</v>
      </c>
      <c r="AD2247" t="s">
        <v>128</v>
      </c>
      <c r="AE2247" s="97"/>
    </row>
    <row r="2248" spans="1:31" ht="14.4" customHeight="1" x14ac:dyDescent="0.3">
      <c r="A2248" t="s">
        <v>4793</v>
      </c>
      <c r="B2248"/>
      <c r="C2248" t="s">
        <v>4460</v>
      </c>
      <c r="D2248"/>
      <c r="E2248" t="s">
        <v>4460</v>
      </c>
      <c r="F2248" t="s">
        <v>6769</v>
      </c>
      <c r="G2248" t="s">
        <v>4701</v>
      </c>
      <c r="H2248" t="s">
        <v>132</v>
      </c>
      <c r="I2248" t="s">
        <v>4</v>
      </c>
      <c r="J2248" t="s">
        <v>4276</v>
      </c>
      <c r="K2248" t="s">
        <v>54</v>
      </c>
      <c r="L2248"/>
      <c r="M2248" t="s">
        <v>134</v>
      </c>
      <c r="N2248" t="s">
        <v>135</v>
      </c>
      <c r="O2248"/>
      <c r="P2248"/>
      <c r="Q2248" t="s">
        <v>3731</v>
      </c>
      <c r="R2248"/>
      <c r="S2248"/>
      <c r="T2248"/>
      <c r="U2248" t="s">
        <v>137</v>
      </c>
      <c r="V2248" t="s">
        <v>709</v>
      </c>
      <c r="W2248"/>
      <c r="X2248" t="s">
        <v>73</v>
      </c>
      <c r="Y2248"/>
      <c r="Z2248"/>
      <c r="AA2248" t="s">
        <v>4702</v>
      </c>
      <c r="AB2248"/>
      <c r="AC2248" t="s">
        <v>138</v>
      </c>
      <c r="AD2248" t="s">
        <v>128</v>
      </c>
      <c r="AE2248" s="97"/>
    </row>
    <row r="2249" spans="1:31" ht="14.4" customHeight="1" x14ac:dyDescent="0.3">
      <c r="A2249" t="s">
        <v>4794</v>
      </c>
      <c r="B2249"/>
      <c r="C2249" t="s">
        <v>4462</v>
      </c>
      <c r="D2249"/>
      <c r="E2249" t="s">
        <v>4462</v>
      </c>
      <c r="F2249" t="s">
        <v>6769</v>
      </c>
      <c r="G2249" t="s">
        <v>4701</v>
      </c>
      <c r="H2249" t="s">
        <v>132</v>
      </c>
      <c r="I2249" t="s">
        <v>4</v>
      </c>
      <c r="J2249" t="s">
        <v>4276</v>
      </c>
      <c r="K2249" t="s">
        <v>54</v>
      </c>
      <c r="L2249"/>
      <c r="M2249" t="s">
        <v>134</v>
      </c>
      <c r="N2249" t="s">
        <v>135</v>
      </c>
      <c r="O2249"/>
      <c r="P2249"/>
      <c r="Q2249" t="s">
        <v>3731</v>
      </c>
      <c r="R2249"/>
      <c r="S2249"/>
      <c r="T2249"/>
      <c r="U2249" t="s">
        <v>137</v>
      </c>
      <c r="V2249" t="s">
        <v>709</v>
      </c>
      <c r="W2249"/>
      <c r="X2249" t="s">
        <v>73</v>
      </c>
      <c r="Y2249"/>
      <c r="Z2249"/>
      <c r="AA2249" t="s">
        <v>4702</v>
      </c>
      <c r="AB2249"/>
      <c r="AC2249" t="s">
        <v>138</v>
      </c>
      <c r="AD2249" t="s">
        <v>128</v>
      </c>
      <c r="AE2249" s="97"/>
    </row>
    <row r="2250" spans="1:31" ht="14.4" customHeight="1" x14ac:dyDescent="0.3">
      <c r="A2250" t="s">
        <v>4795</v>
      </c>
      <c r="B2250"/>
      <c r="C2250" t="s">
        <v>4464</v>
      </c>
      <c r="D2250"/>
      <c r="E2250" t="s">
        <v>4464</v>
      </c>
      <c r="F2250" t="s">
        <v>6769</v>
      </c>
      <c r="G2250" t="s">
        <v>4701</v>
      </c>
      <c r="H2250" t="s">
        <v>132</v>
      </c>
      <c r="I2250" t="s">
        <v>4</v>
      </c>
      <c r="J2250" t="s">
        <v>4276</v>
      </c>
      <c r="K2250" t="s">
        <v>54</v>
      </c>
      <c r="L2250"/>
      <c r="M2250" t="s">
        <v>134</v>
      </c>
      <c r="N2250" t="s">
        <v>135</v>
      </c>
      <c r="O2250"/>
      <c r="P2250"/>
      <c r="Q2250" t="s">
        <v>3731</v>
      </c>
      <c r="R2250"/>
      <c r="S2250"/>
      <c r="T2250"/>
      <c r="U2250" t="s">
        <v>137</v>
      </c>
      <c r="V2250" t="s">
        <v>709</v>
      </c>
      <c r="W2250"/>
      <c r="X2250" t="s">
        <v>73</v>
      </c>
      <c r="Y2250"/>
      <c r="Z2250"/>
      <c r="AA2250" t="s">
        <v>4702</v>
      </c>
      <c r="AB2250"/>
      <c r="AC2250" t="s">
        <v>138</v>
      </c>
      <c r="AD2250" t="s">
        <v>128</v>
      </c>
      <c r="AE2250" s="97"/>
    </row>
    <row r="2251" spans="1:31" ht="14.4" customHeight="1" x14ac:dyDescent="0.3">
      <c r="A2251" t="s">
        <v>4796</v>
      </c>
      <c r="B2251"/>
      <c r="C2251" t="s">
        <v>4466</v>
      </c>
      <c r="D2251"/>
      <c r="E2251" t="s">
        <v>4466</v>
      </c>
      <c r="F2251" t="s">
        <v>6769</v>
      </c>
      <c r="G2251" t="s">
        <v>4701</v>
      </c>
      <c r="H2251" t="s">
        <v>132</v>
      </c>
      <c r="I2251" t="s">
        <v>4</v>
      </c>
      <c r="J2251" t="s">
        <v>4276</v>
      </c>
      <c r="K2251" t="s">
        <v>54</v>
      </c>
      <c r="L2251"/>
      <c r="M2251" t="s">
        <v>134</v>
      </c>
      <c r="N2251" t="s">
        <v>135</v>
      </c>
      <c r="O2251"/>
      <c r="P2251"/>
      <c r="Q2251" t="s">
        <v>3731</v>
      </c>
      <c r="R2251"/>
      <c r="S2251"/>
      <c r="T2251"/>
      <c r="U2251" t="s">
        <v>137</v>
      </c>
      <c r="V2251" t="s">
        <v>715</v>
      </c>
      <c r="W2251"/>
      <c r="X2251" t="s">
        <v>82</v>
      </c>
      <c r="Y2251"/>
      <c r="Z2251"/>
      <c r="AA2251" t="s">
        <v>4702</v>
      </c>
      <c r="AB2251"/>
      <c r="AC2251" t="s">
        <v>138</v>
      </c>
      <c r="AD2251" t="s">
        <v>129</v>
      </c>
      <c r="AE2251" s="97"/>
    </row>
    <row r="2252" spans="1:31" ht="14.4" customHeight="1" x14ac:dyDescent="0.3">
      <c r="A2252" t="s">
        <v>4797</v>
      </c>
      <c r="B2252"/>
      <c r="C2252" t="s">
        <v>4468</v>
      </c>
      <c r="D2252"/>
      <c r="E2252" t="s">
        <v>4468</v>
      </c>
      <c r="F2252" t="s">
        <v>6769</v>
      </c>
      <c r="G2252" t="s">
        <v>4701</v>
      </c>
      <c r="H2252" t="s">
        <v>132</v>
      </c>
      <c r="I2252" t="s">
        <v>4</v>
      </c>
      <c r="J2252" t="s">
        <v>4276</v>
      </c>
      <c r="K2252" t="s">
        <v>54</v>
      </c>
      <c r="L2252"/>
      <c r="M2252" t="s">
        <v>134</v>
      </c>
      <c r="N2252" t="s">
        <v>135</v>
      </c>
      <c r="O2252"/>
      <c r="P2252"/>
      <c r="Q2252" t="s">
        <v>3731</v>
      </c>
      <c r="R2252"/>
      <c r="S2252"/>
      <c r="T2252"/>
      <c r="U2252" t="s">
        <v>137</v>
      </c>
      <c r="V2252" t="s">
        <v>715</v>
      </c>
      <c r="W2252"/>
      <c r="X2252" t="s">
        <v>82</v>
      </c>
      <c r="Y2252"/>
      <c r="Z2252"/>
      <c r="AA2252" t="s">
        <v>4702</v>
      </c>
      <c r="AB2252"/>
      <c r="AC2252" t="s">
        <v>138</v>
      </c>
      <c r="AD2252" t="s">
        <v>129</v>
      </c>
      <c r="AE2252" s="97"/>
    </row>
    <row r="2253" spans="1:31" ht="14.4" customHeight="1" x14ac:dyDescent="0.3">
      <c r="A2253" t="s">
        <v>4798</v>
      </c>
      <c r="B2253"/>
      <c r="C2253" t="s">
        <v>4470</v>
      </c>
      <c r="D2253"/>
      <c r="E2253" t="s">
        <v>4470</v>
      </c>
      <c r="F2253" t="s">
        <v>6769</v>
      </c>
      <c r="G2253" t="s">
        <v>4701</v>
      </c>
      <c r="H2253" t="s">
        <v>132</v>
      </c>
      <c r="I2253" t="s">
        <v>4</v>
      </c>
      <c r="J2253" t="s">
        <v>4276</v>
      </c>
      <c r="K2253" t="s">
        <v>54</v>
      </c>
      <c r="L2253"/>
      <c r="M2253" t="s">
        <v>134</v>
      </c>
      <c r="N2253" t="s">
        <v>135</v>
      </c>
      <c r="O2253"/>
      <c r="P2253"/>
      <c r="Q2253" t="s">
        <v>3731</v>
      </c>
      <c r="R2253"/>
      <c r="S2253"/>
      <c r="T2253"/>
      <c r="U2253" t="s">
        <v>137</v>
      </c>
      <c r="V2253" t="s">
        <v>715</v>
      </c>
      <c r="W2253"/>
      <c r="X2253" t="s">
        <v>82</v>
      </c>
      <c r="Y2253"/>
      <c r="Z2253"/>
      <c r="AA2253" t="s">
        <v>4702</v>
      </c>
      <c r="AB2253"/>
      <c r="AC2253" t="s">
        <v>138</v>
      </c>
      <c r="AD2253" t="s">
        <v>129</v>
      </c>
      <c r="AE2253" s="97"/>
    </row>
    <row r="2254" spans="1:31" ht="14.4" customHeight="1" x14ac:dyDescent="0.3">
      <c r="A2254" t="s">
        <v>4799</v>
      </c>
      <c r="B2254"/>
      <c r="C2254" t="s">
        <v>4472</v>
      </c>
      <c r="D2254"/>
      <c r="E2254" t="s">
        <v>4472</v>
      </c>
      <c r="F2254" t="s">
        <v>6769</v>
      </c>
      <c r="G2254" t="s">
        <v>4701</v>
      </c>
      <c r="H2254" t="s">
        <v>132</v>
      </c>
      <c r="I2254" t="s">
        <v>4</v>
      </c>
      <c r="J2254" t="s">
        <v>4276</v>
      </c>
      <c r="K2254" t="s">
        <v>54</v>
      </c>
      <c r="L2254"/>
      <c r="M2254" t="s">
        <v>134</v>
      </c>
      <c r="N2254" t="s">
        <v>135</v>
      </c>
      <c r="O2254"/>
      <c r="P2254"/>
      <c r="Q2254" t="s">
        <v>3731</v>
      </c>
      <c r="R2254"/>
      <c r="S2254"/>
      <c r="T2254"/>
      <c r="U2254" t="s">
        <v>137</v>
      </c>
      <c r="V2254" t="s">
        <v>715</v>
      </c>
      <c r="W2254"/>
      <c r="X2254" t="s">
        <v>82</v>
      </c>
      <c r="Y2254"/>
      <c r="Z2254"/>
      <c r="AA2254" t="s">
        <v>4702</v>
      </c>
      <c r="AB2254"/>
      <c r="AC2254" t="s">
        <v>138</v>
      </c>
      <c r="AD2254" t="s">
        <v>129</v>
      </c>
      <c r="AE2254" s="97"/>
    </row>
    <row r="2255" spans="1:31" ht="14.4" customHeight="1" x14ac:dyDescent="0.3">
      <c r="A2255" t="s">
        <v>4800</v>
      </c>
      <c r="B2255"/>
      <c r="C2255" t="s">
        <v>4474</v>
      </c>
      <c r="D2255"/>
      <c r="E2255" t="s">
        <v>4474</v>
      </c>
      <c r="F2255" t="s">
        <v>6769</v>
      </c>
      <c r="G2255" t="s">
        <v>4701</v>
      </c>
      <c r="H2255" t="s">
        <v>132</v>
      </c>
      <c r="I2255" t="s">
        <v>4</v>
      </c>
      <c r="J2255" t="s">
        <v>4276</v>
      </c>
      <c r="K2255" t="s">
        <v>54</v>
      </c>
      <c r="L2255"/>
      <c r="M2255" t="s">
        <v>134</v>
      </c>
      <c r="N2255" t="s">
        <v>135</v>
      </c>
      <c r="O2255"/>
      <c r="P2255"/>
      <c r="Q2255" t="s">
        <v>3731</v>
      </c>
      <c r="R2255"/>
      <c r="S2255"/>
      <c r="T2255"/>
      <c r="U2255" t="s">
        <v>137</v>
      </c>
      <c r="V2255" t="s">
        <v>715</v>
      </c>
      <c r="W2255"/>
      <c r="X2255" t="s">
        <v>82</v>
      </c>
      <c r="Y2255"/>
      <c r="Z2255"/>
      <c r="AA2255" t="s">
        <v>4702</v>
      </c>
      <c r="AB2255"/>
      <c r="AC2255" t="s">
        <v>138</v>
      </c>
      <c r="AD2255" t="s">
        <v>129</v>
      </c>
      <c r="AE2255" s="97"/>
    </row>
    <row r="2256" spans="1:31" ht="14.4" customHeight="1" x14ac:dyDescent="0.3">
      <c r="A2256" t="s">
        <v>4801</v>
      </c>
      <c r="B2256"/>
      <c r="C2256" t="s">
        <v>4476</v>
      </c>
      <c r="D2256"/>
      <c r="E2256" t="s">
        <v>4476</v>
      </c>
      <c r="F2256" t="s">
        <v>6769</v>
      </c>
      <c r="G2256" t="s">
        <v>4701</v>
      </c>
      <c r="H2256" t="s">
        <v>132</v>
      </c>
      <c r="I2256" t="s">
        <v>4</v>
      </c>
      <c r="J2256" t="s">
        <v>4276</v>
      </c>
      <c r="K2256" t="s">
        <v>54</v>
      </c>
      <c r="L2256"/>
      <c r="M2256" t="s">
        <v>134</v>
      </c>
      <c r="N2256" t="s">
        <v>135</v>
      </c>
      <c r="O2256"/>
      <c r="P2256"/>
      <c r="Q2256" t="s">
        <v>3731</v>
      </c>
      <c r="R2256"/>
      <c r="S2256"/>
      <c r="T2256"/>
      <c r="U2256" t="s">
        <v>137</v>
      </c>
      <c r="V2256" t="s">
        <v>715</v>
      </c>
      <c r="W2256"/>
      <c r="X2256" t="s">
        <v>82</v>
      </c>
      <c r="Y2256"/>
      <c r="Z2256"/>
      <c r="AA2256" t="s">
        <v>4702</v>
      </c>
      <c r="AB2256"/>
      <c r="AC2256" t="s">
        <v>138</v>
      </c>
      <c r="AD2256" t="s">
        <v>129</v>
      </c>
      <c r="AE2256" s="97"/>
    </row>
    <row r="2257" spans="1:31" ht="14.4" customHeight="1" x14ac:dyDescent="0.3">
      <c r="A2257" t="s">
        <v>4802</v>
      </c>
      <c r="B2257"/>
      <c r="C2257" t="s">
        <v>4478</v>
      </c>
      <c r="D2257"/>
      <c r="E2257" t="s">
        <v>4478</v>
      </c>
      <c r="F2257" t="s">
        <v>6769</v>
      </c>
      <c r="G2257" t="s">
        <v>4701</v>
      </c>
      <c r="H2257" t="s">
        <v>132</v>
      </c>
      <c r="I2257" t="s">
        <v>4</v>
      </c>
      <c r="J2257" t="s">
        <v>4276</v>
      </c>
      <c r="K2257" t="s">
        <v>54</v>
      </c>
      <c r="L2257"/>
      <c r="M2257" t="s">
        <v>134</v>
      </c>
      <c r="N2257" t="s">
        <v>135</v>
      </c>
      <c r="O2257"/>
      <c r="P2257"/>
      <c r="Q2257" t="s">
        <v>3731</v>
      </c>
      <c r="R2257"/>
      <c r="S2257"/>
      <c r="T2257"/>
      <c r="U2257" t="s">
        <v>137</v>
      </c>
      <c r="V2257" t="s">
        <v>721</v>
      </c>
      <c r="W2257"/>
      <c r="X2257" t="s">
        <v>91</v>
      </c>
      <c r="Y2257"/>
      <c r="Z2257"/>
      <c r="AA2257" t="s">
        <v>4702</v>
      </c>
      <c r="AB2257"/>
      <c r="AC2257" t="s">
        <v>138</v>
      </c>
      <c r="AD2257" t="s">
        <v>129</v>
      </c>
      <c r="AE2257" s="97"/>
    </row>
    <row r="2258" spans="1:31" ht="14.4" customHeight="1" x14ac:dyDescent="0.3">
      <c r="A2258" t="s">
        <v>4803</v>
      </c>
      <c r="B2258"/>
      <c r="C2258" t="s">
        <v>4480</v>
      </c>
      <c r="D2258"/>
      <c r="E2258" t="s">
        <v>4480</v>
      </c>
      <c r="F2258" t="s">
        <v>6769</v>
      </c>
      <c r="G2258" t="s">
        <v>4701</v>
      </c>
      <c r="H2258" t="s">
        <v>132</v>
      </c>
      <c r="I2258" t="s">
        <v>4</v>
      </c>
      <c r="J2258" t="s">
        <v>4276</v>
      </c>
      <c r="K2258" t="s">
        <v>54</v>
      </c>
      <c r="L2258"/>
      <c r="M2258" t="s">
        <v>134</v>
      </c>
      <c r="N2258" t="s">
        <v>135</v>
      </c>
      <c r="O2258"/>
      <c r="P2258"/>
      <c r="Q2258" t="s">
        <v>3731</v>
      </c>
      <c r="R2258"/>
      <c r="S2258"/>
      <c r="T2258"/>
      <c r="U2258" t="s">
        <v>137</v>
      </c>
      <c r="V2258" t="s">
        <v>721</v>
      </c>
      <c r="W2258"/>
      <c r="X2258" t="s">
        <v>91</v>
      </c>
      <c r="Y2258"/>
      <c r="Z2258"/>
      <c r="AA2258" t="s">
        <v>4702</v>
      </c>
      <c r="AB2258"/>
      <c r="AC2258" t="s">
        <v>138</v>
      </c>
      <c r="AD2258" t="s">
        <v>129</v>
      </c>
      <c r="AE2258" s="97"/>
    </row>
    <row r="2259" spans="1:31" ht="14.4" customHeight="1" x14ac:dyDescent="0.3">
      <c r="A2259" t="s">
        <v>4804</v>
      </c>
      <c r="B2259"/>
      <c r="C2259" t="s">
        <v>4482</v>
      </c>
      <c r="D2259"/>
      <c r="E2259" t="s">
        <v>4482</v>
      </c>
      <c r="F2259" t="s">
        <v>6769</v>
      </c>
      <c r="G2259" t="s">
        <v>4701</v>
      </c>
      <c r="H2259" t="s">
        <v>132</v>
      </c>
      <c r="I2259" t="s">
        <v>4</v>
      </c>
      <c r="J2259" t="s">
        <v>4276</v>
      </c>
      <c r="K2259" t="s">
        <v>54</v>
      </c>
      <c r="L2259"/>
      <c r="M2259" t="s">
        <v>134</v>
      </c>
      <c r="N2259" t="s">
        <v>135</v>
      </c>
      <c r="O2259"/>
      <c r="P2259"/>
      <c r="Q2259" t="s">
        <v>3731</v>
      </c>
      <c r="R2259"/>
      <c r="S2259"/>
      <c r="T2259"/>
      <c r="U2259" t="s">
        <v>137</v>
      </c>
      <c r="V2259" t="s">
        <v>721</v>
      </c>
      <c r="W2259"/>
      <c r="X2259" t="s">
        <v>91</v>
      </c>
      <c r="Y2259"/>
      <c r="Z2259"/>
      <c r="AA2259" t="s">
        <v>4702</v>
      </c>
      <c r="AB2259"/>
      <c r="AC2259" t="s">
        <v>138</v>
      </c>
      <c r="AD2259" t="s">
        <v>129</v>
      </c>
      <c r="AE2259" s="97"/>
    </row>
    <row r="2260" spans="1:31" ht="14.4" customHeight="1" x14ac:dyDescent="0.3">
      <c r="A2260" t="s">
        <v>4805</v>
      </c>
      <c r="B2260"/>
      <c r="C2260" t="s">
        <v>4484</v>
      </c>
      <c r="D2260"/>
      <c r="E2260" t="s">
        <v>4484</v>
      </c>
      <c r="F2260" t="s">
        <v>6769</v>
      </c>
      <c r="G2260" t="s">
        <v>4701</v>
      </c>
      <c r="H2260" t="s">
        <v>132</v>
      </c>
      <c r="I2260" t="s">
        <v>4</v>
      </c>
      <c r="J2260" t="s">
        <v>4276</v>
      </c>
      <c r="K2260" t="s">
        <v>54</v>
      </c>
      <c r="L2260"/>
      <c r="M2260" t="s">
        <v>134</v>
      </c>
      <c r="N2260" t="s">
        <v>135</v>
      </c>
      <c r="O2260"/>
      <c r="P2260"/>
      <c r="Q2260" t="s">
        <v>3731</v>
      </c>
      <c r="R2260"/>
      <c r="S2260"/>
      <c r="T2260"/>
      <c r="U2260" t="s">
        <v>137</v>
      </c>
      <c r="V2260" t="s">
        <v>721</v>
      </c>
      <c r="W2260"/>
      <c r="X2260" t="s">
        <v>91</v>
      </c>
      <c r="Y2260"/>
      <c r="Z2260"/>
      <c r="AA2260" t="s">
        <v>4702</v>
      </c>
      <c r="AB2260"/>
      <c r="AC2260" t="s">
        <v>138</v>
      </c>
      <c r="AD2260" t="s">
        <v>129</v>
      </c>
      <c r="AE2260" s="97"/>
    </row>
    <row r="2261" spans="1:31" ht="14.4" customHeight="1" x14ac:dyDescent="0.3">
      <c r="A2261" t="s">
        <v>4806</v>
      </c>
      <c r="B2261"/>
      <c r="C2261" t="s">
        <v>4486</v>
      </c>
      <c r="D2261"/>
      <c r="E2261" t="s">
        <v>4486</v>
      </c>
      <c r="F2261" t="s">
        <v>6769</v>
      </c>
      <c r="G2261" t="s">
        <v>4701</v>
      </c>
      <c r="H2261" t="s">
        <v>132</v>
      </c>
      <c r="I2261" t="s">
        <v>4</v>
      </c>
      <c r="J2261" t="s">
        <v>4276</v>
      </c>
      <c r="K2261" t="s">
        <v>54</v>
      </c>
      <c r="L2261"/>
      <c r="M2261" t="s">
        <v>134</v>
      </c>
      <c r="N2261" t="s">
        <v>135</v>
      </c>
      <c r="O2261"/>
      <c r="P2261"/>
      <c r="Q2261" t="s">
        <v>3731</v>
      </c>
      <c r="R2261"/>
      <c r="S2261"/>
      <c r="T2261"/>
      <c r="U2261" t="s">
        <v>137</v>
      </c>
      <c r="V2261" t="s">
        <v>721</v>
      </c>
      <c r="W2261"/>
      <c r="X2261" t="s">
        <v>91</v>
      </c>
      <c r="Y2261"/>
      <c r="Z2261"/>
      <c r="AA2261" t="s">
        <v>4702</v>
      </c>
      <c r="AB2261"/>
      <c r="AC2261" t="s">
        <v>138</v>
      </c>
      <c r="AD2261" t="s">
        <v>129</v>
      </c>
      <c r="AE2261" s="97"/>
    </row>
    <row r="2262" spans="1:31" ht="14.4" customHeight="1" x14ac:dyDescent="0.3">
      <c r="A2262" t="s">
        <v>4807</v>
      </c>
      <c r="B2262"/>
      <c r="C2262" t="s">
        <v>4488</v>
      </c>
      <c r="D2262"/>
      <c r="E2262" t="s">
        <v>4488</v>
      </c>
      <c r="F2262" t="s">
        <v>6769</v>
      </c>
      <c r="G2262" t="s">
        <v>4701</v>
      </c>
      <c r="H2262" t="s">
        <v>132</v>
      </c>
      <c r="I2262" t="s">
        <v>4</v>
      </c>
      <c r="J2262" t="s">
        <v>4276</v>
      </c>
      <c r="K2262" t="s">
        <v>54</v>
      </c>
      <c r="L2262"/>
      <c r="M2262" t="s">
        <v>134</v>
      </c>
      <c r="N2262" t="s">
        <v>135</v>
      </c>
      <c r="O2262"/>
      <c r="P2262"/>
      <c r="Q2262" t="s">
        <v>3731</v>
      </c>
      <c r="R2262"/>
      <c r="S2262"/>
      <c r="T2262"/>
      <c r="U2262" t="s">
        <v>137</v>
      </c>
      <c r="V2262" t="s">
        <v>721</v>
      </c>
      <c r="W2262"/>
      <c r="X2262" t="s">
        <v>91</v>
      </c>
      <c r="Y2262"/>
      <c r="Z2262"/>
      <c r="AA2262" t="s">
        <v>4702</v>
      </c>
      <c r="AB2262"/>
      <c r="AC2262" t="s">
        <v>138</v>
      </c>
      <c r="AD2262" t="s">
        <v>129</v>
      </c>
      <c r="AE2262" s="97"/>
    </row>
    <row r="2263" spans="1:31" ht="14.4" customHeight="1" x14ac:dyDescent="0.3">
      <c r="A2263" t="s">
        <v>4808</v>
      </c>
      <c r="B2263"/>
      <c r="C2263" t="s">
        <v>4490</v>
      </c>
      <c r="D2263"/>
      <c r="E2263" t="s">
        <v>4490</v>
      </c>
      <c r="F2263" t="s">
        <v>6769</v>
      </c>
      <c r="G2263" t="s">
        <v>4701</v>
      </c>
      <c r="H2263" t="s">
        <v>132</v>
      </c>
      <c r="I2263" t="s">
        <v>4</v>
      </c>
      <c r="J2263" t="s">
        <v>4276</v>
      </c>
      <c r="K2263" t="s">
        <v>54</v>
      </c>
      <c r="L2263"/>
      <c r="M2263" t="s">
        <v>134</v>
      </c>
      <c r="N2263" t="s">
        <v>135</v>
      </c>
      <c r="O2263"/>
      <c r="P2263"/>
      <c r="Q2263" t="s">
        <v>3731</v>
      </c>
      <c r="R2263"/>
      <c r="S2263"/>
      <c r="T2263"/>
      <c r="U2263" t="s">
        <v>137</v>
      </c>
      <c r="V2263" t="s">
        <v>727</v>
      </c>
      <c r="W2263"/>
      <c r="X2263" t="s">
        <v>100</v>
      </c>
      <c r="Y2263"/>
      <c r="Z2263"/>
      <c r="AA2263" t="s">
        <v>4702</v>
      </c>
      <c r="AB2263"/>
      <c r="AC2263" t="s">
        <v>138</v>
      </c>
      <c r="AD2263" t="s">
        <v>129</v>
      </c>
      <c r="AE2263" s="97"/>
    </row>
    <row r="2264" spans="1:31" ht="14.4" customHeight="1" x14ac:dyDescent="0.3">
      <c r="A2264" t="s">
        <v>4809</v>
      </c>
      <c r="B2264"/>
      <c r="C2264" t="s">
        <v>4492</v>
      </c>
      <c r="D2264"/>
      <c r="E2264" t="s">
        <v>4492</v>
      </c>
      <c r="F2264" t="s">
        <v>6769</v>
      </c>
      <c r="G2264" t="s">
        <v>4701</v>
      </c>
      <c r="H2264" t="s">
        <v>132</v>
      </c>
      <c r="I2264" t="s">
        <v>4</v>
      </c>
      <c r="J2264" t="s">
        <v>4276</v>
      </c>
      <c r="K2264" t="s">
        <v>54</v>
      </c>
      <c r="L2264"/>
      <c r="M2264" t="s">
        <v>134</v>
      </c>
      <c r="N2264" t="s">
        <v>135</v>
      </c>
      <c r="O2264"/>
      <c r="P2264"/>
      <c r="Q2264" t="s">
        <v>3731</v>
      </c>
      <c r="R2264"/>
      <c r="S2264"/>
      <c r="T2264"/>
      <c r="U2264" t="s">
        <v>137</v>
      </c>
      <c r="V2264" t="s">
        <v>727</v>
      </c>
      <c r="W2264"/>
      <c r="X2264" t="s">
        <v>100</v>
      </c>
      <c r="Y2264"/>
      <c r="Z2264"/>
      <c r="AA2264" t="s">
        <v>4702</v>
      </c>
      <c r="AB2264"/>
      <c r="AC2264" t="s">
        <v>138</v>
      </c>
      <c r="AD2264" t="s">
        <v>129</v>
      </c>
      <c r="AE2264" s="97"/>
    </row>
    <row r="2265" spans="1:31" ht="14.4" customHeight="1" x14ac:dyDescent="0.3">
      <c r="A2265" t="s">
        <v>4810</v>
      </c>
      <c r="B2265"/>
      <c r="C2265" t="s">
        <v>4494</v>
      </c>
      <c r="D2265"/>
      <c r="E2265" t="s">
        <v>4494</v>
      </c>
      <c r="F2265" t="s">
        <v>6769</v>
      </c>
      <c r="G2265" t="s">
        <v>4701</v>
      </c>
      <c r="H2265" t="s">
        <v>132</v>
      </c>
      <c r="I2265" t="s">
        <v>4</v>
      </c>
      <c r="J2265" t="s">
        <v>4276</v>
      </c>
      <c r="K2265" t="s">
        <v>54</v>
      </c>
      <c r="L2265"/>
      <c r="M2265" t="s">
        <v>134</v>
      </c>
      <c r="N2265" t="s">
        <v>135</v>
      </c>
      <c r="O2265"/>
      <c r="P2265"/>
      <c r="Q2265" t="s">
        <v>3731</v>
      </c>
      <c r="R2265"/>
      <c r="S2265"/>
      <c r="T2265"/>
      <c r="U2265" t="s">
        <v>137</v>
      </c>
      <c r="V2265" t="s">
        <v>727</v>
      </c>
      <c r="W2265"/>
      <c r="X2265" t="s">
        <v>100</v>
      </c>
      <c r="Y2265"/>
      <c r="Z2265"/>
      <c r="AA2265" t="s">
        <v>4702</v>
      </c>
      <c r="AB2265"/>
      <c r="AC2265" t="s">
        <v>138</v>
      </c>
      <c r="AD2265" t="s">
        <v>129</v>
      </c>
      <c r="AE2265" s="97"/>
    </row>
    <row r="2266" spans="1:31" ht="14.4" customHeight="1" x14ac:dyDescent="0.3">
      <c r="A2266" t="s">
        <v>4811</v>
      </c>
      <c r="B2266"/>
      <c r="C2266" t="s">
        <v>4496</v>
      </c>
      <c r="D2266"/>
      <c r="E2266" t="s">
        <v>4496</v>
      </c>
      <c r="F2266" t="s">
        <v>6769</v>
      </c>
      <c r="G2266" t="s">
        <v>4701</v>
      </c>
      <c r="H2266" t="s">
        <v>132</v>
      </c>
      <c r="I2266" t="s">
        <v>4</v>
      </c>
      <c r="J2266" t="s">
        <v>4276</v>
      </c>
      <c r="K2266" t="s">
        <v>54</v>
      </c>
      <c r="L2266"/>
      <c r="M2266" t="s">
        <v>134</v>
      </c>
      <c r="N2266" t="s">
        <v>135</v>
      </c>
      <c r="O2266"/>
      <c r="P2266"/>
      <c r="Q2266" t="s">
        <v>3731</v>
      </c>
      <c r="R2266"/>
      <c r="S2266"/>
      <c r="T2266"/>
      <c r="U2266" t="s">
        <v>137</v>
      </c>
      <c r="V2266" t="s">
        <v>727</v>
      </c>
      <c r="W2266"/>
      <c r="X2266" t="s">
        <v>100</v>
      </c>
      <c r="Y2266"/>
      <c r="Z2266"/>
      <c r="AA2266" t="s">
        <v>4702</v>
      </c>
      <c r="AB2266"/>
      <c r="AC2266" t="s">
        <v>138</v>
      </c>
      <c r="AD2266" t="s">
        <v>129</v>
      </c>
      <c r="AE2266" s="97"/>
    </row>
    <row r="2267" spans="1:31" ht="14.4" customHeight="1" x14ac:dyDescent="0.3">
      <c r="A2267" t="s">
        <v>4812</v>
      </c>
      <c r="B2267"/>
      <c r="C2267" t="s">
        <v>4498</v>
      </c>
      <c r="D2267"/>
      <c r="E2267" t="s">
        <v>4498</v>
      </c>
      <c r="F2267" t="s">
        <v>6769</v>
      </c>
      <c r="G2267" t="s">
        <v>4701</v>
      </c>
      <c r="H2267" t="s">
        <v>132</v>
      </c>
      <c r="I2267" t="s">
        <v>4</v>
      </c>
      <c r="J2267" t="s">
        <v>4276</v>
      </c>
      <c r="K2267" t="s">
        <v>54</v>
      </c>
      <c r="L2267"/>
      <c r="M2267" t="s">
        <v>134</v>
      </c>
      <c r="N2267" t="s">
        <v>135</v>
      </c>
      <c r="O2267"/>
      <c r="P2267"/>
      <c r="Q2267" t="s">
        <v>3731</v>
      </c>
      <c r="R2267"/>
      <c r="S2267"/>
      <c r="T2267"/>
      <c r="U2267" t="s">
        <v>137</v>
      </c>
      <c r="V2267" t="s">
        <v>727</v>
      </c>
      <c r="W2267"/>
      <c r="X2267" t="s">
        <v>100</v>
      </c>
      <c r="Y2267"/>
      <c r="Z2267"/>
      <c r="AA2267" t="s">
        <v>4702</v>
      </c>
      <c r="AB2267"/>
      <c r="AC2267" t="s">
        <v>138</v>
      </c>
      <c r="AD2267" t="s">
        <v>129</v>
      </c>
      <c r="AE2267" s="97"/>
    </row>
    <row r="2268" spans="1:31" ht="14.4" customHeight="1" x14ac:dyDescent="0.3">
      <c r="A2268" t="s">
        <v>4813</v>
      </c>
      <c r="B2268"/>
      <c r="C2268" t="s">
        <v>4500</v>
      </c>
      <c r="D2268"/>
      <c r="E2268" t="s">
        <v>4500</v>
      </c>
      <c r="F2268" t="s">
        <v>6769</v>
      </c>
      <c r="G2268" t="s">
        <v>4701</v>
      </c>
      <c r="H2268" t="s">
        <v>132</v>
      </c>
      <c r="I2268" t="s">
        <v>4</v>
      </c>
      <c r="J2268" t="s">
        <v>4276</v>
      </c>
      <c r="K2268" t="s">
        <v>54</v>
      </c>
      <c r="L2268"/>
      <c r="M2268" t="s">
        <v>134</v>
      </c>
      <c r="N2268" t="s">
        <v>135</v>
      </c>
      <c r="O2268"/>
      <c r="P2268"/>
      <c r="Q2268" t="s">
        <v>3731</v>
      </c>
      <c r="R2268"/>
      <c r="S2268"/>
      <c r="T2268"/>
      <c r="U2268" t="s">
        <v>137</v>
      </c>
      <c r="V2268" t="s">
        <v>727</v>
      </c>
      <c r="W2268"/>
      <c r="X2268" t="s">
        <v>100</v>
      </c>
      <c r="Y2268"/>
      <c r="Z2268"/>
      <c r="AA2268" t="s">
        <v>4702</v>
      </c>
      <c r="AB2268"/>
      <c r="AC2268" t="s">
        <v>138</v>
      </c>
      <c r="AD2268" t="s">
        <v>129</v>
      </c>
      <c r="AE2268" s="97"/>
    </row>
    <row r="2269" spans="1:31" ht="14.4" customHeight="1" x14ac:dyDescent="0.3">
      <c r="A2269" t="s">
        <v>4814</v>
      </c>
      <c r="B2269"/>
      <c r="C2269" t="s">
        <v>4502</v>
      </c>
      <c r="D2269"/>
      <c r="E2269" t="s">
        <v>4502</v>
      </c>
      <c r="F2269" t="s">
        <v>6769</v>
      </c>
      <c r="G2269" t="s">
        <v>4701</v>
      </c>
      <c r="H2269" t="s">
        <v>132</v>
      </c>
      <c r="I2269" t="s">
        <v>4</v>
      </c>
      <c r="J2269" t="s">
        <v>4276</v>
      </c>
      <c r="K2269" t="s">
        <v>54</v>
      </c>
      <c r="L2269"/>
      <c r="M2269" t="s">
        <v>134</v>
      </c>
      <c r="N2269" t="s">
        <v>135</v>
      </c>
      <c r="O2269"/>
      <c r="P2269"/>
      <c r="Q2269" t="s">
        <v>3731</v>
      </c>
      <c r="R2269"/>
      <c r="S2269"/>
      <c r="T2269"/>
      <c r="U2269" t="s">
        <v>137</v>
      </c>
      <c r="V2269" t="s">
        <v>733</v>
      </c>
      <c r="W2269"/>
      <c r="X2269" t="s">
        <v>109</v>
      </c>
      <c r="Y2269"/>
      <c r="Z2269"/>
      <c r="AA2269" t="s">
        <v>4702</v>
      </c>
      <c r="AB2269"/>
      <c r="AC2269" t="s">
        <v>138</v>
      </c>
      <c r="AD2269" t="s">
        <v>129</v>
      </c>
      <c r="AE2269" s="97"/>
    </row>
    <row r="2270" spans="1:31" ht="14.4" customHeight="1" x14ac:dyDescent="0.3">
      <c r="A2270" t="s">
        <v>4815</v>
      </c>
      <c r="B2270"/>
      <c r="C2270" t="s">
        <v>4504</v>
      </c>
      <c r="D2270"/>
      <c r="E2270" t="s">
        <v>4504</v>
      </c>
      <c r="F2270" t="s">
        <v>6769</v>
      </c>
      <c r="G2270" t="s">
        <v>4701</v>
      </c>
      <c r="H2270" t="s">
        <v>132</v>
      </c>
      <c r="I2270" t="s">
        <v>4</v>
      </c>
      <c r="J2270" t="s">
        <v>4276</v>
      </c>
      <c r="K2270" t="s">
        <v>54</v>
      </c>
      <c r="L2270"/>
      <c r="M2270" t="s">
        <v>134</v>
      </c>
      <c r="N2270" t="s">
        <v>135</v>
      </c>
      <c r="O2270"/>
      <c r="P2270"/>
      <c r="Q2270" t="s">
        <v>3731</v>
      </c>
      <c r="R2270"/>
      <c r="S2270"/>
      <c r="T2270"/>
      <c r="U2270" t="s">
        <v>137</v>
      </c>
      <c r="V2270" t="s">
        <v>733</v>
      </c>
      <c r="W2270"/>
      <c r="X2270" t="s">
        <v>109</v>
      </c>
      <c r="Y2270"/>
      <c r="Z2270"/>
      <c r="AA2270" t="s">
        <v>4702</v>
      </c>
      <c r="AB2270"/>
      <c r="AC2270" t="s">
        <v>138</v>
      </c>
      <c r="AD2270" t="s">
        <v>129</v>
      </c>
      <c r="AE2270" s="97"/>
    </row>
    <row r="2271" spans="1:31" ht="14.4" customHeight="1" x14ac:dyDescent="0.3">
      <c r="A2271" t="s">
        <v>4816</v>
      </c>
      <c r="B2271"/>
      <c r="C2271" t="s">
        <v>4506</v>
      </c>
      <c r="D2271"/>
      <c r="E2271" t="s">
        <v>4506</v>
      </c>
      <c r="F2271" t="s">
        <v>6769</v>
      </c>
      <c r="G2271" t="s">
        <v>4701</v>
      </c>
      <c r="H2271" t="s">
        <v>132</v>
      </c>
      <c r="I2271" t="s">
        <v>4</v>
      </c>
      <c r="J2271" t="s">
        <v>4276</v>
      </c>
      <c r="K2271" t="s">
        <v>54</v>
      </c>
      <c r="L2271"/>
      <c r="M2271" t="s">
        <v>134</v>
      </c>
      <c r="N2271" t="s">
        <v>135</v>
      </c>
      <c r="O2271"/>
      <c r="P2271"/>
      <c r="Q2271" t="s">
        <v>3731</v>
      </c>
      <c r="R2271"/>
      <c r="S2271"/>
      <c r="T2271"/>
      <c r="U2271" t="s">
        <v>137</v>
      </c>
      <c r="V2271" t="s">
        <v>733</v>
      </c>
      <c r="W2271"/>
      <c r="X2271" t="s">
        <v>109</v>
      </c>
      <c r="Y2271"/>
      <c r="Z2271"/>
      <c r="AA2271" t="s">
        <v>4702</v>
      </c>
      <c r="AB2271"/>
      <c r="AC2271" t="s">
        <v>138</v>
      </c>
      <c r="AD2271" t="s">
        <v>129</v>
      </c>
      <c r="AE2271" s="97"/>
    </row>
    <row r="2272" spans="1:31" ht="14.4" customHeight="1" x14ac:dyDescent="0.3">
      <c r="A2272" t="s">
        <v>4817</v>
      </c>
      <c r="B2272"/>
      <c r="C2272" t="s">
        <v>4508</v>
      </c>
      <c r="D2272"/>
      <c r="E2272" t="s">
        <v>4508</v>
      </c>
      <c r="F2272" t="s">
        <v>6769</v>
      </c>
      <c r="G2272" t="s">
        <v>4701</v>
      </c>
      <c r="H2272" t="s">
        <v>132</v>
      </c>
      <c r="I2272" t="s">
        <v>4</v>
      </c>
      <c r="J2272" t="s">
        <v>4276</v>
      </c>
      <c r="K2272" t="s">
        <v>54</v>
      </c>
      <c r="L2272"/>
      <c r="M2272" t="s">
        <v>134</v>
      </c>
      <c r="N2272" t="s">
        <v>135</v>
      </c>
      <c r="O2272"/>
      <c r="P2272"/>
      <c r="Q2272" t="s">
        <v>3731</v>
      </c>
      <c r="R2272"/>
      <c r="S2272"/>
      <c r="T2272"/>
      <c r="U2272" t="s">
        <v>137</v>
      </c>
      <c r="V2272" t="s">
        <v>733</v>
      </c>
      <c r="W2272"/>
      <c r="X2272" t="s">
        <v>109</v>
      </c>
      <c r="Y2272"/>
      <c r="Z2272"/>
      <c r="AA2272" t="s">
        <v>4702</v>
      </c>
      <c r="AB2272"/>
      <c r="AC2272" t="s">
        <v>138</v>
      </c>
      <c r="AD2272" t="s">
        <v>129</v>
      </c>
      <c r="AE2272" s="97"/>
    </row>
    <row r="2273" spans="1:31" ht="14.4" customHeight="1" x14ac:dyDescent="0.3">
      <c r="A2273" t="s">
        <v>4818</v>
      </c>
      <c r="B2273"/>
      <c r="C2273" t="s">
        <v>4510</v>
      </c>
      <c r="D2273"/>
      <c r="E2273" t="s">
        <v>4510</v>
      </c>
      <c r="F2273" t="s">
        <v>6769</v>
      </c>
      <c r="G2273" t="s">
        <v>4701</v>
      </c>
      <c r="H2273" t="s">
        <v>132</v>
      </c>
      <c r="I2273" t="s">
        <v>4</v>
      </c>
      <c r="J2273" t="s">
        <v>4276</v>
      </c>
      <c r="K2273" t="s">
        <v>54</v>
      </c>
      <c r="L2273"/>
      <c r="M2273" t="s">
        <v>134</v>
      </c>
      <c r="N2273" t="s">
        <v>135</v>
      </c>
      <c r="O2273"/>
      <c r="P2273"/>
      <c r="Q2273" t="s">
        <v>3731</v>
      </c>
      <c r="R2273"/>
      <c r="S2273"/>
      <c r="T2273"/>
      <c r="U2273" t="s">
        <v>137</v>
      </c>
      <c r="V2273" t="s">
        <v>733</v>
      </c>
      <c r="W2273"/>
      <c r="X2273" t="s">
        <v>109</v>
      </c>
      <c r="Y2273"/>
      <c r="Z2273"/>
      <c r="AA2273" t="s">
        <v>4702</v>
      </c>
      <c r="AB2273"/>
      <c r="AC2273" t="s">
        <v>138</v>
      </c>
      <c r="AD2273" t="s">
        <v>129</v>
      </c>
      <c r="AE2273" s="97"/>
    </row>
    <row r="2274" spans="1:31" ht="14.4" customHeight="1" x14ac:dyDescent="0.3">
      <c r="A2274" t="s">
        <v>4819</v>
      </c>
      <c r="B2274"/>
      <c r="C2274" t="s">
        <v>4512</v>
      </c>
      <c r="D2274"/>
      <c r="E2274" t="s">
        <v>4512</v>
      </c>
      <c r="F2274" t="s">
        <v>6769</v>
      </c>
      <c r="G2274" t="s">
        <v>4701</v>
      </c>
      <c r="H2274" t="s">
        <v>132</v>
      </c>
      <c r="I2274" t="s">
        <v>4</v>
      </c>
      <c r="J2274" t="s">
        <v>4276</v>
      </c>
      <c r="K2274" t="s">
        <v>54</v>
      </c>
      <c r="L2274"/>
      <c r="M2274" t="s">
        <v>134</v>
      </c>
      <c r="N2274" t="s">
        <v>135</v>
      </c>
      <c r="O2274"/>
      <c r="P2274"/>
      <c r="Q2274" t="s">
        <v>3731</v>
      </c>
      <c r="R2274"/>
      <c r="S2274"/>
      <c r="T2274"/>
      <c r="U2274" t="s">
        <v>137</v>
      </c>
      <c r="V2274" t="s">
        <v>733</v>
      </c>
      <c r="W2274"/>
      <c r="X2274" t="s">
        <v>109</v>
      </c>
      <c r="Y2274"/>
      <c r="Z2274"/>
      <c r="AA2274" t="s">
        <v>4702</v>
      </c>
      <c r="AB2274"/>
      <c r="AC2274" t="s">
        <v>138</v>
      </c>
      <c r="AD2274" t="s">
        <v>129</v>
      </c>
      <c r="AE2274" s="97"/>
    </row>
    <row r="2275" spans="1:31" ht="14.4" customHeight="1" x14ac:dyDescent="0.3">
      <c r="A2275" t="s">
        <v>4820</v>
      </c>
      <c r="B2275"/>
      <c r="C2275" t="s">
        <v>4514</v>
      </c>
      <c r="D2275"/>
      <c r="E2275" t="s">
        <v>4514</v>
      </c>
      <c r="F2275" t="s">
        <v>6769</v>
      </c>
      <c r="G2275" t="s">
        <v>4701</v>
      </c>
      <c r="H2275" t="s">
        <v>132</v>
      </c>
      <c r="I2275" t="s">
        <v>4</v>
      </c>
      <c r="J2275" t="s">
        <v>4276</v>
      </c>
      <c r="K2275" t="s">
        <v>54</v>
      </c>
      <c r="L2275"/>
      <c r="M2275" t="s">
        <v>134</v>
      </c>
      <c r="N2275" t="s">
        <v>135</v>
      </c>
      <c r="O2275"/>
      <c r="P2275"/>
      <c r="Q2275" t="s">
        <v>3731</v>
      </c>
      <c r="R2275"/>
      <c r="S2275"/>
      <c r="T2275"/>
      <c r="U2275" t="s">
        <v>137</v>
      </c>
      <c r="V2275" t="s">
        <v>739</v>
      </c>
      <c r="W2275"/>
      <c r="X2275" t="s">
        <v>118</v>
      </c>
      <c r="Y2275"/>
      <c r="Z2275"/>
      <c r="AA2275" t="s">
        <v>4702</v>
      </c>
      <c r="AB2275"/>
      <c r="AC2275" t="s">
        <v>138</v>
      </c>
      <c r="AD2275" t="s">
        <v>130</v>
      </c>
      <c r="AE2275" s="97"/>
    </row>
    <row r="2276" spans="1:31" ht="14.4" customHeight="1" x14ac:dyDescent="0.3">
      <c r="A2276" t="s">
        <v>4821</v>
      </c>
      <c r="B2276"/>
      <c r="C2276" t="s">
        <v>4516</v>
      </c>
      <c r="D2276"/>
      <c r="E2276" t="s">
        <v>4516</v>
      </c>
      <c r="F2276" t="s">
        <v>6769</v>
      </c>
      <c r="G2276" t="s">
        <v>4701</v>
      </c>
      <c r="H2276" t="s">
        <v>132</v>
      </c>
      <c r="I2276" t="s">
        <v>4</v>
      </c>
      <c r="J2276" t="s">
        <v>4276</v>
      </c>
      <c r="K2276" t="s">
        <v>54</v>
      </c>
      <c r="L2276"/>
      <c r="M2276" t="s">
        <v>134</v>
      </c>
      <c r="N2276" t="s">
        <v>135</v>
      </c>
      <c r="O2276"/>
      <c r="P2276"/>
      <c r="Q2276" t="s">
        <v>3731</v>
      </c>
      <c r="R2276"/>
      <c r="S2276"/>
      <c r="T2276"/>
      <c r="U2276" t="s">
        <v>137</v>
      </c>
      <c r="V2276" t="s">
        <v>739</v>
      </c>
      <c r="W2276"/>
      <c r="X2276" t="s">
        <v>118</v>
      </c>
      <c r="Y2276"/>
      <c r="Z2276"/>
      <c r="AA2276" t="s">
        <v>4702</v>
      </c>
      <c r="AB2276"/>
      <c r="AC2276" t="s">
        <v>138</v>
      </c>
      <c r="AD2276" t="s">
        <v>130</v>
      </c>
      <c r="AE2276" s="97"/>
    </row>
    <row r="2277" spans="1:31" ht="14.4" customHeight="1" x14ac:dyDescent="0.3">
      <c r="A2277" t="s">
        <v>4822</v>
      </c>
      <c r="B2277"/>
      <c r="C2277" t="s">
        <v>4518</v>
      </c>
      <c r="D2277"/>
      <c r="E2277" t="s">
        <v>4518</v>
      </c>
      <c r="F2277" t="s">
        <v>6769</v>
      </c>
      <c r="G2277" t="s">
        <v>4701</v>
      </c>
      <c r="H2277" t="s">
        <v>132</v>
      </c>
      <c r="I2277" t="s">
        <v>4</v>
      </c>
      <c r="J2277" t="s">
        <v>4276</v>
      </c>
      <c r="K2277" t="s">
        <v>54</v>
      </c>
      <c r="L2277"/>
      <c r="M2277" t="s">
        <v>134</v>
      </c>
      <c r="N2277" t="s">
        <v>135</v>
      </c>
      <c r="O2277"/>
      <c r="P2277"/>
      <c r="Q2277" t="s">
        <v>3731</v>
      </c>
      <c r="R2277"/>
      <c r="S2277"/>
      <c r="T2277"/>
      <c r="U2277" t="s">
        <v>137</v>
      </c>
      <c r="V2277" t="s">
        <v>739</v>
      </c>
      <c r="W2277"/>
      <c r="X2277" t="s">
        <v>118</v>
      </c>
      <c r="Y2277"/>
      <c r="Z2277"/>
      <c r="AA2277" t="s">
        <v>4702</v>
      </c>
      <c r="AB2277"/>
      <c r="AC2277" t="s">
        <v>138</v>
      </c>
      <c r="AD2277" t="s">
        <v>130</v>
      </c>
      <c r="AE2277" s="97"/>
    </row>
    <row r="2278" spans="1:31" ht="14.4" customHeight="1" x14ac:dyDescent="0.3">
      <c r="A2278" t="s">
        <v>4823</v>
      </c>
      <c r="B2278"/>
      <c r="C2278" t="s">
        <v>4520</v>
      </c>
      <c r="D2278"/>
      <c r="E2278" t="s">
        <v>4520</v>
      </c>
      <c r="F2278" t="s">
        <v>6769</v>
      </c>
      <c r="G2278" t="s">
        <v>4701</v>
      </c>
      <c r="H2278" t="s">
        <v>132</v>
      </c>
      <c r="I2278" t="s">
        <v>4</v>
      </c>
      <c r="J2278" t="s">
        <v>4276</v>
      </c>
      <c r="K2278" t="s">
        <v>54</v>
      </c>
      <c r="L2278"/>
      <c r="M2278" t="s">
        <v>134</v>
      </c>
      <c r="N2278" t="s">
        <v>135</v>
      </c>
      <c r="O2278"/>
      <c r="P2278"/>
      <c r="Q2278" t="s">
        <v>3731</v>
      </c>
      <c r="R2278"/>
      <c r="S2278"/>
      <c r="T2278"/>
      <c r="U2278" t="s">
        <v>137</v>
      </c>
      <c r="V2278" t="s">
        <v>739</v>
      </c>
      <c r="W2278"/>
      <c r="X2278" t="s">
        <v>118</v>
      </c>
      <c r="Y2278"/>
      <c r="Z2278"/>
      <c r="AA2278" t="s">
        <v>4702</v>
      </c>
      <c r="AB2278"/>
      <c r="AC2278" t="s">
        <v>138</v>
      </c>
      <c r="AD2278" t="s">
        <v>130</v>
      </c>
      <c r="AE2278" s="97"/>
    </row>
    <row r="2279" spans="1:31" ht="14.4" customHeight="1" x14ac:dyDescent="0.3">
      <c r="A2279" t="s">
        <v>4824</v>
      </c>
      <c r="B2279"/>
      <c r="C2279" t="s">
        <v>4522</v>
      </c>
      <c r="D2279"/>
      <c r="E2279" t="s">
        <v>4522</v>
      </c>
      <c r="F2279" t="s">
        <v>6769</v>
      </c>
      <c r="G2279" t="s">
        <v>4701</v>
      </c>
      <c r="H2279" t="s">
        <v>132</v>
      </c>
      <c r="I2279" t="s">
        <v>4</v>
      </c>
      <c r="J2279" t="s">
        <v>4276</v>
      </c>
      <c r="K2279" t="s">
        <v>54</v>
      </c>
      <c r="L2279"/>
      <c r="M2279" t="s">
        <v>134</v>
      </c>
      <c r="N2279" t="s">
        <v>135</v>
      </c>
      <c r="O2279"/>
      <c r="P2279"/>
      <c r="Q2279" t="s">
        <v>3731</v>
      </c>
      <c r="R2279"/>
      <c r="S2279"/>
      <c r="T2279"/>
      <c r="U2279" t="s">
        <v>137</v>
      </c>
      <c r="V2279" t="s">
        <v>739</v>
      </c>
      <c r="W2279"/>
      <c r="X2279" t="s">
        <v>118</v>
      </c>
      <c r="Y2279"/>
      <c r="Z2279"/>
      <c r="AA2279" t="s">
        <v>4702</v>
      </c>
      <c r="AB2279"/>
      <c r="AC2279" t="s">
        <v>138</v>
      </c>
      <c r="AD2279" t="s">
        <v>130</v>
      </c>
      <c r="AE2279" s="97"/>
    </row>
    <row r="2280" spans="1:31" ht="14.4" customHeight="1" x14ac:dyDescent="0.3">
      <c r="A2280" t="s">
        <v>4825</v>
      </c>
      <c r="B2280"/>
      <c r="C2280" t="s">
        <v>4524</v>
      </c>
      <c r="D2280"/>
      <c r="E2280" t="s">
        <v>4524</v>
      </c>
      <c r="F2280" t="s">
        <v>6769</v>
      </c>
      <c r="G2280" t="s">
        <v>4701</v>
      </c>
      <c r="H2280" t="s">
        <v>132</v>
      </c>
      <c r="I2280" t="s">
        <v>4</v>
      </c>
      <c r="J2280" t="s">
        <v>4276</v>
      </c>
      <c r="K2280" t="s">
        <v>54</v>
      </c>
      <c r="L2280"/>
      <c r="M2280" t="s">
        <v>134</v>
      </c>
      <c r="N2280" t="s">
        <v>135</v>
      </c>
      <c r="O2280"/>
      <c r="P2280"/>
      <c r="Q2280" t="s">
        <v>3731</v>
      </c>
      <c r="R2280"/>
      <c r="S2280"/>
      <c r="T2280"/>
      <c r="U2280" t="s">
        <v>137</v>
      </c>
      <c r="V2280" t="s">
        <v>739</v>
      </c>
      <c r="W2280"/>
      <c r="X2280" t="s">
        <v>118</v>
      </c>
      <c r="Y2280"/>
      <c r="Z2280"/>
      <c r="AA2280" t="s">
        <v>4702</v>
      </c>
      <c r="AB2280"/>
      <c r="AC2280" t="s">
        <v>138</v>
      </c>
      <c r="AD2280" t="s">
        <v>130</v>
      </c>
      <c r="AE2280" s="97"/>
    </row>
    <row r="2281" spans="1:31" ht="14.4" customHeight="1" x14ac:dyDescent="0.3">
      <c r="A2281" t="s">
        <v>4826</v>
      </c>
      <c r="B2281"/>
      <c r="C2281" t="s">
        <v>4526</v>
      </c>
      <c r="D2281"/>
      <c r="E2281" t="s">
        <v>4526</v>
      </c>
      <c r="F2281" t="s">
        <v>6769</v>
      </c>
      <c r="G2281" t="s">
        <v>4701</v>
      </c>
      <c r="H2281" t="s">
        <v>132</v>
      </c>
      <c r="I2281" t="s">
        <v>4</v>
      </c>
      <c r="J2281" t="s">
        <v>4276</v>
      </c>
      <c r="K2281" t="s">
        <v>54</v>
      </c>
      <c r="L2281"/>
      <c r="M2281" t="s">
        <v>134</v>
      </c>
      <c r="N2281" t="s">
        <v>135</v>
      </c>
      <c r="O2281"/>
      <c r="P2281"/>
      <c r="Q2281" t="s">
        <v>3731</v>
      </c>
      <c r="R2281"/>
      <c r="S2281"/>
      <c r="T2281"/>
      <c r="U2281" t="s">
        <v>137</v>
      </c>
      <c r="V2281" t="s">
        <v>1967</v>
      </c>
      <c r="W2281"/>
      <c r="X2281" t="s">
        <v>125</v>
      </c>
      <c r="Y2281"/>
      <c r="Z2281"/>
      <c r="AA2281" t="s">
        <v>4702</v>
      </c>
      <c r="AB2281"/>
      <c r="AC2281" t="s">
        <v>138</v>
      </c>
      <c r="AD2281" t="s">
        <v>131</v>
      </c>
      <c r="AE2281" s="97"/>
    </row>
    <row r="2282" spans="1:31" ht="14.4" customHeight="1" x14ac:dyDescent="0.3">
      <c r="A2282" t="s">
        <v>4827</v>
      </c>
      <c r="B2282"/>
      <c r="C2282" t="s">
        <v>4528</v>
      </c>
      <c r="D2282"/>
      <c r="E2282" t="s">
        <v>4528</v>
      </c>
      <c r="F2282" t="s">
        <v>6769</v>
      </c>
      <c r="G2282" t="s">
        <v>4701</v>
      </c>
      <c r="H2282" t="s">
        <v>132</v>
      </c>
      <c r="I2282" t="s">
        <v>4</v>
      </c>
      <c r="J2282" t="s">
        <v>4276</v>
      </c>
      <c r="K2282" t="s">
        <v>54</v>
      </c>
      <c r="L2282"/>
      <c r="M2282" t="s">
        <v>134</v>
      </c>
      <c r="N2282" t="s">
        <v>135</v>
      </c>
      <c r="O2282"/>
      <c r="P2282"/>
      <c r="Q2282" t="s">
        <v>3731</v>
      </c>
      <c r="R2282"/>
      <c r="S2282"/>
      <c r="T2282"/>
      <c r="U2282" t="s">
        <v>137</v>
      </c>
      <c r="V2282" t="s">
        <v>1967</v>
      </c>
      <c r="W2282"/>
      <c r="X2282" t="s">
        <v>125</v>
      </c>
      <c r="Y2282"/>
      <c r="Z2282"/>
      <c r="AA2282" t="s">
        <v>4702</v>
      </c>
      <c r="AB2282"/>
      <c r="AC2282" t="s">
        <v>138</v>
      </c>
      <c r="AD2282" t="s">
        <v>131</v>
      </c>
      <c r="AE2282" s="97"/>
    </row>
    <row r="2283" spans="1:31" ht="14.4" customHeight="1" x14ac:dyDescent="0.3">
      <c r="A2283" t="s">
        <v>4828</v>
      </c>
      <c r="B2283"/>
      <c r="C2283" t="s">
        <v>4530</v>
      </c>
      <c r="D2283"/>
      <c r="E2283" t="s">
        <v>4530</v>
      </c>
      <c r="F2283" t="s">
        <v>6769</v>
      </c>
      <c r="G2283" t="s">
        <v>4701</v>
      </c>
      <c r="H2283" t="s">
        <v>132</v>
      </c>
      <c r="I2283" t="s">
        <v>4</v>
      </c>
      <c r="J2283" t="s">
        <v>4276</v>
      </c>
      <c r="K2283" t="s">
        <v>54</v>
      </c>
      <c r="L2283"/>
      <c r="M2283" t="s">
        <v>134</v>
      </c>
      <c r="N2283" t="s">
        <v>135</v>
      </c>
      <c r="O2283"/>
      <c r="P2283"/>
      <c r="Q2283" t="s">
        <v>3731</v>
      </c>
      <c r="R2283"/>
      <c r="S2283"/>
      <c r="T2283"/>
      <c r="U2283" t="s">
        <v>137</v>
      </c>
      <c r="V2283" t="s">
        <v>1967</v>
      </c>
      <c r="W2283"/>
      <c r="X2283" t="s">
        <v>125</v>
      </c>
      <c r="Y2283"/>
      <c r="Z2283"/>
      <c r="AA2283" t="s">
        <v>4702</v>
      </c>
      <c r="AB2283"/>
      <c r="AC2283" t="s">
        <v>138</v>
      </c>
      <c r="AD2283" t="s">
        <v>131</v>
      </c>
      <c r="AE2283" s="97"/>
    </row>
    <row r="2284" spans="1:31" ht="14.4" customHeight="1" x14ac:dyDescent="0.3">
      <c r="A2284" t="s">
        <v>4829</v>
      </c>
      <c r="B2284"/>
      <c r="C2284" t="s">
        <v>4532</v>
      </c>
      <c r="D2284"/>
      <c r="E2284" t="s">
        <v>4532</v>
      </c>
      <c r="F2284" t="s">
        <v>6769</v>
      </c>
      <c r="G2284" t="s">
        <v>4701</v>
      </c>
      <c r="H2284" t="s">
        <v>132</v>
      </c>
      <c r="I2284" t="s">
        <v>4</v>
      </c>
      <c r="J2284" t="s">
        <v>4276</v>
      </c>
      <c r="K2284" t="s">
        <v>54</v>
      </c>
      <c r="L2284"/>
      <c r="M2284" t="s">
        <v>134</v>
      </c>
      <c r="N2284" t="s">
        <v>135</v>
      </c>
      <c r="O2284"/>
      <c r="P2284"/>
      <c r="Q2284" t="s">
        <v>3731</v>
      </c>
      <c r="R2284"/>
      <c r="S2284"/>
      <c r="T2284"/>
      <c r="U2284" t="s">
        <v>137</v>
      </c>
      <c r="V2284" t="s">
        <v>1259</v>
      </c>
      <c r="W2284"/>
      <c r="X2284" t="s">
        <v>126</v>
      </c>
      <c r="Y2284"/>
      <c r="Z2284"/>
      <c r="AA2284" t="s">
        <v>4702</v>
      </c>
      <c r="AB2284"/>
      <c r="AC2284" t="s">
        <v>138</v>
      </c>
      <c r="AD2284" t="s">
        <v>131</v>
      </c>
      <c r="AE2284" s="97"/>
    </row>
    <row r="2285" spans="1:31" ht="14.4" customHeight="1" x14ac:dyDescent="0.3">
      <c r="A2285" t="s">
        <v>4830</v>
      </c>
      <c r="B2285"/>
      <c r="C2285" t="s">
        <v>4534</v>
      </c>
      <c r="D2285"/>
      <c r="E2285" t="s">
        <v>4534</v>
      </c>
      <c r="F2285" t="s">
        <v>6769</v>
      </c>
      <c r="G2285" t="s">
        <v>4701</v>
      </c>
      <c r="H2285" t="s">
        <v>132</v>
      </c>
      <c r="I2285" t="s">
        <v>4</v>
      </c>
      <c r="J2285" t="s">
        <v>4276</v>
      </c>
      <c r="K2285" t="s">
        <v>54</v>
      </c>
      <c r="L2285"/>
      <c r="M2285" t="s">
        <v>134</v>
      </c>
      <c r="N2285" t="s">
        <v>135</v>
      </c>
      <c r="O2285"/>
      <c r="P2285"/>
      <c r="Q2285" t="s">
        <v>3731</v>
      </c>
      <c r="R2285"/>
      <c r="S2285"/>
      <c r="T2285"/>
      <c r="U2285" t="s">
        <v>137</v>
      </c>
      <c r="V2285" t="s">
        <v>1259</v>
      </c>
      <c r="W2285"/>
      <c r="X2285" t="s">
        <v>126</v>
      </c>
      <c r="Y2285"/>
      <c r="Z2285"/>
      <c r="AA2285" t="s">
        <v>4702</v>
      </c>
      <c r="AB2285"/>
      <c r="AC2285" t="s">
        <v>138</v>
      </c>
      <c r="AD2285" t="s">
        <v>131</v>
      </c>
      <c r="AE2285" s="97"/>
    </row>
    <row r="2286" spans="1:31" ht="14.4" customHeight="1" x14ac:dyDescent="0.3">
      <c r="A2286" t="s">
        <v>4831</v>
      </c>
      <c r="B2286"/>
      <c r="C2286" t="s">
        <v>4536</v>
      </c>
      <c r="D2286"/>
      <c r="E2286" t="s">
        <v>4536</v>
      </c>
      <c r="F2286" t="s">
        <v>6769</v>
      </c>
      <c r="G2286" t="s">
        <v>4701</v>
      </c>
      <c r="H2286" t="s">
        <v>132</v>
      </c>
      <c r="I2286" t="s">
        <v>4</v>
      </c>
      <c r="J2286" t="s">
        <v>4276</v>
      </c>
      <c r="K2286" t="s">
        <v>54</v>
      </c>
      <c r="L2286"/>
      <c r="M2286" t="s">
        <v>134</v>
      </c>
      <c r="N2286" t="s">
        <v>135</v>
      </c>
      <c r="O2286"/>
      <c r="P2286"/>
      <c r="Q2286" t="s">
        <v>3731</v>
      </c>
      <c r="R2286"/>
      <c r="S2286"/>
      <c r="T2286"/>
      <c r="U2286" t="s">
        <v>137</v>
      </c>
      <c r="V2286" t="s">
        <v>1263</v>
      </c>
      <c r="W2286"/>
      <c r="X2286" t="s">
        <v>69</v>
      </c>
      <c r="Y2286"/>
      <c r="Z2286"/>
      <c r="AA2286" t="s">
        <v>4702</v>
      </c>
      <c r="AB2286"/>
      <c r="AC2286" t="s">
        <v>138</v>
      </c>
      <c r="AD2286" t="s">
        <v>128</v>
      </c>
      <c r="AE2286" s="97"/>
    </row>
    <row r="2287" spans="1:31" ht="14.4" customHeight="1" x14ac:dyDescent="0.3">
      <c r="A2287" t="s">
        <v>4832</v>
      </c>
      <c r="B2287"/>
      <c r="C2287" t="s">
        <v>4538</v>
      </c>
      <c r="D2287"/>
      <c r="E2287" t="s">
        <v>4538</v>
      </c>
      <c r="F2287" t="s">
        <v>6769</v>
      </c>
      <c r="G2287" t="s">
        <v>4701</v>
      </c>
      <c r="H2287" t="s">
        <v>132</v>
      </c>
      <c r="I2287" t="s">
        <v>4</v>
      </c>
      <c r="J2287" t="s">
        <v>4276</v>
      </c>
      <c r="K2287" t="s">
        <v>54</v>
      </c>
      <c r="L2287"/>
      <c r="M2287" t="s">
        <v>134</v>
      </c>
      <c r="N2287" t="s">
        <v>135</v>
      </c>
      <c r="O2287"/>
      <c r="P2287"/>
      <c r="Q2287" t="s">
        <v>3731</v>
      </c>
      <c r="R2287"/>
      <c r="S2287"/>
      <c r="T2287"/>
      <c r="U2287" t="s">
        <v>137</v>
      </c>
      <c r="V2287" t="s">
        <v>1263</v>
      </c>
      <c r="W2287"/>
      <c r="X2287" t="s">
        <v>69</v>
      </c>
      <c r="Y2287"/>
      <c r="Z2287"/>
      <c r="AA2287" t="s">
        <v>4702</v>
      </c>
      <c r="AB2287"/>
      <c r="AC2287" t="s">
        <v>138</v>
      </c>
      <c r="AD2287" t="s">
        <v>128</v>
      </c>
      <c r="AE2287" s="97"/>
    </row>
    <row r="2288" spans="1:31" ht="14.4" customHeight="1" x14ac:dyDescent="0.3">
      <c r="A2288" t="s">
        <v>4833</v>
      </c>
      <c r="B2288"/>
      <c r="C2288" t="s">
        <v>4540</v>
      </c>
      <c r="D2288"/>
      <c r="E2288" t="s">
        <v>4540</v>
      </c>
      <c r="F2288" t="s">
        <v>6769</v>
      </c>
      <c r="G2288" t="s">
        <v>4701</v>
      </c>
      <c r="H2288" t="s">
        <v>132</v>
      </c>
      <c r="I2288" t="s">
        <v>4</v>
      </c>
      <c r="J2288" t="s">
        <v>4276</v>
      </c>
      <c r="K2288" t="s">
        <v>54</v>
      </c>
      <c r="L2288"/>
      <c r="M2288" t="s">
        <v>134</v>
      </c>
      <c r="N2288" t="s">
        <v>135</v>
      </c>
      <c r="O2288"/>
      <c r="P2288"/>
      <c r="Q2288" t="s">
        <v>3731</v>
      </c>
      <c r="R2288"/>
      <c r="S2288"/>
      <c r="T2288"/>
      <c r="U2288" t="s">
        <v>137</v>
      </c>
      <c r="V2288" t="s">
        <v>1263</v>
      </c>
      <c r="W2288"/>
      <c r="X2288" t="s">
        <v>69</v>
      </c>
      <c r="Y2288"/>
      <c r="Z2288"/>
      <c r="AA2288" t="s">
        <v>4702</v>
      </c>
      <c r="AB2288"/>
      <c r="AC2288" t="s">
        <v>138</v>
      </c>
      <c r="AD2288" t="s">
        <v>128</v>
      </c>
      <c r="AE2288" s="97"/>
    </row>
    <row r="2289" spans="1:31" ht="14.4" customHeight="1" x14ac:dyDescent="0.3">
      <c r="A2289" t="s">
        <v>4834</v>
      </c>
      <c r="B2289"/>
      <c r="C2289" t="s">
        <v>4542</v>
      </c>
      <c r="D2289"/>
      <c r="E2289" t="s">
        <v>4542</v>
      </c>
      <c r="F2289" t="s">
        <v>6769</v>
      </c>
      <c r="G2289" t="s">
        <v>4701</v>
      </c>
      <c r="H2289" t="s">
        <v>132</v>
      </c>
      <c r="I2289" t="s">
        <v>4</v>
      </c>
      <c r="J2289" t="s">
        <v>4276</v>
      </c>
      <c r="K2289" t="s">
        <v>54</v>
      </c>
      <c r="L2289"/>
      <c r="M2289" t="s">
        <v>134</v>
      </c>
      <c r="N2289" t="s">
        <v>135</v>
      </c>
      <c r="O2289"/>
      <c r="P2289"/>
      <c r="Q2289" t="s">
        <v>3731</v>
      </c>
      <c r="R2289"/>
      <c r="S2289"/>
      <c r="T2289"/>
      <c r="U2289" t="s">
        <v>137</v>
      </c>
      <c r="V2289" t="s">
        <v>1263</v>
      </c>
      <c r="W2289"/>
      <c r="X2289" t="s">
        <v>69</v>
      </c>
      <c r="Y2289"/>
      <c r="Z2289"/>
      <c r="AA2289" t="s">
        <v>4702</v>
      </c>
      <c r="AB2289"/>
      <c r="AC2289" t="s">
        <v>138</v>
      </c>
      <c r="AD2289" t="s">
        <v>128</v>
      </c>
      <c r="AE2289" s="97"/>
    </row>
    <row r="2290" spans="1:31" ht="14.4" customHeight="1" x14ac:dyDescent="0.3">
      <c r="A2290" t="s">
        <v>4835</v>
      </c>
      <c r="B2290"/>
      <c r="C2290" t="s">
        <v>4544</v>
      </c>
      <c r="D2290"/>
      <c r="E2290" t="s">
        <v>4544</v>
      </c>
      <c r="F2290" t="s">
        <v>6769</v>
      </c>
      <c r="G2290" t="s">
        <v>4701</v>
      </c>
      <c r="H2290" t="s">
        <v>132</v>
      </c>
      <c r="I2290" t="s">
        <v>4</v>
      </c>
      <c r="J2290" t="s">
        <v>4276</v>
      </c>
      <c r="K2290" t="s">
        <v>54</v>
      </c>
      <c r="L2290"/>
      <c r="M2290" t="s">
        <v>134</v>
      </c>
      <c r="N2290" t="s">
        <v>135</v>
      </c>
      <c r="O2290"/>
      <c r="P2290"/>
      <c r="Q2290" t="s">
        <v>3731</v>
      </c>
      <c r="R2290"/>
      <c r="S2290"/>
      <c r="T2290"/>
      <c r="U2290" t="s">
        <v>137</v>
      </c>
      <c r="V2290" t="s">
        <v>1263</v>
      </c>
      <c r="W2290"/>
      <c r="X2290" t="s">
        <v>69</v>
      </c>
      <c r="Y2290"/>
      <c r="Z2290"/>
      <c r="AA2290" t="s">
        <v>4702</v>
      </c>
      <c r="AB2290"/>
      <c r="AC2290" t="s">
        <v>138</v>
      </c>
      <c r="AD2290" t="s">
        <v>128</v>
      </c>
      <c r="AE2290" s="97"/>
    </row>
    <row r="2291" spans="1:31" ht="14.4" customHeight="1" x14ac:dyDescent="0.3">
      <c r="A2291" t="s">
        <v>4836</v>
      </c>
      <c r="B2291"/>
      <c r="C2291" t="s">
        <v>4546</v>
      </c>
      <c r="D2291"/>
      <c r="E2291" t="s">
        <v>4546</v>
      </c>
      <c r="F2291" t="s">
        <v>6769</v>
      </c>
      <c r="G2291" t="s">
        <v>4701</v>
      </c>
      <c r="H2291" t="s">
        <v>132</v>
      </c>
      <c r="I2291" t="s">
        <v>4</v>
      </c>
      <c r="J2291" t="s">
        <v>4276</v>
      </c>
      <c r="K2291" t="s">
        <v>54</v>
      </c>
      <c r="L2291"/>
      <c r="M2291" t="s">
        <v>134</v>
      </c>
      <c r="N2291" t="s">
        <v>135</v>
      </c>
      <c r="O2291"/>
      <c r="P2291"/>
      <c r="Q2291" t="s">
        <v>3731</v>
      </c>
      <c r="R2291"/>
      <c r="S2291"/>
      <c r="T2291"/>
      <c r="U2291" t="s">
        <v>137</v>
      </c>
      <c r="V2291" t="s">
        <v>1190</v>
      </c>
      <c r="W2291"/>
      <c r="X2291" t="s">
        <v>67</v>
      </c>
      <c r="Y2291"/>
      <c r="Z2291"/>
      <c r="AA2291" t="s">
        <v>4702</v>
      </c>
      <c r="AB2291"/>
      <c r="AC2291" t="s">
        <v>138</v>
      </c>
      <c r="AD2291" t="s">
        <v>128</v>
      </c>
      <c r="AE2291" s="97"/>
    </row>
    <row r="2292" spans="1:31" ht="14.4" customHeight="1" x14ac:dyDescent="0.3">
      <c r="A2292" t="s">
        <v>4837</v>
      </c>
      <c r="B2292"/>
      <c r="C2292" t="s">
        <v>4548</v>
      </c>
      <c r="D2292"/>
      <c r="E2292" t="s">
        <v>4548</v>
      </c>
      <c r="F2292" t="s">
        <v>6769</v>
      </c>
      <c r="G2292" t="s">
        <v>4701</v>
      </c>
      <c r="H2292" t="s">
        <v>132</v>
      </c>
      <c r="I2292" t="s">
        <v>4</v>
      </c>
      <c r="J2292" t="s">
        <v>4276</v>
      </c>
      <c r="K2292" t="s">
        <v>54</v>
      </c>
      <c r="L2292"/>
      <c r="M2292" t="s">
        <v>134</v>
      </c>
      <c r="N2292" t="s">
        <v>135</v>
      </c>
      <c r="O2292"/>
      <c r="P2292"/>
      <c r="Q2292" t="s">
        <v>3731</v>
      </c>
      <c r="R2292"/>
      <c r="S2292"/>
      <c r="T2292"/>
      <c r="U2292" t="s">
        <v>137</v>
      </c>
      <c r="V2292" t="s">
        <v>1194</v>
      </c>
      <c r="W2292"/>
      <c r="X2292" t="s">
        <v>75</v>
      </c>
      <c r="Y2292"/>
      <c r="Z2292"/>
      <c r="AA2292" t="s">
        <v>4702</v>
      </c>
      <c r="AB2292"/>
      <c r="AC2292" t="s">
        <v>138</v>
      </c>
      <c r="AD2292" t="s">
        <v>128</v>
      </c>
      <c r="AE2292" s="97"/>
    </row>
    <row r="2293" spans="1:31" ht="14.4" customHeight="1" x14ac:dyDescent="0.3">
      <c r="A2293" t="s">
        <v>4838</v>
      </c>
      <c r="B2293"/>
      <c r="C2293" t="s">
        <v>4550</v>
      </c>
      <c r="D2293"/>
      <c r="E2293" t="s">
        <v>4550</v>
      </c>
      <c r="F2293" t="s">
        <v>6769</v>
      </c>
      <c r="G2293" t="s">
        <v>4701</v>
      </c>
      <c r="H2293" t="s">
        <v>132</v>
      </c>
      <c r="I2293" t="s">
        <v>4</v>
      </c>
      <c r="J2293" t="s">
        <v>4276</v>
      </c>
      <c r="K2293" t="s">
        <v>54</v>
      </c>
      <c r="L2293"/>
      <c r="M2293" t="s">
        <v>134</v>
      </c>
      <c r="N2293" t="s">
        <v>135</v>
      </c>
      <c r="O2293"/>
      <c r="P2293"/>
      <c r="Q2293" t="s">
        <v>3731</v>
      </c>
      <c r="R2293"/>
      <c r="S2293"/>
      <c r="T2293"/>
      <c r="U2293" t="s">
        <v>137</v>
      </c>
      <c r="V2293" t="s">
        <v>1198</v>
      </c>
      <c r="W2293"/>
      <c r="X2293" t="s">
        <v>86</v>
      </c>
      <c r="Y2293"/>
      <c r="Z2293"/>
      <c r="AA2293" t="s">
        <v>4702</v>
      </c>
      <c r="AB2293"/>
      <c r="AC2293" t="s">
        <v>138</v>
      </c>
      <c r="AD2293" t="s">
        <v>129</v>
      </c>
      <c r="AE2293" s="97"/>
    </row>
    <row r="2294" spans="1:31" ht="14.4" customHeight="1" x14ac:dyDescent="0.3">
      <c r="A2294" t="s">
        <v>4839</v>
      </c>
      <c r="B2294"/>
      <c r="C2294" t="s">
        <v>4552</v>
      </c>
      <c r="D2294"/>
      <c r="E2294" t="s">
        <v>4552</v>
      </c>
      <c r="F2294" t="s">
        <v>6769</v>
      </c>
      <c r="G2294" t="s">
        <v>4701</v>
      </c>
      <c r="H2294" t="s">
        <v>132</v>
      </c>
      <c r="I2294" t="s">
        <v>4</v>
      </c>
      <c r="J2294" t="s">
        <v>4276</v>
      </c>
      <c r="K2294" t="s">
        <v>54</v>
      </c>
      <c r="L2294"/>
      <c r="M2294" t="s">
        <v>134</v>
      </c>
      <c r="N2294" t="s">
        <v>135</v>
      </c>
      <c r="O2294"/>
      <c r="P2294"/>
      <c r="Q2294" t="s">
        <v>3731</v>
      </c>
      <c r="R2294"/>
      <c r="S2294"/>
      <c r="T2294"/>
      <c r="U2294" t="s">
        <v>137</v>
      </c>
      <c r="V2294" t="s">
        <v>1202</v>
      </c>
      <c r="W2294"/>
      <c r="X2294" t="s">
        <v>95</v>
      </c>
      <c r="Y2294"/>
      <c r="Z2294"/>
      <c r="AA2294" t="s">
        <v>4702</v>
      </c>
      <c r="AB2294"/>
      <c r="AC2294" t="s">
        <v>138</v>
      </c>
      <c r="AD2294" t="s">
        <v>129</v>
      </c>
      <c r="AE2294" s="97"/>
    </row>
    <row r="2295" spans="1:31" ht="14.4" customHeight="1" x14ac:dyDescent="0.3">
      <c r="A2295" t="s">
        <v>4840</v>
      </c>
      <c r="B2295"/>
      <c r="C2295" t="s">
        <v>4554</v>
      </c>
      <c r="D2295"/>
      <c r="E2295" t="s">
        <v>4554</v>
      </c>
      <c r="F2295" t="s">
        <v>6769</v>
      </c>
      <c r="G2295" t="s">
        <v>4701</v>
      </c>
      <c r="H2295" t="s">
        <v>132</v>
      </c>
      <c r="I2295" t="s">
        <v>4</v>
      </c>
      <c r="J2295" t="s">
        <v>4276</v>
      </c>
      <c r="K2295" t="s">
        <v>54</v>
      </c>
      <c r="L2295"/>
      <c r="M2295" t="s">
        <v>134</v>
      </c>
      <c r="N2295" t="s">
        <v>135</v>
      </c>
      <c r="O2295"/>
      <c r="P2295"/>
      <c r="Q2295" t="s">
        <v>3731</v>
      </c>
      <c r="R2295"/>
      <c r="S2295"/>
      <c r="T2295"/>
      <c r="U2295" t="s">
        <v>137</v>
      </c>
      <c r="V2295" t="s">
        <v>1206</v>
      </c>
      <c r="W2295"/>
      <c r="X2295" t="s">
        <v>104</v>
      </c>
      <c r="Y2295"/>
      <c r="Z2295"/>
      <c r="AA2295" t="s">
        <v>4702</v>
      </c>
      <c r="AB2295"/>
      <c r="AC2295" t="s">
        <v>138</v>
      </c>
      <c r="AD2295" t="s">
        <v>129</v>
      </c>
      <c r="AE2295" s="97"/>
    </row>
    <row r="2296" spans="1:31" ht="14.4" customHeight="1" x14ac:dyDescent="0.3">
      <c r="A2296" t="s">
        <v>4841</v>
      </c>
      <c r="B2296"/>
      <c r="C2296" t="s">
        <v>4556</v>
      </c>
      <c r="D2296"/>
      <c r="E2296" t="s">
        <v>4556</v>
      </c>
      <c r="F2296" t="s">
        <v>6769</v>
      </c>
      <c r="G2296" t="s">
        <v>4701</v>
      </c>
      <c r="H2296" t="s">
        <v>132</v>
      </c>
      <c r="I2296" t="s">
        <v>4</v>
      </c>
      <c r="J2296" t="s">
        <v>4276</v>
      </c>
      <c r="K2296" t="s">
        <v>54</v>
      </c>
      <c r="L2296"/>
      <c r="M2296" t="s">
        <v>134</v>
      </c>
      <c r="N2296" t="s">
        <v>135</v>
      </c>
      <c r="O2296"/>
      <c r="P2296"/>
      <c r="Q2296" t="s">
        <v>3731</v>
      </c>
      <c r="R2296"/>
      <c r="S2296"/>
      <c r="T2296"/>
      <c r="U2296" t="s">
        <v>137</v>
      </c>
      <c r="V2296" t="s">
        <v>1210</v>
      </c>
      <c r="W2296"/>
      <c r="X2296" t="s">
        <v>111</v>
      </c>
      <c r="Y2296"/>
      <c r="Z2296"/>
      <c r="AA2296" t="s">
        <v>4702</v>
      </c>
      <c r="AB2296"/>
      <c r="AC2296" t="s">
        <v>138</v>
      </c>
      <c r="AD2296" t="s">
        <v>129</v>
      </c>
      <c r="AE2296" s="97"/>
    </row>
    <row r="2297" spans="1:31" ht="14.4" customHeight="1" x14ac:dyDescent="0.3">
      <c r="A2297" t="s">
        <v>4842</v>
      </c>
      <c r="B2297"/>
      <c r="C2297" t="s">
        <v>4558</v>
      </c>
      <c r="D2297"/>
      <c r="E2297" t="s">
        <v>4558</v>
      </c>
      <c r="F2297" t="s">
        <v>6769</v>
      </c>
      <c r="G2297" t="s">
        <v>4701</v>
      </c>
      <c r="H2297" t="s">
        <v>132</v>
      </c>
      <c r="I2297" t="s">
        <v>4</v>
      </c>
      <c r="J2297" t="s">
        <v>4276</v>
      </c>
      <c r="K2297" t="s">
        <v>54</v>
      </c>
      <c r="L2297"/>
      <c r="M2297" t="s">
        <v>134</v>
      </c>
      <c r="N2297" t="s">
        <v>135</v>
      </c>
      <c r="O2297"/>
      <c r="P2297"/>
      <c r="Q2297" t="s">
        <v>3731</v>
      </c>
      <c r="R2297"/>
      <c r="S2297"/>
      <c r="T2297"/>
      <c r="U2297" t="s">
        <v>137</v>
      </c>
      <c r="V2297" t="s">
        <v>1214</v>
      </c>
      <c r="W2297"/>
      <c r="X2297" t="s">
        <v>120</v>
      </c>
      <c r="Y2297"/>
      <c r="Z2297"/>
      <c r="AA2297" t="s">
        <v>4702</v>
      </c>
      <c r="AB2297"/>
      <c r="AC2297" t="s">
        <v>138</v>
      </c>
      <c r="AD2297" t="s">
        <v>130</v>
      </c>
      <c r="AE2297" s="97"/>
    </row>
    <row r="2298" spans="1:31" ht="14.4" customHeight="1" x14ac:dyDescent="0.3">
      <c r="A2298" t="s">
        <v>4845</v>
      </c>
      <c r="B2298" t="s">
        <v>3901</v>
      </c>
      <c r="C2298"/>
      <c r="D2298"/>
      <c r="E2298"/>
      <c r="F2298"/>
      <c r="G2298" t="s">
        <v>4843</v>
      </c>
      <c r="H2298" t="s">
        <v>132</v>
      </c>
      <c r="I2298" t="s">
        <v>4</v>
      </c>
      <c r="J2298" t="s">
        <v>4276</v>
      </c>
      <c r="K2298" t="s">
        <v>54</v>
      </c>
      <c r="L2298" t="s">
        <v>3898</v>
      </c>
      <c r="M2298" t="s">
        <v>134</v>
      </c>
      <c r="N2298" t="s">
        <v>135</v>
      </c>
      <c r="O2298"/>
      <c r="P2298"/>
      <c r="Q2298" t="s">
        <v>291</v>
      </c>
      <c r="R2298"/>
      <c r="S2298"/>
      <c r="T2298"/>
      <c r="U2298" t="s">
        <v>137</v>
      </c>
      <c r="V2298" t="s">
        <v>147</v>
      </c>
      <c r="W2298"/>
      <c r="X2298" t="s">
        <v>70</v>
      </c>
      <c r="Y2298"/>
      <c r="Z2298"/>
      <c r="AA2298" t="s">
        <v>4844</v>
      </c>
      <c r="AB2298" t="s">
        <v>4</v>
      </c>
      <c r="AC2298" t="s">
        <v>138</v>
      </c>
      <c r="AD2298" t="s">
        <v>128</v>
      </c>
      <c r="AE2298" s="97"/>
    </row>
    <row r="2299" spans="1:31" ht="14.4" customHeight="1" x14ac:dyDescent="0.3">
      <c r="A2299" t="s">
        <v>4846</v>
      </c>
      <c r="B2299" t="s">
        <v>3903</v>
      </c>
      <c r="C2299"/>
      <c r="D2299"/>
      <c r="E2299"/>
      <c r="F2299"/>
      <c r="G2299" t="s">
        <v>4843</v>
      </c>
      <c r="H2299" t="s">
        <v>132</v>
      </c>
      <c r="I2299" t="s">
        <v>4</v>
      </c>
      <c r="J2299" t="s">
        <v>4276</v>
      </c>
      <c r="K2299" t="s">
        <v>54</v>
      </c>
      <c r="L2299" t="s">
        <v>3898</v>
      </c>
      <c r="M2299" t="s">
        <v>134</v>
      </c>
      <c r="N2299" t="s">
        <v>135</v>
      </c>
      <c r="O2299"/>
      <c r="P2299"/>
      <c r="Q2299" t="s">
        <v>291</v>
      </c>
      <c r="R2299"/>
      <c r="S2299"/>
      <c r="T2299"/>
      <c r="U2299" t="s">
        <v>137</v>
      </c>
      <c r="V2299" t="s">
        <v>150</v>
      </c>
      <c r="W2299"/>
      <c r="X2299" t="s">
        <v>76</v>
      </c>
      <c r="Y2299"/>
      <c r="Z2299"/>
      <c r="AA2299" t="s">
        <v>4844</v>
      </c>
      <c r="AB2299" t="s">
        <v>4</v>
      </c>
      <c r="AC2299" t="s">
        <v>138</v>
      </c>
      <c r="AD2299" t="s">
        <v>128</v>
      </c>
      <c r="AE2299" s="97"/>
    </row>
    <row r="2300" spans="1:31" ht="14.4" customHeight="1" x14ac:dyDescent="0.3">
      <c r="A2300" t="s">
        <v>4847</v>
      </c>
      <c r="B2300" t="s">
        <v>3905</v>
      </c>
      <c r="C2300"/>
      <c r="D2300"/>
      <c r="E2300"/>
      <c r="F2300"/>
      <c r="G2300" t="s">
        <v>4843</v>
      </c>
      <c r="H2300" t="s">
        <v>132</v>
      </c>
      <c r="I2300" t="s">
        <v>4</v>
      </c>
      <c r="J2300" t="s">
        <v>4276</v>
      </c>
      <c r="K2300" t="s">
        <v>54</v>
      </c>
      <c r="L2300" t="s">
        <v>3898</v>
      </c>
      <c r="M2300" t="s">
        <v>134</v>
      </c>
      <c r="N2300" t="s">
        <v>135</v>
      </c>
      <c r="O2300"/>
      <c r="P2300"/>
      <c r="Q2300" t="s">
        <v>291</v>
      </c>
      <c r="R2300"/>
      <c r="S2300"/>
      <c r="T2300"/>
      <c r="U2300" t="s">
        <v>137</v>
      </c>
      <c r="V2300" t="s">
        <v>153</v>
      </c>
      <c r="W2300"/>
      <c r="X2300" t="s">
        <v>88</v>
      </c>
      <c r="Y2300"/>
      <c r="Z2300"/>
      <c r="AA2300" t="s">
        <v>4844</v>
      </c>
      <c r="AB2300" t="s">
        <v>4</v>
      </c>
      <c r="AC2300" t="s">
        <v>138</v>
      </c>
      <c r="AD2300" t="s">
        <v>129</v>
      </c>
      <c r="AE2300" s="97"/>
    </row>
    <row r="2301" spans="1:31" ht="14.4" customHeight="1" x14ac:dyDescent="0.3">
      <c r="A2301" t="s">
        <v>4848</v>
      </c>
      <c r="B2301" t="s">
        <v>3907</v>
      </c>
      <c r="C2301"/>
      <c r="D2301"/>
      <c r="E2301"/>
      <c r="F2301"/>
      <c r="G2301" t="s">
        <v>4843</v>
      </c>
      <c r="H2301" t="s">
        <v>132</v>
      </c>
      <c r="I2301" t="s">
        <v>4</v>
      </c>
      <c r="J2301" t="s">
        <v>4276</v>
      </c>
      <c r="K2301" t="s">
        <v>54</v>
      </c>
      <c r="L2301" t="s">
        <v>3898</v>
      </c>
      <c r="M2301" t="s">
        <v>134</v>
      </c>
      <c r="N2301" t="s">
        <v>135</v>
      </c>
      <c r="O2301"/>
      <c r="P2301"/>
      <c r="Q2301" t="s">
        <v>291</v>
      </c>
      <c r="R2301"/>
      <c r="S2301"/>
      <c r="T2301"/>
      <c r="U2301" t="s">
        <v>137</v>
      </c>
      <c r="V2301" t="s">
        <v>156</v>
      </c>
      <c r="W2301"/>
      <c r="X2301" t="s">
        <v>97</v>
      </c>
      <c r="Y2301"/>
      <c r="Z2301"/>
      <c r="AA2301" t="s">
        <v>4844</v>
      </c>
      <c r="AB2301" t="s">
        <v>4</v>
      </c>
      <c r="AC2301" t="s">
        <v>138</v>
      </c>
      <c r="AD2301" t="s">
        <v>129</v>
      </c>
      <c r="AE2301" s="97"/>
    </row>
    <row r="2302" spans="1:31" ht="14.4" customHeight="1" x14ac:dyDescent="0.3">
      <c r="A2302" t="s">
        <v>4849</v>
      </c>
      <c r="B2302" t="s">
        <v>3909</v>
      </c>
      <c r="C2302"/>
      <c r="D2302"/>
      <c r="E2302"/>
      <c r="F2302"/>
      <c r="G2302" t="s">
        <v>4843</v>
      </c>
      <c r="H2302" t="s">
        <v>132</v>
      </c>
      <c r="I2302" t="s">
        <v>4</v>
      </c>
      <c r="J2302" t="s">
        <v>4276</v>
      </c>
      <c r="K2302" t="s">
        <v>54</v>
      </c>
      <c r="L2302" t="s">
        <v>3898</v>
      </c>
      <c r="M2302" t="s">
        <v>134</v>
      </c>
      <c r="N2302" t="s">
        <v>135</v>
      </c>
      <c r="O2302"/>
      <c r="P2302"/>
      <c r="Q2302" t="s">
        <v>291</v>
      </c>
      <c r="R2302"/>
      <c r="S2302"/>
      <c r="T2302"/>
      <c r="U2302" t="s">
        <v>137</v>
      </c>
      <c r="V2302" t="s">
        <v>159</v>
      </c>
      <c r="W2302"/>
      <c r="X2302" t="s">
        <v>106</v>
      </c>
      <c r="Y2302"/>
      <c r="Z2302"/>
      <c r="AA2302" t="s">
        <v>4844</v>
      </c>
      <c r="AB2302" t="s">
        <v>4</v>
      </c>
      <c r="AC2302" t="s">
        <v>138</v>
      </c>
      <c r="AD2302" t="s">
        <v>129</v>
      </c>
      <c r="AE2302" s="97"/>
    </row>
    <row r="2303" spans="1:31" ht="14.4" customHeight="1" x14ac:dyDescent="0.3">
      <c r="A2303" t="s">
        <v>4850</v>
      </c>
      <c r="B2303" t="s">
        <v>3911</v>
      </c>
      <c r="C2303"/>
      <c r="D2303"/>
      <c r="E2303"/>
      <c r="F2303"/>
      <c r="G2303" t="s">
        <v>4843</v>
      </c>
      <c r="H2303" t="s">
        <v>132</v>
      </c>
      <c r="I2303" t="s">
        <v>4</v>
      </c>
      <c r="J2303" t="s">
        <v>4276</v>
      </c>
      <c r="K2303" t="s">
        <v>54</v>
      </c>
      <c r="L2303" t="s">
        <v>3898</v>
      </c>
      <c r="M2303" t="s">
        <v>134</v>
      </c>
      <c r="N2303" t="s">
        <v>135</v>
      </c>
      <c r="O2303"/>
      <c r="P2303"/>
      <c r="Q2303" t="s">
        <v>291</v>
      </c>
      <c r="R2303"/>
      <c r="S2303"/>
      <c r="T2303"/>
      <c r="U2303" t="s">
        <v>137</v>
      </c>
      <c r="V2303" t="s">
        <v>162</v>
      </c>
      <c r="W2303"/>
      <c r="X2303" t="s">
        <v>113</v>
      </c>
      <c r="Y2303"/>
      <c r="Z2303"/>
      <c r="AA2303" t="s">
        <v>4844</v>
      </c>
      <c r="AB2303" t="s">
        <v>4</v>
      </c>
      <c r="AC2303" t="s">
        <v>138</v>
      </c>
      <c r="AD2303" t="s">
        <v>129</v>
      </c>
      <c r="AE2303" s="97"/>
    </row>
    <row r="2304" spans="1:31" ht="14.4" customHeight="1" x14ac:dyDescent="0.3">
      <c r="A2304" t="s">
        <v>4851</v>
      </c>
      <c r="B2304" t="s">
        <v>3913</v>
      </c>
      <c r="C2304"/>
      <c r="D2304"/>
      <c r="E2304"/>
      <c r="F2304"/>
      <c r="G2304" t="s">
        <v>4843</v>
      </c>
      <c r="H2304" t="s">
        <v>132</v>
      </c>
      <c r="I2304" t="s">
        <v>4</v>
      </c>
      <c r="J2304" t="s">
        <v>4276</v>
      </c>
      <c r="K2304" t="s">
        <v>54</v>
      </c>
      <c r="L2304" t="s">
        <v>3898</v>
      </c>
      <c r="M2304" t="s">
        <v>134</v>
      </c>
      <c r="N2304" t="s">
        <v>135</v>
      </c>
      <c r="O2304"/>
      <c r="P2304"/>
      <c r="Q2304" t="s">
        <v>291</v>
      </c>
      <c r="R2304"/>
      <c r="S2304"/>
      <c r="T2304"/>
      <c r="U2304" t="s">
        <v>137</v>
      </c>
      <c r="V2304" t="s">
        <v>165</v>
      </c>
      <c r="W2304"/>
      <c r="X2304" t="s">
        <v>122</v>
      </c>
      <c r="Y2304"/>
      <c r="Z2304"/>
      <c r="AA2304" t="s">
        <v>4844</v>
      </c>
      <c r="AB2304" t="s">
        <v>4</v>
      </c>
      <c r="AC2304" t="s">
        <v>138</v>
      </c>
      <c r="AD2304" t="s">
        <v>130</v>
      </c>
      <c r="AE2304" s="97"/>
    </row>
    <row r="2305" spans="1:31" ht="14.4" customHeight="1" x14ac:dyDescent="0.3">
      <c r="A2305" t="s">
        <v>4852</v>
      </c>
      <c r="B2305" t="s">
        <v>3915</v>
      </c>
      <c r="C2305"/>
      <c r="D2305"/>
      <c r="E2305"/>
      <c r="F2305"/>
      <c r="G2305" t="s">
        <v>4843</v>
      </c>
      <c r="H2305" t="s">
        <v>132</v>
      </c>
      <c r="I2305" t="s">
        <v>4</v>
      </c>
      <c r="J2305" t="s">
        <v>4276</v>
      </c>
      <c r="K2305" t="s">
        <v>54</v>
      </c>
      <c r="L2305" t="s">
        <v>3898</v>
      </c>
      <c r="M2305" t="s">
        <v>134</v>
      </c>
      <c r="N2305" t="s">
        <v>135</v>
      </c>
      <c r="O2305"/>
      <c r="P2305"/>
      <c r="Q2305" t="s">
        <v>291</v>
      </c>
      <c r="R2305"/>
      <c r="S2305"/>
      <c r="T2305"/>
      <c r="U2305" t="s">
        <v>137</v>
      </c>
      <c r="V2305" t="s">
        <v>371</v>
      </c>
      <c r="W2305"/>
      <c r="X2305" t="s">
        <v>57</v>
      </c>
      <c r="Y2305"/>
      <c r="Z2305"/>
      <c r="AA2305" t="s">
        <v>4844</v>
      </c>
      <c r="AB2305" t="s">
        <v>4</v>
      </c>
      <c r="AC2305" t="s">
        <v>138</v>
      </c>
      <c r="AD2305" t="s">
        <v>128</v>
      </c>
      <c r="AE2305" s="97"/>
    </row>
    <row r="2306" spans="1:31" ht="14.4" customHeight="1" x14ac:dyDescent="0.3">
      <c r="A2306" t="s">
        <v>4853</v>
      </c>
      <c r="B2306" t="s">
        <v>3917</v>
      </c>
      <c r="C2306"/>
      <c r="D2306"/>
      <c r="E2306"/>
      <c r="F2306"/>
      <c r="G2306" t="s">
        <v>4843</v>
      </c>
      <c r="H2306" t="s">
        <v>132</v>
      </c>
      <c r="I2306" t="s">
        <v>4</v>
      </c>
      <c r="J2306" t="s">
        <v>4276</v>
      </c>
      <c r="K2306" t="s">
        <v>54</v>
      </c>
      <c r="L2306" t="s">
        <v>3898</v>
      </c>
      <c r="M2306" t="s">
        <v>134</v>
      </c>
      <c r="N2306" t="s">
        <v>135</v>
      </c>
      <c r="O2306"/>
      <c r="P2306"/>
      <c r="Q2306" t="s">
        <v>291</v>
      </c>
      <c r="R2306"/>
      <c r="S2306"/>
      <c r="T2306"/>
      <c r="U2306" t="s">
        <v>137</v>
      </c>
      <c r="V2306" t="s">
        <v>362</v>
      </c>
      <c r="W2306"/>
      <c r="X2306" t="s">
        <v>58</v>
      </c>
      <c r="Y2306"/>
      <c r="Z2306"/>
      <c r="AA2306" t="s">
        <v>4844</v>
      </c>
      <c r="AB2306" t="s">
        <v>4</v>
      </c>
      <c r="AC2306" t="s">
        <v>138</v>
      </c>
      <c r="AD2306" t="s">
        <v>128</v>
      </c>
      <c r="AE2306" s="97"/>
    </row>
    <row r="2307" spans="1:31" ht="14.4" customHeight="1" x14ac:dyDescent="0.3">
      <c r="A2307" t="s">
        <v>4854</v>
      </c>
      <c r="B2307" t="s">
        <v>3919</v>
      </c>
      <c r="C2307"/>
      <c r="D2307"/>
      <c r="E2307"/>
      <c r="F2307"/>
      <c r="G2307" t="s">
        <v>4843</v>
      </c>
      <c r="H2307" t="s">
        <v>132</v>
      </c>
      <c r="I2307" t="s">
        <v>4</v>
      </c>
      <c r="J2307" t="s">
        <v>4276</v>
      </c>
      <c r="K2307" t="s">
        <v>54</v>
      </c>
      <c r="L2307" t="s">
        <v>3898</v>
      </c>
      <c r="M2307" t="s">
        <v>134</v>
      </c>
      <c r="N2307" t="s">
        <v>135</v>
      </c>
      <c r="O2307"/>
      <c r="P2307"/>
      <c r="Q2307" t="s">
        <v>291</v>
      </c>
      <c r="R2307"/>
      <c r="S2307"/>
      <c r="T2307"/>
      <c r="U2307" t="s">
        <v>137</v>
      </c>
      <c r="V2307" t="s">
        <v>640</v>
      </c>
      <c r="W2307"/>
      <c r="X2307" t="s">
        <v>66</v>
      </c>
      <c r="Y2307"/>
      <c r="Z2307"/>
      <c r="AA2307" t="s">
        <v>4844</v>
      </c>
      <c r="AB2307" t="s">
        <v>4</v>
      </c>
      <c r="AC2307" t="s">
        <v>138</v>
      </c>
      <c r="AD2307" t="s">
        <v>128</v>
      </c>
      <c r="AE2307" s="97"/>
    </row>
    <row r="2308" spans="1:31" ht="14.4" customHeight="1" x14ac:dyDescent="0.3">
      <c r="A2308" t="s">
        <v>4855</v>
      </c>
      <c r="B2308" t="s">
        <v>3921</v>
      </c>
      <c r="C2308"/>
      <c r="D2308"/>
      <c r="E2308"/>
      <c r="F2308"/>
      <c r="G2308" t="s">
        <v>4843</v>
      </c>
      <c r="H2308" t="s">
        <v>132</v>
      </c>
      <c r="I2308" t="s">
        <v>4</v>
      </c>
      <c r="J2308" t="s">
        <v>4276</v>
      </c>
      <c r="K2308" t="s">
        <v>54</v>
      </c>
      <c r="L2308" t="s">
        <v>3898</v>
      </c>
      <c r="M2308" t="s">
        <v>134</v>
      </c>
      <c r="N2308" t="s">
        <v>135</v>
      </c>
      <c r="O2308"/>
      <c r="P2308"/>
      <c r="Q2308" t="s">
        <v>291</v>
      </c>
      <c r="R2308"/>
      <c r="S2308"/>
      <c r="T2308"/>
      <c r="U2308" t="s">
        <v>137</v>
      </c>
      <c r="V2308" t="s">
        <v>646</v>
      </c>
      <c r="W2308"/>
      <c r="X2308" t="s">
        <v>74</v>
      </c>
      <c r="Y2308"/>
      <c r="Z2308"/>
      <c r="AA2308" t="s">
        <v>4844</v>
      </c>
      <c r="AB2308" t="s">
        <v>4</v>
      </c>
      <c r="AC2308" t="s">
        <v>138</v>
      </c>
      <c r="AD2308" t="s">
        <v>128</v>
      </c>
      <c r="AE2308" s="97"/>
    </row>
    <row r="2309" spans="1:31" ht="14.4" customHeight="1" x14ac:dyDescent="0.3">
      <c r="A2309" t="s">
        <v>4856</v>
      </c>
      <c r="B2309" t="s">
        <v>3923</v>
      </c>
      <c r="C2309"/>
      <c r="D2309"/>
      <c r="E2309"/>
      <c r="F2309"/>
      <c r="G2309" t="s">
        <v>4843</v>
      </c>
      <c r="H2309" t="s">
        <v>132</v>
      </c>
      <c r="I2309" t="s">
        <v>4</v>
      </c>
      <c r="J2309" t="s">
        <v>4276</v>
      </c>
      <c r="K2309" t="s">
        <v>54</v>
      </c>
      <c r="L2309" t="s">
        <v>3898</v>
      </c>
      <c r="M2309" t="s">
        <v>134</v>
      </c>
      <c r="N2309" t="s">
        <v>135</v>
      </c>
      <c r="O2309"/>
      <c r="P2309"/>
      <c r="Q2309" t="s">
        <v>291</v>
      </c>
      <c r="R2309"/>
      <c r="S2309"/>
      <c r="T2309"/>
      <c r="U2309" t="s">
        <v>137</v>
      </c>
      <c r="V2309" t="s">
        <v>652</v>
      </c>
      <c r="W2309"/>
      <c r="X2309" t="s">
        <v>85</v>
      </c>
      <c r="Y2309"/>
      <c r="Z2309"/>
      <c r="AA2309" t="s">
        <v>4844</v>
      </c>
      <c r="AB2309" t="s">
        <v>4</v>
      </c>
      <c r="AC2309" t="s">
        <v>138</v>
      </c>
      <c r="AD2309" t="s">
        <v>129</v>
      </c>
      <c r="AE2309" s="97"/>
    </row>
    <row r="2310" spans="1:31" ht="14.4" customHeight="1" x14ac:dyDescent="0.3">
      <c r="A2310" t="s">
        <v>4857</v>
      </c>
      <c r="B2310" t="s">
        <v>3925</v>
      </c>
      <c r="C2310"/>
      <c r="D2310"/>
      <c r="E2310"/>
      <c r="F2310"/>
      <c r="G2310" t="s">
        <v>4843</v>
      </c>
      <c r="H2310" t="s">
        <v>132</v>
      </c>
      <c r="I2310" t="s">
        <v>4</v>
      </c>
      <c r="J2310" t="s">
        <v>4276</v>
      </c>
      <c r="K2310" t="s">
        <v>54</v>
      </c>
      <c r="L2310" t="s">
        <v>3898</v>
      </c>
      <c r="M2310" t="s">
        <v>134</v>
      </c>
      <c r="N2310" t="s">
        <v>135</v>
      </c>
      <c r="O2310"/>
      <c r="P2310"/>
      <c r="Q2310" t="s">
        <v>291</v>
      </c>
      <c r="R2310"/>
      <c r="S2310"/>
      <c r="T2310"/>
      <c r="U2310" t="s">
        <v>137</v>
      </c>
      <c r="V2310" t="s">
        <v>658</v>
      </c>
      <c r="W2310"/>
      <c r="X2310" t="s">
        <v>94</v>
      </c>
      <c r="Y2310"/>
      <c r="Z2310"/>
      <c r="AA2310" t="s">
        <v>4844</v>
      </c>
      <c r="AB2310" t="s">
        <v>4</v>
      </c>
      <c r="AC2310" t="s">
        <v>138</v>
      </c>
      <c r="AD2310" t="s">
        <v>129</v>
      </c>
      <c r="AE2310" s="97"/>
    </row>
    <row r="2311" spans="1:31" ht="14.4" customHeight="1" x14ac:dyDescent="0.3">
      <c r="A2311" t="s">
        <v>4858</v>
      </c>
      <c r="B2311" t="s">
        <v>3927</v>
      </c>
      <c r="C2311"/>
      <c r="D2311"/>
      <c r="E2311"/>
      <c r="F2311"/>
      <c r="G2311" t="s">
        <v>4843</v>
      </c>
      <c r="H2311" t="s">
        <v>132</v>
      </c>
      <c r="I2311" t="s">
        <v>4</v>
      </c>
      <c r="J2311" t="s">
        <v>4276</v>
      </c>
      <c r="K2311" t="s">
        <v>54</v>
      </c>
      <c r="L2311" t="s">
        <v>3898</v>
      </c>
      <c r="M2311" t="s">
        <v>134</v>
      </c>
      <c r="N2311" t="s">
        <v>135</v>
      </c>
      <c r="O2311"/>
      <c r="P2311"/>
      <c r="Q2311" t="s">
        <v>291</v>
      </c>
      <c r="R2311"/>
      <c r="S2311"/>
      <c r="T2311"/>
      <c r="U2311" t="s">
        <v>137</v>
      </c>
      <c r="V2311" t="s">
        <v>664</v>
      </c>
      <c r="W2311"/>
      <c r="X2311" t="s">
        <v>103</v>
      </c>
      <c r="Y2311"/>
      <c r="Z2311"/>
      <c r="AA2311" t="s">
        <v>4844</v>
      </c>
      <c r="AB2311" t="s">
        <v>4</v>
      </c>
      <c r="AC2311" t="s">
        <v>138</v>
      </c>
      <c r="AD2311" t="s">
        <v>129</v>
      </c>
      <c r="AE2311" s="97"/>
    </row>
    <row r="2312" spans="1:31" ht="14.4" customHeight="1" x14ac:dyDescent="0.3">
      <c r="A2312" t="s">
        <v>4859</v>
      </c>
      <c r="B2312" t="s">
        <v>3929</v>
      </c>
      <c r="C2312"/>
      <c r="D2312"/>
      <c r="E2312"/>
      <c r="F2312"/>
      <c r="G2312" t="s">
        <v>4843</v>
      </c>
      <c r="H2312" t="s">
        <v>132</v>
      </c>
      <c r="I2312" t="s">
        <v>4</v>
      </c>
      <c r="J2312" t="s">
        <v>4276</v>
      </c>
      <c r="K2312" t="s">
        <v>54</v>
      </c>
      <c r="L2312" t="s">
        <v>3898</v>
      </c>
      <c r="M2312" t="s">
        <v>134</v>
      </c>
      <c r="N2312" t="s">
        <v>135</v>
      </c>
      <c r="O2312"/>
      <c r="P2312"/>
      <c r="Q2312" t="s">
        <v>291</v>
      </c>
      <c r="R2312"/>
      <c r="S2312"/>
      <c r="T2312"/>
      <c r="U2312" t="s">
        <v>137</v>
      </c>
      <c r="V2312" t="s">
        <v>670</v>
      </c>
      <c r="W2312"/>
      <c r="X2312" t="s">
        <v>110</v>
      </c>
      <c r="Y2312"/>
      <c r="Z2312"/>
      <c r="AA2312" t="s">
        <v>4844</v>
      </c>
      <c r="AB2312" t="s">
        <v>4</v>
      </c>
      <c r="AC2312" t="s">
        <v>138</v>
      </c>
      <c r="AD2312" t="s">
        <v>129</v>
      </c>
      <c r="AE2312" s="97"/>
    </row>
    <row r="2313" spans="1:31" ht="14.4" customHeight="1" x14ac:dyDescent="0.3">
      <c r="A2313" t="s">
        <v>4860</v>
      </c>
      <c r="B2313" t="s">
        <v>3931</v>
      </c>
      <c r="C2313"/>
      <c r="D2313"/>
      <c r="E2313"/>
      <c r="F2313"/>
      <c r="G2313" t="s">
        <v>4843</v>
      </c>
      <c r="H2313" t="s">
        <v>132</v>
      </c>
      <c r="I2313" t="s">
        <v>4</v>
      </c>
      <c r="J2313" t="s">
        <v>4276</v>
      </c>
      <c r="K2313" t="s">
        <v>54</v>
      </c>
      <c r="L2313" t="s">
        <v>3898</v>
      </c>
      <c r="M2313" t="s">
        <v>134</v>
      </c>
      <c r="N2313" t="s">
        <v>135</v>
      </c>
      <c r="O2313"/>
      <c r="P2313"/>
      <c r="Q2313" t="s">
        <v>291</v>
      </c>
      <c r="R2313"/>
      <c r="S2313"/>
      <c r="T2313"/>
      <c r="U2313" t="s">
        <v>137</v>
      </c>
      <c r="V2313" t="s">
        <v>676</v>
      </c>
      <c r="W2313"/>
      <c r="X2313" t="s">
        <v>119</v>
      </c>
      <c r="Y2313"/>
      <c r="Z2313"/>
      <c r="AA2313" t="s">
        <v>4844</v>
      </c>
      <c r="AB2313" t="s">
        <v>4</v>
      </c>
      <c r="AC2313" t="s">
        <v>138</v>
      </c>
      <c r="AD2313" t="s">
        <v>130</v>
      </c>
      <c r="AE2313" s="97"/>
    </row>
    <row r="2314" spans="1:31" ht="14.4" customHeight="1" x14ac:dyDescent="0.3">
      <c r="A2314" t="s">
        <v>4861</v>
      </c>
      <c r="B2314" t="s">
        <v>3933</v>
      </c>
      <c r="C2314"/>
      <c r="D2314"/>
      <c r="E2314"/>
      <c r="F2314"/>
      <c r="G2314" t="s">
        <v>4843</v>
      </c>
      <c r="H2314" t="s">
        <v>132</v>
      </c>
      <c r="I2314" t="s">
        <v>4</v>
      </c>
      <c r="J2314" t="s">
        <v>4276</v>
      </c>
      <c r="K2314" t="s">
        <v>54</v>
      </c>
      <c r="L2314" t="s">
        <v>3898</v>
      </c>
      <c r="M2314" t="s">
        <v>134</v>
      </c>
      <c r="N2314" t="s">
        <v>135</v>
      </c>
      <c r="O2314"/>
      <c r="P2314"/>
      <c r="Q2314" t="s">
        <v>291</v>
      </c>
      <c r="R2314"/>
      <c r="S2314"/>
      <c r="T2314"/>
      <c r="U2314" t="s">
        <v>137</v>
      </c>
      <c r="V2314" t="s">
        <v>1190</v>
      </c>
      <c r="W2314"/>
      <c r="X2314" t="s">
        <v>67</v>
      </c>
      <c r="Y2314"/>
      <c r="Z2314"/>
      <c r="AA2314" t="s">
        <v>4844</v>
      </c>
      <c r="AB2314" t="s">
        <v>4</v>
      </c>
      <c r="AC2314" t="s">
        <v>138</v>
      </c>
      <c r="AD2314" t="s">
        <v>128</v>
      </c>
      <c r="AE2314" s="97"/>
    </row>
    <row r="2315" spans="1:31" ht="14.4" customHeight="1" x14ac:dyDescent="0.3">
      <c r="A2315" t="s">
        <v>4862</v>
      </c>
      <c r="B2315" t="s">
        <v>3935</v>
      </c>
      <c r="C2315"/>
      <c r="D2315"/>
      <c r="E2315"/>
      <c r="F2315"/>
      <c r="G2315" t="s">
        <v>4843</v>
      </c>
      <c r="H2315" t="s">
        <v>132</v>
      </c>
      <c r="I2315" t="s">
        <v>4</v>
      </c>
      <c r="J2315" t="s">
        <v>4276</v>
      </c>
      <c r="K2315" t="s">
        <v>54</v>
      </c>
      <c r="L2315" t="s">
        <v>3898</v>
      </c>
      <c r="M2315" t="s">
        <v>134</v>
      </c>
      <c r="N2315" t="s">
        <v>135</v>
      </c>
      <c r="O2315"/>
      <c r="P2315"/>
      <c r="Q2315" t="s">
        <v>291</v>
      </c>
      <c r="R2315"/>
      <c r="S2315"/>
      <c r="T2315"/>
      <c r="U2315" t="s">
        <v>137</v>
      </c>
      <c r="V2315" t="s">
        <v>1194</v>
      </c>
      <c r="W2315"/>
      <c r="X2315" t="s">
        <v>75</v>
      </c>
      <c r="Y2315"/>
      <c r="Z2315"/>
      <c r="AA2315" t="s">
        <v>4844</v>
      </c>
      <c r="AB2315" t="s">
        <v>4</v>
      </c>
      <c r="AC2315" t="s">
        <v>138</v>
      </c>
      <c r="AD2315" t="s">
        <v>128</v>
      </c>
      <c r="AE2315" s="97"/>
    </row>
    <row r="2316" spans="1:31" ht="14.4" customHeight="1" x14ac:dyDescent="0.3">
      <c r="A2316" t="s">
        <v>4863</v>
      </c>
      <c r="B2316" t="s">
        <v>3937</v>
      </c>
      <c r="C2316"/>
      <c r="D2316"/>
      <c r="E2316"/>
      <c r="F2316"/>
      <c r="G2316" t="s">
        <v>4843</v>
      </c>
      <c r="H2316" t="s">
        <v>132</v>
      </c>
      <c r="I2316" t="s">
        <v>4</v>
      </c>
      <c r="J2316" t="s">
        <v>4276</v>
      </c>
      <c r="K2316" t="s">
        <v>54</v>
      </c>
      <c r="L2316" t="s">
        <v>3898</v>
      </c>
      <c r="M2316" t="s">
        <v>134</v>
      </c>
      <c r="N2316" t="s">
        <v>135</v>
      </c>
      <c r="O2316"/>
      <c r="P2316"/>
      <c r="Q2316" t="s">
        <v>291</v>
      </c>
      <c r="R2316"/>
      <c r="S2316"/>
      <c r="T2316"/>
      <c r="U2316" t="s">
        <v>137</v>
      </c>
      <c r="V2316" t="s">
        <v>1198</v>
      </c>
      <c r="W2316"/>
      <c r="X2316" t="s">
        <v>86</v>
      </c>
      <c r="Y2316"/>
      <c r="Z2316"/>
      <c r="AA2316" t="s">
        <v>4844</v>
      </c>
      <c r="AB2316" t="s">
        <v>4</v>
      </c>
      <c r="AC2316" t="s">
        <v>138</v>
      </c>
      <c r="AD2316" t="s">
        <v>129</v>
      </c>
      <c r="AE2316" s="97"/>
    </row>
    <row r="2317" spans="1:31" ht="14.4" customHeight="1" x14ac:dyDescent="0.3">
      <c r="A2317" t="s">
        <v>4864</v>
      </c>
      <c r="B2317" t="s">
        <v>3939</v>
      </c>
      <c r="C2317"/>
      <c r="D2317"/>
      <c r="E2317"/>
      <c r="F2317"/>
      <c r="G2317" t="s">
        <v>4843</v>
      </c>
      <c r="H2317" t="s">
        <v>132</v>
      </c>
      <c r="I2317" t="s">
        <v>4</v>
      </c>
      <c r="J2317" t="s">
        <v>4276</v>
      </c>
      <c r="K2317" t="s">
        <v>54</v>
      </c>
      <c r="L2317" t="s">
        <v>3898</v>
      </c>
      <c r="M2317" t="s">
        <v>134</v>
      </c>
      <c r="N2317" t="s">
        <v>135</v>
      </c>
      <c r="O2317"/>
      <c r="P2317"/>
      <c r="Q2317" t="s">
        <v>291</v>
      </c>
      <c r="R2317"/>
      <c r="S2317"/>
      <c r="T2317"/>
      <c r="U2317" t="s">
        <v>137</v>
      </c>
      <c r="V2317" t="s">
        <v>1202</v>
      </c>
      <c r="W2317"/>
      <c r="X2317" t="s">
        <v>95</v>
      </c>
      <c r="Y2317"/>
      <c r="Z2317"/>
      <c r="AA2317" t="s">
        <v>4844</v>
      </c>
      <c r="AB2317" t="s">
        <v>4</v>
      </c>
      <c r="AC2317" t="s">
        <v>138</v>
      </c>
      <c r="AD2317" t="s">
        <v>129</v>
      </c>
      <c r="AE2317" s="97"/>
    </row>
    <row r="2318" spans="1:31" ht="14.4" customHeight="1" x14ac:dyDescent="0.3">
      <c r="A2318" t="s">
        <v>4865</v>
      </c>
      <c r="B2318" t="s">
        <v>3941</v>
      </c>
      <c r="C2318"/>
      <c r="D2318"/>
      <c r="E2318"/>
      <c r="F2318"/>
      <c r="G2318" t="s">
        <v>4843</v>
      </c>
      <c r="H2318" t="s">
        <v>132</v>
      </c>
      <c r="I2318" t="s">
        <v>4</v>
      </c>
      <c r="J2318" t="s">
        <v>4276</v>
      </c>
      <c r="K2318" t="s">
        <v>54</v>
      </c>
      <c r="L2318" t="s">
        <v>3898</v>
      </c>
      <c r="M2318" t="s">
        <v>134</v>
      </c>
      <c r="N2318" t="s">
        <v>135</v>
      </c>
      <c r="O2318"/>
      <c r="P2318"/>
      <c r="Q2318" t="s">
        <v>291</v>
      </c>
      <c r="R2318"/>
      <c r="S2318"/>
      <c r="T2318"/>
      <c r="U2318" t="s">
        <v>137</v>
      </c>
      <c r="V2318" t="s">
        <v>1206</v>
      </c>
      <c r="W2318"/>
      <c r="X2318" t="s">
        <v>104</v>
      </c>
      <c r="Y2318"/>
      <c r="Z2318"/>
      <c r="AA2318" t="s">
        <v>4844</v>
      </c>
      <c r="AB2318" t="s">
        <v>4</v>
      </c>
      <c r="AC2318" t="s">
        <v>138</v>
      </c>
      <c r="AD2318" t="s">
        <v>129</v>
      </c>
      <c r="AE2318" s="97"/>
    </row>
    <row r="2319" spans="1:31" ht="14.4" customHeight="1" x14ac:dyDescent="0.3">
      <c r="A2319" t="s">
        <v>4866</v>
      </c>
      <c r="B2319" t="s">
        <v>3943</v>
      </c>
      <c r="C2319"/>
      <c r="D2319"/>
      <c r="E2319"/>
      <c r="F2319"/>
      <c r="G2319" t="s">
        <v>4843</v>
      </c>
      <c r="H2319" t="s">
        <v>132</v>
      </c>
      <c r="I2319" t="s">
        <v>4</v>
      </c>
      <c r="J2319" t="s">
        <v>4276</v>
      </c>
      <c r="K2319" t="s">
        <v>54</v>
      </c>
      <c r="L2319" t="s">
        <v>3898</v>
      </c>
      <c r="M2319" t="s">
        <v>134</v>
      </c>
      <c r="N2319" t="s">
        <v>135</v>
      </c>
      <c r="O2319"/>
      <c r="P2319"/>
      <c r="Q2319" t="s">
        <v>291</v>
      </c>
      <c r="R2319"/>
      <c r="S2319"/>
      <c r="T2319"/>
      <c r="U2319" t="s">
        <v>137</v>
      </c>
      <c r="V2319" t="s">
        <v>1210</v>
      </c>
      <c r="W2319"/>
      <c r="X2319" t="s">
        <v>111</v>
      </c>
      <c r="Y2319"/>
      <c r="Z2319"/>
      <c r="AA2319" t="s">
        <v>4844</v>
      </c>
      <c r="AB2319" t="s">
        <v>4</v>
      </c>
      <c r="AC2319" t="s">
        <v>138</v>
      </c>
      <c r="AD2319" t="s">
        <v>129</v>
      </c>
      <c r="AE2319" s="97"/>
    </row>
    <row r="2320" spans="1:31" ht="14.4" customHeight="1" x14ac:dyDescent="0.3">
      <c r="A2320" t="s">
        <v>4867</v>
      </c>
      <c r="B2320" t="s">
        <v>3945</v>
      </c>
      <c r="C2320"/>
      <c r="D2320"/>
      <c r="E2320"/>
      <c r="F2320"/>
      <c r="G2320" t="s">
        <v>4843</v>
      </c>
      <c r="H2320" t="s">
        <v>132</v>
      </c>
      <c r="I2320" t="s">
        <v>4</v>
      </c>
      <c r="J2320" t="s">
        <v>4276</v>
      </c>
      <c r="K2320" t="s">
        <v>54</v>
      </c>
      <c r="L2320" t="s">
        <v>3898</v>
      </c>
      <c r="M2320" t="s">
        <v>134</v>
      </c>
      <c r="N2320" t="s">
        <v>135</v>
      </c>
      <c r="O2320"/>
      <c r="P2320"/>
      <c r="Q2320" t="s">
        <v>291</v>
      </c>
      <c r="R2320"/>
      <c r="S2320"/>
      <c r="T2320"/>
      <c r="U2320" t="s">
        <v>137</v>
      </c>
      <c r="V2320" t="s">
        <v>1214</v>
      </c>
      <c r="W2320"/>
      <c r="X2320" t="s">
        <v>120</v>
      </c>
      <c r="Y2320"/>
      <c r="Z2320"/>
      <c r="AA2320" t="s">
        <v>4844</v>
      </c>
      <c r="AB2320" t="s">
        <v>4</v>
      </c>
      <c r="AC2320" t="s">
        <v>138</v>
      </c>
      <c r="AD2320" t="s">
        <v>130</v>
      </c>
      <c r="AE2320" s="97"/>
    </row>
    <row r="2321" spans="1:31" ht="14.4" customHeight="1" x14ac:dyDescent="0.3">
      <c r="A2321" t="s">
        <v>4868</v>
      </c>
      <c r="B2321" t="s">
        <v>3947</v>
      </c>
      <c r="C2321"/>
      <c r="D2321"/>
      <c r="E2321"/>
      <c r="F2321"/>
      <c r="G2321" t="s">
        <v>4843</v>
      </c>
      <c r="H2321" t="s">
        <v>132</v>
      </c>
      <c r="I2321" t="s">
        <v>4</v>
      </c>
      <c r="J2321" t="s">
        <v>4276</v>
      </c>
      <c r="K2321" t="s">
        <v>54</v>
      </c>
      <c r="L2321" t="s">
        <v>3898</v>
      </c>
      <c r="M2321" t="s">
        <v>134</v>
      </c>
      <c r="N2321" t="s">
        <v>135</v>
      </c>
      <c r="O2321"/>
      <c r="P2321"/>
      <c r="Q2321" t="s">
        <v>291</v>
      </c>
      <c r="R2321"/>
      <c r="S2321"/>
      <c r="T2321"/>
      <c r="U2321" t="s">
        <v>137</v>
      </c>
      <c r="V2321" t="s">
        <v>403</v>
      </c>
      <c r="W2321"/>
      <c r="X2321" t="s">
        <v>68</v>
      </c>
      <c r="Y2321"/>
      <c r="Z2321"/>
      <c r="AA2321" t="s">
        <v>4844</v>
      </c>
      <c r="AB2321" t="s">
        <v>4</v>
      </c>
      <c r="AC2321" t="s">
        <v>138</v>
      </c>
      <c r="AD2321" t="s">
        <v>128</v>
      </c>
      <c r="AE2321" s="97"/>
    </row>
    <row r="2322" spans="1:31" ht="14.4" customHeight="1" x14ac:dyDescent="0.3">
      <c r="A2322" t="s">
        <v>4869</v>
      </c>
      <c r="B2322" t="s">
        <v>3949</v>
      </c>
      <c r="C2322"/>
      <c r="D2322"/>
      <c r="E2322"/>
      <c r="F2322"/>
      <c r="G2322" t="s">
        <v>4843</v>
      </c>
      <c r="H2322" t="s">
        <v>132</v>
      </c>
      <c r="I2322" t="s">
        <v>4</v>
      </c>
      <c r="J2322" t="s">
        <v>4276</v>
      </c>
      <c r="K2322" t="s">
        <v>54</v>
      </c>
      <c r="L2322" t="s">
        <v>3898</v>
      </c>
      <c r="M2322" t="s">
        <v>134</v>
      </c>
      <c r="N2322" t="s">
        <v>135</v>
      </c>
      <c r="O2322"/>
      <c r="P2322"/>
      <c r="Q2322" t="s">
        <v>291</v>
      </c>
      <c r="R2322"/>
      <c r="S2322"/>
      <c r="T2322"/>
      <c r="U2322" t="s">
        <v>137</v>
      </c>
      <c r="V2322" t="s">
        <v>407</v>
      </c>
      <c r="W2322"/>
      <c r="X2322" t="s">
        <v>77</v>
      </c>
      <c r="Y2322"/>
      <c r="Z2322"/>
      <c r="AA2322" t="s">
        <v>4844</v>
      </c>
      <c r="AB2322" t="s">
        <v>4</v>
      </c>
      <c r="AC2322" t="s">
        <v>138</v>
      </c>
      <c r="AD2322" t="s">
        <v>128</v>
      </c>
      <c r="AE2322" s="97"/>
    </row>
    <row r="2323" spans="1:31" ht="14.4" customHeight="1" x14ac:dyDescent="0.3">
      <c r="A2323" t="s">
        <v>4870</v>
      </c>
      <c r="B2323" t="s">
        <v>3951</v>
      </c>
      <c r="C2323"/>
      <c r="D2323"/>
      <c r="E2323"/>
      <c r="F2323"/>
      <c r="G2323" t="s">
        <v>4843</v>
      </c>
      <c r="H2323" t="s">
        <v>132</v>
      </c>
      <c r="I2323" t="s">
        <v>4</v>
      </c>
      <c r="J2323" t="s">
        <v>4276</v>
      </c>
      <c r="K2323" t="s">
        <v>54</v>
      </c>
      <c r="L2323" t="s">
        <v>3898</v>
      </c>
      <c r="M2323" t="s">
        <v>134</v>
      </c>
      <c r="N2323" t="s">
        <v>135</v>
      </c>
      <c r="O2323"/>
      <c r="P2323"/>
      <c r="Q2323" t="s">
        <v>291</v>
      </c>
      <c r="R2323"/>
      <c r="S2323"/>
      <c r="T2323"/>
      <c r="U2323" t="s">
        <v>137</v>
      </c>
      <c r="V2323" t="s">
        <v>411</v>
      </c>
      <c r="W2323"/>
      <c r="X2323" t="s">
        <v>87</v>
      </c>
      <c r="Y2323"/>
      <c r="Z2323"/>
      <c r="AA2323" t="s">
        <v>4844</v>
      </c>
      <c r="AB2323" t="s">
        <v>4</v>
      </c>
      <c r="AC2323" t="s">
        <v>138</v>
      </c>
      <c r="AD2323" t="s">
        <v>129</v>
      </c>
      <c r="AE2323" s="97"/>
    </row>
    <row r="2324" spans="1:31" ht="14.4" customHeight="1" x14ac:dyDescent="0.3">
      <c r="A2324" t="s">
        <v>4871</v>
      </c>
      <c r="B2324" t="s">
        <v>3953</v>
      </c>
      <c r="C2324"/>
      <c r="D2324"/>
      <c r="E2324"/>
      <c r="F2324"/>
      <c r="G2324" t="s">
        <v>4843</v>
      </c>
      <c r="H2324" t="s">
        <v>132</v>
      </c>
      <c r="I2324" t="s">
        <v>4</v>
      </c>
      <c r="J2324" t="s">
        <v>4276</v>
      </c>
      <c r="K2324" t="s">
        <v>54</v>
      </c>
      <c r="L2324" t="s">
        <v>3898</v>
      </c>
      <c r="M2324" t="s">
        <v>134</v>
      </c>
      <c r="N2324" t="s">
        <v>135</v>
      </c>
      <c r="O2324"/>
      <c r="P2324"/>
      <c r="Q2324" t="s">
        <v>291</v>
      </c>
      <c r="R2324"/>
      <c r="S2324"/>
      <c r="T2324"/>
      <c r="U2324" t="s">
        <v>137</v>
      </c>
      <c r="V2324" t="s">
        <v>415</v>
      </c>
      <c r="W2324"/>
      <c r="X2324" t="s">
        <v>96</v>
      </c>
      <c r="Y2324"/>
      <c r="Z2324"/>
      <c r="AA2324" t="s">
        <v>4844</v>
      </c>
      <c r="AB2324" t="s">
        <v>4</v>
      </c>
      <c r="AC2324" t="s">
        <v>138</v>
      </c>
      <c r="AD2324" t="s">
        <v>129</v>
      </c>
      <c r="AE2324" s="97"/>
    </row>
    <row r="2325" spans="1:31" ht="14.4" customHeight="1" x14ac:dyDescent="0.3">
      <c r="A2325" t="s">
        <v>4872</v>
      </c>
      <c r="B2325" t="s">
        <v>3955</v>
      </c>
      <c r="C2325"/>
      <c r="D2325"/>
      <c r="E2325"/>
      <c r="F2325"/>
      <c r="G2325" t="s">
        <v>4843</v>
      </c>
      <c r="H2325" t="s">
        <v>132</v>
      </c>
      <c r="I2325" t="s">
        <v>4</v>
      </c>
      <c r="J2325" t="s">
        <v>4276</v>
      </c>
      <c r="K2325" t="s">
        <v>54</v>
      </c>
      <c r="L2325" t="s">
        <v>3898</v>
      </c>
      <c r="M2325" t="s">
        <v>134</v>
      </c>
      <c r="N2325" t="s">
        <v>135</v>
      </c>
      <c r="O2325"/>
      <c r="P2325"/>
      <c r="Q2325" t="s">
        <v>291</v>
      </c>
      <c r="R2325"/>
      <c r="S2325"/>
      <c r="T2325"/>
      <c r="U2325" t="s">
        <v>137</v>
      </c>
      <c r="V2325" t="s">
        <v>419</v>
      </c>
      <c r="W2325"/>
      <c r="X2325" t="s">
        <v>105</v>
      </c>
      <c r="Y2325"/>
      <c r="Z2325"/>
      <c r="AA2325" t="s">
        <v>4844</v>
      </c>
      <c r="AB2325" t="s">
        <v>4</v>
      </c>
      <c r="AC2325" t="s">
        <v>138</v>
      </c>
      <c r="AD2325" t="s">
        <v>129</v>
      </c>
      <c r="AE2325" s="97"/>
    </row>
    <row r="2326" spans="1:31" ht="14.4" customHeight="1" x14ac:dyDescent="0.3">
      <c r="A2326" t="s">
        <v>4873</v>
      </c>
      <c r="B2326" t="s">
        <v>3957</v>
      </c>
      <c r="C2326"/>
      <c r="D2326"/>
      <c r="E2326"/>
      <c r="F2326"/>
      <c r="G2326" t="s">
        <v>4843</v>
      </c>
      <c r="H2326" t="s">
        <v>132</v>
      </c>
      <c r="I2326" t="s">
        <v>4</v>
      </c>
      <c r="J2326" t="s">
        <v>4276</v>
      </c>
      <c r="K2326" t="s">
        <v>54</v>
      </c>
      <c r="L2326" t="s">
        <v>3898</v>
      </c>
      <c r="M2326" t="s">
        <v>134</v>
      </c>
      <c r="N2326" t="s">
        <v>135</v>
      </c>
      <c r="O2326"/>
      <c r="P2326"/>
      <c r="Q2326" t="s">
        <v>291</v>
      </c>
      <c r="R2326"/>
      <c r="S2326"/>
      <c r="T2326"/>
      <c r="U2326" t="s">
        <v>137</v>
      </c>
      <c r="V2326" t="s">
        <v>423</v>
      </c>
      <c r="W2326"/>
      <c r="X2326" t="s">
        <v>112</v>
      </c>
      <c r="Y2326"/>
      <c r="Z2326"/>
      <c r="AA2326" t="s">
        <v>4844</v>
      </c>
      <c r="AB2326" t="s">
        <v>4</v>
      </c>
      <c r="AC2326" t="s">
        <v>138</v>
      </c>
      <c r="AD2326" t="s">
        <v>129</v>
      </c>
      <c r="AE2326" s="97"/>
    </row>
    <row r="2327" spans="1:31" ht="14.4" customHeight="1" x14ac:dyDescent="0.3">
      <c r="A2327" t="s">
        <v>4874</v>
      </c>
      <c r="B2327" t="s">
        <v>3959</v>
      </c>
      <c r="C2327"/>
      <c r="D2327"/>
      <c r="E2327"/>
      <c r="F2327"/>
      <c r="G2327" t="s">
        <v>4843</v>
      </c>
      <c r="H2327" t="s">
        <v>132</v>
      </c>
      <c r="I2327" t="s">
        <v>4</v>
      </c>
      <c r="J2327" t="s">
        <v>4276</v>
      </c>
      <c r="K2327" t="s">
        <v>54</v>
      </c>
      <c r="L2327" t="s">
        <v>3898</v>
      </c>
      <c r="M2327" t="s">
        <v>134</v>
      </c>
      <c r="N2327" t="s">
        <v>135</v>
      </c>
      <c r="O2327"/>
      <c r="P2327"/>
      <c r="Q2327" t="s">
        <v>291</v>
      </c>
      <c r="R2327"/>
      <c r="S2327"/>
      <c r="T2327"/>
      <c r="U2327" t="s">
        <v>137</v>
      </c>
      <c r="V2327" t="s">
        <v>427</v>
      </c>
      <c r="W2327"/>
      <c r="X2327" t="s">
        <v>121</v>
      </c>
      <c r="Y2327"/>
      <c r="Z2327"/>
      <c r="AA2327" t="s">
        <v>4844</v>
      </c>
      <c r="AB2327" t="s">
        <v>4</v>
      </c>
      <c r="AC2327" t="s">
        <v>138</v>
      </c>
      <c r="AD2327" t="s">
        <v>130</v>
      </c>
      <c r="AE2327" s="97"/>
    </row>
    <row r="2328" spans="1:31" ht="14.4" customHeight="1" x14ac:dyDescent="0.3">
      <c r="A2328" t="s">
        <v>4875</v>
      </c>
      <c r="B2328" t="s">
        <v>3961</v>
      </c>
      <c r="C2328"/>
      <c r="D2328"/>
      <c r="E2328"/>
      <c r="F2328"/>
      <c r="G2328" t="s">
        <v>4843</v>
      </c>
      <c r="H2328" t="s">
        <v>132</v>
      </c>
      <c r="I2328" t="s">
        <v>4</v>
      </c>
      <c r="J2328" t="s">
        <v>4276</v>
      </c>
      <c r="K2328" t="s">
        <v>54</v>
      </c>
      <c r="L2328" t="s">
        <v>3898</v>
      </c>
      <c r="M2328" t="s">
        <v>134</v>
      </c>
      <c r="N2328" t="s">
        <v>135</v>
      </c>
      <c r="O2328"/>
      <c r="P2328"/>
      <c r="Q2328" t="s">
        <v>291</v>
      </c>
      <c r="R2328"/>
      <c r="S2328"/>
      <c r="T2328"/>
      <c r="U2328" t="s">
        <v>137</v>
      </c>
      <c r="V2328" t="s">
        <v>1279</v>
      </c>
      <c r="W2328"/>
      <c r="X2328" t="s">
        <v>71</v>
      </c>
      <c r="Y2328"/>
      <c r="Z2328"/>
      <c r="AA2328" t="s">
        <v>4844</v>
      </c>
      <c r="AB2328" t="s">
        <v>4</v>
      </c>
      <c r="AC2328" t="s">
        <v>138</v>
      </c>
      <c r="AD2328" t="s">
        <v>128</v>
      </c>
      <c r="AE2328" s="97"/>
    </row>
    <row r="2329" spans="1:31" ht="14.4" customHeight="1" x14ac:dyDescent="0.3">
      <c r="A2329" t="s">
        <v>4876</v>
      </c>
      <c r="B2329" t="s">
        <v>3963</v>
      </c>
      <c r="C2329"/>
      <c r="D2329"/>
      <c r="E2329"/>
      <c r="F2329"/>
      <c r="G2329" t="s">
        <v>4843</v>
      </c>
      <c r="H2329" t="s">
        <v>132</v>
      </c>
      <c r="I2329" t="s">
        <v>4</v>
      </c>
      <c r="J2329" t="s">
        <v>4276</v>
      </c>
      <c r="K2329" t="s">
        <v>54</v>
      </c>
      <c r="L2329" t="s">
        <v>3898</v>
      </c>
      <c r="M2329" t="s">
        <v>134</v>
      </c>
      <c r="N2329" t="s">
        <v>135</v>
      </c>
      <c r="O2329"/>
      <c r="P2329"/>
      <c r="Q2329" t="s">
        <v>291</v>
      </c>
      <c r="R2329"/>
      <c r="S2329"/>
      <c r="T2329"/>
      <c r="U2329" t="s">
        <v>137</v>
      </c>
      <c r="V2329" t="s">
        <v>1283</v>
      </c>
      <c r="W2329"/>
      <c r="X2329" t="s">
        <v>78</v>
      </c>
      <c r="Y2329"/>
      <c r="Z2329"/>
      <c r="AA2329" t="s">
        <v>4844</v>
      </c>
      <c r="AB2329" t="s">
        <v>4</v>
      </c>
      <c r="AC2329" t="s">
        <v>138</v>
      </c>
      <c r="AD2329" t="s">
        <v>128</v>
      </c>
      <c r="AE2329" s="97"/>
    </row>
    <row r="2330" spans="1:31" ht="14.4" customHeight="1" x14ac:dyDescent="0.3">
      <c r="A2330" t="s">
        <v>4877</v>
      </c>
      <c r="B2330" t="s">
        <v>3965</v>
      </c>
      <c r="C2330"/>
      <c r="D2330"/>
      <c r="E2330"/>
      <c r="F2330"/>
      <c r="G2330" t="s">
        <v>4843</v>
      </c>
      <c r="H2330" t="s">
        <v>132</v>
      </c>
      <c r="I2330" t="s">
        <v>4</v>
      </c>
      <c r="J2330" t="s">
        <v>4276</v>
      </c>
      <c r="K2330" t="s">
        <v>54</v>
      </c>
      <c r="L2330" t="s">
        <v>3898</v>
      </c>
      <c r="M2330" t="s">
        <v>134</v>
      </c>
      <c r="N2330" t="s">
        <v>135</v>
      </c>
      <c r="O2330"/>
      <c r="P2330"/>
      <c r="Q2330" t="s">
        <v>291</v>
      </c>
      <c r="R2330"/>
      <c r="S2330"/>
      <c r="T2330"/>
      <c r="U2330" t="s">
        <v>137</v>
      </c>
      <c r="V2330" t="s">
        <v>1287</v>
      </c>
      <c r="W2330"/>
      <c r="X2330" t="s">
        <v>89</v>
      </c>
      <c r="Y2330"/>
      <c r="Z2330"/>
      <c r="AA2330" t="s">
        <v>4844</v>
      </c>
      <c r="AB2330" t="s">
        <v>4</v>
      </c>
      <c r="AC2330" t="s">
        <v>138</v>
      </c>
      <c r="AD2330" t="s">
        <v>129</v>
      </c>
      <c r="AE2330" s="97"/>
    </row>
    <row r="2331" spans="1:31" ht="14.4" customHeight="1" x14ac:dyDescent="0.3">
      <c r="A2331" t="s">
        <v>4878</v>
      </c>
      <c r="B2331" t="s">
        <v>3967</v>
      </c>
      <c r="C2331"/>
      <c r="D2331"/>
      <c r="E2331"/>
      <c r="F2331"/>
      <c r="G2331" t="s">
        <v>4843</v>
      </c>
      <c r="H2331" t="s">
        <v>132</v>
      </c>
      <c r="I2331" t="s">
        <v>4</v>
      </c>
      <c r="J2331" t="s">
        <v>4276</v>
      </c>
      <c r="K2331" t="s">
        <v>54</v>
      </c>
      <c r="L2331" t="s">
        <v>3898</v>
      </c>
      <c r="M2331" t="s">
        <v>134</v>
      </c>
      <c r="N2331" t="s">
        <v>135</v>
      </c>
      <c r="O2331"/>
      <c r="P2331"/>
      <c r="Q2331" t="s">
        <v>291</v>
      </c>
      <c r="R2331"/>
      <c r="S2331"/>
      <c r="T2331"/>
      <c r="U2331" t="s">
        <v>137</v>
      </c>
      <c r="V2331" t="s">
        <v>1291</v>
      </c>
      <c r="W2331"/>
      <c r="X2331" t="s">
        <v>98</v>
      </c>
      <c r="Y2331"/>
      <c r="Z2331"/>
      <c r="AA2331" t="s">
        <v>4844</v>
      </c>
      <c r="AB2331" t="s">
        <v>4</v>
      </c>
      <c r="AC2331" t="s">
        <v>138</v>
      </c>
      <c r="AD2331" t="s">
        <v>129</v>
      </c>
      <c r="AE2331" s="97"/>
    </row>
    <row r="2332" spans="1:31" ht="14.4" customHeight="1" x14ac:dyDescent="0.3">
      <c r="A2332" t="s">
        <v>4879</v>
      </c>
      <c r="B2332" t="s">
        <v>3969</v>
      </c>
      <c r="C2332"/>
      <c r="D2332"/>
      <c r="E2332"/>
      <c r="F2332"/>
      <c r="G2332" t="s">
        <v>4843</v>
      </c>
      <c r="H2332" t="s">
        <v>132</v>
      </c>
      <c r="I2332" t="s">
        <v>4</v>
      </c>
      <c r="J2332" t="s">
        <v>4276</v>
      </c>
      <c r="K2332" t="s">
        <v>54</v>
      </c>
      <c r="L2332" t="s">
        <v>3898</v>
      </c>
      <c r="M2332" t="s">
        <v>134</v>
      </c>
      <c r="N2332" t="s">
        <v>135</v>
      </c>
      <c r="O2332"/>
      <c r="P2332"/>
      <c r="Q2332" t="s">
        <v>291</v>
      </c>
      <c r="R2332"/>
      <c r="S2332"/>
      <c r="T2332"/>
      <c r="U2332" t="s">
        <v>137</v>
      </c>
      <c r="V2332" t="s">
        <v>1295</v>
      </c>
      <c r="W2332"/>
      <c r="X2332" t="s">
        <v>107</v>
      </c>
      <c r="Y2332"/>
      <c r="Z2332"/>
      <c r="AA2332" t="s">
        <v>4844</v>
      </c>
      <c r="AB2332" t="s">
        <v>4</v>
      </c>
      <c r="AC2332" t="s">
        <v>138</v>
      </c>
      <c r="AD2332" t="s">
        <v>129</v>
      </c>
      <c r="AE2332" s="97"/>
    </row>
    <row r="2333" spans="1:31" ht="14.4" customHeight="1" x14ac:dyDescent="0.3">
      <c r="A2333" t="s">
        <v>4880</v>
      </c>
      <c r="B2333" t="s">
        <v>3971</v>
      </c>
      <c r="C2333"/>
      <c r="D2333"/>
      <c r="E2333"/>
      <c r="F2333"/>
      <c r="G2333" t="s">
        <v>4843</v>
      </c>
      <c r="H2333" t="s">
        <v>132</v>
      </c>
      <c r="I2333" t="s">
        <v>4</v>
      </c>
      <c r="J2333" t="s">
        <v>4276</v>
      </c>
      <c r="K2333" t="s">
        <v>54</v>
      </c>
      <c r="L2333" t="s">
        <v>3898</v>
      </c>
      <c r="M2333" t="s">
        <v>134</v>
      </c>
      <c r="N2333" t="s">
        <v>135</v>
      </c>
      <c r="O2333"/>
      <c r="P2333"/>
      <c r="Q2333" t="s">
        <v>291</v>
      </c>
      <c r="R2333"/>
      <c r="S2333"/>
      <c r="T2333"/>
      <c r="U2333" t="s">
        <v>137</v>
      </c>
      <c r="V2333" t="s">
        <v>1299</v>
      </c>
      <c r="W2333"/>
      <c r="X2333" t="s">
        <v>114</v>
      </c>
      <c r="Y2333"/>
      <c r="Z2333"/>
      <c r="AA2333" t="s">
        <v>4844</v>
      </c>
      <c r="AB2333" t="s">
        <v>4</v>
      </c>
      <c r="AC2333" t="s">
        <v>138</v>
      </c>
      <c r="AD2333" t="s">
        <v>129</v>
      </c>
      <c r="AE2333" s="97"/>
    </row>
    <row r="2334" spans="1:31" ht="14.4" customHeight="1" x14ac:dyDescent="0.3">
      <c r="A2334" t="s">
        <v>4881</v>
      </c>
      <c r="B2334" t="s">
        <v>3973</v>
      </c>
      <c r="C2334"/>
      <c r="D2334"/>
      <c r="E2334"/>
      <c r="F2334"/>
      <c r="G2334" t="s">
        <v>4843</v>
      </c>
      <c r="H2334" t="s">
        <v>132</v>
      </c>
      <c r="I2334" t="s">
        <v>4</v>
      </c>
      <c r="J2334" t="s">
        <v>4276</v>
      </c>
      <c r="K2334" t="s">
        <v>54</v>
      </c>
      <c r="L2334" t="s">
        <v>3898</v>
      </c>
      <c r="M2334" t="s">
        <v>134</v>
      </c>
      <c r="N2334" t="s">
        <v>135</v>
      </c>
      <c r="O2334"/>
      <c r="P2334"/>
      <c r="Q2334" t="s">
        <v>291</v>
      </c>
      <c r="R2334"/>
      <c r="S2334"/>
      <c r="T2334"/>
      <c r="U2334" t="s">
        <v>137</v>
      </c>
      <c r="V2334" t="s">
        <v>1303</v>
      </c>
      <c r="W2334"/>
      <c r="X2334" t="s">
        <v>123</v>
      </c>
      <c r="Y2334"/>
      <c r="Z2334"/>
      <c r="AA2334" t="s">
        <v>4844</v>
      </c>
      <c r="AB2334" t="s">
        <v>4</v>
      </c>
      <c r="AC2334" t="s">
        <v>138</v>
      </c>
      <c r="AD2334" t="s">
        <v>130</v>
      </c>
      <c r="AE2334" s="97"/>
    </row>
    <row r="2335" spans="1:31" ht="14.4" customHeight="1" x14ac:dyDescent="0.3">
      <c r="A2335" t="s">
        <v>4882</v>
      </c>
      <c r="B2335" t="s">
        <v>3975</v>
      </c>
      <c r="C2335"/>
      <c r="D2335"/>
      <c r="E2335"/>
      <c r="F2335"/>
      <c r="G2335" t="s">
        <v>4843</v>
      </c>
      <c r="H2335" t="s">
        <v>132</v>
      </c>
      <c r="I2335" t="s">
        <v>4</v>
      </c>
      <c r="J2335" t="s">
        <v>4276</v>
      </c>
      <c r="K2335" t="s">
        <v>54</v>
      </c>
      <c r="L2335" t="s">
        <v>3898</v>
      </c>
      <c r="M2335" t="s">
        <v>134</v>
      </c>
      <c r="N2335" t="s">
        <v>135</v>
      </c>
      <c r="O2335"/>
      <c r="P2335"/>
      <c r="Q2335" t="s">
        <v>291</v>
      </c>
      <c r="R2335"/>
      <c r="S2335"/>
      <c r="T2335"/>
      <c r="U2335" t="s">
        <v>137</v>
      </c>
      <c r="V2335" t="s">
        <v>703</v>
      </c>
      <c r="W2335"/>
      <c r="X2335" t="s">
        <v>62</v>
      </c>
      <c r="Y2335"/>
      <c r="Z2335"/>
      <c r="AA2335" t="s">
        <v>4844</v>
      </c>
      <c r="AB2335" t="s">
        <v>4</v>
      </c>
      <c r="AC2335" t="s">
        <v>138</v>
      </c>
      <c r="AD2335" t="s">
        <v>128</v>
      </c>
      <c r="AE2335" s="97"/>
    </row>
    <row r="2336" spans="1:31" ht="14.4" customHeight="1" x14ac:dyDescent="0.3">
      <c r="A2336" t="s">
        <v>4883</v>
      </c>
      <c r="B2336" t="s">
        <v>3977</v>
      </c>
      <c r="C2336"/>
      <c r="D2336"/>
      <c r="E2336"/>
      <c r="F2336"/>
      <c r="G2336" t="s">
        <v>4843</v>
      </c>
      <c r="H2336" t="s">
        <v>132</v>
      </c>
      <c r="I2336" t="s">
        <v>4</v>
      </c>
      <c r="J2336" t="s">
        <v>4276</v>
      </c>
      <c r="K2336" t="s">
        <v>54</v>
      </c>
      <c r="L2336" t="s">
        <v>3898</v>
      </c>
      <c r="M2336" t="s">
        <v>134</v>
      </c>
      <c r="N2336" t="s">
        <v>135</v>
      </c>
      <c r="O2336"/>
      <c r="P2336"/>
      <c r="Q2336" t="s">
        <v>291</v>
      </c>
      <c r="R2336"/>
      <c r="S2336"/>
      <c r="T2336"/>
      <c r="U2336" t="s">
        <v>137</v>
      </c>
      <c r="V2336" t="s">
        <v>709</v>
      </c>
      <c r="W2336"/>
      <c r="X2336" t="s">
        <v>73</v>
      </c>
      <c r="Y2336"/>
      <c r="Z2336"/>
      <c r="AA2336" t="s">
        <v>4844</v>
      </c>
      <c r="AB2336" t="s">
        <v>4</v>
      </c>
      <c r="AC2336" t="s">
        <v>138</v>
      </c>
      <c r="AD2336" t="s">
        <v>128</v>
      </c>
      <c r="AE2336" s="97"/>
    </row>
    <row r="2337" spans="1:31" ht="14.4" customHeight="1" x14ac:dyDescent="0.3">
      <c r="A2337" t="s">
        <v>4884</v>
      </c>
      <c r="B2337" t="s">
        <v>3979</v>
      </c>
      <c r="C2337"/>
      <c r="D2337"/>
      <c r="E2337"/>
      <c r="F2337"/>
      <c r="G2337" t="s">
        <v>4843</v>
      </c>
      <c r="H2337" t="s">
        <v>132</v>
      </c>
      <c r="I2337" t="s">
        <v>4</v>
      </c>
      <c r="J2337" t="s">
        <v>4276</v>
      </c>
      <c r="K2337" t="s">
        <v>54</v>
      </c>
      <c r="L2337" t="s">
        <v>3898</v>
      </c>
      <c r="M2337" t="s">
        <v>134</v>
      </c>
      <c r="N2337" t="s">
        <v>135</v>
      </c>
      <c r="O2337"/>
      <c r="P2337"/>
      <c r="Q2337" t="s">
        <v>291</v>
      </c>
      <c r="R2337"/>
      <c r="S2337"/>
      <c r="T2337"/>
      <c r="U2337" t="s">
        <v>137</v>
      </c>
      <c r="V2337" t="s">
        <v>715</v>
      </c>
      <c r="W2337"/>
      <c r="X2337" t="s">
        <v>82</v>
      </c>
      <c r="Y2337"/>
      <c r="Z2337"/>
      <c r="AA2337" t="s">
        <v>4844</v>
      </c>
      <c r="AB2337" t="s">
        <v>4</v>
      </c>
      <c r="AC2337" t="s">
        <v>138</v>
      </c>
      <c r="AD2337" t="s">
        <v>129</v>
      </c>
      <c r="AE2337" s="97"/>
    </row>
    <row r="2338" spans="1:31" ht="14.4" customHeight="1" x14ac:dyDescent="0.3">
      <c r="A2338" t="s">
        <v>4885</v>
      </c>
      <c r="B2338" t="s">
        <v>3981</v>
      </c>
      <c r="C2338"/>
      <c r="D2338"/>
      <c r="E2338"/>
      <c r="F2338"/>
      <c r="G2338" t="s">
        <v>4843</v>
      </c>
      <c r="H2338" t="s">
        <v>132</v>
      </c>
      <c r="I2338" t="s">
        <v>4</v>
      </c>
      <c r="J2338" t="s">
        <v>4276</v>
      </c>
      <c r="K2338" t="s">
        <v>54</v>
      </c>
      <c r="L2338" t="s">
        <v>3898</v>
      </c>
      <c r="M2338" t="s">
        <v>134</v>
      </c>
      <c r="N2338" t="s">
        <v>135</v>
      </c>
      <c r="O2338"/>
      <c r="P2338"/>
      <c r="Q2338" t="s">
        <v>291</v>
      </c>
      <c r="R2338"/>
      <c r="S2338"/>
      <c r="T2338"/>
      <c r="U2338" t="s">
        <v>137</v>
      </c>
      <c r="V2338" t="s">
        <v>721</v>
      </c>
      <c r="W2338"/>
      <c r="X2338" t="s">
        <v>91</v>
      </c>
      <c r="Y2338"/>
      <c r="Z2338"/>
      <c r="AA2338" t="s">
        <v>4844</v>
      </c>
      <c r="AB2338" t="s">
        <v>4</v>
      </c>
      <c r="AC2338" t="s">
        <v>138</v>
      </c>
      <c r="AD2338" t="s">
        <v>129</v>
      </c>
      <c r="AE2338" s="97"/>
    </row>
    <row r="2339" spans="1:31" ht="14.4" customHeight="1" x14ac:dyDescent="0.3">
      <c r="A2339" t="s">
        <v>4886</v>
      </c>
      <c r="B2339" t="s">
        <v>3983</v>
      </c>
      <c r="C2339"/>
      <c r="D2339"/>
      <c r="E2339"/>
      <c r="F2339"/>
      <c r="G2339" t="s">
        <v>4843</v>
      </c>
      <c r="H2339" t="s">
        <v>132</v>
      </c>
      <c r="I2339" t="s">
        <v>4</v>
      </c>
      <c r="J2339" t="s">
        <v>4276</v>
      </c>
      <c r="K2339" t="s">
        <v>54</v>
      </c>
      <c r="L2339" t="s">
        <v>3898</v>
      </c>
      <c r="M2339" t="s">
        <v>134</v>
      </c>
      <c r="N2339" t="s">
        <v>135</v>
      </c>
      <c r="O2339"/>
      <c r="P2339"/>
      <c r="Q2339" t="s">
        <v>291</v>
      </c>
      <c r="R2339"/>
      <c r="S2339"/>
      <c r="T2339"/>
      <c r="U2339" t="s">
        <v>137</v>
      </c>
      <c r="V2339" t="s">
        <v>727</v>
      </c>
      <c r="W2339"/>
      <c r="X2339" t="s">
        <v>100</v>
      </c>
      <c r="Y2339"/>
      <c r="Z2339"/>
      <c r="AA2339" t="s">
        <v>4844</v>
      </c>
      <c r="AB2339" t="s">
        <v>4</v>
      </c>
      <c r="AC2339" t="s">
        <v>138</v>
      </c>
      <c r="AD2339" t="s">
        <v>129</v>
      </c>
      <c r="AE2339" s="97"/>
    </row>
    <row r="2340" spans="1:31" ht="14.4" customHeight="1" x14ac:dyDescent="0.3">
      <c r="A2340" t="s">
        <v>4887</v>
      </c>
      <c r="B2340" t="s">
        <v>3985</v>
      </c>
      <c r="C2340"/>
      <c r="D2340"/>
      <c r="E2340"/>
      <c r="F2340"/>
      <c r="G2340" t="s">
        <v>4843</v>
      </c>
      <c r="H2340" t="s">
        <v>132</v>
      </c>
      <c r="I2340" t="s">
        <v>4</v>
      </c>
      <c r="J2340" t="s">
        <v>4276</v>
      </c>
      <c r="K2340" t="s">
        <v>54</v>
      </c>
      <c r="L2340" t="s">
        <v>3898</v>
      </c>
      <c r="M2340" t="s">
        <v>134</v>
      </c>
      <c r="N2340" t="s">
        <v>135</v>
      </c>
      <c r="O2340"/>
      <c r="P2340"/>
      <c r="Q2340" t="s">
        <v>291</v>
      </c>
      <c r="R2340"/>
      <c r="S2340"/>
      <c r="T2340"/>
      <c r="U2340" t="s">
        <v>137</v>
      </c>
      <c r="V2340" t="s">
        <v>733</v>
      </c>
      <c r="W2340"/>
      <c r="X2340" t="s">
        <v>109</v>
      </c>
      <c r="Y2340"/>
      <c r="Z2340"/>
      <c r="AA2340" t="s">
        <v>4844</v>
      </c>
      <c r="AB2340" t="s">
        <v>4</v>
      </c>
      <c r="AC2340" t="s">
        <v>138</v>
      </c>
      <c r="AD2340" t="s">
        <v>129</v>
      </c>
      <c r="AE2340" s="97"/>
    </row>
    <row r="2341" spans="1:31" ht="14.4" customHeight="1" x14ac:dyDescent="0.3">
      <c r="A2341" t="s">
        <v>4888</v>
      </c>
      <c r="B2341" t="s">
        <v>3987</v>
      </c>
      <c r="C2341"/>
      <c r="D2341"/>
      <c r="E2341"/>
      <c r="F2341"/>
      <c r="G2341" t="s">
        <v>4843</v>
      </c>
      <c r="H2341" t="s">
        <v>132</v>
      </c>
      <c r="I2341" t="s">
        <v>4</v>
      </c>
      <c r="J2341" t="s">
        <v>4276</v>
      </c>
      <c r="K2341" t="s">
        <v>54</v>
      </c>
      <c r="L2341" t="s">
        <v>3898</v>
      </c>
      <c r="M2341" t="s">
        <v>134</v>
      </c>
      <c r="N2341" t="s">
        <v>135</v>
      </c>
      <c r="O2341"/>
      <c r="P2341"/>
      <c r="Q2341" t="s">
        <v>291</v>
      </c>
      <c r="R2341"/>
      <c r="S2341"/>
      <c r="T2341"/>
      <c r="U2341" t="s">
        <v>137</v>
      </c>
      <c r="V2341" t="s">
        <v>739</v>
      </c>
      <c r="W2341"/>
      <c r="X2341" t="s">
        <v>118</v>
      </c>
      <c r="Y2341"/>
      <c r="Z2341"/>
      <c r="AA2341" t="s">
        <v>4844</v>
      </c>
      <c r="AB2341" t="s">
        <v>4</v>
      </c>
      <c r="AC2341" t="s">
        <v>138</v>
      </c>
      <c r="AD2341" t="s">
        <v>130</v>
      </c>
      <c r="AE2341" s="97"/>
    </row>
    <row r="2342" spans="1:31" ht="14.4" customHeight="1" x14ac:dyDescent="0.3">
      <c r="A2342" t="s">
        <v>4889</v>
      </c>
      <c r="B2342" t="s">
        <v>3989</v>
      </c>
      <c r="C2342"/>
      <c r="D2342"/>
      <c r="E2342"/>
      <c r="F2342"/>
      <c r="G2342" t="s">
        <v>4843</v>
      </c>
      <c r="H2342" t="s">
        <v>132</v>
      </c>
      <c r="I2342" t="s">
        <v>4</v>
      </c>
      <c r="J2342" t="s">
        <v>4276</v>
      </c>
      <c r="K2342" t="s">
        <v>54</v>
      </c>
      <c r="L2342" t="s">
        <v>3898</v>
      </c>
      <c r="M2342" t="s">
        <v>134</v>
      </c>
      <c r="N2342" t="s">
        <v>135</v>
      </c>
      <c r="O2342"/>
      <c r="P2342"/>
      <c r="Q2342" t="s">
        <v>291</v>
      </c>
      <c r="R2342"/>
      <c r="S2342"/>
      <c r="T2342"/>
      <c r="U2342" t="s">
        <v>137</v>
      </c>
      <c r="V2342" t="s">
        <v>1967</v>
      </c>
      <c r="W2342"/>
      <c r="X2342" t="s">
        <v>125</v>
      </c>
      <c r="Y2342"/>
      <c r="Z2342"/>
      <c r="AA2342" t="s">
        <v>4844</v>
      </c>
      <c r="AB2342" t="s">
        <v>4</v>
      </c>
      <c r="AC2342" t="s">
        <v>138</v>
      </c>
      <c r="AD2342" t="s">
        <v>131</v>
      </c>
      <c r="AE2342" s="97"/>
    </row>
    <row r="2343" spans="1:31" ht="14.4" customHeight="1" x14ac:dyDescent="0.3">
      <c r="A2343" t="s">
        <v>4890</v>
      </c>
      <c r="B2343" t="s">
        <v>3991</v>
      </c>
      <c r="C2343"/>
      <c r="D2343"/>
      <c r="E2343"/>
      <c r="F2343"/>
      <c r="G2343" t="s">
        <v>4843</v>
      </c>
      <c r="H2343" t="s">
        <v>132</v>
      </c>
      <c r="I2343" t="s">
        <v>4</v>
      </c>
      <c r="J2343" t="s">
        <v>4276</v>
      </c>
      <c r="K2343" t="s">
        <v>54</v>
      </c>
      <c r="L2343" t="s">
        <v>3898</v>
      </c>
      <c r="M2343" t="s">
        <v>134</v>
      </c>
      <c r="N2343" t="s">
        <v>135</v>
      </c>
      <c r="O2343"/>
      <c r="P2343"/>
      <c r="Q2343" t="s">
        <v>291</v>
      </c>
      <c r="R2343"/>
      <c r="S2343"/>
      <c r="T2343"/>
      <c r="U2343" t="s">
        <v>137</v>
      </c>
      <c r="V2343" t="s">
        <v>1259</v>
      </c>
      <c r="W2343"/>
      <c r="X2343" t="s">
        <v>126</v>
      </c>
      <c r="Y2343"/>
      <c r="Z2343"/>
      <c r="AA2343" t="s">
        <v>4844</v>
      </c>
      <c r="AB2343" t="s">
        <v>4</v>
      </c>
      <c r="AC2343" t="s">
        <v>138</v>
      </c>
      <c r="AD2343" t="s">
        <v>131</v>
      </c>
      <c r="AE2343" s="97"/>
    </row>
    <row r="2344" spans="1:31" ht="14.4" customHeight="1" x14ac:dyDescent="0.3">
      <c r="A2344" t="s">
        <v>4891</v>
      </c>
      <c r="B2344" t="s">
        <v>3993</v>
      </c>
      <c r="C2344"/>
      <c r="D2344"/>
      <c r="E2344"/>
      <c r="F2344"/>
      <c r="G2344" t="s">
        <v>4843</v>
      </c>
      <c r="H2344" t="s">
        <v>132</v>
      </c>
      <c r="I2344" t="s">
        <v>4</v>
      </c>
      <c r="J2344" t="s">
        <v>4276</v>
      </c>
      <c r="K2344" t="s">
        <v>54</v>
      </c>
      <c r="L2344" t="s">
        <v>3898</v>
      </c>
      <c r="M2344" t="s">
        <v>134</v>
      </c>
      <c r="N2344" t="s">
        <v>135</v>
      </c>
      <c r="O2344"/>
      <c r="P2344"/>
      <c r="Q2344" t="s">
        <v>291</v>
      </c>
      <c r="R2344"/>
      <c r="S2344"/>
      <c r="T2344"/>
      <c r="U2344" t="s">
        <v>137</v>
      </c>
      <c r="V2344" t="s">
        <v>1263</v>
      </c>
      <c r="W2344"/>
      <c r="X2344" t="s">
        <v>69</v>
      </c>
      <c r="Y2344"/>
      <c r="Z2344"/>
      <c r="AA2344" t="s">
        <v>4844</v>
      </c>
      <c r="AB2344" t="s">
        <v>4</v>
      </c>
      <c r="AC2344" t="s">
        <v>138</v>
      </c>
      <c r="AD2344" t="s">
        <v>128</v>
      </c>
      <c r="AE2344" s="97"/>
    </row>
    <row r="2345" spans="1:31" ht="14.4" customHeight="1" x14ac:dyDescent="0.3">
      <c r="A2345" t="s">
        <v>4894</v>
      </c>
      <c r="B2345" t="s">
        <v>3919</v>
      </c>
      <c r="C2345"/>
      <c r="D2345"/>
      <c r="E2345"/>
      <c r="F2345"/>
      <c r="G2345" t="s">
        <v>4892</v>
      </c>
      <c r="H2345" t="s">
        <v>132</v>
      </c>
      <c r="I2345" t="s">
        <v>4</v>
      </c>
      <c r="J2345" t="s">
        <v>4276</v>
      </c>
      <c r="K2345" t="s">
        <v>54</v>
      </c>
      <c r="L2345" t="s">
        <v>3898</v>
      </c>
      <c r="M2345" t="s">
        <v>134</v>
      </c>
      <c r="N2345" t="s">
        <v>135</v>
      </c>
      <c r="O2345"/>
      <c r="P2345"/>
      <c r="Q2345" t="s">
        <v>291</v>
      </c>
      <c r="R2345"/>
      <c r="S2345"/>
      <c r="T2345"/>
      <c r="U2345" t="s">
        <v>137</v>
      </c>
      <c r="V2345" t="s">
        <v>640</v>
      </c>
      <c r="W2345"/>
      <c r="X2345" t="s">
        <v>66</v>
      </c>
      <c r="Y2345"/>
      <c r="Z2345"/>
      <c r="AA2345" t="s">
        <v>4893</v>
      </c>
      <c r="AB2345" t="s">
        <v>4</v>
      </c>
      <c r="AC2345" t="s">
        <v>138</v>
      </c>
      <c r="AD2345" t="s">
        <v>128</v>
      </c>
      <c r="AE2345" s="97"/>
    </row>
    <row r="2346" spans="1:31" ht="14.4" customHeight="1" x14ac:dyDescent="0.3">
      <c r="A2346" t="s">
        <v>4895</v>
      </c>
      <c r="B2346" t="s">
        <v>3921</v>
      </c>
      <c r="C2346"/>
      <c r="D2346"/>
      <c r="E2346"/>
      <c r="F2346"/>
      <c r="G2346" t="s">
        <v>4892</v>
      </c>
      <c r="H2346" t="s">
        <v>132</v>
      </c>
      <c r="I2346" t="s">
        <v>4</v>
      </c>
      <c r="J2346" t="s">
        <v>4276</v>
      </c>
      <c r="K2346" t="s">
        <v>54</v>
      </c>
      <c r="L2346" t="s">
        <v>3898</v>
      </c>
      <c r="M2346" t="s">
        <v>134</v>
      </c>
      <c r="N2346" t="s">
        <v>135</v>
      </c>
      <c r="O2346"/>
      <c r="P2346"/>
      <c r="Q2346" t="s">
        <v>291</v>
      </c>
      <c r="R2346"/>
      <c r="S2346"/>
      <c r="T2346"/>
      <c r="U2346" t="s">
        <v>137</v>
      </c>
      <c r="V2346" t="s">
        <v>646</v>
      </c>
      <c r="W2346"/>
      <c r="X2346" t="s">
        <v>74</v>
      </c>
      <c r="Y2346"/>
      <c r="Z2346"/>
      <c r="AA2346" t="s">
        <v>4893</v>
      </c>
      <c r="AB2346" t="s">
        <v>4</v>
      </c>
      <c r="AC2346" t="s">
        <v>138</v>
      </c>
      <c r="AD2346" t="s">
        <v>128</v>
      </c>
      <c r="AE2346" s="97"/>
    </row>
    <row r="2347" spans="1:31" ht="14.4" customHeight="1" x14ac:dyDescent="0.3">
      <c r="A2347" t="s">
        <v>4896</v>
      </c>
      <c r="B2347" t="s">
        <v>3923</v>
      </c>
      <c r="C2347"/>
      <c r="D2347"/>
      <c r="E2347"/>
      <c r="F2347"/>
      <c r="G2347" t="s">
        <v>4892</v>
      </c>
      <c r="H2347" t="s">
        <v>132</v>
      </c>
      <c r="I2347" t="s">
        <v>4</v>
      </c>
      <c r="J2347" t="s">
        <v>4276</v>
      </c>
      <c r="K2347" t="s">
        <v>54</v>
      </c>
      <c r="L2347" t="s">
        <v>3898</v>
      </c>
      <c r="M2347" t="s">
        <v>134</v>
      </c>
      <c r="N2347" t="s">
        <v>135</v>
      </c>
      <c r="O2347"/>
      <c r="P2347"/>
      <c r="Q2347" t="s">
        <v>291</v>
      </c>
      <c r="R2347"/>
      <c r="S2347"/>
      <c r="T2347"/>
      <c r="U2347" t="s">
        <v>137</v>
      </c>
      <c r="V2347" t="s">
        <v>652</v>
      </c>
      <c r="W2347"/>
      <c r="X2347" t="s">
        <v>85</v>
      </c>
      <c r="Y2347"/>
      <c r="Z2347"/>
      <c r="AA2347" t="s">
        <v>4893</v>
      </c>
      <c r="AB2347" t="s">
        <v>4</v>
      </c>
      <c r="AC2347" t="s">
        <v>138</v>
      </c>
      <c r="AD2347" t="s">
        <v>129</v>
      </c>
      <c r="AE2347" s="97"/>
    </row>
    <row r="2348" spans="1:31" ht="14.4" customHeight="1" x14ac:dyDescent="0.3">
      <c r="A2348" t="s">
        <v>4897</v>
      </c>
      <c r="B2348" t="s">
        <v>3925</v>
      </c>
      <c r="C2348"/>
      <c r="D2348"/>
      <c r="E2348"/>
      <c r="F2348"/>
      <c r="G2348" t="s">
        <v>4892</v>
      </c>
      <c r="H2348" t="s">
        <v>132</v>
      </c>
      <c r="I2348" t="s">
        <v>4</v>
      </c>
      <c r="J2348" t="s">
        <v>4276</v>
      </c>
      <c r="K2348" t="s">
        <v>54</v>
      </c>
      <c r="L2348" t="s">
        <v>3898</v>
      </c>
      <c r="M2348" t="s">
        <v>134</v>
      </c>
      <c r="N2348" t="s">
        <v>135</v>
      </c>
      <c r="O2348"/>
      <c r="P2348"/>
      <c r="Q2348" t="s">
        <v>291</v>
      </c>
      <c r="R2348"/>
      <c r="S2348"/>
      <c r="T2348"/>
      <c r="U2348" t="s">
        <v>137</v>
      </c>
      <c r="V2348" t="s">
        <v>658</v>
      </c>
      <c r="W2348"/>
      <c r="X2348" t="s">
        <v>94</v>
      </c>
      <c r="Y2348"/>
      <c r="Z2348"/>
      <c r="AA2348" t="s">
        <v>4893</v>
      </c>
      <c r="AB2348" t="s">
        <v>4</v>
      </c>
      <c r="AC2348" t="s">
        <v>138</v>
      </c>
      <c r="AD2348" t="s">
        <v>129</v>
      </c>
      <c r="AE2348" s="97"/>
    </row>
    <row r="2349" spans="1:31" ht="14.4" customHeight="1" x14ac:dyDescent="0.3">
      <c r="A2349" t="s">
        <v>4898</v>
      </c>
      <c r="B2349" t="s">
        <v>3927</v>
      </c>
      <c r="C2349"/>
      <c r="D2349"/>
      <c r="E2349"/>
      <c r="F2349"/>
      <c r="G2349" t="s">
        <v>4892</v>
      </c>
      <c r="H2349" t="s">
        <v>132</v>
      </c>
      <c r="I2349" t="s">
        <v>4</v>
      </c>
      <c r="J2349" t="s">
        <v>4276</v>
      </c>
      <c r="K2349" t="s">
        <v>54</v>
      </c>
      <c r="L2349" t="s">
        <v>3898</v>
      </c>
      <c r="M2349" t="s">
        <v>134</v>
      </c>
      <c r="N2349" t="s">
        <v>135</v>
      </c>
      <c r="O2349"/>
      <c r="P2349"/>
      <c r="Q2349" t="s">
        <v>291</v>
      </c>
      <c r="R2349"/>
      <c r="S2349"/>
      <c r="T2349"/>
      <c r="U2349" t="s">
        <v>137</v>
      </c>
      <c r="V2349" t="s">
        <v>664</v>
      </c>
      <c r="W2349"/>
      <c r="X2349" t="s">
        <v>103</v>
      </c>
      <c r="Y2349"/>
      <c r="Z2349"/>
      <c r="AA2349" t="s">
        <v>4893</v>
      </c>
      <c r="AB2349" t="s">
        <v>4</v>
      </c>
      <c r="AC2349" t="s">
        <v>138</v>
      </c>
      <c r="AD2349" t="s">
        <v>129</v>
      </c>
      <c r="AE2349" s="97"/>
    </row>
    <row r="2350" spans="1:31" ht="14.4" customHeight="1" x14ac:dyDescent="0.3">
      <c r="A2350" t="s">
        <v>4899</v>
      </c>
      <c r="B2350" t="s">
        <v>3929</v>
      </c>
      <c r="C2350"/>
      <c r="D2350"/>
      <c r="E2350"/>
      <c r="F2350"/>
      <c r="G2350" t="s">
        <v>4892</v>
      </c>
      <c r="H2350" t="s">
        <v>132</v>
      </c>
      <c r="I2350" t="s">
        <v>4</v>
      </c>
      <c r="J2350" t="s">
        <v>4276</v>
      </c>
      <c r="K2350" t="s">
        <v>54</v>
      </c>
      <c r="L2350" t="s">
        <v>3898</v>
      </c>
      <c r="M2350" t="s">
        <v>134</v>
      </c>
      <c r="N2350" t="s">
        <v>135</v>
      </c>
      <c r="O2350"/>
      <c r="P2350"/>
      <c r="Q2350" t="s">
        <v>291</v>
      </c>
      <c r="R2350"/>
      <c r="S2350"/>
      <c r="T2350"/>
      <c r="U2350" t="s">
        <v>137</v>
      </c>
      <c r="V2350" t="s">
        <v>670</v>
      </c>
      <c r="W2350"/>
      <c r="X2350" t="s">
        <v>110</v>
      </c>
      <c r="Y2350"/>
      <c r="Z2350"/>
      <c r="AA2350" t="s">
        <v>4893</v>
      </c>
      <c r="AB2350" t="s">
        <v>4</v>
      </c>
      <c r="AC2350" t="s">
        <v>138</v>
      </c>
      <c r="AD2350" t="s">
        <v>129</v>
      </c>
      <c r="AE2350" s="97"/>
    </row>
    <row r="2351" spans="1:31" ht="14.4" customHeight="1" x14ac:dyDescent="0.3">
      <c r="A2351" t="s">
        <v>4900</v>
      </c>
      <c r="B2351" t="s">
        <v>3931</v>
      </c>
      <c r="C2351"/>
      <c r="D2351"/>
      <c r="E2351"/>
      <c r="F2351"/>
      <c r="G2351" t="s">
        <v>4892</v>
      </c>
      <c r="H2351" t="s">
        <v>132</v>
      </c>
      <c r="I2351" t="s">
        <v>4</v>
      </c>
      <c r="J2351" t="s">
        <v>4276</v>
      </c>
      <c r="K2351" t="s">
        <v>54</v>
      </c>
      <c r="L2351" t="s">
        <v>3898</v>
      </c>
      <c r="M2351" t="s">
        <v>134</v>
      </c>
      <c r="N2351" t="s">
        <v>135</v>
      </c>
      <c r="O2351"/>
      <c r="P2351"/>
      <c r="Q2351" t="s">
        <v>291</v>
      </c>
      <c r="R2351"/>
      <c r="S2351"/>
      <c r="T2351"/>
      <c r="U2351" t="s">
        <v>137</v>
      </c>
      <c r="V2351" t="s">
        <v>676</v>
      </c>
      <c r="W2351"/>
      <c r="X2351" t="s">
        <v>119</v>
      </c>
      <c r="Y2351"/>
      <c r="Z2351"/>
      <c r="AA2351" t="s">
        <v>4893</v>
      </c>
      <c r="AB2351" t="s">
        <v>4</v>
      </c>
      <c r="AC2351" t="s">
        <v>138</v>
      </c>
      <c r="AD2351" t="s">
        <v>130</v>
      </c>
      <c r="AE2351" s="97"/>
    </row>
    <row r="2352" spans="1:31" ht="14.4" customHeight="1" x14ac:dyDescent="0.3">
      <c r="A2352" t="s">
        <v>4901</v>
      </c>
      <c r="B2352" t="s">
        <v>3947</v>
      </c>
      <c r="C2352"/>
      <c r="D2352"/>
      <c r="E2352"/>
      <c r="F2352"/>
      <c r="G2352" t="s">
        <v>4892</v>
      </c>
      <c r="H2352" t="s">
        <v>132</v>
      </c>
      <c r="I2352" t="s">
        <v>4</v>
      </c>
      <c r="J2352" t="s">
        <v>4276</v>
      </c>
      <c r="K2352" t="s">
        <v>54</v>
      </c>
      <c r="L2352" t="s">
        <v>3898</v>
      </c>
      <c r="M2352" t="s">
        <v>134</v>
      </c>
      <c r="N2352" t="s">
        <v>135</v>
      </c>
      <c r="O2352"/>
      <c r="P2352"/>
      <c r="Q2352" t="s">
        <v>291</v>
      </c>
      <c r="R2352"/>
      <c r="S2352"/>
      <c r="T2352"/>
      <c r="U2352" t="s">
        <v>137</v>
      </c>
      <c r="V2352" t="s">
        <v>403</v>
      </c>
      <c r="W2352"/>
      <c r="X2352" t="s">
        <v>68</v>
      </c>
      <c r="Y2352"/>
      <c r="Z2352"/>
      <c r="AA2352" t="s">
        <v>4893</v>
      </c>
      <c r="AB2352" t="s">
        <v>4</v>
      </c>
      <c r="AC2352" t="s">
        <v>138</v>
      </c>
      <c r="AD2352" t="s">
        <v>128</v>
      </c>
      <c r="AE2352" s="97"/>
    </row>
    <row r="2353" spans="1:31" ht="14.4" customHeight="1" x14ac:dyDescent="0.3">
      <c r="A2353" t="s">
        <v>4902</v>
      </c>
      <c r="B2353" t="s">
        <v>3949</v>
      </c>
      <c r="C2353"/>
      <c r="D2353"/>
      <c r="E2353"/>
      <c r="F2353"/>
      <c r="G2353" t="s">
        <v>4892</v>
      </c>
      <c r="H2353" t="s">
        <v>132</v>
      </c>
      <c r="I2353" t="s">
        <v>4</v>
      </c>
      <c r="J2353" t="s">
        <v>4276</v>
      </c>
      <c r="K2353" t="s">
        <v>54</v>
      </c>
      <c r="L2353" t="s">
        <v>3898</v>
      </c>
      <c r="M2353" t="s">
        <v>134</v>
      </c>
      <c r="N2353" t="s">
        <v>135</v>
      </c>
      <c r="O2353"/>
      <c r="P2353"/>
      <c r="Q2353" t="s">
        <v>291</v>
      </c>
      <c r="R2353"/>
      <c r="S2353"/>
      <c r="T2353"/>
      <c r="U2353" t="s">
        <v>137</v>
      </c>
      <c r="V2353" t="s">
        <v>407</v>
      </c>
      <c r="W2353"/>
      <c r="X2353" t="s">
        <v>77</v>
      </c>
      <c r="Y2353"/>
      <c r="Z2353"/>
      <c r="AA2353" t="s">
        <v>4893</v>
      </c>
      <c r="AB2353" t="s">
        <v>4</v>
      </c>
      <c r="AC2353" t="s">
        <v>138</v>
      </c>
      <c r="AD2353" t="s">
        <v>128</v>
      </c>
      <c r="AE2353" s="97"/>
    </row>
    <row r="2354" spans="1:31" ht="14.4" customHeight="1" x14ac:dyDescent="0.3">
      <c r="A2354" t="s">
        <v>4903</v>
      </c>
      <c r="B2354" t="s">
        <v>3951</v>
      </c>
      <c r="C2354"/>
      <c r="D2354"/>
      <c r="E2354"/>
      <c r="F2354"/>
      <c r="G2354" t="s">
        <v>4892</v>
      </c>
      <c r="H2354" t="s">
        <v>132</v>
      </c>
      <c r="I2354" t="s">
        <v>4</v>
      </c>
      <c r="J2354" t="s">
        <v>4276</v>
      </c>
      <c r="K2354" t="s">
        <v>54</v>
      </c>
      <c r="L2354" t="s">
        <v>3898</v>
      </c>
      <c r="M2354" t="s">
        <v>134</v>
      </c>
      <c r="N2354" t="s">
        <v>135</v>
      </c>
      <c r="O2354"/>
      <c r="P2354"/>
      <c r="Q2354" t="s">
        <v>291</v>
      </c>
      <c r="R2354"/>
      <c r="S2354"/>
      <c r="T2354"/>
      <c r="U2354" t="s">
        <v>137</v>
      </c>
      <c r="V2354" t="s">
        <v>411</v>
      </c>
      <c r="W2354"/>
      <c r="X2354" t="s">
        <v>87</v>
      </c>
      <c r="Y2354"/>
      <c r="Z2354"/>
      <c r="AA2354" t="s">
        <v>4893</v>
      </c>
      <c r="AB2354" t="s">
        <v>4</v>
      </c>
      <c r="AC2354" t="s">
        <v>138</v>
      </c>
      <c r="AD2354" t="s">
        <v>129</v>
      </c>
      <c r="AE2354" s="97"/>
    </row>
    <row r="2355" spans="1:31" ht="14.4" customHeight="1" x14ac:dyDescent="0.3">
      <c r="A2355" t="s">
        <v>4904</v>
      </c>
      <c r="B2355" t="s">
        <v>3953</v>
      </c>
      <c r="C2355"/>
      <c r="D2355"/>
      <c r="E2355"/>
      <c r="F2355"/>
      <c r="G2355" t="s">
        <v>4892</v>
      </c>
      <c r="H2355" t="s">
        <v>132</v>
      </c>
      <c r="I2355" t="s">
        <v>4</v>
      </c>
      <c r="J2355" t="s">
        <v>4276</v>
      </c>
      <c r="K2355" t="s">
        <v>54</v>
      </c>
      <c r="L2355" t="s">
        <v>3898</v>
      </c>
      <c r="M2355" t="s">
        <v>134</v>
      </c>
      <c r="N2355" t="s">
        <v>135</v>
      </c>
      <c r="O2355"/>
      <c r="P2355"/>
      <c r="Q2355" t="s">
        <v>291</v>
      </c>
      <c r="R2355"/>
      <c r="S2355"/>
      <c r="T2355"/>
      <c r="U2355" t="s">
        <v>137</v>
      </c>
      <c r="V2355" t="s">
        <v>415</v>
      </c>
      <c r="W2355"/>
      <c r="X2355" t="s">
        <v>96</v>
      </c>
      <c r="Y2355"/>
      <c r="Z2355"/>
      <c r="AA2355" t="s">
        <v>4893</v>
      </c>
      <c r="AB2355" t="s">
        <v>4</v>
      </c>
      <c r="AC2355" t="s">
        <v>138</v>
      </c>
      <c r="AD2355" t="s">
        <v>129</v>
      </c>
      <c r="AE2355" s="97"/>
    </row>
    <row r="2356" spans="1:31" ht="14.4" customHeight="1" x14ac:dyDescent="0.3">
      <c r="A2356" t="s">
        <v>4905</v>
      </c>
      <c r="B2356" t="s">
        <v>3955</v>
      </c>
      <c r="C2356"/>
      <c r="D2356"/>
      <c r="E2356"/>
      <c r="F2356"/>
      <c r="G2356" t="s">
        <v>4892</v>
      </c>
      <c r="H2356" t="s">
        <v>132</v>
      </c>
      <c r="I2356" t="s">
        <v>4</v>
      </c>
      <c r="J2356" t="s">
        <v>4276</v>
      </c>
      <c r="K2356" t="s">
        <v>54</v>
      </c>
      <c r="L2356" t="s">
        <v>3898</v>
      </c>
      <c r="M2356" t="s">
        <v>134</v>
      </c>
      <c r="N2356" t="s">
        <v>135</v>
      </c>
      <c r="O2356"/>
      <c r="P2356"/>
      <c r="Q2356" t="s">
        <v>291</v>
      </c>
      <c r="R2356"/>
      <c r="S2356"/>
      <c r="T2356"/>
      <c r="U2356" t="s">
        <v>137</v>
      </c>
      <c r="V2356" t="s">
        <v>419</v>
      </c>
      <c r="W2356"/>
      <c r="X2356" t="s">
        <v>105</v>
      </c>
      <c r="Y2356"/>
      <c r="Z2356"/>
      <c r="AA2356" t="s">
        <v>4893</v>
      </c>
      <c r="AB2356" t="s">
        <v>4</v>
      </c>
      <c r="AC2356" t="s">
        <v>138</v>
      </c>
      <c r="AD2356" t="s">
        <v>129</v>
      </c>
      <c r="AE2356" s="97"/>
    </row>
    <row r="2357" spans="1:31" ht="14.4" customHeight="1" x14ac:dyDescent="0.3">
      <c r="A2357" t="s">
        <v>4906</v>
      </c>
      <c r="B2357" t="s">
        <v>3957</v>
      </c>
      <c r="C2357"/>
      <c r="D2357"/>
      <c r="E2357"/>
      <c r="F2357"/>
      <c r="G2357" t="s">
        <v>4892</v>
      </c>
      <c r="H2357" t="s">
        <v>132</v>
      </c>
      <c r="I2357" t="s">
        <v>4</v>
      </c>
      <c r="J2357" t="s">
        <v>4276</v>
      </c>
      <c r="K2357" t="s">
        <v>54</v>
      </c>
      <c r="L2357" t="s">
        <v>3898</v>
      </c>
      <c r="M2357" t="s">
        <v>134</v>
      </c>
      <c r="N2357" t="s">
        <v>135</v>
      </c>
      <c r="O2357"/>
      <c r="P2357"/>
      <c r="Q2357" t="s">
        <v>291</v>
      </c>
      <c r="R2357"/>
      <c r="S2357"/>
      <c r="T2357"/>
      <c r="U2357" t="s">
        <v>137</v>
      </c>
      <c r="V2357" t="s">
        <v>423</v>
      </c>
      <c r="W2357"/>
      <c r="X2357" t="s">
        <v>112</v>
      </c>
      <c r="Y2357"/>
      <c r="Z2357"/>
      <c r="AA2357" t="s">
        <v>4893</v>
      </c>
      <c r="AB2357" t="s">
        <v>4</v>
      </c>
      <c r="AC2357" t="s">
        <v>138</v>
      </c>
      <c r="AD2357" t="s">
        <v>129</v>
      </c>
      <c r="AE2357" s="97"/>
    </row>
    <row r="2358" spans="1:31" ht="14.4" customHeight="1" x14ac:dyDescent="0.3">
      <c r="A2358" t="s">
        <v>4907</v>
      </c>
      <c r="B2358" t="s">
        <v>3959</v>
      </c>
      <c r="C2358"/>
      <c r="D2358"/>
      <c r="E2358"/>
      <c r="F2358"/>
      <c r="G2358" t="s">
        <v>4892</v>
      </c>
      <c r="H2358" t="s">
        <v>132</v>
      </c>
      <c r="I2358" t="s">
        <v>4</v>
      </c>
      <c r="J2358" t="s">
        <v>4276</v>
      </c>
      <c r="K2358" t="s">
        <v>54</v>
      </c>
      <c r="L2358" t="s">
        <v>3898</v>
      </c>
      <c r="M2358" t="s">
        <v>134</v>
      </c>
      <c r="N2358" t="s">
        <v>135</v>
      </c>
      <c r="O2358"/>
      <c r="P2358"/>
      <c r="Q2358" t="s">
        <v>291</v>
      </c>
      <c r="R2358"/>
      <c r="S2358"/>
      <c r="T2358"/>
      <c r="U2358" t="s">
        <v>137</v>
      </c>
      <c r="V2358" t="s">
        <v>427</v>
      </c>
      <c r="W2358"/>
      <c r="X2358" t="s">
        <v>121</v>
      </c>
      <c r="Y2358"/>
      <c r="Z2358"/>
      <c r="AA2358" t="s">
        <v>4893</v>
      </c>
      <c r="AB2358" t="s">
        <v>4</v>
      </c>
      <c r="AC2358" t="s">
        <v>138</v>
      </c>
      <c r="AD2358" t="s">
        <v>130</v>
      </c>
      <c r="AE2358" s="97"/>
    </row>
    <row r="2359" spans="1:31" ht="14.4" customHeight="1" x14ac:dyDescent="0.3">
      <c r="A2359" t="s">
        <v>4908</v>
      </c>
      <c r="B2359" t="s">
        <v>3975</v>
      </c>
      <c r="C2359"/>
      <c r="D2359"/>
      <c r="E2359"/>
      <c r="F2359"/>
      <c r="G2359" t="s">
        <v>4892</v>
      </c>
      <c r="H2359" t="s">
        <v>132</v>
      </c>
      <c r="I2359" t="s">
        <v>4</v>
      </c>
      <c r="J2359" t="s">
        <v>4276</v>
      </c>
      <c r="K2359" t="s">
        <v>54</v>
      </c>
      <c r="L2359" t="s">
        <v>3898</v>
      </c>
      <c r="M2359" t="s">
        <v>134</v>
      </c>
      <c r="N2359" t="s">
        <v>135</v>
      </c>
      <c r="O2359"/>
      <c r="P2359"/>
      <c r="Q2359" t="s">
        <v>291</v>
      </c>
      <c r="R2359"/>
      <c r="S2359"/>
      <c r="T2359"/>
      <c r="U2359" t="s">
        <v>137</v>
      </c>
      <c r="V2359" t="s">
        <v>703</v>
      </c>
      <c r="W2359"/>
      <c r="X2359" t="s">
        <v>62</v>
      </c>
      <c r="Y2359"/>
      <c r="Z2359"/>
      <c r="AA2359" t="s">
        <v>4893</v>
      </c>
      <c r="AB2359" t="s">
        <v>4</v>
      </c>
      <c r="AC2359" t="s">
        <v>138</v>
      </c>
      <c r="AD2359" t="s">
        <v>128</v>
      </c>
      <c r="AE2359" s="97"/>
    </row>
    <row r="2360" spans="1:31" ht="14.4" customHeight="1" x14ac:dyDescent="0.3">
      <c r="A2360" t="s">
        <v>4909</v>
      </c>
      <c r="B2360" t="s">
        <v>3977</v>
      </c>
      <c r="C2360"/>
      <c r="D2360"/>
      <c r="E2360"/>
      <c r="F2360"/>
      <c r="G2360" t="s">
        <v>4892</v>
      </c>
      <c r="H2360" t="s">
        <v>132</v>
      </c>
      <c r="I2360" t="s">
        <v>4</v>
      </c>
      <c r="J2360" t="s">
        <v>4276</v>
      </c>
      <c r="K2360" t="s">
        <v>54</v>
      </c>
      <c r="L2360" t="s">
        <v>3898</v>
      </c>
      <c r="M2360" t="s">
        <v>134</v>
      </c>
      <c r="N2360" t="s">
        <v>135</v>
      </c>
      <c r="O2360"/>
      <c r="P2360"/>
      <c r="Q2360" t="s">
        <v>291</v>
      </c>
      <c r="R2360"/>
      <c r="S2360"/>
      <c r="T2360"/>
      <c r="U2360" t="s">
        <v>137</v>
      </c>
      <c r="V2360" t="s">
        <v>709</v>
      </c>
      <c r="W2360"/>
      <c r="X2360" t="s">
        <v>73</v>
      </c>
      <c r="Y2360"/>
      <c r="Z2360"/>
      <c r="AA2360" t="s">
        <v>4893</v>
      </c>
      <c r="AB2360" t="s">
        <v>4</v>
      </c>
      <c r="AC2360" t="s">
        <v>138</v>
      </c>
      <c r="AD2360" t="s">
        <v>128</v>
      </c>
      <c r="AE2360" s="97"/>
    </row>
    <row r="2361" spans="1:31" ht="14.4" customHeight="1" x14ac:dyDescent="0.3">
      <c r="A2361" t="s">
        <v>4910</v>
      </c>
      <c r="B2361" t="s">
        <v>3979</v>
      </c>
      <c r="C2361"/>
      <c r="D2361"/>
      <c r="E2361"/>
      <c r="F2361"/>
      <c r="G2361" t="s">
        <v>4892</v>
      </c>
      <c r="H2361" t="s">
        <v>132</v>
      </c>
      <c r="I2361" t="s">
        <v>4</v>
      </c>
      <c r="J2361" t="s">
        <v>4276</v>
      </c>
      <c r="K2361" t="s">
        <v>54</v>
      </c>
      <c r="L2361" t="s">
        <v>3898</v>
      </c>
      <c r="M2361" t="s">
        <v>134</v>
      </c>
      <c r="N2361" t="s">
        <v>135</v>
      </c>
      <c r="O2361"/>
      <c r="P2361"/>
      <c r="Q2361" t="s">
        <v>291</v>
      </c>
      <c r="R2361"/>
      <c r="S2361"/>
      <c r="T2361"/>
      <c r="U2361" t="s">
        <v>137</v>
      </c>
      <c r="V2361" t="s">
        <v>715</v>
      </c>
      <c r="W2361"/>
      <c r="X2361" t="s">
        <v>82</v>
      </c>
      <c r="Y2361"/>
      <c r="Z2361"/>
      <c r="AA2361" t="s">
        <v>4893</v>
      </c>
      <c r="AB2361" t="s">
        <v>4</v>
      </c>
      <c r="AC2361" t="s">
        <v>138</v>
      </c>
      <c r="AD2361" t="s">
        <v>129</v>
      </c>
      <c r="AE2361" s="97"/>
    </row>
    <row r="2362" spans="1:31" ht="14.4" customHeight="1" x14ac:dyDescent="0.3">
      <c r="A2362" t="s">
        <v>4911</v>
      </c>
      <c r="B2362" t="s">
        <v>3981</v>
      </c>
      <c r="C2362"/>
      <c r="D2362"/>
      <c r="E2362"/>
      <c r="F2362"/>
      <c r="G2362" t="s">
        <v>4892</v>
      </c>
      <c r="H2362" t="s">
        <v>132</v>
      </c>
      <c r="I2362" t="s">
        <v>4</v>
      </c>
      <c r="J2362" t="s">
        <v>4276</v>
      </c>
      <c r="K2362" t="s">
        <v>54</v>
      </c>
      <c r="L2362" t="s">
        <v>3898</v>
      </c>
      <c r="M2362" t="s">
        <v>134</v>
      </c>
      <c r="N2362" t="s">
        <v>135</v>
      </c>
      <c r="O2362"/>
      <c r="P2362"/>
      <c r="Q2362" t="s">
        <v>291</v>
      </c>
      <c r="R2362"/>
      <c r="S2362"/>
      <c r="T2362"/>
      <c r="U2362" t="s">
        <v>137</v>
      </c>
      <c r="V2362" t="s">
        <v>721</v>
      </c>
      <c r="W2362"/>
      <c r="X2362" t="s">
        <v>91</v>
      </c>
      <c r="Y2362"/>
      <c r="Z2362"/>
      <c r="AA2362" t="s">
        <v>4893</v>
      </c>
      <c r="AB2362" t="s">
        <v>4</v>
      </c>
      <c r="AC2362" t="s">
        <v>138</v>
      </c>
      <c r="AD2362" t="s">
        <v>129</v>
      </c>
      <c r="AE2362" s="97"/>
    </row>
    <row r="2363" spans="1:31" ht="14.4" customHeight="1" x14ac:dyDescent="0.3">
      <c r="A2363" t="s">
        <v>4912</v>
      </c>
      <c r="B2363" t="s">
        <v>3983</v>
      </c>
      <c r="C2363"/>
      <c r="D2363"/>
      <c r="E2363"/>
      <c r="F2363"/>
      <c r="G2363" t="s">
        <v>4892</v>
      </c>
      <c r="H2363" t="s">
        <v>132</v>
      </c>
      <c r="I2363" t="s">
        <v>4</v>
      </c>
      <c r="J2363" t="s">
        <v>4276</v>
      </c>
      <c r="K2363" t="s">
        <v>54</v>
      </c>
      <c r="L2363" t="s">
        <v>3898</v>
      </c>
      <c r="M2363" t="s">
        <v>134</v>
      </c>
      <c r="N2363" t="s">
        <v>135</v>
      </c>
      <c r="O2363"/>
      <c r="P2363"/>
      <c r="Q2363" t="s">
        <v>291</v>
      </c>
      <c r="R2363"/>
      <c r="S2363"/>
      <c r="T2363"/>
      <c r="U2363" t="s">
        <v>137</v>
      </c>
      <c r="V2363" t="s">
        <v>727</v>
      </c>
      <c r="W2363"/>
      <c r="X2363" t="s">
        <v>100</v>
      </c>
      <c r="Y2363"/>
      <c r="Z2363"/>
      <c r="AA2363" t="s">
        <v>4893</v>
      </c>
      <c r="AB2363" t="s">
        <v>4</v>
      </c>
      <c r="AC2363" t="s">
        <v>138</v>
      </c>
      <c r="AD2363" t="s">
        <v>129</v>
      </c>
      <c r="AE2363" s="97"/>
    </row>
    <row r="2364" spans="1:31" ht="14.4" customHeight="1" x14ac:dyDescent="0.3">
      <c r="A2364" t="s">
        <v>4913</v>
      </c>
      <c r="B2364" t="s">
        <v>3985</v>
      </c>
      <c r="C2364"/>
      <c r="D2364"/>
      <c r="E2364"/>
      <c r="F2364"/>
      <c r="G2364" t="s">
        <v>4892</v>
      </c>
      <c r="H2364" t="s">
        <v>132</v>
      </c>
      <c r="I2364" t="s">
        <v>4</v>
      </c>
      <c r="J2364" t="s">
        <v>4276</v>
      </c>
      <c r="K2364" t="s">
        <v>54</v>
      </c>
      <c r="L2364" t="s">
        <v>3898</v>
      </c>
      <c r="M2364" t="s">
        <v>134</v>
      </c>
      <c r="N2364" t="s">
        <v>135</v>
      </c>
      <c r="O2364"/>
      <c r="P2364"/>
      <c r="Q2364" t="s">
        <v>291</v>
      </c>
      <c r="R2364"/>
      <c r="S2364"/>
      <c r="T2364"/>
      <c r="U2364" t="s">
        <v>137</v>
      </c>
      <c r="V2364" t="s">
        <v>733</v>
      </c>
      <c r="W2364"/>
      <c r="X2364" t="s">
        <v>109</v>
      </c>
      <c r="Y2364"/>
      <c r="Z2364"/>
      <c r="AA2364" t="s">
        <v>4893</v>
      </c>
      <c r="AB2364" t="s">
        <v>4</v>
      </c>
      <c r="AC2364" t="s">
        <v>138</v>
      </c>
      <c r="AD2364" t="s">
        <v>129</v>
      </c>
      <c r="AE2364" s="97"/>
    </row>
    <row r="2365" spans="1:31" ht="14.4" customHeight="1" x14ac:dyDescent="0.3">
      <c r="A2365" t="s">
        <v>4914</v>
      </c>
      <c r="B2365" t="s">
        <v>3987</v>
      </c>
      <c r="C2365"/>
      <c r="D2365"/>
      <c r="E2365"/>
      <c r="F2365"/>
      <c r="G2365" t="s">
        <v>4892</v>
      </c>
      <c r="H2365" t="s">
        <v>132</v>
      </c>
      <c r="I2365" t="s">
        <v>4</v>
      </c>
      <c r="J2365" t="s">
        <v>4276</v>
      </c>
      <c r="K2365" t="s">
        <v>54</v>
      </c>
      <c r="L2365" t="s">
        <v>3898</v>
      </c>
      <c r="M2365" t="s">
        <v>134</v>
      </c>
      <c r="N2365" t="s">
        <v>135</v>
      </c>
      <c r="O2365"/>
      <c r="P2365"/>
      <c r="Q2365" t="s">
        <v>291</v>
      </c>
      <c r="R2365"/>
      <c r="S2365"/>
      <c r="T2365"/>
      <c r="U2365" t="s">
        <v>137</v>
      </c>
      <c r="V2365" t="s">
        <v>739</v>
      </c>
      <c r="W2365"/>
      <c r="X2365" t="s">
        <v>118</v>
      </c>
      <c r="Y2365"/>
      <c r="Z2365"/>
      <c r="AA2365" t="s">
        <v>4893</v>
      </c>
      <c r="AB2365" t="s">
        <v>4</v>
      </c>
      <c r="AC2365" t="s">
        <v>138</v>
      </c>
      <c r="AD2365" t="s">
        <v>130</v>
      </c>
      <c r="AE2365" s="97"/>
    </row>
    <row r="2366" spans="1:31" ht="14.4" customHeight="1" x14ac:dyDescent="0.3">
      <c r="A2366" t="s">
        <v>4917</v>
      </c>
      <c r="B2366"/>
      <c r="C2366" t="s">
        <v>4280</v>
      </c>
      <c r="D2366"/>
      <c r="E2366" t="s">
        <v>4280</v>
      </c>
      <c r="F2366" t="s">
        <v>6769</v>
      </c>
      <c r="G2366" t="s">
        <v>4915</v>
      </c>
      <c r="H2366" t="s">
        <v>132</v>
      </c>
      <c r="I2366" t="s">
        <v>4</v>
      </c>
      <c r="J2366" t="s">
        <v>4276</v>
      </c>
      <c r="K2366" t="s">
        <v>54</v>
      </c>
      <c r="L2366"/>
      <c r="M2366" t="s">
        <v>134</v>
      </c>
      <c r="N2366" t="s">
        <v>135</v>
      </c>
      <c r="O2366"/>
      <c r="P2366"/>
      <c r="Q2366" t="s">
        <v>140</v>
      </c>
      <c r="R2366"/>
      <c r="S2366"/>
      <c r="T2366"/>
      <c r="U2366" t="s">
        <v>137</v>
      </c>
      <c r="V2366" t="s">
        <v>147</v>
      </c>
      <c r="W2366" s="9">
        <v>46176.48235633102</v>
      </c>
      <c r="X2366" t="s">
        <v>70</v>
      </c>
      <c r="Y2366"/>
      <c r="Z2366"/>
      <c r="AA2366" t="s">
        <v>4916</v>
      </c>
      <c r="AB2366"/>
      <c r="AC2366" t="s">
        <v>24</v>
      </c>
      <c r="AD2366" t="s">
        <v>128</v>
      </c>
      <c r="AE2366" s="97"/>
    </row>
    <row r="2367" spans="1:31" ht="14.4" customHeight="1" x14ac:dyDescent="0.3">
      <c r="A2367" t="s">
        <v>4918</v>
      </c>
      <c r="B2367"/>
      <c r="C2367" t="s">
        <v>4282</v>
      </c>
      <c r="D2367"/>
      <c r="E2367" t="s">
        <v>4282</v>
      </c>
      <c r="F2367" t="s">
        <v>6769</v>
      </c>
      <c r="G2367" t="s">
        <v>4915</v>
      </c>
      <c r="H2367" t="s">
        <v>132</v>
      </c>
      <c r="I2367" t="s">
        <v>4</v>
      </c>
      <c r="J2367" t="s">
        <v>4276</v>
      </c>
      <c r="K2367" t="s">
        <v>54</v>
      </c>
      <c r="L2367"/>
      <c r="M2367" t="s">
        <v>134</v>
      </c>
      <c r="N2367" t="s">
        <v>135</v>
      </c>
      <c r="O2367"/>
      <c r="P2367"/>
      <c r="Q2367" t="s">
        <v>140</v>
      </c>
      <c r="R2367"/>
      <c r="S2367"/>
      <c r="T2367"/>
      <c r="U2367" t="s">
        <v>137</v>
      </c>
      <c r="V2367" t="s">
        <v>147</v>
      </c>
      <c r="W2367" s="9">
        <v>46176.483119988428</v>
      </c>
      <c r="X2367" t="s">
        <v>70</v>
      </c>
      <c r="Y2367"/>
      <c r="Z2367"/>
      <c r="AA2367" t="s">
        <v>4916</v>
      </c>
      <c r="AB2367"/>
      <c r="AC2367" t="s">
        <v>24</v>
      </c>
      <c r="AD2367" t="s">
        <v>128</v>
      </c>
      <c r="AE2367" s="97"/>
    </row>
    <row r="2368" spans="1:31" ht="14.4" customHeight="1" x14ac:dyDescent="0.3">
      <c r="A2368" t="s">
        <v>4919</v>
      </c>
      <c r="B2368"/>
      <c r="C2368" t="s">
        <v>4284</v>
      </c>
      <c r="D2368"/>
      <c r="E2368" t="s">
        <v>4284</v>
      </c>
      <c r="F2368" t="s">
        <v>6769</v>
      </c>
      <c r="G2368" t="s">
        <v>4915</v>
      </c>
      <c r="H2368" t="s">
        <v>132</v>
      </c>
      <c r="I2368" t="s">
        <v>4</v>
      </c>
      <c r="J2368" t="s">
        <v>4276</v>
      </c>
      <c r="K2368" t="s">
        <v>54</v>
      </c>
      <c r="L2368"/>
      <c r="M2368" t="s">
        <v>134</v>
      </c>
      <c r="N2368" t="s">
        <v>135</v>
      </c>
      <c r="O2368"/>
      <c r="P2368"/>
      <c r="Q2368" t="s">
        <v>140</v>
      </c>
      <c r="R2368"/>
      <c r="S2368"/>
      <c r="T2368"/>
      <c r="U2368" t="s">
        <v>137</v>
      </c>
      <c r="V2368" t="s">
        <v>147</v>
      </c>
      <c r="W2368" s="9">
        <v>46178.541488888892</v>
      </c>
      <c r="X2368" t="s">
        <v>70</v>
      </c>
      <c r="Y2368"/>
      <c r="Z2368"/>
      <c r="AA2368" t="s">
        <v>4916</v>
      </c>
      <c r="AB2368"/>
      <c r="AC2368" t="s">
        <v>24</v>
      </c>
      <c r="AD2368" t="s">
        <v>128</v>
      </c>
      <c r="AE2368" s="97"/>
    </row>
    <row r="2369" spans="1:31" ht="14.4" customHeight="1" x14ac:dyDescent="0.3">
      <c r="A2369" t="s">
        <v>4920</v>
      </c>
      <c r="B2369"/>
      <c r="C2369" t="s">
        <v>4286</v>
      </c>
      <c r="D2369"/>
      <c r="E2369" t="s">
        <v>4286</v>
      </c>
      <c r="F2369" t="s">
        <v>6769</v>
      </c>
      <c r="G2369" t="s">
        <v>4915</v>
      </c>
      <c r="H2369" t="s">
        <v>132</v>
      </c>
      <c r="I2369" t="s">
        <v>4</v>
      </c>
      <c r="J2369" t="s">
        <v>4276</v>
      </c>
      <c r="K2369" t="s">
        <v>54</v>
      </c>
      <c r="L2369"/>
      <c r="M2369" t="s">
        <v>134</v>
      </c>
      <c r="N2369" t="s">
        <v>135</v>
      </c>
      <c r="O2369"/>
      <c r="P2369"/>
      <c r="Q2369" t="s">
        <v>140</v>
      </c>
      <c r="R2369"/>
      <c r="S2369"/>
      <c r="T2369"/>
      <c r="U2369" t="s">
        <v>137</v>
      </c>
      <c r="V2369" t="s">
        <v>150</v>
      </c>
      <c r="W2369" s="9">
        <v>46181.512832442131</v>
      </c>
      <c r="X2369" t="s">
        <v>76</v>
      </c>
      <c r="Y2369"/>
      <c r="Z2369"/>
      <c r="AA2369" t="s">
        <v>4916</v>
      </c>
      <c r="AB2369"/>
      <c r="AC2369" t="s">
        <v>24</v>
      </c>
      <c r="AD2369" t="s">
        <v>128</v>
      </c>
      <c r="AE2369" s="97"/>
    </row>
    <row r="2370" spans="1:31" ht="14.4" customHeight="1" x14ac:dyDescent="0.3">
      <c r="A2370" t="s">
        <v>4921</v>
      </c>
      <c r="B2370"/>
      <c r="C2370" t="s">
        <v>4288</v>
      </c>
      <c r="D2370"/>
      <c r="E2370" t="s">
        <v>4288</v>
      </c>
      <c r="F2370" t="s">
        <v>6769</v>
      </c>
      <c r="G2370" t="s">
        <v>4915</v>
      </c>
      <c r="H2370" t="s">
        <v>132</v>
      </c>
      <c r="I2370" t="s">
        <v>4</v>
      </c>
      <c r="J2370" t="s">
        <v>4276</v>
      </c>
      <c r="K2370" t="s">
        <v>54</v>
      </c>
      <c r="L2370"/>
      <c r="M2370" t="s">
        <v>134</v>
      </c>
      <c r="N2370" t="s">
        <v>135</v>
      </c>
      <c r="O2370"/>
      <c r="P2370"/>
      <c r="Q2370" t="s">
        <v>140</v>
      </c>
      <c r="R2370"/>
      <c r="S2370"/>
      <c r="T2370"/>
      <c r="U2370" t="s">
        <v>137</v>
      </c>
      <c r="V2370" t="s">
        <v>150</v>
      </c>
      <c r="W2370" s="9">
        <v>46190.495899502312</v>
      </c>
      <c r="X2370" t="s">
        <v>76</v>
      </c>
      <c r="Y2370"/>
      <c r="Z2370"/>
      <c r="AA2370" t="s">
        <v>4916</v>
      </c>
      <c r="AB2370"/>
      <c r="AC2370" t="s">
        <v>24</v>
      </c>
      <c r="AD2370" t="s">
        <v>128</v>
      </c>
      <c r="AE2370" s="97"/>
    </row>
    <row r="2371" spans="1:31" ht="14.4" customHeight="1" x14ac:dyDescent="0.3">
      <c r="A2371" t="s">
        <v>4922</v>
      </c>
      <c r="B2371"/>
      <c r="C2371" t="s">
        <v>4290</v>
      </c>
      <c r="D2371"/>
      <c r="E2371" t="s">
        <v>4290</v>
      </c>
      <c r="F2371" t="s">
        <v>6769</v>
      </c>
      <c r="G2371" t="s">
        <v>4915</v>
      </c>
      <c r="H2371" t="s">
        <v>132</v>
      </c>
      <c r="I2371" t="s">
        <v>4</v>
      </c>
      <c r="J2371" t="s">
        <v>4276</v>
      </c>
      <c r="K2371" t="s">
        <v>54</v>
      </c>
      <c r="L2371"/>
      <c r="M2371" t="s">
        <v>134</v>
      </c>
      <c r="N2371" t="s">
        <v>135</v>
      </c>
      <c r="O2371"/>
      <c r="P2371"/>
      <c r="Q2371" t="s">
        <v>140</v>
      </c>
      <c r="R2371"/>
      <c r="S2371"/>
      <c r="T2371"/>
      <c r="U2371" t="s">
        <v>137</v>
      </c>
      <c r="V2371" t="s">
        <v>150</v>
      </c>
      <c r="W2371" s="9">
        <v>46190.503096608794</v>
      </c>
      <c r="X2371" t="s">
        <v>76</v>
      </c>
      <c r="Y2371"/>
      <c r="Z2371"/>
      <c r="AA2371" t="s">
        <v>4916</v>
      </c>
      <c r="AB2371"/>
      <c r="AC2371" t="s">
        <v>24</v>
      </c>
      <c r="AD2371" t="s">
        <v>128</v>
      </c>
      <c r="AE2371" s="97"/>
    </row>
    <row r="2372" spans="1:31" ht="14.4" customHeight="1" x14ac:dyDescent="0.3">
      <c r="A2372" t="s">
        <v>4923</v>
      </c>
      <c r="B2372"/>
      <c r="C2372" t="s">
        <v>4292</v>
      </c>
      <c r="D2372"/>
      <c r="E2372" t="s">
        <v>4292</v>
      </c>
      <c r="F2372" t="s">
        <v>6769</v>
      </c>
      <c r="G2372" t="s">
        <v>4915</v>
      </c>
      <c r="H2372" t="s">
        <v>132</v>
      </c>
      <c r="I2372" t="s">
        <v>4</v>
      </c>
      <c r="J2372" t="s">
        <v>4276</v>
      </c>
      <c r="K2372" t="s">
        <v>54</v>
      </c>
      <c r="L2372"/>
      <c r="M2372" t="s">
        <v>134</v>
      </c>
      <c r="N2372" t="s">
        <v>135</v>
      </c>
      <c r="O2372"/>
      <c r="P2372"/>
      <c r="Q2372" t="s">
        <v>140</v>
      </c>
      <c r="R2372"/>
      <c r="S2372"/>
      <c r="T2372"/>
      <c r="U2372" t="s">
        <v>137</v>
      </c>
      <c r="V2372" t="s">
        <v>153</v>
      </c>
      <c r="W2372" s="9">
        <v>46190.465533796298</v>
      </c>
      <c r="X2372" t="s">
        <v>88</v>
      </c>
      <c r="Y2372"/>
      <c r="Z2372"/>
      <c r="AA2372" t="s">
        <v>4916</v>
      </c>
      <c r="AB2372"/>
      <c r="AC2372" t="s">
        <v>24</v>
      </c>
      <c r="AD2372" t="s">
        <v>129</v>
      </c>
      <c r="AE2372" s="97"/>
    </row>
    <row r="2373" spans="1:31" ht="14.4" customHeight="1" x14ac:dyDescent="0.3">
      <c r="A2373" t="s">
        <v>4924</v>
      </c>
      <c r="B2373"/>
      <c r="C2373" t="s">
        <v>4294</v>
      </c>
      <c r="D2373"/>
      <c r="E2373" t="s">
        <v>4294</v>
      </c>
      <c r="F2373" t="s">
        <v>6769</v>
      </c>
      <c r="G2373" t="s">
        <v>4915</v>
      </c>
      <c r="H2373" t="s">
        <v>132</v>
      </c>
      <c r="I2373" t="s">
        <v>4</v>
      </c>
      <c r="J2373" t="s">
        <v>4276</v>
      </c>
      <c r="K2373" t="s">
        <v>54</v>
      </c>
      <c r="L2373"/>
      <c r="M2373" t="s">
        <v>134</v>
      </c>
      <c r="N2373" t="s">
        <v>135</v>
      </c>
      <c r="O2373"/>
      <c r="P2373"/>
      <c r="Q2373" t="s">
        <v>140</v>
      </c>
      <c r="R2373"/>
      <c r="S2373"/>
      <c r="T2373"/>
      <c r="U2373" t="s">
        <v>137</v>
      </c>
      <c r="V2373" t="s">
        <v>153</v>
      </c>
      <c r="W2373" s="9">
        <v>46191.476977118058</v>
      </c>
      <c r="X2373" t="s">
        <v>88</v>
      </c>
      <c r="Y2373"/>
      <c r="Z2373"/>
      <c r="AA2373" t="s">
        <v>4916</v>
      </c>
      <c r="AB2373"/>
      <c r="AC2373" t="s">
        <v>24</v>
      </c>
      <c r="AD2373" t="s">
        <v>129</v>
      </c>
      <c r="AE2373" s="97"/>
    </row>
    <row r="2374" spans="1:31" ht="14.4" customHeight="1" x14ac:dyDescent="0.3">
      <c r="A2374" t="s">
        <v>4925</v>
      </c>
      <c r="B2374"/>
      <c r="C2374" t="s">
        <v>4296</v>
      </c>
      <c r="D2374"/>
      <c r="E2374" t="s">
        <v>4296</v>
      </c>
      <c r="F2374" t="s">
        <v>6769</v>
      </c>
      <c r="G2374" t="s">
        <v>4915</v>
      </c>
      <c r="H2374" t="s">
        <v>132</v>
      </c>
      <c r="I2374" t="s">
        <v>4</v>
      </c>
      <c r="J2374" t="s">
        <v>4276</v>
      </c>
      <c r="K2374" t="s">
        <v>54</v>
      </c>
      <c r="L2374"/>
      <c r="M2374" t="s">
        <v>134</v>
      </c>
      <c r="N2374" t="s">
        <v>135</v>
      </c>
      <c r="O2374"/>
      <c r="P2374"/>
      <c r="Q2374" t="s">
        <v>140</v>
      </c>
      <c r="R2374"/>
      <c r="S2374"/>
      <c r="T2374"/>
      <c r="U2374" t="s">
        <v>137</v>
      </c>
      <c r="V2374" t="s">
        <v>153</v>
      </c>
      <c r="W2374" s="9">
        <v>46190.469402164352</v>
      </c>
      <c r="X2374" t="s">
        <v>88</v>
      </c>
      <c r="Y2374"/>
      <c r="Z2374"/>
      <c r="AA2374" t="s">
        <v>4916</v>
      </c>
      <c r="AB2374"/>
      <c r="AC2374" t="s">
        <v>24</v>
      </c>
      <c r="AD2374" t="s">
        <v>129</v>
      </c>
      <c r="AE2374" s="97"/>
    </row>
    <row r="2375" spans="1:31" ht="14.4" customHeight="1" x14ac:dyDescent="0.3">
      <c r="A2375" t="s">
        <v>4926</v>
      </c>
      <c r="B2375"/>
      <c r="C2375" t="s">
        <v>4298</v>
      </c>
      <c r="D2375"/>
      <c r="E2375" t="s">
        <v>4298</v>
      </c>
      <c r="F2375" t="s">
        <v>6769</v>
      </c>
      <c r="G2375" t="s">
        <v>4915</v>
      </c>
      <c r="H2375" t="s">
        <v>132</v>
      </c>
      <c r="I2375" t="s">
        <v>4</v>
      </c>
      <c r="J2375" t="s">
        <v>4276</v>
      </c>
      <c r="K2375" t="s">
        <v>54</v>
      </c>
      <c r="L2375"/>
      <c r="M2375" t="s">
        <v>134</v>
      </c>
      <c r="N2375" t="s">
        <v>135</v>
      </c>
      <c r="O2375"/>
      <c r="P2375"/>
      <c r="Q2375" t="s">
        <v>140</v>
      </c>
      <c r="R2375"/>
      <c r="S2375"/>
      <c r="T2375"/>
      <c r="U2375" t="s">
        <v>137</v>
      </c>
      <c r="V2375" t="s">
        <v>156</v>
      </c>
      <c r="W2375" s="9">
        <v>46190.507189664349</v>
      </c>
      <c r="X2375" t="s">
        <v>97</v>
      </c>
      <c r="Y2375"/>
      <c r="Z2375"/>
      <c r="AA2375" t="s">
        <v>4916</v>
      </c>
      <c r="AB2375"/>
      <c r="AC2375" t="s">
        <v>24</v>
      </c>
      <c r="AD2375" t="s">
        <v>129</v>
      </c>
      <c r="AE2375" s="97"/>
    </row>
    <row r="2376" spans="1:31" ht="14.4" customHeight="1" x14ac:dyDescent="0.3">
      <c r="A2376" t="s">
        <v>4927</v>
      </c>
      <c r="B2376"/>
      <c r="C2376" t="s">
        <v>4300</v>
      </c>
      <c r="D2376"/>
      <c r="E2376" t="s">
        <v>4300</v>
      </c>
      <c r="F2376" t="s">
        <v>6769</v>
      </c>
      <c r="G2376" t="s">
        <v>4915</v>
      </c>
      <c r="H2376" t="s">
        <v>132</v>
      </c>
      <c r="I2376" t="s">
        <v>4</v>
      </c>
      <c r="J2376" t="s">
        <v>4276</v>
      </c>
      <c r="K2376" t="s">
        <v>54</v>
      </c>
      <c r="L2376"/>
      <c r="M2376" t="s">
        <v>134</v>
      </c>
      <c r="N2376" t="s">
        <v>135</v>
      </c>
      <c r="O2376"/>
      <c r="P2376"/>
      <c r="Q2376" t="s">
        <v>140</v>
      </c>
      <c r="R2376"/>
      <c r="S2376"/>
      <c r="T2376"/>
      <c r="U2376" t="s">
        <v>137</v>
      </c>
      <c r="V2376" t="s">
        <v>156</v>
      </c>
      <c r="W2376" s="9">
        <v>46196.527226655089</v>
      </c>
      <c r="X2376" t="s">
        <v>97</v>
      </c>
      <c r="Y2376"/>
      <c r="Z2376"/>
      <c r="AA2376" t="s">
        <v>4916</v>
      </c>
      <c r="AB2376"/>
      <c r="AC2376" t="s">
        <v>24</v>
      </c>
      <c r="AD2376" t="s">
        <v>129</v>
      </c>
      <c r="AE2376" s="97"/>
    </row>
    <row r="2377" spans="1:31" ht="14.4" customHeight="1" x14ac:dyDescent="0.3">
      <c r="A2377" t="s">
        <v>4928</v>
      </c>
      <c r="B2377"/>
      <c r="C2377" t="s">
        <v>4302</v>
      </c>
      <c r="D2377"/>
      <c r="E2377" t="s">
        <v>4302</v>
      </c>
      <c r="F2377" t="s">
        <v>6769</v>
      </c>
      <c r="G2377" t="s">
        <v>4915</v>
      </c>
      <c r="H2377" t="s">
        <v>132</v>
      </c>
      <c r="I2377" t="s">
        <v>4</v>
      </c>
      <c r="J2377" t="s">
        <v>4276</v>
      </c>
      <c r="K2377" t="s">
        <v>54</v>
      </c>
      <c r="L2377"/>
      <c r="M2377" t="s">
        <v>134</v>
      </c>
      <c r="N2377" t="s">
        <v>135</v>
      </c>
      <c r="O2377"/>
      <c r="P2377"/>
      <c r="Q2377" t="s">
        <v>140</v>
      </c>
      <c r="R2377"/>
      <c r="S2377"/>
      <c r="T2377"/>
      <c r="U2377" t="s">
        <v>137</v>
      </c>
      <c r="V2377" t="s">
        <v>156</v>
      </c>
      <c r="W2377" s="9">
        <v>46196.528350925924</v>
      </c>
      <c r="X2377" t="s">
        <v>97</v>
      </c>
      <c r="Y2377"/>
      <c r="Z2377"/>
      <c r="AA2377" t="s">
        <v>4916</v>
      </c>
      <c r="AB2377"/>
      <c r="AC2377" t="s">
        <v>24</v>
      </c>
      <c r="AD2377" t="s">
        <v>129</v>
      </c>
      <c r="AE2377" s="97"/>
    </row>
    <row r="2378" spans="1:31" ht="14.4" customHeight="1" x14ac:dyDescent="0.3">
      <c r="A2378" t="s">
        <v>4929</v>
      </c>
      <c r="B2378"/>
      <c r="C2378" t="s">
        <v>4304</v>
      </c>
      <c r="D2378"/>
      <c r="E2378" t="s">
        <v>4304</v>
      </c>
      <c r="F2378" t="s">
        <v>6769</v>
      </c>
      <c r="G2378" t="s">
        <v>4915</v>
      </c>
      <c r="H2378" t="s">
        <v>132</v>
      </c>
      <c r="I2378" t="s">
        <v>4</v>
      </c>
      <c r="J2378" t="s">
        <v>4276</v>
      </c>
      <c r="K2378" t="s">
        <v>54</v>
      </c>
      <c r="L2378"/>
      <c r="M2378" t="s">
        <v>134</v>
      </c>
      <c r="N2378" t="s">
        <v>135</v>
      </c>
      <c r="O2378"/>
      <c r="P2378"/>
      <c r="Q2378" t="s">
        <v>140</v>
      </c>
      <c r="R2378"/>
      <c r="S2378"/>
      <c r="T2378"/>
      <c r="U2378" t="s">
        <v>137</v>
      </c>
      <c r="V2378" t="s">
        <v>159</v>
      </c>
      <c r="W2378" s="9">
        <v>46197.477579479164</v>
      </c>
      <c r="X2378" t="s">
        <v>106</v>
      </c>
      <c r="Y2378"/>
      <c r="Z2378"/>
      <c r="AA2378" t="s">
        <v>4916</v>
      </c>
      <c r="AB2378"/>
      <c r="AC2378" t="s">
        <v>24</v>
      </c>
      <c r="AD2378" t="s">
        <v>129</v>
      </c>
      <c r="AE2378" s="97"/>
    </row>
    <row r="2379" spans="1:31" ht="14.4" customHeight="1" x14ac:dyDescent="0.3">
      <c r="A2379" t="s">
        <v>4930</v>
      </c>
      <c r="B2379"/>
      <c r="C2379" t="s">
        <v>4306</v>
      </c>
      <c r="D2379"/>
      <c r="E2379" t="s">
        <v>4306</v>
      </c>
      <c r="F2379" t="s">
        <v>6769</v>
      </c>
      <c r="G2379" t="s">
        <v>4915</v>
      </c>
      <c r="H2379" t="s">
        <v>132</v>
      </c>
      <c r="I2379" t="s">
        <v>4</v>
      </c>
      <c r="J2379" t="s">
        <v>4276</v>
      </c>
      <c r="K2379" t="s">
        <v>54</v>
      </c>
      <c r="L2379"/>
      <c r="M2379" t="s">
        <v>134</v>
      </c>
      <c r="N2379" t="s">
        <v>135</v>
      </c>
      <c r="O2379"/>
      <c r="P2379"/>
      <c r="Q2379" t="s">
        <v>140</v>
      </c>
      <c r="R2379"/>
      <c r="S2379"/>
      <c r="T2379"/>
      <c r="U2379" t="s">
        <v>137</v>
      </c>
      <c r="V2379" t="s">
        <v>159</v>
      </c>
      <c r="W2379" s="9">
        <v>46197.478027743055</v>
      </c>
      <c r="X2379" t="s">
        <v>106</v>
      </c>
      <c r="Y2379"/>
      <c r="Z2379"/>
      <c r="AA2379" t="s">
        <v>4916</v>
      </c>
      <c r="AB2379"/>
      <c r="AC2379" t="s">
        <v>24</v>
      </c>
      <c r="AD2379" t="s">
        <v>129</v>
      </c>
      <c r="AE2379" s="97"/>
    </row>
    <row r="2380" spans="1:31" ht="14.4" customHeight="1" x14ac:dyDescent="0.3">
      <c r="A2380" t="s">
        <v>4931</v>
      </c>
      <c r="B2380"/>
      <c r="C2380" t="s">
        <v>4308</v>
      </c>
      <c r="D2380"/>
      <c r="E2380" t="s">
        <v>4308</v>
      </c>
      <c r="F2380" t="s">
        <v>6769</v>
      </c>
      <c r="G2380" t="s">
        <v>4915</v>
      </c>
      <c r="H2380" t="s">
        <v>132</v>
      </c>
      <c r="I2380" t="s">
        <v>4</v>
      </c>
      <c r="J2380" t="s">
        <v>4276</v>
      </c>
      <c r="K2380" t="s">
        <v>54</v>
      </c>
      <c r="L2380"/>
      <c r="M2380" t="s">
        <v>134</v>
      </c>
      <c r="N2380" t="s">
        <v>135</v>
      </c>
      <c r="O2380"/>
      <c r="P2380"/>
      <c r="Q2380" t="s">
        <v>140</v>
      </c>
      <c r="R2380"/>
      <c r="S2380"/>
      <c r="T2380"/>
      <c r="U2380" t="s">
        <v>137</v>
      </c>
      <c r="V2380" t="s">
        <v>159</v>
      </c>
      <c r="W2380" s="9">
        <v>46197.478513657406</v>
      </c>
      <c r="X2380" t="s">
        <v>106</v>
      </c>
      <c r="Y2380"/>
      <c r="Z2380"/>
      <c r="AA2380" t="s">
        <v>4916</v>
      </c>
      <c r="AB2380"/>
      <c r="AC2380" t="s">
        <v>24</v>
      </c>
      <c r="AD2380" t="s">
        <v>129</v>
      </c>
      <c r="AE2380" s="97"/>
    </row>
    <row r="2381" spans="1:31" ht="14.4" customHeight="1" x14ac:dyDescent="0.3">
      <c r="A2381" t="s">
        <v>4932</v>
      </c>
      <c r="B2381"/>
      <c r="C2381" t="s">
        <v>4310</v>
      </c>
      <c r="D2381"/>
      <c r="E2381" t="s">
        <v>4310</v>
      </c>
      <c r="F2381" t="s">
        <v>6769</v>
      </c>
      <c r="G2381" t="s">
        <v>4915</v>
      </c>
      <c r="H2381" t="s">
        <v>132</v>
      </c>
      <c r="I2381" t="s">
        <v>4</v>
      </c>
      <c r="J2381" t="s">
        <v>4276</v>
      </c>
      <c r="K2381" t="s">
        <v>54</v>
      </c>
      <c r="L2381"/>
      <c r="M2381" t="s">
        <v>134</v>
      </c>
      <c r="N2381" t="s">
        <v>135</v>
      </c>
      <c r="O2381"/>
      <c r="P2381"/>
      <c r="Q2381" t="s">
        <v>140</v>
      </c>
      <c r="R2381"/>
      <c r="S2381"/>
      <c r="T2381"/>
      <c r="U2381" t="s">
        <v>137</v>
      </c>
      <c r="V2381" t="s">
        <v>162</v>
      </c>
      <c r="W2381" s="9">
        <v>46197.479286539354</v>
      </c>
      <c r="X2381" t="s">
        <v>113</v>
      </c>
      <c r="Y2381"/>
      <c r="Z2381"/>
      <c r="AA2381" t="s">
        <v>4916</v>
      </c>
      <c r="AB2381"/>
      <c r="AC2381" t="s">
        <v>24</v>
      </c>
      <c r="AD2381" t="s">
        <v>129</v>
      </c>
      <c r="AE2381" s="97"/>
    </row>
    <row r="2382" spans="1:31" ht="14.4" customHeight="1" x14ac:dyDescent="0.3">
      <c r="A2382" t="s">
        <v>4933</v>
      </c>
      <c r="B2382"/>
      <c r="C2382" t="s">
        <v>4312</v>
      </c>
      <c r="D2382"/>
      <c r="E2382" t="s">
        <v>4312</v>
      </c>
      <c r="F2382" t="s">
        <v>6769</v>
      </c>
      <c r="G2382" t="s">
        <v>4915</v>
      </c>
      <c r="H2382" t="s">
        <v>132</v>
      </c>
      <c r="I2382" t="s">
        <v>4</v>
      </c>
      <c r="J2382" t="s">
        <v>4276</v>
      </c>
      <c r="K2382" t="s">
        <v>54</v>
      </c>
      <c r="L2382"/>
      <c r="M2382" t="s">
        <v>134</v>
      </c>
      <c r="N2382" t="s">
        <v>135</v>
      </c>
      <c r="O2382"/>
      <c r="P2382"/>
      <c r="Q2382" t="s">
        <v>140</v>
      </c>
      <c r="R2382"/>
      <c r="S2382"/>
      <c r="T2382"/>
      <c r="U2382" t="s">
        <v>137</v>
      </c>
      <c r="V2382" t="s">
        <v>162</v>
      </c>
      <c r="W2382" s="9">
        <v>46197.480005324076</v>
      </c>
      <c r="X2382" t="s">
        <v>113</v>
      </c>
      <c r="Y2382"/>
      <c r="Z2382"/>
      <c r="AA2382" t="s">
        <v>4916</v>
      </c>
      <c r="AB2382"/>
      <c r="AC2382" t="s">
        <v>24</v>
      </c>
      <c r="AD2382" t="s">
        <v>129</v>
      </c>
      <c r="AE2382" s="97"/>
    </row>
    <row r="2383" spans="1:31" ht="14.4" customHeight="1" x14ac:dyDescent="0.3">
      <c r="A2383" t="s">
        <v>4934</v>
      </c>
      <c r="B2383"/>
      <c r="C2383" t="s">
        <v>4314</v>
      </c>
      <c r="D2383"/>
      <c r="E2383" t="s">
        <v>4314</v>
      </c>
      <c r="F2383" t="s">
        <v>6769</v>
      </c>
      <c r="G2383" t="s">
        <v>4915</v>
      </c>
      <c r="H2383" t="s">
        <v>132</v>
      </c>
      <c r="I2383" t="s">
        <v>4</v>
      </c>
      <c r="J2383" t="s">
        <v>4276</v>
      </c>
      <c r="K2383" t="s">
        <v>54</v>
      </c>
      <c r="L2383"/>
      <c r="M2383" t="s">
        <v>134</v>
      </c>
      <c r="N2383" t="s">
        <v>135</v>
      </c>
      <c r="O2383"/>
      <c r="P2383"/>
      <c r="Q2383" t="s">
        <v>140</v>
      </c>
      <c r="R2383"/>
      <c r="S2383"/>
      <c r="T2383"/>
      <c r="U2383" t="s">
        <v>137</v>
      </c>
      <c r="V2383" t="s">
        <v>162</v>
      </c>
      <c r="W2383" s="9">
        <v>46197.480270798609</v>
      </c>
      <c r="X2383" t="s">
        <v>113</v>
      </c>
      <c r="Y2383"/>
      <c r="Z2383"/>
      <c r="AA2383" t="s">
        <v>4916</v>
      </c>
      <c r="AB2383"/>
      <c r="AC2383" t="s">
        <v>24</v>
      </c>
      <c r="AD2383" t="s">
        <v>129</v>
      </c>
      <c r="AE2383" s="97"/>
    </row>
    <row r="2384" spans="1:31" ht="14.4" customHeight="1" x14ac:dyDescent="0.3">
      <c r="A2384" t="s">
        <v>4935</v>
      </c>
      <c r="B2384"/>
      <c r="C2384" t="s">
        <v>4316</v>
      </c>
      <c r="D2384"/>
      <c r="E2384" t="s">
        <v>4316</v>
      </c>
      <c r="F2384" t="s">
        <v>6769</v>
      </c>
      <c r="G2384" t="s">
        <v>4915</v>
      </c>
      <c r="H2384" t="s">
        <v>132</v>
      </c>
      <c r="I2384" t="s">
        <v>4</v>
      </c>
      <c r="J2384" t="s">
        <v>4276</v>
      </c>
      <c r="K2384" t="s">
        <v>54</v>
      </c>
      <c r="L2384"/>
      <c r="M2384" t="s">
        <v>134</v>
      </c>
      <c r="N2384" t="s">
        <v>135</v>
      </c>
      <c r="O2384"/>
      <c r="P2384"/>
      <c r="Q2384" t="s">
        <v>140</v>
      </c>
      <c r="R2384"/>
      <c r="S2384"/>
      <c r="T2384"/>
      <c r="U2384" t="s">
        <v>137</v>
      </c>
      <c r="V2384" t="s">
        <v>165</v>
      </c>
      <c r="W2384" s="9">
        <v>46203.372717164355</v>
      </c>
      <c r="X2384" t="s">
        <v>122</v>
      </c>
      <c r="Y2384"/>
      <c r="Z2384"/>
      <c r="AA2384" t="s">
        <v>4916</v>
      </c>
      <c r="AB2384"/>
      <c r="AC2384" t="s">
        <v>24</v>
      </c>
      <c r="AD2384" t="s">
        <v>130</v>
      </c>
      <c r="AE2384" s="97"/>
    </row>
    <row r="2385" spans="1:31" ht="14.4" customHeight="1" x14ac:dyDescent="0.3">
      <c r="A2385" t="s">
        <v>4936</v>
      </c>
      <c r="B2385"/>
      <c r="C2385" t="s">
        <v>4318</v>
      </c>
      <c r="D2385"/>
      <c r="E2385" t="s">
        <v>4318</v>
      </c>
      <c r="F2385" t="s">
        <v>6769</v>
      </c>
      <c r="G2385" t="s">
        <v>4915</v>
      </c>
      <c r="H2385" t="s">
        <v>132</v>
      </c>
      <c r="I2385" t="s">
        <v>4</v>
      </c>
      <c r="J2385" t="s">
        <v>4276</v>
      </c>
      <c r="K2385" t="s">
        <v>54</v>
      </c>
      <c r="L2385"/>
      <c r="M2385" t="s">
        <v>134</v>
      </c>
      <c r="N2385" t="s">
        <v>135</v>
      </c>
      <c r="O2385"/>
      <c r="P2385"/>
      <c r="Q2385" t="s">
        <v>140</v>
      </c>
      <c r="R2385"/>
      <c r="S2385"/>
      <c r="T2385"/>
      <c r="U2385" t="s">
        <v>137</v>
      </c>
      <c r="V2385" t="s">
        <v>165</v>
      </c>
      <c r="W2385"/>
      <c r="X2385" t="s">
        <v>122</v>
      </c>
      <c r="Y2385"/>
      <c r="Z2385"/>
      <c r="AA2385" t="s">
        <v>4916</v>
      </c>
      <c r="AB2385"/>
      <c r="AC2385" t="s">
        <v>7068</v>
      </c>
      <c r="AD2385" t="s">
        <v>130</v>
      </c>
      <c r="AE2385" s="97"/>
    </row>
    <row r="2386" spans="1:31" ht="14.4" customHeight="1" x14ac:dyDescent="0.3">
      <c r="A2386" t="s">
        <v>4937</v>
      </c>
      <c r="B2386"/>
      <c r="C2386" t="s">
        <v>4320</v>
      </c>
      <c r="D2386"/>
      <c r="E2386" t="s">
        <v>4320</v>
      </c>
      <c r="F2386" t="s">
        <v>6769</v>
      </c>
      <c r="G2386" t="s">
        <v>4915</v>
      </c>
      <c r="H2386" t="s">
        <v>132</v>
      </c>
      <c r="I2386" t="s">
        <v>4</v>
      </c>
      <c r="J2386" t="s">
        <v>4276</v>
      </c>
      <c r="K2386" t="s">
        <v>54</v>
      </c>
      <c r="L2386"/>
      <c r="M2386" t="s">
        <v>134</v>
      </c>
      <c r="N2386" t="s">
        <v>135</v>
      </c>
      <c r="O2386"/>
      <c r="P2386"/>
      <c r="Q2386" t="s">
        <v>140</v>
      </c>
      <c r="R2386"/>
      <c r="S2386"/>
      <c r="T2386"/>
      <c r="U2386" t="s">
        <v>137</v>
      </c>
      <c r="V2386" t="s">
        <v>165</v>
      </c>
      <c r="W2386"/>
      <c r="X2386" t="s">
        <v>122</v>
      </c>
      <c r="Y2386"/>
      <c r="Z2386"/>
      <c r="AA2386" t="s">
        <v>4916</v>
      </c>
      <c r="AB2386"/>
      <c r="AC2386" t="s">
        <v>7068</v>
      </c>
      <c r="AD2386" t="s">
        <v>130</v>
      </c>
      <c r="AE2386" s="97"/>
    </row>
    <row r="2387" spans="1:31" ht="14.4" customHeight="1" x14ac:dyDescent="0.3">
      <c r="A2387" t="s">
        <v>4938</v>
      </c>
      <c r="B2387"/>
      <c r="C2387" t="s">
        <v>4322</v>
      </c>
      <c r="D2387"/>
      <c r="E2387" t="s">
        <v>4322</v>
      </c>
      <c r="F2387" t="s">
        <v>6769</v>
      </c>
      <c r="G2387" t="s">
        <v>4915</v>
      </c>
      <c r="H2387" t="s">
        <v>132</v>
      </c>
      <c r="I2387" t="s">
        <v>4</v>
      </c>
      <c r="J2387" t="s">
        <v>4276</v>
      </c>
      <c r="K2387" t="s">
        <v>54</v>
      </c>
      <c r="L2387"/>
      <c r="M2387" t="s">
        <v>134</v>
      </c>
      <c r="N2387" t="s">
        <v>135</v>
      </c>
      <c r="O2387"/>
      <c r="P2387"/>
      <c r="Q2387" t="s">
        <v>140</v>
      </c>
      <c r="R2387"/>
      <c r="S2387"/>
      <c r="T2387"/>
      <c r="U2387" t="s">
        <v>137</v>
      </c>
      <c r="V2387" t="s">
        <v>371</v>
      </c>
      <c r="W2387" s="9">
        <v>46197.483570254626</v>
      </c>
      <c r="X2387" t="s">
        <v>57</v>
      </c>
      <c r="Y2387"/>
      <c r="Z2387"/>
      <c r="AA2387" t="s">
        <v>4916</v>
      </c>
      <c r="AB2387"/>
      <c r="AC2387" t="s">
        <v>24</v>
      </c>
      <c r="AD2387" t="s">
        <v>128</v>
      </c>
      <c r="AE2387" s="97"/>
    </row>
    <row r="2388" spans="1:31" ht="14.4" customHeight="1" x14ac:dyDescent="0.3">
      <c r="A2388" t="s">
        <v>4939</v>
      </c>
      <c r="B2388"/>
      <c r="C2388" t="s">
        <v>4324</v>
      </c>
      <c r="D2388"/>
      <c r="E2388" t="s">
        <v>4324</v>
      </c>
      <c r="F2388" t="s">
        <v>6769</v>
      </c>
      <c r="G2388" t="s">
        <v>4915</v>
      </c>
      <c r="H2388" t="s">
        <v>132</v>
      </c>
      <c r="I2388" t="s">
        <v>4</v>
      </c>
      <c r="J2388" t="s">
        <v>4276</v>
      </c>
      <c r="K2388" t="s">
        <v>54</v>
      </c>
      <c r="L2388"/>
      <c r="M2388" t="s">
        <v>134</v>
      </c>
      <c r="N2388" t="s">
        <v>135</v>
      </c>
      <c r="O2388"/>
      <c r="P2388"/>
      <c r="Q2388" t="s">
        <v>140</v>
      </c>
      <c r="R2388"/>
      <c r="S2388"/>
      <c r="T2388"/>
      <c r="U2388" t="s">
        <v>137</v>
      </c>
      <c r="V2388" t="s">
        <v>371</v>
      </c>
      <c r="W2388" s="9">
        <v>46174.244510682867</v>
      </c>
      <c r="X2388" t="s">
        <v>57</v>
      </c>
      <c r="Y2388"/>
      <c r="Z2388"/>
      <c r="AA2388" t="s">
        <v>4916</v>
      </c>
      <c r="AB2388"/>
      <c r="AC2388" t="s">
        <v>24</v>
      </c>
      <c r="AD2388" t="s">
        <v>128</v>
      </c>
      <c r="AE2388" s="97"/>
    </row>
    <row r="2389" spans="1:31" ht="14.4" customHeight="1" x14ac:dyDescent="0.3">
      <c r="A2389" t="s">
        <v>4940</v>
      </c>
      <c r="B2389"/>
      <c r="C2389" t="s">
        <v>4326</v>
      </c>
      <c r="D2389"/>
      <c r="E2389" t="s">
        <v>4326</v>
      </c>
      <c r="F2389" t="s">
        <v>6769</v>
      </c>
      <c r="G2389" t="s">
        <v>4915</v>
      </c>
      <c r="H2389" t="s">
        <v>132</v>
      </c>
      <c r="I2389" t="s">
        <v>4</v>
      </c>
      <c r="J2389" t="s">
        <v>4276</v>
      </c>
      <c r="K2389" t="s">
        <v>54</v>
      </c>
      <c r="L2389"/>
      <c r="M2389" t="s">
        <v>134</v>
      </c>
      <c r="N2389" t="s">
        <v>135</v>
      </c>
      <c r="O2389"/>
      <c r="P2389"/>
      <c r="Q2389" t="s">
        <v>140</v>
      </c>
      <c r="R2389"/>
      <c r="S2389"/>
      <c r="T2389"/>
      <c r="U2389" t="s">
        <v>137</v>
      </c>
      <c r="V2389" t="s">
        <v>362</v>
      </c>
      <c r="W2389" s="9">
        <v>46174.245650381941</v>
      </c>
      <c r="X2389" t="s">
        <v>58</v>
      </c>
      <c r="Y2389"/>
      <c r="Z2389"/>
      <c r="AA2389" t="s">
        <v>4916</v>
      </c>
      <c r="AB2389"/>
      <c r="AC2389" t="s">
        <v>24</v>
      </c>
      <c r="AD2389" t="s">
        <v>128</v>
      </c>
      <c r="AE2389" s="97"/>
    </row>
    <row r="2390" spans="1:31" ht="14.4" customHeight="1" x14ac:dyDescent="0.3">
      <c r="A2390" t="s">
        <v>4941</v>
      </c>
      <c r="B2390"/>
      <c r="C2390" t="s">
        <v>4328</v>
      </c>
      <c r="D2390"/>
      <c r="E2390" t="s">
        <v>4328</v>
      </c>
      <c r="F2390" t="s">
        <v>6769</v>
      </c>
      <c r="G2390" t="s">
        <v>4915</v>
      </c>
      <c r="H2390" t="s">
        <v>132</v>
      </c>
      <c r="I2390" t="s">
        <v>4</v>
      </c>
      <c r="J2390" t="s">
        <v>4276</v>
      </c>
      <c r="K2390" t="s">
        <v>54</v>
      </c>
      <c r="L2390"/>
      <c r="M2390" t="s">
        <v>134</v>
      </c>
      <c r="N2390" t="s">
        <v>135</v>
      </c>
      <c r="O2390"/>
      <c r="P2390"/>
      <c r="Q2390" t="s">
        <v>140</v>
      </c>
      <c r="R2390"/>
      <c r="S2390"/>
      <c r="T2390"/>
      <c r="U2390" t="s">
        <v>137</v>
      </c>
      <c r="V2390" t="s">
        <v>362</v>
      </c>
      <c r="W2390"/>
      <c r="X2390" t="s">
        <v>58</v>
      </c>
      <c r="Y2390"/>
      <c r="Z2390"/>
      <c r="AA2390" t="s">
        <v>4916</v>
      </c>
      <c r="AB2390"/>
      <c r="AC2390" t="s">
        <v>138</v>
      </c>
      <c r="AD2390" t="s">
        <v>128</v>
      </c>
      <c r="AE2390" s="97"/>
    </row>
    <row r="2391" spans="1:31" ht="14.4" customHeight="1" x14ac:dyDescent="0.3">
      <c r="A2391" t="s">
        <v>4942</v>
      </c>
      <c r="B2391"/>
      <c r="C2391" t="s">
        <v>4330</v>
      </c>
      <c r="D2391"/>
      <c r="E2391" t="s">
        <v>4330</v>
      </c>
      <c r="F2391" t="s">
        <v>6769</v>
      </c>
      <c r="G2391" t="s">
        <v>4915</v>
      </c>
      <c r="H2391" t="s">
        <v>132</v>
      </c>
      <c r="I2391" t="s">
        <v>4</v>
      </c>
      <c r="J2391" t="s">
        <v>4276</v>
      </c>
      <c r="K2391" t="s">
        <v>54</v>
      </c>
      <c r="L2391"/>
      <c r="M2391" t="s">
        <v>134</v>
      </c>
      <c r="N2391" t="s">
        <v>135</v>
      </c>
      <c r="O2391"/>
      <c r="P2391"/>
      <c r="Q2391" t="s">
        <v>140</v>
      </c>
      <c r="R2391"/>
      <c r="S2391"/>
      <c r="T2391"/>
      <c r="U2391" t="s">
        <v>137</v>
      </c>
      <c r="V2391" t="s">
        <v>640</v>
      </c>
      <c r="W2391"/>
      <c r="X2391" t="s">
        <v>66</v>
      </c>
      <c r="Y2391"/>
      <c r="Z2391"/>
      <c r="AA2391" t="s">
        <v>4916</v>
      </c>
      <c r="AB2391"/>
      <c r="AC2391" t="s">
        <v>138</v>
      </c>
      <c r="AD2391" t="s">
        <v>128</v>
      </c>
      <c r="AE2391" s="97"/>
    </row>
    <row r="2392" spans="1:31" ht="14.4" customHeight="1" x14ac:dyDescent="0.3">
      <c r="A2392" t="s">
        <v>4943</v>
      </c>
      <c r="B2392"/>
      <c r="C2392" t="s">
        <v>4332</v>
      </c>
      <c r="D2392"/>
      <c r="E2392" t="s">
        <v>4332</v>
      </c>
      <c r="F2392" t="s">
        <v>6769</v>
      </c>
      <c r="G2392" t="s">
        <v>4915</v>
      </c>
      <c r="H2392" t="s">
        <v>132</v>
      </c>
      <c r="I2392" t="s">
        <v>4</v>
      </c>
      <c r="J2392" t="s">
        <v>4276</v>
      </c>
      <c r="K2392" t="s">
        <v>54</v>
      </c>
      <c r="L2392"/>
      <c r="M2392" t="s">
        <v>134</v>
      </c>
      <c r="N2392" t="s">
        <v>135</v>
      </c>
      <c r="O2392"/>
      <c r="P2392"/>
      <c r="Q2392" t="s">
        <v>140</v>
      </c>
      <c r="R2392"/>
      <c r="S2392"/>
      <c r="T2392"/>
      <c r="U2392" t="s">
        <v>137</v>
      </c>
      <c r="V2392" t="s">
        <v>640</v>
      </c>
      <c r="W2392" s="9">
        <v>46151.438997881945</v>
      </c>
      <c r="X2392" t="s">
        <v>66</v>
      </c>
      <c r="Y2392"/>
      <c r="Z2392"/>
      <c r="AA2392" t="s">
        <v>4916</v>
      </c>
      <c r="AB2392"/>
      <c r="AC2392" t="s">
        <v>24</v>
      </c>
      <c r="AD2392" t="s">
        <v>128</v>
      </c>
      <c r="AE2392" s="97"/>
    </row>
    <row r="2393" spans="1:31" ht="14.4" customHeight="1" x14ac:dyDescent="0.3">
      <c r="A2393" t="s">
        <v>4944</v>
      </c>
      <c r="B2393"/>
      <c r="C2393" t="s">
        <v>4334</v>
      </c>
      <c r="D2393"/>
      <c r="E2393" t="s">
        <v>4334</v>
      </c>
      <c r="F2393" t="s">
        <v>6769</v>
      </c>
      <c r="G2393" t="s">
        <v>4915</v>
      </c>
      <c r="H2393" t="s">
        <v>132</v>
      </c>
      <c r="I2393" t="s">
        <v>4</v>
      </c>
      <c r="J2393" t="s">
        <v>4276</v>
      </c>
      <c r="K2393" t="s">
        <v>54</v>
      </c>
      <c r="L2393"/>
      <c r="M2393" t="s">
        <v>134</v>
      </c>
      <c r="N2393" t="s">
        <v>135</v>
      </c>
      <c r="O2393"/>
      <c r="P2393"/>
      <c r="Q2393" t="s">
        <v>140</v>
      </c>
      <c r="R2393"/>
      <c r="S2393"/>
      <c r="T2393"/>
      <c r="U2393" t="s">
        <v>137</v>
      </c>
      <c r="V2393" t="s">
        <v>646</v>
      </c>
      <c r="W2393"/>
      <c r="X2393" t="s">
        <v>74</v>
      </c>
      <c r="Y2393"/>
      <c r="Z2393"/>
      <c r="AA2393" t="s">
        <v>4916</v>
      </c>
      <c r="AB2393"/>
      <c r="AC2393" t="s">
        <v>138</v>
      </c>
      <c r="AD2393" t="s">
        <v>128</v>
      </c>
      <c r="AE2393" s="97"/>
    </row>
    <row r="2394" spans="1:31" ht="14.4" customHeight="1" x14ac:dyDescent="0.3">
      <c r="A2394" t="s">
        <v>4945</v>
      </c>
      <c r="B2394"/>
      <c r="C2394" t="s">
        <v>4336</v>
      </c>
      <c r="D2394"/>
      <c r="E2394" t="s">
        <v>4336</v>
      </c>
      <c r="F2394" t="s">
        <v>6769</v>
      </c>
      <c r="G2394" t="s">
        <v>4915</v>
      </c>
      <c r="H2394" t="s">
        <v>132</v>
      </c>
      <c r="I2394" t="s">
        <v>4</v>
      </c>
      <c r="J2394" t="s">
        <v>4276</v>
      </c>
      <c r="K2394" t="s">
        <v>54</v>
      </c>
      <c r="L2394"/>
      <c r="M2394" t="s">
        <v>134</v>
      </c>
      <c r="N2394" t="s">
        <v>135</v>
      </c>
      <c r="O2394"/>
      <c r="P2394"/>
      <c r="Q2394" t="s">
        <v>140</v>
      </c>
      <c r="R2394"/>
      <c r="S2394"/>
      <c r="T2394"/>
      <c r="U2394" t="s">
        <v>137</v>
      </c>
      <c r="V2394" t="s">
        <v>646</v>
      </c>
      <c r="W2394" s="9">
        <v>46174.24666157407</v>
      </c>
      <c r="X2394" t="s">
        <v>74</v>
      </c>
      <c r="Y2394"/>
      <c r="Z2394"/>
      <c r="AA2394" t="s">
        <v>4916</v>
      </c>
      <c r="AB2394"/>
      <c r="AC2394" t="s">
        <v>24</v>
      </c>
      <c r="AD2394" t="s">
        <v>128</v>
      </c>
      <c r="AE2394" s="97"/>
    </row>
    <row r="2395" spans="1:31" ht="14.4" customHeight="1" x14ac:dyDescent="0.3">
      <c r="A2395" t="s">
        <v>4946</v>
      </c>
      <c r="B2395"/>
      <c r="C2395" t="s">
        <v>4338</v>
      </c>
      <c r="D2395"/>
      <c r="E2395" t="s">
        <v>4338</v>
      </c>
      <c r="F2395" t="s">
        <v>6769</v>
      </c>
      <c r="G2395" t="s">
        <v>4915</v>
      </c>
      <c r="H2395" t="s">
        <v>132</v>
      </c>
      <c r="I2395" t="s">
        <v>4</v>
      </c>
      <c r="J2395" t="s">
        <v>4276</v>
      </c>
      <c r="K2395" t="s">
        <v>54</v>
      </c>
      <c r="L2395"/>
      <c r="M2395" t="s">
        <v>134</v>
      </c>
      <c r="N2395" t="s">
        <v>135</v>
      </c>
      <c r="O2395"/>
      <c r="P2395"/>
      <c r="Q2395" t="s">
        <v>140</v>
      </c>
      <c r="R2395"/>
      <c r="S2395"/>
      <c r="T2395"/>
      <c r="U2395" t="s">
        <v>137</v>
      </c>
      <c r="V2395" t="s">
        <v>652</v>
      </c>
      <c r="W2395"/>
      <c r="X2395" t="s">
        <v>85</v>
      </c>
      <c r="Y2395"/>
      <c r="Z2395"/>
      <c r="AA2395" t="s">
        <v>4916</v>
      </c>
      <c r="AB2395"/>
      <c r="AC2395" t="s">
        <v>138</v>
      </c>
      <c r="AD2395" t="s">
        <v>129</v>
      </c>
      <c r="AE2395" s="97"/>
    </row>
    <row r="2396" spans="1:31" ht="14.4" customHeight="1" x14ac:dyDescent="0.3">
      <c r="A2396" t="s">
        <v>4947</v>
      </c>
      <c r="B2396"/>
      <c r="C2396" t="s">
        <v>4340</v>
      </c>
      <c r="D2396"/>
      <c r="E2396" t="s">
        <v>4340</v>
      </c>
      <c r="F2396" t="s">
        <v>6769</v>
      </c>
      <c r="G2396" t="s">
        <v>4915</v>
      </c>
      <c r="H2396" t="s">
        <v>132</v>
      </c>
      <c r="I2396" t="s">
        <v>4</v>
      </c>
      <c r="J2396" t="s">
        <v>4276</v>
      </c>
      <c r="K2396" t="s">
        <v>54</v>
      </c>
      <c r="L2396"/>
      <c r="M2396" t="s">
        <v>134</v>
      </c>
      <c r="N2396" t="s">
        <v>135</v>
      </c>
      <c r="O2396"/>
      <c r="P2396"/>
      <c r="Q2396" t="s">
        <v>140</v>
      </c>
      <c r="R2396"/>
      <c r="S2396"/>
      <c r="T2396"/>
      <c r="U2396" t="s">
        <v>137</v>
      </c>
      <c r="V2396" t="s">
        <v>652</v>
      </c>
      <c r="W2396" s="9">
        <v>46174.243853622684</v>
      </c>
      <c r="X2396" t="s">
        <v>85</v>
      </c>
      <c r="Y2396"/>
      <c r="Z2396"/>
      <c r="AA2396" t="s">
        <v>4916</v>
      </c>
      <c r="AB2396"/>
      <c r="AC2396" t="s">
        <v>24</v>
      </c>
      <c r="AD2396" t="s">
        <v>129</v>
      </c>
      <c r="AE2396" s="97"/>
    </row>
    <row r="2397" spans="1:31" ht="14.4" customHeight="1" x14ac:dyDescent="0.3">
      <c r="A2397" t="s">
        <v>4948</v>
      </c>
      <c r="B2397"/>
      <c r="C2397" t="s">
        <v>4342</v>
      </c>
      <c r="D2397"/>
      <c r="E2397" t="s">
        <v>4342</v>
      </c>
      <c r="F2397" t="s">
        <v>6769</v>
      </c>
      <c r="G2397" t="s">
        <v>4915</v>
      </c>
      <c r="H2397" t="s">
        <v>132</v>
      </c>
      <c r="I2397" t="s">
        <v>4</v>
      </c>
      <c r="J2397" t="s">
        <v>4276</v>
      </c>
      <c r="K2397" t="s">
        <v>54</v>
      </c>
      <c r="L2397"/>
      <c r="M2397" t="s">
        <v>134</v>
      </c>
      <c r="N2397" t="s">
        <v>135</v>
      </c>
      <c r="O2397"/>
      <c r="P2397"/>
      <c r="Q2397" t="s">
        <v>140</v>
      </c>
      <c r="R2397"/>
      <c r="S2397"/>
      <c r="T2397"/>
      <c r="U2397" t="s">
        <v>137</v>
      </c>
      <c r="V2397" t="s">
        <v>658</v>
      </c>
      <c r="W2397"/>
      <c r="X2397" t="s">
        <v>94</v>
      </c>
      <c r="Y2397"/>
      <c r="Z2397"/>
      <c r="AA2397" t="s">
        <v>4916</v>
      </c>
      <c r="AB2397"/>
      <c r="AC2397" t="s">
        <v>138</v>
      </c>
      <c r="AD2397" t="s">
        <v>129</v>
      </c>
      <c r="AE2397" s="97"/>
    </row>
    <row r="2398" spans="1:31" ht="14.4" customHeight="1" x14ac:dyDescent="0.3">
      <c r="A2398" t="s">
        <v>4949</v>
      </c>
      <c r="B2398"/>
      <c r="C2398" t="s">
        <v>4344</v>
      </c>
      <c r="D2398"/>
      <c r="E2398" t="s">
        <v>4344</v>
      </c>
      <c r="F2398" t="s">
        <v>6769</v>
      </c>
      <c r="G2398" t="s">
        <v>4915</v>
      </c>
      <c r="H2398" t="s">
        <v>132</v>
      </c>
      <c r="I2398" t="s">
        <v>4</v>
      </c>
      <c r="J2398" t="s">
        <v>4276</v>
      </c>
      <c r="K2398" t="s">
        <v>54</v>
      </c>
      <c r="L2398"/>
      <c r="M2398" t="s">
        <v>134</v>
      </c>
      <c r="N2398" t="s">
        <v>135</v>
      </c>
      <c r="O2398"/>
      <c r="P2398"/>
      <c r="Q2398" t="s">
        <v>140</v>
      </c>
      <c r="R2398"/>
      <c r="S2398"/>
      <c r="T2398"/>
      <c r="U2398" t="s">
        <v>137</v>
      </c>
      <c r="V2398" t="s">
        <v>658</v>
      </c>
      <c r="W2398" s="9">
        <v>46174.238104745367</v>
      </c>
      <c r="X2398" t="s">
        <v>94</v>
      </c>
      <c r="Y2398"/>
      <c r="Z2398"/>
      <c r="AA2398" t="s">
        <v>4916</v>
      </c>
      <c r="AB2398"/>
      <c r="AC2398" t="s">
        <v>24</v>
      </c>
      <c r="AD2398" t="s">
        <v>129</v>
      </c>
      <c r="AE2398" s="97"/>
    </row>
    <row r="2399" spans="1:31" ht="14.4" customHeight="1" x14ac:dyDescent="0.3">
      <c r="A2399" t="s">
        <v>4950</v>
      </c>
      <c r="B2399"/>
      <c r="C2399" t="s">
        <v>4346</v>
      </c>
      <c r="D2399"/>
      <c r="E2399" t="s">
        <v>4346</v>
      </c>
      <c r="F2399" t="s">
        <v>6769</v>
      </c>
      <c r="G2399" t="s">
        <v>4915</v>
      </c>
      <c r="H2399" t="s">
        <v>132</v>
      </c>
      <c r="I2399" t="s">
        <v>4</v>
      </c>
      <c r="J2399" t="s">
        <v>4276</v>
      </c>
      <c r="K2399" t="s">
        <v>54</v>
      </c>
      <c r="L2399"/>
      <c r="M2399" t="s">
        <v>134</v>
      </c>
      <c r="N2399" t="s">
        <v>135</v>
      </c>
      <c r="O2399"/>
      <c r="P2399"/>
      <c r="Q2399" t="s">
        <v>140</v>
      </c>
      <c r="R2399"/>
      <c r="S2399"/>
      <c r="T2399"/>
      <c r="U2399" t="s">
        <v>137</v>
      </c>
      <c r="V2399" t="s">
        <v>664</v>
      </c>
      <c r="W2399"/>
      <c r="X2399" t="s">
        <v>103</v>
      </c>
      <c r="Y2399"/>
      <c r="Z2399"/>
      <c r="AA2399" t="s">
        <v>4916</v>
      </c>
      <c r="AB2399"/>
      <c r="AC2399" t="s">
        <v>138</v>
      </c>
      <c r="AD2399" t="s">
        <v>129</v>
      </c>
      <c r="AE2399" s="97"/>
    </row>
    <row r="2400" spans="1:31" ht="14.4" customHeight="1" x14ac:dyDescent="0.3">
      <c r="A2400" t="s">
        <v>4951</v>
      </c>
      <c r="B2400"/>
      <c r="C2400" t="s">
        <v>4348</v>
      </c>
      <c r="D2400"/>
      <c r="E2400" t="s">
        <v>4348</v>
      </c>
      <c r="F2400" t="s">
        <v>6769</v>
      </c>
      <c r="G2400" t="s">
        <v>4915</v>
      </c>
      <c r="H2400" t="s">
        <v>132</v>
      </c>
      <c r="I2400" t="s">
        <v>4</v>
      </c>
      <c r="J2400" t="s">
        <v>4276</v>
      </c>
      <c r="K2400" t="s">
        <v>54</v>
      </c>
      <c r="L2400"/>
      <c r="M2400" t="s">
        <v>134</v>
      </c>
      <c r="N2400" t="s">
        <v>135</v>
      </c>
      <c r="O2400"/>
      <c r="P2400"/>
      <c r="Q2400" t="s">
        <v>140</v>
      </c>
      <c r="R2400"/>
      <c r="S2400"/>
      <c r="T2400"/>
      <c r="U2400" t="s">
        <v>137</v>
      </c>
      <c r="V2400" t="s">
        <v>664</v>
      </c>
      <c r="W2400" s="9">
        <v>46197.481977164352</v>
      </c>
      <c r="X2400" t="s">
        <v>103</v>
      </c>
      <c r="Y2400"/>
      <c r="Z2400"/>
      <c r="AA2400" t="s">
        <v>4916</v>
      </c>
      <c r="AB2400"/>
      <c r="AC2400" t="s">
        <v>24</v>
      </c>
      <c r="AD2400" t="s">
        <v>129</v>
      </c>
      <c r="AE2400" s="97"/>
    </row>
    <row r="2401" spans="1:31" ht="14.4" customHeight="1" x14ac:dyDescent="0.3">
      <c r="A2401" t="s">
        <v>4952</v>
      </c>
      <c r="B2401"/>
      <c r="C2401" t="s">
        <v>4350</v>
      </c>
      <c r="D2401"/>
      <c r="E2401" t="s">
        <v>4350</v>
      </c>
      <c r="F2401" t="s">
        <v>6769</v>
      </c>
      <c r="G2401" t="s">
        <v>4915</v>
      </c>
      <c r="H2401" t="s">
        <v>132</v>
      </c>
      <c r="I2401" t="s">
        <v>4</v>
      </c>
      <c r="J2401" t="s">
        <v>4276</v>
      </c>
      <c r="K2401" t="s">
        <v>54</v>
      </c>
      <c r="L2401"/>
      <c r="M2401" t="s">
        <v>134</v>
      </c>
      <c r="N2401" t="s">
        <v>135</v>
      </c>
      <c r="O2401"/>
      <c r="P2401"/>
      <c r="Q2401" t="s">
        <v>140</v>
      </c>
      <c r="R2401"/>
      <c r="S2401"/>
      <c r="T2401"/>
      <c r="U2401" t="s">
        <v>137</v>
      </c>
      <c r="V2401" t="s">
        <v>670</v>
      </c>
      <c r="W2401"/>
      <c r="X2401" t="s">
        <v>110</v>
      </c>
      <c r="Y2401"/>
      <c r="Z2401"/>
      <c r="AA2401" t="s">
        <v>4916</v>
      </c>
      <c r="AB2401"/>
      <c r="AC2401" t="s">
        <v>138</v>
      </c>
      <c r="AD2401" t="s">
        <v>129</v>
      </c>
      <c r="AE2401" s="97"/>
    </row>
    <row r="2402" spans="1:31" ht="14.4" customHeight="1" x14ac:dyDescent="0.3">
      <c r="A2402" t="s">
        <v>4953</v>
      </c>
      <c r="B2402"/>
      <c r="C2402" t="s">
        <v>4352</v>
      </c>
      <c r="D2402"/>
      <c r="E2402" t="s">
        <v>4352</v>
      </c>
      <c r="F2402" t="s">
        <v>6769</v>
      </c>
      <c r="G2402" t="s">
        <v>4915</v>
      </c>
      <c r="H2402" t="s">
        <v>132</v>
      </c>
      <c r="I2402" t="s">
        <v>4</v>
      </c>
      <c r="J2402" t="s">
        <v>4276</v>
      </c>
      <c r="K2402" t="s">
        <v>54</v>
      </c>
      <c r="L2402"/>
      <c r="M2402" t="s">
        <v>134</v>
      </c>
      <c r="N2402" t="s">
        <v>135</v>
      </c>
      <c r="O2402"/>
      <c r="P2402"/>
      <c r="Q2402" t="s">
        <v>140</v>
      </c>
      <c r="R2402"/>
      <c r="S2402"/>
      <c r="T2402"/>
      <c r="U2402" t="s">
        <v>137</v>
      </c>
      <c r="V2402" t="s">
        <v>670</v>
      </c>
      <c r="W2402" s="9">
        <v>46176.483658368059</v>
      </c>
      <c r="X2402" t="s">
        <v>110</v>
      </c>
      <c r="Y2402"/>
      <c r="Z2402"/>
      <c r="AA2402" t="s">
        <v>4916</v>
      </c>
      <c r="AB2402"/>
      <c r="AC2402" t="s">
        <v>24</v>
      </c>
      <c r="AD2402" t="s">
        <v>129</v>
      </c>
      <c r="AE2402" s="97"/>
    </row>
    <row r="2403" spans="1:31" ht="14.4" customHeight="1" x14ac:dyDescent="0.3">
      <c r="A2403" t="s">
        <v>4954</v>
      </c>
      <c r="B2403"/>
      <c r="C2403" t="s">
        <v>4354</v>
      </c>
      <c r="D2403"/>
      <c r="E2403" t="s">
        <v>4354</v>
      </c>
      <c r="F2403" t="s">
        <v>6769</v>
      </c>
      <c r="G2403" t="s">
        <v>4915</v>
      </c>
      <c r="H2403" t="s">
        <v>132</v>
      </c>
      <c r="I2403" t="s">
        <v>4</v>
      </c>
      <c r="J2403" t="s">
        <v>4276</v>
      </c>
      <c r="K2403" t="s">
        <v>54</v>
      </c>
      <c r="L2403"/>
      <c r="M2403" t="s">
        <v>134</v>
      </c>
      <c r="N2403" t="s">
        <v>135</v>
      </c>
      <c r="O2403"/>
      <c r="P2403"/>
      <c r="Q2403" t="s">
        <v>140</v>
      </c>
      <c r="R2403"/>
      <c r="S2403"/>
      <c r="T2403"/>
      <c r="U2403" t="s">
        <v>137</v>
      </c>
      <c r="V2403" t="s">
        <v>676</v>
      </c>
      <c r="W2403"/>
      <c r="X2403" t="s">
        <v>119</v>
      </c>
      <c r="Y2403"/>
      <c r="Z2403"/>
      <c r="AA2403" t="s">
        <v>4916</v>
      </c>
      <c r="AB2403"/>
      <c r="AC2403" t="s">
        <v>138</v>
      </c>
      <c r="AD2403" t="s">
        <v>130</v>
      </c>
      <c r="AE2403" s="97"/>
    </row>
    <row r="2404" spans="1:31" ht="14.4" customHeight="1" x14ac:dyDescent="0.3">
      <c r="A2404" t="s">
        <v>4955</v>
      </c>
      <c r="B2404"/>
      <c r="C2404" t="s">
        <v>4356</v>
      </c>
      <c r="D2404"/>
      <c r="E2404" t="s">
        <v>4356</v>
      </c>
      <c r="F2404" t="s">
        <v>6769</v>
      </c>
      <c r="G2404" t="s">
        <v>4915</v>
      </c>
      <c r="H2404" t="s">
        <v>132</v>
      </c>
      <c r="I2404" t="s">
        <v>4</v>
      </c>
      <c r="J2404" t="s">
        <v>4276</v>
      </c>
      <c r="K2404" t="s">
        <v>54</v>
      </c>
      <c r="L2404"/>
      <c r="M2404" t="s">
        <v>134</v>
      </c>
      <c r="N2404" t="s">
        <v>135</v>
      </c>
      <c r="O2404"/>
      <c r="P2404"/>
      <c r="Q2404" t="s">
        <v>140</v>
      </c>
      <c r="R2404"/>
      <c r="S2404"/>
      <c r="T2404"/>
      <c r="U2404" t="s">
        <v>137</v>
      </c>
      <c r="V2404" t="s">
        <v>676</v>
      </c>
      <c r="W2404"/>
      <c r="X2404" t="s">
        <v>119</v>
      </c>
      <c r="Y2404"/>
      <c r="Z2404"/>
      <c r="AA2404" t="s">
        <v>4916</v>
      </c>
      <c r="AB2404"/>
      <c r="AC2404" t="s">
        <v>7068</v>
      </c>
      <c r="AD2404" t="s">
        <v>130</v>
      </c>
      <c r="AE2404" s="97"/>
    </row>
    <row r="2405" spans="1:31" ht="14.4" customHeight="1" x14ac:dyDescent="0.3">
      <c r="A2405" t="s">
        <v>4956</v>
      </c>
      <c r="B2405"/>
      <c r="C2405" t="s">
        <v>4358</v>
      </c>
      <c r="D2405"/>
      <c r="E2405" t="s">
        <v>4358</v>
      </c>
      <c r="F2405" t="s">
        <v>6769</v>
      </c>
      <c r="G2405" t="s">
        <v>4915</v>
      </c>
      <c r="H2405" t="s">
        <v>132</v>
      </c>
      <c r="I2405" t="s">
        <v>4</v>
      </c>
      <c r="J2405" t="s">
        <v>4276</v>
      </c>
      <c r="K2405" t="s">
        <v>54</v>
      </c>
      <c r="L2405"/>
      <c r="M2405" t="s">
        <v>134</v>
      </c>
      <c r="N2405" t="s">
        <v>135</v>
      </c>
      <c r="O2405"/>
      <c r="P2405"/>
      <c r="Q2405" t="s">
        <v>140</v>
      </c>
      <c r="R2405"/>
      <c r="S2405"/>
      <c r="T2405"/>
      <c r="U2405" t="s">
        <v>137</v>
      </c>
      <c r="V2405" t="s">
        <v>1190</v>
      </c>
      <c r="W2405"/>
      <c r="X2405" t="s">
        <v>67</v>
      </c>
      <c r="Y2405"/>
      <c r="Z2405"/>
      <c r="AA2405" t="s">
        <v>4916</v>
      </c>
      <c r="AB2405"/>
      <c r="AC2405" t="s">
        <v>138</v>
      </c>
      <c r="AD2405" t="s">
        <v>128</v>
      </c>
      <c r="AE2405" s="97"/>
    </row>
    <row r="2406" spans="1:31" ht="14.4" customHeight="1" x14ac:dyDescent="0.3">
      <c r="A2406" t="s">
        <v>4957</v>
      </c>
      <c r="B2406"/>
      <c r="C2406" t="s">
        <v>4360</v>
      </c>
      <c r="D2406"/>
      <c r="E2406" t="s">
        <v>4360</v>
      </c>
      <c r="F2406" t="s">
        <v>6769</v>
      </c>
      <c r="G2406" t="s">
        <v>4915</v>
      </c>
      <c r="H2406" t="s">
        <v>132</v>
      </c>
      <c r="I2406" t="s">
        <v>4</v>
      </c>
      <c r="J2406" t="s">
        <v>4276</v>
      </c>
      <c r="K2406" t="s">
        <v>54</v>
      </c>
      <c r="L2406"/>
      <c r="M2406" t="s">
        <v>134</v>
      </c>
      <c r="N2406" t="s">
        <v>135</v>
      </c>
      <c r="O2406"/>
      <c r="P2406"/>
      <c r="Q2406" t="s">
        <v>140</v>
      </c>
      <c r="R2406"/>
      <c r="S2406"/>
      <c r="T2406"/>
      <c r="U2406" t="s">
        <v>137</v>
      </c>
      <c r="V2406" t="s">
        <v>1190</v>
      </c>
      <c r="W2406" s="9">
        <v>46176.484674074076</v>
      </c>
      <c r="X2406" t="s">
        <v>67</v>
      </c>
      <c r="Y2406"/>
      <c r="Z2406"/>
      <c r="AA2406" t="s">
        <v>4916</v>
      </c>
      <c r="AB2406"/>
      <c r="AC2406" t="s">
        <v>24</v>
      </c>
      <c r="AD2406" t="s">
        <v>128</v>
      </c>
      <c r="AE2406" s="97"/>
    </row>
    <row r="2407" spans="1:31" ht="14.4" customHeight="1" x14ac:dyDescent="0.3">
      <c r="A2407" t="s">
        <v>4958</v>
      </c>
      <c r="B2407"/>
      <c r="C2407" t="s">
        <v>4362</v>
      </c>
      <c r="D2407"/>
      <c r="E2407" t="s">
        <v>4362</v>
      </c>
      <c r="F2407" t="s">
        <v>6769</v>
      </c>
      <c r="G2407" t="s">
        <v>4915</v>
      </c>
      <c r="H2407" t="s">
        <v>132</v>
      </c>
      <c r="I2407" t="s">
        <v>4</v>
      </c>
      <c r="J2407" t="s">
        <v>4276</v>
      </c>
      <c r="K2407" t="s">
        <v>54</v>
      </c>
      <c r="L2407"/>
      <c r="M2407" t="s">
        <v>134</v>
      </c>
      <c r="N2407" t="s">
        <v>135</v>
      </c>
      <c r="O2407"/>
      <c r="P2407"/>
      <c r="Q2407" t="s">
        <v>140</v>
      </c>
      <c r="R2407"/>
      <c r="S2407"/>
      <c r="T2407"/>
      <c r="U2407" t="s">
        <v>137</v>
      </c>
      <c r="V2407" t="s">
        <v>1194</v>
      </c>
      <c r="W2407"/>
      <c r="X2407" t="s">
        <v>75</v>
      </c>
      <c r="Y2407"/>
      <c r="Z2407"/>
      <c r="AA2407" t="s">
        <v>4916</v>
      </c>
      <c r="AB2407"/>
      <c r="AC2407" t="s">
        <v>138</v>
      </c>
      <c r="AD2407" t="s">
        <v>128</v>
      </c>
      <c r="AE2407" s="97"/>
    </row>
    <row r="2408" spans="1:31" ht="14.4" customHeight="1" x14ac:dyDescent="0.3">
      <c r="A2408" t="s">
        <v>4959</v>
      </c>
      <c r="B2408"/>
      <c r="C2408" t="s">
        <v>4364</v>
      </c>
      <c r="D2408"/>
      <c r="E2408" t="s">
        <v>4364</v>
      </c>
      <c r="F2408" t="s">
        <v>6769</v>
      </c>
      <c r="G2408" t="s">
        <v>4915</v>
      </c>
      <c r="H2408" t="s">
        <v>132</v>
      </c>
      <c r="I2408" t="s">
        <v>4</v>
      </c>
      <c r="J2408" t="s">
        <v>4276</v>
      </c>
      <c r="K2408" t="s">
        <v>54</v>
      </c>
      <c r="L2408"/>
      <c r="M2408" t="s">
        <v>134</v>
      </c>
      <c r="N2408" t="s">
        <v>135</v>
      </c>
      <c r="O2408"/>
      <c r="P2408"/>
      <c r="Q2408" t="s">
        <v>140</v>
      </c>
      <c r="R2408"/>
      <c r="S2408"/>
      <c r="T2408"/>
      <c r="U2408" t="s">
        <v>137</v>
      </c>
      <c r="V2408" t="s">
        <v>1194</v>
      </c>
      <c r="W2408" s="9">
        <v>46176.486067557867</v>
      </c>
      <c r="X2408" t="s">
        <v>75</v>
      </c>
      <c r="Y2408"/>
      <c r="Z2408"/>
      <c r="AA2408" t="s">
        <v>4916</v>
      </c>
      <c r="AB2408"/>
      <c r="AC2408" t="s">
        <v>24</v>
      </c>
      <c r="AD2408" t="s">
        <v>128</v>
      </c>
      <c r="AE2408" s="97"/>
    </row>
    <row r="2409" spans="1:31" ht="14.4" customHeight="1" x14ac:dyDescent="0.3">
      <c r="A2409" t="s">
        <v>4960</v>
      </c>
      <c r="B2409"/>
      <c r="C2409" t="s">
        <v>4366</v>
      </c>
      <c r="D2409"/>
      <c r="E2409" t="s">
        <v>4366</v>
      </c>
      <c r="F2409" t="s">
        <v>6769</v>
      </c>
      <c r="G2409" t="s">
        <v>4915</v>
      </c>
      <c r="H2409" t="s">
        <v>132</v>
      </c>
      <c r="I2409" t="s">
        <v>4</v>
      </c>
      <c r="J2409" t="s">
        <v>4276</v>
      </c>
      <c r="K2409" t="s">
        <v>54</v>
      </c>
      <c r="L2409"/>
      <c r="M2409" t="s">
        <v>134</v>
      </c>
      <c r="N2409" t="s">
        <v>135</v>
      </c>
      <c r="O2409"/>
      <c r="P2409"/>
      <c r="Q2409" t="s">
        <v>140</v>
      </c>
      <c r="R2409"/>
      <c r="S2409"/>
      <c r="T2409"/>
      <c r="U2409" t="s">
        <v>137</v>
      </c>
      <c r="V2409" t="s">
        <v>1198</v>
      </c>
      <c r="W2409"/>
      <c r="X2409" t="s">
        <v>86</v>
      </c>
      <c r="Y2409"/>
      <c r="Z2409"/>
      <c r="AA2409" t="s">
        <v>4916</v>
      </c>
      <c r="AB2409"/>
      <c r="AC2409" t="s">
        <v>138</v>
      </c>
      <c r="AD2409" t="s">
        <v>129</v>
      </c>
      <c r="AE2409" s="97"/>
    </row>
    <row r="2410" spans="1:31" ht="14.4" customHeight="1" x14ac:dyDescent="0.3">
      <c r="A2410" t="s">
        <v>4961</v>
      </c>
      <c r="B2410"/>
      <c r="C2410" t="s">
        <v>4368</v>
      </c>
      <c r="D2410"/>
      <c r="E2410" t="s">
        <v>4368</v>
      </c>
      <c r="F2410" t="s">
        <v>6769</v>
      </c>
      <c r="G2410" t="s">
        <v>4915</v>
      </c>
      <c r="H2410" t="s">
        <v>132</v>
      </c>
      <c r="I2410" t="s">
        <v>4</v>
      </c>
      <c r="J2410" t="s">
        <v>4276</v>
      </c>
      <c r="K2410" t="s">
        <v>54</v>
      </c>
      <c r="L2410"/>
      <c r="M2410" t="s">
        <v>134</v>
      </c>
      <c r="N2410" t="s">
        <v>135</v>
      </c>
      <c r="O2410"/>
      <c r="P2410"/>
      <c r="Q2410" t="s">
        <v>140</v>
      </c>
      <c r="R2410"/>
      <c r="S2410"/>
      <c r="T2410"/>
      <c r="U2410" t="s">
        <v>137</v>
      </c>
      <c r="V2410" t="s">
        <v>1198</v>
      </c>
      <c r="W2410" s="9">
        <v>46176.486837928242</v>
      </c>
      <c r="X2410" t="s">
        <v>86</v>
      </c>
      <c r="Y2410"/>
      <c r="Z2410"/>
      <c r="AA2410" t="s">
        <v>4916</v>
      </c>
      <c r="AB2410"/>
      <c r="AC2410" t="s">
        <v>24</v>
      </c>
      <c r="AD2410" t="s">
        <v>129</v>
      </c>
      <c r="AE2410" s="97"/>
    </row>
    <row r="2411" spans="1:31" ht="14.4" customHeight="1" x14ac:dyDescent="0.3">
      <c r="A2411" t="s">
        <v>4962</v>
      </c>
      <c r="B2411"/>
      <c r="C2411" t="s">
        <v>4370</v>
      </c>
      <c r="D2411"/>
      <c r="E2411" t="s">
        <v>4370</v>
      </c>
      <c r="F2411" t="s">
        <v>6769</v>
      </c>
      <c r="G2411" t="s">
        <v>4915</v>
      </c>
      <c r="H2411" t="s">
        <v>132</v>
      </c>
      <c r="I2411" t="s">
        <v>4</v>
      </c>
      <c r="J2411" t="s">
        <v>4276</v>
      </c>
      <c r="K2411" t="s">
        <v>54</v>
      </c>
      <c r="L2411"/>
      <c r="M2411" t="s">
        <v>134</v>
      </c>
      <c r="N2411" t="s">
        <v>135</v>
      </c>
      <c r="O2411"/>
      <c r="P2411"/>
      <c r="Q2411" t="s">
        <v>140</v>
      </c>
      <c r="R2411"/>
      <c r="S2411"/>
      <c r="T2411"/>
      <c r="U2411" t="s">
        <v>137</v>
      </c>
      <c r="V2411" t="s">
        <v>1202</v>
      </c>
      <c r="W2411"/>
      <c r="X2411" t="s">
        <v>95</v>
      </c>
      <c r="Y2411"/>
      <c r="Z2411"/>
      <c r="AA2411" t="s">
        <v>4916</v>
      </c>
      <c r="AB2411"/>
      <c r="AC2411" t="s">
        <v>138</v>
      </c>
      <c r="AD2411" t="s">
        <v>129</v>
      </c>
      <c r="AE2411" s="97"/>
    </row>
    <row r="2412" spans="1:31" ht="14.4" customHeight="1" x14ac:dyDescent="0.3">
      <c r="A2412" t="s">
        <v>4963</v>
      </c>
      <c r="B2412"/>
      <c r="C2412" t="s">
        <v>4372</v>
      </c>
      <c r="D2412"/>
      <c r="E2412" t="s">
        <v>4372</v>
      </c>
      <c r="F2412" t="s">
        <v>6769</v>
      </c>
      <c r="G2412" t="s">
        <v>4915</v>
      </c>
      <c r="H2412" t="s">
        <v>132</v>
      </c>
      <c r="I2412" t="s">
        <v>4</v>
      </c>
      <c r="J2412" t="s">
        <v>4276</v>
      </c>
      <c r="K2412" t="s">
        <v>54</v>
      </c>
      <c r="L2412"/>
      <c r="M2412" t="s">
        <v>134</v>
      </c>
      <c r="N2412" t="s">
        <v>135</v>
      </c>
      <c r="O2412"/>
      <c r="P2412"/>
      <c r="Q2412" t="s">
        <v>140</v>
      </c>
      <c r="R2412"/>
      <c r="S2412"/>
      <c r="T2412"/>
      <c r="U2412" t="s">
        <v>137</v>
      </c>
      <c r="V2412" t="s">
        <v>1202</v>
      </c>
      <c r="W2412" s="9">
        <v>46176.487984027779</v>
      </c>
      <c r="X2412" t="s">
        <v>95</v>
      </c>
      <c r="Y2412"/>
      <c r="Z2412"/>
      <c r="AA2412" t="s">
        <v>4916</v>
      </c>
      <c r="AB2412"/>
      <c r="AC2412" t="s">
        <v>24</v>
      </c>
      <c r="AD2412" t="s">
        <v>129</v>
      </c>
      <c r="AE2412" s="97"/>
    </row>
    <row r="2413" spans="1:31" ht="14.4" customHeight="1" x14ac:dyDescent="0.3">
      <c r="A2413" t="s">
        <v>4964</v>
      </c>
      <c r="B2413"/>
      <c r="C2413" t="s">
        <v>4374</v>
      </c>
      <c r="D2413"/>
      <c r="E2413" t="s">
        <v>4374</v>
      </c>
      <c r="F2413" t="s">
        <v>6769</v>
      </c>
      <c r="G2413" t="s">
        <v>4915</v>
      </c>
      <c r="H2413" t="s">
        <v>132</v>
      </c>
      <c r="I2413" t="s">
        <v>4</v>
      </c>
      <c r="J2413" t="s">
        <v>4276</v>
      </c>
      <c r="K2413" t="s">
        <v>54</v>
      </c>
      <c r="L2413"/>
      <c r="M2413" t="s">
        <v>134</v>
      </c>
      <c r="N2413" t="s">
        <v>135</v>
      </c>
      <c r="O2413"/>
      <c r="P2413"/>
      <c r="Q2413" t="s">
        <v>140</v>
      </c>
      <c r="R2413"/>
      <c r="S2413"/>
      <c r="T2413"/>
      <c r="U2413" t="s">
        <v>137</v>
      </c>
      <c r="V2413" t="s">
        <v>1206</v>
      </c>
      <c r="W2413"/>
      <c r="X2413" t="s">
        <v>104</v>
      </c>
      <c r="Y2413"/>
      <c r="Z2413"/>
      <c r="AA2413" t="s">
        <v>4916</v>
      </c>
      <c r="AB2413"/>
      <c r="AC2413" t="s">
        <v>138</v>
      </c>
      <c r="AD2413" t="s">
        <v>129</v>
      </c>
      <c r="AE2413" s="97"/>
    </row>
    <row r="2414" spans="1:31" ht="14.4" customHeight="1" x14ac:dyDescent="0.3">
      <c r="A2414" t="s">
        <v>4965</v>
      </c>
      <c r="B2414"/>
      <c r="C2414" t="s">
        <v>4376</v>
      </c>
      <c r="D2414"/>
      <c r="E2414" t="s">
        <v>4376</v>
      </c>
      <c r="F2414" t="s">
        <v>6769</v>
      </c>
      <c r="G2414" t="s">
        <v>4915</v>
      </c>
      <c r="H2414" t="s">
        <v>132</v>
      </c>
      <c r="I2414" t="s">
        <v>4</v>
      </c>
      <c r="J2414" t="s">
        <v>4276</v>
      </c>
      <c r="K2414" t="s">
        <v>54</v>
      </c>
      <c r="L2414"/>
      <c r="M2414" t="s">
        <v>134</v>
      </c>
      <c r="N2414" t="s">
        <v>135</v>
      </c>
      <c r="O2414"/>
      <c r="P2414"/>
      <c r="Q2414" t="s">
        <v>140</v>
      </c>
      <c r="R2414"/>
      <c r="S2414"/>
      <c r="T2414"/>
      <c r="U2414" t="s">
        <v>137</v>
      </c>
      <c r="V2414" t="s">
        <v>1206</v>
      </c>
      <c r="W2414" s="9">
        <v>46176.490331678244</v>
      </c>
      <c r="X2414" t="s">
        <v>104</v>
      </c>
      <c r="Y2414"/>
      <c r="Z2414"/>
      <c r="AA2414" t="s">
        <v>4916</v>
      </c>
      <c r="AB2414"/>
      <c r="AC2414" t="s">
        <v>24</v>
      </c>
      <c r="AD2414" t="s">
        <v>129</v>
      </c>
      <c r="AE2414" s="97"/>
    </row>
    <row r="2415" spans="1:31" ht="14.4" customHeight="1" x14ac:dyDescent="0.3">
      <c r="A2415" t="s">
        <v>4966</v>
      </c>
      <c r="B2415"/>
      <c r="C2415" t="s">
        <v>4378</v>
      </c>
      <c r="D2415"/>
      <c r="E2415" t="s">
        <v>4378</v>
      </c>
      <c r="F2415" t="s">
        <v>6769</v>
      </c>
      <c r="G2415" t="s">
        <v>4915</v>
      </c>
      <c r="H2415" t="s">
        <v>132</v>
      </c>
      <c r="I2415" t="s">
        <v>4</v>
      </c>
      <c r="J2415" t="s">
        <v>4276</v>
      </c>
      <c r="K2415" t="s">
        <v>54</v>
      </c>
      <c r="L2415"/>
      <c r="M2415" t="s">
        <v>134</v>
      </c>
      <c r="N2415" t="s">
        <v>135</v>
      </c>
      <c r="O2415"/>
      <c r="P2415"/>
      <c r="Q2415" t="s">
        <v>140</v>
      </c>
      <c r="R2415"/>
      <c r="S2415"/>
      <c r="T2415"/>
      <c r="U2415" t="s">
        <v>137</v>
      </c>
      <c r="V2415" t="s">
        <v>1210</v>
      </c>
      <c r="W2415"/>
      <c r="X2415" t="s">
        <v>111</v>
      </c>
      <c r="Y2415"/>
      <c r="Z2415"/>
      <c r="AA2415" t="s">
        <v>4916</v>
      </c>
      <c r="AB2415"/>
      <c r="AC2415" t="s">
        <v>138</v>
      </c>
      <c r="AD2415" t="s">
        <v>129</v>
      </c>
      <c r="AE2415" s="97"/>
    </row>
    <row r="2416" spans="1:31" ht="14.4" customHeight="1" x14ac:dyDescent="0.3">
      <c r="A2416" t="s">
        <v>4967</v>
      </c>
      <c r="B2416"/>
      <c r="C2416" t="s">
        <v>4380</v>
      </c>
      <c r="D2416"/>
      <c r="E2416" t="s">
        <v>4380</v>
      </c>
      <c r="F2416" t="s">
        <v>6769</v>
      </c>
      <c r="G2416" t="s">
        <v>4915</v>
      </c>
      <c r="H2416" t="s">
        <v>132</v>
      </c>
      <c r="I2416" t="s">
        <v>4</v>
      </c>
      <c r="J2416" t="s">
        <v>4276</v>
      </c>
      <c r="K2416" t="s">
        <v>54</v>
      </c>
      <c r="L2416"/>
      <c r="M2416" t="s">
        <v>134</v>
      </c>
      <c r="N2416" t="s">
        <v>135</v>
      </c>
      <c r="O2416"/>
      <c r="P2416"/>
      <c r="Q2416" t="s">
        <v>140</v>
      </c>
      <c r="R2416"/>
      <c r="S2416"/>
      <c r="T2416"/>
      <c r="U2416" t="s">
        <v>137</v>
      </c>
      <c r="V2416" t="s">
        <v>1210</v>
      </c>
      <c r="W2416" s="9">
        <v>46176.4974377662</v>
      </c>
      <c r="X2416" t="s">
        <v>111</v>
      </c>
      <c r="Y2416"/>
      <c r="Z2416"/>
      <c r="AA2416" t="s">
        <v>4916</v>
      </c>
      <c r="AB2416"/>
      <c r="AC2416" t="s">
        <v>24</v>
      </c>
      <c r="AD2416" t="s">
        <v>129</v>
      </c>
      <c r="AE2416" s="97"/>
    </row>
    <row r="2417" spans="1:31" ht="14.4" customHeight="1" x14ac:dyDescent="0.3">
      <c r="A2417" t="s">
        <v>4968</v>
      </c>
      <c r="B2417"/>
      <c r="C2417" t="s">
        <v>4382</v>
      </c>
      <c r="D2417"/>
      <c r="E2417" t="s">
        <v>4382</v>
      </c>
      <c r="F2417" t="s">
        <v>6769</v>
      </c>
      <c r="G2417" t="s">
        <v>4915</v>
      </c>
      <c r="H2417" t="s">
        <v>132</v>
      </c>
      <c r="I2417" t="s">
        <v>4</v>
      </c>
      <c r="J2417" t="s">
        <v>4276</v>
      </c>
      <c r="K2417" t="s">
        <v>54</v>
      </c>
      <c r="L2417"/>
      <c r="M2417" t="s">
        <v>134</v>
      </c>
      <c r="N2417" t="s">
        <v>135</v>
      </c>
      <c r="O2417"/>
      <c r="P2417"/>
      <c r="Q2417" t="s">
        <v>140</v>
      </c>
      <c r="R2417"/>
      <c r="S2417"/>
      <c r="T2417"/>
      <c r="U2417" t="s">
        <v>137</v>
      </c>
      <c r="V2417" t="s">
        <v>1214</v>
      </c>
      <c r="W2417"/>
      <c r="X2417" t="s">
        <v>120</v>
      </c>
      <c r="Y2417"/>
      <c r="Z2417"/>
      <c r="AA2417" t="s">
        <v>4916</v>
      </c>
      <c r="AB2417"/>
      <c r="AC2417" t="s">
        <v>138</v>
      </c>
      <c r="AD2417" t="s">
        <v>130</v>
      </c>
      <c r="AE2417" s="97"/>
    </row>
    <row r="2418" spans="1:31" ht="14.4" customHeight="1" x14ac:dyDescent="0.3">
      <c r="A2418" t="s">
        <v>4969</v>
      </c>
      <c r="B2418"/>
      <c r="C2418" t="s">
        <v>4384</v>
      </c>
      <c r="D2418"/>
      <c r="E2418" t="s">
        <v>4384</v>
      </c>
      <c r="F2418" t="s">
        <v>6769</v>
      </c>
      <c r="G2418" t="s">
        <v>4915</v>
      </c>
      <c r="H2418" t="s">
        <v>132</v>
      </c>
      <c r="I2418" t="s">
        <v>4</v>
      </c>
      <c r="J2418" t="s">
        <v>4276</v>
      </c>
      <c r="K2418" t="s">
        <v>54</v>
      </c>
      <c r="L2418"/>
      <c r="M2418" t="s">
        <v>134</v>
      </c>
      <c r="N2418" t="s">
        <v>135</v>
      </c>
      <c r="O2418"/>
      <c r="P2418"/>
      <c r="Q2418" t="s">
        <v>140</v>
      </c>
      <c r="R2418"/>
      <c r="S2418"/>
      <c r="T2418"/>
      <c r="U2418" t="s">
        <v>137</v>
      </c>
      <c r="V2418" t="s">
        <v>1214</v>
      </c>
      <c r="W2418" s="9">
        <v>46176.498030868053</v>
      </c>
      <c r="X2418" t="s">
        <v>120</v>
      </c>
      <c r="Y2418"/>
      <c r="Z2418"/>
      <c r="AA2418" t="s">
        <v>4916</v>
      </c>
      <c r="AB2418"/>
      <c r="AC2418" t="s">
        <v>24</v>
      </c>
      <c r="AD2418" t="s">
        <v>130</v>
      </c>
      <c r="AE2418" s="97"/>
    </row>
    <row r="2419" spans="1:31" ht="14.4" customHeight="1" x14ac:dyDescent="0.3">
      <c r="A2419" t="s">
        <v>4970</v>
      </c>
      <c r="B2419"/>
      <c r="C2419" t="s">
        <v>4386</v>
      </c>
      <c r="D2419"/>
      <c r="E2419" t="s">
        <v>4386</v>
      </c>
      <c r="F2419" t="s">
        <v>6769</v>
      </c>
      <c r="G2419" t="s">
        <v>4915</v>
      </c>
      <c r="H2419" t="s">
        <v>132</v>
      </c>
      <c r="I2419" t="s">
        <v>4</v>
      </c>
      <c r="J2419" t="s">
        <v>4276</v>
      </c>
      <c r="K2419" t="s">
        <v>54</v>
      </c>
      <c r="L2419"/>
      <c r="M2419" t="s">
        <v>134</v>
      </c>
      <c r="N2419" t="s">
        <v>135</v>
      </c>
      <c r="O2419"/>
      <c r="P2419"/>
      <c r="Q2419" t="s">
        <v>140</v>
      </c>
      <c r="R2419"/>
      <c r="S2419"/>
      <c r="T2419"/>
      <c r="U2419" t="s">
        <v>137</v>
      </c>
      <c r="V2419" t="s">
        <v>403</v>
      </c>
      <c r="W2419"/>
      <c r="X2419" t="s">
        <v>68</v>
      </c>
      <c r="Y2419"/>
      <c r="Z2419"/>
      <c r="AA2419" t="s">
        <v>4916</v>
      </c>
      <c r="AB2419"/>
      <c r="AC2419" t="s">
        <v>138</v>
      </c>
      <c r="AD2419" t="s">
        <v>128</v>
      </c>
      <c r="AE2419" s="97"/>
    </row>
    <row r="2420" spans="1:31" ht="14.4" customHeight="1" x14ac:dyDescent="0.3">
      <c r="A2420" t="s">
        <v>4971</v>
      </c>
      <c r="B2420"/>
      <c r="C2420" t="s">
        <v>4388</v>
      </c>
      <c r="D2420"/>
      <c r="E2420" t="s">
        <v>4388</v>
      </c>
      <c r="F2420" t="s">
        <v>6769</v>
      </c>
      <c r="G2420" t="s">
        <v>4915</v>
      </c>
      <c r="H2420" t="s">
        <v>132</v>
      </c>
      <c r="I2420" t="s">
        <v>4</v>
      </c>
      <c r="J2420" t="s">
        <v>4276</v>
      </c>
      <c r="K2420" t="s">
        <v>54</v>
      </c>
      <c r="L2420"/>
      <c r="M2420" t="s">
        <v>134</v>
      </c>
      <c r="N2420" t="s">
        <v>135</v>
      </c>
      <c r="O2420"/>
      <c r="P2420"/>
      <c r="Q2420" t="s">
        <v>140</v>
      </c>
      <c r="R2420"/>
      <c r="S2420"/>
      <c r="T2420"/>
      <c r="U2420" t="s">
        <v>137</v>
      </c>
      <c r="V2420" t="s">
        <v>403</v>
      </c>
      <c r="W2420" s="9">
        <v>46178.543736307867</v>
      </c>
      <c r="X2420" t="s">
        <v>68</v>
      </c>
      <c r="Y2420"/>
      <c r="Z2420"/>
      <c r="AA2420" t="s">
        <v>4916</v>
      </c>
      <c r="AB2420"/>
      <c r="AC2420" t="s">
        <v>24</v>
      </c>
      <c r="AD2420" t="s">
        <v>128</v>
      </c>
      <c r="AE2420" s="97"/>
    </row>
    <row r="2421" spans="1:31" ht="14.4" customHeight="1" x14ac:dyDescent="0.3">
      <c r="A2421" t="s">
        <v>4972</v>
      </c>
      <c r="B2421"/>
      <c r="C2421" t="s">
        <v>4390</v>
      </c>
      <c r="D2421"/>
      <c r="E2421" t="s">
        <v>4390</v>
      </c>
      <c r="F2421" t="s">
        <v>6769</v>
      </c>
      <c r="G2421" t="s">
        <v>4915</v>
      </c>
      <c r="H2421" t="s">
        <v>132</v>
      </c>
      <c r="I2421" t="s">
        <v>4</v>
      </c>
      <c r="J2421" t="s">
        <v>4276</v>
      </c>
      <c r="K2421" t="s">
        <v>54</v>
      </c>
      <c r="L2421"/>
      <c r="M2421" t="s">
        <v>134</v>
      </c>
      <c r="N2421" t="s">
        <v>135</v>
      </c>
      <c r="O2421"/>
      <c r="P2421"/>
      <c r="Q2421" t="s">
        <v>140</v>
      </c>
      <c r="R2421"/>
      <c r="S2421"/>
      <c r="T2421"/>
      <c r="U2421" t="s">
        <v>137</v>
      </c>
      <c r="V2421" t="s">
        <v>407</v>
      </c>
      <c r="W2421"/>
      <c r="X2421" t="s">
        <v>77</v>
      </c>
      <c r="Y2421"/>
      <c r="Z2421"/>
      <c r="AA2421" t="s">
        <v>4916</v>
      </c>
      <c r="AB2421"/>
      <c r="AC2421" t="s">
        <v>138</v>
      </c>
      <c r="AD2421" t="s">
        <v>128</v>
      </c>
      <c r="AE2421" s="97"/>
    </row>
    <row r="2422" spans="1:31" ht="14.4" customHeight="1" x14ac:dyDescent="0.3">
      <c r="A2422" t="s">
        <v>4973</v>
      </c>
      <c r="B2422"/>
      <c r="C2422" t="s">
        <v>4392</v>
      </c>
      <c r="D2422"/>
      <c r="E2422" t="s">
        <v>4392</v>
      </c>
      <c r="F2422" t="s">
        <v>6769</v>
      </c>
      <c r="G2422" t="s">
        <v>4915</v>
      </c>
      <c r="H2422" t="s">
        <v>132</v>
      </c>
      <c r="I2422" t="s">
        <v>4</v>
      </c>
      <c r="J2422" t="s">
        <v>4276</v>
      </c>
      <c r="K2422" t="s">
        <v>54</v>
      </c>
      <c r="L2422"/>
      <c r="M2422" t="s">
        <v>134</v>
      </c>
      <c r="N2422" t="s">
        <v>135</v>
      </c>
      <c r="O2422"/>
      <c r="P2422"/>
      <c r="Q2422" t="s">
        <v>140</v>
      </c>
      <c r="R2422"/>
      <c r="S2422"/>
      <c r="T2422"/>
      <c r="U2422" t="s">
        <v>137</v>
      </c>
      <c r="V2422" t="s">
        <v>407</v>
      </c>
      <c r="W2422" s="9">
        <v>46181.513425081015</v>
      </c>
      <c r="X2422" t="s">
        <v>77</v>
      </c>
      <c r="Y2422"/>
      <c r="Z2422"/>
      <c r="AA2422" t="s">
        <v>4916</v>
      </c>
      <c r="AB2422"/>
      <c r="AC2422" t="s">
        <v>24</v>
      </c>
      <c r="AD2422" t="s">
        <v>128</v>
      </c>
      <c r="AE2422" s="97"/>
    </row>
    <row r="2423" spans="1:31" ht="14.4" customHeight="1" x14ac:dyDescent="0.3">
      <c r="A2423" t="s">
        <v>4974</v>
      </c>
      <c r="B2423"/>
      <c r="C2423" t="s">
        <v>4394</v>
      </c>
      <c r="D2423"/>
      <c r="E2423" t="s">
        <v>4394</v>
      </c>
      <c r="F2423" t="s">
        <v>6769</v>
      </c>
      <c r="G2423" t="s">
        <v>4915</v>
      </c>
      <c r="H2423" t="s">
        <v>132</v>
      </c>
      <c r="I2423" t="s">
        <v>4</v>
      </c>
      <c r="J2423" t="s">
        <v>4276</v>
      </c>
      <c r="K2423" t="s">
        <v>54</v>
      </c>
      <c r="L2423"/>
      <c r="M2423" t="s">
        <v>134</v>
      </c>
      <c r="N2423" t="s">
        <v>135</v>
      </c>
      <c r="O2423"/>
      <c r="P2423"/>
      <c r="Q2423" t="s">
        <v>140</v>
      </c>
      <c r="R2423"/>
      <c r="S2423"/>
      <c r="T2423"/>
      <c r="U2423" t="s">
        <v>137</v>
      </c>
      <c r="V2423" t="s">
        <v>411</v>
      </c>
      <c r="W2423"/>
      <c r="X2423" t="s">
        <v>87</v>
      </c>
      <c r="Y2423"/>
      <c r="Z2423"/>
      <c r="AA2423" t="s">
        <v>4916</v>
      </c>
      <c r="AB2423"/>
      <c r="AC2423" t="s">
        <v>138</v>
      </c>
      <c r="AD2423" t="s">
        <v>129</v>
      </c>
      <c r="AE2423" s="97"/>
    </row>
    <row r="2424" spans="1:31" ht="14.4" customHeight="1" x14ac:dyDescent="0.3">
      <c r="A2424" t="s">
        <v>4975</v>
      </c>
      <c r="B2424"/>
      <c r="C2424" t="s">
        <v>4396</v>
      </c>
      <c r="D2424"/>
      <c r="E2424" t="s">
        <v>4396</v>
      </c>
      <c r="F2424" t="s">
        <v>6769</v>
      </c>
      <c r="G2424" t="s">
        <v>4915</v>
      </c>
      <c r="H2424" t="s">
        <v>132</v>
      </c>
      <c r="I2424" t="s">
        <v>4</v>
      </c>
      <c r="J2424" t="s">
        <v>4276</v>
      </c>
      <c r="K2424" t="s">
        <v>54</v>
      </c>
      <c r="L2424"/>
      <c r="M2424" t="s">
        <v>134</v>
      </c>
      <c r="N2424" t="s">
        <v>135</v>
      </c>
      <c r="O2424"/>
      <c r="P2424"/>
      <c r="Q2424" t="s">
        <v>140</v>
      </c>
      <c r="R2424"/>
      <c r="S2424"/>
      <c r="T2424"/>
      <c r="U2424" t="s">
        <v>137</v>
      </c>
      <c r="V2424" t="s">
        <v>411</v>
      </c>
      <c r="W2424" s="9">
        <v>46190.472292442129</v>
      </c>
      <c r="X2424" t="s">
        <v>87</v>
      </c>
      <c r="Y2424"/>
      <c r="Z2424"/>
      <c r="AA2424" t="s">
        <v>4916</v>
      </c>
      <c r="AB2424"/>
      <c r="AC2424" t="s">
        <v>24</v>
      </c>
      <c r="AD2424" t="s">
        <v>129</v>
      </c>
      <c r="AE2424" s="97"/>
    </row>
    <row r="2425" spans="1:31" ht="14.4" customHeight="1" x14ac:dyDescent="0.3">
      <c r="A2425" t="s">
        <v>4976</v>
      </c>
      <c r="B2425"/>
      <c r="C2425" t="s">
        <v>4398</v>
      </c>
      <c r="D2425"/>
      <c r="E2425" t="s">
        <v>4398</v>
      </c>
      <c r="F2425" t="s">
        <v>6769</v>
      </c>
      <c r="G2425" t="s">
        <v>4915</v>
      </c>
      <c r="H2425" t="s">
        <v>132</v>
      </c>
      <c r="I2425" t="s">
        <v>4</v>
      </c>
      <c r="J2425" t="s">
        <v>4276</v>
      </c>
      <c r="K2425" t="s">
        <v>54</v>
      </c>
      <c r="L2425"/>
      <c r="M2425" t="s">
        <v>134</v>
      </c>
      <c r="N2425" t="s">
        <v>135</v>
      </c>
      <c r="O2425"/>
      <c r="P2425"/>
      <c r="Q2425" t="s">
        <v>140</v>
      </c>
      <c r="R2425"/>
      <c r="S2425"/>
      <c r="T2425"/>
      <c r="U2425" t="s">
        <v>137</v>
      </c>
      <c r="V2425" t="s">
        <v>415</v>
      </c>
      <c r="W2425"/>
      <c r="X2425" t="s">
        <v>96</v>
      </c>
      <c r="Y2425"/>
      <c r="Z2425"/>
      <c r="AA2425" t="s">
        <v>4916</v>
      </c>
      <c r="AB2425"/>
      <c r="AC2425" t="s">
        <v>138</v>
      </c>
      <c r="AD2425" t="s">
        <v>129</v>
      </c>
      <c r="AE2425" s="97"/>
    </row>
    <row r="2426" spans="1:31" ht="14.4" customHeight="1" x14ac:dyDescent="0.3">
      <c r="A2426" t="s">
        <v>4977</v>
      </c>
      <c r="B2426"/>
      <c r="C2426" t="s">
        <v>4400</v>
      </c>
      <c r="D2426"/>
      <c r="E2426" t="s">
        <v>4400</v>
      </c>
      <c r="F2426" t="s">
        <v>6769</v>
      </c>
      <c r="G2426" t="s">
        <v>4915</v>
      </c>
      <c r="H2426" t="s">
        <v>132</v>
      </c>
      <c r="I2426" t="s">
        <v>4</v>
      </c>
      <c r="J2426" t="s">
        <v>4276</v>
      </c>
      <c r="K2426" t="s">
        <v>54</v>
      </c>
      <c r="L2426"/>
      <c r="M2426" t="s">
        <v>134</v>
      </c>
      <c r="N2426" t="s">
        <v>135</v>
      </c>
      <c r="O2426"/>
      <c r="P2426"/>
      <c r="Q2426" t="s">
        <v>140</v>
      </c>
      <c r="R2426"/>
      <c r="S2426"/>
      <c r="T2426"/>
      <c r="U2426" t="s">
        <v>137</v>
      </c>
      <c r="V2426" t="s">
        <v>415</v>
      </c>
      <c r="W2426"/>
      <c r="X2426" t="s">
        <v>96</v>
      </c>
      <c r="Y2426"/>
      <c r="Z2426"/>
      <c r="AA2426" t="s">
        <v>4916</v>
      </c>
      <c r="AB2426"/>
      <c r="AC2426" t="s">
        <v>7068</v>
      </c>
      <c r="AD2426" t="s">
        <v>129</v>
      </c>
      <c r="AE2426" s="97"/>
    </row>
    <row r="2427" spans="1:31" ht="14.4" customHeight="1" x14ac:dyDescent="0.3">
      <c r="A2427" t="s">
        <v>4978</v>
      </c>
      <c r="B2427"/>
      <c r="C2427" t="s">
        <v>4402</v>
      </c>
      <c r="D2427"/>
      <c r="E2427" t="s">
        <v>4402</v>
      </c>
      <c r="F2427" t="s">
        <v>6769</v>
      </c>
      <c r="G2427" t="s">
        <v>4915</v>
      </c>
      <c r="H2427" t="s">
        <v>132</v>
      </c>
      <c r="I2427" t="s">
        <v>4</v>
      </c>
      <c r="J2427" t="s">
        <v>4276</v>
      </c>
      <c r="K2427" t="s">
        <v>54</v>
      </c>
      <c r="L2427"/>
      <c r="M2427" t="s">
        <v>134</v>
      </c>
      <c r="N2427" t="s">
        <v>135</v>
      </c>
      <c r="O2427"/>
      <c r="P2427"/>
      <c r="Q2427" t="s">
        <v>140</v>
      </c>
      <c r="R2427"/>
      <c r="S2427"/>
      <c r="T2427"/>
      <c r="U2427" t="s">
        <v>137</v>
      </c>
      <c r="V2427" t="s">
        <v>419</v>
      </c>
      <c r="W2427"/>
      <c r="X2427" t="s">
        <v>105</v>
      </c>
      <c r="Y2427"/>
      <c r="Z2427"/>
      <c r="AA2427" t="s">
        <v>4916</v>
      </c>
      <c r="AB2427"/>
      <c r="AC2427" t="s">
        <v>138</v>
      </c>
      <c r="AD2427" t="s">
        <v>129</v>
      </c>
      <c r="AE2427" s="97"/>
    </row>
    <row r="2428" spans="1:31" ht="14.4" customHeight="1" x14ac:dyDescent="0.3">
      <c r="A2428" t="s">
        <v>4979</v>
      </c>
      <c r="B2428"/>
      <c r="C2428" t="s">
        <v>4404</v>
      </c>
      <c r="D2428"/>
      <c r="E2428" t="s">
        <v>4404</v>
      </c>
      <c r="F2428" t="s">
        <v>6769</v>
      </c>
      <c r="G2428" t="s">
        <v>4915</v>
      </c>
      <c r="H2428" t="s">
        <v>132</v>
      </c>
      <c r="I2428" t="s">
        <v>4</v>
      </c>
      <c r="J2428" t="s">
        <v>4276</v>
      </c>
      <c r="K2428" t="s">
        <v>54</v>
      </c>
      <c r="L2428"/>
      <c r="M2428" t="s">
        <v>134</v>
      </c>
      <c r="N2428" t="s">
        <v>135</v>
      </c>
      <c r="O2428"/>
      <c r="P2428"/>
      <c r="Q2428" t="s">
        <v>140</v>
      </c>
      <c r="R2428"/>
      <c r="S2428"/>
      <c r="T2428"/>
      <c r="U2428" t="s">
        <v>137</v>
      </c>
      <c r="V2428" t="s">
        <v>419</v>
      </c>
      <c r="W2428" s="9">
        <v>46203.381006249998</v>
      </c>
      <c r="X2428" t="s">
        <v>105</v>
      </c>
      <c r="Y2428"/>
      <c r="Z2428"/>
      <c r="AA2428" t="s">
        <v>4916</v>
      </c>
      <c r="AB2428"/>
      <c r="AC2428" t="s">
        <v>24</v>
      </c>
      <c r="AD2428" t="s">
        <v>129</v>
      </c>
      <c r="AE2428" s="97"/>
    </row>
    <row r="2429" spans="1:31" ht="14.4" customHeight="1" x14ac:dyDescent="0.3">
      <c r="A2429" t="s">
        <v>4980</v>
      </c>
      <c r="B2429"/>
      <c r="C2429" t="s">
        <v>4406</v>
      </c>
      <c r="D2429"/>
      <c r="E2429" t="s">
        <v>4406</v>
      </c>
      <c r="F2429" t="s">
        <v>6769</v>
      </c>
      <c r="G2429" t="s">
        <v>4915</v>
      </c>
      <c r="H2429" t="s">
        <v>132</v>
      </c>
      <c r="I2429" t="s">
        <v>4</v>
      </c>
      <c r="J2429" t="s">
        <v>4276</v>
      </c>
      <c r="K2429" t="s">
        <v>54</v>
      </c>
      <c r="L2429"/>
      <c r="M2429" t="s">
        <v>134</v>
      </c>
      <c r="N2429" t="s">
        <v>135</v>
      </c>
      <c r="O2429"/>
      <c r="P2429"/>
      <c r="Q2429" t="s">
        <v>140</v>
      </c>
      <c r="R2429"/>
      <c r="S2429"/>
      <c r="T2429"/>
      <c r="U2429" t="s">
        <v>137</v>
      </c>
      <c r="V2429" t="s">
        <v>423</v>
      </c>
      <c r="W2429"/>
      <c r="X2429" t="s">
        <v>112</v>
      </c>
      <c r="Y2429"/>
      <c r="Z2429"/>
      <c r="AA2429" t="s">
        <v>4916</v>
      </c>
      <c r="AB2429"/>
      <c r="AC2429" t="s">
        <v>138</v>
      </c>
      <c r="AD2429" t="s">
        <v>129</v>
      </c>
      <c r="AE2429" s="97"/>
    </row>
    <row r="2430" spans="1:31" ht="14.4" customHeight="1" x14ac:dyDescent="0.3">
      <c r="A2430" t="s">
        <v>4981</v>
      </c>
      <c r="B2430"/>
      <c r="C2430" t="s">
        <v>4408</v>
      </c>
      <c r="D2430"/>
      <c r="E2430" t="s">
        <v>4408</v>
      </c>
      <c r="F2430" t="s">
        <v>6769</v>
      </c>
      <c r="G2430" t="s">
        <v>4915</v>
      </c>
      <c r="H2430" t="s">
        <v>132</v>
      </c>
      <c r="I2430" t="s">
        <v>4</v>
      </c>
      <c r="J2430" t="s">
        <v>4276</v>
      </c>
      <c r="K2430" t="s">
        <v>54</v>
      </c>
      <c r="L2430"/>
      <c r="M2430" t="s">
        <v>134</v>
      </c>
      <c r="N2430" t="s">
        <v>135</v>
      </c>
      <c r="O2430"/>
      <c r="P2430"/>
      <c r="Q2430" t="s">
        <v>140</v>
      </c>
      <c r="R2430"/>
      <c r="S2430"/>
      <c r="T2430"/>
      <c r="U2430" t="s">
        <v>137</v>
      </c>
      <c r="V2430" t="s">
        <v>423</v>
      </c>
      <c r="W2430" s="9">
        <v>46204.262666319446</v>
      </c>
      <c r="X2430" t="s">
        <v>112</v>
      </c>
      <c r="Y2430"/>
      <c r="Z2430"/>
      <c r="AA2430" t="s">
        <v>4916</v>
      </c>
      <c r="AB2430"/>
      <c r="AC2430" t="s">
        <v>24</v>
      </c>
      <c r="AD2430" t="s">
        <v>129</v>
      </c>
      <c r="AE2430" s="97"/>
    </row>
    <row r="2431" spans="1:31" ht="14.4" customHeight="1" x14ac:dyDescent="0.3">
      <c r="A2431" t="s">
        <v>4982</v>
      </c>
      <c r="B2431"/>
      <c r="C2431" t="s">
        <v>4410</v>
      </c>
      <c r="D2431"/>
      <c r="E2431" t="s">
        <v>4410</v>
      </c>
      <c r="F2431" t="s">
        <v>6769</v>
      </c>
      <c r="G2431" t="s">
        <v>4915</v>
      </c>
      <c r="H2431" t="s">
        <v>132</v>
      </c>
      <c r="I2431" t="s">
        <v>4</v>
      </c>
      <c r="J2431" t="s">
        <v>4276</v>
      </c>
      <c r="K2431" t="s">
        <v>54</v>
      </c>
      <c r="L2431"/>
      <c r="M2431" t="s">
        <v>134</v>
      </c>
      <c r="N2431" t="s">
        <v>135</v>
      </c>
      <c r="O2431"/>
      <c r="P2431"/>
      <c r="Q2431" t="s">
        <v>140</v>
      </c>
      <c r="R2431"/>
      <c r="S2431"/>
      <c r="T2431"/>
      <c r="U2431" t="s">
        <v>137</v>
      </c>
      <c r="V2431" t="s">
        <v>427</v>
      </c>
      <c r="W2431"/>
      <c r="X2431" t="s">
        <v>121</v>
      </c>
      <c r="Y2431"/>
      <c r="Z2431"/>
      <c r="AA2431" t="s">
        <v>4916</v>
      </c>
      <c r="AB2431"/>
      <c r="AC2431" t="s">
        <v>138</v>
      </c>
      <c r="AD2431" t="s">
        <v>130</v>
      </c>
      <c r="AE2431" s="97"/>
    </row>
    <row r="2432" spans="1:31" ht="14.4" customHeight="1" x14ac:dyDescent="0.3">
      <c r="A2432" t="s">
        <v>4983</v>
      </c>
      <c r="B2432"/>
      <c r="C2432" t="s">
        <v>4412</v>
      </c>
      <c r="D2432"/>
      <c r="E2432" t="s">
        <v>4412</v>
      </c>
      <c r="F2432" t="s">
        <v>6769</v>
      </c>
      <c r="G2432" t="s">
        <v>4915</v>
      </c>
      <c r="H2432" t="s">
        <v>132</v>
      </c>
      <c r="I2432" t="s">
        <v>4</v>
      </c>
      <c r="J2432" t="s">
        <v>4276</v>
      </c>
      <c r="K2432" t="s">
        <v>54</v>
      </c>
      <c r="L2432"/>
      <c r="M2432" t="s">
        <v>134</v>
      </c>
      <c r="N2432" t="s">
        <v>135</v>
      </c>
      <c r="O2432"/>
      <c r="P2432"/>
      <c r="Q2432" t="s">
        <v>140</v>
      </c>
      <c r="R2432"/>
      <c r="S2432"/>
      <c r="T2432"/>
      <c r="U2432" t="s">
        <v>137</v>
      </c>
      <c r="V2432" t="s">
        <v>427</v>
      </c>
      <c r="W2432" s="9">
        <v>46206.282979710646</v>
      </c>
      <c r="X2432" t="s">
        <v>121</v>
      </c>
      <c r="Y2432"/>
      <c r="Z2432"/>
      <c r="AA2432" t="s">
        <v>4916</v>
      </c>
      <c r="AB2432"/>
      <c r="AC2432" t="s">
        <v>24</v>
      </c>
      <c r="AD2432" t="s">
        <v>130</v>
      </c>
      <c r="AE2432" s="97"/>
    </row>
    <row r="2433" spans="1:31" ht="14.4" customHeight="1" x14ac:dyDescent="0.3">
      <c r="A2433" t="s">
        <v>4984</v>
      </c>
      <c r="B2433"/>
      <c r="C2433" t="s">
        <v>4414</v>
      </c>
      <c r="D2433"/>
      <c r="E2433" t="s">
        <v>4414</v>
      </c>
      <c r="F2433" t="s">
        <v>6769</v>
      </c>
      <c r="G2433" t="s">
        <v>4915</v>
      </c>
      <c r="H2433" t="s">
        <v>132</v>
      </c>
      <c r="I2433" t="s">
        <v>4</v>
      </c>
      <c r="J2433" t="s">
        <v>4276</v>
      </c>
      <c r="K2433" t="s">
        <v>54</v>
      </c>
      <c r="L2433"/>
      <c r="M2433" t="s">
        <v>134</v>
      </c>
      <c r="N2433" t="s">
        <v>135</v>
      </c>
      <c r="O2433"/>
      <c r="P2433"/>
      <c r="Q2433" t="s">
        <v>140</v>
      </c>
      <c r="R2433"/>
      <c r="S2433"/>
      <c r="T2433"/>
      <c r="U2433" t="s">
        <v>137</v>
      </c>
      <c r="V2433" t="s">
        <v>1279</v>
      </c>
      <c r="W2433" s="9">
        <v>46142.397928009261</v>
      </c>
      <c r="X2433" t="s">
        <v>71</v>
      </c>
      <c r="Y2433"/>
      <c r="Z2433"/>
      <c r="AA2433" t="s">
        <v>4916</v>
      </c>
      <c r="AB2433"/>
      <c r="AC2433" t="s">
        <v>24</v>
      </c>
      <c r="AD2433" t="s">
        <v>128</v>
      </c>
      <c r="AE2433" s="97"/>
    </row>
    <row r="2434" spans="1:31" ht="14.4" customHeight="1" x14ac:dyDescent="0.3">
      <c r="A2434" t="s">
        <v>4985</v>
      </c>
      <c r="B2434"/>
      <c r="C2434" t="s">
        <v>4416</v>
      </c>
      <c r="D2434"/>
      <c r="E2434" t="s">
        <v>4416</v>
      </c>
      <c r="F2434" t="s">
        <v>6769</v>
      </c>
      <c r="G2434" t="s">
        <v>4915</v>
      </c>
      <c r="H2434" t="s">
        <v>132</v>
      </c>
      <c r="I2434" t="s">
        <v>4</v>
      </c>
      <c r="J2434" t="s">
        <v>4276</v>
      </c>
      <c r="K2434" t="s">
        <v>54</v>
      </c>
      <c r="L2434"/>
      <c r="M2434" t="s">
        <v>134</v>
      </c>
      <c r="N2434" t="s">
        <v>135</v>
      </c>
      <c r="O2434"/>
      <c r="P2434"/>
      <c r="Q2434" t="s">
        <v>140</v>
      </c>
      <c r="R2434"/>
      <c r="S2434"/>
      <c r="T2434"/>
      <c r="U2434" t="s">
        <v>137</v>
      </c>
      <c r="V2434" t="s">
        <v>1279</v>
      </c>
      <c r="W2434" s="9">
        <v>46142.408463159722</v>
      </c>
      <c r="X2434" t="s">
        <v>71</v>
      </c>
      <c r="Y2434"/>
      <c r="Z2434"/>
      <c r="AA2434" t="s">
        <v>4916</v>
      </c>
      <c r="AB2434"/>
      <c r="AC2434" t="s">
        <v>24</v>
      </c>
      <c r="AD2434" t="s">
        <v>128</v>
      </c>
      <c r="AE2434" s="97"/>
    </row>
    <row r="2435" spans="1:31" ht="14.4" customHeight="1" x14ac:dyDescent="0.3">
      <c r="A2435" t="s">
        <v>4986</v>
      </c>
      <c r="B2435"/>
      <c r="C2435" t="s">
        <v>4418</v>
      </c>
      <c r="D2435"/>
      <c r="E2435" t="s">
        <v>4418</v>
      </c>
      <c r="F2435" t="s">
        <v>6769</v>
      </c>
      <c r="G2435" t="s">
        <v>4915</v>
      </c>
      <c r="H2435" t="s">
        <v>132</v>
      </c>
      <c r="I2435" t="s">
        <v>4</v>
      </c>
      <c r="J2435" t="s">
        <v>4276</v>
      </c>
      <c r="K2435" t="s">
        <v>54</v>
      </c>
      <c r="L2435"/>
      <c r="M2435" t="s">
        <v>134</v>
      </c>
      <c r="N2435" t="s">
        <v>135</v>
      </c>
      <c r="O2435"/>
      <c r="P2435"/>
      <c r="Q2435" t="s">
        <v>140</v>
      </c>
      <c r="R2435"/>
      <c r="S2435"/>
      <c r="T2435"/>
      <c r="U2435" t="s">
        <v>137</v>
      </c>
      <c r="V2435" t="s">
        <v>1283</v>
      </c>
      <c r="W2435" s="9">
        <v>46151.458479710651</v>
      </c>
      <c r="X2435" t="s">
        <v>78</v>
      </c>
      <c r="Y2435"/>
      <c r="Z2435"/>
      <c r="AA2435" t="s">
        <v>4916</v>
      </c>
      <c r="AB2435"/>
      <c r="AC2435" t="s">
        <v>24</v>
      </c>
      <c r="AD2435" t="s">
        <v>128</v>
      </c>
      <c r="AE2435" s="97"/>
    </row>
    <row r="2436" spans="1:31" ht="14.4" customHeight="1" x14ac:dyDescent="0.3">
      <c r="A2436" t="s">
        <v>4987</v>
      </c>
      <c r="B2436"/>
      <c r="C2436" t="s">
        <v>4420</v>
      </c>
      <c r="D2436"/>
      <c r="E2436" t="s">
        <v>4420</v>
      </c>
      <c r="F2436" t="s">
        <v>6769</v>
      </c>
      <c r="G2436" t="s">
        <v>4915</v>
      </c>
      <c r="H2436" t="s">
        <v>132</v>
      </c>
      <c r="I2436" t="s">
        <v>4</v>
      </c>
      <c r="J2436" t="s">
        <v>4276</v>
      </c>
      <c r="K2436" t="s">
        <v>54</v>
      </c>
      <c r="L2436"/>
      <c r="M2436" t="s">
        <v>134</v>
      </c>
      <c r="N2436" t="s">
        <v>135</v>
      </c>
      <c r="O2436"/>
      <c r="P2436"/>
      <c r="Q2436" t="s">
        <v>140</v>
      </c>
      <c r="R2436"/>
      <c r="S2436"/>
      <c r="T2436"/>
      <c r="U2436" t="s">
        <v>137</v>
      </c>
      <c r="V2436" t="s">
        <v>1283</v>
      </c>
      <c r="W2436" s="9">
        <v>46151.442014236112</v>
      </c>
      <c r="X2436" t="s">
        <v>78</v>
      </c>
      <c r="Y2436"/>
      <c r="Z2436"/>
      <c r="AA2436" t="s">
        <v>4916</v>
      </c>
      <c r="AB2436"/>
      <c r="AC2436" t="s">
        <v>24</v>
      </c>
      <c r="AD2436" t="s">
        <v>128</v>
      </c>
      <c r="AE2436" s="97"/>
    </row>
    <row r="2437" spans="1:31" ht="14.4" customHeight="1" x14ac:dyDescent="0.3">
      <c r="A2437" t="s">
        <v>4988</v>
      </c>
      <c r="B2437"/>
      <c r="C2437" t="s">
        <v>4422</v>
      </c>
      <c r="D2437"/>
      <c r="E2437" t="s">
        <v>4422</v>
      </c>
      <c r="F2437" t="s">
        <v>6769</v>
      </c>
      <c r="G2437" t="s">
        <v>4915</v>
      </c>
      <c r="H2437" t="s">
        <v>132</v>
      </c>
      <c r="I2437" t="s">
        <v>4</v>
      </c>
      <c r="J2437" t="s">
        <v>4276</v>
      </c>
      <c r="K2437" t="s">
        <v>54</v>
      </c>
      <c r="L2437"/>
      <c r="M2437" t="s">
        <v>134</v>
      </c>
      <c r="N2437" t="s">
        <v>135</v>
      </c>
      <c r="O2437"/>
      <c r="P2437"/>
      <c r="Q2437" t="s">
        <v>140</v>
      </c>
      <c r="R2437"/>
      <c r="S2437"/>
      <c r="T2437"/>
      <c r="U2437" t="s">
        <v>137</v>
      </c>
      <c r="V2437" t="s">
        <v>1287</v>
      </c>
      <c r="W2437" s="9">
        <v>46136.305426932871</v>
      </c>
      <c r="X2437" t="s">
        <v>89</v>
      </c>
      <c r="Y2437"/>
      <c r="Z2437"/>
      <c r="AA2437" t="s">
        <v>4916</v>
      </c>
      <c r="AB2437"/>
      <c r="AC2437" t="s">
        <v>24</v>
      </c>
      <c r="AD2437" t="s">
        <v>129</v>
      </c>
      <c r="AE2437" s="97"/>
    </row>
    <row r="2438" spans="1:31" ht="14.4" customHeight="1" x14ac:dyDescent="0.3">
      <c r="A2438" t="s">
        <v>4989</v>
      </c>
      <c r="B2438"/>
      <c r="C2438" t="s">
        <v>4424</v>
      </c>
      <c r="D2438"/>
      <c r="E2438" t="s">
        <v>4424</v>
      </c>
      <c r="F2438" t="s">
        <v>6769</v>
      </c>
      <c r="G2438" t="s">
        <v>4915</v>
      </c>
      <c r="H2438" t="s">
        <v>132</v>
      </c>
      <c r="I2438" t="s">
        <v>4</v>
      </c>
      <c r="J2438" t="s">
        <v>4276</v>
      </c>
      <c r="K2438" t="s">
        <v>54</v>
      </c>
      <c r="L2438"/>
      <c r="M2438" t="s">
        <v>134</v>
      </c>
      <c r="N2438" t="s">
        <v>135</v>
      </c>
      <c r="O2438"/>
      <c r="P2438"/>
      <c r="Q2438" t="s">
        <v>140</v>
      </c>
      <c r="R2438"/>
      <c r="S2438"/>
      <c r="T2438"/>
      <c r="U2438" t="s">
        <v>137</v>
      </c>
      <c r="V2438" t="s">
        <v>1287</v>
      </c>
      <c r="W2438" s="9">
        <v>46174.235594942133</v>
      </c>
      <c r="X2438" t="s">
        <v>89</v>
      </c>
      <c r="Y2438"/>
      <c r="Z2438"/>
      <c r="AA2438" t="s">
        <v>4916</v>
      </c>
      <c r="AB2438"/>
      <c r="AC2438" t="s">
        <v>24</v>
      </c>
      <c r="AD2438" t="s">
        <v>129</v>
      </c>
      <c r="AE2438" s="97"/>
    </row>
    <row r="2439" spans="1:31" ht="14.4" customHeight="1" x14ac:dyDescent="0.3">
      <c r="A2439" t="s">
        <v>4990</v>
      </c>
      <c r="B2439"/>
      <c r="C2439" t="s">
        <v>4426</v>
      </c>
      <c r="D2439"/>
      <c r="E2439" t="s">
        <v>4426</v>
      </c>
      <c r="F2439" t="s">
        <v>6769</v>
      </c>
      <c r="G2439" t="s">
        <v>4915</v>
      </c>
      <c r="H2439" t="s">
        <v>132</v>
      </c>
      <c r="I2439" t="s">
        <v>4</v>
      </c>
      <c r="J2439" t="s">
        <v>4276</v>
      </c>
      <c r="K2439" t="s">
        <v>54</v>
      </c>
      <c r="L2439"/>
      <c r="M2439" t="s">
        <v>134</v>
      </c>
      <c r="N2439" t="s">
        <v>135</v>
      </c>
      <c r="O2439"/>
      <c r="P2439"/>
      <c r="Q2439" t="s">
        <v>140</v>
      </c>
      <c r="R2439"/>
      <c r="S2439"/>
      <c r="T2439"/>
      <c r="U2439" t="s">
        <v>137</v>
      </c>
      <c r="V2439" t="s">
        <v>1291</v>
      </c>
      <c r="W2439" s="9">
        <v>46139.461954016202</v>
      </c>
      <c r="X2439" t="s">
        <v>98</v>
      </c>
      <c r="Y2439"/>
      <c r="Z2439"/>
      <c r="AA2439" t="s">
        <v>4916</v>
      </c>
      <c r="AB2439"/>
      <c r="AC2439" t="s">
        <v>24</v>
      </c>
      <c r="AD2439" t="s">
        <v>129</v>
      </c>
      <c r="AE2439" s="97"/>
    </row>
    <row r="2440" spans="1:31" ht="14.4" customHeight="1" x14ac:dyDescent="0.3">
      <c r="A2440" t="s">
        <v>4991</v>
      </c>
      <c r="B2440"/>
      <c r="C2440" t="s">
        <v>4428</v>
      </c>
      <c r="D2440"/>
      <c r="E2440" t="s">
        <v>4428</v>
      </c>
      <c r="F2440" t="s">
        <v>6769</v>
      </c>
      <c r="G2440" t="s">
        <v>4915</v>
      </c>
      <c r="H2440" t="s">
        <v>132</v>
      </c>
      <c r="I2440" t="s">
        <v>4</v>
      </c>
      <c r="J2440" t="s">
        <v>4276</v>
      </c>
      <c r="K2440" t="s">
        <v>54</v>
      </c>
      <c r="L2440"/>
      <c r="M2440" t="s">
        <v>134</v>
      </c>
      <c r="N2440" t="s">
        <v>135</v>
      </c>
      <c r="O2440"/>
      <c r="P2440"/>
      <c r="Q2440" t="s">
        <v>140</v>
      </c>
      <c r="R2440"/>
      <c r="S2440"/>
      <c r="T2440"/>
      <c r="U2440" t="s">
        <v>137</v>
      </c>
      <c r="V2440" t="s">
        <v>1291</v>
      </c>
      <c r="W2440" s="9">
        <v>46174.240502974535</v>
      </c>
      <c r="X2440" t="s">
        <v>98</v>
      </c>
      <c r="Y2440"/>
      <c r="Z2440"/>
      <c r="AA2440" t="s">
        <v>4916</v>
      </c>
      <c r="AB2440"/>
      <c r="AC2440" t="s">
        <v>24</v>
      </c>
      <c r="AD2440" t="s">
        <v>129</v>
      </c>
      <c r="AE2440" s="97"/>
    </row>
    <row r="2441" spans="1:31" ht="14.4" customHeight="1" x14ac:dyDescent="0.3">
      <c r="A2441" t="s">
        <v>4992</v>
      </c>
      <c r="B2441"/>
      <c r="C2441" t="s">
        <v>4430</v>
      </c>
      <c r="D2441"/>
      <c r="E2441" t="s">
        <v>4430</v>
      </c>
      <c r="F2441" t="s">
        <v>6769</v>
      </c>
      <c r="G2441" t="s">
        <v>4915</v>
      </c>
      <c r="H2441" t="s">
        <v>132</v>
      </c>
      <c r="I2441" t="s">
        <v>4</v>
      </c>
      <c r="J2441" t="s">
        <v>4276</v>
      </c>
      <c r="K2441" t="s">
        <v>54</v>
      </c>
      <c r="L2441"/>
      <c r="M2441" t="s">
        <v>134</v>
      </c>
      <c r="N2441" t="s">
        <v>135</v>
      </c>
      <c r="O2441"/>
      <c r="P2441"/>
      <c r="Q2441" t="s">
        <v>140</v>
      </c>
      <c r="R2441"/>
      <c r="S2441"/>
      <c r="T2441"/>
      <c r="U2441" t="s">
        <v>137</v>
      </c>
      <c r="V2441" t="s">
        <v>1295</v>
      </c>
      <c r="W2441" s="9">
        <v>46142.403489618053</v>
      </c>
      <c r="X2441" t="s">
        <v>107</v>
      </c>
      <c r="Y2441"/>
      <c r="Z2441"/>
      <c r="AA2441" t="s">
        <v>4916</v>
      </c>
      <c r="AB2441"/>
      <c r="AC2441" t="s">
        <v>24</v>
      </c>
      <c r="AD2441" t="s">
        <v>129</v>
      </c>
      <c r="AE2441" s="97"/>
    </row>
    <row r="2442" spans="1:31" ht="14.4" customHeight="1" x14ac:dyDescent="0.3">
      <c r="A2442" t="s">
        <v>4993</v>
      </c>
      <c r="B2442"/>
      <c r="C2442" t="s">
        <v>4432</v>
      </c>
      <c r="D2442"/>
      <c r="E2442" t="s">
        <v>4432</v>
      </c>
      <c r="F2442" t="s">
        <v>6769</v>
      </c>
      <c r="G2442" t="s">
        <v>4915</v>
      </c>
      <c r="H2442" t="s">
        <v>132</v>
      </c>
      <c r="I2442" t="s">
        <v>4</v>
      </c>
      <c r="J2442" t="s">
        <v>4276</v>
      </c>
      <c r="K2442" t="s">
        <v>54</v>
      </c>
      <c r="L2442"/>
      <c r="M2442" t="s">
        <v>134</v>
      </c>
      <c r="N2442" t="s">
        <v>135</v>
      </c>
      <c r="O2442"/>
      <c r="P2442"/>
      <c r="Q2442" t="s">
        <v>140</v>
      </c>
      <c r="R2442"/>
      <c r="S2442"/>
      <c r="T2442"/>
      <c r="U2442" t="s">
        <v>137</v>
      </c>
      <c r="V2442" t="s">
        <v>1295</v>
      </c>
      <c r="W2442" s="9">
        <v>46176.498783877316</v>
      </c>
      <c r="X2442" t="s">
        <v>107</v>
      </c>
      <c r="Y2442"/>
      <c r="Z2442"/>
      <c r="AA2442" t="s">
        <v>4916</v>
      </c>
      <c r="AB2442"/>
      <c r="AC2442" t="s">
        <v>24</v>
      </c>
      <c r="AD2442" t="s">
        <v>129</v>
      </c>
      <c r="AE2442" s="97"/>
    </row>
    <row r="2443" spans="1:31" ht="14.4" customHeight="1" x14ac:dyDescent="0.3">
      <c r="A2443" t="s">
        <v>4994</v>
      </c>
      <c r="B2443"/>
      <c r="C2443" t="s">
        <v>4434</v>
      </c>
      <c r="D2443"/>
      <c r="E2443" t="s">
        <v>4434</v>
      </c>
      <c r="F2443" t="s">
        <v>6769</v>
      </c>
      <c r="G2443" t="s">
        <v>4915</v>
      </c>
      <c r="H2443" t="s">
        <v>132</v>
      </c>
      <c r="I2443" t="s">
        <v>4</v>
      </c>
      <c r="J2443" t="s">
        <v>4276</v>
      </c>
      <c r="K2443" t="s">
        <v>54</v>
      </c>
      <c r="L2443"/>
      <c r="M2443" t="s">
        <v>134</v>
      </c>
      <c r="N2443" t="s">
        <v>135</v>
      </c>
      <c r="O2443"/>
      <c r="P2443"/>
      <c r="Q2443" t="s">
        <v>140</v>
      </c>
      <c r="R2443"/>
      <c r="S2443"/>
      <c r="T2443"/>
      <c r="U2443" t="s">
        <v>137</v>
      </c>
      <c r="V2443" t="s">
        <v>1299</v>
      </c>
      <c r="W2443" s="9">
        <v>46174.236642708333</v>
      </c>
      <c r="X2443" t="s">
        <v>114</v>
      </c>
      <c r="Y2443"/>
      <c r="Z2443"/>
      <c r="AA2443" t="s">
        <v>4916</v>
      </c>
      <c r="AB2443"/>
      <c r="AC2443" t="s">
        <v>24</v>
      </c>
      <c r="AD2443" t="s">
        <v>129</v>
      </c>
      <c r="AE2443" s="97"/>
    </row>
    <row r="2444" spans="1:31" ht="14.4" customHeight="1" x14ac:dyDescent="0.3">
      <c r="A2444" t="s">
        <v>4995</v>
      </c>
      <c r="B2444"/>
      <c r="C2444" t="s">
        <v>4436</v>
      </c>
      <c r="D2444"/>
      <c r="E2444" t="s">
        <v>4436</v>
      </c>
      <c r="F2444" t="s">
        <v>6769</v>
      </c>
      <c r="G2444" t="s">
        <v>4915</v>
      </c>
      <c r="H2444" t="s">
        <v>132</v>
      </c>
      <c r="I2444" t="s">
        <v>4</v>
      </c>
      <c r="J2444" t="s">
        <v>4276</v>
      </c>
      <c r="K2444" t="s">
        <v>54</v>
      </c>
      <c r="L2444"/>
      <c r="M2444" t="s">
        <v>134</v>
      </c>
      <c r="N2444" t="s">
        <v>135</v>
      </c>
      <c r="O2444"/>
      <c r="P2444"/>
      <c r="Q2444" t="s">
        <v>140</v>
      </c>
      <c r="R2444"/>
      <c r="S2444"/>
      <c r="T2444"/>
      <c r="U2444" t="s">
        <v>137</v>
      </c>
      <c r="V2444" t="s">
        <v>1299</v>
      </c>
      <c r="W2444" s="9">
        <v>46176.499438275459</v>
      </c>
      <c r="X2444" t="s">
        <v>114</v>
      </c>
      <c r="Y2444"/>
      <c r="Z2444"/>
      <c r="AA2444" t="s">
        <v>4916</v>
      </c>
      <c r="AB2444"/>
      <c r="AC2444" t="s">
        <v>24</v>
      </c>
      <c r="AD2444" t="s">
        <v>129</v>
      </c>
      <c r="AE2444" s="97"/>
    </row>
    <row r="2445" spans="1:31" ht="14.4" customHeight="1" x14ac:dyDescent="0.3">
      <c r="A2445" t="s">
        <v>4996</v>
      </c>
      <c r="B2445"/>
      <c r="C2445" t="s">
        <v>4438</v>
      </c>
      <c r="D2445"/>
      <c r="E2445" t="s">
        <v>4438</v>
      </c>
      <c r="F2445" t="s">
        <v>6769</v>
      </c>
      <c r="G2445" t="s">
        <v>4915</v>
      </c>
      <c r="H2445" t="s">
        <v>132</v>
      </c>
      <c r="I2445" t="s">
        <v>4</v>
      </c>
      <c r="J2445" t="s">
        <v>4276</v>
      </c>
      <c r="K2445" t="s">
        <v>54</v>
      </c>
      <c r="L2445"/>
      <c r="M2445" t="s">
        <v>134</v>
      </c>
      <c r="N2445" t="s">
        <v>135</v>
      </c>
      <c r="O2445"/>
      <c r="P2445"/>
      <c r="Q2445" t="s">
        <v>140</v>
      </c>
      <c r="R2445"/>
      <c r="S2445"/>
      <c r="T2445"/>
      <c r="U2445" t="s">
        <v>137</v>
      </c>
      <c r="V2445" t="s">
        <v>1303</v>
      </c>
      <c r="W2445" s="9">
        <v>46142.407303553242</v>
      </c>
      <c r="X2445" t="s">
        <v>123</v>
      </c>
      <c r="Y2445"/>
      <c r="Z2445"/>
      <c r="AA2445" t="s">
        <v>4916</v>
      </c>
      <c r="AB2445"/>
      <c r="AC2445" t="s">
        <v>24</v>
      </c>
      <c r="AD2445" t="s">
        <v>130</v>
      </c>
      <c r="AE2445" s="97"/>
    </row>
    <row r="2446" spans="1:31" ht="14.4" customHeight="1" x14ac:dyDescent="0.3">
      <c r="A2446" t="s">
        <v>4997</v>
      </c>
      <c r="B2446"/>
      <c r="C2446" t="s">
        <v>4440</v>
      </c>
      <c r="D2446"/>
      <c r="E2446" t="s">
        <v>4440</v>
      </c>
      <c r="F2446" t="s">
        <v>6769</v>
      </c>
      <c r="G2446" t="s">
        <v>4915</v>
      </c>
      <c r="H2446" t="s">
        <v>132</v>
      </c>
      <c r="I2446" t="s">
        <v>4</v>
      </c>
      <c r="J2446" t="s">
        <v>4276</v>
      </c>
      <c r="K2446" t="s">
        <v>54</v>
      </c>
      <c r="L2446"/>
      <c r="M2446" t="s">
        <v>134</v>
      </c>
      <c r="N2446" t="s">
        <v>135</v>
      </c>
      <c r="O2446"/>
      <c r="P2446"/>
      <c r="Q2446" t="s">
        <v>140</v>
      </c>
      <c r="R2446"/>
      <c r="S2446"/>
      <c r="T2446"/>
      <c r="U2446" t="s">
        <v>137</v>
      </c>
      <c r="V2446" t="s">
        <v>1303</v>
      </c>
      <c r="W2446"/>
      <c r="X2446" t="s">
        <v>123</v>
      </c>
      <c r="Y2446"/>
      <c r="Z2446"/>
      <c r="AA2446" t="s">
        <v>4916</v>
      </c>
      <c r="AB2446"/>
      <c r="AC2446" t="s">
        <v>7068</v>
      </c>
      <c r="AD2446" t="s">
        <v>130</v>
      </c>
      <c r="AE2446" s="97"/>
    </row>
    <row r="2447" spans="1:31" ht="14.4" customHeight="1" x14ac:dyDescent="0.3">
      <c r="A2447" t="s">
        <v>4998</v>
      </c>
      <c r="B2447"/>
      <c r="C2447" t="s">
        <v>4442</v>
      </c>
      <c r="D2447"/>
      <c r="E2447" t="s">
        <v>4442</v>
      </c>
      <c r="F2447" t="s">
        <v>6769</v>
      </c>
      <c r="G2447" t="s">
        <v>4915</v>
      </c>
      <c r="H2447" t="s">
        <v>132</v>
      </c>
      <c r="I2447" t="s">
        <v>4</v>
      </c>
      <c r="J2447" t="s">
        <v>4276</v>
      </c>
      <c r="K2447" t="s">
        <v>54</v>
      </c>
      <c r="L2447"/>
      <c r="M2447" t="s">
        <v>134</v>
      </c>
      <c r="N2447" t="s">
        <v>135</v>
      </c>
      <c r="O2447"/>
      <c r="P2447"/>
      <c r="Q2447" t="s">
        <v>140</v>
      </c>
      <c r="R2447"/>
      <c r="S2447"/>
      <c r="T2447"/>
      <c r="U2447" t="s">
        <v>137</v>
      </c>
      <c r="V2447" t="s">
        <v>703</v>
      </c>
      <c r="W2447" s="9">
        <v>46178.531163425927</v>
      </c>
      <c r="X2447" t="s">
        <v>62</v>
      </c>
      <c r="Y2447"/>
      <c r="Z2447"/>
      <c r="AA2447" t="s">
        <v>4916</v>
      </c>
      <c r="AB2447"/>
      <c r="AC2447" t="s">
        <v>24</v>
      </c>
      <c r="AD2447" t="s">
        <v>128</v>
      </c>
      <c r="AE2447" s="97"/>
    </row>
    <row r="2448" spans="1:31" ht="14.4" customHeight="1" x14ac:dyDescent="0.3">
      <c r="A2448" t="s">
        <v>4999</v>
      </c>
      <c r="B2448"/>
      <c r="C2448" t="s">
        <v>4444</v>
      </c>
      <c r="D2448"/>
      <c r="E2448" t="s">
        <v>4444</v>
      </c>
      <c r="F2448" t="s">
        <v>6769</v>
      </c>
      <c r="G2448" t="s">
        <v>4915</v>
      </c>
      <c r="H2448" t="s">
        <v>132</v>
      </c>
      <c r="I2448" t="s">
        <v>4</v>
      </c>
      <c r="J2448" t="s">
        <v>4276</v>
      </c>
      <c r="K2448" t="s">
        <v>54</v>
      </c>
      <c r="L2448"/>
      <c r="M2448" t="s">
        <v>134</v>
      </c>
      <c r="N2448" t="s">
        <v>135</v>
      </c>
      <c r="O2448"/>
      <c r="P2448"/>
      <c r="Q2448" t="s">
        <v>140</v>
      </c>
      <c r="R2448"/>
      <c r="S2448"/>
      <c r="T2448"/>
      <c r="U2448" t="s">
        <v>137</v>
      </c>
      <c r="V2448" t="s">
        <v>703</v>
      </c>
      <c r="W2448" s="9">
        <v>46162.481430057873</v>
      </c>
      <c r="X2448" t="s">
        <v>62</v>
      </c>
      <c r="Y2448"/>
      <c r="Z2448"/>
      <c r="AA2448" t="s">
        <v>4916</v>
      </c>
      <c r="AB2448"/>
      <c r="AC2448" t="s">
        <v>24</v>
      </c>
      <c r="AD2448" t="s">
        <v>128</v>
      </c>
      <c r="AE2448" s="97"/>
    </row>
    <row r="2449" spans="1:31" ht="14.4" customHeight="1" x14ac:dyDescent="0.3">
      <c r="A2449" t="s">
        <v>5000</v>
      </c>
      <c r="B2449"/>
      <c r="C2449" t="s">
        <v>4446</v>
      </c>
      <c r="D2449"/>
      <c r="E2449" t="s">
        <v>4446</v>
      </c>
      <c r="F2449" t="s">
        <v>6769</v>
      </c>
      <c r="G2449" t="s">
        <v>4915</v>
      </c>
      <c r="H2449" t="s">
        <v>132</v>
      </c>
      <c r="I2449" t="s">
        <v>4</v>
      </c>
      <c r="J2449" t="s">
        <v>4276</v>
      </c>
      <c r="K2449" t="s">
        <v>54</v>
      </c>
      <c r="L2449"/>
      <c r="M2449" t="s">
        <v>134</v>
      </c>
      <c r="N2449" t="s">
        <v>135</v>
      </c>
      <c r="O2449"/>
      <c r="P2449"/>
      <c r="Q2449" t="s">
        <v>140</v>
      </c>
      <c r="R2449"/>
      <c r="S2449"/>
      <c r="T2449"/>
      <c r="U2449" t="s">
        <v>137</v>
      </c>
      <c r="V2449" t="s">
        <v>703</v>
      </c>
      <c r="W2449" s="9">
        <v>46178.528666168982</v>
      </c>
      <c r="X2449" t="s">
        <v>62</v>
      </c>
      <c r="Y2449"/>
      <c r="Z2449"/>
      <c r="AA2449" t="s">
        <v>4916</v>
      </c>
      <c r="AB2449"/>
      <c r="AC2449" t="s">
        <v>24</v>
      </c>
      <c r="AD2449" t="s">
        <v>128</v>
      </c>
      <c r="AE2449" s="97"/>
    </row>
    <row r="2450" spans="1:31" ht="14.4" customHeight="1" x14ac:dyDescent="0.3">
      <c r="A2450" t="s">
        <v>5001</v>
      </c>
      <c r="B2450"/>
      <c r="C2450" t="s">
        <v>4448</v>
      </c>
      <c r="D2450"/>
      <c r="E2450" t="s">
        <v>4448</v>
      </c>
      <c r="F2450" t="s">
        <v>6769</v>
      </c>
      <c r="G2450" t="s">
        <v>4915</v>
      </c>
      <c r="H2450" t="s">
        <v>132</v>
      </c>
      <c r="I2450" t="s">
        <v>4</v>
      </c>
      <c r="J2450" t="s">
        <v>4276</v>
      </c>
      <c r="K2450" t="s">
        <v>54</v>
      </c>
      <c r="L2450"/>
      <c r="M2450" t="s">
        <v>134</v>
      </c>
      <c r="N2450" t="s">
        <v>135</v>
      </c>
      <c r="O2450"/>
      <c r="P2450"/>
      <c r="Q2450" t="s">
        <v>140</v>
      </c>
      <c r="R2450"/>
      <c r="S2450"/>
      <c r="T2450"/>
      <c r="U2450" t="s">
        <v>137</v>
      </c>
      <c r="V2450" t="s">
        <v>703</v>
      </c>
      <c r="W2450" s="9">
        <v>46178.529997418984</v>
      </c>
      <c r="X2450" t="s">
        <v>62</v>
      </c>
      <c r="Y2450"/>
      <c r="Z2450"/>
      <c r="AA2450" t="s">
        <v>4916</v>
      </c>
      <c r="AB2450"/>
      <c r="AC2450" t="s">
        <v>24</v>
      </c>
      <c r="AD2450" t="s">
        <v>128</v>
      </c>
      <c r="AE2450" s="97"/>
    </row>
    <row r="2451" spans="1:31" ht="14.4" customHeight="1" x14ac:dyDescent="0.3">
      <c r="A2451" t="s">
        <v>5002</v>
      </c>
      <c r="B2451"/>
      <c r="C2451" t="s">
        <v>4450</v>
      </c>
      <c r="D2451"/>
      <c r="E2451" t="s">
        <v>4450</v>
      </c>
      <c r="F2451" t="s">
        <v>6769</v>
      </c>
      <c r="G2451" t="s">
        <v>4915</v>
      </c>
      <c r="H2451" t="s">
        <v>132</v>
      </c>
      <c r="I2451" t="s">
        <v>4</v>
      </c>
      <c r="J2451" t="s">
        <v>4276</v>
      </c>
      <c r="K2451" t="s">
        <v>54</v>
      </c>
      <c r="L2451"/>
      <c r="M2451" t="s">
        <v>134</v>
      </c>
      <c r="N2451" t="s">
        <v>135</v>
      </c>
      <c r="O2451"/>
      <c r="P2451"/>
      <c r="Q2451" t="s">
        <v>140</v>
      </c>
      <c r="R2451"/>
      <c r="S2451"/>
      <c r="T2451"/>
      <c r="U2451" t="s">
        <v>137</v>
      </c>
      <c r="V2451" t="s">
        <v>703</v>
      </c>
      <c r="W2451" s="9">
        <v>46176.500001076391</v>
      </c>
      <c r="X2451" t="s">
        <v>62</v>
      </c>
      <c r="Y2451"/>
      <c r="Z2451"/>
      <c r="AA2451" t="s">
        <v>4916</v>
      </c>
      <c r="AB2451"/>
      <c r="AC2451" t="s">
        <v>24</v>
      </c>
      <c r="AD2451" t="s">
        <v>128</v>
      </c>
      <c r="AE2451" s="97"/>
    </row>
    <row r="2452" spans="1:31" ht="14.4" customHeight="1" x14ac:dyDescent="0.3">
      <c r="A2452" t="s">
        <v>5003</v>
      </c>
      <c r="B2452"/>
      <c r="C2452" t="s">
        <v>4452</v>
      </c>
      <c r="D2452"/>
      <c r="E2452" t="s">
        <v>4452</v>
      </c>
      <c r="F2452" t="s">
        <v>6769</v>
      </c>
      <c r="G2452" t="s">
        <v>4915</v>
      </c>
      <c r="H2452" t="s">
        <v>132</v>
      </c>
      <c r="I2452" t="s">
        <v>4</v>
      </c>
      <c r="J2452" t="s">
        <v>4276</v>
      </c>
      <c r="K2452" t="s">
        <v>54</v>
      </c>
      <c r="L2452"/>
      <c r="M2452" t="s">
        <v>134</v>
      </c>
      <c r="N2452" t="s">
        <v>135</v>
      </c>
      <c r="O2452"/>
      <c r="P2452"/>
      <c r="Q2452" t="s">
        <v>140</v>
      </c>
      <c r="R2452"/>
      <c r="S2452"/>
      <c r="T2452"/>
      <c r="U2452" t="s">
        <v>137</v>
      </c>
      <c r="V2452" t="s">
        <v>703</v>
      </c>
      <c r="W2452" s="9">
        <v>46176.500674571762</v>
      </c>
      <c r="X2452" t="s">
        <v>62</v>
      </c>
      <c r="Y2452"/>
      <c r="Z2452"/>
      <c r="AA2452" t="s">
        <v>4916</v>
      </c>
      <c r="AB2452"/>
      <c r="AC2452" t="s">
        <v>24</v>
      </c>
      <c r="AD2452" t="s">
        <v>128</v>
      </c>
      <c r="AE2452" s="97"/>
    </row>
    <row r="2453" spans="1:31" ht="14.4" customHeight="1" x14ac:dyDescent="0.3">
      <c r="A2453" t="s">
        <v>5004</v>
      </c>
      <c r="B2453"/>
      <c r="C2453" t="s">
        <v>4454</v>
      </c>
      <c r="D2453"/>
      <c r="E2453" t="s">
        <v>4454</v>
      </c>
      <c r="F2453" t="s">
        <v>6769</v>
      </c>
      <c r="G2453" t="s">
        <v>4915</v>
      </c>
      <c r="H2453" t="s">
        <v>132</v>
      </c>
      <c r="I2453" t="s">
        <v>4</v>
      </c>
      <c r="J2453" t="s">
        <v>4276</v>
      </c>
      <c r="K2453" t="s">
        <v>54</v>
      </c>
      <c r="L2453"/>
      <c r="M2453" t="s">
        <v>134</v>
      </c>
      <c r="N2453" t="s">
        <v>135</v>
      </c>
      <c r="O2453"/>
      <c r="P2453"/>
      <c r="Q2453" t="s">
        <v>140</v>
      </c>
      <c r="R2453"/>
      <c r="S2453"/>
      <c r="T2453"/>
      <c r="U2453" t="s">
        <v>137</v>
      </c>
      <c r="V2453" t="s">
        <v>709</v>
      </c>
      <c r="W2453" s="9">
        <v>46190.470035266204</v>
      </c>
      <c r="X2453" t="s">
        <v>73</v>
      </c>
      <c r="Y2453"/>
      <c r="Z2453"/>
      <c r="AA2453" t="s">
        <v>4916</v>
      </c>
      <c r="AB2453"/>
      <c r="AC2453" t="s">
        <v>24</v>
      </c>
      <c r="AD2453" t="s">
        <v>128</v>
      </c>
      <c r="AE2453" s="97"/>
    </row>
    <row r="2454" spans="1:31" ht="14.4" customHeight="1" x14ac:dyDescent="0.3">
      <c r="A2454" t="s">
        <v>5005</v>
      </c>
      <c r="B2454"/>
      <c r="C2454" t="s">
        <v>4456</v>
      </c>
      <c r="D2454"/>
      <c r="E2454" t="s">
        <v>4456</v>
      </c>
      <c r="F2454" t="s">
        <v>6769</v>
      </c>
      <c r="G2454" t="s">
        <v>4915</v>
      </c>
      <c r="H2454" t="s">
        <v>132</v>
      </c>
      <c r="I2454" t="s">
        <v>4</v>
      </c>
      <c r="J2454" t="s">
        <v>4276</v>
      </c>
      <c r="K2454" t="s">
        <v>54</v>
      </c>
      <c r="L2454"/>
      <c r="M2454" t="s">
        <v>134</v>
      </c>
      <c r="N2454" t="s">
        <v>135</v>
      </c>
      <c r="O2454"/>
      <c r="P2454"/>
      <c r="Q2454" t="s">
        <v>140</v>
      </c>
      <c r="R2454"/>
      <c r="S2454"/>
      <c r="T2454"/>
      <c r="U2454" t="s">
        <v>137</v>
      </c>
      <c r="V2454" t="s">
        <v>709</v>
      </c>
      <c r="W2454" s="9">
        <v>46176.504514733795</v>
      </c>
      <c r="X2454" t="s">
        <v>73</v>
      </c>
      <c r="Y2454"/>
      <c r="Z2454"/>
      <c r="AA2454" t="s">
        <v>4916</v>
      </c>
      <c r="AB2454"/>
      <c r="AC2454" t="s">
        <v>24</v>
      </c>
      <c r="AD2454" t="s">
        <v>128</v>
      </c>
      <c r="AE2454" s="97"/>
    </row>
    <row r="2455" spans="1:31" ht="14.4" customHeight="1" x14ac:dyDescent="0.3">
      <c r="A2455" t="s">
        <v>5006</v>
      </c>
      <c r="B2455"/>
      <c r="C2455" t="s">
        <v>4458</v>
      </c>
      <c r="D2455"/>
      <c r="E2455" t="s">
        <v>4458</v>
      </c>
      <c r="F2455" t="s">
        <v>6769</v>
      </c>
      <c r="G2455" t="s">
        <v>4915</v>
      </c>
      <c r="H2455" t="s">
        <v>132</v>
      </c>
      <c r="I2455" t="s">
        <v>4</v>
      </c>
      <c r="J2455" t="s">
        <v>4276</v>
      </c>
      <c r="K2455" t="s">
        <v>54</v>
      </c>
      <c r="L2455"/>
      <c r="M2455" t="s">
        <v>134</v>
      </c>
      <c r="N2455" t="s">
        <v>135</v>
      </c>
      <c r="O2455"/>
      <c r="P2455"/>
      <c r="Q2455" t="s">
        <v>140</v>
      </c>
      <c r="R2455"/>
      <c r="S2455"/>
      <c r="T2455"/>
      <c r="U2455" t="s">
        <v>137</v>
      </c>
      <c r="V2455" t="s">
        <v>709</v>
      </c>
      <c r="W2455" s="9">
        <v>46178.536993287038</v>
      </c>
      <c r="X2455" t="s">
        <v>73</v>
      </c>
      <c r="Y2455"/>
      <c r="Z2455"/>
      <c r="AA2455" t="s">
        <v>4916</v>
      </c>
      <c r="AB2455"/>
      <c r="AC2455" t="s">
        <v>24</v>
      </c>
      <c r="AD2455" t="s">
        <v>128</v>
      </c>
      <c r="AE2455" s="97"/>
    </row>
    <row r="2456" spans="1:31" ht="14.4" customHeight="1" x14ac:dyDescent="0.3">
      <c r="A2456" t="s">
        <v>5007</v>
      </c>
      <c r="B2456"/>
      <c r="C2456" t="s">
        <v>4460</v>
      </c>
      <c r="D2456"/>
      <c r="E2456" t="s">
        <v>4460</v>
      </c>
      <c r="F2456" t="s">
        <v>6769</v>
      </c>
      <c r="G2456" t="s">
        <v>4915</v>
      </c>
      <c r="H2456" t="s">
        <v>132</v>
      </c>
      <c r="I2456" t="s">
        <v>4</v>
      </c>
      <c r="J2456" t="s">
        <v>4276</v>
      </c>
      <c r="K2456" t="s">
        <v>54</v>
      </c>
      <c r="L2456"/>
      <c r="M2456" t="s">
        <v>134</v>
      </c>
      <c r="N2456" t="s">
        <v>135</v>
      </c>
      <c r="O2456"/>
      <c r="P2456"/>
      <c r="Q2456" t="s">
        <v>140</v>
      </c>
      <c r="R2456"/>
      <c r="S2456"/>
      <c r="T2456"/>
      <c r="U2456" t="s">
        <v>137</v>
      </c>
      <c r="V2456" t="s">
        <v>709</v>
      </c>
      <c r="W2456" s="9">
        <v>46178.53878052083</v>
      </c>
      <c r="X2456" t="s">
        <v>73</v>
      </c>
      <c r="Y2456"/>
      <c r="Z2456"/>
      <c r="AA2456" t="s">
        <v>4916</v>
      </c>
      <c r="AB2456"/>
      <c r="AC2456" t="s">
        <v>24</v>
      </c>
      <c r="AD2456" t="s">
        <v>128</v>
      </c>
      <c r="AE2456" s="97"/>
    </row>
    <row r="2457" spans="1:31" ht="14.4" customHeight="1" x14ac:dyDescent="0.3">
      <c r="A2457" t="s">
        <v>5008</v>
      </c>
      <c r="B2457"/>
      <c r="C2457" t="s">
        <v>4462</v>
      </c>
      <c r="D2457"/>
      <c r="E2457" t="s">
        <v>4462</v>
      </c>
      <c r="F2457" t="s">
        <v>6769</v>
      </c>
      <c r="G2457" t="s">
        <v>4915</v>
      </c>
      <c r="H2457" t="s">
        <v>132</v>
      </c>
      <c r="I2457" t="s">
        <v>4</v>
      </c>
      <c r="J2457" t="s">
        <v>4276</v>
      </c>
      <c r="K2457" t="s">
        <v>54</v>
      </c>
      <c r="L2457"/>
      <c r="M2457" t="s">
        <v>134</v>
      </c>
      <c r="N2457" t="s">
        <v>135</v>
      </c>
      <c r="O2457"/>
      <c r="P2457"/>
      <c r="Q2457" t="s">
        <v>140</v>
      </c>
      <c r="R2457"/>
      <c r="S2457"/>
      <c r="T2457"/>
      <c r="U2457" t="s">
        <v>137</v>
      </c>
      <c r="V2457" t="s">
        <v>709</v>
      </c>
      <c r="W2457" s="9">
        <v>46178.539397337961</v>
      </c>
      <c r="X2457" t="s">
        <v>73</v>
      </c>
      <c r="Y2457"/>
      <c r="Z2457"/>
      <c r="AA2457" t="s">
        <v>4916</v>
      </c>
      <c r="AB2457"/>
      <c r="AC2457" t="s">
        <v>24</v>
      </c>
      <c r="AD2457" t="s">
        <v>128</v>
      </c>
      <c r="AE2457" s="97"/>
    </row>
    <row r="2458" spans="1:31" ht="14.4" customHeight="1" x14ac:dyDescent="0.3">
      <c r="A2458" t="s">
        <v>5009</v>
      </c>
      <c r="B2458"/>
      <c r="C2458" t="s">
        <v>4464</v>
      </c>
      <c r="D2458"/>
      <c r="E2458" t="s">
        <v>4464</v>
      </c>
      <c r="F2458" t="s">
        <v>6769</v>
      </c>
      <c r="G2458" t="s">
        <v>4915</v>
      </c>
      <c r="H2458" t="s">
        <v>132</v>
      </c>
      <c r="I2458" t="s">
        <v>4</v>
      </c>
      <c r="J2458" t="s">
        <v>4276</v>
      </c>
      <c r="K2458" t="s">
        <v>54</v>
      </c>
      <c r="L2458"/>
      <c r="M2458" t="s">
        <v>134</v>
      </c>
      <c r="N2458" t="s">
        <v>135</v>
      </c>
      <c r="O2458"/>
      <c r="P2458"/>
      <c r="Q2458" t="s">
        <v>140</v>
      </c>
      <c r="R2458"/>
      <c r="S2458"/>
      <c r="T2458"/>
      <c r="U2458" t="s">
        <v>137</v>
      </c>
      <c r="V2458" t="s">
        <v>709</v>
      </c>
      <c r="W2458" s="9">
        <v>46178.540118599536</v>
      </c>
      <c r="X2458" t="s">
        <v>73</v>
      </c>
      <c r="Y2458"/>
      <c r="Z2458"/>
      <c r="AA2458" t="s">
        <v>4916</v>
      </c>
      <c r="AB2458"/>
      <c r="AC2458" t="s">
        <v>24</v>
      </c>
      <c r="AD2458" t="s">
        <v>128</v>
      </c>
      <c r="AE2458" s="97"/>
    </row>
    <row r="2459" spans="1:31" ht="14.4" customHeight="1" x14ac:dyDescent="0.3">
      <c r="A2459" t="s">
        <v>5010</v>
      </c>
      <c r="B2459"/>
      <c r="C2459" t="s">
        <v>4466</v>
      </c>
      <c r="D2459"/>
      <c r="E2459" t="s">
        <v>4466</v>
      </c>
      <c r="F2459" t="s">
        <v>6769</v>
      </c>
      <c r="G2459" t="s">
        <v>4915</v>
      </c>
      <c r="H2459" t="s">
        <v>132</v>
      </c>
      <c r="I2459" t="s">
        <v>4</v>
      </c>
      <c r="J2459" t="s">
        <v>4276</v>
      </c>
      <c r="K2459" t="s">
        <v>54</v>
      </c>
      <c r="L2459"/>
      <c r="M2459" t="s">
        <v>134</v>
      </c>
      <c r="N2459" t="s">
        <v>135</v>
      </c>
      <c r="O2459"/>
      <c r="P2459"/>
      <c r="Q2459" t="s">
        <v>140</v>
      </c>
      <c r="R2459"/>
      <c r="S2459"/>
      <c r="T2459"/>
      <c r="U2459" t="s">
        <v>137</v>
      </c>
      <c r="V2459" t="s">
        <v>715</v>
      </c>
      <c r="W2459" s="9">
        <v>46196.534413229165</v>
      </c>
      <c r="X2459" t="s">
        <v>82</v>
      </c>
      <c r="Y2459"/>
      <c r="Z2459"/>
      <c r="AA2459" t="s">
        <v>4916</v>
      </c>
      <c r="AB2459"/>
      <c r="AC2459" t="s">
        <v>24</v>
      </c>
      <c r="AD2459" t="s">
        <v>129</v>
      </c>
      <c r="AE2459" s="97"/>
    </row>
    <row r="2460" spans="1:31" ht="14.4" customHeight="1" x14ac:dyDescent="0.3">
      <c r="A2460" t="s">
        <v>5011</v>
      </c>
      <c r="B2460"/>
      <c r="C2460" t="s">
        <v>4468</v>
      </c>
      <c r="D2460"/>
      <c r="E2460" t="s">
        <v>4468</v>
      </c>
      <c r="F2460" t="s">
        <v>6769</v>
      </c>
      <c r="G2460" t="s">
        <v>4915</v>
      </c>
      <c r="H2460" t="s">
        <v>132</v>
      </c>
      <c r="I2460" t="s">
        <v>4</v>
      </c>
      <c r="J2460" t="s">
        <v>4276</v>
      </c>
      <c r="K2460" t="s">
        <v>54</v>
      </c>
      <c r="L2460"/>
      <c r="M2460" t="s">
        <v>134</v>
      </c>
      <c r="N2460" t="s">
        <v>135</v>
      </c>
      <c r="O2460"/>
      <c r="P2460"/>
      <c r="Q2460" t="s">
        <v>140</v>
      </c>
      <c r="R2460"/>
      <c r="S2460"/>
      <c r="T2460"/>
      <c r="U2460" t="s">
        <v>137</v>
      </c>
      <c r="V2460" t="s">
        <v>715</v>
      </c>
      <c r="W2460" s="9">
        <v>46176.50510130787</v>
      </c>
      <c r="X2460" t="s">
        <v>82</v>
      </c>
      <c r="Y2460"/>
      <c r="Z2460"/>
      <c r="AA2460" t="s">
        <v>4916</v>
      </c>
      <c r="AB2460"/>
      <c r="AC2460" t="s">
        <v>24</v>
      </c>
      <c r="AD2460" t="s">
        <v>129</v>
      </c>
      <c r="AE2460" s="97"/>
    </row>
    <row r="2461" spans="1:31" ht="14.4" customHeight="1" x14ac:dyDescent="0.3">
      <c r="A2461" t="s">
        <v>5012</v>
      </c>
      <c r="B2461"/>
      <c r="C2461" t="s">
        <v>4470</v>
      </c>
      <c r="D2461"/>
      <c r="E2461" t="s">
        <v>4470</v>
      </c>
      <c r="F2461" t="s">
        <v>6769</v>
      </c>
      <c r="G2461" t="s">
        <v>4915</v>
      </c>
      <c r="H2461" t="s">
        <v>132</v>
      </c>
      <c r="I2461" t="s">
        <v>4</v>
      </c>
      <c r="J2461" t="s">
        <v>4276</v>
      </c>
      <c r="K2461" t="s">
        <v>54</v>
      </c>
      <c r="L2461"/>
      <c r="M2461" t="s">
        <v>134</v>
      </c>
      <c r="N2461" t="s">
        <v>135</v>
      </c>
      <c r="O2461"/>
      <c r="P2461"/>
      <c r="Q2461" t="s">
        <v>140</v>
      </c>
      <c r="R2461"/>
      <c r="S2461"/>
      <c r="T2461"/>
      <c r="U2461" t="s">
        <v>137</v>
      </c>
      <c r="V2461" t="s">
        <v>715</v>
      </c>
      <c r="W2461" s="9">
        <v>46191.48127045139</v>
      </c>
      <c r="X2461" t="s">
        <v>82</v>
      </c>
      <c r="Y2461"/>
      <c r="Z2461"/>
      <c r="AA2461" t="s">
        <v>4916</v>
      </c>
      <c r="AB2461"/>
      <c r="AC2461" t="s">
        <v>24</v>
      </c>
      <c r="AD2461" t="s">
        <v>129</v>
      </c>
      <c r="AE2461" s="97"/>
    </row>
    <row r="2462" spans="1:31" ht="14.4" customHeight="1" x14ac:dyDescent="0.3">
      <c r="A2462" t="s">
        <v>5013</v>
      </c>
      <c r="B2462"/>
      <c r="C2462" t="s">
        <v>4472</v>
      </c>
      <c r="D2462"/>
      <c r="E2462" t="s">
        <v>4472</v>
      </c>
      <c r="F2462" t="s">
        <v>6769</v>
      </c>
      <c r="G2462" t="s">
        <v>4915</v>
      </c>
      <c r="H2462" t="s">
        <v>132</v>
      </c>
      <c r="I2462" t="s">
        <v>4</v>
      </c>
      <c r="J2462" t="s">
        <v>4276</v>
      </c>
      <c r="K2462" t="s">
        <v>54</v>
      </c>
      <c r="L2462"/>
      <c r="M2462" t="s">
        <v>134</v>
      </c>
      <c r="N2462" t="s">
        <v>135</v>
      </c>
      <c r="O2462"/>
      <c r="P2462"/>
      <c r="Q2462" t="s">
        <v>140</v>
      </c>
      <c r="R2462"/>
      <c r="S2462"/>
      <c r="T2462"/>
      <c r="U2462" t="s">
        <v>137</v>
      </c>
      <c r="V2462" t="s">
        <v>715</v>
      </c>
      <c r="W2462" s="9">
        <v>46191.482588460647</v>
      </c>
      <c r="X2462" t="s">
        <v>82</v>
      </c>
      <c r="Y2462"/>
      <c r="Z2462"/>
      <c r="AA2462" t="s">
        <v>4916</v>
      </c>
      <c r="AB2462"/>
      <c r="AC2462" t="s">
        <v>24</v>
      </c>
      <c r="AD2462" t="s">
        <v>129</v>
      </c>
      <c r="AE2462" s="97"/>
    </row>
    <row r="2463" spans="1:31" ht="14.4" customHeight="1" x14ac:dyDescent="0.3">
      <c r="A2463" t="s">
        <v>5014</v>
      </c>
      <c r="B2463"/>
      <c r="C2463" t="s">
        <v>4474</v>
      </c>
      <c r="D2463"/>
      <c r="E2463" t="s">
        <v>4474</v>
      </c>
      <c r="F2463" t="s">
        <v>6769</v>
      </c>
      <c r="G2463" t="s">
        <v>4915</v>
      </c>
      <c r="H2463" t="s">
        <v>132</v>
      </c>
      <c r="I2463" t="s">
        <v>4</v>
      </c>
      <c r="J2463" t="s">
        <v>4276</v>
      </c>
      <c r="K2463" t="s">
        <v>54</v>
      </c>
      <c r="L2463"/>
      <c r="M2463" t="s">
        <v>134</v>
      </c>
      <c r="N2463" t="s">
        <v>135</v>
      </c>
      <c r="O2463"/>
      <c r="P2463"/>
      <c r="Q2463" t="s">
        <v>140</v>
      </c>
      <c r="R2463"/>
      <c r="S2463"/>
      <c r="T2463"/>
      <c r="U2463" t="s">
        <v>137</v>
      </c>
      <c r="V2463" t="s">
        <v>715</v>
      </c>
      <c r="W2463" s="9">
        <v>46191.483624918983</v>
      </c>
      <c r="X2463" t="s">
        <v>82</v>
      </c>
      <c r="Y2463"/>
      <c r="Z2463"/>
      <c r="AA2463" t="s">
        <v>4916</v>
      </c>
      <c r="AB2463"/>
      <c r="AC2463" t="s">
        <v>24</v>
      </c>
      <c r="AD2463" t="s">
        <v>129</v>
      </c>
      <c r="AE2463" s="97"/>
    </row>
    <row r="2464" spans="1:31" ht="14.4" customHeight="1" x14ac:dyDescent="0.3">
      <c r="A2464" t="s">
        <v>5015</v>
      </c>
      <c r="B2464"/>
      <c r="C2464" t="s">
        <v>4476</v>
      </c>
      <c r="D2464"/>
      <c r="E2464" t="s">
        <v>4476</v>
      </c>
      <c r="F2464" t="s">
        <v>6769</v>
      </c>
      <c r="G2464" t="s">
        <v>4915</v>
      </c>
      <c r="H2464" t="s">
        <v>132</v>
      </c>
      <c r="I2464" t="s">
        <v>4</v>
      </c>
      <c r="J2464" t="s">
        <v>4276</v>
      </c>
      <c r="K2464" t="s">
        <v>54</v>
      </c>
      <c r="L2464"/>
      <c r="M2464" t="s">
        <v>134</v>
      </c>
      <c r="N2464" t="s">
        <v>135</v>
      </c>
      <c r="O2464"/>
      <c r="P2464"/>
      <c r="Q2464" t="s">
        <v>140</v>
      </c>
      <c r="R2464"/>
      <c r="S2464"/>
      <c r="T2464"/>
      <c r="U2464" t="s">
        <v>137</v>
      </c>
      <c r="V2464" t="s">
        <v>715</v>
      </c>
      <c r="W2464" s="9">
        <v>46191.477698807874</v>
      </c>
      <c r="X2464" t="s">
        <v>82</v>
      </c>
      <c r="Y2464"/>
      <c r="Z2464"/>
      <c r="AA2464" t="s">
        <v>4916</v>
      </c>
      <c r="AB2464"/>
      <c r="AC2464" t="s">
        <v>24</v>
      </c>
      <c r="AD2464" t="s">
        <v>129</v>
      </c>
      <c r="AE2464" s="97"/>
    </row>
    <row r="2465" spans="1:31" ht="14.4" customHeight="1" x14ac:dyDescent="0.3">
      <c r="A2465" t="s">
        <v>5016</v>
      </c>
      <c r="B2465"/>
      <c r="C2465" t="s">
        <v>4478</v>
      </c>
      <c r="D2465"/>
      <c r="E2465" t="s">
        <v>4478</v>
      </c>
      <c r="F2465" t="s">
        <v>6769</v>
      </c>
      <c r="G2465" t="s">
        <v>4915</v>
      </c>
      <c r="H2465" t="s">
        <v>132</v>
      </c>
      <c r="I2465" t="s">
        <v>4</v>
      </c>
      <c r="J2465" t="s">
        <v>4276</v>
      </c>
      <c r="K2465" t="s">
        <v>54</v>
      </c>
      <c r="L2465"/>
      <c r="M2465" t="s">
        <v>134</v>
      </c>
      <c r="N2465" t="s">
        <v>135</v>
      </c>
      <c r="O2465"/>
      <c r="P2465"/>
      <c r="Q2465" t="s">
        <v>140</v>
      </c>
      <c r="R2465"/>
      <c r="S2465"/>
      <c r="T2465"/>
      <c r="U2465" t="s">
        <v>137</v>
      </c>
      <c r="V2465" t="s">
        <v>721</v>
      </c>
      <c r="W2465" s="9">
        <v>46196.534969641201</v>
      </c>
      <c r="X2465" t="s">
        <v>91</v>
      </c>
      <c r="Y2465"/>
      <c r="Z2465"/>
      <c r="AA2465" t="s">
        <v>4916</v>
      </c>
      <c r="AB2465"/>
      <c r="AC2465" t="s">
        <v>24</v>
      </c>
      <c r="AD2465" t="s">
        <v>129</v>
      </c>
      <c r="AE2465" s="97"/>
    </row>
    <row r="2466" spans="1:31" ht="14.4" customHeight="1" x14ac:dyDescent="0.3">
      <c r="A2466" t="s">
        <v>5017</v>
      </c>
      <c r="B2466"/>
      <c r="C2466" t="s">
        <v>4480</v>
      </c>
      <c r="D2466"/>
      <c r="E2466" t="s">
        <v>4480</v>
      </c>
      <c r="F2466" t="s">
        <v>6769</v>
      </c>
      <c r="G2466" t="s">
        <v>4915</v>
      </c>
      <c r="H2466" t="s">
        <v>132</v>
      </c>
      <c r="I2466" t="s">
        <v>4</v>
      </c>
      <c r="J2466" t="s">
        <v>4276</v>
      </c>
      <c r="K2466" t="s">
        <v>54</v>
      </c>
      <c r="L2466"/>
      <c r="M2466" t="s">
        <v>134</v>
      </c>
      <c r="N2466" t="s">
        <v>135</v>
      </c>
      <c r="O2466"/>
      <c r="P2466"/>
      <c r="Q2466" t="s">
        <v>140</v>
      </c>
      <c r="R2466"/>
      <c r="S2466"/>
      <c r="T2466"/>
      <c r="U2466" t="s">
        <v>137</v>
      </c>
      <c r="V2466" t="s">
        <v>721</v>
      </c>
      <c r="W2466" s="9">
        <v>46176.505744212962</v>
      </c>
      <c r="X2466" t="s">
        <v>91</v>
      </c>
      <c r="Y2466"/>
      <c r="Z2466"/>
      <c r="AA2466" t="s">
        <v>4916</v>
      </c>
      <c r="AB2466"/>
      <c r="AC2466" t="s">
        <v>24</v>
      </c>
      <c r="AD2466" t="s">
        <v>129</v>
      </c>
      <c r="AE2466" s="97"/>
    </row>
    <row r="2467" spans="1:31" ht="14.4" customHeight="1" x14ac:dyDescent="0.3">
      <c r="A2467" t="s">
        <v>5018</v>
      </c>
      <c r="B2467"/>
      <c r="C2467" t="s">
        <v>4482</v>
      </c>
      <c r="D2467"/>
      <c r="E2467" t="s">
        <v>4482</v>
      </c>
      <c r="F2467" t="s">
        <v>6769</v>
      </c>
      <c r="G2467" t="s">
        <v>4915</v>
      </c>
      <c r="H2467" t="s">
        <v>132</v>
      </c>
      <c r="I2467" t="s">
        <v>4</v>
      </c>
      <c r="J2467" t="s">
        <v>4276</v>
      </c>
      <c r="K2467" t="s">
        <v>54</v>
      </c>
      <c r="L2467"/>
      <c r="M2467" t="s">
        <v>134</v>
      </c>
      <c r="N2467" t="s">
        <v>135</v>
      </c>
      <c r="O2467"/>
      <c r="P2467"/>
      <c r="Q2467" t="s">
        <v>140</v>
      </c>
      <c r="R2467"/>
      <c r="S2467"/>
      <c r="T2467"/>
      <c r="U2467" t="s">
        <v>137</v>
      </c>
      <c r="V2467" t="s">
        <v>721</v>
      </c>
      <c r="W2467" s="9">
        <v>46190.471598993056</v>
      </c>
      <c r="X2467" t="s">
        <v>91</v>
      </c>
      <c r="Y2467"/>
      <c r="Z2467"/>
      <c r="AA2467" t="s">
        <v>4916</v>
      </c>
      <c r="AB2467"/>
      <c r="AC2467" t="s">
        <v>24</v>
      </c>
      <c r="AD2467" t="s">
        <v>129</v>
      </c>
      <c r="AE2467" s="97"/>
    </row>
    <row r="2468" spans="1:31" ht="14.4" customHeight="1" x14ac:dyDescent="0.3">
      <c r="A2468" t="s">
        <v>5019</v>
      </c>
      <c r="B2468"/>
      <c r="C2468" t="s">
        <v>4484</v>
      </c>
      <c r="D2468"/>
      <c r="E2468" t="s">
        <v>4484</v>
      </c>
      <c r="F2468" t="s">
        <v>6769</v>
      </c>
      <c r="G2468" t="s">
        <v>4915</v>
      </c>
      <c r="H2468" t="s">
        <v>132</v>
      </c>
      <c r="I2468" t="s">
        <v>4</v>
      </c>
      <c r="J2468" t="s">
        <v>4276</v>
      </c>
      <c r="K2468" t="s">
        <v>54</v>
      </c>
      <c r="L2468"/>
      <c r="M2468" t="s">
        <v>134</v>
      </c>
      <c r="N2468" t="s">
        <v>135</v>
      </c>
      <c r="O2468"/>
      <c r="P2468"/>
      <c r="Q2468" t="s">
        <v>140</v>
      </c>
      <c r="R2468"/>
      <c r="S2468"/>
      <c r="T2468"/>
      <c r="U2468" t="s">
        <v>137</v>
      </c>
      <c r="V2468" t="s">
        <v>721</v>
      </c>
      <c r="W2468" s="9">
        <v>46190.506452280089</v>
      </c>
      <c r="X2468" t="s">
        <v>91</v>
      </c>
      <c r="Y2468"/>
      <c r="Z2468"/>
      <c r="AA2468" t="s">
        <v>4916</v>
      </c>
      <c r="AB2468"/>
      <c r="AC2468" t="s">
        <v>24</v>
      </c>
      <c r="AD2468" t="s">
        <v>129</v>
      </c>
      <c r="AE2468" s="97"/>
    </row>
    <row r="2469" spans="1:31" ht="14.4" customHeight="1" x14ac:dyDescent="0.3">
      <c r="A2469" t="s">
        <v>5020</v>
      </c>
      <c r="B2469"/>
      <c r="C2469" t="s">
        <v>4486</v>
      </c>
      <c r="D2469"/>
      <c r="E2469" t="s">
        <v>4486</v>
      </c>
      <c r="F2469" t="s">
        <v>6769</v>
      </c>
      <c r="G2469" t="s">
        <v>4915</v>
      </c>
      <c r="H2469" t="s">
        <v>132</v>
      </c>
      <c r="I2469" t="s">
        <v>4</v>
      </c>
      <c r="J2469" t="s">
        <v>4276</v>
      </c>
      <c r="K2469" t="s">
        <v>54</v>
      </c>
      <c r="L2469"/>
      <c r="M2469" t="s">
        <v>134</v>
      </c>
      <c r="N2469" t="s">
        <v>135</v>
      </c>
      <c r="O2469"/>
      <c r="P2469"/>
      <c r="Q2469" t="s">
        <v>140</v>
      </c>
      <c r="R2469"/>
      <c r="S2469"/>
      <c r="T2469"/>
      <c r="U2469" t="s">
        <v>137</v>
      </c>
      <c r="V2469" t="s">
        <v>721</v>
      </c>
      <c r="W2469" s="9">
        <v>46190.486084062497</v>
      </c>
      <c r="X2469" t="s">
        <v>91</v>
      </c>
      <c r="Y2469"/>
      <c r="Z2469"/>
      <c r="AA2469" t="s">
        <v>4916</v>
      </c>
      <c r="AB2469"/>
      <c r="AC2469" t="s">
        <v>24</v>
      </c>
      <c r="AD2469" t="s">
        <v>129</v>
      </c>
      <c r="AE2469" s="97"/>
    </row>
    <row r="2470" spans="1:31" ht="14.4" customHeight="1" x14ac:dyDescent="0.3">
      <c r="A2470" t="s">
        <v>5021</v>
      </c>
      <c r="B2470"/>
      <c r="C2470" t="s">
        <v>4488</v>
      </c>
      <c r="D2470"/>
      <c r="E2470" t="s">
        <v>4488</v>
      </c>
      <c r="F2470" t="s">
        <v>6769</v>
      </c>
      <c r="G2470" t="s">
        <v>4915</v>
      </c>
      <c r="H2470" t="s">
        <v>132</v>
      </c>
      <c r="I2470" t="s">
        <v>4</v>
      </c>
      <c r="J2470" t="s">
        <v>4276</v>
      </c>
      <c r="K2470" t="s">
        <v>54</v>
      </c>
      <c r="L2470"/>
      <c r="M2470" t="s">
        <v>134</v>
      </c>
      <c r="N2470" t="s">
        <v>135</v>
      </c>
      <c r="O2470"/>
      <c r="P2470"/>
      <c r="Q2470" t="s">
        <v>140</v>
      </c>
      <c r="R2470"/>
      <c r="S2470"/>
      <c r="T2470"/>
      <c r="U2470" t="s">
        <v>137</v>
      </c>
      <c r="V2470" t="s">
        <v>721</v>
      </c>
      <c r="W2470" s="9">
        <v>46191.475378159725</v>
      </c>
      <c r="X2470" t="s">
        <v>91</v>
      </c>
      <c r="Y2470"/>
      <c r="Z2470"/>
      <c r="AA2470" t="s">
        <v>4916</v>
      </c>
      <c r="AB2470"/>
      <c r="AC2470" t="s">
        <v>24</v>
      </c>
      <c r="AD2470" t="s">
        <v>129</v>
      </c>
      <c r="AE2470" s="97"/>
    </row>
    <row r="2471" spans="1:31" ht="14.4" customHeight="1" x14ac:dyDescent="0.3">
      <c r="A2471" t="s">
        <v>5022</v>
      </c>
      <c r="B2471"/>
      <c r="C2471" t="s">
        <v>4490</v>
      </c>
      <c r="D2471"/>
      <c r="E2471" t="s">
        <v>4490</v>
      </c>
      <c r="F2471" t="s">
        <v>6769</v>
      </c>
      <c r="G2471" t="s">
        <v>4915</v>
      </c>
      <c r="H2471" t="s">
        <v>132</v>
      </c>
      <c r="I2471" t="s">
        <v>4</v>
      </c>
      <c r="J2471" t="s">
        <v>4276</v>
      </c>
      <c r="K2471" t="s">
        <v>54</v>
      </c>
      <c r="L2471"/>
      <c r="M2471" t="s">
        <v>134</v>
      </c>
      <c r="N2471" t="s">
        <v>135</v>
      </c>
      <c r="O2471"/>
      <c r="P2471"/>
      <c r="Q2471" t="s">
        <v>140</v>
      </c>
      <c r="R2471"/>
      <c r="S2471"/>
      <c r="T2471"/>
      <c r="U2471" t="s">
        <v>137</v>
      </c>
      <c r="V2471" t="s">
        <v>727</v>
      </c>
      <c r="W2471" s="9">
        <v>46197.485547997683</v>
      </c>
      <c r="X2471" t="s">
        <v>100</v>
      </c>
      <c r="Y2471"/>
      <c r="Z2471"/>
      <c r="AA2471" t="s">
        <v>4916</v>
      </c>
      <c r="AB2471"/>
      <c r="AC2471" t="s">
        <v>24</v>
      </c>
      <c r="AD2471" t="s">
        <v>129</v>
      </c>
      <c r="AE2471" s="97"/>
    </row>
    <row r="2472" spans="1:31" ht="14.4" customHeight="1" x14ac:dyDescent="0.3">
      <c r="A2472" t="s">
        <v>5023</v>
      </c>
      <c r="B2472"/>
      <c r="C2472" t="s">
        <v>4492</v>
      </c>
      <c r="D2472"/>
      <c r="E2472" t="s">
        <v>4492</v>
      </c>
      <c r="F2472" t="s">
        <v>6769</v>
      </c>
      <c r="G2472" t="s">
        <v>4915</v>
      </c>
      <c r="H2472" t="s">
        <v>132</v>
      </c>
      <c r="I2472" t="s">
        <v>4</v>
      </c>
      <c r="J2472" t="s">
        <v>4276</v>
      </c>
      <c r="K2472" t="s">
        <v>54</v>
      </c>
      <c r="L2472"/>
      <c r="M2472" t="s">
        <v>134</v>
      </c>
      <c r="N2472" t="s">
        <v>135</v>
      </c>
      <c r="O2472"/>
      <c r="P2472"/>
      <c r="Q2472" t="s">
        <v>140</v>
      </c>
      <c r="R2472"/>
      <c r="S2472"/>
      <c r="T2472"/>
      <c r="U2472" t="s">
        <v>137</v>
      </c>
      <c r="V2472" t="s">
        <v>727</v>
      </c>
      <c r="W2472" s="9">
        <v>46176.506360567131</v>
      </c>
      <c r="X2472" t="s">
        <v>100</v>
      </c>
      <c r="Y2472"/>
      <c r="Z2472"/>
      <c r="AA2472" t="s">
        <v>4916</v>
      </c>
      <c r="AB2472"/>
      <c r="AC2472" t="s">
        <v>24</v>
      </c>
      <c r="AD2472" t="s">
        <v>129</v>
      </c>
      <c r="AE2472" s="97"/>
    </row>
    <row r="2473" spans="1:31" ht="14.4" customHeight="1" x14ac:dyDescent="0.3">
      <c r="A2473" t="s">
        <v>5024</v>
      </c>
      <c r="B2473"/>
      <c r="C2473" t="s">
        <v>4494</v>
      </c>
      <c r="D2473"/>
      <c r="E2473" t="s">
        <v>4494</v>
      </c>
      <c r="F2473" t="s">
        <v>6769</v>
      </c>
      <c r="G2473" t="s">
        <v>4915</v>
      </c>
      <c r="H2473" t="s">
        <v>132</v>
      </c>
      <c r="I2473" t="s">
        <v>4</v>
      </c>
      <c r="J2473" t="s">
        <v>4276</v>
      </c>
      <c r="K2473" t="s">
        <v>54</v>
      </c>
      <c r="L2473"/>
      <c r="M2473" t="s">
        <v>134</v>
      </c>
      <c r="N2473" t="s">
        <v>135</v>
      </c>
      <c r="O2473"/>
      <c r="P2473"/>
      <c r="Q2473" t="s">
        <v>140</v>
      </c>
      <c r="R2473"/>
      <c r="S2473"/>
      <c r="T2473"/>
      <c r="U2473" t="s">
        <v>137</v>
      </c>
      <c r="V2473" t="s">
        <v>727</v>
      </c>
      <c r="W2473" s="9">
        <v>46197.486091516206</v>
      </c>
      <c r="X2473" t="s">
        <v>100</v>
      </c>
      <c r="Y2473"/>
      <c r="Z2473"/>
      <c r="AA2473" t="s">
        <v>4916</v>
      </c>
      <c r="AB2473"/>
      <c r="AC2473" t="s">
        <v>24</v>
      </c>
      <c r="AD2473" t="s">
        <v>129</v>
      </c>
      <c r="AE2473" s="97"/>
    </row>
    <row r="2474" spans="1:31" ht="14.4" customHeight="1" x14ac:dyDescent="0.3">
      <c r="A2474" t="s">
        <v>5025</v>
      </c>
      <c r="B2474"/>
      <c r="C2474" t="s">
        <v>4496</v>
      </c>
      <c r="D2474"/>
      <c r="E2474" t="s">
        <v>4496</v>
      </c>
      <c r="F2474" t="s">
        <v>6769</v>
      </c>
      <c r="G2474" t="s">
        <v>4915</v>
      </c>
      <c r="H2474" t="s">
        <v>132</v>
      </c>
      <c r="I2474" t="s">
        <v>4</v>
      </c>
      <c r="J2474" t="s">
        <v>4276</v>
      </c>
      <c r="K2474" t="s">
        <v>54</v>
      </c>
      <c r="L2474"/>
      <c r="M2474" t="s">
        <v>134</v>
      </c>
      <c r="N2474" t="s">
        <v>135</v>
      </c>
      <c r="O2474"/>
      <c r="P2474"/>
      <c r="Q2474" t="s">
        <v>140</v>
      </c>
      <c r="R2474"/>
      <c r="S2474"/>
      <c r="T2474"/>
      <c r="U2474" t="s">
        <v>137</v>
      </c>
      <c r="V2474" t="s">
        <v>727</v>
      </c>
      <c r="W2474" s="9">
        <v>46197.48718611111</v>
      </c>
      <c r="X2474" t="s">
        <v>100</v>
      </c>
      <c r="Y2474"/>
      <c r="Z2474"/>
      <c r="AA2474" t="s">
        <v>4916</v>
      </c>
      <c r="AB2474"/>
      <c r="AC2474" t="s">
        <v>24</v>
      </c>
      <c r="AD2474" t="s">
        <v>129</v>
      </c>
      <c r="AE2474" s="97"/>
    </row>
    <row r="2475" spans="1:31" ht="14.4" customHeight="1" x14ac:dyDescent="0.3">
      <c r="A2475" t="s">
        <v>5026</v>
      </c>
      <c r="B2475"/>
      <c r="C2475" t="s">
        <v>4498</v>
      </c>
      <c r="D2475"/>
      <c r="E2475" t="s">
        <v>4498</v>
      </c>
      <c r="F2475" t="s">
        <v>6769</v>
      </c>
      <c r="G2475" t="s">
        <v>4915</v>
      </c>
      <c r="H2475" t="s">
        <v>132</v>
      </c>
      <c r="I2475" t="s">
        <v>4</v>
      </c>
      <c r="J2475" t="s">
        <v>4276</v>
      </c>
      <c r="K2475" t="s">
        <v>54</v>
      </c>
      <c r="L2475"/>
      <c r="M2475" t="s">
        <v>134</v>
      </c>
      <c r="N2475" t="s">
        <v>135</v>
      </c>
      <c r="O2475"/>
      <c r="P2475"/>
      <c r="Q2475" t="s">
        <v>140</v>
      </c>
      <c r="R2475"/>
      <c r="S2475"/>
      <c r="T2475"/>
      <c r="U2475" t="s">
        <v>137</v>
      </c>
      <c r="V2475" t="s">
        <v>727</v>
      </c>
      <c r="W2475" s="9">
        <v>46197.486531516202</v>
      </c>
      <c r="X2475" t="s">
        <v>100</v>
      </c>
      <c r="Y2475"/>
      <c r="Z2475"/>
      <c r="AA2475" t="s">
        <v>4916</v>
      </c>
      <c r="AB2475"/>
      <c r="AC2475" t="s">
        <v>24</v>
      </c>
      <c r="AD2475" t="s">
        <v>129</v>
      </c>
      <c r="AE2475" s="97"/>
    </row>
    <row r="2476" spans="1:31" ht="14.4" customHeight="1" x14ac:dyDescent="0.3">
      <c r="A2476" t="s">
        <v>5027</v>
      </c>
      <c r="B2476"/>
      <c r="C2476" t="s">
        <v>4500</v>
      </c>
      <c r="D2476"/>
      <c r="E2476" t="s">
        <v>4500</v>
      </c>
      <c r="F2476" t="s">
        <v>6769</v>
      </c>
      <c r="G2476" t="s">
        <v>4915</v>
      </c>
      <c r="H2476" t="s">
        <v>132</v>
      </c>
      <c r="I2476" t="s">
        <v>4</v>
      </c>
      <c r="J2476" t="s">
        <v>4276</v>
      </c>
      <c r="K2476" t="s">
        <v>54</v>
      </c>
      <c r="L2476"/>
      <c r="M2476" t="s">
        <v>134</v>
      </c>
      <c r="N2476" t="s">
        <v>135</v>
      </c>
      <c r="O2476"/>
      <c r="P2476"/>
      <c r="Q2476" t="s">
        <v>140</v>
      </c>
      <c r="R2476"/>
      <c r="S2476"/>
      <c r="T2476"/>
      <c r="U2476" t="s">
        <v>137</v>
      </c>
      <c r="V2476" t="s">
        <v>727</v>
      </c>
      <c r="W2476" s="9">
        <v>46197.487800659721</v>
      </c>
      <c r="X2476" t="s">
        <v>100</v>
      </c>
      <c r="Y2476"/>
      <c r="Z2476"/>
      <c r="AA2476" t="s">
        <v>4916</v>
      </c>
      <c r="AB2476"/>
      <c r="AC2476" t="s">
        <v>24</v>
      </c>
      <c r="AD2476" t="s">
        <v>129</v>
      </c>
      <c r="AE2476" s="97"/>
    </row>
    <row r="2477" spans="1:31" ht="14.4" customHeight="1" x14ac:dyDescent="0.3">
      <c r="A2477" t="s">
        <v>5028</v>
      </c>
      <c r="B2477"/>
      <c r="C2477" t="s">
        <v>4502</v>
      </c>
      <c r="D2477"/>
      <c r="E2477" t="s">
        <v>4502</v>
      </c>
      <c r="F2477" t="s">
        <v>6769</v>
      </c>
      <c r="G2477" t="s">
        <v>4915</v>
      </c>
      <c r="H2477" t="s">
        <v>132</v>
      </c>
      <c r="I2477" t="s">
        <v>4</v>
      </c>
      <c r="J2477" t="s">
        <v>4276</v>
      </c>
      <c r="K2477" t="s">
        <v>54</v>
      </c>
      <c r="L2477"/>
      <c r="M2477" t="s">
        <v>134</v>
      </c>
      <c r="N2477" t="s">
        <v>135</v>
      </c>
      <c r="O2477"/>
      <c r="P2477"/>
      <c r="Q2477" t="s">
        <v>140</v>
      </c>
      <c r="R2477"/>
      <c r="S2477"/>
      <c r="T2477"/>
      <c r="U2477" t="s">
        <v>137</v>
      </c>
      <c r="V2477" t="s">
        <v>733</v>
      </c>
      <c r="W2477" s="9">
        <v>46203.38199927083</v>
      </c>
      <c r="X2477" t="s">
        <v>109</v>
      </c>
      <c r="Y2477"/>
      <c r="Z2477"/>
      <c r="AA2477" t="s">
        <v>4916</v>
      </c>
      <c r="AB2477"/>
      <c r="AC2477" t="s">
        <v>24</v>
      </c>
      <c r="AD2477" t="s">
        <v>129</v>
      </c>
      <c r="AE2477" s="97"/>
    </row>
    <row r="2478" spans="1:31" ht="14.4" customHeight="1" x14ac:dyDescent="0.3">
      <c r="A2478" t="s">
        <v>5029</v>
      </c>
      <c r="B2478"/>
      <c r="C2478" t="s">
        <v>4504</v>
      </c>
      <c r="D2478"/>
      <c r="E2478" t="s">
        <v>4504</v>
      </c>
      <c r="F2478" t="s">
        <v>6769</v>
      </c>
      <c r="G2478" t="s">
        <v>4915</v>
      </c>
      <c r="H2478" t="s">
        <v>132</v>
      </c>
      <c r="I2478" t="s">
        <v>4</v>
      </c>
      <c r="J2478" t="s">
        <v>4276</v>
      </c>
      <c r="K2478" t="s">
        <v>54</v>
      </c>
      <c r="L2478"/>
      <c r="M2478" t="s">
        <v>134</v>
      </c>
      <c r="N2478" t="s">
        <v>135</v>
      </c>
      <c r="O2478"/>
      <c r="P2478"/>
      <c r="Q2478" t="s">
        <v>140</v>
      </c>
      <c r="R2478"/>
      <c r="S2478"/>
      <c r="T2478"/>
      <c r="U2478" t="s">
        <v>137</v>
      </c>
      <c r="V2478" t="s">
        <v>733</v>
      </c>
      <c r="W2478" s="9">
        <v>46174.239497303242</v>
      </c>
      <c r="X2478" t="s">
        <v>109</v>
      </c>
      <c r="Y2478"/>
      <c r="Z2478"/>
      <c r="AA2478" t="s">
        <v>4916</v>
      </c>
      <c r="AB2478"/>
      <c r="AC2478" t="s">
        <v>24</v>
      </c>
      <c r="AD2478" t="s">
        <v>129</v>
      </c>
      <c r="AE2478" s="97"/>
    </row>
    <row r="2479" spans="1:31" ht="14.4" customHeight="1" x14ac:dyDescent="0.3">
      <c r="A2479" t="s">
        <v>5030</v>
      </c>
      <c r="B2479"/>
      <c r="C2479" t="s">
        <v>4506</v>
      </c>
      <c r="D2479"/>
      <c r="E2479" t="s">
        <v>4506</v>
      </c>
      <c r="F2479" t="s">
        <v>6769</v>
      </c>
      <c r="G2479" t="s">
        <v>4915</v>
      </c>
      <c r="H2479" t="s">
        <v>132</v>
      </c>
      <c r="I2479" t="s">
        <v>4</v>
      </c>
      <c r="J2479" t="s">
        <v>4276</v>
      </c>
      <c r="K2479" t="s">
        <v>54</v>
      </c>
      <c r="L2479"/>
      <c r="M2479" t="s">
        <v>134</v>
      </c>
      <c r="N2479" t="s">
        <v>135</v>
      </c>
      <c r="O2479"/>
      <c r="P2479"/>
      <c r="Q2479" t="s">
        <v>140</v>
      </c>
      <c r="R2479"/>
      <c r="S2479"/>
      <c r="T2479"/>
      <c r="U2479" t="s">
        <v>137</v>
      </c>
      <c r="V2479" t="s">
        <v>733</v>
      </c>
      <c r="W2479" s="9">
        <v>46203.383059143518</v>
      </c>
      <c r="X2479" t="s">
        <v>109</v>
      </c>
      <c r="Y2479"/>
      <c r="Z2479"/>
      <c r="AA2479" t="s">
        <v>4916</v>
      </c>
      <c r="AB2479"/>
      <c r="AC2479" t="s">
        <v>24</v>
      </c>
      <c r="AD2479" t="s">
        <v>129</v>
      </c>
      <c r="AE2479" s="97"/>
    </row>
    <row r="2480" spans="1:31" ht="14.4" customHeight="1" x14ac:dyDescent="0.3">
      <c r="A2480" t="s">
        <v>5031</v>
      </c>
      <c r="B2480"/>
      <c r="C2480" t="s">
        <v>4508</v>
      </c>
      <c r="D2480"/>
      <c r="E2480" t="s">
        <v>4508</v>
      </c>
      <c r="F2480" t="s">
        <v>6769</v>
      </c>
      <c r="G2480" t="s">
        <v>4915</v>
      </c>
      <c r="H2480" t="s">
        <v>132</v>
      </c>
      <c r="I2480" t="s">
        <v>4</v>
      </c>
      <c r="J2480" t="s">
        <v>4276</v>
      </c>
      <c r="K2480" t="s">
        <v>54</v>
      </c>
      <c r="L2480"/>
      <c r="M2480" t="s">
        <v>134</v>
      </c>
      <c r="N2480" t="s">
        <v>135</v>
      </c>
      <c r="O2480"/>
      <c r="P2480"/>
      <c r="Q2480" t="s">
        <v>140</v>
      </c>
      <c r="R2480"/>
      <c r="S2480"/>
      <c r="T2480"/>
      <c r="U2480" t="s">
        <v>137</v>
      </c>
      <c r="V2480" t="s">
        <v>733</v>
      </c>
      <c r="W2480" s="9">
        <v>46203.383608993056</v>
      </c>
      <c r="X2480" t="s">
        <v>109</v>
      </c>
      <c r="Y2480"/>
      <c r="Z2480"/>
      <c r="AA2480" t="s">
        <v>4916</v>
      </c>
      <c r="AB2480"/>
      <c r="AC2480" t="s">
        <v>24</v>
      </c>
      <c r="AD2480" t="s">
        <v>129</v>
      </c>
      <c r="AE2480" s="97"/>
    </row>
    <row r="2481" spans="1:31" ht="14.4" customHeight="1" x14ac:dyDescent="0.3">
      <c r="A2481" t="s">
        <v>5032</v>
      </c>
      <c r="B2481"/>
      <c r="C2481" t="s">
        <v>4510</v>
      </c>
      <c r="D2481"/>
      <c r="E2481" t="s">
        <v>4510</v>
      </c>
      <c r="F2481" t="s">
        <v>6769</v>
      </c>
      <c r="G2481" t="s">
        <v>4915</v>
      </c>
      <c r="H2481" t="s">
        <v>132</v>
      </c>
      <c r="I2481" t="s">
        <v>4</v>
      </c>
      <c r="J2481" t="s">
        <v>4276</v>
      </c>
      <c r="K2481" t="s">
        <v>54</v>
      </c>
      <c r="L2481"/>
      <c r="M2481" t="s">
        <v>134</v>
      </c>
      <c r="N2481" t="s">
        <v>135</v>
      </c>
      <c r="O2481"/>
      <c r="P2481"/>
      <c r="Q2481" t="s">
        <v>140</v>
      </c>
      <c r="R2481"/>
      <c r="S2481"/>
      <c r="T2481"/>
      <c r="U2481" t="s">
        <v>137</v>
      </c>
      <c r="V2481" t="s">
        <v>733</v>
      </c>
      <c r="W2481" s="9">
        <v>46203.384323611113</v>
      </c>
      <c r="X2481" t="s">
        <v>109</v>
      </c>
      <c r="Y2481"/>
      <c r="Z2481"/>
      <c r="AA2481" t="s">
        <v>4916</v>
      </c>
      <c r="AB2481"/>
      <c r="AC2481" t="s">
        <v>24</v>
      </c>
      <c r="AD2481" t="s">
        <v>129</v>
      </c>
      <c r="AE2481" s="97"/>
    </row>
    <row r="2482" spans="1:31" ht="14.4" customHeight="1" x14ac:dyDescent="0.3">
      <c r="A2482" t="s">
        <v>5033</v>
      </c>
      <c r="B2482"/>
      <c r="C2482" t="s">
        <v>4512</v>
      </c>
      <c r="D2482"/>
      <c r="E2482" t="s">
        <v>4512</v>
      </c>
      <c r="F2482" t="s">
        <v>6769</v>
      </c>
      <c r="G2482" t="s">
        <v>4915</v>
      </c>
      <c r="H2482" t="s">
        <v>132</v>
      </c>
      <c r="I2482" t="s">
        <v>4</v>
      </c>
      <c r="J2482" t="s">
        <v>4276</v>
      </c>
      <c r="K2482" t="s">
        <v>54</v>
      </c>
      <c r="L2482"/>
      <c r="M2482" t="s">
        <v>134</v>
      </c>
      <c r="N2482" t="s">
        <v>135</v>
      </c>
      <c r="O2482"/>
      <c r="P2482"/>
      <c r="Q2482" t="s">
        <v>140</v>
      </c>
      <c r="R2482"/>
      <c r="S2482"/>
      <c r="T2482"/>
      <c r="U2482" t="s">
        <v>137</v>
      </c>
      <c r="V2482" t="s">
        <v>733</v>
      </c>
      <c r="W2482" s="9">
        <v>46203.384638078707</v>
      </c>
      <c r="X2482" t="s">
        <v>109</v>
      </c>
      <c r="Y2482"/>
      <c r="Z2482"/>
      <c r="AA2482" t="s">
        <v>4916</v>
      </c>
      <c r="AB2482"/>
      <c r="AC2482" t="s">
        <v>24</v>
      </c>
      <c r="AD2482" t="s">
        <v>129</v>
      </c>
      <c r="AE2482" s="97"/>
    </row>
    <row r="2483" spans="1:31" ht="14.4" customHeight="1" x14ac:dyDescent="0.3">
      <c r="A2483" t="s">
        <v>5034</v>
      </c>
      <c r="B2483"/>
      <c r="C2483" t="s">
        <v>4514</v>
      </c>
      <c r="D2483"/>
      <c r="E2483" t="s">
        <v>4514</v>
      </c>
      <c r="F2483" t="s">
        <v>6769</v>
      </c>
      <c r="G2483" t="s">
        <v>4915</v>
      </c>
      <c r="H2483" t="s">
        <v>132</v>
      </c>
      <c r="I2483" t="s">
        <v>4</v>
      </c>
      <c r="J2483" t="s">
        <v>4276</v>
      </c>
      <c r="K2483" t="s">
        <v>54</v>
      </c>
      <c r="L2483"/>
      <c r="M2483" t="s">
        <v>134</v>
      </c>
      <c r="N2483" t="s">
        <v>135</v>
      </c>
      <c r="O2483"/>
      <c r="P2483"/>
      <c r="Q2483" t="s">
        <v>140</v>
      </c>
      <c r="R2483"/>
      <c r="S2483"/>
      <c r="T2483"/>
      <c r="U2483" t="s">
        <v>137</v>
      </c>
      <c r="V2483" t="s">
        <v>739</v>
      </c>
      <c r="W2483" s="9">
        <v>46204.261054513889</v>
      </c>
      <c r="X2483" t="s">
        <v>118</v>
      </c>
      <c r="Y2483"/>
      <c r="Z2483"/>
      <c r="AA2483" t="s">
        <v>4916</v>
      </c>
      <c r="AB2483"/>
      <c r="AC2483" t="s">
        <v>24</v>
      </c>
      <c r="AD2483" t="s">
        <v>130</v>
      </c>
      <c r="AE2483" s="97"/>
    </row>
    <row r="2484" spans="1:31" ht="14.4" customHeight="1" x14ac:dyDescent="0.3">
      <c r="A2484" t="s">
        <v>5035</v>
      </c>
      <c r="B2484"/>
      <c r="C2484" t="s">
        <v>4516</v>
      </c>
      <c r="D2484"/>
      <c r="E2484" t="s">
        <v>4516</v>
      </c>
      <c r="F2484" t="s">
        <v>6769</v>
      </c>
      <c r="G2484" t="s">
        <v>4915</v>
      </c>
      <c r="H2484" t="s">
        <v>132</v>
      </c>
      <c r="I2484" t="s">
        <v>4</v>
      </c>
      <c r="J2484" t="s">
        <v>4276</v>
      </c>
      <c r="K2484" t="s">
        <v>54</v>
      </c>
      <c r="L2484"/>
      <c r="M2484" t="s">
        <v>134</v>
      </c>
      <c r="N2484" t="s">
        <v>135</v>
      </c>
      <c r="O2484"/>
      <c r="P2484"/>
      <c r="Q2484" t="s">
        <v>140</v>
      </c>
      <c r="R2484"/>
      <c r="S2484"/>
      <c r="T2484"/>
      <c r="U2484" t="s">
        <v>137</v>
      </c>
      <c r="V2484" t="s">
        <v>739</v>
      </c>
      <c r="W2484" s="9">
        <v>46176.506847372686</v>
      </c>
      <c r="X2484" t="s">
        <v>118</v>
      </c>
      <c r="Y2484"/>
      <c r="Z2484"/>
      <c r="AA2484" t="s">
        <v>4916</v>
      </c>
      <c r="AB2484"/>
      <c r="AC2484" t="s">
        <v>24</v>
      </c>
      <c r="AD2484" t="s">
        <v>130</v>
      </c>
      <c r="AE2484" s="97"/>
    </row>
    <row r="2485" spans="1:31" ht="14.4" customHeight="1" x14ac:dyDescent="0.3">
      <c r="A2485" t="s">
        <v>5036</v>
      </c>
      <c r="B2485"/>
      <c r="C2485" t="s">
        <v>4518</v>
      </c>
      <c r="D2485"/>
      <c r="E2485" t="s">
        <v>4518</v>
      </c>
      <c r="F2485" t="s">
        <v>6769</v>
      </c>
      <c r="G2485" t="s">
        <v>4915</v>
      </c>
      <c r="H2485" t="s">
        <v>132</v>
      </c>
      <c r="I2485" t="s">
        <v>4</v>
      </c>
      <c r="J2485" t="s">
        <v>4276</v>
      </c>
      <c r="K2485" t="s">
        <v>54</v>
      </c>
      <c r="L2485"/>
      <c r="M2485" t="s">
        <v>134</v>
      </c>
      <c r="N2485" t="s">
        <v>135</v>
      </c>
      <c r="O2485"/>
      <c r="P2485"/>
      <c r="Q2485" t="s">
        <v>140</v>
      </c>
      <c r="R2485"/>
      <c r="S2485"/>
      <c r="T2485"/>
      <c r="U2485" t="s">
        <v>137</v>
      </c>
      <c r="V2485" t="s">
        <v>739</v>
      </c>
      <c r="W2485" s="9">
        <v>46203.373676192132</v>
      </c>
      <c r="X2485" t="s">
        <v>118</v>
      </c>
      <c r="Y2485"/>
      <c r="Z2485"/>
      <c r="AA2485" t="s">
        <v>4916</v>
      </c>
      <c r="AB2485"/>
      <c r="AC2485" t="s">
        <v>24</v>
      </c>
      <c r="AD2485" t="s">
        <v>130</v>
      </c>
      <c r="AE2485" s="97"/>
    </row>
    <row r="2486" spans="1:31" ht="14.4" customHeight="1" x14ac:dyDescent="0.3">
      <c r="A2486" t="s">
        <v>5037</v>
      </c>
      <c r="B2486"/>
      <c r="C2486" t="s">
        <v>4520</v>
      </c>
      <c r="D2486"/>
      <c r="E2486" t="s">
        <v>4520</v>
      </c>
      <c r="F2486" t="s">
        <v>6769</v>
      </c>
      <c r="G2486" t="s">
        <v>4915</v>
      </c>
      <c r="H2486" t="s">
        <v>132</v>
      </c>
      <c r="I2486" t="s">
        <v>4</v>
      </c>
      <c r="J2486" t="s">
        <v>4276</v>
      </c>
      <c r="K2486" t="s">
        <v>54</v>
      </c>
      <c r="L2486"/>
      <c r="M2486" t="s">
        <v>134</v>
      </c>
      <c r="N2486" t="s">
        <v>135</v>
      </c>
      <c r="O2486"/>
      <c r="P2486"/>
      <c r="Q2486" t="s">
        <v>140</v>
      </c>
      <c r="R2486"/>
      <c r="S2486"/>
      <c r="T2486"/>
      <c r="U2486" t="s">
        <v>137</v>
      </c>
      <c r="V2486" t="s">
        <v>739</v>
      </c>
      <c r="W2486" s="9">
        <v>46203.374006909726</v>
      </c>
      <c r="X2486" t="s">
        <v>118</v>
      </c>
      <c r="Y2486"/>
      <c r="Z2486"/>
      <c r="AA2486" t="s">
        <v>4916</v>
      </c>
      <c r="AB2486"/>
      <c r="AC2486" t="s">
        <v>24</v>
      </c>
      <c r="AD2486" t="s">
        <v>130</v>
      </c>
      <c r="AE2486" s="97"/>
    </row>
    <row r="2487" spans="1:31" ht="14.4" customHeight="1" x14ac:dyDescent="0.3">
      <c r="A2487" t="s">
        <v>5038</v>
      </c>
      <c r="B2487"/>
      <c r="C2487" t="s">
        <v>4522</v>
      </c>
      <c r="D2487"/>
      <c r="E2487" t="s">
        <v>4522</v>
      </c>
      <c r="F2487" t="s">
        <v>6769</v>
      </c>
      <c r="G2487" t="s">
        <v>4915</v>
      </c>
      <c r="H2487" t="s">
        <v>132</v>
      </c>
      <c r="I2487" t="s">
        <v>4</v>
      </c>
      <c r="J2487" t="s">
        <v>4276</v>
      </c>
      <c r="K2487" t="s">
        <v>54</v>
      </c>
      <c r="L2487"/>
      <c r="M2487" t="s">
        <v>134</v>
      </c>
      <c r="N2487" t="s">
        <v>135</v>
      </c>
      <c r="O2487"/>
      <c r="P2487"/>
      <c r="Q2487" t="s">
        <v>140</v>
      </c>
      <c r="R2487"/>
      <c r="S2487"/>
      <c r="T2487"/>
      <c r="U2487" t="s">
        <v>137</v>
      </c>
      <c r="V2487" t="s">
        <v>739</v>
      </c>
      <c r="W2487" s="9">
        <v>46204.261822256944</v>
      </c>
      <c r="X2487" t="s">
        <v>118</v>
      </c>
      <c r="Y2487"/>
      <c r="Z2487"/>
      <c r="AA2487" t="s">
        <v>4916</v>
      </c>
      <c r="AB2487"/>
      <c r="AC2487" t="s">
        <v>24</v>
      </c>
      <c r="AD2487" t="s">
        <v>130</v>
      </c>
      <c r="AE2487" s="97"/>
    </row>
    <row r="2488" spans="1:31" ht="14.4" customHeight="1" x14ac:dyDescent="0.3">
      <c r="A2488" t="s">
        <v>5039</v>
      </c>
      <c r="B2488"/>
      <c r="C2488" t="s">
        <v>4524</v>
      </c>
      <c r="D2488"/>
      <c r="E2488" t="s">
        <v>4524</v>
      </c>
      <c r="F2488" t="s">
        <v>6769</v>
      </c>
      <c r="G2488" t="s">
        <v>4915</v>
      </c>
      <c r="H2488" t="s">
        <v>132</v>
      </c>
      <c r="I2488" t="s">
        <v>4</v>
      </c>
      <c r="J2488" t="s">
        <v>4276</v>
      </c>
      <c r="K2488" t="s">
        <v>54</v>
      </c>
      <c r="L2488"/>
      <c r="M2488" t="s">
        <v>134</v>
      </c>
      <c r="N2488" t="s">
        <v>135</v>
      </c>
      <c r="O2488"/>
      <c r="P2488"/>
      <c r="Q2488" t="s">
        <v>140</v>
      </c>
      <c r="R2488"/>
      <c r="S2488"/>
      <c r="T2488"/>
      <c r="U2488" t="s">
        <v>137</v>
      </c>
      <c r="V2488" t="s">
        <v>739</v>
      </c>
      <c r="W2488" s="9">
        <v>46204.262226273146</v>
      </c>
      <c r="X2488" t="s">
        <v>118</v>
      </c>
      <c r="Y2488"/>
      <c r="Z2488"/>
      <c r="AA2488" t="s">
        <v>4916</v>
      </c>
      <c r="AB2488"/>
      <c r="AC2488" t="s">
        <v>24</v>
      </c>
      <c r="AD2488" t="s">
        <v>130</v>
      </c>
      <c r="AE2488" s="97"/>
    </row>
    <row r="2489" spans="1:31" ht="14.4" customHeight="1" x14ac:dyDescent="0.3">
      <c r="A2489" t="s">
        <v>5040</v>
      </c>
      <c r="B2489"/>
      <c r="C2489" t="s">
        <v>4526</v>
      </c>
      <c r="D2489"/>
      <c r="E2489" t="s">
        <v>4526</v>
      </c>
      <c r="F2489" t="s">
        <v>6769</v>
      </c>
      <c r="G2489" t="s">
        <v>4915</v>
      </c>
      <c r="H2489" t="s">
        <v>132</v>
      </c>
      <c r="I2489" t="s">
        <v>4</v>
      </c>
      <c r="J2489" t="s">
        <v>4276</v>
      </c>
      <c r="K2489" t="s">
        <v>54</v>
      </c>
      <c r="L2489"/>
      <c r="M2489" t="s">
        <v>134</v>
      </c>
      <c r="N2489" t="s">
        <v>135</v>
      </c>
      <c r="O2489"/>
      <c r="P2489"/>
      <c r="Q2489" t="s">
        <v>140</v>
      </c>
      <c r="R2489"/>
      <c r="S2489"/>
      <c r="T2489"/>
      <c r="U2489" t="s">
        <v>137</v>
      </c>
      <c r="V2489" t="s">
        <v>1967</v>
      </c>
      <c r="W2489" s="9">
        <v>46144.24234571759</v>
      </c>
      <c r="X2489" t="s">
        <v>125</v>
      </c>
      <c r="Y2489"/>
      <c r="Z2489"/>
      <c r="AA2489" t="s">
        <v>4916</v>
      </c>
      <c r="AB2489"/>
      <c r="AC2489" t="s">
        <v>24</v>
      </c>
      <c r="AD2489" t="s">
        <v>131</v>
      </c>
      <c r="AE2489" s="97"/>
    </row>
    <row r="2490" spans="1:31" ht="14.4" customHeight="1" x14ac:dyDescent="0.3">
      <c r="A2490" t="s">
        <v>5041</v>
      </c>
      <c r="B2490"/>
      <c r="C2490" t="s">
        <v>4528</v>
      </c>
      <c r="D2490"/>
      <c r="E2490" t="s">
        <v>4528</v>
      </c>
      <c r="F2490" t="s">
        <v>6769</v>
      </c>
      <c r="G2490" t="s">
        <v>4915</v>
      </c>
      <c r="H2490" t="s">
        <v>132</v>
      </c>
      <c r="I2490" t="s">
        <v>4</v>
      </c>
      <c r="J2490" t="s">
        <v>4276</v>
      </c>
      <c r="K2490" t="s">
        <v>54</v>
      </c>
      <c r="L2490"/>
      <c r="M2490" t="s">
        <v>134</v>
      </c>
      <c r="N2490" t="s">
        <v>135</v>
      </c>
      <c r="O2490"/>
      <c r="P2490"/>
      <c r="Q2490" t="s">
        <v>140</v>
      </c>
      <c r="R2490"/>
      <c r="S2490"/>
      <c r="T2490"/>
      <c r="U2490" t="s">
        <v>137</v>
      </c>
      <c r="V2490" t="s">
        <v>1967</v>
      </c>
      <c r="W2490" s="9">
        <v>46174.232039351853</v>
      </c>
      <c r="X2490" t="s">
        <v>125</v>
      </c>
      <c r="Y2490"/>
      <c r="Z2490"/>
      <c r="AA2490" t="s">
        <v>4916</v>
      </c>
      <c r="AB2490"/>
      <c r="AC2490" t="s">
        <v>24</v>
      </c>
      <c r="AD2490" t="s">
        <v>131</v>
      </c>
      <c r="AE2490" s="97"/>
    </row>
    <row r="2491" spans="1:31" ht="14.4" customHeight="1" x14ac:dyDescent="0.3">
      <c r="A2491" t="s">
        <v>5042</v>
      </c>
      <c r="B2491"/>
      <c r="C2491" t="s">
        <v>4530</v>
      </c>
      <c r="D2491"/>
      <c r="E2491" t="s">
        <v>4530</v>
      </c>
      <c r="F2491" t="s">
        <v>6769</v>
      </c>
      <c r="G2491" t="s">
        <v>4915</v>
      </c>
      <c r="H2491" t="s">
        <v>132</v>
      </c>
      <c r="I2491" t="s">
        <v>4</v>
      </c>
      <c r="J2491" t="s">
        <v>4276</v>
      </c>
      <c r="K2491" t="s">
        <v>54</v>
      </c>
      <c r="L2491"/>
      <c r="M2491" t="s">
        <v>134</v>
      </c>
      <c r="N2491" t="s">
        <v>135</v>
      </c>
      <c r="O2491"/>
      <c r="P2491"/>
      <c r="Q2491" t="s">
        <v>140</v>
      </c>
      <c r="R2491"/>
      <c r="S2491"/>
      <c r="T2491"/>
      <c r="U2491" t="s">
        <v>137</v>
      </c>
      <c r="V2491" t="s">
        <v>1967</v>
      </c>
      <c r="W2491" s="9">
        <v>46125.484076122688</v>
      </c>
      <c r="X2491" t="s">
        <v>125</v>
      </c>
      <c r="Y2491"/>
      <c r="Z2491"/>
      <c r="AA2491" t="s">
        <v>4916</v>
      </c>
      <c r="AB2491"/>
      <c r="AC2491" t="s">
        <v>24</v>
      </c>
      <c r="AD2491" t="s">
        <v>131</v>
      </c>
      <c r="AE2491" s="97"/>
    </row>
    <row r="2492" spans="1:31" ht="14.4" customHeight="1" x14ac:dyDescent="0.3">
      <c r="A2492" t="s">
        <v>5043</v>
      </c>
      <c r="B2492"/>
      <c r="C2492" t="s">
        <v>4532</v>
      </c>
      <c r="D2492"/>
      <c r="E2492" t="s">
        <v>4532</v>
      </c>
      <c r="F2492" t="s">
        <v>6769</v>
      </c>
      <c r="G2492" t="s">
        <v>4915</v>
      </c>
      <c r="H2492" t="s">
        <v>132</v>
      </c>
      <c r="I2492" t="s">
        <v>4</v>
      </c>
      <c r="J2492" t="s">
        <v>4276</v>
      </c>
      <c r="K2492" t="s">
        <v>54</v>
      </c>
      <c r="L2492"/>
      <c r="M2492" t="s">
        <v>134</v>
      </c>
      <c r="N2492" t="s">
        <v>135</v>
      </c>
      <c r="O2492"/>
      <c r="P2492"/>
      <c r="Q2492" t="s">
        <v>140</v>
      </c>
      <c r="R2492"/>
      <c r="S2492"/>
      <c r="T2492"/>
      <c r="U2492" t="s">
        <v>137</v>
      </c>
      <c r="V2492" t="s">
        <v>1259</v>
      </c>
      <c r="W2492" s="9">
        <v>46147.468019988424</v>
      </c>
      <c r="X2492" t="s">
        <v>126</v>
      </c>
      <c r="Y2492"/>
      <c r="Z2492"/>
      <c r="AA2492" t="s">
        <v>4916</v>
      </c>
      <c r="AB2492"/>
      <c r="AC2492" t="s">
        <v>24</v>
      </c>
      <c r="AD2492" t="s">
        <v>131</v>
      </c>
      <c r="AE2492" s="97"/>
    </row>
    <row r="2493" spans="1:31" ht="14.4" customHeight="1" x14ac:dyDescent="0.3">
      <c r="A2493" t="s">
        <v>5044</v>
      </c>
      <c r="B2493"/>
      <c r="C2493" t="s">
        <v>4534</v>
      </c>
      <c r="D2493"/>
      <c r="E2493" t="s">
        <v>4534</v>
      </c>
      <c r="F2493" t="s">
        <v>6769</v>
      </c>
      <c r="G2493" t="s">
        <v>4915</v>
      </c>
      <c r="H2493" t="s">
        <v>132</v>
      </c>
      <c r="I2493" t="s">
        <v>4</v>
      </c>
      <c r="J2493" t="s">
        <v>4276</v>
      </c>
      <c r="K2493" t="s">
        <v>54</v>
      </c>
      <c r="L2493"/>
      <c r="M2493" t="s">
        <v>134</v>
      </c>
      <c r="N2493" t="s">
        <v>135</v>
      </c>
      <c r="O2493"/>
      <c r="P2493"/>
      <c r="Q2493" t="s">
        <v>140</v>
      </c>
      <c r="R2493"/>
      <c r="S2493"/>
      <c r="T2493"/>
      <c r="U2493" t="s">
        <v>137</v>
      </c>
      <c r="V2493" t="s">
        <v>1259</v>
      </c>
      <c r="W2493"/>
      <c r="X2493" t="s">
        <v>126</v>
      </c>
      <c r="Y2493"/>
      <c r="Z2493"/>
      <c r="AA2493" t="s">
        <v>4916</v>
      </c>
      <c r="AB2493"/>
      <c r="AC2493" t="s">
        <v>7068</v>
      </c>
      <c r="AD2493" t="s">
        <v>131</v>
      </c>
      <c r="AE2493" s="97"/>
    </row>
    <row r="2494" spans="1:31" ht="14.4" customHeight="1" x14ac:dyDescent="0.3">
      <c r="A2494" t="s">
        <v>5045</v>
      </c>
      <c r="B2494"/>
      <c r="C2494" t="s">
        <v>4536</v>
      </c>
      <c r="D2494"/>
      <c r="E2494" t="s">
        <v>4536</v>
      </c>
      <c r="F2494" t="s">
        <v>6769</v>
      </c>
      <c r="G2494" t="s">
        <v>4915</v>
      </c>
      <c r="H2494" t="s">
        <v>132</v>
      </c>
      <c r="I2494" t="s">
        <v>4</v>
      </c>
      <c r="J2494" t="s">
        <v>4276</v>
      </c>
      <c r="K2494" t="s">
        <v>54</v>
      </c>
      <c r="L2494"/>
      <c r="M2494" t="s">
        <v>134</v>
      </c>
      <c r="N2494" t="s">
        <v>135</v>
      </c>
      <c r="O2494"/>
      <c r="P2494"/>
      <c r="Q2494" t="s">
        <v>140</v>
      </c>
      <c r="R2494"/>
      <c r="S2494"/>
      <c r="T2494"/>
      <c r="U2494" t="s">
        <v>137</v>
      </c>
      <c r="V2494" t="s">
        <v>1263</v>
      </c>
      <c r="W2494" s="9">
        <v>46174.242832638891</v>
      </c>
      <c r="X2494" t="s">
        <v>69</v>
      </c>
      <c r="Y2494"/>
      <c r="Z2494"/>
      <c r="AA2494" t="s">
        <v>4916</v>
      </c>
      <c r="AB2494"/>
      <c r="AC2494" t="s">
        <v>24</v>
      </c>
      <c r="AD2494" t="s">
        <v>128</v>
      </c>
      <c r="AE2494" s="97"/>
    </row>
    <row r="2495" spans="1:31" ht="14.4" customHeight="1" x14ac:dyDescent="0.3">
      <c r="A2495" t="s">
        <v>5046</v>
      </c>
      <c r="B2495"/>
      <c r="C2495" t="s">
        <v>4538</v>
      </c>
      <c r="D2495"/>
      <c r="E2495" t="s">
        <v>4538</v>
      </c>
      <c r="F2495" t="s">
        <v>6769</v>
      </c>
      <c r="G2495" t="s">
        <v>4915</v>
      </c>
      <c r="H2495" t="s">
        <v>132</v>
      </c>
      <c r="I2495" t="s">
        <v>4</v>
      </c>
      <c r="J2495" t="s">
        <v>4276</v>
      </c>
      <c r="K2495" t="s">
        <v>54</v>
      </c>
      <c r="L2495"/>
      <c r="M2495" t="s">
        <v>134</v>
      </c>
      <c r="N2495" t="s">
        <v>135</v>
      </c>
      <c r="O2495"/>
      <c r="P2495"/>
      <c r="Q2495" t="s">
        <v>140</v>
      </c>
      <c r="R2495"/>
      <c r="S2495"/>
      <c r="T2495"/>
      <c r="U2495" t="s">
        <v>137</v>
      </c>
      <c r="V2495" t="s">
        <v>1263</v>
      </c>
      <c r="W2495" s="9">
        <v>46142.409113923612</v>
      </c>
      <c r="X2495" t="s">
        <v>69</v>
      </c>
      <c r="Y2495"/>
      <c r="Z2495"/>
      <c r="AA2495" t="s">
        <v>4916</v>
      </c>
      <c r="AB2495"/>
      <c r="AC2495" t="s">
        <v>24</v>
      </c>
      <c r="AD2495" t="s">
        <v>128</v>
      </c>
      <c r="AE2495" s="97"/>
    </row>
    <row r="2496" spans="1:31" ht="14.4" customHeight="1" x14ac:dyDescent="0.3">
      <c r="A2496" t="s">
        <v>5047</v>
      </c>
      <c r="B2496"/>
      <c r="C2496" t="s">
        <v>4540</v>
      </c>
      <c r="D2496"/>
      <c r="E2496" t="s">
        <v>4540</v>
      </c>
      <c r="F2496" t="s">
        <v>6769</v>
      </c>
      <c r="G2496" t="s">
        <v>4915</v>
      </c>
      <c r="H2496" t="s">
        <v>132</v>
      </c>
      <c r="I2496" t="s">
        <v>4</v>
      </c>
      <c r="J2496" t="s">
        <v>4276</v>
      </c>
      <c r="K2496" t="s">
        <v>54</v>
      </c>
      <c r="L2496"/>
      <c r="M2496" t="s">
        <v>134</v>
      </c>
      <c r="N2496" t="s">
        <v>135</v>
      </c>
      <c r="O2496"/>
      <c r="P2496"/>
      <c r="Q2496" t="s">
        <v>140</v>
      </c>
      <c r="R2496"/>
      <c r="S2496"/>
      <c r="T2496"/>
      <c r="U2496" t="s">
        <v>137</v>
      </c>
      <c r="V2496" t="s">
        <v>1263</v>
      </c>
      <c r="W2496" s="9">
        <v>46151.438469479166</v>
      </c>
      <c r="X2496" t="s">
        <v>69</v>
      </c>
      <c r="Y2496"/>
      <c r="Z2496"/>
      <c r="AA2496" t="s">
        <v>4916</v>
      </c>
      <c r="AB2496"/>
      <c r="AC2496" t="s">
        <v>24</v>
      </c>
      <c r="AD2496" t="s">
        <v>128</v>
      </c>
      <c r="AE2496" s="97"/>
    </row>
    <row r="2497" spans="1:31" ht="14.4" customHeight="1" x14ac:dyDescent="0.3">
      <c r="A2497" t="s">
        <v>5048</v>
      </c>
      <c r="B2497"/>
      <c r="C2497" t="s">
        <v>4542</v>
      </c>
      <c r="D2497"/>
      <c r="E2497" t="s">
        <v>4542</v>
      </c>
      <c r="F2497" t="s">
        <v>6769</v>
      </c>
      <c r="G2497" t="s">
        <v>4915</v>
      </c>
      <c r="H2497" t="s">
        <v>132</v>
      </c>
      <c r="I2497" t="s">
        <v>4</v>
      </c>
      <c r="J2497" t="s">
        <v>4276</v>
      </c>
      <c r="K2497" t="s">
        <v>54</v>
      </c>
      <c r="L2497"/>
      <c r="M2497" t="s">
        <v>134</v>
      </c>
      <c r="N2497" t="s">
        <v>135</v>
      </c>
      <c r="O2497"/>
      <c r="P2497"/>
      <c r="Q2497" t="s">
        <v>140</v>
      </c>
      <c r="R2497"/>
      <c r="S2497"/>
      <c r="T2497"/>
      <c r="U2497" t="s">
        <v>137</v>
      </c>
      <c r="V2497" t="s">
        <v>1263</v>
      </c>
      <c r="W2497" s="9">
        <v>46151.441331331022</v>
      </c>
      <c r="X2497" t="s">
        <v>69</v>
      </c>
      <c r="Y2497"/>
      <c r="Z2497"/>
      <c r="AA2497" t="s">
        <v>4916</v>
      </c>
      <c r="AB2497"/>
      <c r="AC2497" t="s">
        <v>24</v>
      </c>
      <c r="AD2497" t="s">
        <v>128</v>
      </c>
      <c r="AE2497" s="97"/>
    </row>
    <row r="2498" spans="1:31" ht="14.4" customHeight="1" x14ac:dyDescent="0.3">
      <c r="A2498" t="s">
        <v>5049</v>
      </c>
      <c r="B2498"/>
      <c r="C2498" t="s">
        <v>4544</v>
      </c>
      <c r="D2498"/>
      <c r="E2498" t="s">
        <v>4544</v>
      </c>
      <c r="F2498" t="s">
        <v>6769</v>
      </c>
      <c r="G2498" t="s">
        <v>4915</v>
      </c>
      <c r="H2498" t="s">
        <v>132</v>
      </c>
      <c r="I2498" t="s">
        <v>4</v>
      </c>
      <c r="J2498" t="s">
        <v>4276</v>
      </c>
      <c r="K2498" t="s">
        <v>54</v>
      </c>
      <c r="L2498"/>
      <c r="M2498" t="s">
        <v>134</v>
      </c>
      <c r="N2498" t="s">
        <v>135</v>
      </c>
      <c r="O2498"/>
      <c r="P2498"/>
      <c r="Q2498" t="s">
        <v>140</v>
      </c>
      <c r="R2498"/>
      <c r="S2498"/>
      <c r="T2498"/>
      <c r="U2498" t="s">
        <v>137</v>
      </c>
      <c r="V2498" t="s">
        <v>1263</v>
      </c>
      <c r="W2498" s="9">
        <v>46151.440326504628</v>
      </c>
      <c r="X2498" t="s">
        <v>69</v>
      </c>
      <c r="Y2498"/>
      <c r="Z2498"/>
      <c r="AA2498" t="s">
        <v>4916</v>
      </c>
      <c r="AB2498"/>
      <c r="AC2498" t="s">
        <v>24</v>
      </c>
      <c r="AD2498" t="s">
        <v>128</v>
      </c>
      <c r="AE2498" s="97"/>
    </row>
    <row r="2499" spans="1:31" ht="14.4" customHeight="1" x14ac:dyDescent="0.3">
      <c r="A2499" t="s">
        <v>5050</v>
      </c>
      <c r="B2499"/>
      <c r="C2499" t="s">
        <v>4546</v>
      </c>
      <c r="D2499"/>
      <c r="E2499" t="s">
        <v>4546</v>
      </c>
      <c r="F2499" t="s">
        <v>6769</v>
      </c>
      <c r="G2499" t="s">
        <v>4915</v>
      </c>
      <c r="H2499" t="s">
        <v>132</v>
      </c>
      <c r="I2499" t="s">
        <v>4</v>
      </c>
      <c r="J2499" t="s">
        <v>4276</v>
      </c>
      <c r="K2499" t="s">
        <v>54</v>
      </c>
      <c r="L2499"/>
      <c r="M2499" t="s">
        <v>134</v>
      </c>
      <c r="N2499" t="s">
        <v>135</v>
      </c>
      <c r="O2499"/>
      <c r="P2499"/>
      <c r="Q2499" t="s">
        <v>140</v>
      </c>
      <c r="R2499"/>
      <c r="S2499"/>
      <c r="T2499"/>
      <c r="U2499" t="s">
        <v>137</v>
      </c>
      <c r="V2499" t="s">
        <v>1190</v>
      </c>
      <c r="W2499" s="9">
        <v>46151.442478900462</v>
      </c>
      <c r="X2499" t="s">
        <v>67</v>
      </c>
      <c r="Y2499"/>
      <c r="Z2499"/>
      <c r="AA2499" t="s">
        <v>4916</v>
      </c>
      <c r="AB2499"/>
      <c r="AC2499" t="s">
        <v>24</v>
      </c>
      <c r="AD2499" t="s">
        <v>128</v>
      </c>
      <c r="AE2499" s="97"/>
    </row>
    <row r="2500" spans="1:31" ht="14.4" customHeight="1" x14ac:dyDescent="0.3">
      <c r="A2500" t="s">
        <v>5051</v>
      </c>
      <c r="B2500"/>
      <c r="C2500" t="s">
        <v>4548</v>
      </c>
      <c r="D2500"/>
      <c r="E2500" t="s">
        <v>4548</v>
      </c>
      <c r="F2500" t="s">
        <v>6769</v>
      </c>
      <c r="G2500" t="s">
        <v>4915</v>
      </c>
      <c r="H2500" t="s">
        <v>132</v>
      </c>
      <c r="I2500" t="s">
        <v>4</v>
      </c>
      <c r="J2500" t="s">
        <v>4276</v>
      </c>
      <c r="K2500" t="s">
        <v>54</v>
      </c>
      <c r="L2500"/>
      <c r="M2500" t="s">
        <v>134</v>
      </c>
      <c r="N2500" t="s">
        <v>135</v>
      </c>
      <c r="O2500"/>
      <c r="P2500"/>
      <c r="Q2500" t="s">
        <v>140</v>
      </c>
      <c r="R2500"/>
      <c r="S2500"/>
      <c r="T2500"/>
      <c r="U2500" t="s">
        <v>137</v>
      </c>
      <c r="V2500" t="s">
        <v>1194</v>
      </c>
      <c r="W2500" s="9">
        <v>46151.443203587965</v>
      </c>
      <c r="X2500" t="s">
        <v>75</v>
      </c>
      <c r="Y2500"/>
      <c r="Z2500"/>
      <c r="AA2500" t="s">
        <v>4916</v>
      </c>
      <c r="AB2500"/>
      <c r="AC2500" t="s">
        <v>24</v>
      </c>
      <c r="AD2500" t="s">
        <v>128</v>
      </c>
      <c r="AE2500" s="97"/>
    </row>
    <row r="2501" spans="1:31" ht="14.4" customHeight="1" x14ac:dyDescent="0.3">
      <c r="A2501" t="s">
        <v>5052</v>
      </c>
      <c r="B2501"/>
      <c r="C2501" t="s">
        <v>4550</v>
      </c>
      <c r="D2501"/>
      <c r="E2501" t="s">
        <v>4550</v>
      </c>
      <c r="F2501" t="s">
        <v>6769</v>
      </c>
      <c r="G2501" t="s">
        <v>4915</v>
      </c>
      <c r="H2501" t="s">
        <v>132</v>
      </c>
      <c r="I2501" t="s">
        <v>4</v>
      </c>
      <c r="J2501" t="s">
        <v>4276</v>
      </c>
      <c r="K2501" t="s">
        <v>54</v>
      </c>
      <c r="L2501"/>
      <c r="M2501" t="s">
        <v>134</v>
      </c>
      <c r="N2501" t="s">
        <v>135</v>
      </c>
      <c r="O2501"/>
      <c r="P2501"/>
      <c r="Q2501" t="s">
        <v>140</v>
      </c>
      <c r="R2501"/>
      <c r="S2501"/>
      <c r="T2501"/>
      <c r="U2501" t="s">
        <v>137</v>
      </c>
      <c r="V2501" t="s">
        <v>1198</v>
      </c>
      <c r="W2501" s="9">
        <v>46151.443502083333</v>
      </c>
      <c r="X2501" t="s">
        <v>86</v>
      </c>
      <c r="Y2501"/>
      <c r="Z2501"/>
      <c r="AA2501" t="s">
        <v>4916</v>
      </c>
      <c r="AB2501"/>
      <c r="AC2501" t="s">
        <v>24</v>
      </c>
      <c r="AD2501" t="s">
        <v>129</v>
      </c>
      <c r="AE2501" s="97"/>
    </row>
    <row r="2502" spans="1:31" ht="14.4" customHeight="1" x14ac:dyDescent="0.3">
      <c r="A2502" t="s">
        <v>5053</v>
      </c>
      <c r="B2502"/>
      <c r="C2502" t="s">
        <v>4552</v>
      </c>
      <c r="D2502"/>
      <c r="E2502" t="s">
        <v>4552</v>
      </c>
      <c r="F2502" t="s">
        <v>6769</v>
      </c>
      <c r="G2502" t="s">
        <v>4915</v>
      </c>
      <c r="H2502" t="s">
        <v>132</v>
      </c>
      <c r="I2502" t="s">
        <v>4</v>
      </c>
      <c r="J2502" t="s">
        <v>4276</v>
      </c>
      <c r="K2502" t="s">
        <v>54</v>
      </c>
      <c r="L2502"/>
      <c r="M2502" t="s">
        <v>134</v>
      </c>
      <c r="N2502" t="s">
        <v>135</v>
      </c>
      <c r="O2502"/>
      <c r="P2502"/>
      <c r="Q2502" t="s">
        <v>140</v>
      </c>
      <c r="R2502"/>
      <c r="S2502"/>
      <c r="T2502"/>
      <c r="U2502" t="s">
        <v>137</v>
      </c>
      <c r="V2502" t="s">
        <v>1202</v>
      </c>
      <c r="W2502" s="9">
        <v>46151.443851076387</v>
      </c>
      <c r="X2502" t="s">
        <v>95</v>
      </c>
      <c r="Y2502"/>
      <c r="Z2502"/>
      <c r="AA2502" t="s">
        <v>4916</v>
      </c>
      <c r="AB2502"/>
      <c r="AC2502" t="s">
        <v>24</v>
      </c>
      <c r="AD2502" t="s">
        <v>129</v>
      </c>
      <c r="AE2502" s="97"/>
    </row>
    <row r="2503" spans="1:31" ht="14.4" customHeight="1" x14ac:dyDescent="0.3">
      <c r="A2503" t="s">
        <v>5054</v>
      </c>
      <c r="B2503"/>
      <c r="C2503" t="s">
        <v>4554</v>
      </c>
      <c r="D2503"/>
      <c r="E2503" t="s">
        <v>4554</v>
      </c>
      <c r="F2503" t="s">
        <v>6769</v>
      </c>
      <c r="G2503" t="s">
        <v>4915</v>
      </c>
      <c r="H2503" t="s">
        <v>132</v>
      </c>
      <c r="I2503" t="s">
        <v>4</v>
      </c>
      <c r="J2503" t="s">
        <v>4276</v>
      </c>
      <c r="K2503" t="s">
        <v>54</v>
      </c>
      <c r="L2503"/>
      <c r="M2503" t="s">
        <v>134</v>
      </c>
      <c r="N2503" t="s">
        <v>135</v>
      </c>
      <c r="O2503"/>
      <c r="P2503"/>
      <c r="Q2503" t="s">
        <v>140</v>
      </c>
      <c r="R2503"/>
      <c r="S2503"/>
      <c r="T2503"/>
      <c r="U2503" t="s">
        <v>137</v>
      </c>
      <c r="V2503" t="s">
        <v>1206</v>
      </c>
      <c r="W2503" s="9">
        <v>46151.444137465274</v>
      </c>
      <c r="X2503" t="s">
        <v>104</v>
      </c>
      <c r="Y2503"/>
      <c r="Z2503"/>
      <c r="AA2503" t="s">
        <v>4916</v>
      </c>
      <c r="AB2503"/>
      <c r="AC2503" t="s">
        <v>24</v>
      </c>
      <c r="AD2503" t="s">
        <v>129</v>
      </c>
      <c r="AE2503" s="97"/>
    </row>
    <row r="2504" spans="1:31" ht="14.4" customHeight="1" x14ac:dyDescent="0.3">
      <c r="A2504" t="s">
        <v>5055</v>
      </c>
      <c r="B2504"/>
      <c r="C2504" t="s">
        <v>4556</v>
      </c>
      <c r="D2504"/>
      <c r="E2504" t="s">
        <v>4556</v>
      </c>
      <c r="F2504" t="s">
        <v>6769</v>
      </c>
      <c r="G2504" t="s">
        <v>4915</v>
      </c>
      <c r="H2504" t="s">
        <v>132</v>
      </c>
      <c r="I2504" t="s">
        <v>4</v>
      </c>
      <c r="J2504" t="s">
        <v>4276</v>
      </c>
      <c r="K2504" t="s">
        <v>54</v>
      </c>
      <c r="L2504"/>
      <c r="M2504" t="s">
        <v>134</v>
      </c>
      <c r="N2504" t="s">
        <v>135</v>
      </c>
      <c r="O2504"/>
      <c r="P2504"/>
      <c r="Q2504" t="s">
        <v>140</v>
      </c>
      <c r="R2504"/>
      <c r="S2504"/>
      <c r="T2504"/>
      <c r="U2504" t="s">
        <v>137</v>
      </c>
      <c r="V2504" t="s">
        <v>1210</v>
      </c>
      <c r="W2504" s="9">
        <v>46151.44440385417</v>
      </c>
      <c r="X2504" t="s">
        <v>111</v>
      </c>
      <c r="Y2504"/>
      <c r="Z2504"/>
      <c r="AA2504" t="s">
        <v>4916</v>
      </c>
      <c r="AB2504"/>
      <c r="AC2504" t="s">
        <v>24</v>
      </c>
      <c r="AD2504" t="s">
        <v>129</v>
      </c>
      <c r="AE2504" s="97"/>
    </row>
    <row r="2505" spans="1:31" ht="14.4" customHeight="1" x14ac:dyDescent="0.3">
      <c r="A2505" t="s">
        <v>5056</v>
      </c>
      <c r="B2505"/>
      <c r="C2505" t="s">
        <v>4558</v>
      </c>
      <c r="D2505"/>
      <c r="E2505" t="s">
        <v>4558</v>
      </c>
      <c r="F2505" t="s">
        <v>6769</v>
      </c>
      <c r="G2505" t="s">
        <v>4915</v>
      </c>
      <c r="H2505" t="s">
        <v>132</v>
      </c>
      <c r="I2505" t="s">
        <v>4</v>
      </c>
      <c r="J2505" t="s">
        <v>4276</v>
      </c>
      <c r="K2505" t="s">
        <v>54</v>
      </c>
      <c r="L2505"/>
      <c r="M2505" t="s">
        <v>134</v>
      </c>
      <c r="N2505" t="s">
        <v>135</v>
      </c>
      <c r="O2505"/>
      <c r="P2505"/>
      <c r="Q2505" t="s">
        <v>140</v>
      </c>
      <c r="R2505"/>
      <c r="S2505"/>
      <c r="T2505"/>
      <c r="U2505" t="s">
        <v>137</v>
      </c>
      <c r="V2505" t="s">
        <v>1214</v>
      </c>
      <c r="W2505" s="9">
        <v>46151.442846956015</v>
      </c>
      <c r="X2505" t="s">
        <v>120</v>
      </c>
      <c r="Y2505"/>
      <c r="Z2505"/>
      <c r="AA2505" t="s">
        <v>4916</v>
      </c>
      <c r="AB2505"/>
      <c r="AC2505" t="s">
        <v>24</v>
      </c>
      <c r="AD2505" t="s">
        <v>130</v>
      </c>
      <c r="AE2505" s="97"/>
    </row>
    <row r="2506" spans="1:31" ht="14.4" customHeight="1" x14ac:dyDescent="0.3">
      <c r="A2506" t="s">
        <v>5060</v>
      </c>
      <c r="B2506"/>
      <c r="C2506" t="s">
        <v>4280</v>
      </c>
      <c r="D2506"/>
      <c r="E2506" t="s">
        <v>4280</v>
      </c>
      <c r="F2506" t="s">
        <v>6769</v>
      </c>
      <c r="G2506" t="s">
        <v>5057</v>
      </c>
      <c r="H2506" t="s">
        <v>132</v>
      </c>
      <c r="I2506" t="s">
        <v>4</v>
      </c>
      <c r="J2506" t="s">
        <v>4276</v>
      </c>
      <c r="K2506" t="s">
        <v>54</v>
      </c>
      <c r="L2506"/>
      <c r="M2506" t="s">
        <v>134</v>
      </c>
      <c r="N2506" t="s">
        <v>135</v>
      </c>
      <c r="O2506"/>
      <c r="P2506"/>
      <c r="Q2506" t="s">
        <v>5058</v>
      </c>
      <c r="R2506"/>
      <c r="S2506"/>
      <c r="T2506"/>
      <c r="U2506" t="s">
        <v>137</v>
      </c>
      <c r="V2506" t="s">
        <v>147</v>
      </c>
      <c r="W2506" s="9">
        <v>46174.319939780093</v>
      </c>
      <c r="X2506" t="s">
        <v>70</v>
      </c>
      <c r="Y2506"/>
      <c r="Z2506"/>
      <c r="AA2506" t="s">
        <v>5059</v>
      </c>
      <c r="AB2506"/>
      <c r="AC2506" t="s">
        <v>24</v>
      </c>
      <c r="AD2506" t="s">
        <v>128</v>
      </c>
      <c r="AE2506" s="97"/>
    </row>
    <row r="2507" spans="1:31" ht="14.4" customHeight="1" x14ac:dyDescent="0.3">
      <c r="A2507" t="s">
        <v>5061</v>
      </c>
      <c r="B2507"/>
      <c r="C2507" t="s">
        <v>4282</v>
      </c>
      <c r="D2507"/>
      <c r="E2507" t="s">
        <v>4282</v>
      </c>
      <c r="F2507" t="s">
        <v>6769</v>
      </c>
      <c r="G2507" t="s">
        <v>5057</v>
      </c>
      <c r="H2507" t="s">
        <v>132</v>
      </c>
      <c r="I2507" t="s">
        <v>4</v>
      </c>
      <c r="J2507" t="s">
        <v>4276</v>
      </c>
      <c r="K2507" t="s">
        <v>54</v>
      </c>
      <c r="L2507"/>
      <c r="M2507" t="s">
        <v>134</v>
      </c>
      <c r="N2507" t="s">
        <v>135</v>
      </c>
      <c r="O2507"/>
      <c r="P2507"/>
      <c r="Q2507" t="s">
        <v>5058</v>
      </c>
      <c r="R2507"/>
      <c r="S2507"/>
      <c r="T2507"/>
      <c r="U2507" t="s">
        <v>137</v>
      </c>
      <c r="V2507" t="s">
        <v>147</v>
      </c>
      <c r="W2507" s="9">
        <v>46179.475517013889</v>
      </c>
      <c r="X2507" t="s">
        <v>70</v>
      </c>
      <c r="Y2507"/>
      <c r="Z2507"/>
      <c r="AA2507" t="s">
        <v>5059</v>
      </c>
      <c r="AB2507"/>
      <c r="AC2507" t="s">
        <v>24</v>
      </c>
      <c r="AD2507" t="s">
        <v>128</v>
      </c>
      <c r="AE2507" s="97"/>
    </row>
    <row r="2508" spans="1:31" ht="14.4" customHeight="1" x14ac:dyDescent="0.3">
      <c r="A2508" t="s">
        <v>5062</v>
      </c>
      <c r="B2508"/>
      <c r="C2508" t="s">
        <v>4284</v>
      </c>
      <c r="D2508"/>
      <c r="E2508" t="s">
        <v>4284</v>
      </c>
      <c r="F2508" t="s">
        <v>6769</v>
      </c>
      <c r="G2508" t="s">
        <v>5057</v>
      </c>
      <c r="H2508" t="s">
        <v>132</v>
      </c>
      <c r="I2508" t="s">
        <v>4</v>
      </c>
      <c r="J2508" t="s">
        <v>4276</v>
      </c>
      <c r="K2508" t="s">
        <v>54</v>
      </c>
      <c r="L2508"/>
      <c r="M2508" t="s">
        <v>134</v>
      </c>
      <c r="N2508" t="s">
        <v>135</v>
      </c>
      <c r="O2508"/>
      <c r="P2508"/>
      <c r="Q2508" t="s">
        <v>5058</v>
      </c>
      <c r="R2508"/>
      <c r="S2508"/>
      <c r="T2508"/>
      <c r="U2508" t="s">
        <v>137</v>
      </c>
      <c r="V2508" t="s">
        <v>147</v>
      </c>
      <c r="W2508" s="9">
        <v>46179.486078125003</v>
      </c>
      <c r="X2508" t="s">
        <v>70</v>
      </c>
      <c r="Y2508"/>
      <c r="Z2508"/>
      <c r="AA2508" t="s">
        <v>5059</v>
      </c>
      <c r="AB2508"/>
      <c r="AC2508" t="s">
        <v>24</v>
      </c>
      <c r="AD2508" t="s">
        <v>128</v>
      </c>
      <c r="AE2508" s="97"/>
    </row>
    <row r="2509" spans="1:31" ht="14.4" customHeight="1" x14ac:dyDescent="0.3">
      <c r="A2509" t="s">
        <v>5063</v>
      </c>
      <c r="B2509"/>
      <c r="C2509" t="s">
        <v>4286</v>
      </c>
      <c r="D2509"/>
      <c r="E2509" t="s">
        <v>4286</v>
      </c>
      <c r="F2509" t="s">
        <v>6769</v>
      </c>
      <c r="G2509" t="s">
        <v>5057</v>
      </c>
      <c r="H2509" t="s">
        <v>132</v>
      </c>
      <c r="I2509" t="s">
        <v>4</v>
      </c>
      <c r="J2509" t="s">
        <v>4276</v>
      </c>
      <c r="K2509" t="s">
        <v>54</v>
      </c>
      <c r="L2509"/>
      <c r="M2509" t="s">
        <v>134</v>
      </c>
      <c r="N2509" t="s">
        <v>135</v>
      </c>
      <c r="O2509"/>
      <c r="P2509"/>
      <c r="Q2509" t="s">
        <v>5058</v>
      </c>
      <c r="R2509"/>
      <c r="S2509"/>
      <c r="T2509"/>
      <c r="U2509" t="s">
        <v>137</v>
      </c>
      <c r="V2509" t="s">
        <v>150</v>
      </c>
      <c r="W2509" s="9">
        <v>46179.483331747688</v>
      </c>
      <c r="X2509" t="s">
        <v>76</v>
      </c>
      <c r="Y2509"/>
      <c r="Z2509"/>
      <c r="AA2509" t="s">
        <v>5059</v>
      </c>
      <c r="AB2509"/>
      <c r="AC2509" t="s">
        <v>24</v>
      </c>
      <c r="AD2509" t="s">
        <v>128</v>
      </c>
      <c r="AE2509" s="97"/>
    </row>
    <row r="2510" spans="1:31" ht="14.4" customHeight="1" x14ac:dyDescent="0.3">
      <c r="A2510" t="s">
        <v>5064</v>
      </c>
      <c r="B2510"/>
      <c r="C2510" t="s">
        <v>4288</v>
      </c>
      <c r="D2510"/>
      <c r="E2510" t="s">
        <v>4288</v>
      </c>
      <c r="F2510" t="s">
        <v>6769</v>
      </c>
      <c r="G2510" t="s">
        <v>5057</v>
      </c>
      <c r="H2510" t="s">
        <v>132</v>
      </c>
      <c r="I2510" t="s">
        <v>4</v>
      </c>
      <c r="J2510" t="s">
        <v>4276</v>
      </c>
      <c r="K2510" t="s">
        <v>54</v>
      </c>
      <c r="L2510"/>
      <c r="M2510" t="s">
        <v>134</v>
      </c>
      <c r="N2510" t="s">
        <v>135</v>
      </c>
      <c r="O2510"/>
      <c r="P2510"/>
      <c r="Q2510" t="s">
        <v>5058</v>
      </c>
      <c r="R2510"/>
      <c r="S2510"/>
      <c r="T2510"/>
      <c r="U2510" t="s">
        <v>137</v>
      </c>
      <c r="V2510" t="s">
        <v>150</v>
      </c>
      <c r="W2510" s="9">
        <v>46192.483309490737</v>
      </c>
      <c r="X2510" t="s">
        <v>76</v>
      </c>
      <c r="Y2510"/>
      <c r="Z2510"/>
      <c r="AA2510" t="s">
        <v>5059</v>
      </c>
      <c r="AB2510"/>
      <c r="AC2510" t="s">
        <v>24</v>
      </c>
      <c r="AD2510" t="s">
        <v>128</v>
      </c>
      <c r="AE2510" s="97"/>
    </row>
    <row r="2511" spans="1:31" ht="14.4" customHeight="1" x14ac:dyDescent="0.3">
      <c r="A2511" t="s">
        <v>5065</v>
      </c>
      <c r="B2511"/>
      <c r="C2511" t="s">
        <v>4290</v>
      </c>
      <c r="D2511"/>
      <c r="E2511" t="s">
        <v>4290</v>
      </c>
      <c r="F2511" t="s">
        <v>6769</v>
      </c>
      <c r="G2511" t="s">
        <v>5057</v>
      </c>
      <c r="H2511" t="s">
        <v>132</v>
      </c>
      <c r="I2511" t="s">
        <v>4</v>
      </c>
      <c r="J2511" t="s">
        <v>4276</v>
      </c>
      <c r="K2511" t="s">
        <v>54</v>
      </c>
      <c r="L2511"/>
      <c r="M2511" t="s">
        <v>134</v>
      </c>
      <c r="N2511" t="s">
        <v>135</v>
      </c>
      <c r="O2511"/>
      <c r="P2511"/>
      <c r="Q2511" t="s">
        <v>5058</v>
      </c>
      <c r="R2511"/>
      <c r="S2511"/>
      <c r="T2511"/>
      <c r="U2511" t="s">
        <v>137</v>
      </c>
      <c r="V2511" t="s">
        <v>150</v>
      </c>
      <c r="W2511" s="9">
        <v>46192.604119525466</v>
      </c>
      <c r="X2511" t="s">
        <v>76</v>
      </c>
      <c r="Y2511"/>
      <c r="Z2511"/>
      <c r="AA2511" t="s">
        <v>5059</v>
      </c>
      <c r="AB2511"/>
      <c r="AC2511" t="s">
        <v>24</v>
      </c>
      <c r="AD2511" t="s">
        <v>128</v>
      </c>
      <c r="AE2511" s="97"/>
    </row>
    <row r="2512" spans="1:31" ht="14.4" customHeight="1" x14ac:dyDescent="0.3">
      <c r="A2512" t="s">
        <v>5066</v>
      </c>
      <c r="B2512"/>
      <c r="C2512" t="s">
        <v>4292</v>
      </c>
      <c r="D2512"/>
      <c r="E2512" t="s">
        <v>4292</v>
      </c>
      <c r="F2512" t="s">
        <v>6769</v>
      </c>
      <c r="G2512" t="s">
        <v>5057</v>
      </c>
      <c r="H2512" t="s">
        <v>132</v>
      </c>
      <c r="I2512" t="s">
        <v>4</v>
      </c>
      <c r="J2512" t="s">
        <v>4276</v>
      </c>
      <c r="K2512" t="s">
        <v>54</v>
      </c>
      <c r="L2512"/>
      <c r="M2512" t="s">
        <v>134</v>
      </c>
      <c r="N2512" t="s">
        <v>135</v>
      </c>
      <c r="O2512"/>
      <c r="P2512"/>
      <c r="Q2512" t="s">
        <v>5058</v>
      </c>
      <c r="R2512"/>
      <c r="S2512"/>
      <c r="T2512"/>
      <c r="U2512" t="s">
        <v>137</v>
      </c>
      <c r="V2512" t="s">
        <v>153</v>
      </c>
      <c r="W2512" s="9">
        <v>46192.481549733799</v>
      </c>
      <c r="X2512" t="s">
        <v>88</v>
      </c>
      <c r="Y2512"/>
      <c r="Z2512"/>
      <c r="AA2512" t="s">
        <v>5059</v>
      </c>
      <c r="AB2512"/>
      <c r="AC2512" t="s">
        <v>24</v>
      </c>
      <c r="AD2512" t="s">
        <v>129</v>
      </c>
      <c r="AE2512" s="97"/>
    </row>
    <row r="2513" spans="1:31" ht="14.4" customHeight="1" x14ac:dyDescent="0.3">
      <c r="A2513" t="s">
        <v>5067</v>
      </c>
      <c r="B2513"/>
      <c r="C2513" t="s">
        <v>4294</v>
      </c>
      <c r="D2513"/>
      <c r="E2513" t="s">
        <v>4294</v>
      </c>
      <c r="F2513" t="s">
        <v>6769</v>
      </c>
      <c r="G2513" t="s">
        <v>5057</v>
      </c>
      <c r="H2513" t="s">
        <v>132</v>
      </c>
      <c r="I2513" t="s">
        <v>4</v>
      </c>
      <c r="J2513" t="s">
        <v>4276</v>
      </c>
      <c r="K2513" t="s">
        <v>54</v>
      </c>
      <c r="L2513"/>
      <c r="M2513" t="s">
        <v>134</v>
      </c>
      <c r="N2513" t="s">
        <v>135</v>
      </c>
      <c r="O2513"/>
      <c r="P2513"/>
      <c r="Q2513" t="s">
        <v>5058</v>
      </c>
      <c r="R2513"/>
      <c r="S2513"/>
      <c r="T2513"/>
      <c r="U2513" t="s">
        <v>137</v>
      </c>
      <c r="V2513" t="s">
        <v>153</v>
      </c>
      <c r="W2513" s="9">
        <v>46192.598362233795</v>
      </c>
      <c r="X2513" t="s">
        <v>88</v>
      </c>
      <c r="Y2513"/>
      <c r="Z2513"/>
      <c r="AA2513" t="s">
        <v>5059</v>
      </c>
      <c r="AB2513"/>
      <c r="AC2513" t="s">
        <v>24</v>
      </c>
      <c r="AD2513" t="s">
        <v>129</v>
      </c>
      <c r="AE2513" s="97"/>
    </row>
    <row r="2514" spans="1:31" ht="14.4" customHeight="1" x14ac:dyDescent="0.3">
      <c r="A2514" t="s">
        <v>5068</v>
      </c>
      <c r="B2514"/>
      <c r="C2514" t="s">
        <v>4296</v>
      </c>
      <c r="D2514"/>
      <c r="E2514" t="s">
        <v>4296</v>
      </c>
      <c r="F2514" t="s">
        <v>6769</v>
      </c>
      <c r="G2514" t="s">
        <v>5057</v>
      </c>
      <c r="H2514" t="s">
        <v>132</v>
      </c>
      <c r="I2514" t="s">
        <v>4</v>
      </c>
      <c r="J2514" t="s">
        <v>4276</v>
      </c>
      <c r="K2514" t="s">
        <v>54</v>
      </c>
      <c r="L2514"/>
      <c r="M2514" t="s">
        <v>134</v>
      </c>
      <c r="N2514" t="s">
        <v>135</v>
      </c>
      <c r="O2514"/>
      <c r="P2514"/>
      <c r="Q2514" t="s">
        <v>5058</v>
      </c>
      <c r="R2514"/>
      <c r="S2514"/>
      <c r="T2514"/>
      <c r="U2514" t="s">
        <v>137</v>
      </c>
      <c r="V2514" t="s">
        <v>153</v>
      </c>
      <c r="W2514" s="9">
        <v>46192.592378668982</v>
      </c>
      <c r="X2514" t="s">
        <v>88</v>
      </c>
      <c r="Y2514"/>
      <c r="Z2514"/>
      <c r="AA2514" t="s">
        <v>5059</v>
      </c>
      <c r="AB2514"/>
      <c r="AC2514" t="s">
        <v>24</v>
      </c>
      <c r="AD2514" t="s">
        <v>129</v>
      </c>
      <c r="AE2514" s="97"/>
    </row>
    <row r="2515" spans="1:31" ht="14.4" customHeight="1" x14ac:dyDescent="0.3">
      <c r="A2515" t="s">
        <v>5069</v>
      </c>
      <c r="B2515"/>
      <c r="C2515" t="s">
        <v>4298</v>
      </c>
      <c r="D2515"/>
      <c r="E2515" t="s">
        <v>4298</v>
      </c>
      <c r="F2515" t="s">
        <v>6769</v>
      </c>
      <c r="G2515" t="s">
        <v>5057</v>
      </c>
      <c r="H2515" t="s">
        <v>132</v>
      </c>
      <c r="I2515" t="s">
        <v>4</v>
      </c>
      <c r="J2515" t="s">
        <v>4276</v>
      </c>
      <c r="K2515" t="s">
        <v>54</v>
      </c>
      <c r="L2515"/>
      <c r="M2515" t="s">
        <v>134</v>
      </c>
      <c r="N2515" t="s">
        <v>135</v>
      </c>
      <c r="O2515"/>
      <c r="P2515"/>
      <c r="Q2515" t="s">
        <v>5058</v>
      </c>
      <c r="R2515"/>
      <c r="S2515"/>
      <c r="T2515"/>
      <c r="U2515" t="s">
        <v>137</v>
      </c>
      <c r="V2515" t="s">
        <v>156</v>
      </c>
      <c r="W2515" s="9">
        <v>46192.591641550927</v>
      </c>
      <c r="X2515" t="s">
        <v>97</v>
      </c>
      <c r="Y2515"/>
      <c r="Z2515"/>
      <c r="AA2515" t="s">
        <v>5059</v>
      </c>
      <c r="AB2515"/>
      <c r="AC2515" t="s">
        <v>24</v>
      </c>
      <c r="AD2515" t="s">
        <v>129</v>
      </c>
      <c r="AE2515" s="97"/>
    </row>
    <row r="2516" spans="1:31" ht="14.4" customHeight="1" x14ac:dyDescent="0.3">
      <c r="A2516" t="s">
        <v>5070</v>
      </c>
      <c r="B2516"/>
      <c r="C2516" t="s">
        <v>4300</v>
      </c>
      <c r="D2516"/>
      <c r="E2516" t="s">
        <v>4300</v>
      </c>
      <c r="F2516" t="s">
        <v>6769</v>
      </c>
      <c r="G2516" t="s">
        <v>5057</v>
      </c>
      <c r="H2516" t="s">
        <v>132</v>
      </c>
      <c r="I2516" t="s">
        <v>4</v>
      </c>
      <c r="J2516" t="s">
        <v>4276</v>
      </c>
      <c r="K2516" t="s">
        <v>54</v>
      </c>
      <c r="L2516"/>
      <c r="M2516" t="s">
        <v>134</v>
      </c>
      <c r="N2516" t="s">
        <v>135</v>
      </c>
      <c r="O2516"/>
      <c r="P2516"/>
      <c r="Q2516" t="s">
        <v>5058</v>
      </c>
      <c r="R2516"/>
      <c r="S2516"/>
      <c r="T2516"/>
      <c r="U2516" t="s">
        <v>137</v>
      </c>
      <c r="V2516" t="s">
        <v>156</v>
      </c>
      <c r="W2516" s="9">
        <v>46196.386159374997</v>
      </c>
      <c r="X2516" t="s">
        <v>97</v>
      </c>
      <c r="Y2516"/>
      <c r="Z2516"/>
      <c r="AA2516" t="s">
        <v>5059</v>
      </c>
      <c r="AB2516"/>
      <c r="AC2516" t="s">
        <v>24</v>
      </c>
      <c r="AD2516" t="s">
        <v>129</v>
      </c>
      <c r="AE2516" s="97"/>
    </row>
    <row r="2517" spans="1:31" ht="14.4" customHeight="1" x14ac:dyDescent="0.3">
      <c r="A2517" t="s">
        <v>5071</v>
      </c>
      <c r="B2517"/>
      <c r="C2517" t="s">
        <v>4302</v>
      </c>
      <c r="D2517"/>
      <c r="E2517" t="s">
        <v>4302</v>
      </c>
      <c r="F2517" t="s">
        <v>6769</v>
      </c>
      <c r="G2517" t="s">
        <v>5057</v>
      </c>
      <c r="H2517" t="s">
        <v>132</v>
      </c>
      <c r="I2517" t="s">
        <v>4</v>
      </c>
      <c r="J2517" t="s">
        <v>4276</v>
      </c>
      <c r="K2517" t="s">
        <v>54</v>
      </c>
      <c r="L2517"/>
      <c r="M2517" t="s">
        <v>134</v>
      </c>
      <c r="N2517" t="s">
        <v>135</v>
      </c>
      <c r="O2517"/>
      <c r="P2517"/>
      <c r="Q2517" t="s">
        <v>5058</v>
      </c>
      <c r="R2517"/>
      <c r="S2517"/>
      <c r="T2517"/>
      <c r="U2517" t="s">
        <v>137</v>
      </c>
      <c r="V2517" t="s">
        <v>156</v>
      </c>
      <c r="W2517" s="9">
        <v>46196.386897685188</v>
      </c>
      <c r="X2517" t="s">
        <v>97</v>
      </c>
      <c r="Y2517"/>
      <c r="Z2517"/>
      <c r="AA2517" t="s">
        <v>5059</v>
      </c>
      <c r="AB2517"/>
      <c r="AC2517" t="s">
        <v>24</v>
      </c>
      <c r="AD2517" t="s">
        <v>129</v>
      </c>
      <c r="AE2517" s="97"/>
    </row>
    <row r="2518" spans="1:31" ht="14.4" customHeight="1" x14ac:dyDescent="0.3">
      <c r="A2518" t="s">
        <v>5072</v>
      </c>
      <c r="B2518"/>
      <c r="C2518" t="s">
        <v>4304</v>
      </c>
      <c r="D2518"/>
      <c r="E2518" t="s">
        <v>4304</v>
      </c>
      <c r="F2518" t="s">
        <v>6769</v>
      </c>
      <c r="G2518" t="s">
        <v>5057</v>
      </c>
      <c r="H2518" t="s">
        <v>132</v>
      </c>
      <c r="I2518" t="s">
        <v>4</v>
      </c>
      <c r="J2518" t="s">
        <v>4276</v>
      </c>
      <c r="K2518" t="s">
        <v>54</v>
      </c>
      <c r="L2518"/>
      <c r="M2518" t="s">
        <v>134</v>
      </c>
      <c r="N2518" t="s">
        <v>135</v>
      </c>
      <c r="O2518"/>
      <c r="P2518"/>
      <c r="Q2518" t="s">
        <v>5058</v>
      </c>
      <c r="R2518"/>
      <c r="S2518"/>
      <c r="T2518"/>
      <c r="U2518" t="s">
        <v>137</v>
      </c>
      <c r="V2518" t="s">
        <v>159</v>
      </c>
      <c r="W2518" s="9">
        <v>46197.243518402778</v>
      </c>
      <c r="X2518" t="s">
        <v>106</v>
      </c>
      <c r="Y2518"/>
      <c r="Z2518"/>
      <c r="AA2518" t="s">
        <v>5059</v>
      </c>
      <c r="AB2518"/>
      <c r="AC2518" t="s">
        <v>24</v>
      </c>
      <c r="AD2518" t="s">
        <v>129</v>
      </c>
      <c r="AE2518" s="97"/>
    </row>
    <row r="2519" spans="1:31" ht="14.4" customHeight="1" x14ac:dyDescent="0.3">
      <c r="A2519" t="s">
        <v>5073</v>
      </c>
      <c r="B2519"/>
      <c r="C2519" t="s">
        <v>4306</v>
      </c>
      <c r="D2519"/>
      <c r="E2519" t="s">
        <v>4306</v>
      </c>
      <c r="F2519" t="s">
        <v>6769</v>
      </c>
      <c r="G2519" t="s">
        <v>5057</v>
      </c>
      <c r="H2519" t="s">
        <v>132</v>
      </c>
      <c r="I2519" t="s">
        <v>4</v>
      </c>
      <c r="J2519" t="s">
        <v>4276</v>
      </c>
      <c r="K2519" t="s">
        <v>54</v>
      </c>
      <c r="L2519"/>
      <c r="M2519" t="s">
        <v>134</v>
      </c>
      <c r="N2519" t="s">
        <v>135</v>
      </c>
      <c r="O2519"/>
      <c r="P2519"/>
      <c r="Q2519" t="s">
        <v>5058</v>
      </c>
      <c r="R2519"/>
      <c r="S2519"/>
      <c r="T2519"/>
      <c r="U2519" t="s">
        <v>137</v>
      </c>
      <c r="V2519" t="s">
        <v>159</v>
      </c>
      <c r="W2519" s="9">
        <v>46197.245626736112</v>
      </c>
      <c r="X2519" t="s">
        <v>106</v>
      </c>
      <c r="Y2519"/>
      <c r="Z2519"/>
      <c r="AA2519" t="s">
        <v>5059</v>
      </c>
      <c r="AB2519"/>
      <c r="AC2519" t="s">
        <v>24</v>
      </c>
      <c r="AD2519" t="s">
        <v>129</v>
      </c>
      <c r="AE2519" s="97"/>
    </row>
    <row r="2520" spans="1:31" ht="14.4" customHeight="1" x14ac:dyDescent="0.3">
      <c r="A2520" t="s">
        <v>5074</v>
      </c>
      <c r="B2520"/>
      <c r="C2520" t="s">
        <v>4308</v>
      </c>
      <c r="D2520"/>
      <c r="E2520" t="s">
        <v>4308</v>
      </c>
      <c r="F2520" t="s">
        <v>6769</v>
      </c>
      <c r="G2520" t="s">
        <v>5057</v>
      </c>
      <c r="H2520" t="s">
        <v>132</v>
      </c>
      <c r="I2520" t="s">
        <v>4</v>
      </c>
      <c r="J2520" t="s">
        <v>4276</v>
      </c>
      <c r="K2520" t="s">
        <v>54</v>
      </c>
      <c r="L2520"/>
      <c r="M2520" t="s">
        <v>134</v>
      </c>
      <c r="N2520" t="s">
        <v>135</v>
      </c>
      <c r="O2520"/>
      <c r="P2520"/>
      <c r="Q2520" t="s">
        <v>5058</v>
      </c>
      <c r="R2520"/>
      <c r="S2520"/>
      <c r="T2520"/>
      <c r="U2520" t="s">
        <v>137</v>
      </c>
      <c r="V2520" t="s">
        <v>159</v>
      </c>
      <c r="W2520" s="9">
        <v>46197.246375844908</v>
      </c>
      <c r="X2520" t="s">
        <v>106</v>
      </c>
      <c r="Y2520"/>
      <c r="Z2520"/>
      <c r="AA2520" t="s">
        <v>5059</v>
      </c>
      <c r="AB2520"/>
      <c r="AC2520" t="s">
        <v>24</v>
      </c>
      <c r="AD2520" t="s">
        <v>129</v>
      </c>
      <c r="AE2520" s="97"/>
    </row>
    <row r="2521" spans="1:31" ht="14.4" customHeight="1" x14ac:dyDescent="0.3">
      <c r="A2521" t="s">
        <v>5075</v>
      </c>
      <c r="B2521"/>
      <c r="C2521" t="s">
        <v>4310</v>
      </c>
      <c r="D2521"/>
      <c r="E2521" t="s">
        <v>4310</v>
      </c>
      <c r="F2521" t="s">
        <v>6769</v>
      </c>
      <c r="G2521" t="s">
        <v>5057</v>
      </c>
      <c r="H2521" t="s">
        <v>132</v>
      </c>
      <c r="I2521" t="s">
        <v>4</v>
      </c>
      <c r="J2521" t="s">
        <v>4276</v>
      </c>
      <c r="K2521" t="s">
        <v>54</v>
      </c>
      <c r="L2521"/>
      <c r="M2521" t="s">
        <v>134</v>
      </c>
      <c r="N2521" t="s">
        <v>135</v>
      </c>
      <c r="O2521"/>
      <c r="P2521"/>
      <c r="Q2521" t="s">
        <v>5058</v>
      </c>
      <c r="R2521"/>
      <c r="S2521"/>
      <c r="T2521"/>
      <c r="U2521" t="s">
        <v>137</v>
      </c>
      <c r="V2521" t="s">
        <v>162</v>
      </c>
      <c r="W2521" s="9">
        <v>46197.250600150466</v>
      </c>
      <c r="X2521" t="s">
        <v>113</v>
      </c>
      <c r="Y2521"/>
      <c r="Z2521"/>
      <c r="AA2521" t="s">
        <v>5059</v>
      </c>
      <c r="AB2521"/>
      <c r="AC2521" t="s">
        <v>24</v>
      </c>
      <c r="AD2521" t="s">
        <v>129</v>
      </c>
      <c r="AE2521" s="97"/>
    </row>
    <row r="2522" spans="1:31" ht="14.4" customHeight="1" x14ac:dyDescent="0.3">
      <c r="A2522" t="s">
        <v>5076</v>
      </c>
      <c r="B2522"/>
      <c r="C2522" t="s">
        <v>4312</v>
      </c>
      <c r="D2522"/>
      <c r="E2522" t="s">
        <v>4312</v>
      </c>
      <c r="F2522" t="s">
        <v>6769</v>
      </c>
      <c r="G2522" t="s">
        <v>5057</v>
      </c>
      <c r="H2522" t="s">
        <v>132</v>
      </c>
      <c r="I2522" t="s">
        <v>4</v>
      </c>
      <c r="J2522" t="s">
        <v>4276</v>
      </c>
      <c r="K2522" t="s">
        <v>54</v>
      </c>
      <c r="L2522"/>
      <c r="M2522" t="s">
        <v>134</v>
      </c>
      <c r="N2522" t="s">
        <v>135</v>
      </c>
      <c r="O2522"/>
      <c r="P2522"/>
      <c r="Q2522" t="s">
        <v>5058</v>
      </c>
      <c r="R2522"/>
      <c r="S2522"/>
      <c r="T2522"/>
      <c r="U2522" t="s">
        <v>137</v>
      </c>
      <c r="V2522" t="s">
        <v>162</v>
      </c>
      <c r="W2522" s="9">
        <v>46206.313865081022</v>
      </c>
      <c r="X2522" t="s">
        <v>113</v>
      </c>
      <c r="Y2522"/>
      <c r="Z2522"/>
      <c r="AA2522" t="s">
        <v>5059</v>
      </c>
      <c r="AB2522"/>
      <c r="AC2522" t="s">
        <v>24</v>
      </c>
      <c r="AD2522" t="s">
        <v>129</v>
      </c>
      <c r="AE2522" s="97"/>
    </row>
    <row r="2523" spans="1:31" ht="14.4" customHeight="1" x14ac:dyDescent="0.3">
      <c r="A2523" t="s">
        <v>5077</v>
      </c>
      <c r="B2523"/>
      <c r="C2523" t="s">
        <v>4314</v>
      </c>
      <c r="D2523"/>
      <c r="E2523" t="s">
        <v>4314</v>
      </c>
      <c r="F2523" t="s">
        <v>6769</v>
      </c>
      <c r="G2523" t="s">
        <v>5057</v>
      </c>
      <c r="H2523" t="s">
        <v>132</v>
      </c>
      <c r="I2523" t="s">
        <v>4</v>
      </c>
      <c r="J2523" t="s">
        <v>4276</v>
      </c>
      <c r="K2523" t="s">
        <v>54</v>
      </c>
      <c r="L2523"/>
      <c r="M2523" t="s">
        <v>134</v>
      </c>
      <c r="N2523" t="s">
        <v>135</v>
      </c>
      <c r="O2523"/>
      <c r="P2523"/>
      <c r="Q2523" t="s">
        <v>5058</v>
      </c>
      <c r="R2523"/>
      <c r="S2523"/>
      <c r="T2523"/>
      <c r="U2523" t="s">
        <v>137</v>
      </c>
      <c r="V2523" t="s">
        <v>162</v>
      </c>
      <c r="W2523" s="9">
        <v>46206.316003125001</v>
      </c>
      <c r="X2523" t="s">
        <v>113</v>
      </c>
      <c r="Y2523"/>
      <c r="Z2523"/>
      <c r="AA2523" t="s">
        <v>5059</v>
      </c>
      <c r="AB2523"/>
      <c r="AC2523" t="s">
        <v>24</v>
      </c>
      <c r="AD2523" t="s">
        <v>129</v>
      </c>
      <c r="AE2523" s="97"/>
    </row>
    <row r="2524" spans="1:31" ht="14.4" customHeight="1" x14ac:dyDescent="0.3">
      <c r="A2524" t="s">
        <v>5078</v>
      </c>
      <c r="B2524"/>
      <c r="C2524" t="s">
        <v>4316</v>
      </c>
      <c r="D2524"/>
      <c r="E2524" t="s">
        <v>4316</v>
      </c>
      <c r="F2524" t="s">
        <v>6769</v>
      </c>
      <c r="G2524" t="s">
        <v>5057</v>
      </c>
      <c r="H2524" t="s">
        <v>132</v>
      </c>
      <c r="I2524" t="s">
        <v>4</v>
      </c>
      <c r="J2524" t="s">
        <v>4276</v>
      </c>
      <c r="K2524" t="s">
        <v>54</v>
      </c>
      <c r="L2524"/>
      <c r="M2524" t="s">
        <v>134</v>
      </c>
      <c r="N2524" t="s">
        <v>135</v>
      </c>
      <c r="O2524"/>
      <c r="P2524"/>
      <c r="Q2524" t="s">
        <v>5058</v>
      </c>
      <c r="R2524"/>
      <c r="S2524"/>
      <c r="T2524"/>
      <c r="U2524" t="s">
        <v>137</v>
      </c>
      <c r="V2524" t="s">
        <v>165</v>
      </c>
      <c r="W2524" s="9">
        <v>46206.299902430554</v>
      </c>
      <c r="X2524" t="s">
        <v>122</v>
      </c>
      <c r="Y2524"/>
      <c r="Z2524"/>
      <c r="AA2524" t="s">
        <v>5059</v>
      </c>
      <c r="AB2524"/>
      <c r="AC2524" t="s">
        <v>24</v>
      </c>
      <c r="AD2524" t="s">
        <v>130</v>
      </c>
      <c r="AE2524" s="97"/>
    </row>
    <row r="2525" spans="1:31" ht="14.4" customHeight="1" x14ac:dyDescent="0.3">
      <c r="A2525" t="s">
        <v>5079</v>
      </c>
      <c r="B2525"/>
      <c r="C2525" t="s">
        <v>4318</v>
      </c>
      <c r="D2525"/>
      <c r="E2525" t="s">
        <v>4318</v>
      </c>
      <c r="F2525" t="s">
        <v>6769</v>
      </c>
      <c r="G2525" t="s">
        <v>5057</v>
      </c>
      <c r="H2525" t="s">
        <v>132</v>
      </c>
      <c r="I2525" t="s">
        <v>4</v>
      </c>
      <c r="J2525" t="s">
        <v>4276</v>
      </c>
      <c r="K2525" t="s">
        <v>54</v>
      </c>
      <c r="L2525"/>
      <c r="M2525" t="s">
        <v>134</v>
      </c>
      <c r="N2525" t="s">
        <v>135</v>
      </c>
      <c r="O2525"/>
      <c r="P2525"/>
      <c r="Q2525" t="s">
        <v>5058</v>
      </c>
      <c r="R2525"/>
      <c r="S2525"/>
      <c r="T2525"/>
      <c r="U2525" t="s">
        <v>137</v>
      </c>
      <c r="V2525" t="s">
        <v>165</v>
      </c>
      <c r="W2525" s="9">
        <v>46206.302320173614</v>
      </c>
      <c r="X2525" t="s">
        <v>122</v>
      </c>
      <c r="Y2525"/>
      <c r="Z2525"/>
      <c r="AA2525" t="s">
        <v>5059</v>
      </c>
      <c r="AB2525"/>
      <c r="AC2525" t="s">
        <v>24</v>
      </c>
      <c r="AD2525" t="s">
        <v>130</v>
      </c>
      <c r="AE2525" s="97"/>
    </row>
    <row r="2526" spans="1:31" ht="14.4" customHeight="1" x14ac:dyDescent="0.3">
      <c r="A2526" t="s">
        <v>5080</v>
      </c>
      <c r="B2526"/>
      <c r="C2526" t="s">
        <v>4320</v>
      </c>
      <c r="D2526"/>
      <c r="E2526" t="s">
        <v>4320</v>
      </c>
      <c r="F2526" t="s">
        <v>6769</v>
      </c>
      <c r="G2526" t="s">
        <v>5057</v>
      </c>
      <c r="H2526" t="s">
        <v>132</v>
      </c>
      <c r="I2526" t="s">
        <v>4</v>
      </c>
      <c r="J2526" t="s">
        <v>4276</v>
      </c>
      <c r="K2526" t="s">
        <v>54</v>
      </c>
      <c r="L2526"/>
      <c r="M2526" t="s">
        <v>134</v>
      </c>
      <c r="N2526" t="s">
        <v>135</v>
      </c>
      <c r="O2526"/>
      <c r="P2526"/>
      <c r="Q2526" t="s">
        <v>5058</v>
      </c>
      <c r="R2526"/>
      <c r="S2526"/>
      <c r="T2526"/>
      <c r="U2526" t="s">
        <v>137</v>
      </c>
      <c r="V2526" t="s">
        <v>165</v>
      </c>
      <c r="W2526" s="9">
        <v>46206.305546261574</v>
      </c>
      <c r="X2526" t="s">
        <v>122</v>
      </c>
      <c r="Y2526"/>
      <c r="Z2526"/>
      <c r="AA2526" t="s">
        <v>5059</v>
      </c>
      <c r="AB2526"/>
      <c r="AC2526" t="s">
        <v>24</v>
      </c>
      <c r="AD2526" t="s">
        <v>130</v>
      </c>
      <c r="AE2526" s="97"/>
    </row>
    <row r="2527" spans="1:31" ht="14.4" customHeight="1" x14ac:dyDescent="0.3">
      <c r="A2527" t="s">
        <v>5081</v>
      </c>
      <c r="B2527"/>
      <c r="C2527" t="s">
        <v>4322</v>
      </c>
      <c r="D2527"/>
      <c r="E2527" t="s">
        <v>4322</v>
      </c>
      <c r="F2527" t="s">
        <v>6769</v>
      </c>
      <c r="G2527" t="s">
        <v>5057</v>
      </c>
      <c r="H2527" t="s">
        <v>132</v>
      </c>
      <c r="I2527" t="s">
        <v>4</v>
      </c>
      <c r="J2527" t="s">
        <v>4276</v>
      </c>
      <c r="K2527" t="s">
        <v>54</v>
      </c>
      <c r="L2527"/>
      <c r="M2527" t="s">
        <v>134</v>
      </c>
      <c r="N2527" t="s">
        <v>135</v>
      </c>
      <c r="O2527"/>
      <c r="P2527"/>
      <c r="Q2527" t="s">
        <v>5058</v>
      </c>
      <c r="R2527"/>
      <c r="S2527"/>
      <c r="T2527"/>
      <c r="U2527" t="s">
        <v>137</v>
      </c>
      <c r="V2527" t="s">
        <v>371</v>
      </c>
      <c r="W2527" s="9">
        <v>46196.364229479164</v>
      </c>
      <c r="X2527" t="s">
        <v>57</v>
      </c>
      <c r="Y2527"/>
      <c r="Z2527"/>
      <c r="AA2527" t="s">
        <v>5059</v>
      </c>
      <c r="AB2527"/>
      <c r="AC2527" t="s">
        <v>24</v>
      </c>
      <c r="AD2527" t="s">
        <v>128</v>
      </c>
      <c r="AE2527" s="97"/>
    </row>
    <row r="2528" spans="1:31" ht="14.4" customHeight="1" x14ac:dyDescent="0.3">
      <c r="A2528" t="s">
        <v>5082</v>
      </c>
      <c r="B2528"/>
      <c r="C2528" t="s">
        <v>4324</v>
      </c>
      <c r="D2528"/>
      <c r="E2528" t="s">
        <v>4324</v>
      </c>
      <c r="F2528" t="s">
        <v>6769</v>
      </c>
      <c r="G2528" t="s">
        <v>5057</v>
      </c>
      <c r="H2528" t="s">
        <v>132</v>
      </c>
      <c r="I2528" t="s">
        <v>4</v>
      </c>
      <c r="J2528" t="s">
        <v>4276</v>
      </c>
      <c r="K2528" t="s">
        <v>54</v>
      </c>
      <c r="L2528"/>
      <c r="M2528" t="s">
        <v>134</v>
      </c>
      <c r="N2528" t="s">
        <v>135</v>
      </c>
      <c r="O2528"/>
      <c r="P2528"/>
      <c r="Q2528" t="s">
        <v>5058</v>
      </c>
      <c r="R2528"/>
      <c r="S2528"/>
      <c r="T2528"/>
      <c r="U2528" t="s">
        <v>137</v>
      </c>
      <c r="V2528" t="s">
        <v>371</v>
      </c>
      <c r="W2528" s="9">
        <v>46174.571241006946</v>
      </c>
      <c r="X2528" t="s">
        <v>57</v>
      </c>
      <c r="Y2528"/>
      <c r="Z2528"/>
      <c r="AA2528" t="s">
        <v>5059</v>
      </c>
      <c r="AB2528"/>
      <c r="AC2528" t="s">
        <v>24</v>
      </c>
      <c r="AD2528" t="s">
        <v>128</v>
      </c>
      <c r="AE2528" s="97"/>
    </row>
    <row r="2529" spans="1:31" ht="14.4" customHeight="1" x14ac:dyDescent="0.3">
      <c r="A2529" t="s">
        <v>5083</v>
      </c>
      <c r="B2529"/>
      <c r="C2529" t="s">
        <v>4326</v>
      </c>
      <c r="D2529"/>
      <c r="E2529" t="s">
        <v>4326</v>
      </c>
      <c r="F2529" t="s">
        <v>6769</v>
      </c>
      <c r="G2529" t="s">
        <v>5057</v>
      </c>
      <c r="H2529" t="s">
        <v>132</v>
      </c>
      <c r="I2529" t="s">
        <v>4</v>
      </c>
      <c r="J2529" t="s">
        <v>4276</v>
      </c>
      <c r="K2529" t="s">
        <v>54</v>
      </c>
      <c r="L2529"/>
      <c r="M2529" t="s">
        <v>134</v>
      </c>
      <c r="N2529" t="s">
        <v>135</v>
      </c>
      <c r="O2529"/>
      <c r="P2529"/>
      <c r="Q2529" t="s">
        <v>5058</v>
      </c>
      <c r="R2529"/>
      <c r="S2529"/>
      <c r="T2529"/>
      <c r="U2529" t="s">
        <v>137</v>
      </c>
      <c r="V2529" t="s">
        <v>362</v>
      </c>
      <c r="W2529" s="9">
        <v>46174.572960648147</v>
      </c>
      <c r="X2529" t="s">
        <v>58</v>
      </c>
      <c r="Y2529"/>
      <c r="Z2529"/>
      <c r="AA2529" t="s">
        <v>5059</v>
      </c>
      <c r="AB2529"/>
      <c r="AC2529" t="s">
        <v>24</v>
      </c>
      <c r="AD2529" t="s">
        <v>128</v>
      </c>
      <c r="AE2529" s="97"/>
    </row>
    <row r="2530" spans="1:31" ht="14.4" customHeight="1" x14ac:dyDescent="0.3">
      <c r="A2530" t="s">
        <v>5084</v>
      </c>
      <c r="B2530"/>
      <c r="C2530" t="s">
        <v>4328</v>
      </c>
      <c r="D2530"/>
      <c r="E2530" t="s">
        <v>4328</v>
      </c>
      <c r="F2530" t="s">
        <v>6769</v>
      </c>
      <c r="G2530" t="s">
        <v>5057</v>
      </c>
      <c r="H2530" t="s">
        <v>132</v>
      </c>
      <c r="I2530" t="s">
        <v>4</v>
      </c>
      <c r="J2530" t="s">
        <v>4276</v>
      </c>
      <c r="K2530" t="s">
        <v>54</v>
      </c>
      <c r="L2530"/>
      <c r="M2530" t="s">
        <v>134</v>
      </c>
      <c r="N2530" t="s">
        <v>135</v>
      </c>
      <c r="O2530"/>
      <c r="P2530"/>
      <c r="Q2530" t="s">
        <v>5058</v>
      </c>
      <c r="R2530"/>
      <c r="S2530"/>
      <c r="T2530"/>
      <c r="U2530" t="s">
        <v>137</v>
      </c>
      <c r="V2530" t="s">
        <v>362</v>
      </c>
      <c r="W2530"/>
      <c r="X2530" t="s">
        <v>58</v>
      </c>
      <c r="Y2530"/>
      <c r="Z2530"/>
      <c r="AA2530"/>
      <c r="AB2530"/>
      <c r="AC2530" t="s">
        <v>138</v>
      </c>
      <c r="AD2530" t="s">
        <v>128</v>
      </c>
      <c r="AE2530" s="97"/>
    </row>
    <row r="2531" spans="1:31" ht="14.4" customHeight="1" x14ac:dyDescent="0.3">
      <c r="A2531" t="s">
        <v>5085</v>
      </c>
      <c r="B2531"/>
      <c r="C2531" t="s">
        <v>4330</v>
      </c>
      <c r="D2531"/>
      <c r="E2531" t="s">
        <v>4330</v>
      </c>
      <c r="F2531" t="s">
        <v>6769</v>
      </c>
      <c r="G2531" t="s">
        <v>5057</v>
      </c>
      <c r="H2531" t="s">
        <v>132</v>
      </c>
      <c r="I2531" t="s">
        <v>4</v>
      </c>
      <c r="J2531" t="s">
        <v>4276</v>
      </c>
      <c r="K2531" t="s">
        <v>54</v>
      </c>
      <c r="L2531"/>
      <c r="M2531" t="s">
        <v>134</v>
      </c>
      <c r="N2531" t="s">
        <v>135</v>
      </c>
      <c r="O2531"/>
      <c r="P2531"/>
      <c r="Q2531" t="s">
        <v>5058</v>
      </c>
      <c r="R2531"/>
      <c r="S2531"/>
      <c r="T2531"/>
      <c r="U2531" t="s">
        <v>137</v>
      </c>
      <c r="V2531" t="s">
        <v>640</v>
      </c>
      <c r="W2531"/>
      <c r="X2531" t="s">
        <v>66</v>
      </c>
      <c r="Y2531"/>
      <c r="Z2531"/>
      <c r="AA2531"/>
      <c r="AB2531"/>
      <c r="AC2531" t="s">
        <v>138</v>
      </c>
      <c r="AD2531" t="s">
        <v>128</v>
      </c>
      <c r="AE2531" s="97"/>
    </row>
    <row r="2532" spans="1:31" ht="14.4" customHeight="1" x14ac:dyDescent="0.3">
      <c r="A2532" t="s">
        <v>5086</v>
      </c>
      <c r="B2532"/>
      <c r="C2532" t="s">
        <v>4332</v>
      </c>
      <c r="D2532"/>
      <c r="E2532" t="s">
        <v>4332</v>
      </c>
      <c r="F2532" t="s">
        <v>6769</v>
      </c>
      <c r="G2532" t="s">
        <v>5057</v>
      </c>
      <c r="H2532" t="s">
        <v>132</v>
      </c>
      <c r="I2532" t="s">
        <v>4</v>
      </c>
      <c r="J2532" t="s">
        <v>4276</v>
      </c>
      <c r="K2532" t="s">
        <v>54</v>
      </c>
      <c r="L2532"/>
      <c r="M2532" t="s">
        <v>134</v>
      </c>
      <c r="N2532" t="s">
        <v>135</v>
      </c>
      <c r="O2532"/>
      <c r="P2532"/>
      <c r="Q2532" t="s">
        <v>5058</v>
      </c>
      <c r="R2532"/>
      <c r="S2532"/>
      <c r="T2532"/>
      <c r="U2532" t="s">
        <v>137</v>
      </c>
      <c r="V2532" t="s">
        <v>640</v>
      </c>
      <c r="W2532" s="9">
        <v>46147.487432789349</v>
      </c>
      <c r="X2532" t="s">
        <v>66</v>
      </c>
      <c r="Y2532"/>
      <c r="Z2532"/>
      <c r="AA2532" t="s">
        <v>5059</v>
      </c>
      <c r="AB2532"/>
      <c r="AC2532" t="s">
        <v>24</v>
      </c>
      <c r="AD2532" t="s">
        <v>128</v>
      </c>
      <c r="AE2532" s="97"/>
    </row>
    <row r="2533" spans="1:31" ht="14.4" customHeight="1" x14ac:dyDescent="0.3">
      <c r="A2533" t="s">
        <v>5087</v>
      </c>
      <c r="B2533"/>
      <c r="C2533" t="s">
        <v>4334</v>
      </c>
      <c r="D2533"/>
      <c r="E2533" t="s">
        <v>4334</v>
      </c>
      <c r="F2533" t="s">
        <v>6769</v>
      </c>
      <c r="G2533" t="s">
        <v>5057</v>
      </c>
      <c r="H2533" t="s">
        <v>132</v>
      </c>
      <c r="I2533" t="s">
        <v>4</v>
      </c>
      <c r="J2533" t="s">
        <v>4276</v>
      </c>
      <c r="K2533" t="s">
        <v>54</v>
      </c>
      <c r="L2533"/>
      <c r="M2533" t="s">
        <v>134</v>
      </c>
      <c r="N2533" t="s">
        <v>135</v>
      </c>
      <c r="O2533"/>
      <c r="P2533"/>
      <c r="Q2533" t="s">
        <v>5058</v>
      </c>
      <c r="R2533"/>
      <c r="S2533"/>
      <c r="T2533"/>
      <c r="U2533" t="s">
        <v>137</v>
      </c>
      <c r="V2533" t="s">
        <v>646</v>
      </c>
      <c r="W2533"/>
      <c r="X2533" t="s">
        <v>74</v>
      </c>
      <c r="Y2533"/>
      <c r="Z2533"/>
      <c r="AA2533"/>
      <c r="AB2533"/>
      <c r="AC2533" t="s">
        <v>138</v>
      </c>
      <c r="AD2533" t="s">
        <v>128</v>
      </c>
      <c r="AE2533" s="97"/>
    </row>
    <row r="2534" spans="1:31" ht="14.4" customHeight="1" x14ac:dyDescent="0.3">
      <c r="A2534" t="s">
        <v>5088</v>
      </c>
      <c r="B2534"/>
      <c r="C2534" t="s">
        <v>4336</v>
      </c>
      <c r="D2534"/>
      <c r="E2534" t="s">
        <v>4336</v>
      </c>
      <c r="F2534" t="s">
        <v>6769</v>
      </c>
      <c r="G2534" t="s">
        <v>5057</v>
      </c>
      <c r="H2534" t="s">
        <v>132</v>
      </c>
      <c r="I2534" t="s">
        <v>4</v>
      </c>
      <c r="J2534" t="s">
        <v>4276</v>
      </c>
      <c r="K2534" t="s">
        <v>54</v>
      </c>
      <c r="L2534"/>
      <c r="M2534" t="s">
        <v>134</v>
      </c>
      <c r="N2534" t="s">
        <v>135</v>
      </c>
      <c r="O2534"/>
      <c r="P2534"/>
      <c r="Q2534" t="s">
        <v>5058</v>
      </c>
      <c r="R2534"/>
      <c r="S2534"/>
      <c r="T2534"/>
      <c r="U2534" t="s">
        <v>137</v>
      </c>
      <c r="V2534" t="s">
        <v>646</v>
      </c>
      <c r="W2534" s="9">
        <v>46167.745858796297</v>
      </c>
      <c r="X2534" t="s">
        <v>74</v>
      </c>
      <c r="Y2534"/>
      <c r="Z2534"/>
      <c r="AA2534" t="s">
        <v>5059</v>
      </c>
      <c r="AB2534"/>
      <c r="AC2534" t="s">
        <v>24</v>
      </c>
      <c r="AD2534" t="s">
        <v>128</v>
      </c>
      <c r="AE2534" s="97"/>
    </row>
    <row r="2535" spans="1:31" ht="14.4" customHeight="1" x14ac:dyDescent="0.3">
      <c r="A2535" t="s">
        <v>5089</v>
      </c>
      <c r="B2535"/>
      <c r="C2535" t="s">
        <v>4338</v>
      </c>
      <c r="D2535"/>
      <c r="E2535" t="s">
        <v>4338</v>
      </c>
      <c r="F2535" t="s">
        <v>6769</v>
      </c>
      <c r="G2535" t="s">
        <v>5057</v>
      </c>
      <c r="H2535" t="s">
        <v>132</v>
      </c>
      <c r="I2535" t="s">
        <v>4</v>
      </c>
      <c r="J2535" t="s">
        <v>4276</v>
      </c>
      <c r="K2535" t="s">
        <v>54</v>
      </c>
      <c r="L2535"/>
      <c r="M2535" t="s">
        <v>134</v>
      </c>
      <c r="N2535" t="s">
        <v>135</v>
      </c>
      <c r="O2535"/>
      <c r="P2535"/>
      <c r="Q2535" t="s">
        <v>5058</v>
      </c>
      <c r="R2535"/>
      <c r="S2535"/>
      <c r="T2535"/>
      <c r="U2535" t="s">
        <v>137</v>
      </c>
      <c r="V2535" t="s">
        <v>652</v>
      </c>
      <c r="W2535"/>
      <c r="X2535" t="s">
        <v>85</v>
      </c>
      <c r="Y2535"/>
      <c r="Z2535"/>
      <c r="AA2535"/>
      <c r="AB2535"/>
      <c r="AC2535" t="s">
        <v>138</v>
      </c>
      <c r="AD2535" t="s">
        <v>129</v>
      </c>
      <c r="AE2535" s="97"/>
    </row>
    <row r="2536" spans="1:31" ht="14.4" customHeight="1" x14ac:dyDescent="0.3">
      <c r="A2536" t="s">
        <v>5090</v>
      </c>
      <c r="B2536"/>
      <c r="C2536" t="s">
        <v>4340</v>
      </c>
      <c r="D2536"/>
      <c r="E2536" t="s">
        <v>4340</v>
      </c>
      <c r="F2536" t="s">
        <v>6769</v>
      </c>
      <c r="G2536" t="s">
        <v>5057</v>
      </c>
      <c r="H2536" t="s">
        <v>132</v>
      </c>
      <c r="I2536" t="s">
        <v>4</v>
      </c>
      <c r="J2536" t="s">
        <v>4276</v>
      </c>
      <c r="K2536" t="s">
        <v>54</v>
      </c>
      <c r="L2536"/>
      <c r="M2536" t="s">
        <v>134</v>
      </c>
      <c r="N2536" t="s">
        <v>135</v>
      </c>
      <c r="O2536"/>
      <c r="P2536"/>
      <c r="Q2536" t="s">
        <v>5058</v>
      </c>
      <c r="R2536"/>
      <c r="S2536"/>
      <c r="T2536"/>
      <c r="U2536" t="s">
        <v>137</v>
      </c>
      <c r="V2536" t="s">
        <v>652</v>
      </c>
      <c r="W2536" s="9">
        <v>46174.570319675928</v>
      </c>
      <c r="X2536" t="s">
        <v>85</v>
      </c>
      <c r="Y2536"/>
      <c r="Z2536"/>
      <c r="AA2536" t="s">
        <v>5059</v>
      </c>
      <c r="AB2536"/>
      <c r="AC2536" t="s">
        <v>24</v>
      </c>
      <c r="AD2536" t="s">
        <v>129</v>
      </c>
      <c r="AE2536" s="97"/>
    </row>
    <row r="2537" spans="1:31" ht="14.4" customHeight="1" x14ac:dyDescent="0.3">
      <c r="A2537" t="s">
        <v>5091</v>
      </c>
      <c r="B2537"/>
      <c r="C2537" t="s">
        <v>4342</v>
      </c>
      <c r="D2537"/>
      <c r="E2537" t="s">
        <v>4342</v>
      </c>
      <c r="F2537" t="s">
        <v>6769</v>
      </c>
      <c r="G2537" t="s">
        <v>5057</v>
      </c>
      <c r="H2537" t="s">
        <v>132</v>
      </c>
      <c r="I2537" t="s">
        <v>4</v>
      </c>
      <c r="J2537" t="s">
        <v>4276</v>
      </c>
      <c r="K2537" t="s">
        <v>54</v>
      </c>
      <c r="L2537"/>
      <c r="M2537" t="s">
        <v>134</v>
      </c>
      <c r="N2537" t="s">
        <v>135</v>
      </c>
      <c r="O2537"/>
      <c r="P2537"/>
      <c r="Q2537" t="s">
        <v>5058</v>
      </c>
      <c r="R2537"/>
      <c r="S2537"/>
      <c r="T2537"/>
      <c r="U2537" t="s">
        <v>137</v>
      </c>
      <c r="V2537" t="s">
        <v>658</v>
      </c>
      <c r="W2537"/>
      <c r="X2537" t="s">
        <v>94</v>
      </c>
      <c r="Y2537"/>
      <c r="Z2537"/>
      <c r="AA2537"/>
      <c r="AB2537"/>
      <c r="AC2537" t="s">
        <v>138</v>
      </c>
      <c r="AD2537" t="s">
        <v>129</v>
      </c>
      <c r="AE2537" s="97"/>
    </row>
    <row r="2538" spans="1:31" ht="14.4" customHeight="1" x14ac:dyDescent="0.3">
      <c r="A2538" t="s">
        <v>5092</v>
      </c>
      <c r="B2538"/>
      <c r="C2538" t="s">
        <v>4344</v>
      </c>
      <c r="D2538"/>
      <c r="E2538" t="s">
        <v>4344</v>
      </c>
      <c r="F2538" t="s">
        <v>6769</v>
      </c>
      <c r="G2538" t="s">
        <v>5057</v>
      </c>
      <c r="H2538" t="s">
        <v>132</v>
      </c>
      <c r="I2538" t="s">
        <v>4</v>
      </c>
      <c r="J2538" t="s">
        <v>4276</v>
      </c>
      <c r="K2538" t="s">
        <v>54</v>
      </c>
      <c r="L2538"/>
      <c r="M2538" t="s">
        <v>134</v>
      </c>
      <c r="N2538" t="s">
        <v>135</v>
      </c>
      <c r="O2538"/>
      <c r="P2538"/>
      <c r="Q2538" t="s">
        <v>5058</v>
      </c>
      <c r="R2538"/>
      <c r="S2538"/>
      <c r="T2538"/>
      <c r="U2538" t="s">
        <v>137</v>
      </c>
      <c r="V2538" t="s">
        <v>658</v>
      </c>
      <c r="W2538" s="9">
        <v>46171.193831481483</v>
      </c>
      <c r="X2538" t="s">
        <v>94</v>
      </c>
      <c r="Y2538"/>
      <c r="Z2538"/>
      <c r="AA2538" t="s">
        <v>5059</v>
      </c>
      <c r="AB2538"/>
      <c r="AC2538" t="s">
        <v>24</v>
      </c>
      <c r="AD2538" t="s">
        <v>129</v>
      </c>
      <c r="AE2538" s="97"/>
    </row>
    <row r="2539" spans="1:31" ht="14.4" customHeight="1" x14ac:dyDescent="0.3">
      <c r="A2539" t="s">
        <v>5093</v>
      </c>
      <c r="B2539"/>
      <c r="C2539" t="s">
        <v>4346</v>
      </c>
      <c r="D2539"/>
      <c r="E2539" t="s">
        <v>4346</v>
      </c>
      <c r="F2539" t="s">
        <v>6769</v>
      </c>
      <c r="G2539" t="s">
        <v>5057</v>
      </c>
      <c r="H2539" t="s">
        <v>132</v>
      </c>
      <c r="I2539" t="s">
        <v>4</v>
      </c>
      <c r="J2539" t="s">
        <v>4276</v>
      </c>
      <c r="K2539" t="s">
        <v>54</v>
      </c>
      <c r="L2539"/>
      <c r="M2539" t="s">
        <v>134</v>
      </c>
      <c r="N2539" t="s">
        <v>135</v>
      </c>
      <c r="O2539"/>
      <c r="P2539"/>
      <c r="Q2539" t="s">
        <v>5058</v>
      </c>
      <c r="R2539"/>
      <c r="S2539"/>
      <c r="T2539"/>
      <c r="U2539" t="s">
        <v>137</v>
      </c>
      <c r="V2539" t="s">
        <v>664</v>
      </c>
      <c r="W2539"/>
      <c r="X2539" t="s">
        <v>103</v>
      </c>
      <c r="Y2539"/>
      <c r="Z2539"/>
      <c r="AA2539"/>
      <c r="AB2539"/>
      <c r="AC2539" t="s">
        <v>138</v>
      </c>
      <c r="AD2539" t="s">
        <v>129</v>
      </c>
      <c r="AE2539" s="97"/>
    </row>
    <row r="2540" spans="1:31" ht="14.4" customHeight="1" x14ac:dyDescent="0.3">
      <c r="A2540" t="s">
        <v>5094</v>
      </c>
      <c r="B2540"/>
      <c r="C2540" t="s">
        <v>4348</v>
      </c>
      <c r="D2540"/>
      <c r="E2540" t="s">
        <v>4348</v>
      </c>
      <c r="F2540" t="s">
        <v>6769</v>
      </c>
      <c r="G2540" t="s">
        <v>5057</v>
      </c>
      <c r="H2540" t="s">
        <v>132</v>
      </c>
      <c r="I2540" t="s">
        <v>4</v>
      </c>
      <c r="J2540" t="s">
        <v>4276</v>
      </c>
      <c r="K2540" t="s">
        <v>54</v>
      </c>
      <c r="L2540"/>
      <c r="M2540" t="s">
        <v>134</v>
      </c>
      <c r="N2540" t="s">
        <v>135</v>
      </c>
      <c r="O2540"/>
      <c r="P2540"/>
      <c r="Q2540" t="s">
        <v>5058</v>
      </c>
      <c r="R2540"/>
      <c r="S2540"/>
      <c r="T2540"/>
      <c r="U2540" t="s">
        <v>137</v>
      </c>
      <c r="V2540" t="s">
        <v>664</v>
      </c>
      <c r="W2540"/>
      <c r="X2540" t="s">
        <v>103</v>
      </c>
      <c r="Y2540"/>
      <c r="Z2540"/>
      <c r="AA2540" t="s">
        <v>5059</v>
      </c>
      <c r="AB2540"/>
      <c r="AC2540" t="s">
        <v>3733</v>
      </c>
      <c r="AD2540" t="s">
        <v>129</v>
      </c>
      <c r="AE2540" s="97"/>
    </row>
    <row r="2541" spans="1:31" ht="14.4" customHeight="1" x14ac:dyDescent="0.3">
      <c r="A2541" t="s">
        <v>5095</v>
      </c>
      <c r="B2541"/>
      <c r="C2541" t="s">
        <v>4350</v>
      </c>
      <c r="D2541"/>
      <c r="E2541" t="s">
        <v>4350</v>
      </c>
      <c r="F2541" t="s">
        <v>6769</v>
      </c>
      <c r="G2541" t="s">
        <v>5057</v>
      </c>
      <c r="H2541" t="s">
        <v>132</v>
      </c>
      <c r="I2541" t="s">
        <v>4</v>
      </c>
      <c r="J2541" t="s">
        <v>4276</v>
      </c>
      <c r="K2541" t="s">
        <v>54</v>
      </c>
      <c r="L2541"/>
      <c r="M2541" t="s">
        <v>134</v>
      </c>
      <c r="N2541" t="s">
        <v>135</v>
      </c>
      <c r="O2541"/>
      <c r="P2541"/>
      <c r="Q2541" t="s">
        <v>5058</v>
      </c>
      <c r="R2541"/>
      <c r="S2541"/>
      <c r="T2541"/>
      <c r="U2541" t="s">
        <v>137</v>
      </c>
      <c r="V2541" t="s">
        <v>670</v>
      </c>
      <c r="W2541"/>
      <c r="X2541" t="s">
        <v>110</v>
      </c>
      <c r="Y2541"/>
      <c r="Z2541"/>
      <c r="AA2541"/>
      <c r="AB2541"/>
      <c r="AC2541" t="s">
        <v>138</v>
      </c>
      <c r="AD2541" t="s">
        <v>129</v>
      </c>
      <c r="AE2541" s="97"/>
    </row>
    <row r="2542" spans="1:31" ht="14.4" customHeight="1" x14ac:dyDescent="0.3">
      <c r="A2542" t="s">
        <v>5096</v>
      </c>
      <c r="B2542"/>
      <c r="C2542" t="s">
        <v>4352</v>
      </c>
      <c r="D2542"/>
      <c r="E2542" t="s">
        <v>4352</v>
      </c>
      <c r="F2542" t="s">
        <v>6769</v>
      </c>
      <c r="G2542" t="s">
        <v>5057</v>
      </c>
      <c r="H2542" t="s">
        <v>132</v>
      </c>
      <c r="I2542" t="s">
        <v>4</v>
      </c>
      <c r="J2542" t="s">
        <v>4276</v>
      </c>
      <c r="K2542" t="s">
        <v>54</v>
      </c>
      <c r="L2542"/>
      <c r="M2542" t="s">
        <v>134</v>
      </c>
      <c r="N2542" t="s">
        <v>135</v>
      </c>
      <c r="O2542"/>
      <c r="P2542"/>
      <c r="Q2542" t="s">
        <v>5058</v>
      </c>
      <c r="R2542"/>
      <c r="S2542"/>
      <c r="T2542"/>
      <c r="U2542" t="s">
        <v>137</v>
      </c>
      <c r="V2542" t="s">
        <v>670</v>
      </c>
      <c r="W2542" s="9">
        <v>46171.19287230324</v>
      </c>
      <c r="X2542" t="s">
        <v>110</v>
      </c>
      <c r="Y2542"/>
      <c r="Z2542"/>
      <c r="AA2542" t="s">
        <v>5059</v>
      </c>
      <c r="AB2542"/>
      <c r="AC2542" t="s">
        <v>24</v>
      </c>
      <c r="AD2542" t="s">
        <v>129</v>
      </c>
      <c r="AE2542" s="97"/>
    </row>
    <row r="2543" spans="1:31" ht="14.4" customHeight="1" x14ac:dyDescent="0.3">
      <c r="A2543" t="s">
        <v>5097</v>
      </c>
      <c r="B2543"/>
      <c r="C2543" t="s">
        <v>4354</v>
      </c>
      <c r="D2543"/>
      <c r="E2543" t="s">
        <v>4354</v>
      </c>
      <c r="F2543" t="s">
        <v>6769</v>
      </c>
      <c r="G2543" t="s">
        <v>5057</v>
      </c>
      <c r="H2543" t="s">
        <v>132</v>
      </c>
      <c r="I2543" t="s">
        <v>4</v>
      </c>
      <c r="J2543" t="s">
        <v>4276</v>
      </c>
      <c r="K2543" t="s">
        <v>54</v>
      </c>
      <c r="L2543"/>
      <c r="M2543" t="s">
        <v>134</v>
      </c>
      <c r="N2543" t="s">
        <v>135</v>
      </c>
      <c r="O2543"/>
      <c r="P2543"/>
      <c r="Q2543" t="s">
        <v>5058</v>
      </c>
      <c r="R2543"/>
      <c r="S2543"/>
      <c r="T2543"/>
      <c r="U2543" t="s">
        <v>137</v>
      </c>
      <c r="V2543" t="s">
        <v>676</v>
      </c>
      <c r="W2543"/>
      <c r="X2543" t="s">
        <v>119</v>
      </c>
      <c r="Y2543"/>
      <c r="Z2543"/>
      <c r="AA2543"/>
      <c r="AB2543"/>
      <c r="AC2543" t="s">
        <v>138</v>
      </c>
      <c r="AD2543" t="s">
        <v>130</v>
      </c>
      <c r="AE2543" s="97"/>
    </row>
    <row r="2544" spans="1:31" ht="14.4" customHeight="1" x14ac:dyDescent="0.3">
      <c r="A2544" t="s">
        <v>5098</v>
      </c>
      <c r="B2544"/>
      <c r="C2544" t="s">
        <v>4356</v>
      </c>
      <c r="D2544"/>
      <c r="E2544" t="s">
        <v>4356</v>
      </c>
      <c r="F2544" t="s">
        <v>6769</v>
      </c>
      <c r="G2544" t="s">
        <v>5057</v>
      </c>
      <c r="H2544" t="s">
        <v>132</v>
      </c>
      <c r="I2544" t="s">
        <v>4</v>
      </c>
      <c r="J2544" t="s">
        <v>4276</v>
      </c>
      <c r="K2544" t="s">
        <v>54</v>
      </c>
      <c r="L2544"/>
      <c r="M2544" t="s">
        <v>134</v>
      </c>
      <c r="N2544" t="s">
        <v>135</v>
      </c>
      <c r="O2544"/>
      <c r="P2544"/>
      <c r="Q2544" t="s">
        <v>5058</v>
      </c>
      <c r="R2544"/>
      <c r="S2544"/>
      <c r="T2544"/>
      <c r="U2544" t="s">
        <v>137</v>
      </c>
      <c r="V2544" t="s">
        <v>676</v>
      </c>
      <c r="W2544"/>
      <c r="X2544" t="s">
        <v>119</v>
      </c>
      <c r="Y2544"/>
      <c r="Z2544"/>
      <c r="AA2544" t="s">
        <v>5059</v>
      </c>
      <c r="AB2544"/>
      <c r="AC2544" t="s">
        <v>3733</v>
      </c>
      <c r="AD2544" t="s">
        <v>130</v>
      </c>
      <c r="AE2544" s="97"/>
    </row>
    <row r="2545" spans="1:31" ht="14.4" customHeight="1" x14ac:dyDescent="0.3">
      <c r="A2545" t="s">
        <v>5099</v>
      </c>
      <c r="B2545"/>
      <c r="C2545" t="s">
        <v>4358</v>
      </c>
      <c r="D2545"/>
      <c r="E2545" t="s">
        <v>4358</v>
      </c>
      <c r="F2545" t="s">
        <v>6769</v>
      </c>
      <c r="G2545" t="s">
        <v>5057</v>
      </c>
      <c r="H2545" t="s">
        <v>132</v>
      </c>
      <c r="I2545" t="s">
        <v>4</v>
      </c>
      <c r="J2545" t="s">
        <v>4276</v>
      </c>
      <c r="K2545" t="s">
        <v>54</v>
      </c>
      <c r="L2545"/>
      <c r="M2545" t="s">
        <v>134</v>
      </c>
      <c r="N2545" t="s">
        <v>135</v>
      </c>
      <c r="O2545"/>
      <c r="P2545"/>
      <c r="Q2545" t="s">
        <v>5058</v>
      </c>
      <c r="R2545"/>
      <c r="S2545"/>
      <c r="T2545"/>
      <c r="U2545" t="s">
        <v>137</v>
      </c>
      <c r="V2545" t="s">
        <v>1190</v>
      </c>
      <c r="W2545"/>
      <c r="X2545" t="s">
        <v>67</v>
      </c>
      <c r="Y2545"/>
      <c r="Z2545"/>
      <c r="AA2545"/>
      <c r="AB2545"/>
      <c r="AC2545" t="s">
        <v>138</v>
      </c>
      <c r="AD2545" t="s">
        <v>128</v>
      </c>
      <c r="AE2545" s="97"/>
    </row>
    <row r="2546" spans="1:31" ht="14.4" customHeight="1" x14ac:dyDescent="0.3">
      <c r="A2546" t="s">
        <v>5100</v>
      </c>
      <c r="B2546"/>
      <c r="C2546" t="s">
        <v>4360</v>
      </c>
      <c r="D2546"/>
      <c r="E2546" t="s">
        <v>4360</v>
      </c>
      <c r="F2546" t="s">
        <v>6769</v>
      </c>
      <c r="G2546" t="s">
        <v>5057</v>
      </c>
      <c r="H2546" t="s">
        <v>132</v>
      </c>
      <c r="I2546" t="s">
        <v>4</v>
      </c>
      <c r="J2546" t="s">
        <v>4276</v>
      </c>
      <c r="K2546" t="s">
        <v>54</v>
      </c>
      <c r="L2546"/>
      <c r="M2546" t="s">
        <v>134</v>
      </c>
      <c r="N2546" t="s">
        <v>135</v>
      </c>
      <c r="O2546"/>
      <c r="P2546"/>
      <c r="Q2546" t="s">
        <v>5058</v>
      </c>
      <c r="R2546"/>
      <c r="S2546"/>
      <c r="T2546"/>
      <c r="U2546" t="s">
        <v>137</v>
      </c>
      <c r="V2546" t="s">
        <v>1190</v>
      </c>
      <c r="W2546" s="9">
        <v>46171.374002858793</v>
      </c>
      <c r="X2546" t="s">
        <v>67</v>
      </c>
      <c r="Y2546"/>
      <c r="Z2546"/>
      <c r="AA2546" t="s">
        <v>5059</v>
      </c>
      <c r="AB2546"/>
      <c r="AC2546" t="s">
        <v>24</v>
      </c>
      <c r="AD2546" t="s">
        <v>128</v>
      </c>
      <c r="AE2546" s="97"/>
    </row>
    <row r="2547" spans="1:31" ht="14.4" customHeight="1" x14ac:dyDescent="0.3">
      <c r="A2547" t="s">
        <v>5101</v>
      </c>
      <c r="B2547"/>
      <c r="C2547" t="s">
        <v>4362</v>
      </c>
      <c r="D2547"/>
      <c r="E2547" t="s">
        <v>4362</v>
      </c>
      <c r="F2547" t="s">
        <v>6769</v>
      </c>
      <c r="G2547" t="s">
        <v>5057</v>
      </c>
      <c r="H2547" t="s">
        <v>132</v>
      </c>
      <c r="I2547" t="s">
        <v>4</v>
      </c>
      <c r="J2547" t="s">
        <v>4276</v>
      </c>
      <c r="K2547" t="s">
        <v>54</v>
      </c>
      <c r="L2547"/>
      <c r="M2547" t="s">
        <v>134</v>
      </c>
      <c r="N2547" t="s">
        <v>135</v>
      </c>
      <c r="O2547"/>
      <c r="P2547"/>
      <c r="Q2547" t="s">
        <v>5058</v>
      </c>
      <c r="R2547"/>
      <c r="S2547"/>
      <c r="T2547"/>
      <c r="U2547" t="s">
        <v>137</v>
      </c>
      <c r="V2547" t="s">
        <v>1194</v>
      </c>
      <c r="W2547"/>
      <c r="X2547" t="s">
        <v>75</v>
      </c>
      <c r="Y2547"/>
      <c r="Z2547"/>
      <c r="AA2547"/>
      <c r="AB2547"/>
      <c r="AC2547" t="s">
        <v>138</v>
      </c>
      <c r="AD2547" t="s">
        <v>128</v>
      </c>
      <c r="AE2547" s="97"/>
    </row>
    <row r="2548" spans="1:31" ht="14.4" customHeight="1" x14ac:dyDescent="0.3">
      <c r="A2548" t="s">
        <v>5102</v>
      </c>
      <c r="B2548"/>
      <c r="C2548" t="s">
        <v>4364</v>
      </c>
      <c r="D2548"/>
      <c r="E2548" t="s">
        <v>4364</v>
      </c>
      <c r="F2548" t="s">
        <v>6769</v>
      </c>
      <c r="G2548" t="s">
        <v>5057</v>
      </c>
      <c r="H2548" t="s">
        <v>132</v>
      </c>
      <c r="I2548" t="s">
        <v>4</v>
      </c>
      <c r="J2548" t="s">
        <v>4276</v>
      </c>
      <c r="K2548" t="s">
        <v>54</v>
      </c>
      <c r="L2548"/>
      <c r="M2548" t="s">
        <v>134</v>
      </c>
      <c r="N2548" t="s">
        <v>135</v>
      </c>
      <c r="O2548"/>
      <c r="P2548"/>
      <c r="Q2548" t="s">
        <v>5058</v>
      </c>
      <c r="R2548"/>
      <c r="S2548"/>
      <c r="T2548"/>
      <c r="U2548" t="s">
        <v>137</v>
      </c>
      <c r="V2548" t="s">
        <v>1194</v>
      </c>
      <c r="W2548" s="9">
        <v>46171.375830555553</v>
      </c>
      <c r="X2548" t="s">
        <v>75</v>
      </c>
      <c r="Y2548"/>
      <c r="Z2548"/>
      <c r="AA2548" t="s">
        <v>5059</v>
      </c>
      <c r="AB2548"/>
      <c r="AC2548" t="s">
        <v>24</v>
      </c>
      <c r="AD2548" t="s">
        <v>128</v>
      </c>
      <c r="AE2548" s="97"/>
    </row>
    <row r="2549" spans="1:31" ht="14.4" customHeight="1" x14ac:dyDescent="0.3">
      <c r="A2549" t="s">
        <v>5103</v>
      </c>
      <c r="B2549"/>
      <c r="C2549" t="s">
        <v>4366</v>
      </c>
      <c r="D2549"/>
      <c r="E2549" t="s">
        <v>4366</v>
      </c>
      <c r="F2549" t="s">
        <v>6769</v>
      </c>
      <c r="G2549" t="s">
        <v>5057</v>
      </c>
      <c r="H2549" t="s">
        <v>132</v>
      </c>
      <c r="I2549" t="s">
        <v>4</v>
      </c>
      <c r="J2549" t="s">
        <v>4276</v>
      </c>
      <c r="K2549" t="s">
        <v>54</v>
      </c>
      <c r="L2549"/>
      <c r="M2549" t="s">
        <v>134</v>
      </c>
      <c r="N2549" t="s">
        <v>135</v>
      </c>
      <c r="O2549"/>
      <c r="P2549"/>
      <c r="Q2549" t="s">
        <v>5058</v>
      </c>
      <c r="R2549"/>
      <c r="S2549"/>
      <c r="T2549"/>
      <c r="U2549" t="s">
        <v>137</v>
      </c>
      <c r="V2549" t="s">
        <v>1198</v>
      </c>
      <c r="W2549"/>
      <c r="X2549" t="s">
        <v>86</v>
      </c>
      <c r="Y2549"/>
      <c r="Z2549"/>
      <c r="AA2549"/>
      <c r="AB2549"/>
      <c r="AC2549" t="s">
        <v>138</v>
      </c>
      <c r="AD2549" t="s">
        <v>129</v>
      </c>
      <c r="AE2549" s="97"/>
    </row>
    <row r="2550" spans="1:31" ht="14.4" customHeight="1" x14ac:dyDescent="0.3">
      <c r="A2550" t="s">
        <v>5104</v>
      </c>
      <c r="B2550"/>
      <c r="C2550" t="s">
        <v>4368</v>
      </c>
      <c r="D2550"/>
      <c r="E2550" t="s">
        <v>4368</v>
      </c>
      <c r="F2550" t="s">
        <v>6769</v>
      </c>
      <c r="G2550" t="s">
        <v>5057</v>
      </c>
      <c r="H2550" t="s">
        <v>132</v>
      </c>
      <c r="I2550" t="s">
        <v>4</v>
      </c>
      <c r="J2550" t="s">
        <v>4276</v>
      </c>
      <c r="K2550" t="s">
        <v>54</v>
      </c>
      <c r="L2550"/>
      <c r="M2550" t="s">
        <v>134</v>
      </c>
      <c r="N2550" t="s">
        <v>135</v>
      </c>
      <c r="O2550"/>
      <c r="P2550"/>
      <c r="Q2550" t="s">
        <v>5058</v>
      </c>
      <c r="R2550"/>
      <c r="S2550"/>
      <c r="T2550"/>
      <c r="U2550" t="s">
        <v>137</v>
      </c>
      <c r="V2550" t="s">
        <v>1198</v>
      </c>
      <c r="W2550" s="9">
        <v>46171.377730173612</v>
      </c>
      <c r="X2550" t="s">
        <v>86</v>
      </c>
      <c r="Y2550"/>
      <c r="Z2550"/>
      <c r="AA2550" t="s">
        <v>5059</v>
      </c>
      <c r="AB2550"/>
      <c r="AC2550" t="s">
        <v>24</v>
      </c>
      <c r="AD2550" t="s">
        <v>129</v>
      </c>
      <c r="AE2550" s="97"/>
    </row>
    <row r="2551" spans="1:31" ht="14.4" customHeight="1" x14ac:dyDescent="0.3">
      <c r="A2551" t="s">
        <v>5105</v>
      </c>
      <c r="B2551"/>
      <c r="C2551" t="s">
        <v>4370</v>
      </c>
      <c r="D2551"/>
      <c r="E2551" t="s">
        <v>4370</v>
      </c>
      <c r="F2551" t="s">
        <v>6769</v>
      </c>
      <c r="G2551" t="s">
        <v>5057</v>
      </c>
      <c r="H2551" t="s">
        <v>132</v>
      </c>
      <c r="I2551" t="s">
        <v>4</v>
      </c>
      <c r="J2551" t="s">
        <v>4276</v>
      </c>
      <c r="K2551" t="s">
        <v>54</v>
      </c>
      <c r="L2551"/>
      <c r="M2551" t="s">
        <v>134</v>
      </c>
      <c r="N2551" t="s">
        <v>135</v>
      </c>
      <c r="O2551"/>
      <c r="P2551"/>
      <c r="Q2551" t="s">
        <v>5058</v>
      </c>
      <c r="R2551"/>
      <c r="S2551"/>
      <c r="T2551"/>
      <c r="U2551" t="s">
        <v>137</v>
      </c>
      <c r="V2551" t="s">
        <v>1202</v>
      </c>
      <c r="W2551"/>
      <c r="X2551" t="s">
        <v>95</v>
      </c>
      <c r="Y2551"/>
      <c r="Z2551"/>
      <c r="AA2551"/>
      <c r="AB2551"/>
      <c r="AC2551" t="s">
        <v>138</v>
      </c>
      <c r="AD2551" t="s">
        <v>129</v>
      </c>
      <c r="AE2551" s="97"/>
    </row>
    <row r="2552" spans="1:31" ht="14.4" customHeight="1" x14ac:dyDescent="0.3">
      <c r="A2552" t="s">
        <v>5106</v>
      </c>
      <c r="B2552"/>
      <c r="C2552" t="s">
        <v>4372</v>
      </c>
      <c r="D2552"/>
      <c r="E2552" t="s">
        <v>4372</v>
      </c>
      <c r="F2552" t="s">
        <v>6769</v>
      </c>
      <c r="G2552" t="s">
        <v>5057</v>
      </c>
      <c r="H2552" t="s">
        <v>132</v>
      </c>
      <c r="I2552" t="s">
        <v>4</v>
      </c>
      <c r="J2552" t="s">
        <v>4276</v>
      </c>
      <c r="K2552" t="s">
        <v>54</v>
      </c>
      <c r="L2552"/>
      <c r="M2552" t="s">
        <v>134</v>
      </c>
      <c r="N2552" t="s">
        <v>135</v>
      </c>
      <c r="O2552"/>
      <c r="P2552"/>
      <c r="Q2552" t="s">
        <v>5058</v>
      </c>
      <c r="R2552"/>
      <c r="S2552"/>
      <c r="T2552"/>
      <c r="U2552" t="s">
        <v>137</v>
      </c>
      <c r="V2552" t="s">
        <v>1202</v>
      </c>
      <c r="W2552" s="9">
        <v>46171.379405405096</v>
      </c>
      <c r="X2552" t="s">
        <v>95</v>
      </c>
      <c r="Y2552"/>
      <c r="Z2552"/>
      <c r="AA2552" t="s">
        <v>5059</v>
      </c>
      <c r="AB2552"/>
      <c r="AC2552" t="s">
        <v>24</v>
      </c>
      <c r="AD2552" t="s">
        <v>129</v>
      </c>
      <c r="AE2552" s="97"/>
    </row>
    <row r="2553" spans="1:31" ht="14.4" customHeight="1" x14ac:dyDescent="0.3">
      <c r="A2553" t="s">
        <v>5107</v>
      </c>
      <c r="B2553"/>
      <c r="C2553" t="s">
        <v>4374</v>
      </c>
      <c r="D2553"/>
      <c r="E2553" t="s">
        <v>4374</v>
      </c>
      <c r="F2553" t="s">
        <v>6769</v>
      </c>
      <c r="G2553" t="s">
        <v>5057</v>
      </c>
      <c r="H2553" t="s">
        <v>132</v>
      </c>
      <c r="I2553" t="s">
        <v>4</v>
      </c>
      <c r="J2553" t="s">
        <v>4276</v>
      </c>
      <c r="K2553" t="s">
        <v>54</v>
      </c>
      <c r="L2553"/>
      <c r="M2553" t="s">
        <v>134</v>
      </c>
      <c r="N2553" t="s">
        <v>135</v>
      </c>
      <c r="O2553"/>
      <c r="P2553"/>
      <c r="Q2553" t="s">
        <v>5058</v>
      </c>
      <c r="R2553"/>
      <c r="S2553"/>
      <c r="T2553"/>
      <c r="U2553" t="s">
        <v>137</v>
      </c>
      <c r="V2553" t="s">
        <v>1206</v>
      </c>
      <c r="W2553"/>
      <c r="X2553" t="s">
        <v>104</v>
      </c>
      <c r="Y2553"/>
      <c r="Z2553"/>
      <c r="AA2553"/>
      <c r="AB2553"/>
      <c r="AC2553" t="s">
        <v>138</v>
      </c>
      <c r="AD2553" t="s">
        <v>129</v>
      </c>
      <c r="AE2553" s="97"/>
    </row>
    <row r="2554" spans="1:31" ht="14.4" customHeight="1" x14ac:dyDescent="0.3">
      <c r="A2554" t="s">
        <v>5108</v>
      </c>
      <c r="B2554"/>
      <c r="C2554" t="s">
        <v>4376</v>
      </c>
      <c r="D2554"/>
      <c r="E2554" t="s">
        <v>4376</v>
      </c>
      <c r="F2554" t="s">
        <v>6769</v>
      </c>
      <c r="G2554" t="s">
        <v>5057</v>
      </c>
      <c r="H2554" t="s">
        <v>132</v>
      </c>
      <c r="I2554" t="s">
        <v>4</v>
      </c>
      <c r="J2554" t="s">
        <v>4276</v>
      </c>
      <c r="K2554" t="s">
        <v>54</v>
      </c>
      <c r="L2554"/>
      <c r="M2554" t="s">
        <v>134</v>
      </c>
      <c r="N2554" t="s">
        <v>135</v>
      </c>
      <c r="O2554"/>
      <c r="P2554"/>
      <c r="Q2554" t="s">
        <v>5058</v>
      </c>
      <c r="R2554"/>
      <c r="S2554"/>
      <c r="T2554"/>
      <c r="U2554" t="s">
        <v>137</v>
      </c>
      <c r="V2554" t="s">
        <v>1206</v>
      </c>
      <c r="W2554" s="9">
        <v>46171.382262581021</v>
      </c>
      <c r="X2554" t="s">
        <v>104</v>
      </c>
      <c r="Y2554"/>
      <c r="Z2554"/>
      <c r="AA2554" t="s">
        <v>5059</v>
      </c>
      <c r="AB2554"/>
      <c r="AC2554" t="s">
        <v>24</v>
      </c>
      <c r="AD2554" t="s">
        <v>129</v>
      </c>
      <c r="AE2554" s="97"/>
    </row>
    <row r="2555" spans="1:31" ht="14.4" customHeight="1" x14ac:dyDescent="0.3">
      <c r="A2555" t="s">
        <v>5109</v>
      </c>
      <c r="B2555"/>
      <c r="C2555" t="s">
        <v>4378</v>
      </c>
      <c r="D2555"/>
      <c r="E2555" t="s">
        <v>4378</v>
      </c>
      <c r="F2555" t="s">
        <v>6769</v>
      </c>
      <c r="G2555" t="s">
        <v>5057</v>
      </c>
      <c r="H2555" t="s">
        <v>132</v>
      </c>
      <c r="I2555" t="s">
        <v>4</v>
      </c>
      <c r="J2555" t="s">
        <v>4276</v>
      </c>
      <c r="K2555" t="s">
        <v>54</v>
      </c>
      <c r="L2555"/>
      <c r="M2555" t="s">
        <v>134</v>
      </c>
      <c r="N2555" t="s">
        <v>135</v>
      </c>
      <c r="O2555"/>
      <c r="P2555"/>
      <c r="Q2555" t="s">
        <v>5058</v>
      </c>
      <c r="R2555"/>
      <c r="S2555"/>
      <c r="T2555"/>
      <c r="U2555" t="s">
        <v>137</v>
      </c>
      <c r="V2555" t="s">
        <v>1210</v>
      </c>
      <c r="W2555"/>
      <c r="X2555" t="s">
        <v>111</v>
      </c>
      <c r="Y2555"/>
      <c r="Z2555"/>
      <c r="AA2555"/>
      <c r="AB2555"/>
      <c r="AC2555" t="s">
        <v>138</v>
      </c>
      <c r="AD2555" t="s">
        <v>129</v>
      </c>
      <c r="AE2555" s="97"/>
    </row>
    <row r="2556" spans="1:31" ht="14.4" customHeight="1" x14ac:dyDescent="0.3">
      <c r="A2556" t="s">
        <v>5110</v>
      </c>
      <c r="B2556"/>
      <c r="C2556" t="s">
        <v>4380</v>
      </c>
      <c r="D2556"/>
      <c r="E2556" t="s">
        <v>4380</v>
      </c>
      <c r="F2556" t="s">
        <v>6769</v>
      </c>
      <c r="G2556" t="s">
        <v>5057</v>
      </c>
      <c r="H2556" t="s">
        <v>132</v>
      </c>
      <c r="I2556" t="s">
        <v>4</v>
      </c>
      <c r="J2556" t="s">
        <v>4276</v>
      </c>
      <c r="K2556" t="s">
        <v>54</v>
      </c>
      <c r="L2556"/>
      <c r="M2556" t="s">
        <v>134</v>
      </c>
      <c r="N2556" t="s">
        <v>135</v>
      </c>
      <c r="O2556"/>
      <c r="P2556"/>
      <c r="Q2556" t="s">
        <v>5058</v>
      </c>
      <c r="R2556"/>
      <c r="S2556"/>
      <c r="T2556"/>
      <c r="U2556" t="s">
        <v>137</v>
      </c>
      <c r="V2556" t="s">
        <v>1210</v>
      </c>
      <c r="W2556" s="9">
        <v>46171.383638506944</v>
      </c>
      <c r="X2556" t="s">
        <v>111</v>
      </c>
      <c r="Y2556"/>
      <c r="Z2556"/>
      <c r="AA2556" t="s">
        <v>5059</v>
      </c>
      <c r="AB2556"/>
      <c r="AC2556" t="s">
        <v>24</v>
      </c>
      <c r="AD2556" t="s">
        <v>129</v>
      </c>
      <c r="AE2556" s="97"/>
    </row>
    <row r="2557" spans="1:31" ht="14.4" customHeight="1" x14ac:dyDescent="0.3">
      <c r="A2557" t="s">
        <v>5111</v>
      </c>
      <c r="B2557"/>
      <c r="C2557" t="s">
        <v>4382</v>
      </c>
      <c r="D2557"/>
      <c r="E2557" t="s">
        <v>4382</v>
      </c>
      <c r="F2557" t="s">
        <v>6769</v>
      </c>
      <c r="G2557" t="s">
        <v>5057</v>
      </c>
      <c r="H2557" t="s">
        <v>132</v>
      </c>
      <c r="I2557" t="s">
        <v>4</v>
      </c>
      <c r="J2557" t="s">
        <v>4276</v>
      </c>
      <c r="K2557" t="s">
        <v>54</v>
      </c>
      <c r="L2557"/>
      <c r="M2557" t="s">
        <v>134</v>
      </c>
      <c r="N2557" t="s">
        <v>135</v>
      </c>
      <c r="O2557"/>
      <c r="P2557"/>
      <c r="Q2557" t="s">
        <v>5058</v>
      </c>
      <c r="R2557"/>
      <c r="S2557"/>
      <c r="T2557"/>
      <c r="U2557" t="s">
        <v>137</v>
      </c>
      <c r="V2557" t="s">
        <v>1214</v>
      </c>
      <c r="W2557"/>
      <c r="X2557" t="s">
        <v>120</v>
      </c>
      <c r="Y2557"/>
      <c r="Z2557"/>
      <c r="AA2557"/>
      <c r="AB2557"/>
      <c r="AC2557" t="s">
        <v>138</v>
      </c>
      <c r="AD2557" t="s">
        <v>130</v>
      </c>
      <c r="AE2557" s="97"/>
    </row>
    <row r="2558" spans="1:31" ht="14.4" customHeight="1" x14ac:dyDescent="0.3">
      <c r="A2558" t="s">
        <v>5112</v>
      </c>
      <c r="B2558"/>
      <c r="C2558" t="s">
        <v>4384</v>
      </c>
      <c r="D2558"/>
      <c r="E2558" t="s">
        <v>4384</v>
      </c>
      <c r="F2558" t="s">
        <v>6769</v>
      </c>
      <c r="G2558" t="s">
        <v>5057</v>
      </c>
      <c r="H2558" t="s">
        <v>132</v>
      </c>
      <c r="I2558" t="s">
        <v>4</v>
      </c>
      <c r="J2558" t="s">
        <v>4276</v>
      </c>
      <c r="K2558" t="s">
        <v>54</v>
      </c>
      <c r="L2558"/>
      <c r="M2558" t="s">
        <v>134</v>
      </c>
      <c r="N2558" t="s">
        <v>135</v>
      </c>
      <c r="O2558"/>
      <c r="P2558"/>
      <c r="Q2558" t="s">
        <v>5058</v>
      </c>
      <c r="R2558"/>
      <c r="S2558"/>
      <c r="T2558"/>
      <c r="U2558" t="s">
        <v>137</v>
      </c>
      <c r="V2558" t="s">
        <v>1214</v>
      </c>
      <c r="W2558" s="9">
        <v>46174.302041006944</v>
      </c>
      <c r="X2558" t="s">
        <v>120</v>
      </c>
      <c r="Y2558"/>
      <c r="Z2558"/>
      <c r="AA2558" t="s">
        <v>5059</v>
      </c>
      <c r="AB2558"/>
      <c r="AC2558" t="s">
        <v>24</v>
      </c>
      <c r="AD2558" t="s">
        <v>130</v>
      </c>
      <c r="AE2558" s="97"/>
    </row>
    <row r="2559" spans="1:31" ht="14.4" customHeight="1" x14ac:dyDescent="0.3">
      <c r="A2559" t="s">
        <v>5113</v>
      </c>
      <c r="B2559"/>
      <c r="C2559" t="s">
        <v>4386</v>
      </c>
      <c r="D2559"/>
      <c r="E2559" t="s">
        <v>4386</v>
      </c>
      <c r="F2559" t="s">
        <v>6769</v>
      </c>
      <c r="G2559" t="s">
        <v>5057</v>
      </c>
      <c r="H2559" t="s">
        <v>132</v>
      </c>
      <c r="I2559" t="s">
        <v>4</v>
      </c>
      <c r="J2559" t="s">
        <v>4276</v>
      </c>
      <c r="K2559" t="s">
        <v>54</v>
      </c>
      <c r="L2559"/>
      <c r="M2559" t="s">
        <v>134</v>
      </c>
      <c r="N2559" t="s">
        <v>135</v>
      </c>
      <c r="O2559"/>
      <c r="P2559"/>
      <c r="Q2559" t="s">
        <v>5058</v>
      </c>
      <c r="R2559"/>
      <c r="S2559"/>
      <c r="T2559"/>
      <c r="U2559" t="s">
        <v>137</v>
      </c>
      <c r="V2559" t="s">
        <v>403</v>
      </c>
      <c r="W2559"/>
      <c r="X2559" t="s">
        <v>68</v>
      </c>
      <c r="Y2559"/>
      <c r="Z2559"/>
      <c r="AA2559"/>
      <c r="AB2559"/>
      <c r="AC2559" t="s">
        <v>138</v>
      </c>
      <c r="AD2559" t="s">
        <v>128</v>
      </c>
      <c r="AE2559" s="97"/>
    </row>
    <row r="2560" spans="1:31" ht="14.4" customHeight="1" x14ac:dyDescent="0.3">
      <c r="A2560" t="s">
        <v>5114</v>
      </c>
      <c r="B2560"/>
      <c r="C2560" t="s">
        <v>4388</v>
      </c>
      <c r="D2560"/>
      <c r="E2560" t="s">
        <v>4388</v>
      </c>
      <c r="F2560" t="s">
        <v>6769</v>
      </c>
      <c r="G2560" t="s">
        <v>5057</v>
      </c>
      <c r="H2560" t="s">
        <v>132</v>
      </c>
      <c r="I2560" t="s">
        <v>4</v>
      </c>
      <c r="J2560" t="s">
        <v>4276</v>
      </c>
      <c r="K2560" t="s">
        <v>54</v>
      </c>
      <c r="L2560"/>
      <c r="M2560" t="s">
        <v>134</v>
      </c>
      <c r="N2560" t="s">
        <v>135</v>
      </c>
      <c r="O2560"/>
      <c r="P2560"/>
      <c r="Q2560" t="s">
        <v>5058</v>
      </c>
      <c r="R2560"/>
      <c r="S2560"/>
      <c r="T2560"/>
      <c r="U2560" t="s">
        <v>137</v>
      </c>
      <c r="V2560" t="s">
        <v>403</v>
      </c>
      <c r="W2560" s="9">
        <v>46179.487789618055</v>
      </c>
      <c r="X2560" t="s">
        <v>68</v>
      </c>
      <c r="Y2560"/>
      <c r="Z2560"/>
      <c r="AA2560" t="s">
        <v>5059</v>
      </c>
      <c r="AB2560"/>
      <c r="AC2560" t="s">
        <v>24</v>
      </c>
      <c r="AD2560" t="s">
        <v>128</v>
      </c>
      <c r="AE2560" s="97"/>
    </row>
    <row r="2561" spans="1:31" ht="14.4" customHeight="1" x14ac:dyDescent="0.3">
      <c r="A2561" t="s">
        <v>5115</v>
      </c>
      <c r="B2561"/>
      <c r="C2561" t="s">
        <v>4390</v>
      </c>
      <c r="D2561"/>
      <c r="E2561" t="s">
        <v>4390</v>
      </c>
      <c r="F2561" t="s">
        <v>6769</v>
      </c>
      <c r="G2561" t="s">
        <v>5057</v>
      </c>
      <c r="H2561" t="s">
        <v>132</v>
      </c>
      <c r="I2561" t="s">
        <v>4</v>
      </c>
      <c r="J2561" t="s">
        <v>4276</v>
      </c>
      <c r="K2561" t="s">
        <v>54</v>
      </c>
      <c r="L2561"/>
      <c r="M2561" t="s">
        <v>134</v>
      </c>
      <c r="N2561" t="s">
        <v>135</v>
      </c>
      <c r="O2561"/>
      <c r="P2561"/>
      <c r="Q2561" t="s">
        <v>5058</v>
      </c>
      <c r="R2561"/>
      <c r="S2561"/>
      <c r="T2561"/>
      <c r="U2561" t="s">
        <v>137</v>
      </c>
      <c r="V2561" t="s">
        <v>407</v>
      </c>
      <c r="W2561"/>
      <c r="X2561" t="s">
        <v>77</v>
      </c>
      <c r="Y2561"/>
      <c r="Z2561"/>
      <c r="AA2561"/>
      <c r="AB2561"/>
      <c r="AC2561" t="s">
        <v>138</v>
      </c>
      <c r="AD2561" t="s">
        <v>128</v>
      </c>
      <c r="AE2561" s="97"/>
    </row>
    <row r="2562" spans="1:31" ht="14.4" customHeight="1" x14ac:dyDescent="0.3">
      <c r="A2562" t="s">
        <v>5116</v>
      </c>
      <c r="B2562"/>
      <c r="C2562" t="s">
        <v>4392</v>
      </c>
      <c r="D2562"/>
      <c r="E2562" t="s">
        <v>4392</v>
      </c>
      <c r="F2562" t="s">
        <v>6769</v>
      </c>
      <c r="G2562" t="s">
        <v>5057</v>
      </c>
      <c r="H2562" t="s">
        <v>132</v>
      </c>
      <c r="I2562" t="s">
        <v>4</v>
      </c>
      <c r="J2562" t="s">
        <v>4276</v>
      </c>
      <c r="K2562" t="s">
        <v>54</v>
      </c>
      <c r="L2562"/>
      <c r="M2562" t="s">
        <v>134</v>
      </c>
      <c r="N2562" t="s">
        <v>135</v>
      </c>
      <c r="O2562"/>
      <c r="P2562"/>
      <c r="Q2562" t="s">
        <v>5058</v>
      </c>
      <c r="R2562"/>
      <c r="S2562"/>
      <c r="T2562"/>
      <c r="U2562" t="s">
        <v>137</v>
      </c>
      <c r="V2562" t="s">
        <v>407</v>
      </c>
      <c r="W2562" s="9">
        <v>46200.327852893519</v>
      </c>
      <c r="X2562" t="s">
        <v>77</v>
      </c>
      <c r="Y2562"/>
      <c r="Z2562"/>
      <c r="AA2562" t="s">
        <v>5059</v>
      </c>
      <c r="AB2562"/>
      <c r="AC2562" t="s">
        <v>24</v>
      </c>
      <c r="AD2562" t="s">
        <v>128</v>
      </c>
      <c r="AE2562" s="97"/>
    </row>
    <row r="2563" spans="1:31" ht="14.4" customHeight="1" x14ac:dyDescent="0.3">
      <c r="A2563" t="s">
        <v>5117</v>
      </c>
      <c r="B2563"/>
      <c r="C2563" t="s">
        <v>4394</v>
      </c>
      <c r="D2563"/>
      <c r="E2563" t="s">
        <v>4394</v>
      </c>
      <c r="F2563" t="s">
        <v>6769</v>
      </c>
      <c r="G2563" t="s">
        <v>5057</v>
      </c>
      <c r="H2563" t="s">
        <v>132</v>
      </c>
      <c r="I2563" t="s">
        <v>4</v>
      </c>
      <c r="J2563" t="s">
        <v>4276</v>
      </c>
      <c r="K2563" t="s">
        <v>54</v>
      </c>
      <c r="L2563"/>
      <c r="M2563" t="s">
        <v>134</v>
      </c>
      <c r="N2563" t="s">
        <v>135</v>
      </c>
      <c r="O2563"/>
      <c r="P2563"/>
      <c r="Q2563" t="s">
        <v>5058</v>
      </c>
      <c r="R2563"/>
      <c r="S2563"/>
      <c r="T2563"/>
      <c r="U2563" t="s">
        <v>137</v>
      </c>
      <c r="V2563" t="s">
        <v>411</v>
      </c>
      <c r="W2563"/>
      <c r="X2563" t="s">
        <v>87</v>
      </c>
      <c r="Y2563"/>
      <c r="Z2563"/>
      <c r="AA2563"/>
      <c r="AB2563"/>
      <c r="AC2563" t="s">
        <v>138</v>
      </c>
      <c r="AD2563" t="s">
        <v>129</v>
      </c>
      <c r="AE2563" s="97"/>
    </row>
    <row r="2564" spans="1:31" ht="14.4" customHeight="1" x14ac:dyDescent="0.3">
      <c r="A2564" t="s">
        <v>5118</v>
      </c>
      <c r="B2564"/>
      <c r="C2564" t="s">
        <v>4396</v>
      </c>
      <c r="D2564"/>
      <c r="E2564" t="s">
        <v>4396</v>
      </c>
      <c r="F2564" t="s">
        <v>6769</v>
      </c>
      <c r="G2564" t="s">
        <v>5057</v>
      </c>
      <c r="H2564" t="s">
        <v>132</v>
      </c>
      <c r="I2564" t="s">
        <v>4</v>
      </c>
      <c r="J2564" t="s">
        <v>4276</v>
      </c>
      <c r="K2564" t="s">
        <v>54</v>
      </c>
      <c r="L2564"/>
      <c r="M2564" t="s">
        <v>134</v>
      </c>
      <c r="N2564" t="s">
        <v>135</v>
      </c>
      <c r="O2564"/>
      <c r="P2564"/>
      <c r="Q2564" t="s">
        <v>5058</v>
      </c>
      <c r="R2564"/>
      <c r="S2564"/>
      <c r="T2564"/>
      <c r="U2564" t="s">
        <v>137</v>
      </c>
      <c r="V2564" t="s">
        <v>411</v>
      </c>
      <c r="W2564" s="9">
        <v>46192.599275775465</v>
      </c>
      <c r="X2564" t="s">
        <v>87</v>
      </c>
      <c r="Y2564"/>
      <c r="Z2564"/>
      <c r="AA2564" t="s">
        <v>5059</v>
      </c>
      <c r="AB2564"/>
      <c r="AC2564" t="s">
        <v>24</v>
      </c>
      <c r="AD2564" t="s">
        <v>129</v>
      </c>
      <c r="AE2564" s="97"/>
    </row>
    <row r="2565" spans="1:31" ht="14.4" customHeight="1" x14ac:dyDescent="0.3">
      <c r="A2565" t="s">
        <v>5119</v>
      </c>
      <c r="B2565"/>
      <c r="C2565" t="s">
        <v>4398</v>
      </c>
      <c r="D2565"/>
      <c r="E2565" t="s">
        <v>4398</v>
      </c>
      <c r="F2565" t="s">
        <v>6769</v>
      </c>
      <c r="G2565" t="s">
        <v>5057</v>
      </c>
      <c r="H2565" t="s">
        <v>132</v>
      </c>
      <c r="I2565" t="s">
        <v>4</v>
      </c>
      <c r="J2565" t="s">
        <v>4276</v>
      </c>
      <c r="K2565" t="s">
        <v>54</v>
      </c>
      <c r="L2565"/>
      <c r="M2565" t="s">
        <v>134</v>
      </c>
      <c r="N2565" t="s">
        <v>135</v>
      </c>
      <c r="O2565"/>
      <c r="P2565"/>
      <c r="Q2565" t="s">
        <v>5058</v>
      </c>
      <c r="R2565"/>
      <c r="S2565"/>
      <c r="T2565"/>
      <c r="U2565" t="s">
        <v>137</v>
      </c>
      <c r="V2565" t="s">
        <v>415</v>
      </c>
      <c r="W2565"/>
      <c r="X2565" t="s">
        <v>96</v>
      </c>
      <c r="Y2565"/>
      <c r="Z2565"/>
      <c r="AA2565"/>
      <c r="AB2565"/>
      <c r="AC2565" t="s">
        <v>138</v>
      </c>
      <c r="AD2565" t="s">
        <v>129</v>
      </c>
      <c r="AE2565" s="97"/>
    </row>
    <row r="2566" spans="1:31" ht="14.4" customHeight="1" x14ac:dyDescent="0.3">
      <c r="A2566" t="s">
        <v>5120</v>
      </c>
      <c r="B2566"/>
      <c r="C2566" t="s">
        <v>4400</v>
      </c>
      <c r="D2566"/>
      <c r="E2566" t="s">
        <v>4400</v>
      </c>
      <c r="F2566" t="s">
        <v>6769</v>
      </c>
      <c r="G2566" t="s">
        <v>5057</v>
      </c>
      <c r="H2566" t="s">
        <v>132</v>
      </c>
      <c r="I2566" t="s">
        <v>4</v>
      </c>
      <c r="J2566" t="s">
        <v>4276</v>
      </c>
      <c r="K2566" t="s">
        <v>54</v>
      </c>
      <c r="L2566"/>
      <c r="M2566" t="s">
        <v>134</v>
      </c>
      <c r="N2566" t="s">
        <v>135</v>
      </c>
      <c r="O2566"/>
      <c r="P2566"/>
      <c r="Q2566" t="s">
        <v>5058</v>
      </c>
      <c r="R2566"/>
      <c r="S2566"/>
      <c r="T2566"/>
      <c r="U2566" t="s">
        <v>137</v>
      </c>
      <c r="V2566" t="s">
        <v>415</v>
      </c>
      <c r="W2566" s="9">
        <v>46196.388833761572</v>
      </c>
      <c r="X2566" t="s">
        <v>96</v>
      </c>
      <c r="Y2566"/>
      <c r="Z2566"/>
      <c r="AA2566" t="s">
        <v>5059</v>
      </c>
      <c r="AB2566"/>
      <c r="AC2566" t="s">
        <v>24</v>
      </c>
      <c r="AD2566" t="s">
        <v>129</v>
      </c>
      <c r="AE2566" s="97"/>
    </row>
    <row r="2567" spans="1:31" ht="14.4" customHeight="1" x14ac:dyDescent="0.3">
      <c r="A2567" t="s">
        <v>5121</v>
      </c>
      <c r="B2567"/>
      <c r="C2567" t="s">
        <v>4402</v>
      </c>
      <c r="D2567"/>
      <c r="E2567" t="s">
        <v>4402</v>
      </c>
      <c r="F2567" t="s">
        <v>6769</v>
      </c>
      <c r="G2567" t="s">
        <v>5057</v>
      </c>
      <c r="H2567" t="s">
        <v>132</v>
      </c>
      <c r="I2567" t="s">
        <v>4</v>
      </c>
      <c r="J2567" t="s">
        <v>4276</v>
      </c>
      <c r="K2567" t="s">
        <v>54</v>
      </c>
      <c r="L2567"/>
      <c r="M2567" t="s">
        <v>134</v>
      </c>
      <c r="N2567" t="s">
        <v>135</v>
      </c>
      <c r="O2567"/>
      <c r="P2567"/>
      <c r="Q2567" t="s">
        <v>5058</v>
      </c>
      <c r="R2567"/>
      <c r="S2567"/>
      <c r="T2567"/>
      <c r="U2567" t="s">
        <v>137</v>
      </c>
      <c r="V2567" t="s">
        <v>419</v>
      </c>
      <c r="W2567"/>
      <c r="X2567" t="s">
        <v>105</v>
      </c>
      <c r="Y2567"/>
      <c r="Z2567"/>
      <c r="AA2567"/>
      <c r="AB2567"/>
      <c r="AC2567" t="s">
        <v>138</v>
      </c>
      <c r="AD2567" t="s">
        <v>129</v>
      </c>
      <c r="AE2567" s="97"/>
    </row>
    <row r="2568" spans="1:31" ht="14.4" customHeight="1" x14ac:dyDescent="0.3">
      <c r="A2568" t="s">
        <v>5122</v>
      </c>
      <c r="B2568"/>
      <c r="C2568" t="s">
        <v>4404</v>
      </c>
      <c r="D2568"/>
      <c r="E2568" t="s">
        <v>4404</v>
      </c>
      <c r="F2568" t="s">
        <v>6769</v>
      </c>
      <c r="G2568" t="s">
        <v>5057</v>
      </c>
      <c r="H2568" t="s">
        <v>132</v>
      </c>
      <c r="I2568" t="s">
        <v>4</v>
      </c>
      <c r="J2568" t="s">
        <v>4276</v>
      </c>
      <c r="K2568" t="s">
        <v>54</v>
      </c>
      <c r="L2568"/>
      <c r="M2568" t="s">
        <v>134</v>
      </c>
      <c r="N2568" t="s">
        <v>135</v>
      </c>
      <c r="O2568"/>
      <c r="P2568"/>
      <c r="Q2568" t="s">
        <v>5058</v>
      </c>
      <c r="R2568"/>
      <c r="S2568"/>
      <c r="T2568"/>
      <c r="U2568" t="s">
        <v>137</v>
      </c>
      <c r="V2568" t="s">
        <v>419</v>
      </c>
      <c r="W2568"/>
      <c r="X2568" t="s">
        <v>105</v>
      </c>
      <c r="Y2568"/>
      <c r="Z2568"/>
      <c r="AA2568" t="s">
        <v>5059</v>
      </c>
      <c r="AB2568"/>
      <c r="AC2568" t="s">
        <v>3733</v>
      </c>
      <c r="AD2568" t="s">
        <v>129</v>
      </c>
      <c r="AE2568" s="97"/>
    </row>
    <row r="2569" spans="1:31" ht="14.4" customHeight="1" x14ac:dyDescent="0.3">
      <c r="A2569" t="s">
        <v>5123</v>
      </c>
      <c r="B2569"/>
      <c r="C2569" t="s">
        <v>4406</v>
      </c>
      <c r="D2569"/>
      <c r="E2569" t="s">
        <v>4406</v>
      </c>
      <c r="F2569" t="s">
        <v>6769</v>
      </c>
      <c r="G2569" t="s">
        <v>5057</v>
      </c>
      <c r="H2569" t="s">
        <v>132</v>
      </c>
      <c r="I2569" t="s">
        <v>4</v>
      </c>
      <c r="J2569" t="s">
        <v>4276</v>
      </c>
      <c r="K2569" t="s">
        <v>54</v>
      </c>
      <c r="L2569"/>
      <c r="M2569" t="s">
        <v>134</v>
      </c>
      <c r="N2569" t="s">
        <v>135</v>
      </c>
      <c r="O2569"/>
      <c r="P2569"/>
      <c r="Q2569" t="s">
        <v>5058</v>
      </c>
      <c r="R2569"/>
      <c r="S2569"/>
      <c r="T2569"/>
      <c r="U2569" t="s">
        <v>137</v>
      </c>
      <c r="V2569" t="s">
        <v>423</v>
      </c>
      <c r="W2569"/>
      <c r="X2569" t="s">
        <v>112</v>
      </c>
      <c r="Y2569"/>
      <c r="Z2569"/>
      <c r="AA2569"/>
      <c r="AB2569"/>
      <c r="AC2569" t="s">
        <v>138</v>
      </c>
      <c r="AD2569" t="s">
        <v>129</v>
      </c>
      <c r="AE2569" s="97"/>
    </row>
    <row r="2570" spans="1:31" ht="14.4" customHeight="1" x14ac:dyDescent="0.3">
      <c r="A2570" t="s">
        <v>5124</v>
      </c>
      <c r="B2570"/>
      <c r="C2570" t="s">
        <v>4408</v>
      </c>
      <c r="D2570"/>
      <c r="E2570" t="s">
        <v>4408</v>
      </c>
      <c r="F2570" t="s">
        <v>6769</v>
      </c>
      <c r="G2570" t="s">
        <v>5057</v>
      </c>
      <c r="H2570" t="s">
        <v>132</v>
      </c>
      <c r="I2570" t="s">
        <v>4</v>
      </c>
      <c r="J2570" t="s">
        <v>4276</v>
      </c>
      <c r="K2570" t="s">
        <v>54</v>
      </c>
      <c r="L2570"/>
      <c r="M2570" t="s">
        <v>134</v>
      </c>
      <c r="N2570" t="s">
        <v>135</v>
      </c>
      <c r="O2570"/>
      <c r="P2570"/>
      <c r="Q2570" t="s">
        <v>5058</v>
      </c>
      <c r="R2570"/>
      <c r="S2570"/>
      <c r="T2570"/>
      <c r="U2570" t="s">
        <v>137</v>
      </c>
      <c r="V2570" t="s">
        <v>423</v>
      </c>
      <c r="W2570" s="9">
        <v>46206.319932094906</v>
      </c>
      <c r="X2570" t="s">
        <v>112</v>
      </c>
      <c r="Y2570"/>
      <c r="Z2570"/>
      <c r="AA2570" t="s">
        <v>5059</v>
      </c>
      <c r="AB2570"/>
      <c r="AC2570" t="s">
        <v>24</v>
      </c>
      <c r="AD2570" t="s">
        <v>129</v>
      </c>
      <c r="AE2570" s="97"/>
    </row>
    <row r="2571" spans="1:31" ht="14.4" customHeight="1" x14ac:dyDescent="0.3">
      <c r="A2571" t="s">
        <v>5125</v>
      </c>
      <c r="B2571"/>
      <c r="C2571" t="s">
        <v>4410</v>
      </c>
      <c r="D2571"/>
      <c r="E2571" t="s">
        <v>4410</v>
      </c>
      <c r="F2571" t="s">
        <v>6769</v>
      </c>
      <c r="G2571" t="s">
        <v>5057</v>
      </c>
      <c r="H2571" t="s">
        <v>132</v>
      </c>
      <c r="I2571" t="s">
        <v>4</v>
      </c>
      <c r="J2571" t="s">
        <v>4276</v>
      </c>
      <c r="K2571" t="s">
        <v>54</v>
      </c>
      <c r="L2571"/>
      <c r="M2571" t="s">
        <v>134</v>
      </c>
      <c r="N2571" t="s">
        <v>135</v>
      </c>
      <c r="O2571"/>
      <c r="P2571"/>
      <c r="Q2571" t="s">
        <v>5058</v>
      </c>
      <c r="R2571"/>
      <c r="S2571"/>
      <c r="T2571"/>
      <c r="U2571" t="s">
        <v>137</v>
      </c>
      <c r="V2571" t="s">
        <v>427</v>
      </c>
      <c r="W2571"/>
      <c r="X2571" t="s">
        <v>121</v>
      </c>
      <c r="Y2571"/>
      <c r="Z2571"/>
      <c r="AA2571"/>
      <c r="AB2571"/>
      <c r="AC2571" t="s">
        <v>138</v>
      </c>
      <c r="AD2571" t="s">
        <v>130</v>
      </c>
      <c r="AE2571" s="97"/>
    </row>
    <row r="2572" spans="1:31" ht="14.4" customHeight="1" x14ac:dyDescent="0.3">
      <c r="A2572" t="s">
        <v>5126</v>
      </c>
      <c r="B2572"/>
      <c r="C2572" t="s">
        <v>4412</v>
      </c>
      <c r="D2572"/>
      <c r="E2572" t="s">
        <v>4412</v>
      </c>
      <c r="F2572" t="s">
        <v>6769</v>
      </c>
      <c r="G2572" t="s">
        <v>5057</v>
      </c>
      <c r="H2572" t="s">
        <v>132</v>
      </c>
      <c r="I2572" t="s">
        <v>4</v>
      </c>
      <c r="J2572" t="s">
        <v>4276</v>
      </c>
      <c r="K2572" t="s">
        <v>54</v>
      </c>
      <c r="L2572"/>
      <c r="M2572" t="s">
        <v>134</v>
      </c>
      <c r="N2572" t="s">
        <v>135</v>
      </c>
      <c r="O2572"/>
      <c r="P2572"/>
      <c r="Q2572" t="s">
        <v>5058</v>
      </c>
      <c r="R2572"/>
      <c r="S2572"/>
      <c r="T2572"/>
      <c r="U2572" t="s">
        <v>137</v>
      </c>
      <c r="V2572" t="s">
        <v>427</v>
      </c>
      <c r="W2572"/>
      <c r="X2572" t="s">
        <v>121</v>
      </c>
      <c r="Y2572"/>
      <c r="Z2572"/>
      <c r="AA2572" t="s">
        <v>5059</v>
      </c>
      <c r="AB2572"/>
      <c r="AC2572" t="s">
        <v>3733</v>
      </c>
      <c r="AD2572" t="s">
        <v>130</v>
      </c>
      <c r="AE2572" s="97"/>
    </row>
    <row r="2573" spans="1:31" ht="14.4" customHeight="1" x14ac:dyDescent="0.3">
      <c r="A2573" t="s">
        <v>5127</v>
      </c>
      <c r="B2573"/>
      <c r="C2573" t="s">
        <v>4414</v>
      </c>
      <c r="D2573"/>
      <c r="E2573" t="s">
        <v>4414</v>
      </c>
      <c r="F2573" t="s">
        <v>6769</v>
      </c>
      <c r="G2573" t="s">
        <v>5057</v>
      </c>
      <c r="H2573" t="s">
        <v>132</v>
      </c>
      <c r="I2573" t="s">
        <v>4</v>
      </c>
      <c r="J2573" t="s">
        <v>4276</v>
      </c>
      <c r="K2573" t="s">
        <v>54</v>
      </c>
      <c r="L2573"/>
      <c r="M2573" t="s">
        <v>134</v>
      </c>
      <c r="N2573" t="s">
        <v>135</v>
      </c>
      <c r="O2573"/>
      <c r="P2573"/>
      <c r="Q2573" t="s">
        <v>5058</v>
      </c>
      <c r="R2573"/>
      <c r="S2573"/>
      <c r="T2573"/>
      <c r="U2573" t="s">
        <v>137</v>
      </c>
      <c r="V2573" t="s">
        <v>1279</v>
      </c>
      <c r="W2573" s="9">
        <v>46138.342917094909</v>
      </c>
      <c r="X2573" t="s">
        <v>71</v>
      </c>
      <c r="Y2573"/>
      <c r="Z2573"/>
      <c r="AA2573" t="s">
        <v>5059</v>
      </c>
      <c r="AB2573"/>
      <c r="AC2573" t="s">
        <v>24</v>
      </c>
      <c r="AD2573" t="s">
        <v>128</v>
      </c>
      <c r="AE2573" s="97"/>
    </row>
    <row r="2574" spans="1:31" ht="14.4" customHeight="1" x14ac:dyDescent="0.3">
      <c r="A2574" t="s">
        <v>5128</v>
      </c>
      <c r="B2574"/>
      <c r="C2574" t="s">
        <v>4416</v>
      </c>
      <c r="D2574"/>
      <c r="E2574" t="s">
        <v>4416</v>
      </c>
      <c r="F2574" t="s">
        <v>6769</v>
      </c>
      <c r="G2574" t="s">
        <v>5057</v>
      </c>
      <c r="H2574" t="s">
        <v>132</v>
      </c>
      <c r="I2574" t="s">
        <v>4</v>
      </c>
      <c r="J2574" t="s">
        <v>4276</v>
      </c>
      <c r="K2574" t="s">
        <v>54</v>
      </c>
      <c r="L2574"/>
      <c r="M2574" t="s">
        <v>134</v>
      </c>
      <c r="N2574" t="s">
        <v>135</v>
      </c>
      <c r="O2574"/>
      <c r="P2574"/>
      <c r="Q2574" t="s">
        <v>5058</v>
      </c>
      <c r="R2574"/>
      <c r="S2574"/>
      <c r="T2574"/>
      <c r="U2574" t="s">
        <v>137</v>
      </c>
      <c r="V2574" t="s">
        <v>1279</v>
      </c>
      <c r="W2574" s="9">
        <v>46141.214553784725</v>
      </c>
      <c r="X2574" t="s">
        <v>71</v>
      </c>
      <c r="Y2574"/>
      <c r="Z2574"/>
      <c r="AA2574" t="s">
        <v>5059</v>
      </c>
      <c r="AB2574"/>
      <c r="AC2574" t="s">
        <v>24</v>
      </c>
      <c r="AD2574" t="s">
        <v>128</v>
      </c>
      <c r="AE2574" s="97"/>
    </row>
    <row r="2575" spans="1:31" ht="14.4" customHeight="1" x14ac:dyDescent="0.3">
      <c r="A2575" t="s">
        <v>5129</v>
      </c>
      <c r="B2575"/>
      <c r="C2575" t="s">
        <v>4418</v>
      </c>
      <c r="D2575"/>
      <c r="E2575" t="s">
        <v>4418</v>
      </c>
      <c r="F2575" t="s">
        <v>6769</v>
      </c>
      <c r="G2575" t="s">
        <v>5057</v>
      </c>
      <c r="H2575" t="s">
        <v>132</v>
      </c>
      <c r="I2575" t="s">
        <v>4</v>
      </c>
      <c r="J2575" t="s">
        <v>4276</v>
      </c>
      <c r="K2575" t="s">
        <v>54</v>
      </c>
      <c r="L2575"/>
      <c r="M2575" t="s">
        <v>134</v>
      </c>
      <c r="N2575" t="s">
        <v>135</v>
      </c>
      <c r="O2575"/>
      <c r="P2575"/>
      <c r="Q2575" t="s">
        <v>5058</v>
      </c>
      <c r="R2575"/>
      <c r="S2575"/>
      <c r="T2575"/>
      <c r="U2575" t="s">
        <v>137</v>
      </c>
      <c r="V2575" t="s">
        <v>1283</v>
      </c>
      <c r="W2575" s="9">
        <v>46138.519891319447</v>
      </c>
      <c r="X2575" t="s">
        <v>78</v>
      </c>
      <c r="Y2575"/>
      <c r="Z2575"/>
      <c r="AA2575" t="s">
        <v>5059</v>
      </c>
      <c r="AB2575"/>
      <c r="AC2575" t="s">
        <v>24</v>
      </c>
      <c r="AD2575" t="s">
        <v>128</v>
      </c>
      <c r="AE2575" s="97"/>
    </row>
    <row r="2576" spans="1:31" ht="14.4" customHeight="1" x14ac:dyDescent="0.3">
      <c r="A2576" t="s">
        <v>5130</v>
      </c>
      <c r="B2576"/>
      <c r="C2576" t="s">
        <v>4420</v>
      </c>
      <c r="D2576"/>
      <c r="E2576" t="s">
        <v>4420</v>
      </c>
      <c r="F2576" t="s">
        <v>6769</v>
      </c>
      <c r="G2576" t="s">
        <v>5057</v>
      </c>
      <c r="H2576" t="s">
        <v>132</v>
      </c>
      <c r="I2576" t="s">
        <v>4</v>
      </c>
      <c r="J2576" t="s">
        <v>4276</v>
      </c>
      <c r="K2576" t="s">
        <v>54</v>
      </c>
      <c r="L2576"/>
      <c r="M2576" t="s">
        <v>134</v>
      </c>
      <c r="N2576" t="s">
        <v>135</v>
      </c>
      <c r="O2576"/>
      <c r="P2576"/>
      <c r="Q2576" t="s">
        <v>5058</v>
      </c>
      <c r="R2576"/>
      <c r="S2576"/>
      <c r="T2576"/>
      <c r="U2576" t="s">
        <v>137</v>
      </c>
      <c r="V2576" t="s">
        <v>1283</v>
      </c>
      <c r="W2576" s="9">
        <v>46167.741232210647</v>
      </c>
      <c r="X2576" t="s">
        <v>78</v>
      </c>
      <c r="Y2576"/>
      <c r="Z2576"/>
      <c r="AA2576" t="s">
        <v>5059</v>
      </c>
      <c r="AB2576"/>
      <c r="AC2576" t="s">
        <v>24</v>
      </c>
      <c r="AD2576" t="s">
        <v>128</v>
      </c>
      <c r="AE2576" s="97"/>
    </row>
    <row r="2577" spans="1:31" ht="14.4" customHeight="1" x14ac:dyDescent="0.3">
      <c r="A2577" t="s">
        <v>5131</v>
      </c>
      <c r="B2577"/>
      <c r="C2577" t="s">
        <v>4422</v>
      </c>
      <c r="D2577"/>
      <c r="E2577" t="s">
        <v>4422</v>
      </c>
      <c r="F2577" t="s">
        <v>6769</v>
      </c>
      <c r="G2577" t="s">
        <v>5057</v>
      </c>
      <c r="H2577" t="s">
        <v>132</v>
      </c>
      <c r="I2577" t="s">
        <v>4</v>
      </c>
      <c r="J2577" t="s">
        <v>4276</v>
      </c>
      <c r="K2577" t="s">
        <v>54</v>
      </c>
      <c r="L2577"/>
      <c r="M2577" t="s">
        <v>134</v>
      </c>
      <c r="N2577" t="s">
        <v>135</v>
      </c>
      <c r="O2577"/>
      <c r="P2577"/>
      <c r="Q2577" t="s">
        <v>5058</v>
      </c>
      <c r="R2577"/>
      <c r="S2577"/>
      <c r="T2577"/>
      <c r="U2577" t="s">
        <v>137</v>
      </c>
      <c r="V2577" t="s">
        <v>1287</v>
      </c>
      <c r="W2577" s="9">
        <v>46138.419848460646</v>
      </c>
      <c r="X2577" t="s">
        <v>89</v>
      </c>
      <c r="Y2577"/>
      <c r="Z2577"/>
      <c r="AA2577" t="s">
        <v>5059</v>
      </c>
      <c r="AB2577"/>
      <c r="AC2577" t="s">
        <v>24</v>
      </c>
      <c r="AD2577" t="s">
        <v>129</v>
      </c>
      <c r="AE2577" s="97"/>
    </row>
    <row r="2578" spans="1:31" ht="14.4" customHeight="1" x14ac:dyDescent="0.3">
      <c r="A2578" t="s">
        <v>5132</v>
      </c>
      <c r="B2578"/>
      <c r="C2578" t="s">
        <v>4424</v>
      </c>
      <c r="D2578"/>
      <c r="E2578" t="s">
        <v>4424</v>
      </c>
      <c r="F2578" t="s">
        <v>6769</v>
      </c>
      <c r="G2578" t="s">
        <v>5057</v>
      </c>
      <c r="H2578" t="s">
        <v>132</v>
      </c>
      <c r="I2578" t="s">
        <v>4</v>
      </c>
      <c r="J2578" t="s">
        <v>4276</v>
      </c>
      <c r="K2578" t="s">
        <v>54</v>
      </c>
      <c r="L2578"/>
      <c r="M2578" t="s">
        <v>134</v>
      </c>
      <c r="N2578" t="s">
        <v>135</v>
      </c>
      <c r="O2578"/>
      <c r="P2578"/>
      <c r="Q2578" t="s">
        <v>5058</v>
      </c>
      <c r="R2578"/>
      <c r="S2578"/>
      <c r="T2578"/>
      <c r="U2578" t="s">
        <v>137</v>
      </c>
      <c r="V2578" t="s">
        <v>1287</v>
      </c>
      <c r="W2578" s="9">
        <v>46167.743426655092</v>
      </c>
      <c r="X2578" t="s">
        <v>89</v>
      </c>
      <c r="Y2578"/>
      <c r="Z2578"/>
      <c r="AA2578" t="s">
        <v>5059</v>
      </c>
      <c r="AB2578"/>
      <c r="AC2578" t="s">
        <v>24</v>
      </c>
      <c r="AD2578" t="s">
        <v>129</v>
      </c>
      <c r="AE2578" s="97"/>
    </row>
    <row r="2579" spans="1:31" ht="14.4" customHeight="1" x14ac:dyDescent="0.3">
      <c r="A2579" t="s">
        <v>5133</v>
      </c>
      <c r="B2579"/>
      <c r="C2579" t="s">
        <v>4426</v>
      </c>
      <c r="D2579"/>
      <c r="E2579" t="s">
        <v>4426</v>
      </c>
      <c r="F2579" t="s">
        <v>6769</v>
      </c>
      <c r="G2579" t="s">
        <v>5057</v>
      </c>
      <c r="H2579" t="s">
        <v>132</v>
      </c>
      <c r="I2579" t="s">
        <v>4</v>
      </c>
      <c r="J2579" t="s">
        <v>4276</v>
      </c>
      <c r="K2579" t="s">
        <v>54</v>
      </c>
      <c r="L2579"/>
      <c r="M2579" t="s">
        <v>134</v>
      </c>
      <c r="N2579" t="s">
        <v>135</v>
      </c>
      <c r="O2579"/>
      <c r="P2579"/>
      <c r="Q2579" t="s">
        <v>5058</v>
      </c>
      <c r="R2579"/>
      <c r="S2579" t="s">
        <v>5058</v>
      </c>
      <c r="T2579"/>
      <c r="U2579" t="s">
        <v>137</v>
      </c>
      <c r="V2579" t="s">
        <v>1291</v>
      </c>
      <c r="W2579" s="9">
        <v>46139.424441516203</v>
      </c>
      <c r="X2579" t="s">
        <v>98</v>
      </c>
      <c r="Y2579"/>
      <c r="Z2579"/>
      <c r="AA2579" t="s">
        <v>5059</v>
      </c>
      <c r="AB2579"/>
      <c r="AC2579" t="s">
        <v>24</v>
      </c>
      <c r="AD2579" t="s">
        <v>129</v>
      </c>
      <c r="AE2579" s="97"/>
    </row>
    <row r="2580" spans="1:31" ht="14.4" customHeight="1" x14ac:dyDescent="0.3">
      <c r="A2580" t="s">
        <v>5134</v>
      </c>
      <c r="B2580"/>
      <c r="C2580" t="s">
        <v>4428</v>
      </c>
      <c r="D2580"/>
      <c r="E2580" t="s">
        <v>4428</v>
      </c>
      <c r="F2580" t="s">
        <v>6769</v>
      </c>
      <c r="G2580" t="s">
        <v>5057</v>
      </c>
      <c r="H2580" t="s">
        <v>132</v>
      </c>
      <c r="I2580" t="s">
        <v>4</v>
      </c>
      <c r="J2580" t="s">
        <v>4276</v>
      </c>
      <c r="K2580" t="s">
        <v>54</v>
      </c>
      <c r="L2580"/>
      <c r="M2580" t="s">
        <v>134</v>
      </c>
      <c r="N2580" t="s">
        <v>135</v>
      </c>
      <c r="O2580"/>
      <c r="P2580"/>
      <c r="Q2580" t="s">
        <v>5058</v>
      </c>
      <c r="R2580"/>
      <c r="S2580"/>
      <c r="T2580"/>
      <c r="U2580" t="s">
        <v>137</v>
      </c>
      <c r="V2580" t="s">
        <v>1291</v>
      </c>
      <c r="W2580" s="9">
        <v>46167.735369409726</v>
      </c>
      <c r="X2580" t="s">
        <v>98</v>
      </c>
      <c r="Y2580"/>
      <c r="Z2580"/>
      <c r="AA2580" t="s">
        <v>5059</v>
      </c>
      <c r="AB2580"/>
      <c r="AC2580" t="s">
        <v>24</v>
      </c>
      <c r="AD2580" t="s">
        <v>129</v>
      </c>
      <c r="AE2580" s="97"/>
    </row>
    <row r="2581" spans="1:31" ht="14.4" customHeight="1" x14ac:dyDescent="0.3">
      <c r="A2581" t="s">
        <v>5135</v>
      </c>
      <c r="B2581"/>
      <c r="C2581" t="s">
        <v>4430</v>
      </c>
      <c r="D2581"/>
      <c r="E2581" t="s">
        <v>4430</v>
      </c>
      <c r="F2581" t="s">
        <v>6769</v>
      </c>
      <c r="G2581" t="s">
        <v>5057</v>
      </c>
      <c r="H2581" t="s">
        <v>132</v>
      </c>
      <c r="I2581" t="s">
        <v>4</v>
      </c>
      <c r="J2581" t="s">
        <v>4276</v>
      </c>
      <c r="K2581" t="s">
        <v>54</v>
      </c>
      <c r="L2581"/>
      <c r="M2581" t="s">
        <v>134</v>
      </c>
      <c r="N2581" t="s">
        <v>135</v>
      </c>
      <c r="O2581"/>
      <c r="P2581"/>
      <c r="Q2581" t="s">
        <v>5058</v>
      </c>
      <c r="R2581"/>
      <c r="S2581"/>
      <c r="T2581"/>
      <c r="U2581" t="s">
        <v>137</v>
      </c>
      <c r="V2581" t="s">
        <v>1295</v>
      </c>
      <c r="W2581" s="9">
        <v>46138.339035219906</v>
      </c>
      <c r="X2581" t="s">
        <v>107</v>
      </c>
      <c r="Y2581"/>
      <c r="Z2581"/>
      <c r="AA2581" t="s">
        <v>5059</v>
      </c>
      <c r="AB2581"/>
      <c r="AC2581" t="s">
        <v>24</v>
      </c>
      <c r="AD2581" t="s">
        <v>129</v>
      </c>
      <c r="AE2581" s="97"/>
    </row>
    <row r="2582" spans="1:31" ht="14.4" customHeight="1" x14ac:dyDescent="0.3">
      <c r="A2582" t="s">
        <v>5136</v>
      </c>
      <c r="B2582"/>
      <c r="C2582" t="s">
        <v>4432</v>
      </c>
      <c r="D2582"/>
      <c r="E2582" t="s">
        <v>4432</v>
      </c>
      <c r="F2582" t="s">
        <v>6769</v>
      </c>
      <c r="G2582" t="s">
        <v>5057</v>
      </c>
      <c r="H2582" t="s">
        <v>132</v>
      </c>
      <c r="I2582" t="s">
        <v>4</v>
      </c>
      <c r="J2582" t="s">
        <v>4276</v>
      </c>
      <c r="K2582" t="s">
        <v>54</v>
      </c>
      <c r="L2582"/>
      <c r="M2582" t="s">
        <v>134</v>
      </c>
      <c r="N2582" t="s">
        <v>135</v>
      </c>
      <c r="O2582"/>
      <c r="P2582"/>
      <c r="Q2582" t="s">
        <v>5058</v>
      </c>
      <c r="R2582"/>
      <c r="S2582"/>
      <c r="T2582"/>
      <c r="U2582" t="s">
        <v>137</v>
      </c>
      <c r="V2582" t="s">
        <v>1295</v>
      </c>
      <c r="W2582" s="9">
        <v>46196.365193136575</v>
      </c>
      <c r="X2582" t="s">
        <v>107</v>
      </c>
      <c r="Y2582"/>
      <c r="Z2582"/>
      <c r="AA2582" t="s">
        <v>5059</v>
      </c>
      <c r="AB2582"/>
      <c r="AC2582" t="s">
        <v>24</v>
      </c>
      <c r="AD2582" t="s">
        <v>129</v>
      </c>
      <c r="AE2582" s="97"/>
    </row>
    <row r="2583" spans="1:31" ht="14.4" customHeight="1" x14ac:dyDescent="0.3">
      <c r="A2583" t="s">
        <v>5137</v>
      </c>
      <c r="B2583"/>
      <c r="C2583" t="s">
        <v>4434</v>
      </c>
      <c r="D2583"/>
      <c r="E2583" t="s">
        <v>4434</v>
      </c>
      <c r="F2583" t="s">
        <v>6769</v>
      </c>
      <c r="G2583" t="s">
        <v>5057</v>
      </c>
      <c r="H2583" t="s">
        <v>132</v>
      </c>
      <c r="I2583" t="s">
        <v>4</v>
      </c>
      <c r="J2583" t="s">
        <v>4276</v>
      </c>
      <c r="K2583" t="s">
        <v>54</v>
      </c>
      <c r="L2583"/>
      <c r="M2583" t="s">
        <v>134</v>
      </c>
      <c r="N2583" t="s">
        <v>135</v>
      </c>
      <c r="O2583"/>
      <c r="P2583"/>
      <c r="Q2583" t="s">
        <v>5058</v>
      </c>
      <c r="R2583"/>
      <c r="S2583"/>
      <c r="T2583"/>
      <c r="U2583" t="s">
        <v>137</v>
      </c>
      <c r="V2583" t="s">
        <v>1299</v>
      </c>
      <c r="W2583" s="9">
        <v>46174.358120104167</v>
      </c>
      <c r="X2583" t="s">
        <v>114</v>
      </c>
      <c r="Y2583"/>
      <c r="Z2583"/>
      <c r="AA2583" t="s">
        <v>5059</v>
      </c>
      <c r="AB2583"/>
      <c r="AC2583" t="s">
        <v>24</v>
      </c>
      <c r="AD2583" t="s">
        <v>129</v>
      </c>
      <c r="AE2583" s="97"/>
    </row>
    <row r="2584" spans="1:31" ht="14.4" customHeight="1" x14ac:dyDescent="0.3">
      <c r="A2584" t="s">
        <v>5138</v>
      </c>
      <c r="B2584"/>
      <c r="C2584" t="s">
        <v>4436</v>
      </c>
      <c r="D2584"/>
      <c r="E2584" t="s">
        <v>4436</v>
      </c>
      <c r="F2584" t="s">
        <v>6769</v>
      </c>
      <c r="G2584" t="s">
        <v>5057</v>
      </c>
      <c r="H2584" t="s">
        <v>132</v>
      </c>
      <c r="I2584" t="s">
        <v>4</v>
      </c>
      <c r="J2584" t="s">
        <v>4276</v>
      </c>
      <c r="K2584" t="s">
        <v>54</v>
      </c>
      <c r="L2584"/>
      <c r="M2584" t="s">
        <v>134</v>
      </c>
      <c r="N2584" t="s">
        <v>135</v>
      </c>
      <c r="O2584"/>
      <c r="P2584"/>
      <c r="Q2584" t="s">
        <v>5058</v>
      </c>
      <c r="R2584"/>
      <c r="S2584"/>
      <c r="T2584"/>
      <c r="U2584" t="s">
        <v>137</v>
      </c>
      <c r="V2584" t="s">
        <v>1299</v>
      </c>
      <c r="W2584" s="9">
        <v>46174.30328738426</v>
      </c>
      <c r="X2584" t="s">
        <v>114</v>
      </c>
      <c r="Y2584"/>
      <c r="Z2584"/>
      <c r="AA2584" t="s">
        <v>5059</v>
      </c>
      <c r="AB2584"/>
      <c r="AC2584" t="s">
        <v>24</v>
      </c>
      <c r="AD2584" t="s">
        <v>129</v>
      </c>
      <c r="AE2584" s="97"/>
    </row>
    <row r="2585" spans="1:31" ht="14.4" customHeight="1" x14ac:dyDescent="0.3">
      <c r="A2585" t="s">
        <v>5139</v>
      </c>
      <c r="B2585"/>
      <c r="C2585" t="s">
        <v>4438</v>
      </c>
      <c r="D2585"/>
      <c r="E2585" t="s">
        <v>4438</v>
      </c>
      <c r="F2585" t="s">
        <v>6769</v>
      </c>
      <c r="G2585" t="s">
        <v>5057</v>
      </c>
      <c r="H2585" t="s">
        <v>132</v>
      </c>
      <c r="I2585" t="s">
        <v>4</v>
      </c>
      <c r="J2585" t="s">
        <v>4276</v>
      </c>
      <c r="K2585" t="s">
        <v>54</v>
      </c>
      <c r="L2585"/>
      <c r="M2585" t="s">
        <v>134</v>
      </c>
      <c r="N2585" t="s">
        <v>135</v>
      </c>
      <c r="O2585"/>
      <c r="P2585"/>
      <c r="Q2585" t="s">
        <v>5058</v>
      </c>
      <c r="R2585"/>
      <c r="S2585"/>
      <c r="T2585"/>
      <c r="U2585" t="s">
        <v>137</v>
      </c>
      <c r="V2585" t="s">
        <v>1303</v>
      </c>
      <c r="W2585" s="9">
        <v>46140.305026620372</v>
      </c>
      <c r="X2585" t="s">
        <v>123</v>
      </c>
      <c r="Y2585"/>
      <c r="Z2585"/>
      <c r="AA2585" t="s">
        <v>5059</v>
      </c>
      <c r="AB2585"/>
      <c r="AC2585" t="s">
        <v>24</v>
      </c>
      <c r="AD2585" t="s">
        <v>130</v>
      </c>
      <c r="AE2585" s="97"/>
    </row>
    <row r="2586" spans="1:31" ht="14.4" customHeight="1" x14ac:dyDescent="0.3">
      <c r="A2586" t="s">
        <v>5140</v>
      </c>
      <c r="B2586"/>
      <c r="C2586" t="s">
        <v>4440</v>
      </c>
      <c r="D2586"/>
      <c r="E2586" t="s">
        <v>4440</v>
      </c>
      <c r="F2586" t="s">
        <v>6769</v>
      </c>
      <c r="G2586" t="s">
        <v>5057</v>
      </c>
      <c r="H2586" t="s">
        <v>132</v>
      </c>
      <c r="I2586" t="s">
        <v>4</v>
      </c>
      <c r="J2586" t="s">
        <v>4276</v>
      </c>
      <c r="K2586" t="s">
        <v>54</v>
      </c>
      <c r="L2586"/>
      <c r="M2586" t="s">
        <v>134</v>
      </c>
      <c r="N2586" t="s">
        <v>135</v>
      </c>
      <c r="O2586"/>
      <c r="P2586"/>
      <c r="Q2586" t="s">
        <v>5058</v>
      </c>
      <c r="R2586"/>
      <c r="S2586"/>
      <c r="T2586"/>
      <c r="U2586" t="s">
        <v>137</v>
      </c>
      <c r="V2586" t="s">
        <v>1303</v>
      </c>
      <c r="W2586" s="9">
        <v>46206.309938576385</v>
      </c>
      <c r="X2586" t="s">
        <v>123</v>
      </c>
      <c r="Y2586"/>
      <c r="Z2586"/>
      <c r="AA2586" t="s">
        <v>5059</v>
      </c>
      <c r="AB2586"/>
      <c r="AC2586" t="s">
        <v>24</v>
      </c>
      <c r="AD2586" t="s">
        <v>130</v>
      </c>
      <c r="AE2586" s="97"/>
    </row>
    <row r="2587" spans="1:31" ht="14.4" customHeight="1" x14ac:dyDescent="0.3">
      <c r="A2587" t="s">
        <v>5141</v>
      </c>
      <c r="B2587"/>
      <c r="C2587" t="s">
        <v>4442</v>
      </c>
      <c r="D2587"/>
      <c r="E2587" t="s">
        <v>4442</v>
      </c>
      <c r="F2587" t="s">
        <v>6769</v>
      </c>
      <c r="G2587" t="s">
        <v>5057</v>
      </c>
      <c r="H2587" t="s">
        <v>132</v>
      </c>
      <c r="I2587" t="s">
        <v>4</v>
      </c>
      <c r="J2587" t="s">
        <v>4276</v>
      </c>
      <c r="K2587" t="s">
        <v>54</v>
      </c>
      <c r="L2587"/>
      <c r="M2587" t="s">
        <v>134</v>
      </c>
      <c r="N2587" t="s">
        <v>135</v>
      </c>
      <c r="O2587"/>
      <c r="P2587"/>
      <c r="Q2587" t="s">
        <v>5058</v>
      </c>
      <c r="R2587"/>
      <c r="S2587"/>
      <c r="T2587"/>
      <c r="U2587" t="s">
        <v>137</v>
      </c>
      <c r="V2587" t="s">
        <v>703</v>
      </c>
      <c r="W2587" s="9">
        <v>46179.479040937498</v>
      </c>
      <c r="X2587" t="s">
        <v>62</v>
      </c>
      <c r="Y2587"/>
      <c r="Z2587"/>
      <c r="AA2587" t="s">
        <v>5059</v>
      </c>
      <c r="AB2587"/>
      <c r="AC2587" t="s">
        <v>24</v>
      </c>
      <c r="AD2587" t="s">
        <v>128</v>
      </c>
      <c r="AE2587" s="97"/>
    </row>
    <row r="2588" spans="1:31" ht="14.4" customHeight="1" x14ac:dyDescent="0.3">
      <c r="A2588" t="s">
        <v>5142</v>
      </c>
      <c r="B2588"/>
      <c r="C2588" t="s">
        <v>4444</v>
      </c>
      <c r="D2588"/>
      <c r="E2588" t="s">
        <v>4444</v>
      </c>
      <c r="F2588" t="s">
        <v>6769</v>
      </c>
      <c r="G2588" t="s">
        <v>5057</v>
      </c>
      <c r="H2588" t="s">
        <v>132</v>
      </c>
      <c r="I2588" t="s">
        <v>4</v>
      </c>
      <c r="J2588" t="s">
        <v>4276</v>
      </c>
      <c r="K2588" t="s">
        <v>54</v>
      </c>
      <c r="L2588"/>
      <c r="M2588" t="s">
        <v>134</v>
      </c>
      <c r="N2588" t="s">
        <v>135</v>
      </c>
      <c r="O2588"/>
      <c r="P2588"/>
      <c r="Q2588" t="s">
        <v>5058</v>
      </c>
      <c r="R2588"/>
      <c r="S2588"/>
      <c r="T2588"/>
      <c r="U2588" t="s">
        <v>137</v>
      </c>
      <c r="V2588" t="s">
        <v>703</v>
      </c>
      <c r="W2588" s="9">
        <v>46147.495763657411</v>
      </c>
      <c r="X2588" t="s">
        <v>62</v>
      </c>
      <c r="Y2588"/>
      <c r="Z2588"/>
      <c r="AA2588" t="s">
        <v>5059</v>
      </c>
      <c r="AB2588"/>
      <c r="AC2588" t="s">
        <v>24</v>
      </c>
      <c r="AD2588" t="s">
        <v>128</v>
      </c>
      <c r="AE2588" s="97"/>
    </row>
    <row r="2589" spans="1:31" ht="14.4" customHeight="1" x14ac:dyDescent="0.3">
      <c r="A2589" t="s">
        <v>5143</v>
      </c>
      <c r="B2589"/>
      <c r="C2589" t="s">
        <v>4446</v>
      </c>
      <c r="D2589"/>
      <c r="E2589" t="s">
        <v>4446</v>
      </c>
      <c r="F2589" t="s">
        <v>6769</v>
      </c>
      <c r="G2589" t="s">
        <v>5057</v>
      </c>
      <c r="H2589" t="s">
        <v>132</v>
      </c>
      <c r="I2589" t="s">
        <v>4</v>
      </c>
      <c r="J2589" t="s">
        <v>4276</v>
      </c>
      <c r="K2589" t="s">
        <v>54</v>
      </c>
      <c r="L2589"/>
      <c r="M2589" t="s">
        <v>134</v>
      </c>
      <c r="N2589" t="s">
        <v>135</v>
      </c>
      <c r="O2589"/>
      <c r="P2589"/>
      <c r="Q2589" t="s">
        <v>5058</v>
      </c>
      <c r="R2589"/>
      <c r="S2589"/>
      <c r="T2589"/>
      <c r="U2589" t="s">
        <v>137</v>
      </c>
      <c r="V2589" t="s">
        <v>703</v>
      </c>
      <c r="W2589" s="9">
        <v>46179.480003275465</v>
      </c>
      <c r="X2589" t="s">
        <v>62</v>
      </c>
      <c r="Y2589"/>
      <c r="Z2589"/>
      <c r="AA2589" t="s">
        <v>5059</v>
      </c>
      <c r="AB2589"/>
      <c r="AC2589" t="s">
        <v>24</v>
      </c>
      <c r="AD2589" t="s">
        <v>128</v>
      </c>
      <c r="AE2589" s="97"/>
    </row>
    <row r="2590" spans="1:31" ht="14.4" customHeight="1" x14ac:dyDescent="0.3">
      <c r="A2590" t="s">
        <v>5144</v>
      </c>
      <c r="B2590"/>
      <c r="C2590" t="s">
        <v>4448</v>
      </c>
      <c r="D2590"/>
      <c r="E2590" t="s">
        <v>4448</v>
      </c>
      <c r="F2590" t="s">
        <v>6769</v>
      </c>
      <c r="G2590" t="s">
        <v>5057</v>
      </c>
      <c r="H2590" t="s">
        <v>132</v>
      </c>
      <c r="I2590" t="s">
        <v>4</v>
      </c>
      <c r="J2590" t="s">
        <v>4276</v>
      </c>
      <c r="K2590" t="s">
        <v>54</v>
      </c>
      <c r="L2590"/>
      <c r="M2590" t="s">
        <v>134</v>
      </c>
      <c r="N2590" t="s">
        <v>135</v>
      </c>
      <c r="O2590"/>
      <c r="P2590"/>
      <c r="Q2590" t="s">
        <v>5058</v>
      </c>
      <c r="R2590"/>
      <c r="S2590"/>
      <c r="T2590"/>
      <c r="U2590" t="s">
        <v>137</v>
      </c>
      <c r="V2590" t="s">
        <v>703</v>
      </c>
      <c r="W2590" s="9">
        <v>46179.480636805558</v>
      </c>
      <c r="X2590" t="s">
        <v>62</v>
      </c>
      <c r="Y2590"/>
      <c r="Z2590"/>
      <c r="AA2590" t="s">
        <v>5059</v>
      </c>
      <c r="AB2590"/>
      <c r="AC2590" t="s">
        <v>24</v>
      </c>
      <c r="AD2590" t="s">
        <v>128</v>
      </c>
      <c r="AE2590" s="97"/>
    </row>
    <row r="2591" spans="1:31" ht="14.4" customHeight="1" x14ac:dyDescent="0.3">
      <c r="A2591" t="s">
        <v>5145</v>
      </c>
      <c r="B2591"/>
      <c r="C2591" t="s">
        <v>4450</v>
      </c>
      <c r="D2591"/>
      <c r="E2591" t="s">
        <v>4450</v>
      </c>
      <c r="F2591" t="s">
        <v>6769</v>
      </c>
      <c r="G2591" t="s">
        <v>5057</v>
      </c>
      <c r="H2591" t="s">
        <v>132</v>
      </c>
      <c r="I2591" t="s">
        <v>4</v>
      </c>
      <c r="J2591" t="s">
        <v>4276</v>
      </c>
      <c r="K2591" t="s">
        <v>54</v>
      </c>
      <c r="L2591"/>
      <c r="M2591" t="s">
        <v>134</v>
      </c>
      <c r="N2591" t="s">
        <v>135</v>
      </c>
      <c r="O2591"/>
      <c r="P2591"/>
      <c r="Q2591" t="s">
        <v>5058</v>
      </c>
      <c r="R2591"/>
      <c r="S2591"/>
      <c r="T2591"/>
      <c r="U2591" t="s">
        <v>137</v>
      </c>
      <c r="V2591" t="s">
        <v>703</v>
      </c>
      <c r="W2591" s="9">
        <v>46179.476311574072</v>
      </c>
      <c r="X2591" t="s">
        <v>62</v>
      </c>
      <c r="Y2591"/>
      <c r="Z2591"/>
      <c r="AA2591" t="s">
        <v>5059</v>
      </c>
      <c r="AB2591"/>
      <c r="AC2591" t="s">
        <v>24</v>
      </c>
      <c r="AD2591" t="s">
        <v>128</v>
      </c>
      <c r="AE2591" s="97"/>
    </row>
    <row r="2592" spans="1:31" ht="14.4" customHeight="1" x14ac:dyDescent="0.3">
      <c r="A2592" t="s">
        <v>5146</v>
      </c>
      <c r="B2592"/>
      <c r="C2592" t="s">
        <v>4452</v>
      </c>
      <c r="D2592"/>
      <c r="E2592" t="s">
        <v>4452</v>
      </c>
      <c r="F2592" t="s">
        <v>6769</v>
      </c>
      <c r="G2592" t="s">
        <v>5057</v>
      </c>
      <c r="H2592" t="s">
        <v>132</v>
      </c>
      <c r="I2592" t="s">
        <v>4</v>
      </c>
      <c r="J2592" t="s">
        <v>4276</v>
      </c>
      <c r="K2592" t="s">
        <v>54</v>
      </c>
      <c r="L2592"/>
      <c r="M2592" t="s">
        <v>134</v>
      </c>
      <c r="N2592" t="s">
        <v>135</v>
      </c>
      <c r="O2592"/>
      <c r="P2592"/>
      <c r="Q2592" t="s">
        <v>5058</v>
      </c>
      <c r="R2592"/>
      <c r="S2592"/>
      <c r="T2592"/>
      <c r="U2592" t="s">
        <v>137</v>
      </c>
      <c r="V2592" t="s">
        <v>703</v>
      </c>
      <c r="W2592" s="9">
        <v>46179.477376655093</v>
      </c>
      <c r="X2592" t="s">
        <v>62</v>
      </c>
      <c r="Y2592"/>
      <c r="Z2592"/>
      <c r="AA2592" t="s">
        <v>5059</v>
      </c>
      <c r="AB2592"/>
      <c r="AC2592" t="s">
        <v>24</v>
      </c>
      <c r="AD2592" t="s">
        <v>128</v>
      </c>
      <c r="AE2592" s="97"/>
    </row>
    <row r="2593" spans="1:31" ht="14.4" customHeight="1" x14ac:dyDescent="0.3">
      <c r="A2593" t="s">
        <v>5147</v>
      </c>
      <c r="B2593"/>
      <c r="C2593" t="s">
        <v>4454</v>
      </c>
      <c r="D2593"/>
      <c r="E2593" t="s">
        <v>4454</v>
      </c>
      <c r="F2593" t="s">
        <v>6769</v>
      </c>
      <c r="G2593" t="s">
        <v>5057</v>
      </c>
      <c r="H2593" t="s">
        <v>132</v>
      </c>
      <c r="I2593" t="s">
        <v>4</v>
      </c>
      <c r="J2593" t="s">
        <v>4276</v>
      </c>
      <c r="K2593" t="s">
        <v>54</v>
      </c>
      <c r="L2593"/>
      <c r="M2593" t="s">
        <v>134</v>
      </c>
      <c r="N2593" t="s">
        <v>135</v>
      </c>
      <c r="O2593"/>
      <c r="P2593"/>
      <c r="Q2593" t="s">
        <v>5058</v>
      </c>
      <c r="R2593"/>
      <c r="S2593"/>
      <c r="T2593"/>
      <c r="U2593" t="s">
        <v>137</v>
      </c>
      <c r="V2593" t="s">
        <v>709</v>
      </c>
      <c r="W2593" s="9">
        <v>46192.483876157406</v>
      </c>
      <c r="X2593" t="s">
        <v>73</v>
      </c>
      <c r="Y2593"/>
      <c r="Z2593"/>
      <c r="AA2593" t="s">
        <v>5059</v>
      </c>
      <c r="AB2593"/>
      <c r="AC2593" t="s">
        <v>24</v>
      </c>
      <c r="AD2593" t="s">
        <v>128</v>
      </c>
      <c r="AE2593" s="97"/>
    </row>
    <row r="2594" spans="1:31" ht="14.4" customHeight="1" x14ac:dyDescent="0.3">
      <c r="A2594" t="s">
        <v>5148</v>
      </c>
      <c r="B2594"/>
      <c r="C2594" t="s">
        <v>4456</v>
      </c>
      <c r="D2594"/>
      <c r="E2594" t="s">
        <v>4456</v>
      </c>
      <c r="F2594" t="s">
        <v>6769</v>
      </c>
      <c r="G2594" t="s">
        <v>5057</v>
      </c>
      <c r="H2594" t="s">
        <v>132</v>
      </c>
      <c r="I2594" t="s">
        <v>4</v>
      </c>
      <c r="J2594" t="s">
        <v>4276</v>
      </c>
      <c r="K2594" t="s">
        <v>54</v>
      </c>
      <c r="L2594"/>
      <c r="M2594" t="s">
        <v>134</v>
      </c>
      <c r="N2594" t="s">
        <v>135</v>
      </c>
      <c r="O2594"/>
      <c r="P2594"/>
      <c r="Q2594" t="s">
        <v>5058</v>
      </c>
      <c r="R2594"/>
      <c r="S2594"/>
      <c r="T2594"/>
      <c r="U2594" t="s">
        <v>137</v>
      </c>
      <c r="V2594" t="s">
        <v>709</v>
      </c>
      <c r="W2594" s="9">
        <v>46176.198778784725</v>
      </c>
      <c r="X2594" t="s">
        <v>73</v>
      </c>
      <c r="Y2594"/>
      <c r="Z2594"/>
      <c r="AA2594" t="s">
        <v>5059</v>
      </c>
      <c r="AB2594"/>
      <c r="AC2594" t="s">
        <v>24</v>
      </c>
      <c r="AD2594" t="s">
        <v>128</v>
      </c>
      <c r="AE2594" s="97"/>
    </row>
    <row r="2595" spans="1:31" ht="14.4" customHeight="1" x14ac:dyDescent="0.3">
      <c r="A2595" t="s">
        <v>5149</v>
      </c>
      <c r="B2595"/>
      <c r="C2595" t="s">
        <v>4458</v>
      </c>
      <c r="D2595"/>
      <c r="E2595" t="s">
        <v>4458</v>
      </c>
      <c r="F2595" t="s">
        <v>6769</v>
      </c>
      <c r="G2595" t="s">
        <v>5057</v>
      </c>
      <c r="H2595" t="s">
        <v>132</v>
      </c>
      <c r="I2595" t="s">
        <v>4</v>
      </c>
      <c r="J2595" t="s">
        <v>4276</v>
      </c>
      <c r="K2595" t="s">
        <v>54</v>
      </c>
      <c r="L2595"/>
      <c r="M2595" t="s">
        <v>134</v>
      </c>
      <c r="N2595" t="s">
        <v>135</v>
      </c>
      <c r="O2595"/>
      <c r="P2595"/>
      <c r="Q2595" t="s">
        <v>5058</v>
      </c>
      <c r="R2595"/>
      <c r="S2595"/>
      <c r="T2595"/>
      <c r="U2595" t="s">
        <v>137</v>
      </c>
      <c r="V2595" t="s">
        <v>709</v>
      </c>
      <c r="W2595" s="9">
        <v>46192.478304363423</v>
      </c>
      <c r="X2595" t="s">
        <v>73</v>
      </c>
      <c r="Y2595"/>
      <c r="Z2595"/>
      <c r="AA2595" t="s">
        <v>5059</v>
      </c>
      <c r="AB2595"/>
      <c r="AC2595" t="s">
        <v>24</v>
      </c>
      <c r="AD2595" t="s">
        <v>128</v>
      </c>
      <c r="AE2595" s="97"/>
    </row>
    <row r="2596" spans="1:31" ht="14.4" customHeight="1" x14ac:dyDescent="0.3">
      <c r="A2596" t="s">
        <v>5150</v>
      </c>
      <c r="B2596"/>
      <c r="C2596" t="s">
        <v>4460</v>
      </c>
      <c r="D2596"/>
      <c r="E2596" t="s">
        <v>4460</v>
      </c>
      <c r="F2596" t="s">
        <v>6769</v>
      </c>
      <c r="G2596" t="s">
        <v>5057</v>
      </c>
      <c r="H2596" t="s">
        <v>132</v>
      </c>
      <c r="I2596" t="s">
        <v>4</v>
      </c>
      <c r="J2596" t="s">
        <v>4276</v>
      </c>
      <c r="K2596" t="s">
        <v>54</v>
      </c>
      <c r="L2596"/>
      <c r="M2596" t="s">
        <v>134</v>
      </c>
      <c r="N2596" t="s">
        <v>135</v>
      </c>
      <c r="O2596"/>
      <c r="P2596"/>
      <c r="Q2596" t="s">
        <v>5058</v>
      </c>
      <c r="R2596"/>
      <c r="S2596"/>
      <c r="T2596"/>
      <c r="U2596" t="s">
        <v>137</v>
      </c>
      <c r="V2596" t="s">
        <v>709</v>
      </c>
      <c r="W2596" s="9">
        <v>46192.478707835646</v>
      </c>
      <c r="X2596" t="s">
        <v>73</v>
      </c>
      <c r="Y2596"/>
      <c r="Z2596"/>
      <c r="AA2596" t="s">
        <v>5059</v>
      </c>
      <c r="AB2596"/>
      <c r="AC2596" t="s">
        <v>24</v>
      </c>
      <c r="AD2596" t="s">
        <v>128</v>
      </c>
      <c r="AE2596" s="97"/>
    </row>
    <row r="2597" spans="1:31" ht="14.4" customHeight="1" x14ac:dyDescent="0.3">
      <c r="A2597" t="s">
        <v>5151</v>
      </c>
      <c r="B2597"/>
      <c r="C2597" t="s">
        <v>4462</v>
      </c>
      <c r="D2597"/>
      <c r="E2597" t="s">
        <v>4462</v>
      </c>
      <c r="F2597" t="s">
        <v>6769</v>
      </c>
      <c r="G2597" t="s">
        <v>5057</v>
      </c>
      <c r="H2597" t="s">
        <v>132</v>
      </c>
      <c r="I2597" t="s">
        <v>4</v>
      </c>
      <c r="J2597" t="s">
        <v>4276</v>
      </c>
      <c r="K2597" t="s">
        <v>54</v>
      </c>
      <c r="L2597"/>
      <c r="M2597" t="s">
        <v>134</v>
      </c>
      <c r="N2597" t="s">
        <v>135</v>
      </c>
      <c r="O2597"/>
      <c r="P2597"/>
      <c r="Q2597" t="s">
        <v>5058</v>
      </c>
      <c r="R2597"/>
      <c r="S2597"/>
      <c r="T2597"/>
      <c r="U2597" t="s">
        <v>137</v>
      </c>
      <c r="V2597" t="s">
        <v>709</v>
      </c>
      <c r="W2597" s="9">
        <v>46192.479462928241</v>
      </c>
      <c r="X2597" t="s">
        <v>73</v>
      </c>
      <c r="Y2597"/>
      <c r="Z2597"/>
      <c r="AA2597" t="s">
        <v>5059</v>
      </c>
      <c r="AB2597"/>
      <c r="AC2597" t="s">
        <v>24</v>
      </c>
      <c r="AD2597" t="s">
        <v>128</v>
      </c>
      <c r="AE2597" s="97"/>
    </row>
    <row r="2598" spans="1:31" ht="14.4" customHeight="1" x14ac:dyDescent="0.3">
      <c r="A2598" t="s">
        <v>5152</v>
      </c>
      <c r="B2598"/>
      <c r="C2598" t="s">
        <v>4464</v>
      </c>
      <c r="D2598"/>
      <c r="E2598" t="s">
        <v>4464</v>
      </c>
      <c r="F2598" t="s">
        <v>6769</v>
      </c>
      <c r="G2598" t="s">
        <v>5057</v>
      </c>
      <c r="H2598" t="s">
        <v>132</v>
      </c>
      <c r="I2598" t="s">
        <v>4</v>
      </c>
      <c r="J2598" t="s">
        <v>4276</v>
      </c>
      <c r="K2598" t="s">
        <v>54</v>
      </c>
      <c r="L2598"/>
      <c r="M2598" t="s">
        <v>134</v>
      </c>
      <c r="N2598" t="s">
        <v>135</v>
      </c>
      <c r="O2598"/>
      <c r="P2598"/>
      <c r="Q2598" t="s">
        <v>5058</v>
      </c>
      <c r="R2598"/>
      <c r="S2598"/>
      <c r="T2598"/>
      <c r="U2598" t="s">
        <v>137</v>
      </c>
      <c r="V2598" t="s">
        <v>709</v>
      </c>
      <c r="W2598" s="9">
        <v>46192.480811030095</v>
      </c>
      <c r="X2598" t="s">
        <v>73</v>
      </c>
      <c r="Y2598"/>
      <c r="Z2598"/>
      <c r="AA2598" t="s">
        <v>5059</v>
      </c>
      <c r="AB2598"/>
      <c r="AC2598" t="s">
        <v>24</v>
      </c>
      <c r="AD2598" t="s">
        <v>128</v>
      </c>
      <c r="AE2598" s="97"/>
    </row>
    <row r="2599" spans="1:31" ht="14.4" customHeight="1" x14ac:dyDescent="0.3">
      <c r="A2599" t="s">
        <v>5153</v>
      </c>
      <c r="B2599"/>
      <c r="C2599" t="s">
        <v>4466</v>
      </c>
      <c r="D2599"/>
      <c r="E2599" t="s">
        <v>4466</v>
      </c>
      <c r="F2599" t="s">
        <v>6769</v>
      </c>
      <c r="G2599" t="s">
        <v>5057</v>
      </c>
      <c r="H2599" t="s">
        <v>132</v>
      </c>
      <c r="I2599" t="s">
        <v>4</v>
      </c>
      <c r="J2599" t="s">
        <v>4276</v>
      </c>
      <c r="K2599" t="s">
        <v>54</v>
      </c>
      <c r="L2599"/>
      <c r="M2599" t="s">
        <v>134</v>
      </c>
      <c r="N2599" t="s">
        <v>135</v>
      </c>
      <c r="O2599"/>
      <c r="P2599"/>
      <c r="Q2599" t="s">
        <v>5058</v>
      </c>
      <c r="R2599"/>
      <c r="S2599"/>
      <c r="T2599"/>
      <c r="U2599" t="s">
        <v>137</v>
      </c>
      <c r="V2599" t="s">
        <v>715</v>
      </c>
      <c r="W2599" s="9">
        <v>46198.358854282407</v>
      </c>
      <c r="X2599" t="s">
        <v>82</v>
      </c>
      <c r="Y2599"/>
      <c r="Z2599"/>
      <c r="AA2599" t="s">
        <v>5059</v>
      </c>
      <c r="AB2599"/>
      <c r="AC2599" t="s">
        <v>24</v>
      </c>
      <c r="AD2599" t="s">
        <v>129</v>
      </c>
      <c r="AE2599" s="97"/>
    </row>
    <row r="2600" spans="1:31" ht="14.4" customHeight="1" x14ac:dyDescent="0.3">
      <c r="A2600" t="s">
        <v>5154</v>
      </c>
      <c r="B2600"/>
      <c r="C2600" t="s">
        <v>4468</v>
      </c>
      <c r="D2600"/>
      <c r="E2600" t="s">
        <v>4468</v>
      </c>
      <c r="F2600" t="s">
        <v>6769</v>
      </c>
      <c r="G2600" t="s">
        <v>5057</v>
      </c>
      <c r="H2600" t="s">
        <v>132</v>
      </c>
      <c r="I2600" t="s">
        <v>4</v>
      </c>
      <c r="J2600" t="s">
        <v>4276</v>
      </c>
      <c r="K2600" t="s">
        <v>54</v>
      </c>
      <c r="L2600"/>
      <c r="M2600" t="s">
        <v>134</v>
      </c>
      <c r="N2600" t="s">
        <v>135</v>
      </c>
      <c r="O2600"/>
      <c r="P2600"/>
      <c r="Q2600" t="s">
        <v>5058</v>
      </c>
      <c r="R2600"/>
      <c r="S2600"/>
      <c r="T2600"/>
      <c r="U2600" t="s">
        <v>137</v>
      </c>
      <c r="V2600" t="s">
        <v>715</v>
      </c>
      <c r="W2600" s="9">
        <v>46174.352918055556</v>
      </c>
      <c r="X2600" t="s">
        <v>82</v>
      </c>
      <c r="Y2600"/>
      <c r="Z2600"/>
      <c r="AA2600" t="s">
        <v>5059</v>
      </c>
      <c r="AB2600"/>
      <c r="AC2600" t="s">
        <v>24</v>
      </c>
      <c r="AD2600" t="s">
        <v>129</v>
      </c>
      <c r="AE2600" s="97"/>
    </row>
    <row r="2601" spans="1:31" ht="14.4" customHeight="1" x14ac:dyDescent="0.3">
      <c r="A2601" t="s">
        <v>5155</v>
      </c>
      <c r="B2601"/>
      <c r="C2601" t="s">
        <v>4470</v>
      </c>
      <c r="D2601"/>
      <c r="E2601" t="s">
        <v>4470</v>
      </c>
      <c r="F2601" t="s">
        <v>6769</v>
      </c>
      <c r="G2601" t="s">
        <v>5057</v>
      </c>
      <c r="H2601" t="s">
        <v>132</v>
      </c>
      <c r="I2601" t="s">
        <v>4</v>
      </c>
      <c r="J2601" t="s">
        <v>4276</v>
      </c>
      <c r="K2601" t="s">
        <v>54</v>
      </c>
      <c r="L2601"/>
      <c r="M2601" t="s">
        <v>134</v>
      </c>
      <c r="N2601" t="s">
        <v>135</v>
      </c>
      <c r="O2601"/>
      <c r="P2601"/>
      <c r="Q2601" t="s">
        <v>5058</v>
      </c>
      <c r="R2601"/>
      <c r="S2601"/>
      <c r="T2601"/>
      <c r="U2601" t="s">
        <v>137</v>
      </c>
      <c r="V2601" t="s">
        <v>715</v>
      </c>
      <c r="W2601" s="9">
        <v>46192.588901817129</v>
      </c>
      <c r="X2601" t="s">
        <v>82</v>
      </c>
      <c r="Y2601"/>
      <c r="Z2601"/>
      <c r="AA2601" t="s">
        <v>5059</v>
      </c>
      <c r="AB2601"/>
      <c r="AC2601" t="s">
        <v>24</v>
      </c>
      <c r="AD2601" t="s">
        <v>129</v>
      </c>
      <c r="AE2601" s="97"/>
    </row>
    <row r="2602" spans="1:31" ht="14.4" customHeight="1" x14ac:dyDescent="0.3">
      <c r="A2602" t="s">
        <v>5156</v>
      </c>
      <c r="B2602"/>
      <c r="C2602" t="s">
        <v>4472</v>
      </c>
      <c r="D2602"/>
      <c r="E2602" t="s">
        <v>4472</v>
      </c>
      <c r="F2602" t="s">
        <v>6769</v>
      </c>
      <c r="G2602" t="s">
        <v>5057</v>
      </c>
      <c r="H2602" t="s">
        <v>132</v>
      </c>
      <c r="I2602" t="s">
        <v>4</v>
      </c>
      <c r="J2602" t="s">
        <v>4276</v>
      </c>
      <c r="K2602" t="s">
        <v>54</v>
      </c>
      <c r="L2602"/>
      <c r="M2602" t="s">
        <v>134</v>
      </c>
      <c r="N2602" t="s">
        <v>135</v>
      </c>
      <c r="O2602"/>
      <c r="P2602"/>
      <c r="Q2602" t="s">
        <v>5058</v>
      </c>
      <c r="R2602"/>
      <c r="S2602"/>
      <c r="T2602"/>
      <c r="U2602" t="s">
        <v>137</v>
      </c>
      <c r="V2602" t="s">
        <v>715</v>
      </c>
      <c r="W2602" s="9">
        <v>46192.589373726849</v>
      </c>
      <c r="X2602" t="s">
        <v>82</v>
      </c>
      <c r="Y2602"/>
      <c r="Z2602"/>
      <c r="AA2602" t="s">
        <v>5059</v>
      </c>
      <c r="AB2602"/>
      <c r="AC2602" t="s">
        <v>24</v>
      </c>
      <c r="AD2602" t="s">
        <v>129</v>
      </c>
      <c r="AE2602" s="97"/>
    </row>
    <row r="2603" spans="1:31" ht="14.4" customHeight="1" x14ac:dyDescent="0.3">
      <c r="A2603" t="s">
        <v>5157</v>
      </c>
      <c r="B2603"/>
      <c r="C2603" t="s">
        <v>4474</v>
      </c>
      <c r="D2603"/>
      <c r="E2603" t="s">
        <v>4474</v>
      </c>
      <c r="F2603" t="s">
        <v>6769</v>
      </c>
      <c r="G2603" t="s">
        <v>5057</v>
      </c>
      <c r="H2603" t="s">
        <v>132</v>
      </c>
      <c r="I2603" t="s">
        <v>4</v>
      </c>
      <c r="J2603" t="s">
        <v>4276</v>
      </c>
      <c r="K2603" t="s">
        <v>54</v>
      </c>
      <c r="L2603"/>
      <c r="M2603" t="s">
        <v>134</v>
      </c>
      <c r="N2603" t="s">
        <v>135</v>
      </c>
      <c r="O2603"/>
      <c r="P2603"/>
      <c r="Q2603" t="s">
        <v>5058</v>
      </c>
      <c r="R2603"/>
      <c r="S2603"/>
      <c r="T2603"/>
      <c r="U2603" t="s">
        <v>137</v>
      </c>
      <c r="V2603" t="s">
        <v>715</v>
      </c>
      <c r="W2603" s="9">
        <v>46192.590179629631</v>
      </c>
      <c r="X2603" t="s">
        <v>82</v>
      </c>
      <c r="Y2603"/>
      <c r="Z2603"/>
      <c r="AA2603" t="s">
        <v>5059</v>
      </c>
      <c r="AB2603"/>
      <c r="AC2603" t="s">
        <v>24</v>
      </c>
      <c r="AD2603" t="s">
        <v>129</v>
      </c>
      <c r="AE2603" s="97"/>
    </row>
    <row r="2604" spans="1:31" ht="14.4" customHeight="1" x14ac:dyDescent="0.3">
      <c r="A2604" t="s">
        <v>5158</v>
      </c>
      <c r="B2604"/>
      <c r="C2604" t="s">
        <v>4476</v>
      </c>
      <c r="D2604"/>
      <c r="E2604" t="s">
        <v>4476</v>
      </c>
      <c r="F2604" t="s">
        <v>6769</v>
      </c>
      <c r="G2604" t="s">
        <v>5057</v>
      </c>
      <c r="H2604" t="s">
        <v>132</v>
      </c>
      <c r="I2604" t="s">
        <v>4</v>
      </c>
      <c r="J2604" t="s">
        <v>4276</v>
      </c>
      <c r="K2604" t="s">
        <v>54</v>
      </c>
      <c r="L2604"/>
      <c r="M2604" t="s">
        <v>134</v>
      </c>
      <c r="N2604" t="s">
        <v>135</v>
      </c>
      <c r="O2604"/>
      <c r="P2604"/>
      <c r="Q2604" t="s">
        <v>5058</v>
      </c>
      <c r="R2604"/>
      <c r="S2604"/>
      <c r="T2604"/>
      <c r="U2604" t="s">
        <v>137</v>
      </c>
      <c r="V2604" t="s">
        <v>715</v>
      </c>
      <c r="W2604" s="9">
        <v>46192.590832210648</v>
      </c>
      <c r="X2604" t="s">
        <v>82</v>
      </c>
      <c r="Y2604"/>
      <c r="Z2604"/>
      <c r="AA2604" t="s">
        <v>5059</v>
      </c>
      <c r="AB2604"/>
      <c r="AC2604" t="s">
        <v>24</v>
      </c>
      <c r="AD2604" t="s">
        <v>129</v>
      </c>
      <c r="AE2604" s="97"/>
    </row>
    <row r="2605" spans="1:31" ht="14.4" customHeight="1" x14ac:dyDescent="0.3">
      <c r="A2605" t="s">
        <v>5159</v>
      </c>
      <c r="B2605"/>
      <c r="C2605" t="s">
        <v>4478</v>
      </c>
      <c r="D2605"/>
      <c r="E2605" t="s">
        <v>4478</v>
      </c>
      <c r="F2605" t="s">
        <v>6769</v>
      </c>
      <c r="G2605" t="s">
        <v>5057</v>
      </c>
      <c r="H2605" t="s">
        <v>132</v>
      </c>
      <c r="I2605" t="s">
        <v>4</v>
      </c>
      <c r="J2605" t="s">
        <v>4276</v>
      </c>
      <c r="K2605" t="s">
        <v>54</v>
      </c>
      <c r="L2605"/>
      <c r="M2605" t="s">
        <v>134</v>
      </c>
      <c r="N2605" t="s">
        <v>135</v>
      </c>
      <c r="O2605"/>
      <c r="P2605"/>
      <c r="Q2605" t="s">
        <v>5058</v>
      </c>
      <c r="R2605"/>
      <c r="S2605" t="s">
        <v>5058</v>
      </c>
      <c r="T2605"/>
      <c r="U2605" t="s">
        <v>137</v>
      </c>
      <c r="V2605" t="s">
        <v>721</v>
      </c>
      <c r="W2605" s="9">
        <v>46193.288709224536</v>
      </c>
      <c r="X2605" t="s">
        <v>91</v>
      </c>
      <c r="Y2605"/>
      <c r="Z2605"/>
      <c r="AA2605" t="s">
        <v>5059</v>
      </c>
      <c r="AB2605"/>
      <c r="AC2605" t="s">
        <v>24</v>
      </c>
      <c r="AD2605" t="s">
        <v>129</v>
      </c>
      <c r="AE2605" s="97"/>
    </row>
    <row r="2606" spans="1:31" ht="14.4" customHeight="1" x14ac:dyDescent="0.3">
      <c r="A2606" t="s">
        <v>5160</v>
      </c>
      <c r="B2606"/>
      <c r="C2606" t="s">
        <v>4480</v>
      </c>
      <c r="D2606"/>
      <c r="E2606" t="s">
        <v>4480</v>
      </c>
      <c r="F2606" t="s">
        <v>6769</v>
      </c>
      <c r="G2606" t="s">
        <v>5057</v>
      </c>
      <c r="H2606" t="s">
        <v>132</v>
      </c>
      <c r="I2606" t="s">
        <v>4</v>
      </c>
      <c r="J2606" t="s">
        <v>4276</v>
      </c>
      <c r="K2606" t="s">
        <v>54</v>
      </c>
      <c r="L2606"/>
      <c r="M2606" t="s">
        <v>134</v>
      </c>
      <c r="N2606" t="s">
        <v>135</v>
      </c>
      <c r="O2606"/>
      <c r="P2606"/>
      <c r="Q2606" t="s">
        <v>5058</v>
      </c>
      <c r="R2606"/>
      <c r="S2606"/>
      <c r="T2606"/>
      <c r="U2606" t="s">
        <v>137</v>
      </c>
      <c r="V2606" t="s">
        <v>721</v>
      </c>
      <c r="W2606" s="9">
        <v>46196.343795601853</v>
      </c>
      <c r="X2606" t="s">
        <v>91</v>
      </c>
      <c r="Y2606"/>
      <c r="Z2606"/>
      <c r="AA2606" t="s">
        <v>5059</v>
      </c>
      <c r="AB2606"/>
      <c r="AC2606" t="s">
        <v>24</v>
      </c>
      <c r="AD2606" t="s">
        <v>129</v>
      </c>
      <c r="AE2606" s="97"/>
    </row>
    <row r="2607" spans="1:31" ht="14.4" customHeight="1" x14ac:dyDescent="0.3">
      <c r="A2607" t="s">
        <v>5161</v>
      </c>
      <c r="B2607"/>
      <c r="C2607" t="s">
        <v>4482</v>
      </c>
      <c r="D2607"/>
      <c r="E2607" t="s">
        <v>4482</v>
      </c>
      <c r="F2607" t="s">
        <v>6769</v>
      </c>
      <c r="G2607" t="s">
        <v>5057</v>
      </c>
      <c r="H2607" t="s">
        <v>132</v>
      </c>
      <c r="I2607" t="s">
        <v>4</v>
      </c>
      <c r="J2607" t="s">
        <v>4276</v>
      </c>
      <c r="K2607" t="s">
        <v>54</v>
      </c>
      <c r="L2607"/>
      <c r="M2607" t="s">
        <v>134</v>
      </c>
      <c r="N2607" t="s">
        <v>135</v>
      </c>
      <c r="O2607"/>
      <c r="P2607"/>
      <c r="Q2607" t="s">
        <v>5058</v>
      </c>
      <c r="R2607"/>
      <c r="S2607"/>
      <c r="T2607"/>
      <c r="U2607" t="s">
        <v>137</v>
      </c>
      <c r="V2607" t="s">
        <v>721</v>
      </c>
      <c r="W2607" s="9">
        <v>46193.202388506943</v>
      </c>
      <c r="X2607" t="s">
        <v>91</v>
      </c>
      <c r="Y2607"/>
      <c r="Z2607"/>
      <c r="AA2607" t="s">
        <v>5059</v>
      </c>
      <c r="AB2607"/>
      <c r="AC2607" t="s">
        <v>24</v>
      </c>
      <c r="AD2607" t="s">
        <v>129</v>
      </c>
      <c r="AE2607" s="97"/>
    </row>
    <row r="2608" spans="1:31" ht="14.4" customHeight="1" x14ac:dyDescent="0.3">
      <c r="A2608" t="s">
        <v>5162</v>
      </c>
      <c r="B2608"/>
      <c r="C2608" t="s">
        <v>4484</v>
      </c>
      <c r="D2608"/>
      <c r="E2608" t="s">
        <v>4484</v>
      </c>
      <c r="F2608" t="s">
        <v>6769</v>
      </c>
      <c r="G2608" t="s">
        <v>5057</v>
      </c>
      <c r="H2608" t="s">
        <v>132</v>
      </c>
      <c r="I2608" t="s">
        <v>4</v>
      </c>
      <c r="J2608" t="s">
        <v>4276</v>
      </c>
      <c r="K2608" t="s">
        <v>54</v>
      </c>
      <c r="L2608"/>
      <c r="M2608" t="s">
        <v>134</v>
      </c>
      <c r="N2608" t="s">
        <v>135</v>
      </c>
      <c r="O2608"/>
      <c r="P2608"/>
      <c r="Q2608" t="s">
        <v>5058</v>
      </c>
      <c r="R2608"/>
      <c r="S2608"/>
      <c r="T2608"/>
      <c r="U2608" t="s">
        <v>137</v>
      </c>
      <c r="V2608" t="s">
        <v>721</v>
      </c>
      <c r="W2608" s="9">
        <v>46193.201674849537</v>
      </c>
      <c r="X2608" t="s">
        <v>91</v>
      </c>
      <c r="Y2608"/>
      <c r="Z2608"/>
      <c r="AA2608" t="s">
        <v>5059</v>
      </c>
      <c r="AB2608"/>
      <c r="AC2608" t="s">
        <v>24</v>
      </c>
      <c r="AD2608" t="s">
        <v>129</v>
      </c>
      <c r="AE2608" s="97"/>
    </row>
    <row r="2609" spans="1:31" ht="14.4" customHeight="1" x14ac:dyDescent="0.3">
      <c r="A2609" t="s">
        <v>5163</v>
      </c>
      <c r="B2609"/>
      <c r="C2609" t="s">
        <v>4486</v>
      </c>
      <c r="D2609"/>
      <c r="E2609" t="s">
        <v>4486</v>
      </c>
      <c r="F2609" t="s">
        <v>6769</v>
      </c>
      <c r="G2609" t="s">
        <v>5057</v>
      </c>
      <c r="H2609" t="s">
        <v>132</v>
      </c>
      <c r="I2609" t="s">
        <v>4</v>
      </c>
      <c r="J2609" t="s">
        <v>4276</v>
      </c>
      <c r="K2609" t="s">
        <v>54</v>
      </c>
      <c r="L2609"/>
      <c r="M2609" t="s">
        <v>134</v>
      </c>
      <c r="N2609" t="s">
        <v>135</v>
      </c>
      <c r="O2609"/>
      <c r="P2609"/>
      <c r="Q2609" t="s">
        <v>5058</v>
      </c>
      <c r="R2609"/>
      <c r="S2609"/>
      <c r="T2609"/>
      <c r="U2609" t="s">
        <v>137</v>
      </c>
      <c r="V2609" t="s">
        <v>721</v>
      </c>
      <c r="W2609" s="9">
        <v>46193.201028043979</v>
      </c>
      <c r="X2609" t="s">
        <v>91</v>
      </c>
      <c r="Y2609"/>
      <c r="Z2609"/>
      <c r="AA2609" t="s">
        <v>5059</v>
      </c>
      <c r="AB2609"/>
      <c r="AC2609" t="s">
        <v>24</v>
      </c>
      <c r="AD2609" t="s">
        <v>129</v>
      </c>
      <c r="AE2609" s="97"/>
    </row>
    <row r="2610" spans="1:31" ht="14.4" customHeight="1" x14ac:dyDescent="0.3">
      <c r="A2610" t="s">
        <v>5164</v>
      </c>
      <c r="B2610"/>
      <c r="C2610" t="s">
        <v>4488</v>
      </c>
      <c r="D2610"/>
      <c r="E2610" t="s">
        <v>4488</v>
      </c>
      <c r="F2610" t="s">
        <v>6769</v>
      </c>
      <c r="G2610" t="s">
        <v>5057</v>
      </c>
      <c r="H2610" t="s">
        <v>132</v>
      </c>
      <c r="I2610" t="s">
        <v>4</v>
      </c>
      <c r="J2610" t="s">
        <v>4276</v>
      </c>
      <c r="K2610" t="s">
        <v>54</v>
      </c>
      <c r="L2610"/>
      <c r="M2610" t="s">
        <v>134</v>
      </c>
      <c r="N2610" t="s">
        <v>135</v>
      </c>
      <c r="O2610"/>
      <c r="P2610"/>
      <c r="Q2610" t="s">
        <v>5058</v>
      </c>
      <c r="R2610"/>
      <c r="S2610"/>
      <c r="T2610"/>
      <c r="U2610" t="s">
        <v>137</v>
      </c>
      <c r="V2610" t="s">
        <v>721</v>
      </c>
      <c r="W2610" s="9">
        <v>46193.200458912041</v>
      </c>
      <c r="X2610" t="s">
        <v>91</v>
      </c>
      <c r="Y2610"/>
      <c r="Z2610"/>
      <c r="AA2610" t="s">
        <v>5059</v>
      </c>
      <c r="AB2610"/>
      <c r="AC2610" t="s">
        <v>24</v>
      </c>
      <c r="AD2610" t="s">
        <v>129</v>
      </c>
      <c r="AE2610" s="97"/>
    </row>
    <row r="2611" spans="1:31" ht="14.4" customHeight="1" x14ac:dyDescent="0.3">
      <c r="A2611" t="s">
        <v>5165</v>
      </c>
      <c r="B2611"/>
      <c r="C2611" t="s">
        <v>4490</v>
      </c>
      <c r="D2611"/>
      <c r="E2611" t="s">
        <v>4490</v>
      </c>
      <c r="F2611" t="s">
        <v>6769</v>
      </c>
      <c r="G2611" t="s">
        <v>5057</v>
      </c>
      <c r="H2611" t="s">
        <v>132</v>
      </c>
      <c r="I2611" t="s">
        <v>4</v>
      </c>
      <c r="J2611" t="s">
        <v>4276</v>
      </c>
      <c r="K2611" t="s">
        <v>54</v>
      </c>
      <c r="L2611"/>
      <c r="M2611" t="s">
        <v>134</v>
      </c>
      <c r="N2611" t="s">
        <v>135</v>
      </c>
      <c r="O2611"/>
      <c r="P2611"/>
      <c r="Q2611" t="s">
        <v>5058</v>
      </c>
      <c r="R2611"/>
      <c r="S2611"/>
      <c r="T2611"/>
      <c r="U2611" t="s">
        <v>137</v>
      </c>
      <c r="V2611" t="s">
        <v>727</v>
      </c>
      <c r="W2611"/>
      <c r="X2611" t="s">
        <v>100</v>
      </c>
      <c r="Y2611"/>
      <c r="Z2611"/>
      <c r="AA2611" t="s">
        <v>5059</v>
      </c>
      <c r="AB2611"/>
      <c r="AC2611" t="s">
        <v>3733</v>
      </c>
      <c r="AD2611" t="s">
        <v>129</v>
      </c>
      <c r="AE2611" s="97"/>
    </row>
    <row r="2612" spans="1:31" ht="14.4" customHeight="1" x14ac:dyDescent="0.3">
      <c r="A2612" t="s">
        <v>5166</v>
      </c>
      <c r="B2612"/>
      <c r="C2612" t="s">
        <v>4492</v>
      </c>
      <c r="D2612"/>
      <c r="E2612" t="s">
        <v>4492</v>
      </c>
      <c r="F2612" t="s">
        <v>6769</v>
      </c>
      <c r="G2612" t="s">
        <v>5057</v>
      </c>
      <c r="H2612" t="s">
        <v>132</v>
      </c>
      <c r="I2612" t="s">
        <v>4</v>
      </c>
      <c r="J2612" t="s">
        <v>4276</v>
      </c>
      <c r="K2612" t="s">
        <v>54</v>
      </c>
      <c r="L2612"/>
      <c r="M2612" t="s">
        <v>134</v>
      </c>
      <c r="N2612" t="s">
        <v>135</v>
      </c>
      <c r="O2612"/>
      <c r="P2612"/>
      <c r="Q2612" t="s">
        <v>5058</v>
      </c>
      <c r="R2612"/>
      <c r="S2612"/>
      <c r="T2612"/>
      <c r="U2612" t="s">
        <v>137</v>
      </c>
      <c r="V2612" t="s">
        <v>727</v>
      </c>
      <c r="W2612" s="9">
        <v>46174.355105636576</v>
      </c>
      <c r="X2612" t="s">
        <v>100</v>
      </c>
      <c r="Y2612"/>
      <c r="Z2612"/>
      <c r="AA2612" t="s">
        <v>5059</v>
      </c>
      <c r="AB2612"/>
      <c r="AC2612" t="s">
        <v>24</v>
      </c>
      <c r="AD2612" t="s">
        <v>129</v>
      </c>
      <c r="AE2612" s="97"/>
    </row>
    <row r="2613" spans="1:31" ht="14.4" customHeight="1" x14ac:dyDescent="0.3">
      <c r="A2613" t="s">
        <v>5167</v>
      </c>
      <c r="B2613"/>
      <c r="C2613" t="s">
        <v>4494</v>
      </c>
      <c r="D2613"/>
      <c r="E2613" t="s">
        <v>4494</v>
      </c>
      <c r="F2613" t="s">
        <v>6769</v>
      </c>
      <c r="G2613" t="s">
        <v>5057</v>
      </c>
      <c r="H2613" t="s">
        <v>132</v>
      </c>
      <c r="I2613" t="s">
        <v>4</v>
      </c>
      <c r="J2613" t="s">
        <v>4276</v>
      </c>
      <c r="K2613" t="s">
        <v>54</v>
      </c>
      <c r="L2613"/>
      <c r="M2613" t="s">
        <v>134</v>
      </c>
      <c r="N2613" t="s">
        <v>135</v>
      </c>
      <c r="O2613"/>
      <c r="P2613"/>
      <c r="Q2613" t="s">
        <v>5058</v>
      </c>
      <c r="R2613"/>
      <c r="S2613"/>
      <c r="T2613"/>
      <c r="U2613" t="s">
        <v>137</v>
      </c>
      <c r="V2613" t="s">
        <v>727</v>
      </c>
      <c r="W2613"/>
      <c r="X2613" t="s">
        <v>100</v>
      </c>
      <c r="Y2613"/>
      <c r="Z2613"/>
      <c r="AA2613" t="s">
        <v>5059</v>
      </c>
      <c r="AB2613"/>
      <c r="AC2613" t="s">
        <v>3733</v>
      </c>
      <c r="AD2613" t="s">
        <v>129</v>
      </c>
      <c r="AE2613" s="97"/>
    </row>
    <row r="2614" spans="1:31" ht="14.4" customHeight="1" x14ac:dyDescent="0.3">
      <c r="A2614" t="s">
        <v>5168</v>
      </c>
      <c r="B2614"/>
      <c r="C2614" t="s">
        <v>4496</v>
      </c>
      <c r="D2614"/>
      <c r="E2614" t="s">
        <v>4496</v>
      </c>
      <c r="F2614" t="s">
        <v>6769</v>
      </c>
      <c r="G2614" t="s">
        <v>5057</v>
      </c>
      <c r="H2614" t="s">
        <v>132</v>
      </c>
      <c r="I2614" t="s">
        <v>4</v>
      </c>
      <c r="J2614" t="s">
        <v>4276</v>
      </c>
      <c r="K2614" t="s">
        <v>54</v>
      </c>
      <c r="L2614"/>
      <c r="M2614" t="s">
        <v>134</v>
      </c>
      <c r="N2614" t="s">
        <v>135</v>
      </c>
      <c r="O2614"/>
      <c r="P2614"/>
      <c r="Q2614" t="s">
        <v>5058</v>
      </c>
      <c r="R2614"/>
      <c r="S2614"/>
      <c r="T2614"/>
      <c r="U2614" t="s">
        <v>137</v>
      </c>
      <c r="V2614" t="s">
        <v>727</v>
      </c>
      <c r="W2614"/>
      <c r="X2614" t="s">
        <v>100</v>
      </c>
      <c r="Y2614"/>
      <c r="Z2614"/>
      <c r="AA2614" t="s">
        <v>5059</v>
      </c>
      <c r="AB2614"/>
      <c r="AC2614" t="s">
        <v>3733</v>
      </c>
      <c r="AD2614" t="s">
        <v>129</v>
      </c>
      <c r="AE2614" s="97"/>
    </row>
    <row r="2615" spans="1:31" ht="14.4" customHeight="1" x14ac:dyDescent="0.3">
      <c r="A2615" t="s">
        <v>5169</v>
      </c>
      <c r="B2615"/>
      <c r="C2615" t="s">
        <v>4498</v>
      </c>
      <c r="D2615"/>
      <c r="E2615" t="s">
        <v>4498</v>
      </c>
      <c r="F2615" t="s">
        <v>6769</v>
      </c>
      <c r="G2615" t="s">
        <v>5057</v>
      </c>
      <c r="H2615" t="s">
        <v>132</v>
      </c>
      <c r="I2615" t="s">
        <v>4</v>
      </c>
      <c r="J2615" t="s">
        <v>4276</v>
      </c>
      <c r="K2615" t="s">
        <v>54</v>
      </c>
      <c r="L2615"/>
      <c r="M2615" t="s">
        <v>134</v>
      </c>
      <c r="N2615" t="s">
        <v>135</v>
      </c>
      <c r="O2615"/>
      <c r="P2615"/>
      <c r="Q2615" t="s">
        <v>5058</v>
      </c>
      <c r="R2615"/>
      <c r="S2615"/>
      <c r="T2615"/>
      <c r="U2615" t="s">
        <v>137</v>
      </c>
      <c r="V2615" t="s">
        <v>727</v>
      </c>
      <c r="W2615"/>
      <c r="X2615" t="s">
        <v>100</v>
      </c>
      <c r="Y2615"/>
      <c r="Z2615"/>
      <c r="AA2615" t="s">
        <v>5059</v>
      </c>
      <c r="AB2615"/>
      <c r="AC2615" t="s">
        <v>3733</v>
      </c>
      <c r="AD2615" t="s">
        <v>129</v>
      </c>
      <c r="AE2615" s="97"/>
    </row>
    <row r="2616" spans="1:31" ht="14.4" customHeight="1" x14ac:dyDescent="0.3">
      <c r="A2616" t="s">
        <v>5170</v>
      </c>
      <c r="B2616"/>
      <c r="C2616" t="s">
        <v>4500</v>
      </c>
      <c r="D2616"/>
      <c r="E2616" t="s">
        <v>4500</v>
      </c>
      <c r="F2616" t="s">
        <v>6769</v>
      </c>
      <c r="G2616" t="s">
        <v>5057</v>
      </c>
      <c r="H2616" t="s">
        <v>132</v>
      </c>
      <c r="I2616" t="s">
        <v>4</v>
      </c>
      <c r="J2616" t="s">
        <v>4276</v>
      </c>
      <c r="K2616" t="s">
        <v>54</v>
      </c>
      <c r="L2616"/>
      <c r="M2616" t="s">
        <v>134</v>
      </c>
      <c r="N2616" t="s">
        <v>135</v>
      </c>
      <c r="O2616"/>
      <c r="P2616"/>
      <c r="Q2616" t="s">
        <v>5058</v>
      </c>
      <c r="R2616"/>
      <c r="S2616"/>
      <c r="T2616"/>
      <c r="U2616" t="s">
        <v>137</v>
      </c>
      <c r="V2616" t="s">
        <v>727</v>
      </c>
      <c r="W2616"/>
      <c r="X2616" t="s">
        <v>100</v>
      </c>
      <c r="Y2616"/>
      <c r="Z2616"/>
      <c r="AA2616" t="s">
        <v>5059</v>
      </c>
      <c r="AB2616"/>
      <c r="AC2616" t="s">
        <v>3733</v>
      </c>
      <c r="AD2616" t="s">
        <v>129</v>
      </c>
      <c r="AE2616" s="97"/>
    </row>
    <row r="2617" spans="1:31" ht="14.4" customHeight="1" x14ac:dyDescent="0.3">
      <c r="A2617" t="s">
        <v>5171</v>
      </c>
      <c r="B2617"/>
      <c r="C2617" t="s">
        <v>4502</v>
      </c>
      <c r="D2617"/>
      <c r="E2617" t="s">
        <v>4502</v>
      </c>
      <c r="F2617" t="s">
        <v>6769</v>
      </c>
      <c r="G2617" t="s">
        <v>5057</v>
      </c>
      <c r="H2617" t="s">
        <v>132</v>
      </c>
      <c r="I2617" t="s">
        <v>4</v>
      </c>
      <c r="J2617" t="s">
        <v>4276</v>
      </c>
      <c r="K2617" t="s">
        <v>54</v>
      </c>
      <c r="L2617"/>
      <c r="M2617" t="s">
        <v>134</v>
      </c>
      <c r="N2617" t="s">
        <v>135</v>
      </c>
      <c r="O2617"/>
      <c r="P2617"/>
      <c r="Q2617" t="s">
        <v>5058</v>
      </c>
      <c r="R2617"/>
      <c r="S2617"/>
      <c r="T2617"/>
      <c r="U2617" t="s">
        <v>137</v>
      </c>
      <c r="V2617" t="s">
        <v>733</v>
      </c>
      <c r="W2617"/>
      <c r="X2617" t="s">
        <v>109</v>
      </c>
      <c r="Y2617"/>
      <c r="Z2617"/>
      <c r="AA2617" t="s">
        <v>5059</v>
      </c>
      <c r="AB2617"/>
      <c r="AC2617" t="s">
        <v>3733</v>
      </c>
      <c r="AD2617" t="s">
        <v>129</v>
      </c>
      <c r="AE2617" s="97"/>
    </row>
    <row r="2618" spans="1:31" ht="14.4" customHeight="1" x14ac:dyDescent="0.3">
      <c r="A2618" t="s">
        <v>5172</v>
      </c>
      <c r="B2618"/>
      <c r="C2618" t="s">
        <v>4504</v>
      </c>
      <c r="D2618"/>
      <c r="E2618" t="s">
        <v>4504</v>
      </c>
      <c r="F2618" t="s">
        <v>6769</v>
      </c>
      <c r="G2618" t="s">
        <v>5057</v>
      </c>
      <c r="H2618" t="s">
        <v>132</v>
      </c>
      <c r="I2618" t="s">
        <v>4</v>
      </c>
      <c r="J2618" t="s">
        <v>4276</v>
      </c>
      <c r="K2618" t="s">
        <v>54</v>
      </c>
      <c r="L2618"/>
      <c r="M2618" t="s">
        <v>134</v>
      </c>
      <c r="N2618" t="s">
        <v>135</v>
      </c>
      <c r="O2618"/>
      <c r="P2618"/>
      <c r="Q2618" t="s">
        <v>5058</v>
      </c>
      <c r="R2618"/>
      <c r="S2618"/>
      <c r="T2618"/>
      <c r="U2618" t="s">
        <v>137</v>
      </c>
      <c r="V2618" t="s">
        <v>733</v>
      </c>
      <c r="W2618" s="9">
        <v>46174.350784918985</v>
      </c>
      <c r="X2618" t="s">
        <v>109</v>
      </c>
      <c r="Y2618"/>
      <c r="Z2618"/>
      <c r="AA2618" t="s">
        <v>5059</v>
      </c>
      <c r="AB2618"/>
      <c r="AC2618" t="s">
        <v>24</v>
      </c>
      <c r="AD2618" t="s">
        <v>129</v>
      </c>
      <c r="AE2618" s="97"/>
    </row>
    <row r="2619" spans="1:31" ht="14.4" customHeight="1" x14ac:dyDescent="0.3">
      <c r="A2619" t="s">
        <v>5173</v>
      </c>
      <c r="B2619"/>
      <c r="C2619" t="s">
        <v>4506</v>
      </c>
      <c r="D2619"/>
      <c r="E2619" t="s">
        <v>4506</v>
      </c>
      <c r="F2619" t="s">
        <v>6769</v>
      </c>
      <c r="G2619" t="s">
        <v>5057</v>
      </c>
      <c r="H2619" t="s">
        <v>132</v>
      </c>
      <c r="I2619" t="s">
        <v>4</v>
      </c>
      <c r="J2619" t="s">
        <v>4276</v>
      </c>
      <c r="K2619" t="s">
        <v>54</v>
      </c>
      <c r="L2619"/>
      <c r="M2619" t="s">
        <v>134</v>
      </c>
      <c r="N2619" t="s">
        <v>135</v>
      </c>
      <c r="O2619"/>
      <c r="P2619"/>
      <c r="Q2619" t="s">
        <v>5058</v>
      </c>
      <c r="R2619"/>
      <c r="S2619"/>
      <c r="T2619"/>
      <c r="U2619" t="s">
        <v>137</v>
      </c>
      <c r="V2619" t="s">
        <v>733</v>
      </c>
      <c r="W2619"/>
      <c r="X2619" t="s">
        <v>109</v>
      </c>
      <c r="Y2619"/>
      <c r="Z2619"/>
      <c r="AA2619" t="s">
        <v>5059</v>
      </c>
      <c r="AB2619"/>
      <c r="AC2619" t="s">
        <v>3733</v>
      </c>
      <c r="AD2619" t="s">
        <v>129</v>
      </c>
      <c r="AE2619" s="97"/>
    </row>
    <row r="2620" spans="1:31" ht="14.4" customHeight="1" x14ac:dyDescent="0.3">
      <c r="A2620" t="s">
        <v>5174</v>
      </c>
      <c r="B2620"/>
      <c r="C2620" t="s">
        <v>4508</v>
      </c>
      <c r="D2620"/>
      <c r="E2620" t="s">
        <v>4508</v>
      </c>
      <c r="F2620" t="s">
        <v>6769</v>
      </c>
      <c r="G2620" t="s">
        <v>5057</v>
      </c>
      <c r="H2620" t="s">
        <v>132</v>
      </c>
      <c r="I2620" t="s">
        <v>4</v>
      </c>
      <c r="J2620" t="s">
        <v>4276</v>
      </c>
      <c r="K2620" t="s">
        <v>54</v>
      </c>
      <c r="L2620"/>
      <c r="M2620" t="s">
        <v>134</v>
      </c>
      <c r="N2620" t="s">
        <v>135</v>
      </c>
      <c r="O2620"/>
      <c r="P2620"/>
      <c r="Q2620" t="s">
        <v>5058</v>
      </c>
      <c r="R2620"/>
      <c r="S2620"/>
      <c r="T2620"/>
      <c r="U2620" t="s">
        <v>137</v>
      </c>
      <c r="V2620" t="s">
        <v>733</v>
      </c>
      <c r="W2620"/>
      <c r="X2620" t="s">
        <v>109</v>
      </c>
      <c r="Y2620"/>
      <c r="Z2620"/>
      <c r="AA2620" t="s">
        <v>5059</v>
      </c>
      <c r="AB2620"/>
      <c r="AC2620" t="s">
        <v>3733</v>
      </c>
      <c r="AD2620" t="s">
        <v>129</v>
      </c>
      <c r="AE2620" s="97"/>
    </row>
    <row r="2621" spans="1:31" ht="14.4" customHeight="1" x14ac:dyDescent="0.3">
      <c r="A2621" t="s">
        <v>5175</v>
      </c>
      <c r="B2621"/>
      <c r="C2621" t="s">
        <v>4510</v>
      </c>
      <c r="D2621"/>
      <c r="E2621" t="s">
        <v>4510</v>
      </c>
      <c r="F2621" t="s">
        <v>6769</v>
      </c>
      <c r="G2621" t="s">
        <v>5057</v>
      </c>
      <c r="H2621" t="s">
        <v>132</v>
      </c>
      <c r="I2621" t="s">
        <v>4</v>
      </c>
      <c r="J2621" t="s">
        <v>4276</v>
      </c>
      <c r="K2621" t="s">
        <v>54</v>
      </c>
      <c r="L2621"/>
      <c r="M2621" t="s">
        <v>134</v>
      </c>
      <c r="N2621" t="s">
        <v>135</v>
      </c>
      <c r="O2621"/>
      <c r="P2621"/>
      <c r="Q2621" t="s">
        <v>5058</v>
      </c>
      <c r="R2621"/>
      <c r="S2621"/>
      <c r="T2621"/>
      <c r="U2621" t="s">
        <v>137</v>
      </c>
      <c r="V2621" t="s">
        <v>733</v>
      </c>
      <c r="W2621"/>
      <c r="X2621" t="s">
        <v>109</v>
      </c>
      <c r="Y2621"/>
      <c r="Z2621"/>
      <c r="AA2621" t="s">
        <v>5059</v>
      </c>
      <c r="AB2621"/>
      <c r="AC2621" t="s">
        <v>3733</v>
      </c>
      <c r="AD2621" t="s">
        <v>129</v>
      </c>
      <c r="AE2621" s="97"/>
    </row>
    <row r="2622" spans="1:31" ht="14.4" customHeight="1" x14ac:dyDescent="0.3">
      <c r="A2622" t="s">
        <v>5176</v>
      </c>
      <c r="B2622"/>
      <c r="C2622" t="s">
        <v>4512</v>
      </c>
      <c r="D2622"/>
      <c r="E2622" t="s">
        <v>4512</v>
      </c>
      <c r="F2622" t="s">
        <v>6769</v>
      </c>
      <c r="G2622" t="s">
        <v>5057</v>
      </c>
      <c r="H2622" t="s">
        <v>132</v>
      </c>
      <c r="I2622" t="s">
        <v>4</v>
      </c>
      <c r="J2622" t="s">
        <v>4276</v>
      </c>
      <c r="K2622" t="s">
        <v>54</v>
      </c>
      <c r="L2622"/>
      <c r="M2622" t="s">
        <v>134</v>
      </c>
      <c r="N2622" t="s">
        <v>135</v>
      </c>
      <c r="O2622"/>
      <c r="P2622"/>
      <c r="Q2622" t="s">
        <v>5058</v>
      </c>
      <c r="R2622"/>
      <c r="S2622"/>
      <c r="T2622"/>
      <c r="U2622" t="s">
        <v>137</v>
      </c>
      <c r="V2622" t="s">
        <v>733</v>
      </c>
      <c r="W2622"/>
      <c r="X2622" t="s">
        <v>109</v>
      </c>
      <c r="Y2622"/>
      <c r="Z2622"/>
      <c r="AA2622" t="s">
        <v>5059</v>
      </c>
      <c r="AB2622"/>
      <c r="AC2622" t="s">
        <v>3733</v>
      </c>
      <c r="AD2622" t="s">
        <v>129</v>
      </c>
      <c r="AE2622" s="97"/>
    </row>
    <row r="2623" spans="1:31" ht="14.4" customHeight="1" x14ac:dyDescent="0.3">
      <c r="A2623" t="s">
        <v>5177</v>
      </c>
      <c r="B2623"/>
      <c r="C2623" t="s">
        <v>4514</v>
      </c>
      <c r="D2623"/>
      <c r="E2623" t="s">
        <v>4514</v>
      </c>
      <c r="F2623" t="s">
        <v>6769</v>
      </c>
      <c r="G2623" t="s">
        <v>5057</v>
      </c>
      <c r="H2623" t="s">
        <v>132</v>
      </c>
      <c r="I2623" t="s">
        <v>4</v>
      </c>
      <c r="J2623" t="s">
        <v>4276</v>
      </c>
      <c r="K2623" t="s">
        <v>54</v>
      </c>
      <c r="L2623"/>
      <c r="M2623" t="s">
        <v>134</v>
      </c>
      <c r="N2623" t="s">
        <v>135</v>
      </c>
      <c r="O2623"/>
      <c r="P2623"/>
      <c r="Q2623" t="s">
        <v>5058</v>
      </c>
      <c r="R2623"/>
      <c r="S2623"/>
      <c r="T2623"/>
      <c r="U2623" t="s">
        <v>137</v>
      </c>
      <c r="V2623" t="s">
        <v>739</v>
      </c>
      <c r="W2623"/>
      <c r="X2623" t="s">
        <v>118</v>
      </c>
      <c r="Y2623"/>
      <c r="Z2623"/>
      <c r="AA2623"/>
      <c r="AB2623"/>
      <c r="AC2623" t="s">
        <v>138</v>
      </c>
      <c r="AD2623" t="s">
        <v>130</v>
      </c>
      <c r="AE2623" s="97"/>
    </row>
    <row r="2624" spans="1:31" ht="14.4" customHeight="1" x14ac:dyDescent="0.3">
      <c r="A2624" t="s">
        <v>5178</v>
      </c>
      <c r="B2624"/>
      <c r="C2624" t="s">
        <v>4516</v>
      </c>
      <c r="D2624"/>
      <c r="E2624" t="s">
        <v>4516</v>
      </c>
      <c r="F2624" t="s">
        <v>6769</v>
      </c>
      <c r="G2624" t="s">
        <v>5057</v>
      </c>
      <c r="H2624" t="s">
        <v>132</v>
      </c>
      <c r="I2624" t="s">
        <v>4</v>
      </c>
      <c r="J2624" t="s">
        <v>4276</v>
      </c>
      <c r="K2624" t="s">
        <v>54</v>
      </c>
      <c r="L2624"/>
      <c r="M2624" t="s">
        <v>134</v>
      </c>
      <c r="N2624" t="s">
        <v>135</v>
      </c>
      <c r="O2624"/>
      <c r="P2624"/>
      <c r="Q2624" t="s">
        <v>5058</v>
      </c>
      <c r="R2624"/>
      <c r="S2624"/>
      <c r="T2624"/>
      <c r="U2624" t="s">
        <v>137</v>
      </c>
      <c r="V2624" t="s">
        <v>739</v>
      </c>
      <c r="W2624" s="9">
        <v>46174.321749305556</v>
      </c>
      <c r="X2624" t="s">
        <v>118</v>
      </c>
      <c r="Y2624"/>
      <c r="Z2624"/>
      <c r="AA2624" t="s">
        <v>5059</v>
      </c>
      <c r="AB2624"/>
      <c r="AC2624" t="s">
        <v>24</v>
      </c>
      <c r="AD2624" t="s">
        <v>130</v>
      </c>
      <c r="AE2624" s="97"/>
    </row>
    <row r="2625" spans="1:31" ht="14.4" customHeight="1" x14ac:dyDescent="0.3">
      <c r="A2625" t="s">
        <v>5179</v>
      </c>
      <c r="B2625"/>
      <c r="C2625" t="s">
        <v>4518</v>
      </c>
      <c r="D2625"/>
      <c r="E2625" t="s">
        <v>4518</v>
      </c>
      <c r="F2625" t="s">
        <v>6769</v>
      </c>
      <c r="G2625" t="s">
        <v>5057</v>
      </c>
      <c r="H2625" t="s">
        <v>132</v>
      </c>
      <c r="I2625" t="s">
        <v>4</v>
      </c>
      <c r="J2625" t="s">
        <v>4276</v>
      </c>
      <c r="K2625" t="s">
        <v>54</v>
      </c>
      <c r="L2625"/>
      <c r="M2625" t="s">
        <v>134</v>
      </c>
      <c r="N2625" t="s">
        <v>135</v>
      </c>
      <c r="O2625"/>
      <c r="P2625"/>
      <c r="Q2625" t="s">
        <v>5058</v>
      </c>
      <c r="R2625"/>
      <c r="S2625"/>
      <c r="T2625"/>
      <c r="U2625" t="s">
        <v>137</v>
      </c>
      <c r="V2625" t="s">
        <v>739</v>
      </c>
      <c r="W2625"/>
      <c r="X2625" t="s">
        <v>118</v>
      </c>
      <c r="Y2625"/>
      <c r="Z2625"/>
      <c r="AA2625"/>
      <c r="AB2625"/>
      <c r="AC2625" t="s">
        <v>138</v>
      </c>
      <c r="AD2625" t="s">
        <v>130</v>
      </c>
      <c r="AE2625" s="97"/>
    </row>
    <row r="2626" spans="1:31" ht="14.4" customHeight="1" x14ac:dyDescent="0.3">
      <c r="A2626" t="s">
        <v>5180</v>
      </c>
      <c r="B2626"/>
      <c r="C2626" t="s">
        <v>4520</v>
      </c>
      <c r="D2626"/>
      <c r="E2626" t="s">
        <v>4520</v>
      </c>
      <c r="F2626" t="s">
        <v>6769</v>
      </c>
      <c r="G2626" t="s">
        <v>5057</v>
      </c>
      <c r="H2626" t="s">
        <v>132</v>
      </c>
      <c r="I2626" t="s">
        <v>4</v>
      </c>
      <c r="J2626" t="s">
        <v>4276</v>
      </c>
      <c r="K2626" t="s">
        <v>54</v>
      </c>
      <c r="L2626"/>
      <c r="M2626" t="s">
        <v>134</v>
      </c>
      <c r="N2626" t="s">
        <v>135</v>
      </c>
      <c r="O2626"/>
      <c r="P2626"/>
      <c r="Q2626" t="s">
        <v>5058</v>
      </c>
      <c r="R2626"/>
      <c r="S2626"/>
      <c r="T2626"/>
      <c r="U2626" t="s">
        <v>137</v>
      </c>
      <c r="V2626" t="s">
        <v>739</v>
      </c>
      <c r="W2626"/>
      <c r="X2626" t="s">
        <v>118</v>
      </c>
      <c r="Y2626"/>
      <c r="Z2626"/>
      <c r="AA2626"/>
      <c r="AB2626"/>
      <c r="AC2626" t="s">
        <v>138</v>
      </c>
      <c r="AD2626" t="s">
        <v>130</v>
      </c>
      <c r="AE2626" s="97"/>
    </row>
    <row r="2627" spans="1:31" ht="14.4" customHeight="1" x14ac:dyDescent="0.3">
      <c r="A2627" t="s">
        <v>5181</v>
      </c>
      <c r="B2627"/>
      <c r="C2627" t="s">
        <v>4522</v>
      </c>
      <c r="D2627"/>
      <c r="E2627" t="s">
        <v>4522</v>
      </c>
      <c r="F2627" t="s">
        <v>6769</v>
      </c>
      <c r="G2627" t="s">
        <v>5057</v>
      </c>
      <c r="H2627" t="s">
        <v>132</v>
      </c>
      <c r="I2627" t="s">
        <v>4</v>
      </c>
      <c r="J2627" t="s">
        <v>4276</v>
      </c>
      <c r="K2627" t="s">
        <v>54</v>
      </c>
      <c r="L2627"/>
      <c r="M2627" t="s">
        <v>134</v>
      </c>
      <c r="N2627" t="s">
        <v>135</v>
      </c>
      <c r="O2627"/>
      <c r="P2627"/>
      <c r="Q2627" t="s">
        <v>5058</v>
      </c>
      <c r="R2627"/>
      <c r="S2627"/>
      <c r="T2627"/>
      <c r="U2627" t="s">
        <v>137</v>
      </c>
      <c r="V2627" t="s">
        <v>739</v>
      </c>
      <c r="W2627"/>
      <c r="X2627" t="s">
        <v>118</v>
      </c>
      <c r="Y2627"/>
      <c r="Z2627"/>
      <c r="AA2627"/>
      <c r="AB2627"/>
      <c r="AC2627" t="s">
        <v>138</v>
      </c>
      <c r="AD2627" t="s">
        <v>130</v>
      </c>
      <c r="AE2627" s="97"/>
    </row>
    <row r="2628" spans="1:31" ht="14.4" customHeight="1" x14ac:dyDescent="0.3">
      <c r="A2628" t="s">
        <v>5182</v>
      </c>
      <c r="B2628"/>
      <c r="C2628" t="s">
        <v>4524</v>
      </c>
      <c r="D2628"/>
      <c r="E2628" t="s">
        <v>4524</v>
      </c>
      <c r="F2628" t="s">
        <v>6769</v>
      </c>
      <c r="G2628" t="s">
        <v>5057</v>
      </c>
      <c r="H2628" t="s">
        <v>132</v>
      </c>
      <c r="I2628" t="s">
        <v>4</v>
      </c>
      <c r="J2628" t="s">
        <v>4276</v>
      </c>
      <c r="K2628" t="s">
        <v>54</v>
      </c>
      <c r="L2628"/>
      <c r="M2628" t="s">
        <v>134</v>
      </c>
      <c r="N2628" t="s">
        <v>135</v>
      </c>
      <c r="O2628"/>
      <c r="P2628"/>
      <c r="Q2628" t="s">
        <v>5058</v>
      </c>
      <c r="R2628"/>
      <c r="S2628"/>
      <c r="T2628"/>
      <c r="U2628" t="s">
        <v>137</v>
      </c>
      <c r="V2628" t="s">
        <v>739</v>
      </c>
      <c r="W2628"/>
      <c r="X2628" t="s">
        <v>118</v>
      </c>
      <c r="Y2628"/>
      <c r="Z2628"/>
      <c r="AA2628"/>
      <c r="AB2628"/>
      <c r="AC2628" t="s">
        <v>138</v>
      </c>
      <c r="AD2628" t="s">
        <v>130</v>
      </c>
      <c r="AE2628" s="97"/>
    </row>
    <row r="2629" spans="1:31" ht="14.4" customHeight="1" x14ac:dyDescent="0.3">
      <c r="A2629" t="s">
        <v>5183</v>
      </c>
      <c r="B2629"/>
      <c r="C2629" t="s">
        <v>4526</v>
      </c>
      <c r="D2629"/>
      <c r="E2629" t="s">
        <v>4526</v>
      </c>
      <c r="F2629" t="s">
        <v>6769</v>
      </c>
      <c r="G2629" t="s">
        <v>5057</v>
      </c>
      <c r="H2629" t="s">
        <v>132</v>
      </c>
      <c r="I2629" t="s">
        <v>4</v>
      </c>
      <c r="J2629" t="s">
        <v>4276</v>
      </c>
      <c r="K2629" t="s">
        <v>54</v>
      </c>
      <c r="L2629"/>
      <c r="M2629" t="s">
        <v>134</v>
      </c>
      <c r="N2629" t="s">
        <v>135</v>
      </c>
      <c r="O2629"/>
      <c r="P2629"/>
      <c r="Q2629" t="s">
        <v>5058</v>
      </c>
      <c r="R2629"/>
      <c r="S2629"/>
      <c r="T2629"/>
      <c r="U2629" t="s">
        <v>137</v>
      </c>
      <c r="V2629" t="s">
        <v>1967</v>
      </c>
      <c r="W2629" s="9">
        <v>46139.352693668981</v>
      </c>
      <c r="X2629" t="s">
        <v>125</v>
      </c>
      <c r="Y2629"/>
      <c r="Z2629"/>
      <c r="AA2629" t="s">
        <v>5059</v>
      </c>
      <c r="AB2629"/>
      <c r="AC2629" t="s">
        <v>24</v>
      </c>
      <c r="AD2629" t="s">
        <v>131</v>
      </c>
      <c r="AE2629" s="97"/>
    </row>
    <row r="2630" spans="1:31" ht="14.4" customHeight="1" x14ac:dyDescent="0.3">
      <c r="A2630" t="s">
        <v>5184</v>
      </c>
      <c r="B2630"/>
      <c r="C2630" t="s">
        <v>4528</v>
      </c>
      <c r="D2630"/>
      <c r="E2630" t="s">
        <v>4528</v>
      </c>
      <c r="F2630" t="s">
        <v>6769</v>
      </c>
      <c r="G2630" t="s">
        <v>5057</v>
      </c>
      <c r="H2630" t="s">
        <v>132</v>
      </c>
      <c r="I2630" t="s">
        <v>4</v>
      </c>
      <c r="J2630" t="s">
        <v>4276</v>
      </c>
      <c r="K2630" t="s">
        <v>54</v>
      </c>
      <c r="L2630"/>
      <c r="M2630" t="s">
        <v>134</v>
      </c>
      <c r="N2630" t="s">
        <v>135</v>
      </c>
      <c r="O2630"/>
      <c r="P2630"/>
      <c r="Q2630" t="s">
        <v>5058</v>
      </c>
      <c r="R2630"/>
      <c r="S2630"/>
      <c r="T2630"/>
      <c r="U2630" t="s">
        <v>137</v>
      </c>
      <c r="V2630" t="s">
        <v>1967</v>
      </c>
      <c r="W2630" s="9">
        <v>46171.369659525466</v>
      </c>
      <c r="X2630" t="s">
        <v>125</v>
      </c>
      <c r="Y2630"/>
      <c r="Z2630"/>
      <c r="AA2630" t="s">
        <v>5059</v>
      </c>
      <c r="AB2630"/>
      <c r="AC2630" t="s">
        <v>24</v>
      </c>
      <c r="AD2630" t="s">
        <v>131</v>
      </c>
      <c r="AE2630" s="97"/>
    </row>
    <row r="2631" spans="1:31" ht="14.4" customHeight="1" x14ac:dyDescent="0.3">
      <c r="A2631" t="s">
        <v>5185</v>
      </c>
      <c r="B2631"/>
      <c r="C2631" t="s">
        <v>4530</v>
      </c>
      <c r="D2631"/>
      <c r="E2631" t="s">
        <v>4530</v>
      </c>
      <c r="F2631" t="s">
        <v>6769</v>
      </c>
      <c r="G2631" t="s">
        <v>5057</v>
      </c>
      <c r="H2631" t="s">
        <v>132</v>
      </c>
      <c r="I2631" t="s">
        <v>4</v>
      </c>
      <c r="J2631" t="s">
        <v>4276</v>
      </c>
      <c r="K2631" t="s">
        <v>54</v>
      </c>
      <c r="L2631"/>
      <c r="M2631" t="s">
        <v>134</v>
      </c>
      <c r="N2631" t="s">
        <v>135</v>
      </c>
      <c r="O2631"/>
      <c r="P2631"/>
      <c r="Q2631" t="s">
        <v>5058</v>
      </c>
      <c r="R2631"/>
      <c r="S2631"/>
      <c r="T2631"/>
      <c r="U2631" t="s">
        <v>137</v>
      </c>
      <c r="V2631" t="s">
        <v>1967</v>
      </c>
      <c r="W2631" s="9">
        <v>46116.50980216435</v>
      </c>
      <c r="X2631" t="s">
        <v>125</v>
      </c>
      <c r="Y2631"/>
      <c r="Z2631"/>
      <c r="AA2631" t="s">
        <v>5059</v>
      </c>
      <c r="AB2631"/>
      <c r="AC2631" t="s">
        <v>24</v>
      </c>
      <c r="AD2631" t="s">
        <v>131</v>
      </c>
      <c r="AE2631" s="97"/>
    </row>
    <row r="2632" spans="1:31" ht="14.4" customHeight="1" x14ac:dyDescent="0.3">
      <c r="A2632" t="s">
        <v>5186</v>
      </c>
      <c r="B2632"/>
      <c r="C2632" t="s">
        <v>4532</v>
      </c>
      <c r="D2632"/>
      <c r="E2632" t="s">
        <v>4532</v>
      </c>
      <c r="F2632" t="s">
        <v>6769</v>
      </c>
      <c r="G2632" t="s">
        <v>5057</v>
      </c>
      <c r="H2632" t="s">
        <v>132</v>
      </c>
      <c r="I2632" t="s">
        <v>4</v>
      </c>
      <c r="J2632" t="s">
        <v>4276</v>
      </c>
      <c r="K2632" t="s">
        <v>54</v>
      </c>
      <c r="L2632"/>
      <c r="M2632" t="s">
        <v>134</v>
      </c>
      <c r="N2632" t="s">
        <v>135</v>
      </c>
      <c r="O2632"/>
      <c r="P2632"/>
      <c r="Q2632" t="s">
        <v>5058</v>
      </c>
      <c r="R2632"/>
      <c r="S2632"/>
      <c r="T2632"/>
      <c r="U2632" t="s">
        <v>137</v>
      </c>
      <c r="V2632" t="s">
        <v>1259</v>
      </c>
      <c r="W2632" s="9">
        <v>46139.351590011574</v>
      </c>
      <c r="X2632" t="s">
        <v>126</v>
      </c>
      <c r="Y2632"/>
      <c r="Z2632"/>
      <c r="AA2632" t="s">
        <v>5059</v>
      </c>
      <c r="AB2632"/>
      <c r="AC2632" t="s">
        <v>24</v>
      </c>
      <c r="AD2632" t="s">
        <v>131</v>
      </c>
      <c r="AE2632" s="97"/>
    </row>
    <row r="2633" spans="1:31" ht="14.4" customHeight="1" x14ac:dyDescent="0.3">
      <c r="A2633" t="s">
        <v>5187</v>
      </c>
      <c r="B2633"/>
      <c r="C2633" t="s">
        <v>4534</v>
      </c>
      <c r="D2633"/>
      <c r="E2633" t="s">
        <v>4534</v>
      </c>
      <c r="F2633" t="s">
        <v>6769</v>
      </c>
      <c r="G2633" t="s">
        <v>5057</v>
      </c>
      <c r="H2633" t="s">
        <v>132</v>
      </c>
      <c r="I2633" t="s">
        <v>4</v>
      </c>
      <c r="J2633" t="s">
        <v>4276</v>
      </c>
      <c r="K2633" t="s">
        <v>54</v>
      </c>
      <c r="L2633"/>
      <c r="M2633" t="s">
        <v>134</v>
      </c>
      <c r="N2633" t="s">
        <v>135</v>
      </c>
      <c r="O2633"/>
      <c r="P2633"/>
      <c r="Q2633" t="s">
        <v>5058</v>
      </c>
      <c r="R2633"/>
      <c r="S2633"/>
      <c r="T2633"/>
      <c r="U2633" t="s">
        <v>137</v>
      </c>
      <c r="V2633" t="s">
        <v>1259</v>
      </c>
      <c r="W2633"/>
      <c r="X2633" t="s">
        <v>126</v>
      </c>
      <c r="Y2633"/>
      <c r="Z2633"/>
      <c r="AA2633"/>
      <c r="AB2633"/>
      <c r="AC2633" t="s">
        <v>138</v>
      </c>
      <c r="AD2633" t="s">
        <v>131</v>
      </c>
      <c r="AE2633" s="97"/>
    </row>
    <row r="2634" spans="1:31" ht="14.4" customHeight="1" x14ac:dyDescent="0.3">
      <c r="A2634" t="s">
        <v>5188</v>
      </c>
      <c r="B2634"/>
      <c r="C2634" t="s">
        <v>4536</v>
      </c>
      <c r="D2634"/>
      <c r="E2634" t="s">
        <v>4536</v>
      </c>
      <c r="F2634" t="s">
        <v>6769</v>
      </c>
      <c r="G2634" t="s">
        <v>5057</v>
      </c>
      <c r="H2634" t="s">
        <v>132</v>
      </c>
      <c r="I2634" t="s">
        <v>4</v>
      </c>
      <c r="J2634" t="s">
        <v>4276</v>
      </c>
      <c r="K2634" t="s">
        <v>54</v>
      </c>
      <c r="L2634"/>
      <c r="M2634" t="s">
        <v>134</v>
      </c>
      <c r="N2634" t="s">
        <v>135</v>
      </c>
      <c r="O2634"/>
      <c r="P2634"/>
      <c r="Q2634" t="s">
        <v>5058</v>
      </c>
      <c r="R2634"/>
      <c r="S2634"/>
      <c r="T2634"/>
      <c r="U2634" t="s">
        <v>137</v>
      </c>
      <c r="V2634" t="s">
        <v>1263</v>
      </c>
      <c r="W2634"/>
      <c r="X2634" t="s">
        <v>69</v>
      </c>
      <c r="Y2634"/>
      <c r="Z2634"/>
      <c r="AA2634" t="s">
        <v>5059</v>
      </c>
      <c r="AB2634"/>
      <c r="AC2634" t="s">
        <v>3733</v>
      </c>
      <c r="AD2634" t="s">
        <v>128</v>
      </c>
      <c r="AE2634" s="97"/>
    </row>
    <row r="2635" spans="1:31" ht="14.4" customHeight="1" x14ac:dyDescent="0.3">
      <c r="A2635" t="s">
        <v>5189</v>
      </c>
      <c r="B2635"/>
      <c r="C2635" t="s">
        <v>4538</v>
      </c>
      <c r="D2635"/>
      <c r="E2635" t="s">
        <v>4538</v>
      </c>
      <c r="F2635" t="s">
        <v>6769</v>
      </c>
      <c r="G2635" t="s">
        <v>5057</v>
      </c>
      <c r="H2635" t="s">
        <v>132</v>
      </c>
      <c r="I2635" t="s">
        <v>4</v>
      </c>
      <c r="J2635" t="s">
        <v>4276</v>
      </c>
      <c r="K2635" t="s">
        <v>54</v>
      </c>
      <c r="L2635"/>
      <c r="M2635" t="s">
        <v>134</v>
      </c>
      <c r="N2635" t="s">
        <v>135</v>
      </c>
      <c r="O2635"/>
      <c r="P2635"/>
      <c r="Q2635" t="s">
        <v>5058</v>
      </c>
      <c r="R2635"/>
      <c r="S2635"/>
      <c r="T2635"/>
      <c r="U2635" t="s">
        <v>137</v>
      </c>
      <c r="V2635" t="s">
        <v>1263</v>
      </c>
      <c r="W2635" s="9">
        <v>46140.303949155095</v>
      </c>
      <c r="X2635" t="s">
        <v>69</v>
      </c>
      <c r="Y2635"/>
      <c r="Z2635"/>
      <c r="AA2635" t="s">
        <v>5059</v>
      </c>
      <c r="AB2635"/>
      <c r="AC2635" t="s">
        <v>24</v>
      </c>
      <c r="AD2635" t="s">
        <v>128</v>
      </c>
      <c r="AE2635" s="97"/>
    </row>
    <row r="2636" spans="1:31" ht="14.4" customHeight="1" x14ac:dyDescent="0.3">
      <c r="A2636" t="s">
        <v>5190</v>
      </c>
      <c r="B2636"/>
      <c r="C2636" t="s">
        <v>4540</v>
      </c>
      <c r="D2636"/>
      <c r="E2636" t="s">
        <v>4540</v>
      </c>
      <c r="F2636" t="s">
        <v>6769</v>
      </c>
      <c r="G2636" t="s">
        <v>5057</v>
      </c>
      <c r="H2636" t="s">
        <v>132</v>
      </c>
      <c r="I2636" t="s">
        <v>4</v>
      </c>
      <c r="J2636" t="s">
        <v>4276</v>
      </c>
      <c r="K2636" t="s">
        <v>54</v>
      </c>
      <c r="L2636"/>
      <c r="M2636" t="s">
        <v>134</v>
      </c>
      <c r="N2636" t="s">
        <v>135</v>
      </c>
      <c r="O2636"/>
      <c r="P2636"/>
      <c r="Q2636" t="s">
        <v>5058</v>
      </c>
      <c r="R2636"/>
      <c r="S2636"/>
      <c r="T2636"/>
      <c r="U2636" t="s">
        <v>137</v>
      </c>
      <c r="V2636" t="s">
        <v>1263</v>
      </c>
      <c r="W2636" s="9">
        <v>46147.520051701387</v>
      </c>
      <c r="X2636" t="s">
        <v>69</v>
      </c>
      <c r="Y2636"/>
      <c r="Z2636"/>
      <c r="AA2636" t="s">
        <v>5059</v>
      </c>
      <c r="AB2636"/>
      <c r="AC2636" t="s">
        <v>24</v>
      </c>
      <c r="AD2636" t="s">
        <v>128</v>
      </c>
      <c r="AE2636" s="97"/>
    </row>
    <row r="2637" spans="1:31" ht="14.4" customHeight="1" x14ac:dyDescent="0.3">
      <c r="A2637" t="s">
        <v>5191</v>
      </c>
      <c r="B2637"/>
      <c r="C2637" t="s">
        <v>4542</v>
      </c>
      <c r="D2637"/>
      <c r="E2637" t="s">
        <v>4542</v>
      </c>
      <c r="F2637" t="s">
        <v>6769</v>
      </c>
      <c r="G2637" t="s">
        <v>5057</v>
      </c>
      <c r="H2637" t="s">
        <v>132</v>
      </c>
      <c r="I2637" t="s">
        <v>4</v>
      </c>
      <c r="J2637" t="s">
        <v>4276</v>
      </c>
      <c r="K2637" t="s">
        <v>54</v>
      </c>
      <c r="L2637"/>
      <c r="M2637" t="s">
        <v>134</v>
      </c>
      <c r="N2637" t="s">
        <v>135</v>
      </c>
      <c r="O2637"/>
      <c r="P2637"/>
      <c r="Q2637" t="s">
        <v>5058</v>
      </c>
      <c r="R2637"/>
      <c r="S2637"/>
      <c r="T2637"/>
      <c r="U2637" t="s">
        <v>137</v>
      </c>
      <c r="V2637" t="s">
        <v>1263</v>
      </c>
      <c r="W2637" s="9">
        <v>46167.740453391205</v>
      </c>
      <c r="X2637" t="s">
        <v>69</v>
      </c>
      <c r="Y2637"/>
      <c r="Z2637"/>
      <c r="AA2637" t="s">
        <v>5059</v>
      </c>
      <c r="AB2637"/>
      <c r="AC2637" t="s">
        <v>24</v>
      </c>
      <c r="AD2637" t="s">
        <v>128</v>
      </c>
      <c r="AE2637" s="97"/>
    </row>
    <row r="2638" spans="1:31" ht="14.4" customHeight="1" x14ac:dyDescent="0.3">
      <c r="A2638" t="s">
        <v>5192</v>
      </c>
      <c r="B2638"/>
      <c r="C2638" t="s">
        <v>4544</v>
      </c>
      <c r="D2638"/>
      <c r="E2638" t="s">
        <v>4544</v>
      </c>
      <c r="F2638" t="s">
        <v>6769</v>
      </c>
      <c r="G2638" t="s">
        <v>5057</v>
      </c>
      <c r="H2638" t="s">
        <v>132</v>
      </c>
      <c r="I2638" t="s">
        <v>4</v>
      </c>
      <c r="J2638" t="s">
        <v>4276</v>
      </c>
      <c r="K2638" t="s">
        <v>54</v>
      </c>
      <c r="L2638"/>
      <c r="M2638" t="s">
        <v>134</v>
      </c>
      <c r="N2638" t="s">
        <v>135</v>
      </c>
      <c r="O2638"/>
      <c r="P2638"/>
      <c r="Q2638" t="s">
        <v>5058</v>
      </c>
      <c r="R2638"/>
      <c r="S2638"/>
      <c r="T2638"/>
      <c r="U2638" t="s">
        <v>137</v>
      </c>
      <c r="V2638" t="s">
        <v>1263</v>
      </c>
      <c r="W2638" s="9">
        <v>46176.200117858796</v>
      </c>
      <c r="X2638" t="s">
        <v>69</v>
      </c>
      <c r="Y2638"/>
      <c r="Z2638"/>
      <c r="AA2638" t="s">
        <v>5059</v>
      </c>
      <c r="AB2638"/>
      <c r="AC2638" t="s">
        <v>24</v>
      </c>
      <c r="AD2638" t="s">
        <v>128</v>
      </c>
      <c r="AE2638" s="97"/>
    </row>
    <row r="2639" spans="1:31" ht="14.4" customHeight="1" x14ac:dyDescent="0.3">
      <c r="A2639" t="s">
        <v>5193</v>
      </c>
      <c r="B2639"/>
      <c r="C2639" t="s">
        <v>4546</v>
      </c>
      <c r="D2639"/>
      <c r="E2639" t="s">
        <v>4546</v>
      </c>
      <c r="F2639" t="s">
        <v>6769</v>
      </c>
      <c r="G2639" t="s">
        <v>5057</v>
      </c>
      <c r="H2639" t="s">
        <v>132</v>
      </c>
      <c r="I2639" t="s">
        <v>4</v>
      </c>
      <c r="J2639" t="s">
        <v>4276</v>
      </c>
      <c r="K2639" t="s">
        <v>54</v>
      </c>
      <c r="L2639"/>
      <c r="M2639" t="s">
        <v>134</v>
      </c>
      <c r="N2639" t="s">
        <v>135</v>
      </c>
      <c r="O2639"/>
      <c r="P2639"/>
      <c r="Q2639" t="s">
        <v>5058</v>
      </c>
      <c r="R2639"/>
      <c r="S2639"/>
      <c r="T2639"/>
      <c r="U2639" t="s">
        <v>137</v>
      </c>
      <c r="V2639" t="s">
        <v>1190</v>
      </c>
      <c r="W2639" s="9">
        <v>46167.757462071757</v>
      </c>
      <c r="X2639" t="s">
        <v>67</v>
      </c>
      <c r="Y2639"/>
      <c r="Z2639"/>
      <c r="AA2639" t="s">
        <v>5059</v>
      </c>
      <c r="AB2639"/>
      <c r="AC2639" t="s">
        <v>24</v>
      </c>
      <c r="AD2639" t="s">
        <v>128</v>
      </c>
      <c r="AE2639" s="97"/>
    </row>
    <row r="2640" spans="1:31" ht="14.4" customHeight="1" x14ac:dyDescent="0.3">
      <c r="A2640" t="s">
        <v>5194</v>
      </c>
      <c r="B2640"/>
      <c r="C2640" t="s">
        <v>4548</v>
      </c>
      <c r="D2640"/>
      <c r="E2640" t="s">
        <v>4548</v>
      </c>
      <c r="F2640" t="s">
        <v>6769</v>
      </c>
      <c r="G2640" t="s">
        <v>5057</v>
      </c>
      <c r="H2640" t="s">
        <v>132</v>
      </c>
      <c r="I2640" t="s">
        <v>4</v>
      </c>
      <c r="J2640" t="s">
        <v>4276</v>
      </c>
      <c r="K2640" t="s">
        <v>54</v>
      </c>
      <c r="L2640"/>
      <c r="M2640" t="s">
        <v>134</v>
      </c>
      <c r="N2640" t="s">
        <v>135</v>
      </c>
      <c r="O2640"/>
      <c r="P2640"/>
      <c r="Q2640" t="s">
        <v>5058</v>
      </c>
      <c r="R2640"/>
      <c r="S2640"/>
      <c r="T2640"/>
      <c r="U2640" t="s">
        <v>137</v>
      </c>
      <c r="V2640" t="s">
        <v>1194</v>
      </c>
      <c r="W2640" s="9">
        <v>46167.758997488425</v>
      </c>
      <c r="X2640" t="s">
        <v>75</v>
      </c>
      <c r="Y2640"/>
      <c r="Z2640"/>
      <c r="AA2640" t="s">
        <v>5059</v>
      </c>
      <c r="AB2640"/>
      <c r="AC2640" t="s">
        <v>24</v>
      </c>
      <c r="AD2640" t="s">
        <v>128</v>
      </c>
      <c r="AE2640" s="97"/>
    </row>
    <row r="2641" spans="1:31" ht="14.4" customHeight="1" x14ac:dyDescent="0.3">
      <c r="A2641" t="s">
        <v>5195</v>
      </c>
      <c r="B2641"/>
      <c r="C2641" t="s">
        <v>4550</v>
      </c>
      <c r="D2641"/>
      <c r="E2641" t="s">
        <v>4550</v>
      </c>
      <c r="F2641" t="s">
        <v>6769</v>
      </c>
      <c r="G2641" t="s">
        <v>5057</v>
      </c>
      <c r="H2641" t="s">
        <v>132</v>
      </c>
      <c r="I2641" t="s">
        <v>4</v>
      </c>
      <c r="J2641" t="s">
        <v>4276</v>
      </c>
      <c r="K2641" t="s">
        <v>54</v>
      </c>
      <c r="L2641"/>
      <c r="M2641" t="s">
        <v>134</v>
      </c>
      <c r="N2641" t="s">
        <v>135</v>
      </c>
      <c r="O2641"/>
      <c r="P2641"/>
      <c r="Q2641" t="s">
        <v>5058</v>
      </c>
      <c r="R2641"/>
      <c r="S2641"/>
      <c r="T2641"/>
      <c r="U2641" t="s">
        <v>137</v>
      </c>
      <c r="V2641" t="s">
        <v>1198</v>
      </c>
      <c r="W2641" s="9">
        <v>46168.823005405095</v>
      </c>
      <c r="X2641" t="s">
        <v>86</v>
      </c>
      <c r="Y2641"/>
      <c r="Z2641"/>
      <c r="AA2641" t="s">
        <v>5059</v>
      </c>
      <c r="AB2641"/>
      <c r="AC2641" t="s">
        <v>24</v>
      </c>
      <c r="AD2641" t="s">
        <v>129</v>
      </c>
      <c r="AE2641" s="97"/>
    </row>
    <row r="2642" spans="1:31" ht="14.4" customHeight="1" x14ac:dyDescent="0.3">
      <c r="A2642" t="s">
        <v>5196</v>
      </c>
      <c r="B2642"/>
      <c r="C2642" t="s">
        <v>4552</v>
      </c>
      <c r="D2642"/>
      <c r="E2642" t="s">
        <v>4552</v>
      </c>
      <c r="F2642" t="s">
        <v>6769</v>
      </c>
      <c r="G2642" t="s">
        <v>5057</v>
      </c>
      <c r="H2642" t="s">
        <v>132</v>
      </c>
      <c r="I2642" t="s">
        <v>4</v>
      </c>
      <c r="J2642" t="s">
        <v>4276</v>
      </c>
      <c r="K2642" t="s">
        <v>54</v>
      </c>
      <c r="L2642"/>
      <c r="M2642" t="s">
        <v>134</v>
      </c>
      <c r="N2642" t="s">
        <v>135</v>
      </c>
      <c r="O2642"/>
      <c r="P2642"/>
      <c r="Q2642" t="s">
        <v>5058</v>
      </c>
      <c r="R2642"/>
      <c r="S2642"/>
      <c r="T2642"/>
      <c r="U2642" t="s">
        <v>137</v>
      </c>
      <c r="V2642" t="s">
        <v>1202</v>
      </c>
      <c r="W2642" s="9">
        <v>46168.820152430555</v>
      </c>
      <c r="X2642" t="s">
        <v>95</v>
      </c>
      <c r="Y2642"/>
      <c r="Z2642"/>
      <c r="AA2642" t="s">
        <v>5059</v>
      </c>
      <c r="AB2642"/>
      <c r="AC2642" t="s">
        <v>24</v>
      </c>
      <c r="AD2642" t="s">
        <v>129</v>
      </c>
      <c r="AE2642" s="97"/>
    </row>
    <row r="2643" spans="1:31" ht="14.4" customHeight="1" x14ac:dyDescent="0.3">
      <c r="A2643" t="s">
        <v>5197</v>
      </c>
      <c r="B2643"/>
      <c r="C2643" t="s">
        <v>4554</v>
      </c>
      <c r="D2643"/>
      <c r="E2643" t="s">
        <v>4554</v>
      </c>
      <c r="F2643" t="s">
        <v>6769</v>
      </c>
      <c r="G2643" t="s">
        <v>5057</v>
      </c>
      <c r="H2643" t="s">
        <v>132</v>
      </c>
      <c r="I2643" t="s">
        <v>4</v>
      </c>
      <c r="J2643" t="s">
        <v>4276</v>
      </c>
      <c r="K2643" t="s">
        <v>54</v>
      </c>
      <c r="L2643"/>
      <c r="M2643" t="s">
        <v>134</v>
      </c>
      <c r="N2643" t="s">
        <v>135</v>
      </c>
      <c r="O2643"/>
      <c r="P2643"/>
      <c r="Q2643" t="s">
        <v>5058</v>
      </c>
      <c r="R2643"/>
      <c r="S2643"/>
      <c r="T2643"/>
      <c r="U2643" t="s">
        <v>137</v>
      </c>
      <c r="V2643" t="s">
        <v>1206</v>
      </c>
      <c r="W2643" s="9">
        <v>46168.821611770836</v>
      </c>
      <c r="X2643" t="s">
        <v>104</v>
      </c>
      <c r="Y2643"/>
      <c r="Z2643"/>
      <c r="AA2643" t="s">
        <v>5059</v>
      </c>
      <c r="AB2643"/>
      <c r="AC2643" t="s">
        <v>24</v>
      </c>
      <c r="AD2643" t="s">
        <v>129</v>
      </c>
      <c r="AE2643" s="97"/>
    </row>
    <row r="2644" spans="1:31" ht="14.4" customHeight="1" x14ac:dyDescent="0.3">
      <c r="A2644" t="s">
        <v>5198</v>
      </c>
      <c r="B2644"/>
      <c r="C2644" t="s">
        <v>4556</v>
      </c>
      <c r="D2644"/>
      <c r="E2644" t="s">
        <v>4556</v>
      </c>
      <c r="F2644" t="s">
        <v>6769</v>
      </c>
      <c r="G2644" t="s">
        <v>5057</v>
      </c>
      <c r="H2644" t="s">
        <v>132</v>
      </c>
      <c r="I2644" t="s">
        <v>4</v>
      </c>
      <c r="J2644" t="s">
        <v>4276</v>
      </c>
      <c r="K2644" t="s">
        <v>54</v>
      </c>
      <c r="L2644"/>
      <c r="M2644" t="s">
        <v>134</v>
      </c>
      <c r="N2644" t="s">
        <v>135</v>
      </c>
      <c r="O2644"/>
      <c r="P2644"/>
      <c r="Q2644" t="s">
        <v>5058</v>
      </c>
      <c r="R2644"/>
      <c r="S2644"/>
      <c r="T2644"/>
      <c r="U2644" t="s">
        <v>137</v>
      </c>
      <c r="V2644" t="s">
        <v>1210</v>
      </c>
      <c r="W2644" s="9">
        <v>46168.824526504628</v>
      </c>
      <c r="X2644" t="s">
        <v>111</v>
      </c>
      <c r="Y2644"/>
      <c r="Z2644"/>
      <c r="AA2644" t="s">
        <v>5059</v>
      </c>
      <c r="AB2644"/>
      <c r="AC2644" t="s">
        <v>24</v>
      </c>
      <c r="AD2644" t="s">
        <v>129</v>
      </c>
      <c r="AE2644" s="97"/>
    </row>
    <row r="2645" spans="1:31" ht="14.4" customHeight="1" x14ac:dyDescent="0.3">
      <c r="A2645" t="s">
        <v>5199</v>
      </c>
      <c r="B2645"/>
      <c r="C2645" t="s">
        <v>4558</v>
      </c>
      <c r="D2645"/>
      <c r="E2645" t="s">
        <v>4558</v>
      </c>
      <c r="F2645" t="s">
        <v>6769</v>
      </c>
      <c r="G2645" t="s">
        <v>5057</v>
      </c>
      <c r="H2645" t="s">
        <v>132</v>
      </c>
      <c r="I2645" t="s">
        <v>4</v>
      </c>
      <c r="J2645" t="s">
        <v>4276</v>
      </c>
      <c r="K2645" t="s">
        <v>54</v>
      </c>
      <c r="L2645"/>
      <c r="M2645" t="s">
        <v>134</v>
      </c>
      <c r="N2645" t="s">
        <v>135</v>
      </c>
      <c r="O2645"/>
      <c r="P2645"/>
      <c r="Q2645" t="s">
        <v>5058</v>
      </c>
      <c r="R2645"/>
      <c r="S2645"/>
      <c r="T2645"/>
      <c r="U2645" t="s">
        <v>137</v>
      </c>
      <c r="V2645" t="s">
        <v>1214</v>
      </c>
      <c r="W2645" s="9">
        <v>46167.758216898146</v>
      </c>
      <c r="X2645" t="s">
        <v>120</v>
      </c>
      <c r="Y2645"/>
      <c r="Z2645"/>
      <c r="AA2645" t="s">
        <v>5059</v>
      </c>
      <c r="AB2645"/>
      <c r="AC2645" t="s">
        <v>24</v>
      </c>
      <c r="AD2645" t="s">
        <v>130</v>
      </c>
      <c r="AE2645" s="97"/>
    </row>
    <row r="2646" spans="1:31" ht="14.4" customHeight="1" x14ac:dyDescent="0.3">
      <c r="A2646" t="s">
        <v>5203</v>
      </c>
      <c r="B2646" t="s">
        <v>5204</v>
      </c>
      <c r="C2646"/>
      <c r="D2646"/>
      <c r="E2646"/>
      <c r="F2646"/>
      <c r="G2646" t="s">
        <v>5200</v>
      </c>
      <c r="H2646" t="s">
        <v>132</v>
      </c>
      <c r="I2646" t="s">
        <v>4</v>
      </c>
      <c r="J2646" t="s">
        <v>4276</v>
      </c>
      <c r="K2646" t="s">
        <v>54</v>
      </c>
      <c r="L2646" t="s">
        <v>5201</v>
      </c>
      <c r="M2646" t="s">
        <v>134</v>
      </c>
      <c r="N2646" t="s">
        <v>135</v>
      </c>
      <c r="O2646"/>
      <c r="P2646"/>
      <c r="Q2646" t="s">
        <v>5202</v>
      </c>
      <c r="R2646"/>
      <c r="S2646"/>
      <c r="T2646"/>
      <c r="U2646" t="s">
        <v>137</v>
      </c>
      <c r="V2646" t="s">
        <v>147</v>
      </c>
      <c r="W2646"/>
      <c r="X2646" t="s">
        <v>70</v>
      </c>
      <c r="Y2646"/>
      <c r="Z2646"/>
      <c r="AA2646" t="s">
        <v>5201</v>
      </c>
      <c r="AB2646" t="s">
        <v>4</v>
      </c>
      <c r="AC2646" t="s">
        <v>138</v>
      </c>
      <c r="AD2646" t="s">
        <v>128</v>
      </c>
      <c r="AE2646" s="97"/>
    </row>
    <row r="2647" spans="1:31" ht="14.4" customHeight="1" x14ac:dyDescent="0.3">
      <c r="A2647" t="s">
        <v>5205</v>
      </c>
      <c r="B2647" t="s">
        <v>5206</v>
      </c>
      <c r="C2647"/>
      <c r="D2647"/>
      <c r="E2647"/>
      <c r="F2647"/>
      <c r="G2647" t="s">
        <v>5200</v>
      </c>
      <c r="H2647" t="s">
        <v>132</v>
      </c>
      <c r="I2647" t="s">
        <v>4</v>
      </c>
      <c r="J2647" t="s">
        <v>4276</v>
      </c>
      <c r="K2647" t="s">
        <v>54</v>
      </c>
      <c r="L2647" t="s">
        <v>5201</v>
      </c>
      <c r="M2647" t="s">
        <v>134</v>
      </c>
      <c r="N2647" t="s">
        <v>135</v>
      </c>
      <c r="O2647"/>
      <c r="P2647"/>
      <c r="Q2647" t="s">
        <v>5202</v>
      </c>
      <c r="R2647"/>
      <c r="S2647"/>
      <c r="T2647"/>
      <c r="U2647" t="s">
        <v>137</v>
      </c>
      <c r="V2647" t="s">
        <v>150</v>
      </c>
      <c r="W2647"/>
      <c r="X2647" t="s">
        <v>76</v>
      </c>
      <c r="Y2647"/>
      <c r="Z2647"/>
      <c r="AA2647" t="s">
        <v>5201</v>
      </c>
      <c r="AB2647" t="s">
        <v>4</v>
      </c>
      <c r="AC2647" t="s">
        <v>138</v>
      </c>
      <c r="AD2647" t="s">
        <v>128</v>
      </c>
      <c r="AE2647" s="97"/>
    </row>
    <row r="2648" spans="1:31" ht="14.4" customHeight="1" x14ac:dyDescent="0.3">
      <c r="A2648" t="s">
        <v>5207</v>
      </c>
      <c r="B2648" t="s">
        <v>5208</v>
      </c>
      <c r="C2648"/>
      <c r="D2648"/>
      <c r="E2648"/>
      <c r="F2648"/>
      <c r="G2648" t="s">
        <v>5200</v>
      </c>
      <c r="H2648" t="s">
        <v>132</v>
      </c>
      <c r="I2648" t="s">
        <v>4</v>
      </c>
      <c r="J2648" t="s">
        <v>4276</v>
      </c>
      <c r="K2648" t="s">
        <v>54</v>
      </c>
      <c r="L2648" t="s">
        <v>5201</v>
      </c>
      <c r="M2648" t="s">
        <v>134</v>
      </c>
      <c r="N2648" t="s">
        <v>135</v>
      </c>
      <c r="O2648"/>
      <c r="P2648"/>
      <c r="Q2648" t="s">
        <v>5202</v>
      </c>
      <c r="R2648"/>
      <c r="S2648"/>
      <c r="T2648"/>
      <c r="U2648" t="s">
        <v>137</v>
      </c>
      <c r="V2648" t="s">
        <v>153</v>
      </c>
      <c r="W2648"/>
      <c r="X2648" t="s">
        <v>88</v>
      </c>
      <c r="Y2648"/>
      <c r="Z2648"/>
      <c r="AA2648" t="s">
        <v>5201</v>
      </c>
      <c r="AB2648" t="s">
        <v>4</v>
      </c>
      <c r="AC2648" t="s">
        <v>138</v>
      </c>
      <c r="AD2648" t="s">
        <v>129</v>
      </c>
      <c r="AE2648" s="97"/>
    </row>
    <row r="2649" spans="1:31" ht="14.4" customHeight="1" x14ac:dyDescent="0.3">
      <c r="A2649" t="s">
        <v>5209</v>
      </c>
      <c r="B2649" t="s">
        <v>5210</v>
      </c>
      <c r="C2649"/>
      <c r="D2649"/>
      <c r="E2649"/>
      <c r="F2649"/>
      <c r="G2649" t="s">
        <v>5200</v>
      </c>
      <c r="H2649" t="s">
        <v>132</v>
      </c>
      <c r="I2649" t="s">
        <v>4</v>
      </c>
      <c r="J2649" t="s">
        <v>4276</v>
      </c>
      <c r="K2649" t="s">
        <v>54</v>
      </c>
      <c r="L2649" t="s">
        <v>5201</v>
      </c>
      <c r="M2649" t="s">
        <v>134</v>
      </c>
      <c r="N2649" t="s">
        <v>135</v>
      </c>
      <c r="O2649"/>
      <c r="P2649"/>
      <c r="Q2649" t="s">
        <v>5202</v>
      </c>
      <c r="R2649"/>
      <c r="S2649"/>
      <c r="T2649"/>
      <c r="U2649" t="s">
        <v>137</v>
      </c>
      <c r="V2649" t="s">
        <v>156</v>
      </c>
      <c r="W2649"/>
      <c r="X2649" t="s">
        <v>97</v>
      </c>
      <c r="Y2649"/>
      <c r="Z2649"/>
      <c r="AA2649" t="s">
        <v>5201</v>
      </c>
      <c r="AB2649" t="s">
        <v>4</v>
      </c>
      <c r="AC2649" t="s">
        <v>138</v>
      </c>
      <c r="AD2649" t="s">
        <v>129</v>
      </c>
      <c r="AE2649" s="97"/>
    </row>
    <row r="2650" spans="1:31" ht="14.4" customHeight="1" x14ac:dyDescent="0.3">
      <c r="A2650" t="s">
        <v>5211</v>
      </c>
      <c r="B2650" t="s">
        <v>5212</v>
      </c>
      <c r="C2650"/>
      <c r="D2650"/>
      <c r="E2650"/>
      <c r="F2650"/>
      <c r="G2650" t="s">
        <v>5200</v>
      </c>
      <c r="H2650" t="s">
        <v>132</v>
      </c>
      <c r="I2650" t="s">
        <v>4</v>
      </c>
      <c r="J2650" t="s">
        <v>4276</v>
      </c>
      <c r="K2650" t="s">
        <v>54</v>
      </c>
      <c r="L2650" t="s">
        <v>5201</v>
      </c>
      <c r="M2650" t="s">
        <v>134</v>
      </c>
      <c r="N2650" t="s">
        <v>135</v>
      </c>
      <c r="O2650"/>
      <c r="P2650"/>
      <c r="Q2650" t="s">
        <v>5202</v>
      </c>
      <c r="R2650"/>
      <c r="S2650"/>
      <c r="T2650"/>
      <c r="U2650" t="s">
        <v>137</v>
      </c>
      <c r="V2650" t="s">
        <v>159</v>
      </c>
      <c r="W2650"/>
      <c r="X2650" t="s">
        <v>106</v>
      </c>
      <c r="Y2650"/>
      <c r="Z2650"/>
      <c r="AA2650" t="s">
        <v>5201</v>
      </c>
      <c r="AB2650" t="s">
        <v>4</v>
      </c>
      <c r="AC2650" t="s">
        <v>138</v>
      </c>
      <c r="AD2650" t="s">
        <v>129</v>
      </c>
      <c r="AE2650" s="97"/>
    </row>
    <row r="2651" spans="1:31" ht="14.4" customHeight="1" x14ac:dyDescent="0.3">
      <c r="A2651" t="s">
        <v>5213</v>
      </c>
      <c r="B2651" t="s">
        <v>5214</v>
      </c>
      <c r="C2651"/>
      <c r="D2651"/>
      <c r="E2651"/>
      <c r="F2651"/>
      <c r="G2651" t="s">
        <v>5200</v>
      </c>
      <c r="H2651" t="s">
        <v>132</v>
      </c>
      <c r="I2651" t="s">
        <v>4</v>
      </c>
      <c r="J2651" t="s">
        <v>4276</v>
      </c>
      <c r="K2651" t="s">
        <v>54</v>
      </c>
      <c r="L2651" t="s">
        <v>5201</v>
      </c>
      <c r="M2651" t="s">
        <v>134</v>
      </c>
      <c r="N2651" t="s">
        <v>135</v>
      </c>
      <c r="O2651"/>
      <c r="P2651"/>
      <c r="Q2651" t="s">
        <v>5202</v>
      </c>
      <c r="R2651"/>
      <c r="S2651"/>
      <c r="T2651"/>
      <c r="U2651" t="s">
        <v>137</v>
      </c>
      <c r="V2651" t="s">
        <v>162</v>
      </c>
      <c r="W2651"/>
      <c r="X2651" t="s">
        <v>113</v>
      </c>
      <c r="Y2651"/>
      <c r="Z2651"/>
      <c r="AA2651" t="s">
        <v>5201</v>
      </c>
      <c r="AB2651" t="s">
        <v>4</v>
      </c>
      <c r="AC2651" t="s">
        <v>138</v>
      </c>
      <c r="AD2651" t="s">
        <v>129</v>
      </c>
      <c r="AE2651" s="97"/>
    </row>
    <row r="2652" spans="1:31" ht="14.4" customHeight="1" x14ac:dyDescent="0.3">
      <c r="A2652" t="s">
        <v>5215</v>
      </c>
      <c r="B2652" t="s">
        <v>5216</v>
      </c>
      <c r="C2652"/>
      <c r="D2652"/>
      <c r="E2652"/>
      <c r="F2652"/>
      <c r="G2652" t="s">
        <v>5200</v>
      </c>
      <c r="H2652" t="s">
        <v>132</v>
      </c>
      <c r="I2652" t="s">
        <v>4</v>
      </c>
      <c r="J2652" t="s">
        <v>4276</v>
      </c>
      <c r="K2652" t="s">
        <v>54</v>
      </c>
      <c r="L2652" t="s">
        <v>5201</v>
      </c>
      <c r="M2652" t="s">
        <v>134</v>
      </c>
      <c r="N2652" t="s">
        <v>135</v>
      </c>
      <c r="O2652"/>
      <c r="P2652"/>
      <c r="Q2652" t="s">
        <v>5202</v>
      </c>
      <c r="R2652"/>
      <c r="S2652"/>
      <c r="T2652"/>
      <c r="U2652" t="s">
        <v>137</v>
      </c>
      <c r="V2652" t="s">
        <v>165</v>
      </c>
      <c r="W2652"/>
      <c r="X2652" t="s">
        <v>122</v>
      </c>
      <c r="Y2652"/>
      <c r="Z2652"/>
      <c r="AA2652" t="s">
        <v>5201</v>
      </c>
      <c r="AB2652" t="s">
        <v>4</v>
      </c>
      <c r="AC2652" t="s">
        <v>138</v>
      </c>
      <c r="AD2652" t="s">
        <v>130</v>
      </c>
      <c r="AE2652" s="97"/>
    </row>
    <row r="2653" spans="1:31" ht="14.4" customHeight="1" x14ac:dyDescent="0.3">
      <c r="A2653" t="s">
        <v>5217</v>
      </c>
      <c r="B2653" t="s">
        <v>5218</v>
      </c>
      <c r="C2653"/>
      <c r="D2653"/>
      <c r="E2653"/>
      <c r="F2653"/>
      <c r="G2653" t="s">
        <v>5200</v>
      </c>
      <c r="H2653" t="s">
        <v>132</v>
      </c>
      <c r="I2653" t="s">
        <v>4</v>
      </c>
      <c r="J2653" t="s">
        <v>4276</v>
      </c>
      <c r="K2653" t="s">
        <v>54</v>
      </c>
      <c r="L2653" t="s">
        <v>5201</v>
      </c>
      <c r="M2653" t="s">
        <v>134</v>
      </c>
      <c r="N2653" t="s">
        <v>135</v>
      </c>
      <c r="O2653"/>
      <c r="P2653"/>
      <c r="Q2653" t="s">
        <v>5202</v>
      </c>
      <c r="R2653"/>
      <c r="S2653"/>
      <c r="T2653"/>
      <c r="U2653" t="s">
        <v>137</v>
      </c>
      <c r="V2653" t="s">
        <v>371</v>
      </c>
      <c r="W2653"/>
      <c r="X2653" t="s">
        <v>57</v>
      </c>
      <c r="Y2653"/>
      <c r="Z2653"/>
      <c r="AA2653" t="s">
        <v>5201</v>
      </c>
      <c r="AB2653" t="s">
        <v>4</v>
      </c>
      <c r="AC2653" t="s">
        <v>138</v>
      </c>
      <c r="AD2653" t="s">
        <v>128</v>
      </c>
      <c r="AE2653" s="97"/>
    </row>
    <row r="2654" spans="1:31" ht="14.4" customHeight="1" x14ac:dyDescent="0.3">
      <c r="A2654" t="s">
        <v>5219</v>
      </c>
      <c r="B2654" t="s">
        <v>5220</v>
      </c>
      <c r="C2654"/>
      <c r="D2654"/>
      <c r="E2654"/>
      <c r="F2654"/>
      <c r="G2654" t="s">
        <v>5200</v>
      </c>
      <c r="H2654" t="s">
        <v>132</v>
      </c>
      <c r="I2654" t="s">
        <v>4</v>
      </c>
      <c r="J2654" t="s">
        <v>4276</v>
      </c>
      <c r="K2654" t="s">
        <v>54</v>
      </c>
      <c r="L2654" t="s">
        <v>5201</v>
      </c>
      <c r="M2654" t="s">
        <v>134</v>
      </c>
      <c r="N2654" t="s">
        <v>135</v>
      </c>
      <c r="O2654"/>
      <c r="P2654"/>
      <c r="Q2654" t="s">
        <v>5202</v>
      </c>
      <c r="R2654"/>
      <c r="S2654"/>
      <c r="T2654"/>
      <c r="U2654" t="s">
        <v>137</v>
      </c>
      <c r="V2654" t="s">
        <v>362</v>
      </c>
      <c r="W2654"/>
      <c r="X2654" t="s">
        <v>58</v>
      </c>
      <c r="Y2654"/>
      <c r="Z2654"/>
      <c r="AA2654" t="s">
        <v>5201</v>
      </c>
      <c r="AB2654" t="s">
        <v>4</v>
      </c>
      <c r="AC2654" t="s">
        <v>138</v>
      </c>
      <c r="AD2654" t="s">
        <v>128</v>
      </c>
      <c r="AE2654" s="97"/>
    </row>
    <row r="2655" spans="1:31" ht="14.4" customHeight="1" x14ac:dyDescent="0.3">
      <c r="A2655" t="s">
        <v>5221</v>
      </c>
      <c r="B2655" t="s">
        <v>5222</v>
      </c>
      <c r="C2655"/>
      <c r="D2655"/>
      <c r="E2655"/>
      <c r="F2655"/>
      <c r="G2655" t="s">
        <v>5200</v>
      </c>
      <c r="H2655" t="s">
        <v>132</v>
      </c>
      <c r="I2655" t="s">
        <v>4</v>
      </c>
      <c r="J2655" t="s">
        <v>4276</v>
      </c>
      <c r="K2655" t="s">
        <v>54</v>
      </c>
      <c r="L2655" t="s">
        <v>5201</v>
      </c>
      <c r="M2655" t="s">
        <v>134</v>
      </c>
      <c r="N2655" t="s">
        <v>135</v>
      </c>
      <c r="O2655"/>
      <c r="P2655"/>
      <c r="Q2655" t="s">
        <v>5202</v>
      </c>
      <c r="R2655"/>
      <c r="S2655"/>
      <c r="T2655"/>
      <c r="U2655" t="s">
        <v>137</v>
      </c>
      <c r="V2655" t="s">
        <v>640</v>
      </c>
      <c r="W2655"/>
      <c r="X2655" t="s">
        <v>66</v>
      </c>
      <c r="Y2655"/>
      <c r="Z2655"/>
      <c r="AA2655" t="s">
        <v>5201</v>
      </c>
      <c r="AB2655" t="s">
        <v>4</v>
      </c>
      <c r="AC2655" t="s">
        <v>138</v>
      </c>
      <c r="AD2655" t="s">
        <v>128</v>
      </c>
      <c r="AE2655" s="97"/>
    </row>
    <row r="2656" spans="1:31" ht="14.4" customHeight="1" x14ac:dyDescent="0.3">
      <c r="A2656" t="s">
        <v>5223</v>
      </c>
      <c r="B2656" t="s">
        <v>5224</v>
      </c>
      <c r="C2656"/>
      <c r="D2656"/>
      <c r="E2656"/>
      <c r="F2656"/>
      <c r="G2656" t="s">
        <v>5200</v>
      </c>
      <c r="H2656" t="s">
        <v>132</v>
      </c>
      <c r="I2656" t="s">
        <v>4</v>
      </c>
      <c r="J2656" t="s">
        <v>4276</v>
      </c>
      <c r="K2656" t="s">
        <v>54</v>
      </c>
      <c r="L2656" t="s">
        <v>5201</v>
      </c>
      <c r="M2656" t="s">
        <v>134</v>
      </c>
      <c r="N2656" t="s">
        <v>135</v>
      </c>
      <c r="O2656"/>
      <c r="P2656"/>
      <c r="Q2656" t="s">
        <v>5202</v>
      </c>
      <c r="R2656"/>
      <c r="S2656"/>
      <c r="T2656"/>
      <c r="U2656" t="s">
        <v>137</v>
      </c>
      <c r="V2656" t="s">
        <v>646</v>
      </c>
      <c r="W2656"/>
      <c r="X2656" t="s">
        <v>74</v>
      </c>
      <c r="Y2656"/>
      <c r="Z2656"/>
      <c r="AA2656" t="s">
        <v>5201</v>
      </c>
      <c r="AB2656" t="s">
        <v>4</v>
      </c>
      <c r="AC2656" t="s">
        <v>138</v>
      </c>
      <c r="AD2656" t="s">
        <v>128</v>
      </c>
      <c r="AE2656" s="97"/>
    </row>
    <row r="2657" spans="1:31" ht="14.4" customHeight="1" x14ac:dyDescent="0.3">
      <c r="A2657" t="s">
        <v>5225</v>
      </c>
      <c r="B2657" t="s">
        <v>5226</v>
      </c>
      <c r="C2657"/>
      <c r="D2657"/>
      <c r="E2657"/>
      <c r="F2657"/>
      <c r="G2657" t="s">
        <v>5200</v>
      </c>
      <c r="H2657" t="s">
        <v>132</v>
      </c>
      <c r="I2657" t="s">
        <v>4</v>
      </c>
      <c r="J2657" t="s">
        <v>4276</v>
      </c>
      <c r="K2657" t="s">
        <v>54</v>
      </c>
      <c r="L2657" t="s">
        <v>5201</v>
      </c>
      <c r="M2657" t="s">
        <v>134</v>
      </c>
      <c r="N2657" t="s">
        <v>135</v>
      </c>
      <c r="O2657"/>
      <c r="P2657"/>
      <c r="Q2657" t="s">
        <v>5202</v>
      </c>
      <c r="R2657"/>
      <c r="S2657"/>
      <c r="T2657"/>
      <c r="U2657" t="s">
        <v>137</v>
      </c>
      <c r="V2657" t="s">
        <v>652</v>
      </c>
      <c r="W2657"/>
      <c r="X2657" t="s">
        <v>85</v>
      </c>
      <c r="Y2657"/>
      <c r="Z2657"/>
      <c r="AA2657" t="s">
        <v>5201</v>
      </c>
      <c r="AB2657" t="s">
        <v>4</v>
      </c>
      <c r="AC2657" t="s">
        <v>138</v>
      </c>
      <c r="AD2657" t="s">
        <v>129</v>
      </c>
      <c r="AE2657" s="97"/>
    </row>
    <row r="2658" spans="1:31" ht="14.4" customHeight="1" x14ac:dyDescent="0.3">
      <c r="A2658" t="s">
        <v>5227</v>
      </c>
      <c r="B2658" t="s">
        <v>5228</v>
      </c>
      <c r="C2658"/>
      <c r="D2658"/>
      <c r="E2658"/>
      <c r="F2658"/>
      <c r="G2658" t="s">
        <v>5200</v>
      </c>
      <c r="H2658" t="s">
        <v>132</v>
      </c>
      <c r="I2658" t="s">
        <v>4</v>
      </c>
      <c r="J2658" t="s">
        <v>4276</v>
      </c>
      <c r="K2658" t="s">
        <v>54</v>
      </c>
      <c r="L2658" t="s">
        <v>5201</v>
      </c>
      <c r="M2658" t="s">
        <v>134</v>
      </c>
      <c r="N2658" t="s">
        <v>135</v>
      </c>
      <c r="O2658"/>
      <c r="P2658"/>
      <c r="Q2658" t="s">
        <v>5202</v>
      </c>
      <c r="R2658"/>
      <c r="S2658"/>
      <c r="T2658"/>
      <c r="U2658" t="s">
        <v>137</v>
      </c>
      <c r="V2658" t="s">
        <v>658</v>
      </c>
      <c r="W2658"/>
      <c r="X2658" t="s">
        <v>94</v>
      </c>
      <c r="Y2658"/>
      <c r="Z2658"/>
      <c r="AA2658" t="s">
        <v>5201</v>
      </c>
      <c r="AB2658" t="s">
        <v>4</v>
      </c>
      <c r="AC2658" t="s">
        <v>138</v>
      </c>
      <c r="AD2658" t="s">
        <v>129</v>
      </c>
      <c r="AE2658" s="97"/>
    </row>
    <row r="2659" spans="1:31" ht="14.4" customHeight="1" x14ac:dyDescent="0.3">
      <c r="A2659" t="s">
        <v>5229</v>
      </c>
      <c r="B2659" t="s">
        <v>5230</v>
      </c>
      <c r="C2659"/>
      <c r="D2659"/>
      <c r="E2659"/>
      <c r="F2659"/>
      <c r="G2659" t="s">
        <v>5200</v>
      </c>
      <c r="H2659" t="s">
        <v>132</v>
      </c>
      <c r="I2659" t="s">
        <v>4</v>
      </c>
      <c r="J2659" t="s">
        <v>4276</v>
      </c>
      <c r="K2659" t="s">
        <v>54</v>
      </c>
      <c r="L2659" t="s">
        <v>5201</v>
      </c>
      <c r="M2659" t="s">
        <v>134</v>
      </c>
      <c r="N2659" t="s">
        <v>135</v>
      </c>
      <c r="O2659"/>
      <c r="P2659"/>
      <c r="Q2659" t="s">
        <v>5202</v>
      </c>
      <c r="R2659"/>
      <c r="S2659"/>
      <c r="T2659"/>
      <c r="U2659" t="s">
        <v>137</v>
      </c>
      <c r="V2659" t="s">
        <v>664</v>
      </c>
      <c r="W2659"/>
      <c r="X2659" t="s">
        <v>103</v>
      </c>
      <c r="Y2659"/>
      <c r="Z2659"/>
      <c r="AA2659" t="s">
        <v>5201</v>
      </c>
      <c r="AB2659" t="s">
        <v>4</v>
      </c>
      <c r="AC2659" t="s">
        <v>138</v>
      </c>
      <c r="AD2659" t="s">
        <v>129</v>
      </c>
      <c r="AE2659" s="97"/>
    </row>
    <row r="2660" spans="1:31" ht="14.4" customHeight="1" x14ac:dyDescent="0.3">
      <c r="A2660" t="s">
        <v>5231</v>
      </c>
      <c r="B2660" t="s">
        <v>5232</v>
      </c>
      <c r="C2660"/>
      <c r="D2660"/>
      <c r="E2660"/>
      <c r="F2660"/>
      <c r="G2660" t="s">
        <v>5200</v>
      </c>
      <c r="H2660" t="s">
        <v>132</v>
      </c>
      <c r="I2660" t="s">
        <v>4</v>
      </c>
      <c r="J2660" t="s">
        <v>4276</v>
      </c>
      <c r="K2660" t="s">
        <v>54</v>
      </c>
      <c r="L2660" t="s">
        <v>5201</v>
      </c>
      <c r="M2660" t="s">
        <v>134</v>
      </c>
      <c r="N2660" t="s">
        <v>135</v>
      </c>
      <c r="O2660"/>
      <c r="P2660"/>
      <c r="Q2660" t="s">
        <v>5202</v>
      </c>
      <c r="R2660"/>
      <c r="S2660"/>
      <c r="T2660"/>
      <c r="U2660" t="s">
        <v>137</v>
      </c>
      <c r="V2660" t="s">
        <v>670</v>
      </c>
      <c r="W2660"/>
      <c r="X2660" t="s">
        <v>110</v>
      </c>
      <c r="Y2660"/>
      <c r="Z2660"/>
      <c r="AA2660" t="s">
        <v>5201</v>
      </c>
      <c r="AB2660" t="s">
        <v>4</v>
      </c>
      <c r="AC2660" t="s">
        <v>138</v>
      </c>
      <c r="AD2660" t="s">
        <v>129</v>
      </c>
      <c r="AE2660" s="97"/>
    </row>
    <row r="2661" spans="1:31" ht="14.4" customHeight="1" x14ac:dyDescent="0.3">
      <c r="A2661" t="s">
        <v>5233</v>
      </c>
      <c r="B2661" t="s">
        <v>5234</v>
      </c>
      <c r="C2661"/>
      <c r="D2661"/>
      <c r="E2661"/>
      <c r="F2661"/>
      <c r="G2661" t="s">
        <v>5200</v>
      </c>
      <c r="H2661" t="s">
        <v>132</v>
      </c>
      <c r="I2661" t="s">
        <v>4</v>
      </c>
      <c r="J2661" t="s">
        <v>4276</v>
      </c>
      <c r="K2661" t="s">
        <v>54</v>
      </c>
      <c r="L2661" t="s">
        <v>5201</v>
      </c>
      <c r="M2661" t="s">
        <v>134</v>
      </c>
      <c r="N2661" t="s">
        <v>135</v>
      </c>
      <c r="O2661"/>
      <c r="P2661"/>
      <c r="Q2661" t="s">
        <v>5202</v>
      </c>
      <c r="R2661"/>
      <c r="S2661"/>
      <c r="T2661"/>
      <c r="U2661" t="s">
        <v>137</v>
      </c>
      <c r="V2661" t="s">
        <v>676</v>
      </c>
      <c r="W2661"/>
      <c r="X2661" t="s">
        <v>119</v>
      </c>
      <c r="Y2661"/>
      <c r="Z2661"/>
      <c r="AA2661" t="s">
        <v>5201</v>
      </c>
      <c r="AB2661" t="s">
        <v>4</v>
      </c>
      <c r="AC2661" t="s">
        <v>138</v>
      </c>
      <c r="AD2661" t="s">
        <v>130</v>
      </c>
      <c r="AE2661" s="97"/>
    </row>
    <row r="2662" spans="1:31" ht="14.4" customHeight="1" x14ac:dyDescent="0.3">
      <c r="A2662" t="s">
        <v>5235</v>
      </c>
      <c r="B2662" t="s">
        <v>5236</v>
      </c>
      <c r="C2662"/>
      <c r="D2662"/>
      <c r="E2662"/>
      <c r="F2662"/>
      <c r="G2662" t="s">
        <v>5200</v>
      </c>
      <c r="H2662" t="s">
        <v>132</v>
      </c>
      <c r="I2662" t="s">
        <v>4</v>
      </c>
      <c r="J2662" t="s">
        <v>4276</v>
      </c>
      <c r="K2662" t="s">
        <v>54</v>
      </c>
      <c r="L2662" t="s">
        <v>5201</v>
      </c>
      <c r="M2662" t="s">
        <v>134</v>
      </c>
      <c r="N2662" t="s">
        <v>135</v>
      </c>
      <c r="O2662"/>
      <c r="P2662"/>
      <c r="Q2662" t="s">
        <v>5202</v>
      </c>
      <c r="R2662"/>
      <c r="S2662"/>
      <c r="T2662"/>
      <c r="U2662" t="s">
        <v>137</v>
      </c>
      <c r="V2662" t="s">
        <v>1190</v>
      </c>
      <c r="W2662"/>
      <c r="X2662" t="s">
        <v>67</v>
      </c>
      <c r="Y2662"/>
      <c r="Z2662"/>
      <c r="AA2662" t="s">
        <v>5201</v>
      </c>
      <c r="AB2662" t="s">
        <v>4</v>
      </c>
      <c r="AC2662" t="s">
        <v>138</v>
      </c>
      <c r="AD2662" t="s">
        <v>128</v>
      </c>
      <c r="AE2662" s="97"/>
    </row>
    <row r="2663" spans="1:31" ht="14.4" customHeight="1" x14ac:dyDescent="0.3">
      <c r="A2663" t="s">
        <v>5237</v>
      </c>
      <c r="B2663" t="s">
        <v>5238</v>
      </c>
      <c r="C2663"/>
      <c r="D2663"/>
      <c r="E2663"/>
      <c r="F2663"/>
      <c r="G2663" t="s">
        <v>5200</v>
      </c>
      <c r="H2663" t="s">
        <v>132</v>
      </c>
      <c r="I2663" t="s">
        <v>4</v>
      </c>
      <c r="J2663" t="s">
        <v>4276</v>
      </c>
      <c r="K2663" t="s">
        <v>54</v>
      </c>
      <c r="L2663" t="s">
        <v>5201</v>
      </c>
      <c r="M2663" t="s">
        <v>134</v>
      </c>
      <c r="N2663" t="s">
        <v>135</v>
      </c>
      <c r="O2663"/>
      <c r="P2663"/>
      <c r="Q2663" t="s">
        <v>5202</v>
      </c>
      <c r="R2663"/>
      <c r="S2663"/>
      <c r="T2663"/>
      <c r="U2663" t="s">
        <v>137</v>
      </c>
      <c r="V2663" t="s">
        <v>1194</v>
      </c>
      <c r="W2663"/>
      <c r="X2663" t="s">
        <v>75</v>
      </c>
      <c r="Y2663"/>
      <c r="Z2663"/>
      <c r="AA2663" t="s">
        <v>5201</v>
      </c>
      <c r="AB2663" t="s">
        <v>4</v>
      </c>
      <c r="AC2663" t="s">
        <v>138</v>
      </c>
      <c r="AD2663" t="s">
        <v>128</v>
      </c>
      <c r="AE2663" s="97"/>
    </row>
    <row r="2664" spans="1:31" ht="14.4" customHeight="1" x14ac:dyDescent="0.3">
      <c r="A2664" t="s">
        <v>5239</v>
      </c>
      <c r="B2664" t="s">
        <v>5240</v>
      </c>
      <c r="C2664"/>
      <c r="D2664"/>
      <c r="E2664"/>
      <c r="F2664"/>
      <c r="G2664" t="s">
        <v>5200</v>
      </c>
      <c r="H2664" t="s">
        <v>132</v>
      </c>
      <c r="I2664" t="s">
        <v>4</v>
      </c>
      <c r="J2664" t="s">
        <v>4276</v>
      </c>
      <c r="K2664" t="s">
        <v>54</v>
      </c>
      <c r="L2664" t="s">
        <v>5201</v>
      </c>
      <c r="M2664" t="s">
        <v>134</v>
      </c>
      <c r="N2664" t="s">
        <v>135</v>
      </c>
      <c r="O2664"/>
      <c r="P2664"/>
      <c r="Q2664" t="s">
        <v>5202</v>
      </c>
      <c r="R2664"/>
      <c r="S2664"/>
      <c r="T2664"/>
      <c r="U2664" t="s">
        <v>137</v>
      </c>
      <c r="V2664" t="s">
        <v>1198</v>
      </c>
      <c r="W2664"/>
      <c r="X2664" t="s">
        <v>86</v>
      </c>
      <c r="Y2664"/>
      <c r="Z2664"/>
      <c r="AA2664" t="s">
        <v>5201</v>
      </c>
      <c r="AB2664" t="s">
        <v>4</v>
      </c>
      <c r="AC2664" t="s">
        <v>138</v>
      </c>
      <c r="AD2664" t="s">
        <v>129</v>
      </c>
      <c r="AE2664" s="97"/>
    </row>
    <row r="2665" spans="1:31" ht="14.4" customHeight="1" x14ac:dyDescent="0.3">
      <c r="A2665" t="s">
        <v>5241</v>
      </c>
      <c r="B2665" t="s">
        <v>5242</v>
      </c>
      <c r="C2665"/>
      <c r="D2665"/>
      <c r="E2665"/>
      <c r="F2665"/>
      <c r="G2665" t="s">
        <v>5200</v>
      </c>
      <c r="H2665" t="s">
        <v>132</v>
      </c>
      <c r="I2665" t="s">
        <v>4</v>
      </c>
      <c r="J2665" t="s">
        <v>4276</v>
      </c>
      <c r="K2665" t="s">
        <v>54</v>
      </c>
      <c r="L2665" t="s">
        <v>5201</v>
      </c>
      <c r="M2665" t="s">
        <v>134</v>
      </c>
      <c r="N2665" t="s">
        <v>135</v>
      </c>
      <c r="O2665"/>
      <c r="P2665"/>
      <c r="Q2665" t="s">
        <v>5202</v>
      </c>
      <c r="R2665"/>
      <c r="S2665"/>
      <c r="T2665"/>
      <c r="U2665" t="s">
        <v>137</v>
      </c>
      <c r="V2665" t="s">
        <v>1202</v>
      </c>
      <c r="W2665"/>
      <c r="X2665" t="s">
        <v>95</v>
      </c>
      <c r="Y2665"/>
      <c r="Z2665"/>
      <c r="AA2665" t="s">
        <v>5201</v>
      </c>
      <c r="AB2665" t="s">
        <v>4</v>
      </c>
      <c r="AC2665" t="s">
        <v>138</v>
      </c>
      <c r="AD2665" t="s">
        <v>129</v>
      </c>
      <c r="AE2665" s="97"/>
    </row>
    <row r="2666" spans="1:31" ht="14.4" customHeight="1" x14ac:dyDescent="0.3">
      <c r="A2666" t="s">
        <v>5243</v>
      </c>
      <c r="B2666" t="s">
        <v>5244</v>
      </c>
      <c r="C2666"/>
      <c r="D2666"/>
      <c r="E2666"/>
      <c r="F2666"/>
      <c r="G2666" t="s">
        <v>5200</v>
      </c>
      <c r="H2666" t="s">
        <v>132</v>
      </c>
      <c r="I2666" t="s">
        <v>4</v>
      </c>
      <c r="J2666" t="s">
        <v>4276</v>
      </c>
      <c r="K2666" t="s">
        <v>54</v>
      </c>
      <c r="L2666" t="s">
        <v>5201</v>
      </c>
      <c r="M2666" t="s">
        <v>134</v>
      </c>
      <c r="N2666" t="s">
        <v>135</v>
      </c>
      <c r="O2666"/>
      <c r="P2666"/>
      <c r="Q2666" t="s">
        <v>5202</v>
      </c>
      <c r="R2666"/>
      <c r="S2666"/>
      <c r="T2666"/>
      <c r="U2666" t="s">
        <v>137</v>
      </c>
      <c r="V2666" t="s">
        <v>1206</v>
      </c>
      <c r="W2666"/>
      <c r="X2666" t="s">
        <v>104</v>
      </c>
      <c r="Y2666"/>
      <c r="Z2666"/>
      <c r="AA2666" t="s">
        <v>5201</v>
      </c>
      <c r="AB2666" t="s">
        <v>4</v>
      </c>
      <c r="AC2666" t="s">
        <v>138</v>
      </c>
      <c r="AD2666" t="s">
        <v>129</v>
      </c>
      <c r="AE2666" s="97"/>
    </row>
    <row r="2667" spans="1:31" ht="14.4" customHeight="1" x14ac:dyDescent="0.3">
      <c r="A2667" t="s">
        <v>5245</v>
      </c>
      <c r="B2667" t="s">
        <v>5246</v>
      </c>
      <c r="C2667"/>
      <c r="D2667"/>
      <c r="E2667"/>
      <c r="F2667"/>
      <c r="G2667" t="s">
        <v>5200</v>
      </c>
      <c r="H2667" t="s">
        <v>132</v>
      </c>
      <c r="I2667" t="s">
        <v>4</v>
      </c>
      <c r="J2667" t="s">
        <v>4276</v>
      </c>
      <c r="K2667" t="s">
        <v>54</v>
      </c>
      <c r="L2667" t="s">
        <v>5201</v>
      </c>
      <c r="M2667" t="s">
        <v>134</v>
      </c>
      <c r="N2667" t="s">
        <v>135</v>
      </c>
      <c r="O2667"/>
      <c r="P2667"/>
      <c r="Q2667" t="s">
        <v>5202</v>
      </c>
      <c r="R2667"/>
      <c r="S2667"/>
      <c r="T2667"/>
      <c r="U2667" t="s">
        <v>137</v>
      </c>
      <c r="V2667" t="s">
        <v>1210</v>
      </c>
      <c r="W2667"/>
      <c r="X2667" t="s">
        <v>111</v>
      </c>
      <c r="Y2667"/>
      <c r="Z2667"/>
      <c r="AA2667" t="s">
        <v>5201</v>
      </c>
      <c r="AB2667" t="s">
        <v>4</v>
      </c>
      <c r="AC2667" t="s">
        <v>138</v>
      </c>
      <c r="AD2667" t="s">
        <v>129</v>
      </c>
      <c r="AE2667" s="97"/>
    </row>
    <row r="2668" spans="1:31" ht="14.4" customHeight="1" x14ac:dyDescent="0.3">
      <c r="A2668" t="s">
        <v>5247</v>
      </c>
      <c r="B2668" t="s">
        <v>5248</v>
      </c>
      <c r="C2668"/>
      <c r="D2668"/>
      <c r="E2668"/>
      <c r="F2668"/>
      <c r="G2668" t="s">
        <v>5200</v>
      </c>
      <c r="H2668" t="s">
        <v>132</v>
      </c>
      <c r="I2668" t="s">
        <v>4</v>
      </c>
      <c r="J2668" t="s">
        <v>4276</v>
      </c>
      <c r="K2668" t="s">
        <v>54</v>
      </c>
      <c r="L2668" t="s">
        <v>5201</v>
      </c>
      <c r="M2668" t="s">
        <v>134</v>
      </c>
      <c r="N2668" t="s">
        <v>135</v>
      </c>
      <c r="O2668"/>
      <c r="P2668"/>
      <c r="Q2668" t="s">
        <v>5202</v>
      </c>
      <c r="R2668"/>
      <c r="S2668"/>
      <c r="T2668"/>
      <c r="U2668" t="s">
        <v>137</v>
      </c>
      <c r="V2668" t="s">
        <v>1214</v>
      </c>
      <c r="W2668"/>
      <c r="X2668" t="s">
        <v>120</v>
      </c>
      <c r="Y2668"/>
      <c r="Z2668"/>
      <c r="AA2668" t="s">
        <v>5201</v>
      </c>
      <c r="AB2668" t="s">
        <v>4</v>
      </c>
      <c r="AC2668" t="s">
        <v>138</v>
      </c>
      <c r="AD2668" t="s">
        <v>130</v>
      </c>
      <c r="AE2668" s="97"/>
    </row>
    <row r="2669" spans="1:31" ht="14.4" customHeight="1" x14ac:dyDescent="0.3">
      <c r="A2669" t="s">
        <v>5249</v>
      </c>
      <c r="B2669" t="s">
        <v>5250</v>
      </c>
      <c r="C2669"/>
      <c r="D2669"/>
      <c r="E2669"/>
      <c r="F2669"/>
      <c r="G2669" t="s">
        <v>5200</v>
      </c>
      <c r="H2669" t="s">
        <v>132</v>
      </c>
      <c r="I2669" t="s">
        <v>4</v>
      </c>
      <c r="J2669" t="s">
        <v>4276</v>
      </c>
      <c r="K2669" t="s">
        <v>54</v>
      </c>
      <c r="L2669" t="s">
        <v>5201</v>
      </c>
      <c r="M2669" t="s">
        <v>134</v>
      </c>
      <c r="N2669" t="s">
        <v>135</v>
      </c>
      <c r="O2669"/>
      <c r="P2669"/>
      <c r="Q2669" t="s">
        <v>5202</v>
      </c>
      <c r="R2669"/>
      <c r="S2669"/>
      <c r="T2669"/>
      <c r="U2669" t="s">
        <v>137</v>
      </c>
      <c r="V2669" t="s">
        <v>403</v>
      </c>
      <c r="W2669"/>
      <c r="X2669" t="s">
        <v>68</v>
      </c>
      <c r="Y2669"/>
      <c r="Z2669"/>
      <c r="AA2669" t="s">
        <v>5201</v>
      </c>
      <c r="AB2669" t="s">
        <v>4</v>
      </c>
      <c r="AC2669" t="s">
        <v>138</v>
      </c>
      <c r="AD2669" t="s">
        <v>128</v>
      </c>
      <c r="AE2669" s="97"/>
    </row>
    <row r="2670" spans="1:31" ht="14.4" customHeight="1" x14ac:dyDescent="0.3">
      <c r="A2670" t="s">
        <v>5251</v>
      </c>
      <c r="B2670" t="s">
        <v>5252</v>
      </c>
      <c r="C2670"/>
      <c r="D2670"/>
      <c r="E2670"/>
      <c r="F2670"/>
      <c r="G2670" t="s">
        <v>5200</v>
      </c>
      <c r="H2670" t="s">
        <v>132</v>
      </c>
      <c r="I2670" t="s">
        <v>4</v>
      </c>
      <c r="J2670" t="s">
        <v>4276</v>
      </c>
      <c r="K2670" t="s">
        <v>54</v>
      </c>
      <c r="L2670" t="s">
        <v>5201</v>
      </c>
      <c r="M2670" t="s">
        <v>134</v>
      </c>
      <c r="N2670" t="s">
        <v>135</v>
      </c>
      <c r="O2670"/>
      <c r="P2670"/>
      <c r="Q2670" t="s">
        <v>5202</v>
      </c>
      <c r="R2670"/>
      <c r="S2670"/>
      <c r="T2670"/>
      <c r="U2670" t="s">
        <v>137</v>
      </c>
      <c r="V2670" t="s">
        <v>407</v>
      </c>
      <c r="W2670"/>
      <c r="X2670" t="s">
        <v>77</v>
      </c>
      <c r="Y2670"/>
      <c r="Z2670"/>
      <c r="AA2670" t="s">
        <v>5201</v>
      </c>
      <c r="AB2670" t="s">
        <v>4</v>
      </c>
      <c r="AC2670" t="s">
        <v>138</v>
      </c>
      <c r="AD2670" t="s">
        <v>128</v>
      </c>
      <c r="AE2670" s="97"/>
    </row>
    <row r="2671" spans="1:31" ht="14.4" customHeight="1" x14ac:dyDescent="0.3">
      <c r="A2671" t="s">
        <v>5253</v>
      </c>
      <c r="B2671" t="s">
        <v>5254</v>
      </c>
      <c r="C2671"/>
      <c r="D2671"/>
      <c r="E2671"/>
      <c r="F2671"/>
      <c r="G2671" t="s">
        <v>5200</v>
      </c>
      <c r="H2671" t="s">
        <v>132</v>
      </c>
      <c r="I2671" t="s">
        <v>4</v>
      </c>
      <c r="J2671" t="s">
        <v>4276</v>
      </c>
      <c r="K2671" t="s">
        <v>54</v>
      </c>
      <c r="L2671" t="s">
        <v>5201</v>
      </c>
      <c r="M2671" t="s">
        <v>134</v>
      </c>
      <c r="N2671" t="s">
        <v>135</v>
      </c>
      <c r="O2671"/>
      <c r="P2671"/>
      <c r="Q2671" t="s">
        <v>5202</v>
      </c>
      <c r="R2671"/>
      <c r="S2671"/>
      <c r="T2671"/>
      <c r="U2671" t="s">
        <v>137</v>
      </c>
      <c r="V2671" t="s">
        <v>411</v>
      </c>
      <c r="W2671"/>
      <c r="X2671" t="s">
        <v>87</v>
      </c>
      <c r="Y2671"/>
      <c r="Z2671"/>
      <c r="AA2671" t="s">
        <v>5201</v>
      </c>
      <c r="AB2671" t="s">
        <v>4</v>
      </c>
      <c r="AC2671" t="s">
        <v>138</v>
      </c>
      <c r="AD2671" t="s">
        <v>129</v>
      </c>
      <c r="AE2671" s="97"/>
    </row>
    <row r="2672" spans="1:31" ht="14.4" customHeight="1" x14ac:dyDescent="0.3">
      <c r="A2672" t="s">
        <v>5255</v>
      </c>
      <c r="B2672" t="s">
        <v>5256</v>
      </c>
      <c r="C2672"/>
      <c r="D2672"/>
      <c r="E2672"/>
      <c r="F2672"/>
      <c r="G2672" t="s">
        <v>5200</v>
      </c>
      <c r="H2672" t="s">
        <v>132</v>
      </c>
      <c r="I2672" t="s">
        <v>4</v>
      </c>
      <c r="J2672" t="s">
        <v>4276</v>
      </c>
      <c r="K2672" t="s">
        <v>54</v>
      </c>
      <c r="L2672" t="s">
        <v>5201</v>
      </c>
      <c r="M2672" t="s">
        <v>134</v>
      </c>
      <c r="N2672" t="s">
        <v>135</v>
      </c>
      <c r="O2672"/>
      <c r="P2672"/>
      <c r="Q2672" t="s">
        <v>5202</v>
      </c>
      <c r="R2672"/>
      <c r="S2672"/>
      <c r="T2672"/>
      <c r="U2672" t="s">
        <v>137</v>
      </c>
      <c r="V2672" t="s">
        <v>415</v>
      </c>
      <c r="W2672"/>
      <c r="X2672" t="s">
        <v>96</v>
      </c>
      <c r="Y2672"/>
      <c r="Z2672"/>
      <c r="AA2672" t="s">
        <v>5201</v>
      </c>
      <c r="AB2672" t="s">
        <v>4</v>
      </c>
      <c r="AC2672" t="s">
        <v>138</v>
      </c>
      <c r="AD2672" t="s">
        <v>129</v>
      </c>
      <c r="AE2672" s="97"/>
    </row>
    <row r="2673" spans="1:31" ht="14.4" customHeight="1" x14ac:dyDescent="0.3">
      <c r="A2673" t="s">
        <v>5257</v>
      </c>
      <c r="B2673" t="s">
        <v>5258</v>
      </c>
      <c r="C2673"/>
      <c r="D2673"/>
      <c r="E2673"/>
      <c r="F2673"/>
      <c r="G2673" t="s">
        <v>5200</v>
      </c>
      <c r="H2673" t="s">
        <v>132</v>
      </c>
      <c r="I2673" t="s">
        <v>4</v>
      </c>
      <c r="J2673" t="s">
        <v>4276</v>
      </c>
      <c r="K2673" t="s">
        <v>54</v>
      </c>
      <c r="L2673" t="s">
        <v>5201</v>
      </c>
      <c r="M2673" t="s">
        <v>134</v>
      </c>
      <c r="N2673" t="s">
        <v>135</v>
      </c>
      <c r="O2673"/>
      <c r="P2673"/>
      <c r="Q2673" t="s">
        <v>5202</v>
      </c>
      <c r="R2673"/>
      <c r="S2673"/>
      <c r="T2673"/>
      <c r="U2673" t="s">
        <v>137</v>
      </c>
      <c r="V2673" t="s">
        <v>419</v>
      </c>
      <c r="W2673"/>
      <c r="X2673" t="s">
        <v>105</v>
      </c>
      <c r="Y2673"/>
      <c r="Z2673"/>
      <c r="AA2673" t="s">
        <v>5201</v>
      </c>
      <c r="AB2673" t="s">
        <v>4</v>
      </c>
      <c r="AC2673" t="s">
        <v>138</v>
      </c>
      <c r="AD2673" t="s">
        <v>129</v>
      </c>
      <c r="AE2673" s="97"/>
    </row>
    <row r="2674" spans="1:31" ht="14.4" customHeight="1" x14ac:dyDescent="0.3">
      <c r="A2674" t="s">
        <v>5259</v>
      </c>
      <c r="B2674" t="s">
        <v>5260</v>
      </c>
      <c r="C2674"/>
      <c r="D2674"/>
      <c r="E2674"/>
      <c r="F2674"/>
      <c r="G2674" t="s">
        <v>5200</v>
      </c>
      <c r="H2674" t="s">
        <v>132</v>
      </c>
      <c r="I2674" t="s">
        <v>4</v>
      </c>
      <c r="J2674" t="s">
        <v>4276</v>
      </c>
      <c r="K2674" t="s">
        <v>54</v>
      </c>
      <c r="L2674" t="s">
        <v>5201</v>
      </c>
      <c r="M2674" t="s">
        <v>134</v>
      </c>
      <c r="N2674" t="s">
        <v>135</v>
      </c>
      <c r="O2674"/>
      <c r="P2674"/>
      <c r="Q2674" t="s">
        <v>5202</v>
      </c>
      <c r="R2674"/>
      <c r="S2674"/>
      <c r="T2674"/>
      <c r="U2674" t="s">
        <v>137</v>
      </c>
      <c r="V2674" t="s">
        <v>423</v>
      </c>
      <c r="W2674"/>
      <c r="X2674" t="s">
        <v>112</v>
      </c>
      <c r="Y2674"/>
      <c r="Z2674"/>
      <c r="AA2674" t="s">
        <v>5201</v>
      </c>
      <c r="AB2674" t="s">
        <v>4</v>
      </c>
      <c r="AC2674" t="s">
        <v>138</v>
      </c>
      <c r="AD2674" t="s">
        <v>129</v>
      </c>
      <c r="AE2674" s="97"/>
    </row>
    <row r="2675" spans="1:31" ht="14.4" customHeight="1" x14ac:dyDescent="0.3">
      <c r="A2675" t="s">
        <v>5261</v>
      </c>
      <c r="B2675" t="s">
        <v>5262</v>
      </c>
      <c r="C2675"/>
      <c r="D2675"/>
      <c r="E2675"/>
      <c r="F2675"/>
      <c r="G2675" t="s">
        <v>5200</v>
      </c>
      <c r="H2675" t="s">
        <v>132</v>
      </c>
      <c r="I2675" t="s">
        <v>4</v>
      </c>
      <c r="J2675" t="s">
        <v>4276</v>
      </c>
      <c r="K2675" t="s">
        <v>54</v>
      </c>
      <c r="L2675" t="s">
        <v>5201</v>
      </c>
      <c r="M2675" t="s">
        <v>134</v>
      </c>
      <c r="N2675" t="s">
        <v>135</v>
      </c>
      <c r="O2675"/>
      <c r="P2675"/>
      <c r="Q2675" t="s">
        <v>5202</v>
      </c>
      <c r="R2675"/>
      <c r="S2675"/>
      <c r="T2675"/>
      <c r="U2675" t="s">
        <v>137</v>
      </c>
      <c r="V2675" t="s">
        <v>427</v>
      </c>
      <c r="W2675"/>
      <c r="X2675" t="s">
        <v>121</v>
      </c>
      <c r="Y2675"/>
      <c r="Z2675"/>
      <c r="AA2675" t="s">
        <v>5201</v>
      </c>
      <c r="AB2675" t="s">
        <v>4</v>
      </c>
      <c r="AC2675" t="s">
        <v>138</v>
      </c>
      <c r="AD2675" t="s">
        <v>130</v>
      </c>
      <c r="AE2675" s="97"/>
    </row>
    <row r="2676" spans="1:31" ht="14.4" customHeight="1" x14ac:dyDescent="0.3">
      <c r="A2676" t="s">
        <v>5263</v>
      </c>
      <c r="B2676" t="s">
        <v>5264</v>
      </c>
      <c r="C2676"/>
      <c r="D2676"/>
      <c r="E2676"/>
      <c r="F2676"/>
      <c r="G2676" t="s">
        <v>5200</v>
      </c>
      <c r="H2676" t="s">
        <v>132</v>
      </c>
      <c r="I2676" t="s">
        <v>4</v>
      </c>
      <c r="J2676" t="s">
        <v>4276</v>
      </c>
      <c r="K2676" t="s">
        <v>54</v>
      </c>
      <c r="L2676" t="s">
        <v>5201</v>
      </c>
      <c r="M2676" t="s">
        <v>134</v>
      </c>
      <c r="N2676" t="s">
        <v>135</v>
      </c>
      <c r="O2676"/>
      <c r="P2676"/>
      <c r="Q2676" t="s">
        <v>5202</v>
      </c>
      <c r="R2676"/>
      <c r="S2676"/>
      <c r="T2676"/>
      <c r="U2676" t="s">
        <v>137</v>
      </c>
      <c r="V2676" t="s">
        <v>1279</v>
      </c>
      <c r="W2676"/>
      <c r="X2676" t="s">
        <v>71</v>
      </c>
      <c r="Y2676"/>
      <c r="Z2676"/>
      <c r="AA2676" t="s">
        <v>5201</v>
      </c>
      <c r="AB2676" t="s">
        <v>4</v>
      </c>
      <c r="AC2676" t="s">
        <v>138</v>
      </c>
      <c r="AD2676" t="s">
        <v>128</v>
      </c>
      <c r="AE2676" s="97"/>
    </row>
    <row r="2677" spans="1:31" ht="14.4" customHeight="1" x14ac:dyDescent="0.3">
      <c r="A2677" t="s">
        <v>5265</v>
      </c>
      <c r="B2677" t="s">
        <v>5266</v>
      </c>
      <c r="C2677"/>
      <c r="D2677"/>
      <c r="E2677"/>
      <c r="F2677"/>
      <c r="G2677" t="s">
        <v>5200</v>
      </c>
      <c r="H2677" t="s">
        <v>132</v>
      </c>
      <c r="I2677" t="s">
        <v>4</v>
      </c>
      <c r="J2677" t="s">
        <v>4276</v>
      </c>
      <c r="K2677" t="s">
        <v>54</v>
      </c>
      <c r="L2677" t="s">
        <v>5201</v>
      </c>
      <c r="M2677" t="s">
        <v>134</v>
      </c>
      <c r="N2677" t="s">
        <v>135</v>
      </c>
      <c r="O2677"/>
      <c r="P2677"/>
      <c r="Q2677" t="s">
        <v>5202</v>
      </c>
      <c r="R2677"/>
      <c r="S2677"/>
      <c r="T2677"/>
      <c r="U2677" t="s">
        <v>137</v>
      </c>
      <c r="V2677" t="s">
        <v>1283</v>
      </c>
      <c r="W2677"/>
      <c r="X2677" t="s">
        <v>78</v>
      </c>
      <c r="Y2677"/>
      <c r="Z2677"/>
      <c r="AA2677" t="s">
        <v>5201</v>
      </c>
      <c r="AB2677" t="s">
        <v>4</v>
      </c>
      <c r="AC2677" t="s">
        <v>138</v>
      </c>
      <c r="AD2677" t="s">
        <v>128</v>
      </c>
      <c r="AE2677" s="97"/>
    </row>
    <row r="2678" spans="1:31" ht="14.4" customHeight="1" x14ac:dyDescent="0.3">
      <c r="A2678" t="s">
        <v>5267</v>
      </c>
      <c r="B2678" t="s">
        <v>5268</v>
      </c>
      <c r="C2678"/>
      <c r="D2678"/>
      <c r="E2678"/>
      <c r="F2678"/>
      <c r="G2678" t="s">
        <v>5200</v>
      </c>
      <c r="H2678" t="s">
        <v>132</v>
      </c>
      <c r="I2678" t="s">
        <v>4</v>
      </c>
      <c r="J2678" t="s">
        <v>4276</v>
      </c>
      <c r="K2678" t="s">
        <v>54</v>
      </c>
      <c r="L2678" t="s">
        <v>5201</v>
      </c>
      <c r="M2678" t="s">
        <v>134</v>
      </c>
      <c r="N2678" t="s">
        <v>135</v>
      </c>
      <c r="O2678"/>
      <c r="P2678"/>
      <c r="Q2678" t="s">
        <v>5202</v>
      </c>
      <c r="R2678"/>
      <c r="S2678"/>
      <c r="T2678"/>
      <c r="U2678" t="s">
        <v>137</v>
      </c>
      <c r="V2678" t="s">
        <v>1287</v>
      </c>
      <c r="W2678"/>
      <c r="X2678" t="s">
        <v>89</v>
      </c>
      <c r="Y2678"/>
      <c r="Z2678"/>
      <c r="AA2678" t="s">
        <v>5201</v>
      </c>
      <c r="AB2678" t="s">
        <v>4</v>
      </c>
      <c r="AC2678" t="s">
        <v>138</v>
      </c>
      <c r="AD2678" t="s">
        <v>129</v>
      </c>
      <c r="AE2678" s="97"/>
    </row>
    <row r="2679" spans="1:31" ht="14.4" customHeight="1" x14ac:dyDescent="0.3">
      <c r="A2679" t="s">
        <v>5269</v>
      </c>
      <c r="B2679" t="s">
        <v>5270</v>
      </c>
      <c r="C2679"/>
      <c r="D2679"/>
      <c r="E2679"/>
      <c r="F2679"/>
      <c r="G2679" t="s">
        <v>5200</v>
      </c>
      <c r="H2679" t="s">
        <v>132</v>
      </c>
      <c r="I2679" t="s">
        <v>4</v>
      </c>
      <c r="J2679" t="s">
        <v>4276</v>
      </c>
      <c r="K2679" t="s">
        <v>54</v>
      </c>
      <c r="L2679" t="s">
        <v>5201</v>
      </c>
      <c r="M2679" t="s">
        <v>134</v>
      </c>
      <c r="N2679" t="s">
        <v>135</v>
      </c>
      <c r="O2679"/>
      <c r="P2679"/>
      <c r="Q2679" t="s">
        <v>5202</v>
      </c>
      <c r="R2679"/>
      <c r="S2679"/>
      <c r="T2679"/>
      <c r="U2679" t="s">
        <v>137</v>
      </c>
      <c r="V2679" t="s">
        <v>1291</v>
      </c>
      <c r="W2679"/>
      <c r="X2679" t="s">
        <v>98</v>
      </c>
      <c r="Y2679"/>
      <c r="Z2679"/>
      <c r="AA2679" t="s">
        <v>5201</v>
      </c>
      <c r="AB2679" t="s">
        <v>4</v>
      </c>
      <c r="AC2679" t="s">
        <v>138</v>
      </c>
      <c r="AD2679" t="s">
        <v>129</v>
      </c>
      <c r="AE2679" s="97"/>
    </row>
    <row r="2680" spans="1:31" ht="14.4" customHeight="1" x14ac:dyDescent="0.3">
      <c r="A2680" t="s">
        <v>5271</v>
      </c>
      <c r="B2680" t="s">
        <v>5272</v>
      </c>
      <c r="C2680"/>
      <c r="D2680"/>
      <c r="E2680"/>
      <c r="F2680"/>
      <c r="G2680" t="s">
        <v>5200</v>
      </c>
      <c r="H2680" t="s">
        <v>132</v>
      </c>
      <c r="I2680" t="s">
        <v>4</v>
      </c>
      <c r="J2680" t="s">
        <v>4276</v>
      </c>
      <c r="K2680" t="s">
        <v>54</v>
      </c>
      <c r="L2680" t="s">
        <v>5201</v>
      </c>
      <c r="M2680" t="s">
        <v>134</v>
      </c>
      <c r="N2680" t="s">
        <v>135</v>
      </c>
      <c r="O2680"/>
      <c r="P2680"/>
      <c r="Q2680" t="s">
        <v>5202</v>
      </c>
      <c r="R2680"/>
      <c r="S2680"/>
      <c r="T2680"/>
      <c r="U2680" t="s">
        <v>137</v>
      </c>
      <c r="V2680" t="s">
        <v>1295</v>
      </c>
      <c r="W2680"/>
      <c r="X2680" t="s">
        <v>107</v>
      </c>
      <c r="Y2680"/>
      <c r="Z2680"/>
      <c r="AA2680" t="s">
        <v>5201</v>
      </c>
      <c r="AB2680" t="s">
        <v>4</v>
      </c>
      <c r="AC2680" t="s">
        <v>138</v>
      </c>
      <c r="AD2680" t="s">
        <v>129</v>
      </c>
      <c r="AE2680" s="97"/>
    </row>
    <row r="2681" spans="1:31" ht="14.4" customHeight="1" x14ac:dyDescent="0.3">
      <c r="A2681" t="s">
        <v>5273</v>
      </c>
      <c r="B2681" t="s">
        <v>5274</v>
      </c>
      <c r="C2681"/>
      <c r="D2681"/>
      <c r="E2681"/>
      <c r="F2681"/>
      <c r="G2681" t="s">
        <v>5200</v>
      </c>
      <c r="H2681" t="s">
        <v>132</v>
      </c>
      <c r="I2681" t="s">
        <v>4</v>
      </c>
      <c r="J2681" t="s">
        <v>4276</v>
      </c>
      <c r="K2681" t="s">
        <v>54</v>
      </c>
      <c r="L2681" t="s">
        <v>5201</v>
      </c>
      <c r="M2681" t="s">
        <v>134</v>
      </c>
      <c r="N2681" t="s">
        <v>135</v>
      </c>
      <c r="O2681"/>
      <c r="P2681"/>
      <c r="Q2681" t="s">
        <v>5202</v>
      </c>
      <c r="R2681"/>
      <c r="S2681"/>
      <c r="T2681"/>
      <c r="U2681" t="s">
        <v>137</v>
      </c>
      <c r="V2681" t="s">
        <v>1299</v>
      </c>
      <c r="W2681"/>
      <c r="X2681" t="s">
        <v>114</v>
      </c>
      <c r="Y2681"/>
      <c r="Z2681"/>
      <c r="AA2681" t="s">
        <v>5201</v>
      </c>
      <c r="AB2681" t="s">
        <v>4</v>
      </c>
      <c r="AC2681" t="s">
        <v>138</v>
      </c>
      <c r="AD2681" t="s">
        <v>129</v>
      </c>
      <c r="AE2681" s="97"/>
    </row>
    <row r="2682" spans="1:31" ht="14.4" customHeight="1" x14ac:dyDescent="0.3">
      <c r="A2682" t="s">
        <v>5275</v>
      </c>
      <c r="B2682" t="s">
        <v>5276</v>
      </c>
      <c r="C2682"/>
      <c r="D2682"/>
      <c r="E2682"/>
      <c r="F2682"/>
      <c r="G2682" t="s">
        <v>5200</v>
      </c>
      <c r="H2682" t="s">
        <v>132</v>
      </c>
      <c r="I2682" t="s">
        <v>4</v>
      </c>
      <c r="J2682" t="s">
        <v>4276</v>
      </c>
      <c r="K2682" t="s">
        <v>54</v>
      </c>
      <c r="L2682" t="s">
        <v>5201</v>
      </c>
      <c r="M2682" t="s">
        <v>134</v>
      </c>
      <c r="N2682" t="s">
        <v>135</v>
      </c>
      <c r="O2682"/>
      <c r="P2682"/>
      <c r="Q2682" t="s">
        <v>5202</v>
      </c>
      <c r="R2682"/>
      <c r="S2682"/>
      <c r="T2682"/>
      <c r="U2682" t="s">
        <v>137</v>
      </c>
      <c r="V2682" t="s">
        <v>1303</v>
      </c>
      <c r="W2682"/>
      <c r="X2682" t="s">
        <v>123</v>
      </c>
      <c r="Y2682"/>
      <c r="Z2682"/>
      <c r="AA2682" t="s">
        <v>5201</v>
      </c>
      <c r="AB2682" t="s">
        <v>4</v>
      </c>
      <c r="AC2682" t="s">
        <v>138</v>
      </c>
      <c r="AD2682" t="s">
        <v>130</v>
      </c>
      <c r="AE2682" s="97"/>
    </row>
    <row r="2683" spans="1:31" ht="14.4" customHeight="1" x14ac:dyDescent="0.3">
      <c r="A2683" t="s">
        <v>5277</v>
      </c>
      <c r="B2683" t="s">
        <v>5278</v>
      </c>
      <c r="C2683"/>
      <c r="D2683"/>
      <c r="E2683"/>
      <c r="F2683"/>
      <c r="G2683" t="s">
        <v>5200</v>
      </c>
      <c r="H2683" t="s">
        <v>132</v>
      </c>
      <c r="I2683" t="s">
        <v>4</v>
      </c>
      <c r="J2683" t="s">
        <v>4276</v>
      </c>
      <c r="K2683" t="s">
        <v>54</v>
      </c>
      <c r="L2683" t="s">
        <v>5201</v>
      </c>
      <c r="M2683" t="s">
        <v>134</v>
      </c>
      <c r="N2683" t="s">
        <v>135</v>
      </c>
      <c r="O2683"/>
      <c r="P2683"/>
      <c r="Q2683" t="s">
        <v>5202</v>
      </c>
      <c r="R2683"/>
      <c r="S2683"/>
      <c r="T2683"/>
      <c r="U2683" t="s">
        <v>137</v>
      </c>
      <c r="V2683" t="s">
        <v>703</v>
      </c>
      <c r="W2683"/>
      <c r="X2683" t="s">
        <v>62</v>
      </c>
      <c r="Y2683"/>
      <c r="Z2683"/>
      <c r="AA2683" t="s">
        <v>5201</v>
      </c>
      <c r="AB2683" t="s">
        <v>4</v>
      </c>
      <c r="AC2683" t="s">
        <v>138</v>
      </c>
      <c r="AD2683" t="s">
        <v>128</v>
      </c>
      <c r="AE2683" s="97"/>
    </row>
    <row r="2684" spans="1:31" ht="14.4" customHeight="1" x14ac:dyDescent="0.3">
      <c r="A2684" t="s">
        <v>5279</v>
      </c>
      <c r="B2684" t="s">
        <v>5280</v>
      </c>
      <c r="C2684"/>
      <c r="D2684"/>
      <c r="E2684"/>
      <c r="F2684"/>
      <c r="G2684" t="s">
        <v>5200</v>
      </c>
      <c r="H2684" t="s">
        <v>132</v>
      </c>
      <c r="I2684" t="s">
        <v>4</v>
      </c>
      <c r="J2684" t="s">
        <v>4276</v>
      </c>
      <c r="K2684" t="s">
        <v>54</v>
      </c>
      <c r="L2684" t="s">
        <v>5201</v>
      </c>
      <c r="M2684" t="s">
        <v>134</v>
      </c>
      <c r="N2684" t="s">
        <v>135</v>
      </c>
      <c r="O2684"/>
      <c r="P2684"/>
      <c r="Q2684" t="s">
        <v>5202</v>
      </c>
      <c r="R2684"/>
      <c r="S2684"/>
      <c r="T2684"/>
      <c r="U2684" t="s">
        <v>137</v>
      </c>
      <c r="V2684" t="s">
        <v>709</v>
      </c>
      <c r="W2684"/>
      <c r="X2684" t="s">
        <v>73</v>
      </c>
      <c r="Y2684"/>
      <c r="Z2684"/>
      <c r="AA2684" t="s">
        <v>5201</v>
      </c>
      <c r="AB2684" t="s">
        <v>4</v>
      </c>
      <c r="AC2684" t="s">
        <v>138</v>
      </c>
      <c r="AD2684" t="s">
        <v>128</v>
      </c>
      <c r="AE2684" s="97"/>
    </row>
    <row r="2685" spans="1:31" ht="14.4" customHeight="1" x14ac:dyDescent="0.3">
      <c r="A2685" t="s">
        <v>5281</v>
      </c>
      <c r="B2685" t="s">
        <v>5282</v>
      </c>
      <c r="C2685"/>
      <c r="D2685"/>
      <c r="E2685"/>
      <c r="F2685"/>
      <c r="G2685" t="s">
        <v>5200</v>
      </c>
      <c r="H2685" t="s">
        <v>132</v>
      </c>
      <c r="I2685" t="s">
        <v>4</v>
      </c>
      <c r="J2685" t="s">
        <v>4276</v>
      </c>
      <c r="K2685" t="s">
        <v>54</v>
      </c>
      <c r="L2685" t="s">
        <v>5201</v>
      </c>
      <c r="M2685" t="s">
        <v>134</v>
      </c>
      <c r="N2685" t="s">
        <v>135</v>
      </c>
      <c r="O2685"/>
      <c r="P2685"/>
      <c r="Q2685" t="s">
        <v>5202</v>
      </c>
      <c r="R2685"/>
      <c r="S2685"/>
      <c r="T2685"/>
      <c r="U2685" t="s">
        <v>137</v>
      </c>
      <c r="V2685" t="s">
        <v>715</v>
      </c>
      <c r="W2685"/>
      <c r="X2685" t="s">
        <v>82</v>
      </c>
      <c r="Y2685"/>
      <c r="Z2685"/>
      <c r="AA2685" t="s">
        <v>5201</v>
      </c>
      <c r="AB2685" t="s">
        <v>4</v>
      </c>
      <c r="AC2685" t="s">
        <v>138</v>
      </c>
      <c r="AD2685" t="s">
        <v>129</v>
      </c>
      <c r="AE2685" s="97"/>
    </row>
    <row r="2686" spans="1:31" ht="14.4" customHeight="1" x14ac:dyDescent="0.3">
      <c r="A2686" t="s">
        <v>5283</v>
      </c>
      <c r="B2686" t="s">
        <v>5284</v>
      </c>
      <c r="C2686"/>
      <c r="D2686"/>
      <c r="E2686"/>
      <c r="F2686"/>
      <c r="G2686" t="s">
        <v>5200</v>
      </c>
      <c r="H2686" t="s">
        <v>132</v>
      </c>
      <c r="I2686" t="s">
        <v>4</v>
      </c>
      <c r="J2686" t="s">
        <v>4276</v>
      </c>
      <c r="K2686" t="s">
        <v>54</v>
      </c>
      <c r="L2686" t="s">
        <v>5201</v>
      </c>
      <c r="M2686" t="s">
        <v>134</v>
      </c>
      <c r="N2686" t="s">
        <v>135</v>
      </c>
      <c r="O2686"/>
      <c r="P2686"/>
      <c r="Q2686" t="s">
        <v>5202</v>
      </c>
      <c r="R2686"/>
      <c r="S2686"/>
      <c r="T2686"/>
      <c r="U2686" t="s">
        <v>137</v>
      </c>
      <c r="V2686" t="s">
        <v>721</v>
      </c>
      <c r="W2686"/>
      <c r="X2686" t="s">
        <v>91</v>
      </c>
      <c r="Y2686"/>
      <c r="Z2686"/>
      <c r="AA2686" t="s">
        <v>5201</v>
      </c>
      <c r="AB2686" t="s">
        <v>4</v>
      </c>
      <c r="AC2686" t="s">
        <v>138</v>
      </c>
      <c r="AD2686" t="s">
        <v>129</v>
      </c>
      <c r="AE2686" s="97"/>
    </row>
    <row r="2687" spans="1:31" ht="14.4" customHeight="1" x14ac:dyDescent="0.3">
      <c r="A2687" t="s">
        <v>5285</v>
      </c>
      <c r="B2687" t="s">
        <v>5286</v>
      </c>
      <c r="C2687"/>
      <c r="D2687"/>
      <c r="E2687"/>
      <c r="F2687"/>
      <c r="G2687" t="s">
        <v>5200</v>
      </c>
      <c r="H2687" t="s">
        <v>132</v>
      </c>
      <c r="I2687" t="s">
        <v>4</v>
      </c>
      <c r="J2687" t="s">
        <v>4276</v>
      </c>
      <c r="K2687" t="s">
        <v>54</v>
      </c>
      <c r="L2687" t="s">
        <v>5201</v>
      </c>
      <c r="M2687" t="s">
        <v>134</v>
      </c>
      <c r="N2687" t="s">
        <v>135</v>
      </c>
      <c r="O2687"/>
      <c r="P2687"/>
      <c r="Q2687" t="s">
        <v>5202</v>
      </c>
      <c r="R2687"/>
      <c r="S2687"/>
      <c r="T2687"/>
      <c r="U2687" t="s">
        <v>137</v>
      </c>
      <c r="V2687" t="s">
        <v>727</v>
      </c>
      <c r="W2687"/>
      <c r="X2687" t="s">
        <v>100</v>
      </c>
      <c r="Y2687"/>
      <c r="Z2687"/>
      <c r="AA2687" t="s">
        <v>5201</v>
      </c>
      <c r="AB2687" t="s">
        <v>4</v>
      </c>
      <c r="AC2687" t="s">
        <v>138</v>
      </c>
      <c r="AD2687" t="s">
        <v>129</v>
      </c>
      <c r="AE2687" s="97"/>
    </row>
    <row r="2688" spans="1:31" ht="14.4" customHeight="1" x14ac:dyDescent="0.3">
      <c r="A2688" t="s">
        <v>5287</v>
      </c>
      <c r="B2688" t="s">
        <v>5288</v>
      </c>
      <c r="C2688"/>
      <c r="D2688"/>
      <c r="E2688"/>
      <c r="F2688"/>
      <c r="G2688" t="s">
        <v>5200</v>
      </c>
      <c r="H2688" t="s">
        <v>132</v>
      </c>
      <c r="I2688" t="s">
        <v>4</v>
      </c>
      <c r="J2688" t="s">
        <v>4276</v>
      </c>
      <c r="K2688" t="s">
        <v>54</v>
      </c>
      <c r="L2688" t="s">
        <v>5201</v>
      </c>
      <c r="M2688" t="s">
        <v>134</v>
      </c>
      <c r="N2688" t="s">
        <v>135</v>
      </c>
      <c r="O2688"/>
      <c r="P2688"/>
      <c r="Q2688" t="s">
        <v>5202</v>
      </c>
      <c r="R2688"/>
      <c r="S2688"/>
      <c r="T2688"/>
      <c r="U2688" t="s">
        <v>137</v>
      </c>
      <c r="V2688" t="s">
        <v>733</v>
      </c>
      <c r="W2688"/>
      <c r="X2688" t="s">
        <v>109</v>
      </c>
      <c r="Y2688"/>
      <c r="Z2688"/>
      <c r="AA2688" t="s">
        <v>5201</v>
      </c>
      <c r="AB2688" t="s">
        <v>4</v>
      </c>
      <c r="AC2688" t="s">
        <v>138</v>
      </c>
      <c r="AD2688" t="s">
        <v>129</v>
      </c>
      <c r="AE2688" s="97"/>
    </row>
    <row r="2689" spans="1:31" ht="14.4" customHeight="1" x14ac:dyDescent="0.3">
      <c r="A2689" t="s">
        <v>5289</v>
      </c>
      <c r="B2689" t="s">
        <v>5290</v>
      </c>
      <c r="C2689"/>
      <c r="D2689"/>
      <c r="E2689"/>
      <c r="F2689"/>
      <c r="G2689" t="s">
        <v>5200</v>
      </c>
      <c r="H2689" t="s">
        <v>132</v>
      </c>
      <c r="I2689" t="s">
        <v>4</v>
      </c>
      <c r="J2689" t="s">
        <v>4276</v>
      </c>
      <c r="K2689" t="s">
        <v>54</v>
      </c>
      <c r="L2689" t="s">
        <v>5201</v>
      </c>
      <c r="M2689" t="s">
        <v>134</v>
      </c>
      <c r="N2689" t="s">
        <v>135</v>
      </c>
      <c r="O2689"/>
      <c r="P2689"/>
      <c r="Q2689" t="s">
        <v>5202</v>
      </c>
      <c r="R2689"/>
      <c r="S2689"/>
      <c r="T2689"/>
      <c r="U2689" t="s">
        <v>137</v>
      </c>
      <c r="V2689" t="s">
        <v>739</v>
      </c>
      <c r="W2689"/>
      <c r="X2689" t="s">
        <v>118</v>
      </c>
      <c r="Y2689"/>
      <c r="Z2689"/>
      <c r="AA2689" t="s">
        <v>5201</v>
      </c>
      <c r="AB2689" t="s">
        <v>4</v>
      </c>
      <c r="AC2689" t="s">
        <v>138</v>
      </c>
      <c r="AD2689" t="s">
        <v>130</v>
      </c>
      <c r="AE2689" s="97"/>
    </row>
    <row r="2690" spans="1:31" ht="14.4" customHeight="1" x14ac:dyDescent="0.3">
      <c r="A2690" t="s">
        <v>5291</v>
      </c>
      <c r="B2690" t="s">
        <v>5292</v>
      </c>
      <c r="C2690"/>
      <c r="D2690"/>
      <c r="E2690"/>
      <c r="F2690"/>
      <c r="G2690" t="s">
        <v>5200</v>
      </c>
      <c r="H2690" t="s">
        <v>132</v>
      </c>
      <c r="I2690" t="s">
        <v>4</v>
      </c>
      <c r="J2690" t="s">
        <v>4276</v>
      </c>
      <c r="K2690" t="s">
        <v>54</v>
      </c>
      <c r="L2690" t="s">
        <v>5201</v>
      </c>
      <c r="M2690" t="s">
        <v>134</v>
      </c>
      <c r="N2690" t="s">
        <v>135</v>
      </c>
      <c r="O2690"/>
      <c r="P2690"/>
      <c r="Q2690" t="s">
        <v>5202</v>
      </c>
      <c r="R2690"/>
      <c r="S2690"/>
      <c r="T2690"/>
      <c r="U2690" t="s">
        <v>137</v>
      </c>
      <c r="V2690" t="s">
        <v>1967</v>
      </c>
      <c r="W2690"/>
      <c r="X2690" t="s">
        <v>125</v>
      </c>
      <c r="Y2690"/>
      <c r="Z2690"/>
      <c r="AA2690" t="s">
        <v>5201</v>
      </c>
      <c r="AB2690" t="s">
        <v>4</v>
      </c>
      <c r="AC2690" t="s">
        <v>138</v>
      </c>
      <c r="AD2690" t="s">
        <v>131</v>
      </c>
      <c r="AE2690" s="97"/>
    </row>
    <row r="2691" spans="1:31" ht="14.4" customHeight="1" x14ac:dyDescent="0.3">
      <c r="A2691" t="s">
        <v>5293</v>
      </c>
      <c r="B2691" t="s">
        <v>5294</v>
      </c>
      <c r="C2691"/>
      <c r="D2691"/>
      <c r="E2691"/>
      <c r="F2691"/>
      <c r="G2691" t="s">
        <v>5200</v>
      </c>
      <c r="H2691" t="s">
        <v>132</v>
      </c>
      <c r="I2691" t="s">
        <v>4</v>
      </c>
      <c r="J2691" t="s">
        <v>4276</v>
      </c>
      <c r="K2691" t="s">
        <v>54</v>
      </c>
      <c r="L2691" t="s">
        <v>5201</v>
      </c>
      <c r="M2691" t="s">
        <v>134</v>
      </c>
      <c r="N2691" t="s">
        <v>135</v>
      </c>
      <c r="O2691"/>
      <c r="P2691"/>
      <c r="Q2691" t="s">
        <v>5202</v>
      </c>
      <c r="R2691"/>
      <c r="S2691"/>
      <c r="T2691"/>
      <c r="U2691" t="s">
        <v>137</v>
      </c>
      <c r="V2691" t="s">
        <v>1259</v>
      </c>
      <c r="W2691"/>
      <c r="X2691" t="s">
        <v>126</v>
      </c>
      <c r="Y2691"/>
      <c r="Z2691"/>
      <c r="AA2691" t="s">
        <v>5201</v>
      </c>
      <c r="AB2691" t="s">
        <v>4</v>
      </c>
      <c r="AC2691" t="s">
        <v>138</v>
      </c>
      <c r="AD2691" t="s">
        <v>131</v>
      </c>
      <c r="AE2691" s="97"/>
    </row>
    <row r="2692" spans="1:31" ht="14.4" customHeight="1" x14ac:dyDescent="0.3">
      <c r="A2692" t="s">
        <v>5295</v>
      </c>
      <c r="B2692" t="s">
        <v>5296</v>
      </c>
      <c r="C2692"/>
      <c r="D2692"/>
      <c r="E2692"/>
      <c r="F2692"/>
      <c r="G2692" t="s">
        <v>5200</v>
      </c>
      <c r="H2692" t="s">
        <v>132</v>
      </c>
      <c r="I2692" t="s">
        <v>4</v>
      </c>
      <c r="J2692" t="s">
        <v>4276</v>
      </c>
      <c r="K2692" t="s">
        <v>54</v>
      </c>
      <c r="L2692" t="s">
        <v>5201</v>
      </c>
      <c r="M2692" t="s">
        <v>134</v>
      </c>
      <c r="N2692" t="s">
        <v>135</v>
      </c>
      <c r="O2692"/>
      <c r="P2692"/>
      <c r="Q2692" t="s">
        <v>5202</v>
      </c>
      <c r="R2692"/>
      <c r="S2692"/>
      <c r="T2692"/>
      <c r="U2692" t="s">
        <v>137</v>
      </c>
      <c r="V2692" t="s">
        <v>1263</v>
      </c>
      <c r="W2692"/>
      <c r="X2692" t="s">
        <v>69</v>
      </c>
      <c r="Y2692"/>
      <c r="Z2692"/>
      <c r="AA2692" t="s">
        <v>5201</v>
      </c>
      <c r="AB2692" t="s">
        <v>4</v>
      </c>
      <c r="AC2692" t="s">
        <v>138</v>
      </c>
      <c r="AD2692" t="s">
        <v>128</v>
      </c>
      <c r="AE2692" s="97"/>
    </row>
    <row r="2693" spans="1:31" ht="14.4" customHeight="1" x14ac:dyDescent="0.3">
      <c r="A2693" t="s">
        <v>5299</v>
      </c>
      <c r="B2693" t="s">
        <v>145</v>
      </c>
      <c r="C2693"/>
      <c r="D2693"/>
      <c r="E2693"/>
      <c r="F2693"/>
      <c r="G2693" t="s">
        <v>5297</v>
      </c>
      <c r="H2693" t="s">
        <v>132</v>
      </c>
      <c r="I2693" t="s">
        <v>1</v>
      </c>
      <c r="J2693" t="s">
        <v>5298</v>
      </c>
      <c r="K2693" t="s">
        <v>51</v>
      </c>
      <c r="L2693" t="s">
        <v>146</v>
      </c>
      <c r="M2693" t="s">
        <v>134</v>
      </c>
      <c r="N2693" t="s">
        <v>135</v>
      </c>
      <c r="O2693"/>
      <c r="P2693"/>
      <c r="Q2693" t="s">
        <v>166</v>
      </c>
      <c r="R2693"/>
      <c r="S2693"/>
      <c r="T2693"/>
      <c r="U2693" t="s">
        <v>137</v>
      </c>
      <c r="V2693" t="s">
        <v>147</v>
      </c>
      <c r="W2693"/>
      <c r="X2693" t="s">
        <v>70</v>
      </c>
      <c r="Y2693"/>
      <c r="Z2693"/>
      <c r="AA2693" t="s">
        <v>143</v>
      </c>
      <c r="AB2693" t="s">
        <v>1</v>
      </c>
      <c r="AC2693" t="s">
        <v>138</v>
      </c>
      <c r="AD2693" t="s">
        <v>128</v>
      </c>
      <c r="AE2693" s="97"/>
    </row>
    <row r="2694" spans="1:31" ht="14.4" customHeight="1" x14ac:dyDescent="0.3">
      <c r="A2694" t="s">
        <v>5300</v>
      </c>
      <c r="B2694" t="s">
        <v>149</v>
      </c>
      <c r="C2694"/>
      <c r="D2694"/>
      <c r="E2694"/>
      <c r="F2694"/>
      <c r="G2694" t="s">
        <v>5297</v>
      </c>
      <c r="H2694" t="s">
        <v>132</v>
      </c>
      <c r="I2694" t="s">
        <v>1</v>
      </c>
      <c r="J2694" t="s">
        <v>5298</v>
      </c>
      <c r="K2694" t="s">
        <v>51</v>
      </c>
      <c r="L2694" t="s">
        <v>146</v>
      </c>
      <c r="M2694" t="s">
        <v>134</v>
      </c>
      <c r="N2694" t="s">
        <v>135</v>
      </c>
      <c r="O2694"/>
      <c r="P2694"/>
      <c r="Q2694" t="s">
        <v>166</v>
      </c>
      <c r="R2694"/>
      <c r="S2694"/>
      <c r="T2694"/>
      <c r="U2694" t="s">
        <v>137</v>
      </c>
      <c r="V2694" t="s">
        <v>150</v>
      </c>
      <c r="W2694"/>
      <c r="X2694" t="s">
        <v>76</v>
      </c>
      <c r="Y2694"/>
      <c r="Z2694"/>
      <c r="AA2694" t="s">
        <v>143</v>
      </c>
      <c r="AB2694" t="s">
        <v>1</v>
      </c>
      <c r="AC2694" t="s">
        <v>138</v>
      </c>
      <c r="AD2694" t="s">
        <v>128</v>
      </c>
      <c r="AE2694" s="97"/>
    </row>
    <row r="2695" spans="1:31" ht="14.4" customHeight="1" x14ac:dyDescent="0.3">
      <c r="A2695" t="s">
        <v>5301</v>
      </c>
      <c r="B2695" t="s">
        <v>152</v>
      </c>
      <c r="C2695"/>
      <c r="D2695"/>
      <c r="E2695"/>
      <c r="F2695"/>
      <c r="G2695" t="s">
        <v>5297</v>
      </c>
      <c r="H2695" t="s">
        <v>132</v>
      </c>
      <c r="I2695" t="s">
        <v>1</v>
      </c>
      <c r="J2695" t="s">
        <v>5298</v>
      </c>
      <c r="K2695" t="s">
        <v>51</v>
      </c>
      <c r="L2695" t="s">
        <v>146</v>
      </c>
      <c r="M2695" t="s">
        <v>134</v>
      </c>
      <c r="N2695" t="s">
        <v>135</v>
      </c>
      <c r="O2695"/>
      <c r="P2695"/>
      <c r="Q2695" t="s">
        <v>166</v>
      </c>
      <c r="R2695"/>
      <c r="S2695"/>
      <c r="T2695"/>
      <c r="U2695" t="s">
        <v>137</v>
      </c>
      <c r="V2695" t="s">
        <v>153</v>
      </c>
      <c r="W2695"/>
      <c r="X2695" t="s">
        <v>88</v>
      </c>
      <c r="Y2695"/>
      <c r="Z2695"/>
      <c r="AA2695" t="s">
        <v>143</v>
      </c>
      <c r="AB2695" t="s">
        <v>1</v>
      </c>
      <c r="AC2695" t="s">
        <v>138</v>
      </c>
      <c r="AD2695" t="s">
        <v>129</v>
      </c>
      <c r="AE2695" s="97"/>
    </row>
    <row r="2696" spans="1:31" ht="14.4" customHeight="1" x14ac:dyDescent="0.3">
      <c r="A2696" t="s">
        <v>5302</v>
      </c>
      <c r="B2696" t="s">
        <v>155</v>
      </c>
      <c r="C2696"/>
      <c r="D2696"/>
      <c r="E2696"/>
      <c r="F2696"/>
      <c r="G2696" t="s">
        <v>5297</v>
      </c>
      <c r="H2696" t="s">
        <v>132</v>
      </c>
      <c r="I2696" t="s">
        <v>1</v>
      </c>
      <c r="J2696" t="s">
        <v>5298</v>
      </c>
      <c r="K2696" t="s">
        <v>51</v>
      </c>
      <c r="L2696" t="s">
        <v>146</v>
      </c>
      <c r="M2696" t="s">
        <v>134</v>
      </c>
      <c r="N2696" t="s">
        <v>135</v>
      </c>
      <c r="O2696"/>
      <c r="P2696"/>
      <c r="Q2696" t="s">
        <v>166</v>
      </c>
      <c r="R2696"/>
      <c r="S2696"/>
      <c r="T2696"/>
      <c r="U2696" t="s">
        <v>137</v>
      </c>
      <c r="V2696" t="s">
        <v>156</v>
      </c>
      <c r="W2696"/>
      <c r="X2696" t="s">
        <v>97</v>
      </c>
      <c r="Y2696"/>
      <c r="Z2696"/>
      <c r="AA2696" t="s">
        <v>143</v>
      </c>
      <c r="AB2696" t="s">
        <v>1</v>
      </c>
      <c r="AC2696" t="s">
        <v>138</v>
      </c>
      <c r="AD2696" t="s">
        <v>129</v>
      </c>
      <c r="AE2696" s="97"/>
    </row>
    <row r="2697" spans="1:31" ht="14.4" customHeight="1" x14ac:dyDescent="0.3">
      <c r="A2697" t="s">
        <v>5303</v>
      </c>
      <c r="B2697" t="s">
        <v>158</v>
      </c>
      <c r="C2697"/>
      <c r="D2697"/>
      <c r="E2697"/>
      <c r="F2697"/>
      <c r="G2697" t="s">
        <v>5297</v>
      </c>
      <c r="H2697" t="s">
        <v>132</v>
      </c>
      <c r="I2697" t="s">
        <v>1</v>
      </c>
      <c r="J2697" t="s">
        <v>5298</v>
      </c>
      <c r="K2697" t="s">
        <v>51</v>
      </c>
      <c r="L2697" t="s">
        <v>146</v>
      </c>
      <c r="M2697" t="s">
        <v>134</v>
      </c>
      <c r="N2697" t="s">
        <v>135</v>
      </c>
      <c r="O2697"/>
      <c r="P2697"/>
      <c r="Q2697" t="s">
        <v>166</v>
      </c>
      <c r="R2697"/>
      <c r="S2697"/>
      <c r="T2697"/>
      <c r="U2697" t="s">
        <v>137</v>
      </c>
      <c r="V2697" t="s">
        <v>159</v>
      </c>
      <c r="W2697"/>
      <c r="X2697" t="s">
        <v>106</v>
      </c>
      <c r="Y2697"/>
      <c r="Z2697"/>
      <c r="AA2697" t="s">
        <v>143</v>
      </c>
      <c r="AB2697" t="s">
        <v>1</v>
      </c>
      <c r="AC2697" t="s">
        <v>138</v>
      </c>
      <c r="AD2697" t="s">
        <v>129</v>
      </c>
      <c r="AE2697" s="97"/>
    </row>
    <row r="2698" spans="1:31" ht="14.4" customHeight="1" x14ac:dyDescent="0.3">
      <c r="A2698" t="s">
        <v>5304</v>
      </c>
      <c r="B2698" t="s">
        <v>161</v>
      </c>
      <c r="C2698"/>
      <c r="D2698"/>
      <c r="E2698"/>
      <c r="F2698"/>
      <c r="G2698" t="s">
        <v>5297</v>
      </c>
      <c r="H2698" t="s">
        <v>132</v>
      </c>
      <c r="I2698" t="s">
        <v>1</v>
      </c>
      <c r="J2698" t="s">
        <v>5298</v>
      </c>
      <c r="K2698" t="s">
        <v>51</v>
      </c>
      <c r="L2698" t="s">
        <v>146</v>
      </c>
      <c r="M2698" t="s">
        <v>134</v>
      </c>
      <c r="N2698" t="s">
        <v>135</v>
      </c>
      <c r="O2698"/>
      <c r="P2698"/>
      <c r="Q2698" t="s">
        <v>166</v>
      </c>
      <c r="R2698"/>
      <c r="S2698"/>
      <c r="T2698"/>
      <c r="U2698" t="s">
        <v>137</v>
      </c>
      <c r="V2698" t="s">
        <v>162</v>
      </c>
      <c r="W2698"/>
      <c r="X2698" t="s">
        <v>113</v>
      </c>
      <c r="Y2698"/>
      <c r="Z2698"/>
      <c r="AA2698" t="s">
        <v>143</v>
      </c>
      <c r="AB2698" t="s">
        <v>1</v>
      </c>
      <c r="AC2698" t="s">
        <v>138</v>
      </c>
      <c r="AD2698" t="s">
        <v>129</v>
      </c>
      <c r="AE2698" s="97"/>
    </row>
    <row r="2699" spans="1:31" ht="14.4" customHeight="1" x14ac:dyDescent="0.3">
      <c r="A2699" t="s">
        <v>5305</v>
      </c>
      <c r="B2699" t="s">
        <v>164</v>
      </c>
      <c r="C2699"/>
      <c r="D2699"/>
      <c r="E2699"/>
      <c r="F2699"/>
      <c r="G2699" t="s">
        <v>5297</v>
      </c>
      <c r="H2699" t="s">
        <v>132</v>
      </c>
      <c r="I2699" t="s">
        <v>1</v>
      </c>
      <c r="J2699" t="s">
        <v>5298</v>
      </c>
      <c r="K2699" t="s">
        <v>51</v>
      </c>
      <c r="L2699" t="s">
        <v>146</v>
      </c>
      <c r="M2699" t="s">
        <v>134</v>
      </c>
      <c r="N2699" t="s">
        <v>135</v>
      </c>
      <c r="O2699"/>
      <c r="P2699"/>
      <c r="Q2699" t="s">
        <v>166</v>
      </c>
      <c r="R2699"/>
      <c r="S2699"/>
      <c r="T2699"/>
      <c r="U2699" t="s">
        <v>137</v>
      </c>
      <c r="V2699" t="s">
        <v>165</v>
      </c>
      <c r="W2699"/>
      <c r="X2699" t="s">
        <v>122</v>
      </c>
      <c r="Y2699"/>
      <c r="Z2699"/>
      <c r="AA2699" t="s">
        <v>143</v>
      </c>
      <c r="AB2699" t="s">
        <v>1</v>
      </c>
      <c r="AC2699" t="s">
        <v>138</v>
      </c>
      <c r="AD2699" t="s">
        <v>130</v>
      </c>
      <c r="AE2699" s="97"/>
    </row>
    <row r="2700" spans="1:31" ht="14.4" customHeight="1" x14ac:dyDescent="0.3">
      <c r="A2700" t="s">
        <v>5307</v>
      </c>
      <c r="B2700" t="s">
        <v>172</v>
      </c>
      <c r="C2700"/>
      <c r="D2700"/>
      <c r="E2700"/>
      <c r="F2700"/>
      <c r="G2700" t="s">
        <v>5306</v>
      </c>
      <c r="H2700" t="s">
        <v>132</v>
      </c>
      <c r="I2700" t="s">
        <v>1</v>
      </c>
      <c r="J2700" t="s">
        <v>5298</v>
      </c>
      <c r="K2700" t="s">
        <v>51</v>
      </c>
      <c r="L2700" t="s">
        <v>173</v>
      </c>
      <c r="M2700" t="s">
        <v>134</v>
      </c>
      <c r="N2700" t="s">
        <v>135</v>
      </c>
      <c r="O2700"/>
      <c r="P2700"/>
      <c r="Q2700" t="s">
        <v>1790</v>
      </c>
      <c r="R2700"/>
      <c r="S2700" t="s">
        <v>1790</v>
      </c>
      <c r="T2700"/>
      <c r="U2700" t="s">
        <v>137</v>
      </c>
      <c r="V2700" t="s">
        <v>147</v>
      </c>
      <c r="W2700" s="9">
        <v>46095.184615590275</v>
      </c>
      <c r="X2700" t="s">
        <v>70</v>
      </c>
      <c r="Y2700"/>
      <c r="Z2700"/>
      <c r="AA2700" t="s">
        <v>170</v>
      </c>
      <c r="AB2700" t="s">
        <v>1</v>
      </c>
      <c r="AC2700" t="s">
        <v>24</v>
      </c>
      <c r="AD2700" t="s">
        <v>128</v>
      </c>
      <c r="AE2700" s="97"/>
    </row>
    <row r="2701" spans="1:31" ht="14.4" customHeight="1" x14ac:dyDescent="0.3">
      <c r="A2701" t="s">
        <v>5308</v>
      </c>
      <c r="B2701" t="s">
        <v>175</v>
      </c>
      <c r="C2701"/>
      <c r="D2701"/>
      <c r="E2701"/>
      <c r="F2701"/>
      <c r="G2701" t="s">
        <v>5306</v>
      </c>
      <c r="H2701" t="s">
        <v>132</v>
      </c>
      <c r="I2701" t="s">
        <v>1</v>
      </c>
      <c r="J2701" t="s">
        <v>5298</v>
      </c>
      <c r="K2701" t="s">
        <v>51</v>
      </c>
      <c r="L2701" t="s">
        <v>176</v>
      </c>
      <c r="M2701" t="s">
        <v>134</v>
      </c>
      <c r="N2701" t="s">
        <v>135</v>
      </c>
      <c r="O2701"/>
      <c r="P2701"/>
      <c r="Q2701" t="s">
        <v>1790</v>
      </c>
      <c r="R2701"/>
      <c r="S2701" t="s">
        <v>1790</v>
      </c>
      <c r="T2701"/>
      <c r="U2701" t="s">
        <v>137</v>
      </c>
      <c r="V2701" t="s">
        <v>150</v>
      </c>
      <c r="W2701" s="9">
        <v>46095.185754548613</v>
      </c>
      <c r="X2701" t="s">
        <v>76</v>
      </c>
      <c r="Y2701"/>
      <c r="Z2701"/>
      <c r="AA2701" t="s">
        <v>170</v>
      </c>
      <c r="AB2701" t="s">
        <v>1</v>
      </c>
      <c r="AC2701" t="s">
        <v>24</v>
      </c>
      <c r="AD2701" t="s">
        <v>128</v>
      </c>
      <c r="AE2701" s="97"/>
    </row>
    <row r="2702" spans="1:31" ht="14.4" customHeight="1" x14ac:dyDescent="0.3">
      <c r="A2702" t="s">
        <v>5309</v>
      </c>
      <c r="B2702" t="s">
        <v>178</v>
      </c>
      <c r="C2702"/>
      <c r="D2702"/>
      <c r="E2702"/>
      <c r="F2702"/>
      <c r="G2702" t="s">
        <v>5306</v>
      </c>
      <c r="H2702" t="s">
        <v>132</v>
      </c>
      <c r="I2702" t="s">
        <v>1</v>
      </c>
      <c r="J2702" t="s">
        <v>5298</v>
      </c>
      <c r="K2702" t="s">
        <v>51</v>
      </c>
      <c r="L2702" t="s">
        <v>179</v>
      </c>
      <c r="M2702" t="s">
        <v>134</v>
      </c>
      <c r="N2702" t="s">
        <v>135</v>
      </c>
      <c r="O2702"/>
      <c r="P2702"/>
      <c r="Q2702" t="s">
        <v>1790</v>
      </c>
      <c r="R2702"/>
      <c r="S2702" t="s">
        <v>1790</v>
      </c>
      <c r="T2702"/>
      <c r="U2702" t="s">
        <v>137</v>
      </c>
      <c r="V2702" t="s">
        <v>153</v>
      </c>
      <c r="W2702" s="9">
        <v>46095.186135648146</v>
      </c>
      <c r="X2702" t="s">
        <v>88</v>
      </c>
      <c r="Y2702"/>
      <c r="Z2702"/>
      <c r="AA2702" t="s">
        <v>170</v>
      </c>
      <c r="AB2702" t="s">
        <v>1</v>
      </c>
      <c r="AC2702" t="s">
        <v>24</v>
      </c>
      <c r="AD2702" t="s">
        <v>129</v>
      </c>
      <c r="AE2702" s="97"/>
    </row>
    <row r="2703" spans="1:31" ht="14.4" customHeight="1" x14ac:dyDescent="0.3">
      <c r="A2703" t="s">
        <v>5310</v>
      </c>
      <c r="B2703" t="s">
        <v>181</v>
      </c>
      <c r="C2703"/>
      <c r="D2703"/>
      <c r="E2703"/>
      <c r="F2703"/>
      <c r="G2703" t="s">
        <v>5306</v>
      </c>
      <c r="H2703" t="s">
        <v>132</v>
      </c>
      <c r="I2703" t="s">
        <v>1</v>
      </c>
      <c r="J2703" t="s">
        <v>5298</v>
      </c>
      <c r="K2703" t="s">
        <v>51</v>
      </c>
      <c r="L2703" t="s">
        <v>182</v>
      </c>
      <c r="M2703" t="s">
        <v>134</v>
      </c>
      <c r="N2703" t="s">
        <v>135</v>
      </c>
      <c r="O2703"/>
      <c r="P2703"/>
      <c r="Q2703" t="s">
        <v>1790</v>
      </c>
      <c r="R2703"/>
      <c r="S2703" t="s">
        <v>1790</v>
      </c>
      <c r="T2703"/>
      <c r="U2703" t="s">
        <v>137</v>
      </c>
      <c r="V2703" t="s">
        <v>156</v>
      </c>
      <c r="W2703" s="9">
        <v>46095.186444525461</v>
      </c>
      <c r="X2703" t="s">
        <v>97</v>
      </c>
      <c r="Y2703"/>
      <c r="Z2703"/>
      <c r="AA2703" t="s">
        <v>170</v>
      </c>
      <c r="AB2703" t="s">
        <v>1</v>
      </c>
      <c r="AC2703" t="s">
        <v>24</v>
      </c>
      <c r="AD2703" t="s">
        <v>129</v>
      </c>
      <c r="AE2703" s="97"/>
    </row>
    <row r="2704" spans="1:31" ht="14.4" customHeight="1" x14ac:dyDescent="0.3">
      <c r="A2704" t="s">
        <v>5311</v>
      </c>
      <c r="B2704" t="s">
        <v>184</v>
      </c>
      <c r="C2704"/>
      <c r="D2704"/>
      <c r="E2704"/>
      <c r="F2704"/>
      <c r="G2704" t="s">
        <v>5306</v>
      </c>
      <c r="H2704" t="s">
        <v>132</v>
      </c>
      <c r="I2704" t="s">
        <v>1</v>
      </c>
      <c r="J2704" t="s">
        <v>5298</v>
      </c>
      <c r="K2704" t="s">
        <v>51</v>
      </c>
      <c r="L2704" t="s">
        <v>185</v>
      </c>
      <c r="M2704" t="s">
        <v>134</v>
      </c>
      <c r="N2704" t="s">
        <v>135</v>
      </c>
      <c r="O2704"/>
      <c r="P2704"/>
      <c r="Q2704" t="s">
        <v>1790</v>
      </c>
      <c r="R2704"/>
      <c r="S2704" t="s">
        <v>1790</v>
      </c>
      <c r="T2704"/>
      <c r="U2704" t="s">
        <v>137</v>
      </c>
      <c r="V2704" t="s">
        <v>159</v>
      </c>
      <c r="W2704" s="9">
        <v>46095.18675760417</v>
      </c>
      <c r="X2704" t="s">
        <v>106</v>
      </c>
      <c r="Y2704"/>
      <c r="Z2704"/>
      <c r="AA2704" t="s">
        <v>170</v>
      </c>
      <c r="AB2704" t="s">
        <v>1</v>
      </c>
      <c r="AC2704" t="s">
        <v>24</v>
      </c>
      <c r="AD2704" t="s">
        <v>129</v>
      </c>
      <c r="AE2704" s="97"/>
    </row>
    <row r="2705" spans="1:31" ht="14.4" customHeight="1" x14ac:dyDescent="0.3">
      <c r="A2705" t="s">
        <v>5312</v>
      </c>
      <c r="B2705" t="s">
        <v>187</v>
      </c>
      <c r="C2705"/>
      <c r="D2705"/>
      <c r="E2705"/>
      <c r="F2705"/>
      <c r="G2705" t="s">
        <v>5306</v>
      </c>
      <c r="H2705" t="s">
        <v>132</v>
      </c>
      <c r="I2705" t="s">
        <v>1</v>
      </c>
      <c r="J2705" t="s">
        <v>5298</v>
      </c>
      <c r="K2705" t="s">
        <v>51</v>
      </c>
      <c r="L2705" t="s">
        <v>188</v>
      </c>
      <c r="M2705" t="s">
        <v>134</v>
      </c>
      <c r="N2705" t="s">
        <v>135</v>
      </c>
      <c r="O2705"/>
      <c r="P2705"/>
      <c r="Q2705" t="s">
        <v>1790</v>
      </c>
      <c r="R2705"/>
      <c r="S2705" t="s">
        <v>1790</v>
      </c>
      <c r="T2705"/>
      <c r="U2705" t="s">
        <v>137</v>
      </c>
      <c r="V2705" t="s">
        <v>162</v>
      </c>
      <c r="W2705" s="9">
        <v>46095.187095451387</v>
      </c>
      <c r="X2705" t="s">
        <v>113</v>
      </c>
      <c r="Y2705"/>
      <c r="Z2705"/>
      <c r="AA2705" t="s">
        <v>170</v>
      </c>
      <c r="AB2705" t="s">
        <v>1</v>
      </c>
      <c r="AC2705" t="s">
        <v>24</v>
      </c>
      <c r="AD2705" t="s">
        <v>129</v>
      </c>
      <c r="AE2705" s="97"/>
    </row>
    <row r="2706" spans="1:31" ht="14.4" customHeight="1" x14ac:dyDescent="0.3">
      <c r="A2706" t="s">
        <v>5313</v>
      </c>
      <c r="B2706" t="s">
        <v>190</v>
      </c>
      <c r="C2706"/>
      <c r="D2706"/>
      <c r="E2706"/>
      <c r="F2706"/>
      <c r="G2706" t="s">
        <v>5306</v>
      </c>
      <c r="H2706" t="s">
        <v>132</v>
      </c>
      <c r="I2706" t="s">
        <v>1</v>
      </c>
      <c r="J2706" t="s">
        <v>5298</v>
      </c>
      <c r="K2706" t="s">
        <v>51</v>
      </c>
      <c r="L2706" t="s">
        <v>191</v>
      </c>
      <c r="M2706" t="s">
        <v>134</v>
      </c>
      <c r="N2706" t="s">
        <v>135</v>
      </c>
      <c r="O2706"/>
      <c r="P2706"/>
      <c r="Q2706" t="s">
        <v>1790</v>
      </c>
      <c r="R2706"/>
      <c r="S2706" t="s">
        <v>1790</v>
      </c>
      <c r="T2706"/>
      <c r="U2706" t="s">
        <v>137</v>
      </c>
      <c r="V2706" t="s">
        <v>165</v>
      </c>
      <c r="W2706" s="9">
        <v>46095.188011956016</v>
      </c>
      <c r="X2706" t="s">
        <v>122</v>
      </c>
      <c r="Y2706"/>
      <c r="Z2706"/>
      <c r="AA2706" t="s">
        <v>170</v>
      </c>
      <c r="AB2706" t="s">
        <v>1</v>
      </c>
      <c r="AC2706" t="s">
        <v>24</v>
      </c>
      <c r="AD2706" t="s">
        <v>130</v>
      </c>
      <c r="AE2706" s="97"/>
    </row>
    <row r="2707" spans="1:31" ht="14.4" customHeight="1" x14ac:dyDescent="0.3">
      <c r="A2707" t="s">
        <v>5314</v>
      </c>
      <c r="B2707" t="s">
        <v>193</v>
      </c>
      <c r="C2707"/>
      <c r="D2707"/>
      <c r="E2707"/>
      <c r="F2707"/>
      <c r="G2707" t="s">
        <v>5306</v>
      </c>
      <c r="H2707" t="s">
        <v>132</v>
      </c>
      <c r="I2707" t="s">
        <v>1</v>
      </c>
      <c r="J2707" t="s">
        <v>5298</v>
      </c>
      <c r="K2707" t="s">
        <v>51</v>
      </c>
      <c r="L2707" t="s">
        <v>194</v>
      </c>
      <c r="M2707" t="s">
        <v>134</v>
      </c>
      <c r="N2707" t="s">
        <v>135</v>
      </c>
      <c r="O2707"/>
      <c r="P2707"/>
      <c r="Q2707" t="s">
        <v>1790</v>
      </c>
      <c r="R2707"/>
      <c r="S2707" t="s">
        <v>1790</v>
      </c>
      <c r="T2707"/>
      <c r="U2707" t="s">
        <v>137</v>
      </c>
      <c r="V2707" t="s">
        <v>147</v>
      </c>
      <c r="W2707" s="9">
        <v>46125.235490740743</v>
      </c>
      <c r="X2707" t="s">
        <v>70</v>
      </c>
      <c r="Y2707"/>
      <c r="Z2707"/>
      <c r="AA2707" t="s">
        <v>170</v>
      </c>
      <c r="AB2707" t="s">
        <v>1</v>
      </c>
      <c r="AC2707" t="s">
        <v>24</v>
      </c>
      <c r="AD2707" t="s">
        <v>128</v>
      </c>
      <c r="AE2707" s="97"/>
    </row>
    <row r="2708" spans="1:31" ht="14.4" customHeight="1" x14ac:dyDescent="0.3">
      <c r="A2708" t="s">
        <v>5315</v>
      </c>
      <c r="B2708" t="s">
        <v>196</v>
      </c>
      <c r="C2708"/>
      <c r="D2708"/>
      <c r="E2708"/>
      <c r="F2708"/>
      <c r="G2708" t="s">
        <v>5306</v>
      </c>
      <c r="H2708" t="s">
        <v>132</v>
      </c>
      <c r="I2708" t="s">
        <v>1</v>
      </c>
      <c r="J2708" t="s">
        <v>5298</v>
      </c>
      <c r="K2708" t="s">
        <v>51</v>
      </c>
      <c r="L2708" t="s">
        <v>194</v>
      </c>
      <c r="M2708" t="s">
        <v>134</v>
      </c>
      <c r="N2708" t="s">
        <v>135</v>
      </c>
      <c r="O2708"/>
      <c r="P2708"/>
      <c r="Q2708" t="s">
        <v>1790</v>
      </c>
      <c r="R2708"/>
      <c r="S2708" t="s">
        <v>1790</v>
      </c>
      <c r="T2708"/>
      <c r="U2708" t="s">
        <v>137</v>
      </c>
      <c r="V2708" t="s">
        <v>147</v>
      </c>
      <c r="W2708" s="9">
        <v>46125.237321909721</v>
      </c>
      <c r="X2708" t="s">
        <v>70</v>
      </c>
      <c r="Y2708"/>
      <c r="Z2708"/>
      <c r="AA2708" t="s">
        <v>170</v>
      </c>
      <c r="AB2708" t="s">
        <v>1</v>
      </c>
      <c r="AC2708" t="s">
        <v>24</v>
      </c>
      <c r="AD2708" t="s">
        <v>128</v>
      </c>
      <c r="AE2708" s="97"/>
    </row>
    <row r="2709" spans="1:31" ht="14.4" customHeight="1" x14ac:dyDescent="0.3">
      <c r="A2709" t="s">
        <v>5316</v>
      </c>
      <c r="B2709" t="s">
        <v>198</v>
      </c>
      <c r="C2709"/>
      <c r="D2709"/>
      <c r="E2709"/>
      <c r="F2709"/>
      <c r="G2709" t="s">
        <v>5306</v>
      </c>
      <c r="H2709" t="s">
        <v>132</v>
      </c>
      <c r="I2709" t="s">
        <v>1</v>
      </c>
      <c r="J2709" t="s">
        <v>5298</v>
      </c>
      <c r="K2709" t="s">
        <v>51</v>
      </c>
      <c r="L2709" t="s">
        <v>194</v>
      </c>
      <c r="M2709" t="s">
        <v>134</v>
      </c>
      <c r="N2709" t="s">
        <v>135</v>
      </c>
      <c r="O2709"/>
      <c r="P2709"/>
      <c r="Q2709" t="s">
        <v>1790</v>
      </c>
      <c r="R2709"/>
      <c r="S2709" t="s">
        <v>1790</v>
      </c>
      <c r="T2709"/>
      <c r="U2709" t="s">
        <v>137</v>
      </c>
      <c r="V2709" t="s">
        <v>147</v>
      </c>
      <c r="W2709" s="9">
        <v>46125.237686307868</v>
      </c>
      <c r="X2709" t="s">
        <v>70</v>
      </c>
      <c r="Y2709"/>
      <c r="Z2709"/>
      <c r="AA2709" t="s">
        <v>170</v>
      </c>
      <c r="AB2709" t="s">
        <v>1</v>
      </c>
      <c r="AC2709" t="s">
        <v>24</v>
      </c>
      <c r="AD2709" t="s">
        <v>128</v>
      </c>
      <c r="AE2709" s="97"/>
    </row>
    <row r="2710" spans="1:31" ht="14.4" customHeight="1" x14ac:dyDescent="0.3">
      <c r="A2710" t="s">
        <v>5317</v>
      </c>
      <c r="B2710" t="s">
        <v>200</v>
      </c>
      <c r="C2710"/>
      <c r="D2710"/>
      <c r="E2710"/>
      <c r="F2710"/>
      <c r="G2710" t="s">
        <v>5306</v>
      </c>
      <c r="H2710" t="s">
        <v>132</v>
      </c>
      <c r="I2710" t="s">
        <v>1</v>
      </c>
      <c r="J2710" t="s">
        <v>5298</v>
      </c>
      <c r="K2710" t="s">
        <v>51</v>
      </c>
      <c r="L2710" t="s">
        <v>201</v>
      </c>
      <c r="M2710" t="s">
        <v>134</v>
      </c>
      <c r="N2710" t="s">
        <v>135</v>
      </c>
      <c r="O2710"/>
      <c r="P2710"/>
      <c r="Q2710" t="s">
        <v>1790</v>
      </c>
      <c r="R2710"/>
      <c r="S2710" t="s">
        <v>1790</v>
      </c>
      <c r="T2710"/>
      <c r="U2710" t="s">
        <v>137</v>
      </c>
      <c r="V2710" t="s">
        <v>150</v>
      </c>
      <c r="W2710" s="9">
        <v>46125.238150775462</v>
      </c>
      <c r="X2710" t="s">
        <v>76</v>
      </c>
      <c r="Y2710"/>
      <c r="Z2710"/>
      <c r="AA2710" t="s">
        <v>170</v>
      </c>
      <c r="AB2710" t="s">
        <v>1</v>
      </c>
      <c r="AC2710" t="s">
        <v>24</v>
      </c>
      <c r="AD2710" t="s">
        <v>128</v>
      </c>
      <c r="AE2710" s="97"/>
    </row>
    <row r="2711" spans="1:31" ht="14.4" customHeight="1" x14ac:dyDescent="0.3">
      <c r="A2711" t="s">
        <v>5318</v>
      </c>
      <c r="B2711" t="s">
        <v>203</v>
      </c>
      <c r="C2711"/>
      <c r="D2711"/>
      <c r="E2711"/>
      <c r="F2711"/>
      <c r="G2711" t="s">
        <v>5306</v>
      </c>
      <c r="H2711" t="s">
        <v>132</v>
      </c>
      <c r="I2711" t="s">
        <v>1</v>
      </c>
      <c r="J2711" t="s">
        <v>5298</v>
      </c>
      <c r="K2711" t="s">
        <v>51</v>
      </c>
      <c r="L2711" t="s">
        <v>201</v>
      </c>
      <c r="M2711" t="s">
        <v>134</v>
      </c>
      <c r="N2711" t="s">
        <v>135</v>
      </c>
      <c r="O2711"/>
      <c r="P2711"/>
      <c r="Q2711" t="s">
        <v>1790</v>
      </c>
      <c r="R2711"/>
      <c r="S2711" t="s">
        <v>1790</v>
      </c>
      <c r="T2711"/>
      <c r="U2711" t="s">
        <v>137</v>
      </c>
      <c r="V2711" t="s">
        <v>150</v>
      </c>
      <c r="W2711" s="9">
        <v>46125.238643368059</v>
      </c>
      <c r="X2711" t="s">
        <v>76</v>
      </c>
      <c r="Y2711"/>
      <c r="Z2711"/>
      <c r="AA2711" t="s">
        <v>170</v>
      </c>
      <c r="AB2711" t="s">
        <v>1</v>
      </c>
      <c r="AC2711" t="s">
        <v>24</v>
      </c>
      <c r="AD2711" t="s">
        <v>128</v>
      </c>
      <c r="AE2711" s="97"/>
    </row>
    <row r="2712" spans="1:31" ht="14.4" customHeight="1" x14ac:dyDescent="0.3">
      <c r="A2712" t="s">
        <v>5319</v>
      </c>
      <c r="B2712" t="s">
        <v>205</v>
      </c>
      <c r="C2712"/>
      <c r="D2712"/>
      <c r="E2712"/>
      <c r="F2712"/>
      <c r="G2712" t="s">
        <v>5306</v>
      </c>
      <c r="H2712" t="s">
        <v>132</v>
      </c>
      <c r="I2712" t="s">
        <v>1</v>
      </c>
      <c r="J2712" t="s">
        <v>5298</v>
      </c>
      <c r="K2712" t="s">
        <v>51</v>
      </c>
      <c r="L2712" t="s">
        <v>201</v>
      </c>
      <c r="M2712" t="s">
        <v>134</v>
      </c>
      <c r="N2712" t="s">
        <v>135</v>
      </c>
      <c r="O2712"/>
      <c r="P2712"/>
      <c r="Q2712" t="s">
        <v>1790</v>
      </c>
      <c r="R2712"/>
      <c r="S2712" t="s">
        <v>1790</v>
      </c>
      <c r="T2712"/>
      <c r="U2712" t="s">
        <v>137</v>
      </c>
      <c r="V2712" t="s">
        <v>150</v>
      </c>
      <c r="W2712" s="9">
        <v>46125.2389897338</v>
      </c>
      <c r="X2712" t="s">
        <v>76</v>
      </c>
      <c r="Y2712"/>
      <c r="Z2712"/>
      <c r="AA2712" t="s">
        <v>170</v>
      </c>
      <c r="AB2712" t="s">
        <v>1</v>
      </c>
      <c r="AC2712" t="s">
        <v>24</v>
      </c>
      <c r="AD2712" t="s">
        <v>128</v>
      </c>
      <c r="AE2712" s="97"/>
    </row>
    <row r="2713" spans="1:31" ht="14.4" customHeight="1" x14ac:dyDescent="0.3">
      <c r="A2713" t="s">
        <v>5320</v>
      </c>
      <c r="B2713" t="s">
        <v>207</v>
      </c>
      <c r="C2713"/>
      <c r="D2713"/>
      <c r="E2713"/>
      <c r="F2713"/>
      <c r="G2713" t="s">
        <v>5306</v>
      </c>
      <c r="H2713" t="s">
        <v>132</v>
      </c>
      <c r="I2713" t="s">
        <v>1</v>
      </c>
      <c r="J2713" t="s">
        <v>5298</v>
      </c>
      <c r="K2713" t="s">
        <v>51</v>
      </c>
      <c r="L2713" t="s">
        <v>208</v>
      </c>
      <c r="M2713" t="s">
        <v>134</v>
      </c>
      <c r="N2713" t="s">
        <v>135</v>
      </c>
      <c r="O2713"/>
      <c r="P2713"/>
      <c r="Q2713" t="s">
        <v>1790</v>
      </c>
      <c r="R2713"/>
      <c r="S2713" t="s">
        <v>1790</v>
      </c>
      <c r="T2713"/>
      <c r="U2713" t="s">
        <v>137</v>
      </c>
      <c r="V2713" t="s">
        <v>153</v>
      </c>
      <c r="W2713" s="9">
        <v>46125.239495254631</v>
      </c>
      <c r="X2713" t="s">
        <v>88</v>
      </c>
      <c r="Y2713"/>
      <c r="Z2713"/>
      <c r="AA2713" t="s">
        <v>170</v>
      </c>
      <c r="AB2713" t="s">
        <v>1</v>
      </c>
      <c r="AC2713" t="s">
        <v>24</v>
      </c>
      <c r="AD2713" t="s">
        <v>129</v>
      </c>
      <c r="AE2713" s="97"/>
    </row>
    <row r="2714" spans="1:31" ht="14.4" customHeight="1" x14ac:dyDescent="0.3">
      <c r="A2714" t="s">
        <v>5321</v>
      </c>
      <c r="B2714" t="s">
        <v>210</v>
      </c>
      <c r="C2714"/>
      <c r="D2714"/>
      <c r="E2714"/>
      <c r="F2714"/>
      <c r="G2714" t="s">
        <v>5306</v>
      </c>
      <c r="H2714" t="s">
        <v>132</v>
      </c>
      <c r="I2714" t="s">
        <v>1</v>
      </c>
      <c r="J2714" t="s">
        <v>5298</v>
      </c>
      <c r="K2714" t="s">
        <v>51</v>
      </c>
      <c r="L2714" t="s">
        <v>208</v>
      </c>
      <c r="M2714" t="s">
        <v>134</v>
      </c>
      <c r="N2714" t="s">
        <v>135</v>
      </c>
      <c r="O2714"/>
      <c r="P2714"/>
      <c r="Q2714" t="s">
        <v>1790</v>
      </c>
      <c r="R2714"/>
      <c r="S2714" t="s">
        <v>1790</v>
      </c>
      <c r="T2714"/>
      <c r="U2714" t="s">
        <v>137</v>
      </c>
      <c r="V2714" t="s">
        <v>153</v>
      </c>
      <c r="W2714" s="9">
        <v>46125.239782719909</v>
      </c>
      <c r="X2714" t="s">
        <v>88</v>
      </c>
      <c r="Y2714"/>
      <c r="Z2714"/>
      <c r="AA2714" t="s">
        <v>170</v>
      </c>
      <c r="AB2714" t="s">
        <v>1</v>
      </c>
      <c r="AC2714" t="s">
        <v>24</v>
      </c>
      <c r="AD2714" t="s">
        <v>129</v>
      </c>
      <c r="AE2714" s="97"/>
    </row>
    <row r="2715" spans="1:31" ht="14.4" customHeight="1" x14ac:dyDescent="0.3">
      <c r="A2715" t="s">
        <v>5322</v>
      </c>
      <c r="B2715" t="s">
        <v>212</v>
      </c>
      <c r="C2715"/>
      <c r="D2715"/>
      <c r="E2715"/>
      <c r="F2715"/>
      <c r="G2715" t="s">
        <v>5306</v>
      </c>
      <c r="H2715" t="s">
        <v>132</v>
      </c>
      <c r="I2715" t="s">
        <v>1</v>
      </c>
      <c r="J2715" t="s">
        <v>5298</v>
      </c>
      <c r="K2715" t="s">
        <v>51</v>
      </c>
      <c r="L2715" t="s">
        <v>208</v>
      </c>
      <c r="M2715" t="s">
        <v>134</v>
      </c>
      <c r="N2715" t="s">
        <v>135</v>
      </c>
      <c r="O2715"/>
      <c r="P2715"/>
      <c r="Q2715" t="s">
        <v>1790</v>
      </c>
      <c r="R2715"/>
      <c r="S2715" t="s">
        <v>1790</v>
      </c>
      <c r="T2715"/>
      <c r="U2715" t="s">
        <v>137</v>
      </c>
      <c r="V2715" t="s">
        <v>153</v>
      </c>
      <c r="W2715" s="9">
        <v>46125.240102164353</v>
      </c>
      <c r="X2715" t="s">
        <v>88</v>
      </c>
      <c r="Y2715"/>
      <c r="Z2715"/>
      <c r="AA2715" t="s">
        <v>170</v>
      </c>
      <c r="AB2715" t="s">
        <v>1</v>
      </c>
      <c r="AC2715" t="s">
        <v>24</v>
      </c>
      <c r="AD2715" t="s">
        <v>129</v>
      </c>
      <c r="AE2715" s="97"/>
    </row>
    <row r="2716" spans="1:31" ht="14.4" customHeight="1" x14ac:dyDescent="0.3">
      <c r="A2716" t="s">
        <v>5323</v>
      </c>
      <c r="B2716" t="s">
        <v>214</v>
      </c>
      <c r="C2716"/>
      <c r="D2716"/>
      <c r="E2716"/>
      <c r="F2716"/>
      <c r="G2716" t="s">
        <v>5306</v>
      </c>
      <c r="H2716" t="s">
        <v>132</v>
      </c>
      <c r="I2716" t="s">
        <v>1</v>
      </c>
      <c r="J2716" t="s">
        <v>5298</v>
      </c>
      <c r="K2716" t="s">
        <v>51</v>
      </c>
      <c r="L2716" t="s">
        <v>215</v>
      </c>
      <c r="M2716" t="s">
        <v>134</v>
      </c>
      <c r="N2716" t="s">
        <v>135</v>
      </c>
      <c r="O2716"/>
      <c r="P2716"/>
      <c r="Q2716" t="s">
        <v>1790</v>
      </c>
      <c r="R2716"/>
      <c r="S2716" t="s">
        <v>1790</v>
      </c>
      <c r="T2716"/>
      <c r="U2716" t="s">
        <v>137</v>
      </c>
      <c r="V2716" t="s">
        <v>156</v>
      </c>
      <c r="W2716" s="9">
        <v>46125.240383761571</v>
      </c>
      <c r="X2716" t="s">
        <v>97</v>
      </c>
      <c r="Y2716"/>
      <c r="Z2716"/>
      <c r="AA2716" t="s">
        <v>170</v>
      </c>
      <c r="AB2716" t="s">
        <v>1</v>
      </c>
      <c r="AC2716" t="s">
        <v>24</v>
      </c>
      <c r="AD2716" t="s">
        <v>129</v>
      </c>
      <c r="AE2716" s="97"/>
    </row>
    <row r="2717" spans="1:31" ht="14.4" customHeight="1" x14ac:dyDescent="0.3">
      <c r="A2717" t="s">
        <v>5324</v>
      </c>
      <c r="B2717" t="s">
        <v>217</v>
      </c>
      <c r="C2717"/>
      <c r="D2717"/>
      <c r="E2717"/>
      <c r="F2717"/>
      <c r="G2717" t="s">
        <v>5306</v>
      </c>
      <c r="H2717" t="s">
        <v>132</v>
      </c>
      <c r="I2717" t="s">
        <v>1</v>
      </c>
      <c r="J2717" t="s">
        <v>5298</v>
      </c>
      <c r="K2717" t="s">
        <v>51</v>
      </c>
      <c r="L2717" t="s">
        <v>215</v>
      </c>
      <c r="M2717" t="s">
        <v>134</v>
      </c>
      <c r="N2717" t="s">
        <v>135</v>
      </c>
      <c r="O2717"/>
      <c r="P2717"/>
      <c r="Q2717" t="s">
        <v>1790</v>
      </c>
      <c r="R2717"/>
      <c r="S2717" t="s">
        <v>1790</v>
      </c>
      <c r="T2717"/>
      <c r="U2717" t="s">
        <v>137</v>
      </c>
      <c r="V2717" t="s">
        <v>156</v>
      </c>
      <c r="W2717" s="9">
        <v>46125.240733993058</v>
      </c>
      <c r="X2717" t="s">
        <v>97</v>
      </c>
      <c r="Y2717"/>
      <c r="Z2717"/>
      <c r="AA2717" t="s">
        <v>170</v>
      </c>
      <c r="AB2717" t="s">
        <v>1</v>
      </c>
      <c r="AC2717" t="s">
        <v>24</v>
      </c>
      <c r="AD2717" t="s">
        <v>129</v>
      </c>
      <c r="AE2717" s="97"/>
    </row>
    <row r="2718" spans="1:31" ht="14.4" customHeight="1" x14ac:dyDescent="0.3">
      <c r="A2718" t="s">
        <v>5325</v>
      </c>
      <c r="B2718" t="s">
        <v>219</v>
      </c>
      <c r="C2718"/>
      <c r="D2718"/>
      <c r="E2718"/>
      <c r="F2718"/>
      <c r="G2718" t="s">
        <v>5306</v>
      </c>
      <c r="H2718" t="s">
        <v>132</v>
      </c>
      <c r="I2718" t="s">
        <v>1</v>
      </c>
      <c r="J2718" t="s">
        <v>5298</v>
      </c>
      <c r="K2718" t="s">
        <v>51</v>
      </c>
      <c r="L2718" t="s">
        <v>215</v>
      </c>
      <c r="M2718" t="s">
        <v>134</v>
      </c>
      <c r="N2718" t="s">
        <v>135</v>
      </c>
      <c r="O2718"/>
      <c r="P2718"/>
      <c r="Q2718" t="s">
        <v>1790</v>
      </c>
      <c r="R2718"/>
      <c r="S2718" t="s">
        <v>1790</v>
      </c>
      <c r="T2718"/>
      <c r="U2718" t="s">
        <v>137</v>
      </c>
      <c r="V2718" t="s">
        <v>156</v>
      </c>
      <c r="W2718" s="9">
        <v>46125.24124181713</v>
      </c>
      <c r="X2718" t="s">
        <v>97</v>
      </c>
      <c r="Y2718"/>
      <c r="Z2718"/>
      <c r="AA2718" t="s">
        <v>170</v>
      </c>
      <c r="AB2718" t="s">
        <v>1</v>
      </c>
      <c r="AC2718" t="s">
        <v>24</v>
      </c>
      <c r="AD2718" t="s">
        <v>129</v>
      </c>
      <c r="AE2718" s="97"/>
    </row>
    <row r="2719" spans="1:31" ht="14.4" customHeight="1" x14ac:dyDescent="0.3">
      <c r="A2719" t="s">
        <v>5326</v>
      </c>
      <c r="B2719" t="s">
        <v>221</v>
      </c>
      <c r="C2719"/>
      <c r="D2719"/>
      <c r="E2719"/>
      <c r="F2719"/>
      <c r="G2719" t="s">
        <v>5306</v>
      </c>
      <c r="H2719" t="s">
        <v>132</v>
      </c>
      <c r="I2719" t="s">
        <v>1</v>
      </c>
      <c r="J2719" t="s">
        <v>5298</v>
      </c>
      <c r="K2719" t="s">
        <v>51</v>
      </c>
      <c r="L2719" t="s">
        <v>222</v>
      </c>
      <c r="M2719" t="s">
        <v>134</v>
      </c>
      <c r="N2719" t="s">
        <v>135</v>
      </c>
      <c r="O2719"/>
      <c r="P2719"/>
      <c r="Q2719" t="s">
        <v>1790</v>
      </c>
      <c r="R2719"/>
      <c r="S2719" t="s">
        <v>1790</v>
      </c>
      <c r="T2719"/>
      <c r="U2719" t="s">
        <v>137</v>
      </c>
      <c r="V2719" t="s">
        <v>159</v>
      </c>
      <c r="W2719" s="9">
        <v>46125.24173321759</v>
      </c>
      <c r="X2719" t="s">
        <v>106</v>
      </c>
      <c r="Y2719"/>
      <c r="Z2719"/>
      <c r="AA2719" t="s">
        <v>170</v>
      </c>
      <c r="AB2719" t="s">
        <v>1</v>
      </c>
      <c r="AC2719" t="s">
        <v>24</v>
      </c>
      <c r="AD2719" t="s">
        <v>129</v>
      </c>
      <c r="AE2719" s="97"/>
    </row>
    <row r="2720" spans="1:31" ht="14.4" customHeight="1" x14ac:dyDescent="0.3">
      <c r="A2720" t="s">
        <v>5327</v>
      </c>
      <c r="B2720" t="s">
        <v>224</v>
      </c>
      <c r="C2720"/>
      <c r="D2720"/>
      <c r="E2720"/>
      <c r="F2720"/>
      <c r="G2720" t="s">
        <v>5306</v>
      </c>
      <c r="H2720" t="s">
        <v>132</v>
      </c>
      <c r="I2720" t="s">
        <v>1</v>
      </c>
      <c r="J2720" t="s">
        <v>5298</v>
      </c>
      <c r="K2720" t="s">
        <v>51</v>
      </c>
      <c r="L2720" t="s">
        <v>222</v>
      </c>
      <c r="M2720" t="s">
        <v>134</v>
      </c>
      <c r="N2720" t="s">
        <v>135</v>
      </c>
      <c r="O2720"/>
      <c r="P2720"/>
      <c r="Q2720" t="s">
        <v>1790</v>
      </c>
      <c r="R2720"/>
      <c r="S2720" t="s">
        <v>1790</v>
      </c>
      <c r="T2720"/>
      <c r="U2720" t="s">
        <v>137</v>
      </c>
      <c r="V2720" t="s">
        <v>159</v>
      </c>
      <c r="W2720" s="9">
        <v>46125.242047071762</v>
      </c>
      <c r="X2720" t="s">
        <v>106</v>
      </c>
      <c r="Y2720"/>
      <c r="Z2720"/>
      <c r="AA2720" t="s">
        <v>170</v>
      </c>
      <c r="AB2720" t="s">
        <v>1</v>
      </c>
      <c r="AC2720" t="s">
        <v>24</v>
      </c>
      <c r="AD2720" t="s">
        <v>129</v>
      </c>
      <c r="AE2720" s="97"/>
    </row>
    <row r="2721" spans="1:31" ht="14.4" customHeight="1" x14ac:dyDescent="0.3">
      <c r="A2721" t="s">
        <v>5328</v>
      </c>
      <c r="B2721" t="s">
        <v>226</v>
      </c>
      <c r="C2721"/>
      <c r="D2721"/>
      <c r="E2721"/>
      <c r="F2721"/>
      <c r="G2721" t="s">
        <v>5306</v>
      </c>
      <c r="H2721" t="s">
        <v>132</v>
      </c>
      <c r="I2721" t="s">
        <v>1</v>
      </c>
      <c r="J2721" t="s">
        <v>5298</v>
      </c>
      <c r="K2721" t="s">
        <v>51</v>
      </c>
      <c r="L2721" t="s">
        <v>222</v>
      </c>
      <c r="M2721" t="s">
        <v>134</v>
      </c>
      <c r="N2721" t="s">
        <v>135</v>
      </c>
      <c r="O2721"/>
      <c r="P2721"/>
      <c r="Q2721" t="s">
        <v>1790</v>
      </c>
      <c r="R2721"/>
      <c r="S2721" t="s">
        <v>1790</v>
      </c>
      <c r="T2721"/>
      <c r="U2721" t="s">
        <v>137</v>
      </c>
      <c r="V2721" t="s">
        <v>159</v>
      </c>
      <c r="W2721" s="9">
        <v>46125.242921261575</v>
      </c>
      <c r="X2721" t="s">
        <v>106</v>
      </c>
      <c r="Y2721"/>
      <c r="Z2721"/>
      <c r="AA2721" t="s">
        <v>170</v>
      </c>
      <c r="AB2721" t="s">
        <v>1</v>
      </c>
      <c r="AC2721" t="s">
        <v>24</v>
      </c>
      <c r="AD2721" t="s">
        <v>129</v>
      </c>
      <c r="AE2721" s="97"/>
    </row>
    <row r="2722" spans="1:31" ht="14.4" customHeight="1" x14ac:dyDescent="0.3">
      <c r="A2722" t="s">
        <v>5329</v>
      </c>
      <c r="B2722" t="s">
        <v>228</v>
      </c>
      <c r="C2722"/>
      <c r="D2722"/>
      <c r="E2722"/>
      <c r="F2722"/>
      <c r="G2722" t="s">
        <v>5306</v>
      </c>
      <c r="H2722" t="s">
        <v>132</v>
      </c>
      <c r="I2722" t="s">
        <v>1</v>
      </c>
      <c r="J2722" t="s">
        <v>5298</v>
      </c>
      <c r="K2722" t="s">
        <v>51</v>
      </c>
      <c r="L2722" t="s">
        <v>229</v>
      </c>
      <c r="M2722" t="s">
        <v>134</v>
      </c>
      <c r="N2722" t="s">
        <v>135</v>
      </c>
      <c r="O2722"/>
      <c r="P2722"/>
      <c r="Q2722" t="s">
        <v>1790</v>
      </c>
      <c r="R2722"/>
      <c r="S2722" t="s">
        <v>1790</v>
      </c>
      <c r="T2722"/>
      <c r="U2722" t="s">
        <v>137</v>
      </c>
      <c r="V2722" t="s">
        <v>162</v>
      </c>
      <c r="W2722" s="9">
        <v>46125.243274733795</v>
      </c>
      <c r="X2722" t="s">
        <v>113</v>
      </c>
      <c r="Y2722"/>
      <c r="Z2722"/>
      <c r="AA2722" t="s">
        <v>170</v>
      </c>
      <c r="AB2722" t="s">
        <v>1</v>
      </c>
      <c r="AC2722" t="s">
        <v>24</v>
      </c>
      <c r="AD2722" t="s">
        <v>129</v>
      </c>
      <c r="AE2722" s="97"/>
    </row>
    <row r="2723" spans="1:31" ht="14.4" customHeight="1" x14ac:dyDescent="0.3">
      <c r="A2723" t="s">
        <v>5330</v>
      </c>
      <c r="B2723" t="s">
        <v>231</v>
      </c>
      <c r="C2723"/>
      <c r="D2723"/>
      <c r="E2723"/>
      <c r="F2723"/>
      <c r="G2723" t="s">
        <v>5306</v>
      </c>
      <c r="H2723" t="s">
        <v>132</v>
      </c>
      <c r="I2723" t="s">
        <v>1</v>
      </c>
      <c r="J2723" t="s">
        <v>5298</v>
      </c>
      <c r="K2723" t="s">
        <v>51</v>
      </c>
      <c r="L2723" t="s">
        <v>229</v>
      </c>
      <c r="M2723" t="s">
        <v>134</v>
      </c>
      <c r="N2723" t="s">
        <v>135</v>
      </c>
      <c r="O2723"/>
      <c r="P2723"/>
      <c r="Q2723" t="s">
        <v>1790</v>
      </c>
      <c r="R2723"/>
      <c r="S2723" t="s">
        <v>1790</v>
      </c>
      <c r="T2723"/>
      <c r="U2723" t="s">
        <v>137</v>
      </c>
      <c r="V2723" t="s">
        <v>162</v>
      </c>
      <c r="W2723" s="9">
        <v>46125.243588043981</v>
      </c>
      <c r="X2723" t="s">
        <v>113</v>
      </c>
      <c r="Y2723"/>
      <c r="Z2723"/>
      <c r="AA2723" t="s">
        <v>170</v>
      </c>
      <c r="AB2723" t="s">
        <v>1</v>
      </c>
      <c r="AC2723" t="s">
        <v>24</v>
      </c>
      <c r="AD2723" t="s">
        <v>129</v>
      </c>
      <c r="AE2723" s="97"/>
    </row>
    <row r="2724" spans="1:31" ht="14.4" customHeight="1" x14ac:dyDescent="0.3">
      <c r="A2724" t="s">
        <v>5331</v>
      </c>
      <c r="B2724" t="s">
        <v>233</v>
      </c>
      <c r="C2724"/>
      <c r="D2724"/>
      <c r="E2724"/>
      <c r="F2724"/>
      <c r="G2724" t="s">
        <v>5306</v>
      </c>
      <c r="H2724" t="s">
        <v>132</v>
      </c>
      <c r="I2724" t="s">
        <v>1</v>
      </c>
      <c r="J2724" t="s">
        <v>5298</v>
      </c>
      <c r="K2724" t="s">
        <v>51</v>
      </c>
      <c r="L2724" t="s">
        <v>229</v>
      </c>
      <c r="M2724" t="s">
        <v>134</v>
      </c>
      <c r="N2724" t="s">
        <v>135</v>
      </c>
      <c r="O2724"/>
      <c r="P2724"/>
      <c r="Q2724" t="s">
        <v>1790</v>
      </c>
      <c r="R2724"/>
      <c r="S2724" t="s">
        <v>1790</v>
      </c>
      <c r="T2724"/>
      <c r="U2724" t="s">
        <v>137</v>
      </c>
      <c r="V2724" t="s">
        <v>162</v>
      </c>
      <c r="W2724" s="9">
        <v>46125.243974884259</v>
      </c>
      <c r="X2724" t="s">
        <v>113</v>
      </c>
      <c r="Y2724"/>
      <c r="Z2724"/>
      <c r="AA2724" t="s">
        <v>170</v>
      </c>
      <c r="AB2724" t="s">
        <v>1</v>
      </c>
      <c r="AC2724" t="s">
        <v>24</v>
      </c>
      <c r="AD2724" t="s">
        <v>129</v>
      </c>
      <c r="AE2724" s="97"/>
    </row>
    <row r="2725" spans="1:31" ht="14.4" customHeight="1" x14ac:dyDescent="0.3">
      <c r="A2725" t="s">
        <v>5332</v>
      </c>
      <c r="B2725" t="s">
        <v>235</v>
      </c>
      <c r="C2725"/>
      <c r="D2725"/>
      <c r="E2725"/>
      <c r="F2725"/>
      <c r="G2725" t="s">
        <v>5306</v>
      </c>
      <c r="H2725" t="s">
        <v>132</v>
      </c>
      <c r="I2725" t="s">
        <v>1</v>
      </c>
      <c r="J2725" t="s">
        <v>5298</v>
      </c>
      <c r="K2725" t="s">
        <v>51</v>
      </c>
      <c r="L2725" t="s">
        <v>236</v>
      </c>
      <c r="M2725" t="s">
        <v>134</v>
      </c>
      <c r="N2725" t="s">
        <v>135</v>
      </c>
      <c r="O2725"/>
      <c r="P2725"/>
      <c r="Q2725" t="s">
        <v>1790</v>
      </c>
      <c r="R2725"/>
      <c r="S2725" t="s">
        <v>1790</v>
      </c>
      <c r="T2725"/>
      <c r="U2725" t="s">
        <v>137</v>
      </c>
      <c r="V2725" t="s">
        <v>165</v>
      </c>
      <c r="W2725" s="9">
        <v>46125.244870451388</v>
      </c>
      <c r="X2725" t="s">
        <v>122</v>
      </c>
      <c r="Y2725"/>
      <c r="Z2725"/>
      <c r="AA2725" t="s">
        <v>170</v>
      </c>
      <c r="AB2725" t="s">
        <v>1</v>
      </c>
      <c r="AC2725" t="s">
        <v>24</v>
      </c>
      <c r="AD2725" t="s">
        <v>130</v>
      </c>
      <c r="AE2725" s="97"/>
    </row>
    <row r="2726" spans="1:31" ht="14.4" customHeight="1" x14ac:dyDescent="0.3">
      <c r="A2726" t="s">
        <v>5333</v>
      </c>
      <c r="B2726" t="s">
        <v>238</v>
      </c>
      <c r="C2726"/>
      <c r="D2726"/>
      <c r="E2726"/>
      <c r="F2726"/>
      <c r="G2726" t="s">
        <v>5306</v>
      </c>
      <c r="H2726" t="s">
        <v>132</v>
      </c>
      <c r="I2726" t="s">
        <v>1</v>
      </c>
      <c r="J2726" t="s">
        <v>5298</v>
      </c>
      <c r="K2726" t="s">
        <v>51</v>
      </c>
      <c r="L2726" t="s">
        <v>236</v>
      </c>
      <c r="M2726" t="s">
        <v>134</v>
      </c>
      <c r="N2726" t="s">
        <v>135</v>
      </c>
      <c r="O2726"/>
      <c r="P2726"/>
      <c r="Q2726" t="s">
        <v>1790</v>
      </c>
      <c r="R2726"/>
      <c r="S2726" t="s">
        <v>1790</v>
      </c>
      <c r="T2726"/>
      <c r="U2726" t="s">
        <v>137</v>
      </c>
      <c r="V2726" t="s">
        <v>165</v>
      </c>
      <c r="W2726" s="9">
        <v>46125.245294525463</v>
      </c>
      <c r="X2726" t="s">
        <v>122</v>
      </c>
      <c r="Y2726"/>
      <c r="Z2726"/>
      <c r="AA2726" t="s">
        <v>170</v>
      </c>
      <c r="AB2726" t="s">
        <v>1</v>
      </c>
      <c r="AC2726" t="s">
        <v>24</v>
      </c>
      <c r="AD2726" t="s">
        <v>130</v>
      </c>
      <c r="AE2726" s="97"/>
    </row>
    <row r="2727" spans="1:31" ht="14.4" customHeight="1" x14ac:dyDescent="0.3">
      <c r="A2727" t="s">
        <v>5334</v>
      </c>
      <c r="B2727" t="s">
        <v>240</v>
      </c>
      <c r="C2727"/>
      <c r="D2727"/>
      <c r="E2727"/>
      <c r="F2727"/>
      <c r="G2727" t="s">
        <v>5306</v>
      </c>
      <c r="H2727" t="s">
        <v>132</v>
      </c>
      <c r="I2727" t="s">
        <v>1</v>
      </c>
      <c r="J2727" t="s">
        <v>5298</v>
      </c>
      <c r="K2727" t="s">
        <v>51</v>
      </c>
      <c r="L2727" t="s">
        <v>236</v>
      </c>
      <c r="M2727" t="s">
        <v>134</v>
      </c>
      <c r="N2727" t="s">
        <v>135</v>
      </c>
      <c r="O2727"/>
      <c r="P2727"/>
      <c r="Q2727" t="s">
        <v>1790</v>
      </c>
      <c r="R2727"/>
      <c r="S2727" t="s">
        <v>1790</v>
      </c>
      <c r="T2727"/>
      <c r="U2727" t="s">
        <v>137</v>
      </c>
      <c r="V2727" t="s">
        <v>165</v>
      </c>
      <c r="W2727" s="9">
        <v>46125.245698692132</v>
      </c>
      <c r="X2727" t="s">
        <v>122</v>
      </c>
      <c r="Y2727"/>
      <c r="Z2727"/>
      <c r="AA2727" t="s">
        <v>170</v>
      </c>
      <c r="AB2727" t="s">
        <v>1</v>
      </c>
      <c r="AC2727" t="s">
        <v>24</v>
      </c>
      <c r="AD2727" t="s">
        <v>130</v>
      </c>
      <c r="AE2727" s="97"/>
    </row>
    <row r="2728" spans="1:31" ht="14.4" customHeight="1" x14ac:dyDescent="0.3">
      <c r="A2728" t="s">
        <v>5335</v>
      </c>
      <c r="B2728" t="s">
        <v>242</v>
      </c>
      <c r="C2728"/>
      <c r="D2728"/>
      <c r="E2728"/>
      <c r="F2728"/>
      <c r="G2728" t="s">
        <v>5306</v>
      </c>
      <c r="H2728" t="s">
        <v>132</v>
      </c>
      <c r="I2728" t="s">
        <v>1</v>
      </c>
      <c r="J2728" t="s">
        <v>5298</v>
      </c>
      <c r="K2728" t="s">
        <v>51</v>
      </c>
      <c r="L2728" t="s">
        <v>243</v>
      </c>
      <c r="M2728" t="s">
        <v>134</v>
      </c>
      <c r="N2728" t="s">
        <v>135</v>
      </c>
      <c r="O2728"/>
      <c r="P2728"/>
      <c r="Q2728" t="s">
        <v>1790</v>
      </c>
      <c r="R2728"/>
      <c r="S2728" t="s">
        <v>1790</v>
      </c>
      <c r="T2728"/>
      <c r="U2728" t="s">
        <v>137</v>
      </c>
      <c r="V2728" t="s">
        <v>147</v>
      </c>
      <c r="W2728" s="9">
        <v>46129.242885798609</v>
      </c>
      <c r="X2728" t="s">
        <v>70</v>
      </c>
      <c r="Y2728"/>
      <c r="Z2728"/>
      <c r="AA2728" t="s">
        <v>170</v>
      </c>
      <c r="AB2728" t="s">
        <v>1</v>
      </c>
      <c r="AC2728" t="s">
        <v>24</v>
      </c>
      <c r="AD2728" t="s">
        <v>128</v>
      </c>
      <c r="AE2728" s="97"/>
    </row>
    <row r="2729" spans="1:31" ht="14.4" customHeight="1" x14ac:dyDescent="0.3">
      <c r="A2729" t="s">
        <v>5336</v>
      </c>
      <c r="B2729" t="s">
        <v>245</v>
      </c>
      <c r="C2729"/>
      <c r="D2729"/>
      <c r="E2729"/>
      <c r="F2729"/>
      <c r="G2729" t="s">
        <v>5306</v>
      </c>
      <c r="H2729" t="s">
        <v>132</v>
      </c>
      <c r="I2729" t="s">
        <v>1</v>
      </c>
      <c r="J2729" t="s">
        <v>5298</v>
      </c>
      <c r="K2729" t="s">
        <v>51</v>
      </c>
      <c r="L2729" t="s">
        <v>243</v>
      </c>
      <c r="M2729" t="s">
        <v>134</v>
      </c>
      <c r="N2729" t="s">
        <v>135</v>
      </c>
      <c r="O2729"/>
      <c r="P2729"/>
      <c r="Q2729" t="s">
        <v>1790</v>
      </c>
      <c r="R2729"/>
      <c r="S2729" t="s">
        <v>1790</v>
      </c>
      <c r="T2729"/>
      <c r="U2729" t="s">
        <v>137</v>
      </c>
      <c r="V2729" t="s">
        <v>147</v>
      </c>
      <c r="W2729" s="9">
        <v>46129.243199618053</v>
      </c>
      <c r="X2729" t="s">
        <v>70</v>
      </c>
      <c r="Y2729"/>
      <c r="Z2729"/>
      <c r="AA2729" t="s">
        <v>170</v>
      </c>
      <c r="AB2729" t="s">
        <v>1</v>
      </c>
      <c r="AC2729" t="s">
        <v>24</v>
      </c>
      <c r="AD2729" t="s">
        <v>128</v>
      </c>
      <c r="AE2729" s="97"/>
    </row>
    <row r="2730" spans="1:31" ht="14.4" customHeight="1" x14ac:dyDescent="0.3">
      <c r="A2730" t="s">
        <v>5337</v>
      </c>
      <c r="B2730" t="s">
        <v>247</v>
      </c>
      <c r="C2730"/>
      <c r="D2730"/>
      <c r="E2730"/>
      <c r="F2730"/>
      <c r="G2730" t="s">
        <v>5306</v>
      </c>
      <c r="H2730" t="s">
        <v>132</v>
      </c>
      <c r="I2730" t="s">
        <v>1</v>
      </c>
      <c r="J2730" t="s">
        <v>5298</v>
      </c>
      <c r="K2730" t="s">
        <v>51</v>
      </c>
      <c r="L2730" t="s">
        <v>243</v>
      </c>
      <c r="M2730" t="s">
        <v>134</v>
      </c>
      <c r="N2730" t="s">
        <v>135</v>
      </c>
      <c r="O2730"/>
      <c r="P2730"/>
      <c r="Q2730" t="s">
        <v>1790</v>
      </c>
      <c r="R2730"/>
      <c r="S2730" t="s">
        <v>1790</v>
      </c>
      <c r="T2730"/>
      <c r="U2730" t="s">
        <v>137</v>
      </c>
      <c r="V2730" t="s">
        <v>147</v>
      </c>
      <c r="W2730" s="9">
        <v>46129.243567094905</v>
      </c>
      <c r="X2730" t="s">
        <v>70</v>
      </c>
      <c r="Y2730"/>
      <c r="Z2730"/>
      <c r="AA2730" t="s">
        <v>170</v>
      </c>
      <c r="AB2730" t="s">
        <v>1</v>
      </c>
      <c r="AC2730" t="s">
        <v>24</v>
      </c>
      <c r="AD2730" t="s">
        <v>128</v>
      </c>
      <c r="AE2730" s="97"/>
    </row>
    <row r="2731" spans="1:31" ht="14.4" customHeight="1" x14ac:dyDescent="0.3">
      <c r="A2731" t="s">
        <v>5338</v>
      </c>
      <c r="B2731" t="s">
        <v>249</v>
      </c>
      <c r="C2731"/>
      <c r="D2731"/>
      <c r="E2731"/>
      <c r="F2731"/>
      <c r="G2731" t="s">
        <v>5306</v>
      </c>
      <c r="H2731" t="s">
        <v>132</v>
      </c>
      <c r="I2731" t="s">
        <v>1</v>
      </c>
      <c r="J2731" t="s">
        <v>5298</v>
      </c>
      <c r="K2731" t="s">
        <v>51</v>
      </c>
      <c r="L2731" t="s">
        <v>250</v>
      </c>
      <c r="M2731" t="s">
        <v>134</v>
      </c>
      <c r="N2731" t="s">
        <v>135</v>
      </c>
      <c r="O2731"/>
      <c r="P2731"/>
      <c r="Q2731" t="s">
        <v>1790</v>
      </c>
      <c r="R2731"/>
      <c r="S2731" t="s">
        <v>1790</v>
      </c>
      <c r="T2731"/>
      <c r="U2731" t="s">
        <v>137</v>
      </c>
      <c r="V2731" t="s">
        <v>150</v>
      </c>
      <c r="W2731" s="9">
        <v>46129.244020104168</v>
      </c>
      <c r="X2731" t="s">
        <v>76</v>
      </c>
      <c r="Y2731"/>
      <c r="Z2731"/>
      <c r="AA2731" t="s">
        <v>170</v>
      </c>
      <c r="AB2731" t="s">
        <v>1</v>
      </c>
      <c r="AC2731" t="s">
        <v>24</v>
      </c>
      <c r="AD2731" t="s">
        <v>128</v>
      </c>
      <c r="AE2731" s="97"/>
    </row>
    <row r="2732" spans="1:31" ht="14.4" customHeight="1" x14ac:dyDescent="0.3">
      <c r="A2732" t="s">
        <v>5339</v>
      </c>
      <c r="B2732" t="s">
        <v>252</v>
      </c>
      <c r="C2732"/>
      <c r="D2732"/>
      <c r="E2732"/>
      <c r="F2732"/>
      <c r="G2732" t="s">
        <v>5306</v>
      </c>
      <c r="H2732" t="s">
        <v>132</v>
      </c>
      <c r="I2732" t="s">
        <v>1</v>
      </c>
      <c r="J2732" t="s">
        <v>5298</v>
      </c>
      <c r="K2732" t="s">
        <v>51</v>
      </c>
      <c r="L2732" t="s">
        <v>250</v>
      </c>
      <c r="M2732" t="s">
        <v>134</v>
      </c>
      <c r="N2732" t="s">
        <v>135</v>
      </c>
      <c r="O2732"/>
      <c r="P2732"/>
      <c r="Q2732" t="s">
        <v>1790</v>
      </c>
      <c r="R2732"/>
      <c r="S2732" t="s">
        <v>1790</v>
      </c>
      <c r="T2732"/>
      <c r="U2732" t="s">
        <v>137</v>
      </c>
      <c r="V2732" t="s">
        <v>150</v>
      </c>
      <c r="W2732" s="9">
        <v>46129.244327314816</v>
      </c>
      <c r="X2732" t="s">
        <v>76</v>
      </c>
      <c r="Y2732"/>
      <c r="Z2732"/>
      <c r="AA2732" t="s">
        <v>170</v>
      </c>
      <c r="AB2732" t="s">
        <v>1</v>
      </c>
      <c r="AC2732" t="s">
        <v>24</v>
      </c>
      <c r="AD2732" t="s">
        <v>128</v>
      </c>
      <c r="AE2732" s="97"/>
    </row>
    <row r="2733" spans="1:31" ht="14.4" customHeight="1" x14ac:dyDescent="0.3">
      <c r="A2733" t="s">
        <v>5340</v>
      </c>
      <c r="B2733" t="s">
        <v>254</v>
      </c>
      <c r="C2733"/>
      <c r="D2733"/>
      <c r="E2733"/>
      <c r="F2733"/>
      <c r="G2733" t="s">
        <v>5306</v>
      </c>
      <c r="H2733" t="s">
        <v>132</v>
      </c>
      <c r="I2733" t="s">
        <v>1</v>
      </c>
      <c r="J2733" t="s">
        <v>5298</v>
      </c>
      <c r="K2733" t="s">
        <v>51</v>
      </c>
      <c r="L2733" t="s">
        <v>250</v>
      </c>
      <c r="M2733" t="s">
        <v>134</v>
      </c>
      <c r="N2733" t="s">
        <v>135</v>
      </c>
      <c r="O2733"/>
      <c r="P2733"/>
      <c r="Q2733" t="s">
        <v>1790</v>
      </c>
      <c r="R2733"/>
      <c r="S2733" t="s">
        <v>1790</v>
      </c>
      <c r="T2733"/>
      <c r="U2733" t="s">
        <v>137</v>
      </c>
      <c r="V2733" t="s">
        <v>150</v>
      </c>
      <c r="W2733" s="9">
        <v>46129.24477646991</v>
      </c>
      <c r="X2733" t="s">
        <v>76</v>
      </c>
      <c r="Y2733"/>
      <c r="Z2733"/>
      <c r="AA2733" t="s">
        <v>170</v>
      </c>
      <c r="AB2733" t="s">
        <v>1</v>
      </c>
      <c r="AC2733" t="s">
        <v>24</v>
      </c>
      <c r="AD2733" t="s">
        <v>128</v>
      </c>
      <c r="AE2733" s="97"/>
    </row>
    <row r="2734" spans="1:31" ht="14.4" customHeight="1" x14ac:dyDescent="0.3">
      <c r="A2734" t="s">
        <v>5341</v>
      </c>
      <c r="B2734" t="s">
        <v>256</v>
      </c>
      <c r="C2734"/>
      <c r="D2734"/>
      <c r="E2734"/>
      <c r="F2734"/>
      <c r="G2734" t="s">
        <v>5306</v>
      </c>
      <c r="H2734" t="s">
        <v>132</v>
      </c>
      <c r="I2734" t="s">
        <v>1</v>
      </c>
      <c r="J2734" t="s">
        <v>5298</v>
      </c>
      <c r="K2734" t="s">
        <v>51</v>
      </c>
      <c r="L2734" t="s">
        <v>257</v>
      </c>
      <c r="M2734" t="s">
        <v>134</v>
      </c>
      <c r="N2734" t="s">
        <v>135</v>
      </c>
      <c r="O2734"/>
      <c r="P2734"/>
      <c r="Q2734" t="s">
        <v>1790</v>
      </c>
      <c r="R2734"/>
      <c r="S2734" t="s">
        <v>1790</v>
      </c>
      <c r="T2734"/>
      <c r="U2734" t="s">
        <v>137</v>
      </c>
      <c r="V2734" t="s">
        <v>153</v>
      </c>
      <c r="W2734" s="9">
        <v>46129.245081018518</v>
      </c>
      <c r="X2734" t="s">
        <v>88</v>
      </c>
      <c r="Y2734"/>
      <c r="Z2734"/>
      <c r="AA2734" t="s">
        <v>170</v>
      </c>
      <c r="AB2734" t="s">
        <v>1</v>
      </c>
      <c r="AC2734" t="s">
        <v>24</v>
      </c>
      <c r="AD2734" t="s">
        <v>129</v>
      </c>
      <c r="AE2734" s="97"/>
    </row>
    <row r="2735" spans="1:31" ht="14.4" customHeight="1" x14ac:dyDescent="0.3">
      <c r="A2735" t="s">
        <v>5342</v>
      </c>
      <c r="B2735" t="s">
        <v>259</v>
      </c>
      <c r="C2735"/>
      <c r="D2735"/>
      <c r="E2735"/>
      <c r="F2735"/>
      <c r="G2735" t="s">
        <v>5306</v>
      </c>
      <c r="H2735" t="s">
        <v>132</v>
      </c>
      <c r="I2735" t="s">
        <v>1</v>
      </c>
      <c r="J2735" t="s">
        <v>5298</v>
      </c>
      <c r="K2735" t="s">
        <v>51</v>
      </c>
      <c r="L2735" t="s">
        <v>257</v>
      </c>
      <c r="M2735" t="s">
        <v>134</v>
      </c>
      <c r="N2735" t="s">
        <v>135</v>
      </c>
      <c r="O2735"/>
      <c r="P2735"/>
      <c r="Q2735" t="s">
        <v>1790</v>
      </c>
      <c r="R2735"/>
      <c r="S2735" t="s">
        <v>1790</v>
      </c>
      <c r="T2735"/>
      <c r="U2735" t="s">
        <v>137</v>
      </c>
      <c r="V2735" t="s">
        <v>153</v>
      </c>
      <c r="W2735" s="9">
        <v>46129.245372303238</v>
      </c>
      <c r="X2735" t="s">
        <v>88</v>
      </c>
      <c r="Y2735"/>
      <c r="Z2735"/>
      <c r="AA2735" t="s">
        <v>170</v>
      </c>
      <c r="AB2735" t="s">
        <v>1</v>
      </c>
      <c r="AC2735" t="s">
        <v>24</v>
      </c>
      <c r="AD2735" t="s">
        <v>129</v>
      </c>
      <c r="AE2735" s="97"/>
    </row>
    <row r="2736" spans="1:31" ht="14.4" customHeight="1" x14ac:dyDescent="0.3">
      <c r="A2736" t="s">
        <v>5343</v>
      </c>
      <c r="B2736" t="s">
        <v>261</v>
      </c>
      <c r="C2736"/>
      <c r="D2736"/>
      <c r="E2736"/>
      <c r="F2736"/>
      <c r="G2736" t="s">
        <v>5306</v>
      </c>
      <c r="H2736" t="s">
        <v>132</v>
      </c>
      <c r="I2736" t="s">
        <v>1</v>
      </c>
      <c r="J2736" t="s">
        <v>5298</v>
      </c>
      <c r="K2736" t="s">
        <v>51</v>
      </c>
      <c r="L2736" t="s">
        <v>257</v>
      </c>
      <c r="M2736" t="s">
        <v>134</v>
      </c>
      <c r="N2736" t="s">
        <v>135</v>
      </c>
      <c r="O2736"/>
      <c r="P2736"/>
      <c r="Q2736" t="s">
        <v>1790</v>
      </c>
      <c r="R2736"/>
      <c r="S2736" t="s">
        <v>1790</v>
      </c>
      <c r="T2736"/>
      <c r="U2736" t="s">
        <v>137</v>
      </c>
      <c r="V2736" t="s">
        <v>153</v>
      </c>
      <c r="W2736" s="9">
        <v>46129.245682025467</v>
      </c>
      <c r="X2736" t="s">
        <v>88</v>
      </c>
      <c r="Y2736"/>
      <c r="Z2736"/>
      <c r="AA2736" t="s">
        <v>170</v>
      </c>
      <c r="AB2736" t="s">
        <v>1</v>
      </c>
      <c r="AC2736" t="s">
        <v>24</v>
      </c>
      <c r="AD2736" t="s">
        <v>129</v>
      </c>
      <c r="AE2736" s="97"/>
    </row>
    <row r="2737" spans="1:31" ht="14.4" customHeight="1" x14ac:dyDescent="0.3">
      <c r="A2737" t="s">
        <v>5344</v>
      </c>
      <c r="B2737" t="s">
        <v>263</v>
      </c>
      <c r="C2737"/>
      <c r="D2737"/>
      <c r="E2737"/>
      <c r="F2737"/>
      <c r="G2737" t="s">
        <v>5306</v>
      </c>
      <c r="H2737" t="s">
        <v>132</v>
      </c>
      <c r="I2737" t="s">
        <v>1</v>
      </c>
      <c r="J2737" t="s">
        <v>5298</v>
      </c>
      <c r="K2737" t="s">
        <v>51</v>
      </c>
      <c r="L2737" t="s">
        <v>264</v>
      </c>
      <c r="M2737" t="s">
        <v>134</v>
      </c>
      <c r="N2737" t="s">
        <v>135</v>
      </c>
      <c r="O2737"/>
      <c r="P2737"/>
      <c r="Q2737" t="s">
        <v>1790</v>
      </c>
      <c r="R2737"/>
      <c r="S2737" t="s">
        <v>1790</v>
      </c>
      <c r="T2737"/>
      <c r="U2737" t="s">
        <v>137</v>
      </c>
      <c r="V2737" t="s">
        <v>156</v>
      </c>
      <c r="W2737" s="9">
        <v>46129.246449918981</v>
      </c>
      <c r="X2737" t="s">
        <v>97</v>
      </c>
      <c r="Y2737"/>
      <c r="Z2737"/>
      <c r="AA2737" t="s">
        <v>170</v>
      </c>
      <c r="AB2737" t="s">
        <v>1</v>
      </c>
      <c r="AC2737" t="s">
        <v>24</v>
      </c>
      <c r="AD2737" t="s">
        <v>129</v>
      </c>
      <c r="AE2737" s="97"/>
    </row>
    <row r="2738" spans="1:31" ht="14.4" customHeight="1" x14ac:dyDescent="0.3">
      <c r="A2738" t="s">
        <v>5345</v>
      </c>
      <c r="B2738" t="s">
        <v>266</v>
      </c>
      <c r="C2738"/>
      <c r="D2738"/>
      <c r="E2738"/>
      <c r="F2738"/>
      <c r="G2738" t="s">
        <v>5306</v>
      </c>
      <c r="H2738" t="s">
        <v>132</v>
      </c>
      <c r="I2738" t="s">
        <v>1</v>
      </c>
      <c r="J2738" t="s">
        <v>5298</v>
      </c>
      <c r="K2738" t="s">
        <v>51</v>
      </c>
      <c r="L2738" t="s">
        <v>264</v>
      </c>
      <c r="M2738" t="s">
        <v>134</v>
      </c>
      <c r="N2738" t="s">
        <v>135</v>
      </c>
      <c r="O2738"/>
      <c r="P2738"/>
      <c r="Q2738" t="s">
        <v>1790</v>
      </c>
      <c r="R2738"/>
      <c r="S2738" t="s">
        <v>1790</v>
      </c>
      <c r="T2738"/>
      <c r="U2738" t="s">
        <v>137</v>
      </c>
      <c r="V2738" t="s">
        <v>156</v>
      </c>
      <c r="W2738" s="9">
        <v>46129.246813622682</v>
      </c>
      <c r="X2738" t="s">
        <v>97</v>
      </c>
      <c r="Y2738"/>
      <c r="Z2738"/>
      <c r="AA2738" t="s">
        <v>170</v>
      </c>
      <c r="AB2738" t="s">
        <v>1</v>
      </c>
      <c r="AC2738" t="s">
        <v>24</v>
      </c>
      <c r="AD2738" t="s">
        <v>129</v>
      </c>
      <c r="AE2738" s="97"/>
    </row>
    <row r="2739" spans="1:31" ht="14.4" customHeight="1" x14ac:dyDescent="0.3">
      <c r="A2739" t="s">
        <v>5346</v>
      </c>
      <c r="B2739" t="s">
        <v>268</v>
      </c>
      <c r="C2739"/>
      <c r="D2739"/>
      <c r="E2739"/>
      <c r="F2739"/>
      <c r="G2739" t="s">
        <v>5306</v>
      </c>
      <c r="H2739" t="s">
        <v>132</v>
      </c>
      <c r="I2739" t="s">
        <v>1</v>
      </c>
      <c r="J2739" t="s">
        <v>5298</v>
      </c>
      <c r="K2739" t="s">
        <v>51</v>
      </c>
      <c r="L2739" t="s">
        <v>264</v>
      </c>
      <c r="M2739" t="s">
        <v>134</v>
      </c>
      <c r="N2739" t="s">
        <v>135</v>
      </c>
      <c r="O2739"/>
      <c r="P2739"/>
      <c r="Q2739" t="s">
        <v>1790</v>
      </c>
      <c r="R2739"/>
      <c r="S2739" t="s">
        <v>1790</v>
      </c>
      <c r="T2739"/>
      <c r="U2739" t="s">
        <v>137</v>
      </c>
      <c r="V2739" t="s">
        <v>156</v>
      </c>
      <c r="W2739" s="9">
        <v>46129.247279363422</v>
      </c>
      <c r="X2739" t="s">
        <v>97</v>
      </c>
      <c r="Y2739"/>
      <c r="Z2739"/>
      <c r="AA2739" t="s">
        <v>170</v>
      </c>
      <c r="AB2739" t="s">
        <v>1</v>
      </c>
      <c r="AC2739" t="s">
        <v>24</v>
      </c>
      <c r="AD2739" t="s">
        <v>129</v>
      </c>
      <c r="AE2739" s="97"/>
    </row>
    <row r="2740" spans="1:31" ht="14.4" customHeight="1" x14ac:dyDescent="0.3">
      <c r="A2740" t="s">
        <v>5347</v>
      </c>
      <c r="B2740" t="s">
        <v>270</v>
      </c>
      <c r="C2740"/>
      <c r="D2740"/>
      <c r="E2740"/>
      <c r="F2740"/>
      <c r="G2740" t="s">
        <v>5306</v>
      </c>
      <c r="H2740" t="s">
        <v>132</v>
      </c>
      <c r="I2740" t="s">
        <v>1</v>
      </c>
      <c r="J2740" t="s">
        <v>5298</v>
      </c>
      <c r="K2740" t="s">
        <v>51</v>
      </c>
      <c r="L2740" t="s">
        <v>271</v>
      </c>
      <c r="M2740" t="s">
        <v>134</v>
      </c>
      <c r="N2740" t="s">
        <v>135</v>
      </c>
      <c r="O2740"/>
      <c r="P2740"/>
      <c r="Q2740" t="s">
        <v>1790</v>
      </c>
      <c r="R2740"/>
      <c r="S2740" t="s">
        <v>1790</v>
      </c>
      <c r="T2740"/>
      <c r="U2740" t="s">
        <v>137</v>
      </c>
      <c r="V2740" t="s">
        <v>159</v>
      </c>
      <c r="W2740" s="9">
        <v>46129.247591863423</v>
      </c>
      <c r="X2740" t="s">
        <v>106</v>
      </c>
      <c r="Y2740"/>
      <c r="Z2740"/>
      <c r="AA2740" t="s">
        <v>170</v>
      </c>
      <c r="AB2740" t="s">
        <v>1</v>
      </c>
      <c r="AC2740" t="s">
        <v>24</v>
      </c>
      <c r="AD2740" t="s">
        <v>129</v>
      </c>
      <c r="AE2740" s="97"/>
    </row>
    <row r="2741" spans="1:31" ht="14.4" customHeight="1" x14ac:dyDescent="0.3">
      <c r="A2741" t="s">
        <v>5348</v>
      </c>
      <c r="B2741" t="s">
        <v>273</v>
      </c>
      <c r="C2741"/>
      <c r="D2741"/>
      <c r="E2741"/>
      <c r="F2741"/>
      <c r="G2741" t="s">
        <v>5306</v>
      </c>
      <c r="H2741" t="s">
        <v>132</v>
      </c>
      <c r="I2741" t="s">
        <v>1</v>
      </c>
      <c r="J2741" t="s">
        <v>5298</v>
      </c>
      <c r="K2741" t="s">
        <v>51</v>
      </c>
      <c r="L2741" t="s">
        <v>271</v>
      </c>
      <c r="M2741" t="s">
        <v>134</v>
      </c>
      <c r="N2741" t="s">
        <v>135</v>
      </c>
      <c r="O2741"/>
      <c r="P2741"/>
      <c r="Q2741" t="s">
        <v>1790</v>
      </c>
      <c r="R2741"/>
      <c r="S2741" t="s">
        <v>1790</v>
      </c>
      <c r="T2741"/>
      <c r="U2741" t="s">
        <v>137</v>
      </c>
      <c r="V2741" t="s">
        <v>159</v>
      </c>
      <c r="W2741" s="9">
        <v>46129.247917361114</v>
      </c>
      <c r="X2741" t="s">
        <v>106</v>
      </c>
      <c r="Y2741"/>
      <c r="Z2741"/>
      <c r="AA2741" t="s">
        <v>170</v>
      </c>
      <c r="AB2741" t="s">
        <v>1</v>
      </c>
      <c r="AC2741" t="s">
        <v>24</v>
      </c>
      <c r="AD2741" t="s">
        <v>129</v>
      </c>
      <c r="AE2741" s="97"/>
    </row>
    <row r="2742" spans="1:31" ht="14.4" customHeight="1" x14ac:dyDescent="0.3">
      <c r="A2742" t="s">
        <v>5349</v>
      </c>
      <c r="B2742" t="s">
        <v>275</v>
      </c>
      <c r="C2742"/>
      <c r="D2742"/>
      <c r="E2742"/>
      <c r="F2742"/>
      <c r="G2742" t="s">
        <v>5306</v>
      </c>
      <c r="H2742" t="s">
        <v>132</v>
      </c>
      <c r="I2742" t="s">
        <v>1</v>
      </c>
      <c r="J2742" t="s">
        <v>5298</v>
      </c>
      <c r="K2742" t="s">
        <v>51</v>
      </c>
      <c r="L2742" t="s">
        <v>271</v>
      </c>
      <c r="M2742" t="s">
        <v>134</v>
      </c>
      <c r="N2742" t="s">
        <v>135</v>
      </c>
      <c r="O2742"/>
      <c r="P2742"/>
      <c r="Q2742" t="s">
        <v>1790</v>
      </c>
      <c r="R2742"/>
      <c r="S2742" t="s">
        <v>1790</v>
      </c>
      <c r="T2742"/>
      <c r="U2742" t="s">
        <v>137</v>
      </c>
      <c r="V2742" t="s">
        <v>159</v>
      </c>
      <c r="W2742" s="9">
        <v>46129.24824760417</v>
      </c>
      <c r="X2742" t="s">
        <v>106</v>
      </c>
      <c r="Y2742"/>
      <c r="Z2742"/>
      <c r="AA2742" t="s">
        <v>170</v>
      </c>
      <c r="AB2742" t="s">
        <v>1</v>
      </c>
      <c r="AC2742" t="s">
        <v>24</v>
      </c>
      <c r="AD2742" t="s">
        <v>129</v>
      </c>
      <c r="AE2742" s="97"/>
    </row>
    <row r="2743" spans="1:31" ht="14.4" customHeight="1" x14ac:dyDescent="0.3">
      <c r="A2743" t="s">
        <v>5350</v>
      </c>
      <c r="B2743" t="s">
        <v>277</v>
      </c>
      <c r="C2743"/>
      <c r="D2743"/>
      <c r="E2743"/>
      <c r="F2743"/>
      <c r="G2743" t="s">
        <v>5306</v>
      </c>
      <c r="H2743" t="s">
        <v>132</v>
      </c>
      <c r="I2743" t="s">
        <v>1</v>
      </c>
      <c r="J2743" t="s">
        <v>5298</v>
      </c>
      <c r="K2743" t="s">
        <v>51</v>
      </c>
      <c r="L2743" t="s">
        <v>278</v>
      </c>
      <c r="M2743" t="s">
        <v>134</v>
      </c>
      <c r="N2743" t="s">
        <v>135</v>
      </c>
      <c r="O2743"/>
      <c r="P2743"/>
      <c r="Q2743" t="s">
        <v>1790</v>
      </c>
      <c r="R2743"/>
      <c r="S2743" t="s">
        <v>1790</v>
      </c>
      <c r="T2743"/>
      <c r="U2743" t="s">
        <v>137</v>
      </c>
      <c r="V2743" t="s">
        <v>162</v>
      </c>
      <c r="W2743" s="9">
        <v>46129.248546261573</v>
      </c>
      <c r="X2743" t="s">
        <v>113</v>
      </c>
      <c r="Y2743"/>
      <c r="Z2743"/>
      <c r="AA2743" t="s">
        <v>170</v>
      </c>
      <c r="AB2743" t="s">
        <v>1</v>
      </c>
      <c r="AC2743" t="s">
        <v>24</v>
      </c>
      <c r="AD2743" t="s">
        <v>129</v>
      </c>
      <c r="AE2743" s="97"/>
    </row>
    <row r="2744" spans="1:31" ht="14.4" customHeight="1" x14ac:dyDescent="0.3">
      <c r="A2744" t="s">
        <v>5351</v>
      </c>
      <c r="B2744" t="s">
        <v>280</v>
      </c>
      <c r="C2744"/>
      <c r="D2744"/>
      <c r="E2744"/>
      <c r="F2744"/>
      <c r="G2744" t="s">
        <v>5306</v>
      </c>
      <c r="H2744" t="s">
        <v>132</v>
      </c>
      <c r="I2744" t="s">
        <v>1</v>
      </c>
      <c r="J2744" t="s">
        <v>5298</v>
      </c>
      <c r="K2744" t="s">
        <v>51</v>
      </c>
      <c r="L2744" t="s">
        <v>278</v>
      </c>
      <c r="M2744" t="s">
        <v>134</v>
      </c>
      <c r="N2744" t="s">
        <v>135</v>
      </c>
      <c r="O2744"/>
      <c r="P2744"/>
      <c r="Q2744" t="s">
        <v>1790</v>
      </c>
      <c r="R2744"/>
      <c r="S2744" t="s">
        <v>1790</v>
      </c>
      <c r="T2744"/>
      <c r="U2744" t="s">
        <v>137</v>
      </c>
      <c r="V2744" t="s">
        <v>162</v>
      </c>
      <c r="W2744" s="9">
        <v>46129.248849340278</v>
      </c>
      <c r="X2744" t="s">
        <v>113</v>
      </c>
      <c r="Y2744"/>
      <c r="Z2744"/>
      <c r="AA2744" t="s">
        <v>170</v>
      </c>
      <c r="AB2744" t="s">
        <v>1</v>
      </c>
      <c r="AC2744" t="s">
        <v>24</v>
      </c>
      <c r="AD2744" t="s">
        <v>129</v>
      </c>
      <c r="AE2744" s="97"/>
    </row>
    <row r="2745" spans="1:31" ht="14.4" customHeight="1" x14ac:dyDescent="0.3">
      <c r="A2745" t="s">
        <v>5352</v>
      </c>
      <c r="B2745" t="s">
        <v>282</v>
      </c>
      <c r="C2745"/>
      <c r="D2745"/>
      <c r="E2745"/>
      <c r="F2745"/>
      <c r="G2745" t="s">
        <v>5306</v>
      </c>
      <c r="H2745" t="s">
        <v>132</v>
      </c>
      <c r="I2745" t="s">
        <v>1</v>
      </c>
      <c r="J2745" t="s">
        <v>5298</v>
      </c>
      <c r="K2745" t="s">
        <v>51</v>
      </c>
      <c r="L2745" t="s">
        <v>278</v>
      </c>
      <c r="M2745" t="s">
        <v>134</v>
      </c>
      <c r="N2745" t="s">
        <v>135</v>
      </c>
      <c r="O2745"/>
      <c r="P2745"/>
      <c r="Q2745" t="s">
        <v>1790</v>
      </c>
      <c r="R2745"/>
      <c r="S2745" t="s">
        <v>1790</v>
      </c>
      <c r="T2745"/>
      <c r="U2745" t="s">
        <v>137</v>
      </c>
      <c r="V2745" t="s">
        <v>162</v>
      </c>
      <c r="W2745" s="9">
        <v>46129.249200150465</v>
      </c>
      <c r="X2745" t="s">
        <v>113</v>
      </c>
      <c r="Y2745"/>
      <c r="Z2745"/>
      <c r="AA2745" t="s">
        <v>170</v>
      </c>
      <c r="AB2745" t="s">
        <v>1</v>
      </c>
      <c r="AC2745" t="s">
        <v>24</v>
      </c>
      <c r="AD2745" t="s">
        <v>129</v>
      </c>
      <c r="AE2745" s="97"/>
    </row>
    <row r="2746" spans="1:31" ht="14.4" customHeight="1" x14ac:dyDescent="0.3">
      <c r="A2746" t="s">
        <v>5353</v>
      </c>
      <c r="B2746" t="s">
        <v>284</v>
      </c>
      <c r="C2746"/>
      <c r="D2746"/>
      <c r="E2746"/>
      <c r="F2746"/>
      <c r="G2746" t="s">
        <v>5306</v>
      </c>
      <c r="H2746" t="s">
        <v>132</v>
      </c>
      <c r="I2746" t="s">
        <v>1</v>
      </c>
      <c r="J2746" t="s">
        <v>5298</v>
      </c>
      <c r="K2746" t="s">
        <v>51</v>
      </c>
      <c r="L2746" t="s">
        <v>285</v>
      </c>
      <c r="M2746" t="s">
        <v>134</v>
      </c>
      <c r="N2746" t="s">
        <v>135</v>
      </c>
      <c r="O2746"/>
      <c r="P2746"/>
      <c r="Q2746" t="s">
        <v>1790</v>
      </c>
      <c r="R2746"/>
      <c r="S2746" t="s">
        <v>1790</v>
      </c>
      <c r="T2746"/>
      <c r="U2746" t="s">
        <v>137</v>
      </c>
      <c r="V2746" t="s">
        <v>165</v>
      </c>
      <c r="W2746" s="9">
        <v>46129.249512615737</v>
      </c>
      <c r="X2746" t="s">
        <v>122</v>
      </c>
      <c r="Y2746"/>
      <c r="Z2746"/>
      <c r="AA2746" t="s">
        <v>170</v>
      </c>
      <c r="AB2746" t="s">
        <v>1</v>
      </c>
      <c r="AC2746" t="s">
        <v>24</v>
      </c>
      <c r="AD2746" t="s">
        <v>130</v>
      </c>
      <c r="AE2746" s="97"/>
    </row>
    <row r="2747" spans="1:31" ht="14.4" customHeight="1" x14ac:dyDescent="0.3">
      <c r="A2747" t="s">
        <v>5354</v>
      </c>
      <c r="B2747" t="s">
        <v>287</v>
      </c>
      <c r="C2747"/>
      <c r="D2747"/>
      <c r="E2747"/>
      <c r="F2747"/>
      <c r="G2747" t="s">
        <v>5306</v>
      </c>
      <c r="H2747" t="s">
        <v>132</v>
      </c>
      <c r="I2747" t="s">
        <v>1</v>
      </c>
      <c r="J2747" t="s">
        <v>5298</v>
      </c>
      <c r="K2747" t="s">
        <v>51</v>
      </c>
      <c r="L2747" t="s">
        <v>285</v>
      </c>
      <c r="M2747" t="s">
        <v>134</v>
      </c>
      <c r="N2747" t="s">
        <v>135</v>
      </c>
      <c r="O2747"/>
      <c r="P2747"/>
      <c r="Q2747" t="s">
        <v>1790</v>
      </c>
      <c r="R2747"/>
      <c r="S2747" t="s">
        <v>1790</v>
      </c>
      <c r="T2747"/>
      <c r="U2747" t="s">
        <v>137</v>
      </c>
      <c r="V2747" t="s">
        <v>165</v>
      </c>
      <c r="W2747" s="9">
        <v>46129.249808993052</v>
      </c>
      <c r="X2747" t="s">
        <v>122</v>
      </c>
      <c r="Y2747"/>
      <c r="Z2747"/>
      <c r="AA2747" t="s">
        <v>170</v>
      </c>
      <c r="AB2747" t="s">
        <v>1</v>
      </c>
      <c r="AC2747" t="s">
        <v>24</v>
      </c>
      <c r="AD2747" t="s">
        <v>130</v>
      </c>
      <c r="AE2747" s="97"/>
    </row>
    <row r="2748" spans="1:31" ht="14.4" customHeight="1" x14ac:dyDescent="0.3">
      <c r="A2748" t="s">
        <v>5355</v>
      </c>
      <c r="B2748" t="s">
        <v>289</v>
      </c>
      <c r="C2748"/>
      <c r="D2748"/>
      <c r="E2748"/>
      <c r="F2748"/>
      <c r="G2748" t="s">
        <v>5306</v>
      </c>
      <c r="H2748" t="s">
        <v>132</v>
      </c>
      <c r="I2748" t="s">
        <v>1</v>
      </c>
      <c r="J2748" t="s">
        <v>5298</v>
      </c>
      <c r="K2748" t="s">
        <v>51</v>
      </c>
      <c r="L2748" t="s">
        <v>285</v>
      </c>
      <c r="M2748" t="s">
        <v>134</v>
      </c>
      <c r="N2748" t="s">
        <v>135</v>
      </c>
      <c r="O2748"/>
      <c r="P2748"/>
      <c r="Q2748" t="s">
        <v>1790</v>
      </c>
      <c r="R2748"/>
      <c r="S2748" t="s">
        <v>1790</v>
      </c>
      <c r="T2748"/>
      <c r="U2748" t="s">
        <v>137</v>
      </c>
      <c r="V2748" t="s">
        <v>165</v>
      </c>
      <c r="W2748" s="9">
        <v>46129.250088969908</v>
      </c>
      <c r="X2748" t="s">
        <v>122</v>
      </c>
      <c r="Y2748"/>
      <c r="Z2748"/>
      <c r="AA2748" t="s">
        <v>170</v>
      </c>
      <c r="AB2748" t="s">
        <v>1</v>
      </c>
      <c r="AC2748" t="s">
        <v>24</v>
      </c>
      <c r="AD2748" t="s">
        <v>130</v>
      </c>
      <c r="AE2748" s="97"/>
    </row>
    <row r="2749" spans="1:31" ht="14.4" customHeight="1" x14ac:dyDescent="0.3">
      <c r="A2749" t="s">
        <v>5357</v>
      </c>
      <c r="B2749" t="s">
        <v>294</v>
      </c>
      <c r="C2749"/>
      <c r="D2749"/>
      <c r="E2749"/>
      <c r="F2749"/>
      <c r="G2749" t="s">
        <v>5356</v>
      </c>
      <c r="H2749" t="s">
        <v>132</v>
      </c>
      <c r="I2749" t="s">
        <v>1</v>
      </c>
      <c r="J2749" t="s">
        <v>5298</v>
      </c>
      <c r="K2749" t="s">
        <v>51</v>
      </c>
      <c r="L2749" t="s">
        <v>295</v>
      </c>
      <c r="M2749" t="s">
        <v>134</v>
      </c>
      <c r="N2749" t="s">
        <v>135</v>
      </c>
      <c r="O2749"/>
      <c r="P2749"/>
      <c r="Q2749" t="s">
        <v>168</v>
      </c>
      <c r="R2749"/>
      <c r="S2749" t="s">
        <v>168</v>
      </c>
      <c r="T2749"/>
      <c r="U2749" t="s">
        <v>137</v>
      </c>
      <c r="V2749" t="s">
        <v>296</v>
      </c>
      <c r="W2749"/>
      <c r="X2749" t="s">
        <v>63</v>
      </c>
      <c r="Y2749"/>
      <c r="Z2749"/>
      <c r="AA2749" t="s">
        <v>292</v>
      </c>
      <c r="AB2749" t="s">
        <v>1</v>
      </c>
      <c r="AC2749" t="s">
        <v>138</v>
      </c>
      <c r="AD2749" t="s">
        <v>128</v>
      </c>
      <c r="AE2749" s="97"/>
    </row>
    <row r="2750" spans="1:31" ht="14.4" customHeight="1" x14ac:dyDescent="0.3">
      <c r="A2750" t="s">
        <v>5358</v>
      </c>
      <c r="B2750" t="s">
        <v>298</v>
      </c>
      <c r="C2750"/>
      <c r="D2750"/>
      <c r="E2750"/>
      <c r="F2750"/>
      <c r="G2750" t="s">
        <v>5356</v>
      </c>
      <c r="H2750" t="s">
        <v>132</v>
      </c>
      <c r="I2750" t="s">
        <v>1</v>
      </c>
      <c r="J2750" t="s">
        <v>5298</v>
      </c>
      <c r="K2750" t="s">
        <v>51</v>
      </c>
      <c r="L2750" t="s">
        <v>299</v>
      </c>
      <c r="M2750" t="s">
        <v>134</v>
      </c>
      <c r="N2750" t="s">
        <v>135</v>
      </c>
      <c r="O2750"/>
      <c r="P2750"/>
      <c r="Q2750" t="s">
        <v>168</v>
      </c>
      <c r="R2750"/>
      <c r="S2750" t="s">
        <v>168</v>
      </c>
      <c r="T2750"/>
      <c r="U2750" t="s">
        <v>137</v>
      </c>
      <c r="V2750" t="s">
        <v>300</v>
      </c>
      <c r="W2750"/>
      <c r="X2750" t="s">
        <v>72</v>
      </c>
      <c r="Y2750"/>
      <c r="Z2750"/>
      <c r="AA2750" t="s">
        <v>292</v>
      </c>
      <c r="AB2750" t="s">
        <v>1</v>
      </c>
      <c r="AC2750" t="s">
        <v>138</v>
      </c>
      <c r="AD2750" t="s">
        <v>128</v>
      </c>
      <c r="AE2750" s="97"/>
    </row>
    <row r="2751" spans="1:31" ht="14.4" customHeight="1" x14ac:dyDescent="0.3">
      <c r="A2751" t="s">
        <v>5359</v>
      </c>
      <c r="B2751" t="s">
        <v>302</v>
      </c>
      <c r="C2751"/>
      <c r="D2751"/>
      <c r="E2751"/>
      <c r="F2751"/>
      <c r="G2751" t="s">
        <v>5356</v>
      </c>
      <c r="H2751" t="s">
        <v>132</v>
      </c>
      <c r="I2751" t="s">
        <v>1</v>
      </c>
      <c r="J2751" t="s">
        <v>5298</v>
      </c>
      <c r="K2751" t="s">
        <v>51</v>
      </c>
      <c r="L2751" t="s">
        <v>303</v>
      </c>
      <c r="M2751" t="s">
        <v>134</v>
      </c>
      <c r="N2751" t="s">
        <v>135</v>
      </c>
      <c r="O2751"/>
      <c r="P2751"/>
      <c r="Q2751" t="s">
        <v>168</v>
      </c>
      <c r="R2751"/>
      <c r="S2751" t="s">
        <v>168</v>
      </c>
      <c r="T2751"/>
      <c r="U2751" t="s">
        <v>137</v>
      </c>
      <c r="V2751" t="s">
        <v>304</v>
      </c>
      <c r="W2751"/>
      <c r="X2751" t="s">
        <v>81</v>
      </c>
      <c r="Y2751"/>
      <c r="Z2751"/>
      <c r="AA2751" t="s">
        <v>292</v>
      </c>
      <c r="AB2751" t="s">
        <v>1</v>
      </c>
      <c r="AC2751" t="s">
        <v>138</v>
      </c>
      <c r="AD2751" t="s">
        <v>129</v>
      </c>
      <c r="AE2751" s="97"/>
    </row>
    <row r="2752" spans="1:31" ht="14.4" customHeight="1" x14ac:dyDescent="0.3">
      <c r="A2752" t="s">
        <v>5360</v>
      </c>
      <c r="B2752" t="s">
        <v>306</v>
      </c>
      <c r="C2752"/>
      <c r="D2752"/>
      <c r="E2752"/>
      <c r="F2752"/>
      <c r="G2752" t="s">
        <v>5356</v>
      </c>
      <c r="H2752" t="s">
        <v>132</v>
      </c>
      <c r="I2752" t="s">
        <v>1</v>
      </c>
      <c r="J2752" t="s">
        <v>5298</v>
      </c>
      <c r="K2752" t="s">
        <v>51</v>
      </c>
      <c r="L2752" t="s">
        <v>307</v>
      </c>
      <c r="M2752" t="s">
        <v>134</v>
      </c>
      <c r="N2752" t="s">
        <v>135</v>
      </c>
      <c r="O2752"/>
      <c r="P2752"/>
      <c r="Q2752" t="s">
        <v>168</v>
      </c>
      <c r="R2752"/>
      <c r="S2752" t="s">
        <v>168</v>
      </c>
      <c r="T2752"/>
      <c r="U2752" t="s">
        <v>137</v>
      </c>
      <c r="V2752" t="s">
        <v>308</v>
      </c>
      <c r="W2752"/>
      <c r="X2752" t="s">
        <v>90</v>
      </c>
      <c r="Y2752"/>
      <c r="Z2752"/>
      <c r="AA2752" t="s">
        <v>292</v>
      </c>
      <c r="AB2752" t="s">
        <v>1</v>
      </c>
      <c r="AC2752" t="s">
        <v>138</v>
      </c>
      <c r="AD2752" t="s">
        <v>129</v>
      </c>
      <c r="AE2752" s="97"/>
    </row>
    <row r="2753" spans="1:31" ht="14.4" customHeight="1" x14ac:dyDescent="0.3">
      <c r="A2753" t="s">
        <v>5361</v>
      </c>
      <c r="B2753" t="s">
        <v>310</v>
      </c>
      <c r="C2753"/>
      <c r="D2753"/>
      <c r="E2753"/>
      <c r="F2753"/>
      <c r="G2753" t="s">
        <v>5356</v>
      </c>
      <c r="H2753" t="s">
        <v>132</v>
      </c>
      <c r="I2753" t="s">
        <v>1</v>
      </c>
      <c r="J2753" t="s">
        <v>5298</v>
      </c>
      <c r="K2753" t="s">
        <v>51</v>
      </c>
      <c r="L2753" t="s">
        <v>311</v>
      </c>
      <c r="M2753" t="s">
        <v>134</v>
      </c>
      <c r="N2753" t="s">
        <v>135</v>
      </c>
      <c r="O2753"/>
      <c r="P2753"/>
      <c r="Q2753" t="s">
        <v>168</v>
      </c>
      <c r="R2753"/>
      <c r="S2753" t="s">
        <v>168</v>
      </c>
      <c r="T2753"/>
      <c r="U2753" t="s">
        <v>137</v>
      </c>
      <c r="V2753" t="s">
        <v>312</v>
      </c>
      <c r="W2753"/>
      <c r="X2753" t="s">
        <v>99</v>
      </c>
      <c r="Y2753"/>
      <c r="Z2753"/>
      <c r="AA2753" t="s">
        <v>292</v>
      </c>
      <c r="AB2753" t="s">
        <v>1</v>
      </c>
      <c r="AC2753" t="s">
        <v>138</v>
      </c>
      <c r="AD2753" t="s">
        <v>129</v>
      </c>
      <c r="AE2753" s="97"/>
    </row>
    <row r="2754" spans="1:31" ht="14.4" customHeight="1" x14ac:dyDescent="0.3">
      <c r="A2754" t="s">
        <v>5362</v>
      </c>
      <c r="B2754" t="s">
        <v>314</v>
      </c>
      <c r="C2754"/>
      <c r="D2754"/>
      <c r="E2754"/>
      <c r="F2754"/>
      <c r="G2754" t="s">
        <v>5356</v>
      </c>
      <c r="H2754" t="s">
        <v>132</v>
      </c>
      <c r="I2754" t="s">
        <v>1</v>
      </c>
      <c r="J2754" t="s">
        <v>5298</v>
      </c>
      <c r="K2754" t="s">
        <v>51</v>
      </c>
      <c r="L2754" t="s">
        <v>315</v>
      </c>
      <c r="M2754" t="s">
        <v>134</v>
      </c>
      <c r="N2754" t="s">
        <v>135</v>
      </c>
      <c r="O2754"/>
      <c r="P2754"/>
      <c r="Q2754" t="s">
        <v>168</v>
      </c>
      <c r="R2754"/>
      <c r="S2754" t="s">
        <v>168</v>
      </c>
      <c r="T2754"/>
      <c r="U2754" t="s">
        <v>137</v>
      </c>
      <c r="V2754" t="s">
        <v>316</v>
      </c>
      <c r="W2754"/>
      <c r="X2754" t="s">
        <v>108</v>
      </c>
      <c r="Y2754"/>
      <c r="Z2754"/>
      <c r="AA2754" t="s">
        <v>292</v>
      </c>
      <c r="AB2754" t="s">
        <v>1</v>
      </c>
      <c r="AC2754" t="s">
        <v>138</v>
      </c>
      <c r="AD2754" t="s">
        <v>129</v>
      </c>
      <c r="AE2754" s="97"/>
    </row>
    <row r="2755" spans="1:31" ht="14.4" customHeight="1" x14ac:dyDescent="0.3">
      <c r="A2755" t="s">
        <v>5363</v>
      </c>
      <c r="B2755" t="s">
        <v>318</v>
      </c>
      <c r="C2755"/>
      <c r="D2755"/>
      <c r="E2755"/>
      <c r="F2755"/>
      <c r="G2755" t="s">
        <v>5356</v>
      </c>
      <c r="H2755" t="s">
        <v>132</v>
      </c>
      <c r="I2755" t="s">
        <v>1</v>
      </c>
      <c r="J2755" t="s">
        <v>5298</v>
      </c>
      <c r="K2755" t="s">
        <v>51</v>
      </c>
      <c r="L2755" t="s">
        <v>319</v>
      </c>
      <c r="M2755" t="s">
        <v>134</v>
      </c>
      <c r="N2755" t="s">
        <v>135</v>
      </c>
      <c r="O2755"/>
      <c r="P2755"/>
      <c r="Q2755" t="s">
        <v>168</v>
      </c>
      <c r="R2755"/>
      <c r="S2755" t="s">
        <v>168</v>
      </c>
      <c r="T2755"/>
      <c r="U2755" t="s">
        <v>137</v>
      </c>
      <c r="V2755" t="s">
        <v>320</v>
      </c>
      <c r="W2755"/>
      <c r="X2755" t="s">
        <v>117</v>
      </c>
      <c r="Y2755"/>
      <c r="Z2755"/>
      <c r="AA2755" t="s">
        <v>292</v>
      </c>
      <c r="AB2755" t="s">
        <v>1</v>
      </c>
      <c r="AC2755" t="s">
        <v>138</v>
      </c>
      <c r="AD2755" t="s">
        <v>130</v>
      </c>
      <c r="AE2755" s="97"/>
    </row>
    <row r="2756" spans="1:31" ht="14.4" customHeight="1" x14ac:dyDescent="0.3">
      <c r="A2756" t="s">
        <v>5364</v>
      </c>
      <c r="B2756" t="s">
        <v>322</v>
      </c>
      <c r="C2756"/>
      <c r="D2756"/>
      <c r="E2756"/>
      <c r="F2756"/>
      <c r="G2756" t="s">
        <v>5356</v>
      </c>
      <c r="H2756" t="s">
        <v>132</v>
      </c>
      <c r="I2756" t="s">
        <v>1</v>
      </c>
      <c r="J2756" t="s">
        <v>5298</v>
      </c>
      <c r="K2756" t="s">
        <v>51</v>
      </c>
      <c r="L2756" t="s">
        <v>323</v>
      </c>
      <c r="M2756" t="s">
        <v>134</v>
      </c>
      <c r="N2756" t="s">
        <v>135</v>
      </c>
      <c r="O2756"/>
      <c r="P2756"/>
      <c r="Q2756" t="s">
        <v>168</v>
      </c>
      <c r="R2756"/>
      <c r="S2756" t="s">
        <v>168</v>
      </c>
      <c r="T2756"/>
      <c r="U2756" t="s">
        <v>137</v>
      </c>
      <c r="V2756" t="s">
        <v>324</v>
      </c>
      <c r="W2756"/>
      <c r="X2756" t="s">
        <v>60</v>
      </c>
      <c r="Y2756"/>
      <c r="Z2756"/>
      <c r="AA2756" t="s">
        <v>292</v>
      </c>
      <c r="AB2756" t="s">
        <v>1</v>
      </c>
      <c r="AC2756" t="s">
        <v>138</v>
      </c>
      <c r="AD2756" t="s">
        <v>128</v>
      </c>
      <c r="AE2756" s="97"/>
    </row>
    <row r="2757" spans="1:31" ht="14.4" customHeight="1" x14ac:dyDescent="0.3">
      <c r="A2757" t="s">
        <v>5365</v>
      </c>
      <c r="B2757" t="s">
        <v>326</v>
      </c>
      <c r="C2757"/>
      <c r="D2757"/>
      <c r="E2757"/>
      <c r="F2757"/>
      <c r="G2757" t="s">
        <v>5356</v>
      </c>
      <c r="H2757" t="s">
        <v>132</v>
      </c>
      <c r="I2757" t="s">
        <v>1</v>
      </c>
      <c r="J2757" t="s">
        <v>5298</v>
      </c>
      <c r="K2757" t="s">
        <v>51</v>
      </c>
      <c r="L2757" t="s">
        <v>327</v>
      </c>
      <c r="M2757" t="s">
        <v>134</v>
      </c>
      <c r="N2757" t="s">
        <v>135</v>
      </c>
      <c r="O2757"/>
      <c r="P2757"/>
      <c r="Q2757" t="s">
        <v>168</v>
      </c>
      <c r="R2757"/>
      <c r="S2757" t="s">
        <v>168</v>
      </c>
      <c r="T2757"/>
      <c r="U2757" t="s">
        <v>137</v>
      </c>
      <c r="V2757" t="s">
        <v>328</v>
      </c>
      <c r="W2757"/>
      <c r="X2757" t="s">
        <v>65</v>
      </c>
      <c r="Y2757"/>
      <c r="Z2757"/>
      <c r="AA2757" t="s">
        <v>292</v>
      </c>
      <c r="AB2757" t="s">
        <v>1</v>
      </c>
      <c r="AC2757" t="s">
        <v>138</v>
      </c>
      <c r="AD2757" t="s">
        <v>128</v>
      </c>
      <c r="AE2757" s="97"/>
    </row>
    <row r="2758" spans="1:31" ht="14.4" customHeight="1" x14ac:dyDescent="0.3">
      <c r="A2758" t="s">
        <v>5366</v>
      </c>
      <c r="B2758" t="s">
        <v>330</v>
      </c>
      <c r="C2758"/>
      <c r="D2758"/>
      <c r="E2758"/>
      <c r="F2758"/>
      <c r="G2758" t="s">
        <v>5356</v>
      </c>
      <c r="H2758" t="s">
        <v>132</v>
      </c>
      <c r="I2758" t="s">
        <v>1</v>
      </c>
      <c r="J2758" t="s">
        <v>5298</v>
      </c>
      <c r="K2758" t="s">
        <v>51</v>
      </c>
      <c r="L2758" t="s">
        <v>331</v>
      </c>
      <c r="M2758" t="s">
        <v>134</v>
      </c>
      <c r="N2758" t="s">
        <v>135</v>
      </c>
      <c r="O2758"/>
      <c r="P2758"/>
      <c r="Q2758" t="s">
        <v>168</v>
      </c>
      <c r="R2758"/>
      <c r="S2758" t="s">
        <v>168</v>
      </c>
      <c r="T2758"/>
      <c r="U2758" t="s">
        <v>137</v>
      </c>
      <c r="V2758" t="s">
        <v>332</v>
      </c>
      <c r="W2758"/>
      <c r="X2758" t="s">
        <v>80</v>
      </c>
      <c r="Y2758"/>
      <c r="Z2758"/>
      <c r="AA2758" t="s">
        <v>292</v>
      </c>
      <c r="AB2758" t="s">
        <v>1</v>
      </c>
      <c r="AC2758" t="s">
        <v>138</v>
      </c>
      <c r="AD2758" t="s">
        <v>129</v>
      </c>
      <c r="AE2758" s="97"/>
    </row>
    <row r="2759" spans="1:31" ht="14.4" customHeight="1" x14ac:dyDescent="0.3">
      <c r="A2759" t="s">
        <v>5367</v>
      </c>
      <c r="B2759" t="s">
        <v>334</v>
      </c>
      <c r="C2759"/>
      <c r="D2759"/>
      <c r="E2759"/>
      <c r="F2759"/>
      <c r="G2759" t="s">
        <v>5356</v>
      </c>
      <c r="H2759" t="s">
        <v>132</v>
      </c>
      <c r="I2759" t="s">
        <v>1</v>
      </c>
      <c r="J2759" t="s">
        <v>5298</v>
      </c>
      <c r="K2759" t="s">
        <v>51</v>
      </c>
      <c r="L2759" t="s">
        <v>335</v>
      </c>
      <c r="M2759" t="s">
        <v>134</v>
      </c>
      <c r="N2759" t="s">
        <v>135</v>
      </c>
      <c r="O2759"/>
      <c r="P2759"/>
      <c r="Q2759" t="s">
        <v>168</v>
      </c>
      <c r="R2759"/>
      <c r="S2759" t="s">
        <v>168</v>
      </c>
      <c r="T2759"/>
      <c r="U2759" t="s">
        <v>137</v>
      </c>
      <c r="V2759" t="s">
        <v>336</v>
      </c>
      <c r="W2759"/>
      <c r="X2759" t="s">
        <v>84</v>
      </c>
      <c r="Y2759"/>
      <c r="Z2759"/>
      <c r="AA2759" t="s">
        <v>292</v>
      </c>
      <c r="AB2759" t="s">
        <v>1</v>
      </c>
      <c r="AC2759" t="s">
        <v>138</v>
      </c>
      <c r="AD2759" t="s">
        <v>129</v>
      </c>
      <c r="AE2759" s="97"/>
    </row>
    <row r="2760" spans="1:31" ht="14.4" customHeight="1" x14ac:dyDescent="0.3">
      <c r="A2760" t="s">
        <v>5368</v>
      </c>
      <c r="B2760" t="s">
        <v>338</v>
      </c>
      <c r="C2760"/>
      <c r="D2760"/>
      <c r="E2760"/>
      <c r="F2760"/>
      <c r="G2760" t="s">
        <v>5356</v>
      </c>
      <c r="H2760" t="s">
        <v>132</v>
      </c>
      <c r="I2760" t="s">
        <v>1</v>
      </c>
      <c r="J2760" t="s">
        <v>5298</v>
      </c>
      <c r="K2760" t="s">
        <v>51</v>
      </c>
      <c r="L2760" t="s">
        <v>339</v>
      </c>
      <c r="M2760" t="s">
        <v>134</v>
      </c>
      <c r="N2760" t="s">
        <v>135</v>
      </c>
      <c r="O2760"/>
      <c r="P2760"/>
      <c r="Q2760" t="s">
        <v>168</v>
      </c>
      <c r="R2760"/>
      <c r="S2760" t="s">
        <v>168</v>
      </c>
      <c r="T2760"/>
      <c r="U2760" t="s">
        <v>137</v>
      </c>
      <c r="V2760" t="s">
        <v>340</v>
      </c>
      <c r="W2760"/>
      <c r="X2760" t="s">
        <v>93</v>
      </c>
      <c r="Y2760"/>
      <c r="Z2760"/>
      <c r="AA2760" t="s">
        <v>292</v>
      </c>
      <c r="AB2760" t="s">
        <v>1</v>
      </c>
      <c r="AC2760" t="s">
        <v>138</v>
      </c>
      <c r="AD2760" t="s">
        <v>129</v>
      </c>
      <c r="AE2760" s="97"/>
    </row>
    <row r="2761" spans="1:31" ht="14.4" customHeight="1" x14ac:dyDescent="0.3">
      <c r="A2761" t="s">
        <v>5369</v>
      </c>
      <c r="B2761" t="s">
        <v>342</v>
      </c>
      <c r="C2761"/>
      <c r="D2761"/>
      <c r="E2761"/>
      <c r="F2761"/>
      <c r="G2761" t="s">
        <v>5356</v>
      </c>
      <c r="H2761" t="s">
        <v>132</v>
      </c>
      <c r="I2761" t="s">
        <v>1</v>
      </c>
      <c r="J2761" t="s">
        <v>5298</v>
      </c>
      <c r="K2761" t="s">
        <v>51</v>
      </c>
      <c r="L2761" t="s">
        <v>343</v>
      </c>
      <c r="M2761" t="s">
        <v>134</v>
      </c>
      <c r="N2761" t="s">
        <v>135</v>
      </c>
      <c r="O2761"/>
      <c r="P2761"/>
      <c r="Q2761" t="s">
        <v>168</v>
      </c>
      <c r="R2761"/>
      <c r="S2761" t="s">
        <v>168</v>
      </c>
      <c r="T2761"/>
      <c r="U2761" t="s">
        <v>137</v>
      </c>
      <c r="V2761" t="s">
        <v>344</v>
      </c>
      <c r="W2761"/>
      <c r="X2761" t="s">
        <v>102</v>
      </c>
      <c r="Y2761"/>
      <c r="Z2761"/>
      <c r="AA2761" t="s">
        <v>292</v>
      </c>
      <c r="AB2761" t="s">
        <v>1</v>
      </c>
      <c r="AC2761" t="s">
        <v>138</v>
      </c>
      <c r="AD2761" t="s">
        <v>129</v>
      </c>
      <c r="AE2761" s="97"/>
    </row>
    <row r="2762" spans="1:31" ht="14.4" customHeight="1" x14ac:dyDescent="0.3">
      <c r="A2762" t="s">
        <v>5370</v>
      </c>
      <c r="B2762" t="s">
        <v>346</v>
      </c>
      <c r="C2762"/>
      <c r="D2762"/>
      <c r="E2762"/>
      <c r="F2762"/>
      <c r="G2762" t="s">
        <v>5356</v>
      </c>
      <c r="H2762" t="s">
        <v>132</v>
      </c>
      <c r="I2762" t="s">
        <v>1</v>
      </c>
      <c r="J2762" t="s">
        <v>5298</v>
      </c>
      <c r="K2762" t="s">
        <v>51</v>
      </c>
      <c r="L2762" t="s">
        <v>347</v>
      </c>
      <c r="M2762" t="s">
        <v>134</v>
      </c>
      <c r="N2762" t="s">
        <v>135</v>
      </c>
      <c r="O2762"/>
      <c r="P2762"/>
      <c r="Q2762" t="s">
        <v>168</v>
      </c>
      <c r="R2762"/>
      <c r="S2762" t="s">
        <v>168</v>
      </c>
      <c r="T2762"/>
      <c r="U2762" t="s">
        <v>137</v>
      </c>
      <c r="V2762" t="s">
        <v>348</v>
      </c>
      <c r="W2762"/>
      <c r="X2762" t="s">
        <v>116</v>
      </c>
      <c r="Y2762"/>
      <c r="Z2762"/>
      <c r="AA2762" t="s">
        <v>292</v>
      </c>
      <c r="AB2762" t="s">
        <v>1</v>
      </c>
      <c r="AC2762" t="s">
        <v>138</v>
      </c>
      <c r="AD2762" t="s">
        <v>130</v>
      </c>
      <c r="AE2762" s="97"/>
    </row>
    <row r="2763" spans="1:31" ht="14.4" customHeight="1" x14ac:dyDescent="0.3">
      <c r="A2763" t="s">
        <v>5371</v>
      </c>
      <c r="B2763" t="s">
        <v>350</v>
      </c>
      <c r="C2763"/>
      <c r="D2763"/>
      <c r="E2763"/>
      <c r="F2763"/>
      <c r="G2763" t="s">
        <v>5356</v>
      </c>
      <c r="H2763" t="s">
        <v>132</v>
      </c>
      <c r="I2763" t="s">
        <v>1</v>
      </c>
      <c r="J2763" t="s">
        <v>5298</v>
      </c>
      <c r="K2763" t="s">
        <v>51</v>
      </c>
      <c r="L2763" t="s">
        <v>351</v>
      </c>
      <c r="M2763" t="s">
        <v>134</v>
      </c>
      <c r="N2763" t="s">
        <v>135</v>
      </c>
      <c r="O2763"/>
      <c r="P2763"/>
      <c r="Q2763" t="s">
        <v>168</v>
      </c>
      <c r="R2763"/>
      <c r="S2763" t="s">
        <v>168</v>
      </c>
      <c r="T2763"/>
      <c r="U2763" t="s">
        <v>137</v>
      </c>
      <c r="V2763" t="s">
        <v>352</v>
      </c>
      <c r="W2763" s="9">
        <v>46192.178282719906</v>
      </c>
      <c r="X2763" t="s">
        <v>56</v>
      </c>
      <c r="Y2763"/>
      <c r="Z2763"/>
      <c r="AA2763" t="s">
        <v>292</v>
      </c>
      <c r="AB2763" t="s">
        <v>1</v>
      </c>
      <c r="AC2763" t="s">
        <v>24</v>
      </c>
      <c r="AD2763" t="s">
        <v>128</v>
      </c>
      <c r="AE2763" s="97"/>
    </row>
    <row r="2764" spans="1:31" ht="14.4" customHeight="1" x14ac:dyDescent="0.3">
      <c r="A2764" t="s">
        <v>5372</v>
      </c>
      <c r="B2764" t="s">
        <v>354</v>
      </c>
      <c r="C2764"/>
      <c r="D2764"/>
      <c r="E2764"/>
      <c r="F2764"/>
      <c r="G2764" t="s">
        <v>5356</v>
      </c>
      <c r="H2764" t="s">
        <v>132</v>
      </c>
      <c r="I2764" t="s">
        <v>1</v>
      </c>
      <c r="J2764" t="s">
        <v>5298</v>
      </c>
      <c r="K2764" t="s">
        <v>51</v>
      </c>
      <c r="L2764" t="s">
        <v>351</v>
      </c>
      <c r="M2764" t="s">
        <v>134</v>
      </c>
      <c r="N2764" t="s">
        <v>135</v>
      </c>
      <c r="O2764"/>
      <c r="P2764"/>
      <c r="Q2764" t="s">
        <v>168</v>
      </c>
      <c r="R2764"/>
      <c r="S2764" t="s">
        <v>168</v>
      </c>
      <c r="T2764"/>
      <c r="U2764" t="s">
        <v>137</v>
      </c>
      <c r="V2764" t="s">
        <v>352</v>
      </c>
      <c r="W2764" s="9">
        <v>46192.178670370369</v>
      </c>
      <c r="X2764" t="s">
        <v>56</v>
      </c>
      <c r="Y2764"/>
      <c r="Z2764"/>
      <c r="AA2764" t="s">
        <v>292</v>
      </c>
      <c r="AB2764" t="s">
        <v>1</v>
      </c>
      <c r="AC2764" t="s">
        <v>24</v>
      </c>
      <c r="AD2764" t="s">
        <v>128</v>
      </c>
      <c r="AE2764" s="97"/>
    </row>
    <row r="2765" spans="1:31" ht="14.4" customHeight="1" x14ac:dyDescent="0.3">
      <c r="A2765" t="s">
        <v>6654</v>
      </c>
      <c r="B2765" t="s">
        <v>6612</v>
      </c>
      <c r="C2765"/>
      <c r="D2765"/>
      <c r="E2765"/>
      <c r="F2765"/>
      <c r="G2765" t="s">
        <v>5356</v>
      </c>
      <c r="H2765" t="s">
        <v>132</v>
      </c>
      <c r="I2765" t="s">
        <v>1</v>
      </c>
      <c r="J2765" t="s">
        <v>5298</v>
      </c>
      <c r="K2765" t="s">
        <v>51</v>
      </c>
      <c r="L2765" t="s">
        <v>1278</v>
      </c>
      <c r="M2765" t="s">
        <v>134</v>
      </c>
      <c r="N2765" t="s">
        <v>135</v>
      </c>
      <c r="O2765"/>
      <c r="P2765"/>
      <c r="Q2765" t="s">
        <v>168</v>
      </c>
      <c r="R2765"/>
      <c r="S2765" t="s">
        <v>168</v>
      </c>
      <c r="T2765"/>
      <c r="U2765" t="s">
        <v>137</v>
      </c>
      <c r="V2765" t="s">
        <v>1279</v>
      </c>
      <c r="W2765" s="9">
        <v>46200.373973229165</v>
      </c>
      <c r="X2765" t="s">
        <v>71</v>
      </c>
      <c r="Y2765"/>
      <c r="Z2765"/>
      <c r="AA2765" t="s">
        <v>292</v>
      </c>
      <c r="AB2765" t="s">
        <v>1</v>
      </c>
      <c r="AC2765" t="s">
        <v>24</v>
      </c>
      <c r="AD2765" t="s">
        <v>128</v>
      </c>
      <c r="AE2765" s="97"/>
    </row>
    <row r="2766" spans="1:31" ht="14.4" customHeight="1" x14ac:dyDescent="0.3">
      <c r="A2766" t="s">
        <v>6655</v>
      </c>
      <c r="B2766" t="s">
        <v>6614</v>
      </c>
      <c r="C2766"/>
      <c r="D2766"/>
      <c r="E2766"/>
      <c r="F2766"/>
      <c r="G2766" t="s">
        <v>5356</v>
      </c>
      <c r="H2766" t="s">
        <v>132</v>
      </c>
      <c r="I2766" t="s">
        <v>1</v>
      </c>
      <c r="J2766" t="s">
        <v>5298</v>
      </c>
      <c r="K2766" t="s">
        <v>51</v>
      </c>
      <c r="L2766" t="s">
        <v>1278</v>
      </c>
      <c r="M2766" t="s">
        <v>134</v>
      </c>
      <c r="N2766" t="s">
        <v>135</v>
      </c>
      <c r="O2766"/>
      <c r="P2766"/>
      <c r="Q2766" t="s">
        <v>168</v>
      </c>
      <c r="R2766"/>
      <c r="S2766" t="s">
        <v>168</v>
      </c>
      <c r="T2766"/>
      <c r="U2766" t="s">
        <v>137</v>
      </c>
      <c r="V2766" t="s">
        <v>1279</v>
      </c>
      <c r="W2766" s="9">
        <v>46200.377707638887</v>
      </c>
      <c r="X2766" t="s">
        <v>71</v>
      </c>
      <c r="Y2766"/>
      <c r="Z2766"/>
      <c r="AA2766" t="s">
        <v>292</v>
      </c>
      <c r="AB2766" t="s">
        <v>1</v>
      </c>
      <c r="AC2766" t="s">
        <v>24</v>
      </c>
      <c r="AD2766" t="s">
        <v>128</v>
      </c>
      <c r="AE2766" s="97"/>
    </row>
    <row r="2767" spans="1:31" ht="14.4" customHeight="1" x14ac:dyDescent="0.3">
      <c r="A2767" t="s">
        <v>6656</v>
      </c>
      <c r="B2767" t="s">
        <v>6616</v>
      </c>
      <c r="C2767"/>
      <c r="D2767"/>
      <c r="E2767"/>
      <c r="F2767"/>
      <c r="G2767" t="s">
        <v>5356</v>
      </c>
      <c r="H2767" t="s">
        <v>132</v>
      </c>
      <c r="I2767" t="s">
        <v>1</v>
      </c>
      <c r="J2767" t="s">
        <v>5298</v>
      </c>
      <c r="K2767" t="s">
        <v>51</v>
      </c>
      <c r="L2767" t="s">
        <v>1282</v>
      </c>
      <c r="M2767" t="s">
        <v>134</v>
      </c>
      <c r="N2767" t="s">
        <v>135</v>
      </c>
      <c r="O2767"/>
      <c r="P2767"/>
      <c r="Q2767" t="s">
        <v>168</v>
      </c>
      <c r="R2767"/>
      <c r="S2767" t="s">
        <v>168</v>
      </c>
      <c r="T2767"/>
      <c r="U2767" t="s">
        <v>137</v>
      </c>
      <c r="V2767" t="s">
        <v>1283</v>
      </c>
      <c r="W2767" s="9">
        <v>46200.391686608797</v>
      </c>
      <c r="X2767" t="s">
        <v>78</v>
      </c>
      <c r="Y2767"/>
      <c r="Z2767"/>
      <c r="AA2767" t="s">
        <v>292</v>
      </c>
      <c r="AB2767" t="s">
        <v>1</v>
      </c>
      <c r="AC2767" t="s">
        <v>24</v>
      </c>
      <c r="AD2767" t="s">
        <v>128</v>
      </c>
      <c r="AE2767" s="97"/>
    </row>
    <row r="2768" spans="1:31" ht="14.4" customHeight="1" x14ac:dyDescent="0.3">
      <c r="A2768" t="s">
        <v>6657</v>
      </c>
      <c r="B2768" t="s">
        <v>6618</v>
      </c>
      <c r="C2768"/>
      <c r="D2768"/>
      <c r="E2768"/>
      <c r="F2768"/>
      <c r="G2768" t="s">
        <v>5356</v>
      </c>
      <c r="H2768" t="s">
        <v>132</v>
      </c>
      <c r="I2768" t="s">
        <v>1</v>
      </c>
      <c r="J2768" t="s">
        <v>5298</v>
      </c>
      <c r="K2768" t="s">
        <v>51</v>
      </c>
      <c r="L2768" t="s">
        <v>1282</v>
      </c>
      <c r="M2768" t="s">
        <v>134</v>
      </c>
      <c r="N2768" t="s">
        <v>135</v>
      </c>
      <c r="O2768"/>
      <c r="P2768"/>
      <c r="Q2768" t="s">
        <v>168</v>
      </c>
      <c r="R2768"/>
      <c r="S2768" t="s">
        <v>168</v>
      </c>
      <c r="T2768"/>
      <c r="U2768" t="s">
        <v>137</v>
      </c>
      <c r="V2768" t="s">
        <v>1283</v>
      </c>
      <c r="W2768" s="9">
        <v>46200.392640358798</v>
      </c>
      <c r="X2768" t="s">
        <v>78</v>
      </c>
      <c r="Y2768"/>
      <c r="Z2768"/>
      <c r="AA2768" t="s">
        <v>292</v>
      </c>
      <c r="AB2768" t="s">
        <v>1</v>
      </c>
      <c r="AC2768" t="s">
        <v>24</v>
      </c>
      <c r="AD2768" t="s">
        <v>128</v>
      </c>
      <c r="AE2768" s="97"/>
    </row>
    <row r="2769" spans="1:31" ht="14.4" customHeight="1" x14ac:dyDescent="0.3">
      <c r="A2769" t="s">
        <v>6658</v>
      </c>
      <c r="B2769" t="s">
        <v>6620</v>
      </c>
      <c r="C2769"/>
      <c r="D2769"/>
      <c r="E2769"/>
      <c r="F2769"/>
      <c r="G2769" t="s">
        <v>5356</v>
      </c>
      <c r="H2769" t="s">
        <v>132</v>
      </c>
      <c r="I2769" t="s">
        <v>1</v>
      </c>
      <c r="J2769" t="s">
        <v>5298</v>
      </c>
      <c r="K2769" t="s">
        <v>51</v>
      </c>
      <c r="L2769" t="s">
        <v>1286</v>
      </c>
      <c r="M2769" t="s">
        <v>134</v>
      </c>
      <c r="N2769" t="s">
        <v>135</v>
      </c>
      <c r="O2769"/>
      <c r="P2769"/>
      <c r="Q2769" t="s">
        <v>168</v>
      </c>
      <c r="R2769"/>
      <c r="S2769" t="s">
        <v>168</v>
      </c>
      <c r="T2769"/>
      <c r="U2769" t="s">
        <v>137</v>
      </c>
      <c r="V2769" t="s">
        <v>1287</v>
      </c>
      <c r="W2769"/>
      <c r="X2769" t="s">
        <v>89</v>
      </c>
      <c r="Y2769"/>
      <c r="Z2769"/>
      <c r="AA2769" t="s">
        <v>292</v>
      </c>
      <c r="AB2769" t="s">
        <v>1</v>
      </c>
      <c r="AC2769" t="s">
        <v>138</v>
      </c>
      <c r="AD2769" t="s">
        <v>129</v>
      </c>
      <c r="AE2769" s="97"/>
    </row>
    <row r="2770" spans="1:31" ht="14.4" customHeight="1" x14ac:dyDescent="0.3">
      <c r="A2770" t="s">
        <v>6659</v>
      </c>
      <c r="B2770" t="s">
        <v>6622</v>
      </c>
      <c r="C2770"/>
      <c r="D2770"/>
      <c r="E2770"/>
      <c r="F2770"/>
      <c r="G2770" t="s">
        <v>5356</v>
      </c>
      <c r="H2770" t="s">
        <v>132</v>
      </c>
      <c r="I2770" t="s">
        <v>1</v>
      </c>
      <c r="J2770" t="s">
        <v>5298</v>
      </c>
      <c r="K2770" t="s">
        <v>51</v>
      </c>
      <c r="L2770" t="s">
        <v>1286</v>
      </c>
      <c r="M2770" t="s">
        <v>134</v>
      </c>
      <c r="N2770" t="s">
        <v>135</v>
      </c>
      <c r="O2770"/>
      <c r="P2770"/>
      <c r="Q2770" t="s">
        <v>168</v>
      </c>
      <c r="R2770"/>
      <c r="S2770" t="s">
        <v>168</v>
      </c>
      <c r="T2770"/>
      <c r="U2770" t="s">
        <v>137</v>
      </c>
      <c r="V2770" t="s">
        <v>1287</v>
      </c>
      <c r="W2770"/>
      <c r="X2770" t="s">
        <v>89</v>
      </c>
      <c r="Y2770"/>
      <c r="Z2770"/>
      <c r="AA2770" t="s">
        <v>292</v>
      </c>
      <c r="AB2770" t="s">
        <v>1</v>
      </c>
      <c r="AC2770" t="s">
        <v>138</v>
      </c>
      <c r="AD2770" t="s">
        <v>129</v>
      </c>
      <c r="AE2770" s="97"/>
    </row>
    <row r="2771" spans="1:31" ht="14.4" customHeight="1" x14ac:dyDescent="0.3">
      <c r="A2771" t="s">
        <v>6660</v>
      </c>
      <c r="B2771" t="s">
        <v>6624</v>
      </c>
      <c r="C2771"/>
      <c r="D2771"/>
      <c r="E2771"/>
      <c r="F2771"/>
      <c r="G2771" t="s">
        <v>5356</v>
      </c>
      <c r="H2771" t="s">
        <v>132</v>
      </c>
      <c r="I2771" t="s">
        <v>1</v>
      </c>
      <c r="J2771" t="s">
        <v>5298</v>
      </c>
      <c r="K2771" t="s">
        <v>51</v>
      </c>
      <c r="L2771" t="s">
        <v>1290</v>
      </c>
      <c r="M2771" t="s">
        <v>134</v>
      </c>
      <c r="N2771" t="s">
        <v>135</v>
      </c>
      <c r="O2771"/>
      <c r="P2771"/>
      <c r="Q2771" t="s">
        <v>168</v>
      </c>
      <c r="R2771"/>
      <c r="S2771" t="s">
        <v>168</v>
      </c>
      <c r="T2771"/>
      <c r="U2771" t="s">
        <v>137</v>
      </c>
      <c r="V2771" t="s">
        <v>1291</v>
      </c>
      <c r="W2771" s="9">
        <v>46184.221332488429</v>
      </c>
      <c r="X2771" t="s">
        <v>98</v>
      </c>
      <c r="Y2771"/>
      <c r="Z2771"/>
      <c r="AA2771" t="s">
        <v>292</v>
      </c>
      <c r="AB2771" t="s">
        <v>1</v>
      </c>
      <c r="AC2771" t="s">
        <v>24</v>
      </c>
      <c r="AD2771" t="s">
        <v>129</v>
      </c>
      <c r="AE2771" s="97"/>
    </row>
    <row r="2772" spans="1:31" ht="14.4" customHeight="1" x14ac:dyDescent="0.3">
      <c r="A2772" t="s">
        <v>6661</v>
      </c>
      <c r="B2772" t="s">
        <v>6626</v>
      </c>
      <c r="C2772"/>
      <c r="D2772"/>
      <c r="E2772"/>
      <c r="F2772"/>
      <c r="G2772" t="s">
        <v>5356</v>
      </c>
      <c r="H2772" t="s">
        <v>132</v>
      </c>
      <c r="I2772" t="s">
        <v>1</v>
      </c>
      <c r="J2772" t="s">
        <v>5298</v>
      </c>
      <c r="K2772" t="s">
        <v>51</v>
      </c>
      <c r="L2772" t="s">
        <v>1290</v>
      </c>
      <c r="M2772" t="s">
        <v>134</v>
      </c>
      <c r="N2772" t="s">
        <v>135</v>
      </c>
      <c r="O2772"/>
      <c r="P2772"/>
      <c r="Q2772" t="s">
        <v>168</v>
      </c>
      <c r="R2772"/>
      <c r="S2772" t="s">
        <v>168</v>
      </c>
      <c r="T2772"/>
      <c r="U2772" t="s">
        <v>137</v>
      </c>
      <c r="V2772" t="s">
        <v>1291</v>
      </c>
      <c r="W2772" s="9">
        <v>46184.221688229169</v>
      </c>
      <c r="X2772" t="s">
        <v>98</v>
      </c>
      <c r="Y2772"/>
      <c r="Z2772"/>
      <c r="AA2772" t="s">
        <v>292</v>
      </c>
      <c r="AB2772" t="s">
        <v>1</v>
      </c>
      <c r="AC2772" t="s">
        <v>24</v>
      </c>
      <c r="AD2772" t="s">
        <v>129</v>
      </c>
      <c r="AE2772" s="97"/>
    </row>
    <row r="2773" spans="1:31" ht="14.4" customHeight="1" x14ac:dyDescent="0.3">
      <c r="A2773" t="s">
        <v>6662</v>
      </c>
      <c r="B2773" t="s">
        <v>6628</v>
      </c>
      <c r="C2773"/>
      <c r="D2773"/>
      <c r="E2773"/>
      <c r="F2773"/>
      <c r="G2773" t="s">
        <v>5356</v>
      </c>
      <c r="H2773" t="s">
        <v>132</v>
      </c>
      <c r="I2773" t="s">
        <v>1</v>
      </c>
      <c r="J2773" t="s">
        <v>5298</v>
      </c>
      <c r="K2773" t="s">
        <v>51</v>
      </c>
      <c r="L2773" t="s">
        <v>1294</v>
      </c>
      <c r="M2773" t="s">
        <v>134</v>
      </c>
      <c r="N2773" t="s">
        <v>135</v>
      </c>
      <c r="O2773"/>
      <c r="P2773"/>
      <c r="Q2773" t="s">
        <v>168</v>
      </c>
      <c r="R2773"/>
      <c r="S2773" t="s">
        <v>168</v>
      </c>
      <c r="T2773"/>
      <c r="U2773" t="s">
        <v>137</v>
      </c>
      <c r="V2773" t="s">
        <v>1295</v>
      </c>
      <c r="W2773"/>
      <c r="X2773" t="s">
        <v>107</v>
      </c>
      <c r="Y2773"/>
      <c r="Z2773"/>
      <c r="AA2773" t="s">
        <v>292</v>
      </c>
      <c r="AB2773" t="s">
        <v>1</v>
      </c>
      <c r="AC2773" t="s">
        <v>138</v>
      </c>
      <c r="AD2773" t="s">
        <v>129</v>
      </c>
      <c r="AE2773" s="97"/>
    </row>
    <row r="2774" spans="1:31" ht="14.4" customHeight="1" x14ac:dyDescent="0.3">
      <c r="A2774" t="s">
        <v>6663</v>
      </c>
      <c r="B2774" t="s">
        <v>6630</v>
      </c>
      <c r="C2774"/>
      <c r="D2774"/>
      <c r="E2774"/>
      <c r="F2774"/>
      <c r="G2774" t="s">
        <v>5356</v>
      </c>
      <c r="H2774" t="s">
        <v>132</v>
      </c>
      <c r="I2774" t="s">
        <v>1</v>
      </c>
      <c r="J2774" t="s">
        <v>5298</v>
      </c>
      <c r="K2774" t="s">
        <v>51</v>
      </c>
      <c r="L2774" t="s">
        <v>1294</v>
      </c>
      <c r="M2774" t="s">
        <v>134</v>
      </c>
      <c r="N2774" t="s">
        <v>135</v>
      </c>
      <c r="O2774"/>
      <c r="P2774"/>
      <c r="Q2774" t="s">
        <v>168</v>
      </c>
      <c r="R2774"/>
      <c r="S2774" t="s">
        <v>168</v>
      </c>
      <c r="T2774"/>
      <c r="U2774" t="s">
        <v>137</v>
      </c>
      <c r="V2774" t="s">
        <v>1295</v>
      </c>
      <c r="W2774"/>
      <c r="X2774" t="s">
        <v>107</v>
      </c>
      <c r="Y2774"/>
      <c r="Z2774"/>
      <c r="AA2774" t="s">
        <v>292</v>
      </c>
      <c r="AB2774" t="s">
        <v>1</v>
      </c>
      <c r="AC2774" t="s">
        <v>138</v>
      </c>
      <c r="AD2774" t="s">
        <v>129</v>
      </c>
      <c r="AE2774" s="97"/>
    </row>
    <row r="2775" spans="1:31" ht="14.4" customHeight="1" x14ac:dyDescent="0.3">
      <c r="A2775" t="s">
        <v>6664</v>
      </c>
      <c r="B2775" t="s">
        <v>6632</v>
      </c>
      <c r="C2775"/>
      <c r="D2775"/>
      <c r="E2775"/>
      <c r="F2775"/>
      <c r="G2775" t="s">
        <v>5356</v>
      </c>
      <c r="H2775" t="s">
        <v>132</v>
      </c>
      <c r="I2775" t="s">
        <v>1</v>
      </c>
      <c r="J2775" t="s">
        <v>5298</v>
      </c>
      <c r="K2775" t="s">
        <v>51</v>
      </c>
      <c r="L2775" t="s">
        <v>1298</v>
      </c>
      <c r="M2775" t="s">
        <v>134</v>
      </c>
      <c r="N2775" t="s">
        <v>135</v>
      </c>
      <c r="O2775"/>
      <c r="P2775"/>
      <c r="Q2775" t="s">
        <v>168</v>
      </c>
      <c r="R2775"/>
      <c r="S2775" t="s">
        <v>168</v>
      </c>
      <c r="T2775"/>
      <c r="U2775" t="s">
        <v>137</v>
      </c>
      <c r="V2775" t="s">
        <v>1299</v>
      </c>
      <c r="W2775"/>
      <c r="X2775" t="s">
        <v>114</v>
      </c>
      <c r="Y2775"/>
      <c r="Z2775"/>
      <c r="AA2775" t="s">
        <v>292</v>
      </c>
      <c r="AB2775" t="s">
        <v>1</v>
      </c>
      <c r="AC2775" t="s">
        <v>138</v>
      </c>
      <c r="AD2775" t="s">
        <v>129</v>
      </c>
      <c r="AE2775" s="97"/>
    </row>
    <row r="2776" spans="1:31" ht="14.4" customHeight="1" x14ac:dyDescent="0.3">
      <c r="A2776" t="s">
        <v>6665</v>
      </c>
      <c r="B2776" t="s">
        <v>6634</v>
      </c>
      <c r="C2776"/>
      <c r="D2776"/>
      <c r="E2776"/>
      <c r="F2776"/>
      <c r="G2776" t="s">
        <v>5356</v>
      </c>
      <c r="H2776" t="s">
        <v>132</v>
      </c>
      <c r="I2776" t="s">
        <v>1</v>
      </c>
      <c r="J2776" t="s">
        <v>5298</v>
      </c>
      <c r="K2776" t="s">
        <v>51</v>
      </c>
      <c r="L2776" t="s">
        <v>1298</v>
      </c>
      <c r="M2776" t="s">
        <v>134</v>
      </c>
      <c r="N2776" t="s">
        <v>135</v>
      </c>
      <c r="O2776"/>
      <c r="P2776"/>
      <c r="Q2776" t="s">
        <v>168</v>
      </c>
      <c r="R2776"/>
      <c r="S2776" t="s">
        <v>168</v>
      </c>
      <c r="T2776"/>
      <c r="U2776" t="s">
        <v>137</v>
      </c>
      <c r="V2776" t="s">
        <v>1299</v>
      </c>
      <c r="W2776"/>
      <c r="X2776" t="s">
        <v>114</v>
      </c>
      <c r="Y2776"/>
      <c r="Z2776"/>
      <c r="AA2776" t="s">
        <v>292</v>
      </c>
      <c r="AB2776" t="s">
        <v>1</v>
      </c>
      <c r="AC2776" t="s">
        <v>138</v>
      </c>
      <c r="AD2776" t="s">
        <v>129</v>
      </c>
      <c r="AE2776" s="97"/>
    </row>
    <row r="2777" spans="1:31" ht="14.4" customHeight="1" x14ac:dyDescent="0.3">
      <c r="A2777" t="s">
        <v>6666</v>
      </c>
      <c r="B2777" t="s">
        <v>6636</v>
      </c>
      <c r="C2777"/>
      <c r="D2777"/>
      <c r="E2777"/>
      <c r="F2777"/>
      <c r="G2777" t="s">
        <v>5356</v>
      </c>
      <c r="H2777" t="s">
        <v>132</v>
      </c>
      <c r="I2777" t="s">
        <v>1</v>
      </c>
      <c r="J2777" t="s">
        <v>5298</v>
      </c>
      <c r="K2777" t="s">
        <v>51</v>
      </c>
      <c r="L2777" t="s">
        <v>1302</v>
      </c>
      <c r="M2777" t="s">
        <v>134</v>
      </c>
      <c r="N2777" t="s">
        <v>135</v>
      </c>
      <c r="O2777"/>
      <c r="P2777"/>
      <c r="Q2777" t="s">
        <v>168</v>
      </c>
      <c r="R2777"/>
      <c r="S2777" t="s">
        <v>168</v>
      </c>
      <c r="T2777"/>
      <c r="U2777" t="s">
        <v>137</v>
      </c>
      <c r="V2777" t="s">
        <v>1303</v>
      </c>
      <c r="W2777"/>
      <c r="X2777" t="s">
        <v>123</v>
      </c>
      <c r="Y2777"/>
      <c r="Z2777"/>
      <c r="AA2777" t="s">
        <v>292</v>
      </c>
      <c r="AB2777" t="s">
        <v>1</v>
      </c>
      <c r="AC2777" t="s">
        <v>3732</v>
      </c>
      <c r="AD2777" t="s">
        <v>130</v>
      </c>
      <c r="AE2777" s="97"/>
    </row>
    <row r="2778" spans="1:31" ht="14.4" customHeight="1" x14ac:dyDescent="0.3">
      <c r="A2778" t="s">
        <v>6667</v>
      </c>
      <c r="B2778" t="s">
        <v>6638</v>
      </c>
      <c r="C2778"/>
      <c r="D2778"/>
      <c r="E2778"/>
      <c r="F2778"/>
      <c r="G2778" t="s">
        <v>5356</v>
      </c>
      <c r="H2778" t="s">
        <v>132</v>
      </c>
      <c r="I2778" t="s">
        <v>1</v>
      </c>
      <c r="J2778" t="s">
        <v>5298</v>
      </c>
      <c r="K2778" t="s">
        <v>51</v>
      </c>
      <c r="L2778" t="s">
        <v>1302</v>
      </c>
      <c r="M2778" t="s">
        <v>134</v>
      </c>
      <c r="N2778" t="s">
        <v>135</v>
      </c>
      <c r="O2778"/>
      <c r="P2778"/>
      <c r="Q2778" t="s">
        <v>168</v>
      </c>
      <c r="R2778"/>
      <c r="S2778" t="s">
        <v>168</v>
      </c>
      <c r="T2778"/>
      <c r="U2778" t="s">
        <v>137</v>
      </c>
      <c r="V2778" t="s">
        <v>1303</v>
      </c>
      <c r="W2778"/>
      <c r="X2778" t="s">
        <v>123</v>
      </c>
      <c r="Y2778"/>
      <c r="Z2778"/>
      <c r="AA2778" t="s">
        <v>292</v>
      </c>
      <c r="AB2778" t="s">
        <v>1</v>
      </c>
      <c r="AC2778" t="s">
        <v>138</v>
      </c>
      <c r="AD2778" t="s">
        <v>130</v>
      </c>
      <c r="AE2778" s="97"/>
    </row>
    <row r="2779" spans="1:31" ht="14.4" customHeight="1" x14ac:dyDescent="0.3">
      <c r="A2779" t="s">
        <v>6668</v>
      </c>
      <c r="B2779" t="s">
        <v>6640</v>
      </c>
      <c r="C2779"/>
      <c r="D2779"/>
      <c r="E2779"/>
      <c r="F2779"/>
      <c r="G2779" t="s">
        <v>5356</v>
      </c>
      <c r="H2779" t="s">
        <v>132</v>
      </c>
      <c r="I2779" t="s">
        <v>1</v>
      </c>
      <c r="J2779" t="s">
        <v>5298</v>
      </c>
      <c r="K2779" t="s">
        <v>51</v>
      </c>
      <c r="L2779" t="s">
        <v>6641</v>
      </c>
      <c r="M2779" t="s">
        <v>134</v>
      </c>
      <c r="N2779" t="s">
        <v>135</v>
      </c>
      <c r="O2779"/>
      <c r="P2779"/>
      <c r="Q2779" t="s">
        <v>168</v>
      </c>
      <c r="R2779"/>
      <c r="S2779" t="s">
        <v>168</v>
      </c>
      <c r="T2779"/>
      <c r="U2779" t="s">
        <v>137</v>
      </c>
      <c r="V2779" t="s">
        <v>324</v>
      </c>
      <c r="W2779"/>
      <c r="X2779" t="s">
        <v>60</v>
      </c>
      <c r="Y2779"/>
      <c r="Z2779"/>
      <c r="AA2779" t="s">
        <v>292</v>
      </c>
      <c r="AB2779" t="s">
        <v>1</v>
      </c>
      <c r="AC2779" t="s">
        <v>138</v>
      </c>
      <c r="AD2779" t="s">
        <v>128</v>
      </c>
      <c r="AE2779" s="97"/>
    </row>
    <row r="2780" spans="1:31" ht="14.4" customHeight="1" x14ac:dyDescent="0.3">
      <c r="A2780" t="s">
        <v>6669</v>
      </c>
      <c r="B2780" t="s">
        <v>6643</v>
      </c>
      <c r="C2780"/>
      <c r="D2780"/>
      <c r="E2780"/>
      <c r="F2780"/>
      <c r="G2780" t="s">
        <v>5356</v>
      </c>
      <c r="H2780" t="s">
        <v>132</v>
      </c>
      <c r="I2780" t="s">
        <v>1</v>
      </c>
      <c r="J2780" t="s">
        <v>5298</v>
      </c>
      <c r="K2780" t="s">
        <v>51</v>
      </c>
      <c r="L2780" t="s">
        <v>6644</v>
      </c>
      <c r="M2780" t="s">
        <v>134</v>
      </c>
      <c r="N2780" t="s">
        <v>135</v>
      </c>
      <c r="O2780"/>
      <c r="P2780"/>
      <c r="Q2780" t="s">
        <v>168</v>
      </c>
      <c r="R2780"/>
      <c r="S2780" t="s">
        <v>168</v>
      </c>
      <c r="T2780"/>
      <c r="U2780" t="s">
        <v>137</v>
      </c>
      <c r="V2780" t="s">
        <v>332</v>
      </c>
      <c r="W2780"/>
      <c r="X2780" t="s">
        <v>80</v>
      </c>
      <c r="Y2780"/>
      <c r="Z2780"/>
      <c r="AA2780" t="s">
        <v>292</v>
      </c>
      <c r="AB2780" t="s">
        <v>1</v>
      </c>
      <c r="AC2780" t="s">
        <v>138</v>
      </c>
      <c r="AD2780" t="s">
        <v>129</v>
      </c>
      <c r="AE2780" s="97"/>
    </row>
    <row r="2781" spans="1:31" ht="14.4" customHeight="1" x14ac:dyDescent="0.3">
      <c r="A2781" t="s">
        <v>6670</v>
      </c>
      <c r="B2781" t="s">
        <v>6646</v>
      </c>
      <c r="C2781"/>
      <c r="D2781"/>
      <c r="E2781"/>
      <c r="F2781"/>
      <c r="G2781" t="s">
        <v>5356</v>
      </c>
      <c r="H2781" t="s">
        <v>132</v>
      </c>
      <c r="I2781" t="s">
        <v>1</v>
      </c>
      <c r="J2781" t="s">
        <v>5298</v>
      </c>
      <c r="K2781" t="s">
        <v>51</v>
      </c>
      <c r="L2781" t="s">
        <v>6647</v>
      </c>
      <c r="M2781" t="s">
        <v>134</v>
      </c>
      <c r="N2781" t="s">
        <v>135</v>
      </c>
      <c r="O2781"/>
      <c r="P2781"/>
      <c r="Q2781" t="s">
        <v>168</v>
      </c>
      <c r="R2781"/>
      <c r="S2781" t="s">
        <v>168</v>
      </c>
      <c r="T2781"/>
      <c r="U2781" t="s">
        <v>137</v>
      </c>
      <c r="V2781" t="s">
        <v>340</v>
      </c>
      <c r="W2781"/>
      <c r="X2781" t="s">
        <v>93</v>
      </c>
      <c r="Y2781"/>
      <c r="Z2781"/>
      <c r="AA2781" t="s">
        <v>292</v>
      </c>
      <c r="AB2781" t="s">
        <v>1</v>
      </c>
      <c r="AC2781" t="s">
        <v>138</v>
      </c>
      <c r="AD2781" t="s">
        <v>129</v>
      </c>
      <c r="AE2781" s="97"/>
    </row>
    <row r="2782" spans="1:31" ht="14.4" customHeight="1" x14ac:dyDescent="0.3">
      <c r="A2782" t="s">
        <v>6671</v>
      </c>
      <c r="B2782" t="s">
        <v>6649</v>
      </c>
      <c r="C2782"/>
      <c r="D2782"/>
      <c r="E2782"/>
      <c r="F2782"/>
      <c r="G2782" t="s">
        <v>5356</v>
      </c>
      <c r="H2782" t="s">
        <v>132</v>
      </c>
      <c r="I2782" t="s">
        <v>1</v>
      </c>
      <c r="J2782" t="s">
        <v>5298</v>
      </c>
      <c r="K2782" t="s">
        <v>51</v>
      </c>
      <c r="L2782" t="s">
        <v>6650</v>
      </c>
      <c r="M2782" t="s">
        <v>134</v>
      </c>
      <c r="N2782" t="s">
        <v>135</v>
      </c>
      <c r="O2782"/>
      <c r="P2782"/>
      <c r="Q2782" t="s">
        <v>168</v>
      </c>
      <c r="R2782"/>
      <c r="S2782" t="s">
        <v>168</v>
      </c>
      <c r="T2782"/>
      <c r="U2782" t="s">
        <v>137</v>
      </c>
      <c r="V2782" t="s">
        <v>348</v>
      </c>
      <c r="W2782"/>
      <c r="X2782" t="s">
        <v>116</v>
      </c>
      <c r="Y2782"/>
      <c r="Z2782"/>
      <c r="AA2782" t="s">
        <v>292</v>
      </c>
      <c r="AB2782" t="s">
        <v>1</v>
      </c>
      <c r="AC2782" t="s">
        <v>138</v>
      </c>
      <c r="AD2782" t="s">
        <v>130</v>
      </c>
      <c r="AE2782" s="97"/>
    </row>
    <row r="2783" spans="1:31" ht="14.4" customHeight="1" x14ac:dyDescent="0.3">
      <c r="A2783" t="s">
        <v>5373</v>
      </c>
      <c r="B2783" t="s">
        <v>356</v>
      </c>
      <c r="C2783"/>
      <c r="D2783"/>
      <c r="E2783"/>
      <c r="F2783"/>
      <c r="G2783" t="s">
        <v>5356</v>
      </c>
      <c r="H2783" t="s">
        <v>132</v>
      </c>
      <c r="I2783" t="s">
        <v>1</v>
      </c>
      <c r="J2783" t="s">
        <v>5298</v>
      </c>
      <c r="K2783" t="s">
        <v>51</v>
      </c>
      <c r="L2783" t="s">
        <v>357</v>
      </c>
      <c r="M2783" t="s">
        <v>134</v>
      </c>
      <c r="N2783" t="s">
        <v>135</v>
      </c>
      <c r="O2783"/>
      <c r="P2783"/>
      <c r="Q2783" t="s">
        <v>168</v>
      </c>
      <c r="R2783"/>
      <c r="S2783"/>
      <c r="T2783" t="s">
        <v>169</v>
      </c>
      <c r="U2783" t="s">
        <v>137</v>
      </c>
      <c r="V2783" t="s">
        <v>358</v>
      </c>
      <c r="W2783"/>
      <c r="X2783" t="s">
        <v>124</v>
      </c>
      <c r="Y2783"/>
      <c r="Z2783"/>
      <c r="AA2783" t="s">
        <v>292</v>
      </c>
      <c r="AB2783" t="s">
        <v>1</v>
      </c>
      <c r="AC2783" t="s">
        <v>138</v>
      </c>
      <c r="AD2783" t="s">
        <v>130</v>
      </c>
      <c r="AE2783" s="97"/>
    </row>
    <row r="2784" spans="1:31" ht="14.4" customHeight="1" x14ac:dyDescent="0.3">
      <c r="A2784" t="s">
        <v>5374</v>
      </c>
      <c r="B2784" t="s">
        <v>360</v>
      </c>
      <c r="C2784"/>
      <c r="D2784"/>
      <c r="E2784"/>
      <c r="F2784"/>
      <c r="G2784" t="s">
        <v>5356</v>
      </c>
      <c r="H2784" t="s">
        <v>132</v>
      </c>
      <c r="I2784" t="s">
        <v>1</v>
      </c>
      <c r="J2784" t="s">
        <v>5298</v>
      </c>
      <c r="K2784" t="s">
        <v>51</v>
      </c>
      <c r="L2784" t="s">
        <v>361</v>
      </c>
      <c r="M2784" t="s">
        <v>134</v>
      </c>
      <c r="N2784" t="s">
        <v>135</v>
      </c>
      <c r="O2784"/>
      <c r="P2784"/>
      <c r="Q2784" t="s">
        <v>168</v>
      </c>
      <c r="R2784"/>
      <c r="S2784"/>
      <c r="T2784" t="s">
        <v>169</v>
      </c>
      <c r="U2784" t="s">
        <v>137</v>
      </c>
      <c r="V2784" t="s">
        <v>362</v>
      </c>
      <c r="W2784" s="9">
        <v>46200.393459224535</v>
      </c>
      <c r="X2784" t="s">
        <v>58</v>
      </c>
      <c r="Y2784"/>
      <c r="Z2784"/>
      <c r="AA2784" t="s">
        <v>292</v>
      </c>
      <c r="AB2784" t="s">
        <v>1</v>
      </c>
      <c r="AC2784" t="s">
        <v>24</v>
      </c>
      <c r="AD2784" t="s">
        <v>128</v>
      </c>
      <c r="AE2784" s="97"/>
    </row>
    <row r="2785" spans="1:31" ht="14.4" customHeight="1" x14ac:dyDescent="0.3">
      <c r="A2785" t="s">
        <v>5375</v>
      </c>
      <c r="B2785" t="s">
        <v>364</v>
      </c>
      <c r="C2785"/>
      <c r="D2785"/>
      <c r="E2785"/>
      <c r="F2785"/>
      <c r="G2785" t="s">
        <v>5356</v>
      </c>
      <c r="H2785" t="s">
        <v>132</v>
      </c>
      <c r="I2785" t="s">
        <v>1</v>
      </c>
      <c r="J2785" t="s">
        <v>5298</v>
      </c>
      <c r="K2785" t="s">
        <v>51</v>
      </c>
      <c r="L2785" t="s">
        <v>361</v>
      </c>
      <c r="M2785" t="s">
        <v>134</v>
      </c>
      <c r="N2785" t="s">
        <v>135</v>
      </c>
      <c r="O2785"/>
      <c r="P2785"/>
      <c r="Q2785" t="s">
        <v>168</v>
      </c>
      <c r="R2785"/>
      <c r="S2785"/>
      <c r="T2785" t="s">
        <v>169</v>
      </c>
      <c r="U2785" t="s">
        <v>137</v>
      </c>
      <c r="V2785" t="s">
        <v>362</v>
      </c>
      <c r="W2785" s="9">
        <v>46200.39427769676</v>
      </c>
      <c r="X2785" t="s">
        <v>58</v>
      </c>
      <c r="Y2785"/>
      <c r="Z2785"/>
      <c r="AA2785" t="s">
        <v>292</v>
      </c>
      <c r="AB2785" t="s">
        <v>1</v>
      </c>
      <c r="AC2785" t="s">
        <v>24</v>
      </c>
      <c r="AD2785" t="s">
        <v>128</v>
      </c>
      <c r="AE2785" s="97"/>
    </row>
    <row r="2786" spans="1:31" ht="14.4" customHeight="1" x14ac:dyDescent="0.3">
      <c r="A2786" t="s">
        <v>5376</v>
      </c>
      <c r="B2786" t="s">
        <v>366</v>
      </c>
      <c r="C2786"/>
      <c r="D2786"/>
      <c r="E2786"/>
      <c r="F2786"/>
      <c r="G2786" t="s">
        <v>5356</v>
      </c>
      <c r="H2786" t="s">
        <v>132</v>
      </c>
      <c r="I2786" t="s">
        <v>1</v>
      </c>
      <c r="J2786" t="s">
        <v>5298</v>
      </c>
      <c r="K2786" t="s">
        <v>51</v>
      </c>
      <c r="L2786" t="s">
        <v>367</v>
      </c>
      <c r="M2786" t="s">
        <v>134</v>
      </c>
      <c r="N2786" t="s">
        <v>135</v>
      </c>
      <c r="O2786"/>
      <c r="P2786"/>
      <c r="Q2786" t="s">
        <v>168</v>
      </c>
      <c r="R2786"/>
      <c r="S2786"/>
      <c r="T2786" t="s">
        <v>169</v>
      </c>
      <c r="U2786" t="s">
        <v>137</v>
      </c>
      <c r="V2786" t="s">
        <v>362</v>
      </c>
      <c r="W2786" s="9">
        <v>46200.363906979168</v>
      </c>
      <c r="X2786" t="s">
        <v>58</v>
      </c>
      <c r="Y2786"/>
      <c r="Z2786"/>
      <c r="AA2786" t="s">
        <v>292</v>
      </c>
      <c r="AB2786" t="s">
        <v>1</v>
      </c>
      <c r="AC2786" t="s">
        <v>24</v>
      </c>
      <c r="AD2786" t="s">
        <v>128</v>
      </c>
      <c r="AE2786" s="97"/>
    </row>
    <row r="2787" spans="1:31" ht="14.4" customHeight="1" x14ac:dyDescent="0.3">
      <c r="A2787" t="s">
        <v>5377</v>
      </c>
      <c r="B2787" t="s">
        <v>369</v>
      </c>
      <c r="C2787"/>
      <c r="D2787"/>
      <c r="E2787"/>
      <c r="F2787"/>
      <c r="G2787" t="s">
        <v>5356</v>
      </c>
      <c r="H2787" t="s">
        <v>132</v>
      </c>
      <c r="I2787" t="s">
        <v>1</v>
      </c>
      <c r="J2787" t="s">
        <v>5298</v>
      </c>
      <c r="K2787" t="s">
        <v>51</v>
      </c>
      <c r="L2787" t="s">
        <v>370</v>
      </c>
      <c r="M2787" t="s">
        <v>134</v>
      </c>
      <c r="N2787" t="s">
        <v>135</v>
      </c>
      <c r="O2787"/>
      <c r="P2787"/>
      <c r="Q2787" t="s">
        <v>168</v>
      </c>
      <c r="R2787"/>
      <c r="S2787"/>
      <c r="T2787" t="s">
        <v>169</v>
      </c>
      <c r="U2787" t="s">
        <v>137</v>
      </c>
      <c r="V2787" t="s">
        <v>371</v>
      </c>
      <c r="W2787" s="9">
        <v>46200.370302627314</v>
      </c>
      <c r="X2787" t="s">
        <v>57</v>
      </c>
      <c r="Y2787"/>
      <c r="Z2787"/>
      <c r="AA2787" t="s">
        <v>292</v>
      </c>
      <c r="AB2787" t="s">
        <v>1</v>
      </c>
      <c r="AC2787" t="s">
        <v>24</v>
      </c>
      <c r="AD2787" t="s">
        <v>128</v>
      </c>
      <c r="AE2787" s="97"/>
    </row>
    <row r="2788" spans="1:31" ht="14.4" customHeight="1" x14ac:dyDescent="0.3">
      <c r="A2788" t="s">
        <v>5378</v>
      </c>
      <c r="B2788" t="s">
        <v>373</v>
      </c>
      <c r="C2788"/>
      <c r="D2788"/>
      <c r="E2788"/>
      <c r="F2788"/>
      <c r="G2788" t="s">
        <v>5356</v>
      </c>
      <c r="H2788" t="s">
        <v>132</v>
      </c>
      <c r="I2788" t="s">
        <v>1</v>
      </c>
      <c r="J2788" t="s">
        <v>5298</v>
      </c>
      <c r="K2788" t="s">
        <v>51</v>
      </c>
      <c r="L2788" t="s">
        <v>370</v>
      </c>
      <c r="M2788" t="s">
        <v>134</v>
      </c>
      <c r="N2788" t="s">
        <v>135</v>
      </c>
      <c r="O2788"/>
      <c r="P2788"/>
      <c r="Q2788" t="s">
        <v>168</v>
      </c>
      <c r="R2788"/>
      <c r="S2788"/>
      <c r="T2788" t="s">
        <v>169</v>
      </c>
      <c r="U2788" t="s">
        <v>137</v>
      </c>
      <c r="V2788" t="s">
        <v>371</v>
      </c>
      <c r="W2788" s="9">
        <v>46200.371430358799</v>
      </c>
      <c r="X2788" t="s">
        <v>57</v>
      </c>
      <c r="Y2788"/>
      <c r="Z2788"/>
      <c r="AA2788" t="s">
        <v>292</v>
      </c>
      <c r="AB2788" t="s">
        <v>1</v>
      </c>
      <c r="AC2788" t="s">
        <v>24</v>
      </c>
      <c r="AD2788" t="s">
        <v>128</v>
      </c>
      <c r="AE2788" s="97"/>
    </row>
    <row r="2789" spans="1:31" ht="14.4" customHeight="1" x14ac:dyDescent="0.3">
      <c r="A2789" t="s">
        <v>5379</v>
      </c>
      <c r="B2789" t="s">
        <v>375</v>
      </c>
      <c r="C2789"/>
      <c r="D2789"/>
      <c r="E2789"/>
      <c r="F2789"/>
      <c r="G2789" t="s">
        <v>5356</v>
      </c>
      <c r="H2789" t="s">
        <v>132</v>
      </c>
      <c r="I2789" t="s">
        <v>1</v>
      </c>
      <c r="J2789" t="s">
        <v>5298</v>
      </c>
      <c r="K2789" t="s">
        <v>51</v>
      </c>
      <c r="L2789" t="s">
        <v>370</v>
      </c>
      <c r="M2789" t="s">
        <v>134</v>
      </c>
      <c r="N2789" t="s">
        <v>135</v>
      </c>
      <c r="O2789"/>
      <c r="P2789"/>
      <c r="Q2789" t="s">
        <v>168</v>
      </c>
      <c r="R2789"/>
      <c r="S2789"/>
      <c r="T2789" t="s">
        <v>169</v>
      </c>
      <c r="U2789" t="s">
        <v>137</v>
      </c>
      <c r="V2789" t="s">
        <v>371</v>
      </c>
      <c r="W2789" s="9">
        <v>46200.395088043981</v>
      </c>
      <c r="X2789" t="s">
        <v>57</v>
      </c>
      <c r="Y2789"/>
      <c r="Z2789"/>
      <c r="AA2789" t="s">
        <v>292</v>
      </c>
      <c r="AB2789" t="s">
        <v>1</v>
      </c>
      <c r="AC2789" t="s">
        <v>24</v>
      </c>
      <c r="AD2789" t="s">
        <v>128</v>
      </c>
      <c r="AE2789" s="97"/>
    </row>
    <row r="2790" spans="1:31" ht="14.4" customHeight="1" x14ac:dyDescent="0.3">
      <c r="A2790" t="s">
        <v>5380</v>
      </c>
      <c r="B2790" t="s">
        <v>377</v>
      </c>
      <c r="C2790"/>
      <c r="D2790"/>
      <c r="E2790"/>
      <c r="F2790"/>
      <c r="G2790" t="s">
        <v>5356</v>
      </c>
      <c r="H2790" t="s">
        <v>132</v>
      </c>
      <c r="I2790" t="s">
        <v>1</v>
      </c>
      <c r="J2790" t="s">
        <v>5298</v>
      </c>
      <c r="K2790" t="s">
        <v>51</v>
      </c>
      <c r="L2790" t="s">
        <v>378</v>
      </c>
      <c r="M2790" t="s">
        <v>134</v>
      </c>
      <c r="N2790" t="s">
        <v>135</v>
      </c>
      <c r="O2790"/>
      <c r="P2790"/>
      <c r="Q2790" t="s">
        <v>168</v>
      </c>
      <c r="R2790"/>
      <c r="S2790"/>
      <c r="T2790" t="s">
        <v>169</v>
      </c>
      <c r="U2790" t="s">
        <v>137</v>
      </c>
      <c r="V2790" t="s">
        <v>371</v>
      </c>
      <c r="W2790" s="9">
        <v>46200.36918159722</v>
      </c>
      <c r="X2790" t="s">
        <v>57</v>
      </c>
      <c r="Y2790"/>
      <c r="Z2790"/>
      <c r="AA2790" t="s">
        <v>292</v>
      </c>
      <c r="AB2790" t="s">
        <v>1</v>
      </c>
      <c r="AC2790" t="s">
        <v>24</v>
      </c>
      <c r="AD2790" t="s">
        <v>128</v>
      </c>
      <c r="AE2790" s="97"/>
    </row>
    <row r="2791" spans="1:31" ht="14.4" customHeight="1" x14ac:dyDescent="0.3">
      <c r="A2791" t="s">
        <v>5381</v>
      </c>
      <c r="B2791" t="s">
        <v>380</v>
      </c>
      <c r="C2791"/>
      <c r="D2791"/>
      <c r="E2791"/>
      <c r="F2791"/>
      <c r="G2791" t="s">
        <v>5356</v>
      </c>
      <c r="H2791" t="s">
        <v>132</v>
      </c>
      <c r="I2791" t="s">
        <v>1</v>
      </c>
      <c r="J2791" t="s">
        <v>5298</v>
      </c>
      <c r="K2791" t="s">
        <v>51</v>
      </c>
      <c r="L2791" t="s">
        <v>381</v>
      </c>
      <c r="M2791" t="s">
        <v>134</v>
      </c>
      <c r="N2791" t="s">
        <v>135</v>
      </c>
      <c r="O2791"/>
      <c r="P2791"/>
      <c r="Q2791" t="s">
        <v>168</v>
      </c>
      <c r="R2791"/>
      <c r="S2791"/>
      <c r="T2791" t="s">
        <v>169</v>
      </c>
      <c r="U2791" t="s">
        <v>137</v>
      </c>
      <c r="V2791" t="s">
        <v>147</v>
      </c>
      <c r="W2791" s="9">
        <v>46192.195247025462</v>
      </c>
      <c r="X2791" t="s">
        <v>70</v>
      </c>
      <c r="Y2791"/>
      <c r="Z2791"/>
      <c r="AA2791" t="s">
        <v>292</v>
      </c>
      <c r="AB2791" t="s">
        <v>1</v>
      </c>
      <c r="AC2791" t="s">
        <v>24</v>
      </c>
      <c r="AD2791" t="s">
        <v>128</v>
      </c>
      <c r="AE2791" s="97"/>
    </row>
    <row r="2792" spans="1:31" ht="14.4" customHeight="1" x14ac:dyDescent="0.3">
      <c r="A2792" t="s">
        <v>5382</v>
      </c>
      <c r="B2792" t="s">
        <v>383</v>
      </c>
      <c r="C2792"/>
      <c r="D2792"/>
      <c r="E2792"/>
      <c r="F2792"/>
      <c r="G2792" t="s">
        <v>5356</v>
      </c>
      <c r="H2792" t="s">
        <v>132</v>
      </c>
      <c r="I2792" t="s">
        <v>1</v>
      </c>
      <c r="J2792" t="s">
        <v>5298</v>
      </c>
      <c r="K2792" t="s">
        <v>51</v>
      </c>
      <c r="L2792" t="s">
        <v>384</v>
      </c>
      <c r="M2792" t="s">
        <v>134</v>
      </c>
      <c r="N2792" t="s">
        <v>135</v>
      </c>
      <c r="O2792"/>
      <c r="P2792"/>
      <c r="Q2792" t="s">
        <v>168</v>
      </c>
      <c r="R2792"/>
      <c r="S2792"/>
      <c r="T2792" t="s">
        <v>169</v>
      </c>
      <c r="U2792" t="s">
        <v>137</v>
      </c>
      <c r="V2792" t="s">
        <v>150</v>
      </c>
      <c r="W2792" s="9">
        <v>46192.195537928237</v>
      </c>
      <c r="X2792" t="s">
        <v>76</v>
      </c>
      <c r="Y2792"/>
      <c r="Z2792"/>
      <c r="AA2792" t="s">
        <v>292</v>
      </c>
      <c r="AB2792" t="s">
        <v>1</v>
      </c>
      <c r="AC2792" t="s">
        <v>24</v>
      </c>
      <c r="AD2792" t="s">
        <v>128</v>
      </c>
      <c r="AE2792" s="97"/>
    </row>
    <row r="2793" spans="1:31" ht="14.4" customHeight="1" x14ac:dyDescent="0.3">
      <c r="A2793" t="s">
        <v>5383</v>
      </c>
      <c r="B2793" t="s">
        <v>386</v>
      </c>
      <c r="C2793"/>
      <c r="D2793"/>
      <c r="E2793"/>
      <c r="F2793"/>
      <c r="G2793" t="s">
        <v>5356</v>
      </c>
      <c r="H2793" t="s">
        <v>132</v>
      </c>
      <c r="I2793" t="s">
        <v>1</v>
      </c>
      <c r="J2793" t="s">
        <v>5298</v>
      </c>
      <c r="K2793" t="s">
        <v>51</v>
      </c>
      <c r="L2793" t="s">
        <v>387</v>
      </c>
      <c r="M2793" t="s">
        <v>134</v>
      </c>
      <c r="N2793" t="s">
        <v>135</v>
      </c>
      <c r="O2793"/>
      <c r="P2793"/>
      <c r="Q2793" t="s">
        <v>168</v>
      </c>
      <c r="R2793"/>
      <c r="S2793"/>
      <c r="T2793" t="s">
        <v>169</v>
      </c>
      <c r="U2793" t="s">
        <v>137</v>
      </c>
      <c r="V2793" t="s">
        <v>153</v>
      </c>
      <c r="W2793"/>
      <c r="X2793" t="s">
        <v>88</v>
      </c>
      <c r="Y2793"/>
      <c r="Z2793"/>
      <c r="AA2793" t="s">
        <v>292</v>
      </c>
      <c r="AB2793" t="s">
        <v>1</v>
      </c>
      <c r="AC2793" t="s">
        <v>138</v>
      </c>
      <c r="AD2793" t="s">
        <v>129</v>
      </c>
      <c r="AE2793" s="97"/>
    </row>
    <row r="2794" spans="1:31" ht="14.4" customHeight="1" x14ac:dyDescent="0.3">
      <c r="A2794" t="s">
        <v>5384</v>
      </c>
      <c r="B2794" t="s">
        <v>389</v>
      </c>
      <c r="C2794"/>
      <c r="D2794"/>
      <c r="E2794"/>
      <c r="F2794"/>
      <c r="G2794" t="s">
        <v>5356</v>
      </c>
      <c r="H2794" t="s">
        <v>132</v>
      </c>
      <c r="I2794" t="s">
        <v>1</v>
      </c>
      <c r="J2794" t="s">
        <v>5298</v>
      </c>
      <c r="K2794" t="s">
        <v>51</v>
      </c>
      <c r="L2794" t="s">
        <v>390</v>
      </c>
      <c r="M2794" t="s">
        <v>134</v>
      </c>
      <c r="N2794" t="s">
        <v>135</v>
      </c>
      <c r="O2794"/>
      <c r="P2794"/>
      <c r="Q2794" t="s">
        <v>168</v>
      </c>
      <c r="R2794"/>
      <c r="S2794"/>
      <c r="T2794" t="s">
        <v>169</v>
      </c>
      <c r="U2794" t="s">
        <v>137</v>
      </c>
      <c r="V2794" t="s">
        <v>156</v>
      </c>
      <c r="W2794"/>
      <c r="X2794" t="s">
        <v>97</v>
      </c>
      <c r="Y2794"/>
      <c r="Z2794"/>
      <c r="AA2794" t="s">
        <v>292</v>
      </c>
      <c r="AB2794" t="s">
        <v>1</v>
      </c>
      <c r="AC2794" t="s">
        <v>138</v>
      </c>
      <c r="AD2794" t="s">
        <v>129</v>
      </c>
      <c r="AE2794" s="97"/>
    </row>
    <row r="2795" spans="1:31" ht="14.4" customHeight="1" x14ac:dyDescent="0.3">
      <c r="A2795" t="s">
        <v>5385</v>
      </c>
      <c r="B2795" t="s">
        <v>392</v>
      </c>
      <c r="C2795"/>
      <c r="D2795"/>
      <c r="E2795"/>
      <c r="F2795"/>
      <c r="G2795" t="s">
        <v>5356</v>
      </c>
      <c r="H2795" t="s">
        <v>132</v>
      </c>
      <c r="I2795" t="s">
        <v>1</v>
      </c>
      <c r="J2795" t="s">
        <v>5298</v>
      </c>
      <c r="K2795" t="s">
        <v>51</v>
      </c>
      <c r="L2795" t="s">
        <v>393</v>
      </c>
      <c r="M2795" t="s">
        <v>134</v>
      </c>
      <c r="N2795" t="s">
        <v>135</v>
      </c>
      <c r="O2795"/>
      <c r="P2795"/>
      <c r="Q2795" t="s">
        <v>168</v>
      </c>
      <c r="R2795"/>
      <c r="S2795"/>
      <c r="T2795" t="s">
        <v>169</v>
      </c>
      <c r="U2795" t="s">
        <v>137</v>
      </c>
      <c r="V2795" t="s">
        <v>159</v>
      </c>
      <c r="W2795"/>
      <c r="X2795" t="s">
        <v>106</v>
      </c>
      <c r="Y2795"/>
      <c r="Z2795"/>
      <c r="AA2795" t="s">
        <v>292</v>
      </c>
      <c r="AB2795" t="s">
        <v>1</v>
      </c>
      <c r="AC2795" t="s">
        <v>138</v>
      </c>
      <c r="AD2795" t="s">
        <v>129</v>
      </c>
      <c r="AE2795" s="97"/>
    </row>
    <row r="2796" spans="1:31" ht="14.4" customHeight="1" x14ac:dyDescent="0.3">
      <c r="A2796" t="s">
        <v>5386</v>
      </c>
      <c r="B2796" t="s">
        <v>395</v>
      </c>
      <c r="C2796"/>
      <c r="D2796"/>
      <c r="E2796"/>
      <c r="F2796"/>
      <c r="G2796" t="s">
        <v>5356</v>
      </c>
      <c r="H2796" t="s">
        <v>132</v>
      </c>
      <c r="I2796" t="s">
        <v>1</v>
      </c>
      <c r="J2796" t="s">
        <v>5298</v>
      </c>
      <c r="K2796" t="s">
        <v>51</v>
      </c>
      <c r="L2796" t="s">
        <v>396</v>
      </c>
      <c r="M2796" t="s">
        <v>134</v>
      </c>
      <c r="N2796" t="s">
        <v>135</v>
      </c>
      <c r="O2796"/>
      <c r="P2796"/>
      <c r="Q2796" t="s">
        <v>168</v>
      </c>
      <c r="R2796"/>
      <c r="S2796"/>
      <c r="T2796" t="s">
        <v>169</v>
      </c>
      <c r="U2796" t="s">
        <v>137</v>
      </c>
      <c r="V2796" t="s">
        <v>162</v>
      </c>
      <c r="W2796"/>
      <c r="X2796" t="s">
        <v>113</v>
      </c>
      <c r="Y2796"/>
      <c r="Z2796"/>
      <c r="AA2796" t="s">
        <v>292</v>
      </c>
      <c r="AB2796" t="s">
        <v>1</v>
      </c>
      <c r="AC2796" t="s">
        <v>138</v>
      </c>
      <c r="AD2796" t="s">
        <v>129</v>
      </c>
      <c r="AE2796" s="97"/>
    </row>
    <row r="2797" spans="1:31" ht="14.4" customHeight="1" x14ac:dyDescent="0.3">
      <c r="A2797" t="s">
        <v>5387</v>
      </c>
      <c r="B2797" t="s">
        <v>398</v>
      </c>
      <c r="C2797"/>
      <c r="D2797"/>
      <c r="E2797"/>
      <c r="F2797"/>
      <c r="G2797" t="s">
        <v>5356</v>
      </c>
      <c r="H2797" t="s">
        <v>132</v>
      </c>
      <c r="I2797" t="s">
        <v>1</v>
      </c>
      <c r="J2797" t="s">
        <v>5298</v>
      </c>
      <c r="K2797" t="s">
        <v>51</v>
      </c>
      <c r="L2797" t="s">
        <v>399</v>
      </c>
      <c r="M2797" t="s">
        <v>134</v>
      </c>
      <c r="N2797" t="s">
        <v>135</v>
      </c>
      <c r="O2797"/>
      <c r="P2797"/>
      <c r="Q2797" t="s">
        <v>168</v>
      </c>
      <c r="R2797"/>
      <c r="S2797"/>
      <c r="T2797" t="s">
        <v>169</v>
      </c>
      <c r="U2797" t="s">
        <v>137</v>
      </c>
      <c r="V2797" t="s">
        <v>165</v>
      </c>
      <c r="W2797"/>
      <c r="X2797" t="s">
        <v>122</v>
      </c>
      <c r="Y2797"/>
      <c r="Z2797"/>
      <c r="AA2797" t="s">
        <v>292</v>
      </c>
      <c r="AB2797" t="s">
        <v>1</v>
      </c>
      <c r="AC2797" t="s">
        <v>138</v>
      </c>
      <c r="AD2797" t="s">
        <v>130</v>
      </c>
      <c r="AE2797" s="97"/>
    </row>
    <row r="2798" spans="1:31" ht="14.4" customHeight="1" x14ac:dyDescent="0.3">
      <c r="A2798" t="s">
        <v>5388</v>
      </c>
      <c r="B2798" t="s">
        <v>401</v>
      </c>
      <c r="C2798"/>
      <c r="D2798"/>
      <c r="E2798"/>
      <c r="F2798"/>
      <c r="G2798" t="s">
        <v>5356</v>
      </c>
      <c r="H2798" t="s">
        <v>132</v>
      </c>
      <c r="I2798" t="s">
        <v>1</v>
      </c>
      <c r="J2798" t="s">
        <v>5298</v>
      </c>
      <c r="K2798" t="s">
        <v>51</v>
      </c>
      <c r="L2798" t="s">
        <v>402</v>
      </c>
      <c r="M2798" t="s">
        <v>134</v>
      </c>
      <c r="N2798" t="s">
        <v>135</v>
      </c>
      <c r="O2798"/>
      <c r="P2798"/>
      <c r="Q2798" t="s">
        <v>168</v>
      </c>
      <c r="R2798"/>
      <c r="S2798"/>
      <c r="T2798" t="s">
        <v>169</v>
      </c>
      <c r="U2798" t="s">
        <v>137</v>
      </c>
      <c r="V2798" t="s">
        <v>403</v>
      </c>
      <c r="W2798"/>
      <c r="X2798" t="s">
        <v>68</v>
      </c>
      <c r="Y2798"/>
      <c r="Z2798"/>
      <c r="AA2798" t="s">
        <v>292</v>
      </c>
      <c r="AB2798" t="s">
        <v>1</v>
      </c>
      <c r="AC2798" t="s">
        <v>138</v>
      </c>
      <c r="AD2798" t="s">
        <v>128</v>
      </c>
      <c r="AE2798" s="97"/>
    </row>
    <row r="2799" spans="1:31" ht="14.4" customHeight="1" x14ac:dyDescent="0.3">
      <c r="A2799" t="s">
        <v>5389</v>
      </c>
      <c r="B2799" t="s">
        <v>405</v>
      </c>
      <c r="C2799"/>
      <c r="D2799"/>
      <c r="E2799"/>
      <c r="F2799"/>
      <c r="G2799" t="s">
        <v>5356</v>
      </c>
      <c r="H2799" t="s">
        <v>132</v>
      </c>
      <c r="I2799" t="s">
        <v>1</v>
      </c>
      <c r="J2799" t="s">
        <v>5298</v>
      </c>
      <c r="K2799" t="s">
        <v>51</v>
      </c>
      <c r="L2799" t="s">
        <v>406</v>
      </c>
      <c r="M2799" t="s">
        <v>134</v>
      </c>
      <c r="N2799" t="s">
        <v>135</v>
      </c>
      <c r="O2799"/>
      <c r="P2799"/>
      <c r="Q2799" t="s">
        <v>168</v>
      </c>
      <c r="R2799"/>
      <c r="S2799"/>
      <c r="T2799" t="s">
        <v>169</v>
      </c>
      <c r="U2799" t="s">
        <v>137</v>
      </c>
      <c r="V2799" t="s">
        <v>407</v>
      </c>
      <c r="W2799"/>
      <c r="X2799" t="s">
        <v>77</v>
      </c>
      <c r="Y2799"/>
      <c r="Z2799"/>
      <c r="AA2799" t="s">
        <v>292</v>
      </c>
      <c r="AB2799" t="s">
        <v>1</v>
      </c>
      <c r="AC2799" t="s">
        <v>138</v>
      </c>
      <c r="AD2799" t="s">
        <v>128</v>
      </c>
      <c r="AE2799" s="97"/>
    </row>
    <row r="2800" spans="1:31" ht="14.4" customHeight="1" x14ac:dyDescent="0.3">
      <c r="A2800" t="s">
        <v>5390</v>
      </c>
      <c r="B2800" t="s">
        <v>409</v>
      </c>
      <c r="C2800"/>
      <c r="D2800"/>
      <c r="E2800"/>
      <c r="F2800"/>
      <c r="G2800" t="s">
        <v>5356</v>
      </c>
      <c r="H2800" t="s">
        <v>132</v>
      </c>
      <c r="I2800" t="s">
        <v>1</v>
      </c>
      <c r="J2800" t="s">
        <v>5298</v>
      </c>
      <c r="K2800" t="s">
        <v>51</v>
      </c>
      <c r="L2800" t="s">
        <v>410</v>
      </c>
      <c r="M2800" t="s">
        <v>134</v>
      </c>
      <c r="N2800" t="s">
        <v>135</v>
      </c>
      <c r="O2800"/>
      <c r="P2800"/>
      <c r="Q2800" t="s">
        <v>168</v>
      </c>
      <c r="R2800"/>
      <c r="S2800"/>
      <c r="T2800" t="s">
        <v>169</v>
      </c>
      <c r="U2800" t="s">
        <v>137</v>
      </c>
      <c r="V2800" t="s">
        <v>411</v>
      </c>
      <c r="W2800"/>
      <c r="X2800" t="s">
        <v>87</v>
      </c>
      <c r="Y2800"/>
      <c r="Z2800"/>
      <c r="AA2800" t="s">
        <v>292</v>
      </c>
      <c r="AB2800" t="s">
        <v>1</v>
      </c>
      <c r="AC2800" t="s">
        <v>138</v>
      </c>
      <c r="AD2800" t="s">
        <v>129</v>
      </c>
      <c r="AE2800" s="97"/>
    </row>
    <row r="2801" spans="1:31" ht="14.4" customHeight="1" x14ac:dyDescent="0.3">
      <c r="A2801" t="s">
        <v>5391</v>
      </c>
      <c r="B2801" t="s">
        <v>413</v>
      </c>
      <c r="C2801"/>
      <c r="D2801"/>
      <c r="E2801"/>
      <c r="F2801"/>
      <c r="G2801" t="s">
        <v>5356</v>
      </c>
      <c r="H2801" t="s">
        <v>132</v>
      </c>
      <c r="I2801" t="s">
        <v>1</v>
      </c>
      <c r="J2801" t="s">
        <v>5298</v>
      </c>
      <c r="K2801" t="s">
        <v>51</v>
      </c>
      <c r="L2801" t="s">
        <v>414</v>
      </c>
      <c r="M2801" t="s">
        <v>134</v>
      </c>
      <c r="N2801" t="s">
        <v>135</v>
      </c>
      <c r="O2801"/>
      <c r="P2801"/>
      <c r="Q2801" t="s">
        <v>168</v>
      </c>
      <c r="R2801"/>
      <c r="S2801"/>
      <c r="T2801" t="s">
        <v>169</v>
      </c>
      <c r="U2801" t="s">
        <v>137</v>
      </c>
      <c r="V2801" t="s">
        <v>415</v>
      </c>
      <c r="W2801"/>
      <c r="X2801" t="s">
        <v>96</v>
      </c>
      <c r="Y2801"/>
      <c r="Z2801"/>
      <c r="AA2801" t="s">
        <v>292</v>
      </c>
      <c r="AB2801" t="s">
        <v>1</v>
      </c>
      <c r="AC2801" t="s">
        <v>138</v>
      </c>
      <c r="AD2801" t="s">
        <v>129</v>
      </c>
      <c r="AE2801" s="97"/>
    </row>
    <row r="2802" spans="1:31" ht="14.4" customHeight="1" x14ac:dyDescent="0.3">
      <c r="A2802" t="s">
        <v>5392</v>
      </c>
      <c r="B2802" t="s">
        <v>417</v>
      </c>
      <c r="C2802"/>
      <c r="D2802"/>
      <c r="E2802"/>
      <c r="F2802"/>
      <c r="G2802" t="s">
        <v>5356</v>
      </c>
      <c r="H2802" t="s">
        <v>132</v>
      </c>
      <c r="I2802" t="s">
        <v>1</v>
      </c>
      <c r="J2802" t="s">
        <v>5298</v>
      </c>
      <c r="K2802" t="s">
        <v>51</v>
      </c>
      <c r="L2802" t="s">
        <v>418</v>
      </c>
      <c r="M2802" t="s">
        <v>134</v>
      </c>
      <c r="N2802" t="s">
        <v>135</v>
      </c>
      <c r="O2802"/>
      <c r="P2802"/>
      <c r="Q2802" t="s">
        <v>168</v>
      </c>
      <c r="R2802"/>
      <c r="S2802"/>
      <c r="T2802" t="s">
        <v>169</v>
      </c>
      <c r="U2802" t="s">
        <v>137</v>
      </c>
      <c r="V2802" t="s">
        <v>419</v>
      </c>
      <c r="W2802"/>
      <c r="X2802" t="s">
        <v>105</v>
      </c>
      <c r="Y2802"/>
      <c r="Z2802"/>
      <c r="AA2802" t="s">
        <v>292</v>
      </c>
      <c r="AB2802" t="s">
        <v>1</v>
      </c>
      <c r="AC2802" t="s">
        <v>138</v>
      </c>
      <c r="AD2802" t="s">
        <v>129</v>
      </c>
      <c r="AE2802" s="97"/>
    </row>
    <row r="2803" spans="1:31" ht="14.4" customHeight="1" x14ac:dyDescent="0.3">
      <c r="A2803" t="s">
        <v>5393</v>
      </c>
      <c r="B2803" t="s">
        <v>421</v>
      </c>
      <c r="C2803"/>
      <c r="D2803"/>
      <c r="E2803"/>
      <c r="F2803"/>
      <c r="G2803" t="s">
        <v>5356</v>
      </c>
      <c r="H2803" t="s">
        <v>132</v>
      </c>
      <c r="I2803" t="s">
        <v>1</v>
      </c>
      <c r="J2803" t="s">
        <v>5298</v>
      </c>
      <c r="K2803" t="s">
        <v>51</v>
      </c>
      <c r="L2803" t="s">
        <v>422</v>
      </c>
      <c r="M2803" t="s">
        <v>134</v>
      </c>
      <c r="N2803" t="s">
        <v>135</v>
      </c>
      <c r="O2803"/>
      <c r="P2803"/>
      <c r="Q2803" t="s">
        <v>168</v>
      </c>
      <c r="R2803"/>
      <c r="S2803"/>
      <c r="T2803" t="s">
        <v>169</v>
      </c>
      <c r="U2803" t="s">
        <v>137</v>
      </c>
      <c r="V2803" t="s">
        <v>423</v>
      </c>
      <c r="W2803"/>
      <c r="X2803" t="s">
        <v>112</v>
      </c>
      <c r="Y2803"/>
      <c r="Z2803"/>
      <c r="AA2803" t="s">
        <v>292</v>
      </c>
      <c r="AB2803" t="s">
        <v>1</v>
      </c>
      <c r="AC2803" t="s">
        <v>138</v>
      </c>
      <c r="AD2803" t="s">
        <v>129</v>
      </c>
      <c r="AE2803" s="97"/>
    </row>
    <row r="2804" spans="1:31" ht="14.4" customHeight="1" x14ac:dyDescent="0.3">
      <c r="A2804" t="s">
        <v>5394</v>
      </c>
      <c r="B2804" t="s">
        <v>425</v>
      </c>
      <c r="C2804"/>
      <c r="D2804"/>
      <c r="E2804"/>
      <c r="F2804"/>
      <c r="G2804" t="s">
        <v>5356</v>
      </c>
      <c r="H2804" t="s">
        <v>132</v>
      </c>
      <c r="I2804" t="s">
        <v>1</v>
      </c>
      <c r="J2804" t="s">
        <v>5298</v>
      </c>
      <c r="K2804" t="s">
        <v>51</v>
      </c>
      <c r="L2804" t="s">
        <v>426</v>
      </c>
      <c r="M2804" t="s">
        <v>134</v>
      </c>
      <c r="N2804" t="s">
        <v>135</v>
      </c>
      <c r="O2804"/>
      <c r="P2804"/>
      <c r="Q2804" t="s">
        <v>168</v>
      </c>
      <c r="R2804"/>
      <c r="S2804"/>
      <c r="T2804" t="s">
        <v>169</v>
      </c>
      <c r="U2804" t="s">
        <v>137</v>
      </c>
      <c r="V2804" t="s">
        <v>427</v>
      </c>
      <c r="W2804"/>
      <c r="X2804" t="s">
        <v>121</v>
      </c>
      <c r="Y2804"/>
      <c r="Z2804"/>
      <c r="AA2804" t="s">
        <v>292</v>
      </c>
      <c r="AB2804" t="s">
        <v>1</v>
      </c>
      <c r="AC2804" t="s">
        <v>138</v>
      </c>
      <c r="AD2804" t="s">
        <v>130</v>
      </c>
      <c r="AE2804" s="97"/>
    </row>
    <row r="2805" spans="1:31" ht="14.4" customHeight="1" x14ac:dyDescent="0.3">
      <c r="A2805" t="s">
        <v>5395</v>
      </c>
      <c r="B2805" t="s">
        <v>429</v>
      </c>
      <c r="C2805"/>
      <c r="D2805"/>
      <c r="E2805"/>
      <c r="F2805"/>
      <c r="G2805" t="s">
        <v>5356</v>
      </c>
      <c r="H2805" t="s">
        <v>132</v>
      </c>
      <c r="I2805" t="s">
        <v>1</v>
      </c>
      <c r="J2805" t="s">
        <v>5298</v>
      </c>
      <c r="K2805" t="s">
        <v>51</v>
      </c>
      <c r="L2805" t="s">
        <v>430</v>
      </c>
      <c r="M2805" t="s">
        <v>134</v>
      </c>
      <c r="N2805" t="s">
        <v>135</v>
      </c>
      <c r="O2805"/>
      <c r="P2805"/>
      <c r="Q2805" t="s">
        <v>168</v>
      </c>
      <c r="R2805"/>
      <c r="S2805"/>
      <c r="T2805" t="s">
        <v>169</v>
      </c>
      <c r="U2805" t="s">
        <v>137</v>
      </c>
      <c r="V2805" t="s">
        <v>147</v>
      </c>
      <c r="W2805" s="9">
        <v>46184.222067511575</v>
      </c>
      <c r="X2805" t="s">
        <v>70</v>
      </c>
      <c r="Y2805"/>
      <c r="Z2805"/>
      <c r="AA2805" t="s">
        <v>292</v>
      </c>
      <c r="AB2805" t="s">
        <v>1</v>
      </c>
      <c r="AC2805" t="s">
        <v>24</v>
      </c>
      <c r="AD2805" t="s">
        <v>128</v>
      </c>
      <c r="AE2805" s="97"/>
    </row>
    <row r="2806" spans="1:31" ht="14.4" customHeight="1" x14ac:dyDescent="0.3">
      <c r="A2806" t="s">
        <v>5396</v>
      </c>
      <c r="B2806" t="s">
        <v>432</v>
      </c>
      <c r="C2806"/>
      <c r="D2806"/>
      <c r="E2806"/>
      <c r="F2806"/>
      <c r="G2806" t="s">
        <v>5356</v>
      </c>
      <c r="H2806" t="s">
        <v>132</v>
      </c>
      <c r="I2806" t="s">
        <v>1</v>
      </c>
      <c r="J2806" t="s">
        <v>5298</v>
      </c>
      <c r="K2806" t="s">
        <v>51</v>
      </c>
      <c r="L2806" t="s">
        <v>433</v>
      </c>
      <c r="M2806" t="s">
        <v>134</v>
      </c>
      <c r="N2806" t="s">
        <v>135</v>
      </c>
      <c r="O2806"/>
      <c r="P2806"/>
      <c r="Q2806" t="s">
        <v>168</v>
      </c>
      <c r="R2806"/>
      <c r="S2806"/>
      <c r="T2806" t="s">
        <v>169</v>
      </c>
      <c r="U2806" t="s">
        <v>137</v>
      </c>
      <c r="V2806" t="s">
        <v>150</v>
      </c>
      <c r="W2806"/>
      <c r="X2806" t="s">
        <v>76</v>
      </c>
      <c r="Y2806"/>
      <c r="Z2806"/>
      <c r="AA2806" t="s">
        <v>292</v>
      </c>
      <c r="AB2806" t="s">
        <v>1</v>
      </c>
      <c r="AC2806" t="s">
        <v>3733</v>
      </c>
      <c r="AD2806" t="s">
        <v>128</v>
      </c>
      <c r="AE2806" s="97"/>
    </row>
    <row r="2807" spans="1:31" ht="14.4" customHeight="1" x14ac:dyDescent="0.3">
      <c r="A2807" t="s">
        <v>5397</v>
      </c>
      <c r="B2807" t="s">
        <v>435</v>
      </c>
      <c r="C2807"/>
      <c r="D2807"/>
      <c r="E2807"/>
      <c r="F2807"/>
      <c r="G2807" t="s">
        <v>5356</v>
      </c>
      <c r="H2807" t="s">
        <v>132</v>
      </c>
      <c r="I2807" t="s">
        <v>1</v>
      </c>
      <c r="J2807" t="s">
        <v>5298</v>
      </c>
      <c r="K2807" t="s">
        <v>51</v>
      </c>
      <c r="L2807" t="s">
        <v>436</v>
      </c>
      <c r="M2807" t="s">
        <v>134</v>
      </c>
      <c r="N2807" t="s">
        <v>135</v>
      </c>
      <c r="O2807"/>
      <c r="P2807"/>
      <c r="Q2807" t="s">
        <v>168</v>
      </c>
      <c r="R2807"/>
      <c r="S2807"/>
      <c r="T2807" t="s">
        <v>169</v>
      </c>
      <c r="U2807" t="s">
        <v>137</v>
      </c>
      <c r="V2807" t="s">
        <v>153</v>
      </c>
      <c r="W2807"/>
      <c r="X2807" t="s">
        <v>88</v>
      </c>
      <c r="Y2807"/>
      <c r="Z2807"/>
      <c r="AA2807" t="s">
        <v>292</v>
      </c>
      <c r="AB2807" t="s">
        <v>1</v>
      </c>
      <c r="AC2807" t="s">
        <v>138</v>
      </c>
      <c r="AD2807" t="s">
        <v>129</v>
      </c>
      <c r="AE2807" s="97"/>
    </row>
    <row r="2808" spans="1:31" ht="14.4" customHeight="1" x14ac:dyDescent="0.3">
      <c r="A2808" t="s">
        <v>5398</v>
      </c>
      <c r="B2808" t="s">
        <v>438</v>
      </c>
      <c r="C2808"/>
      <c r="D2808"/>
      <c r="E2808"/>
      <c r="F2808"/>
      <c r="G2808" t="s">
        <v>5356</v>
      </c>
      <c r="H2808" t="s">
        <v>132</v>
      </c>
      <c r="I2808" t="s">
        <v>1</v>
      </c>
      <c r="J2808" t="s">
        <v>5298</v>
      </c>
      <c r="K2808" t="s">
        <v>51</v>
      </c>
      <c r="L2808" t="s">
        <v>439</v>
      </c>
      <c r="M2808" t="s">
        <v>134</v>
      </c>
      <c r="N2808" t="s">
        <v>135</v>
      </c>
      <c r="O2808"/>
      <c r="P2808"/>
      <c r="Q2808" t="s">
        <v>168</v>
      </c>
      <c r="R2808"/>
      <c r="S2808"/>
      <c r="T2808" t="s">
        <v>169</v>
      </c>
      <c r="U2808" t="s">
        <v>137</v>
      </c>
      <c r="V2808" t="s">
        <v>156</v>
      </c>
      <c r="W2808" s="9">
        <v>46192.21666273148</v>
      </c>
      <c r="X2808" t="s">
        <v>97</v>
      </c>
      <c r="Y2808"/>
      <c r="Z2808"/>
      <c r="AA2808" t="s">
        <v>292</v>
      </c>
      <c r="AB2808" t="s">
        <v>1</v>
      </c>
      <c r="AC2808" t="s">
        <v>24</v>
      </c>
      <c r="AD2808" t="s">
        <v>129</v>
      </c>
      <c r="AE2808" s="97"/>
    </row>
    <row r="2809" spans="1:31" ht="14.4" customHeight="1" x14ac:dyDescent="0.3">
      <c r="A2809" t="s">
        <v>5399</v>
      </c>
      <c r="B2809" t="s">
        <v>441</v>
      </c>
      <c r="C2809"/>
      <c r="D2809"/>
      <c r="E2809"/>
      <c r="F2809"/>
      <c r="G2809" t="s">
        <v>5356</v>
      </c>
      <c r="H2809" t="s">
        <v>132</v>
      </c>
      <c r="I2809" t="s">
        <v>1</v>
      </c>
      <c r="J2809" t="s">
        <v>5298</v>
      </c>
      <c r="K2809" t="s">
        <v>51</v>
      </c>
      <c r="L2809" t="s">
        <v>442</v>
      </c>
      <c r="M2809" t="s">
        <v>134</v>
      </c>
      <c r="N2809" t="s">
        <v>135</v>
      </c>
      <c r="O2809"/>
      <c r="P2809"/>
      <c r="Q2809" t="s">
        <v>168</v>
      </c>
      <c r="R2809"/>
      <c r="S2809"/>
      <c r="T2809" t="s">
        <v>169</v>
      </c>
      <c r="U2809" t="s">
        <v>137</v>
      </c>
      <c r="V2809" t="s">
        <v>159</v>
      </c>
      <c r="W2809"/>
      <c r="X2809" t="s">
        <v>106</v>
      </c>
      <c r="Y2809"/>
      <c r="Z2809"/>
      <c r="AA2809" t="s">
        <v>292</v>
      </c>
      <c r="AB2809" t="s">
        <v>1</v>
      </c>
      <c r="AC2809" t="s">
        <v>138</v>
      </c>
      <c r="AD2809" t="s">
        <v>129</v>
      </c>
      <c r="AE2809" s="97"/>
    </row>
    <row r="2810" spans="1:31" ht="14.4" customHeight="1" x14ac:dyDescent="0.3">
      <c r="A2810" t="s">
        <v>5400</v>
      </c>
      <c r="B2810" t="s">
        <v>444</v>
      </c>
      <c r="C2810"/>
      <c r="D2810"/>
      <c r="E2810"/>
      <c r="F2810"/>
      <c r="G2810" t="s">
        <v>5356</v>
      </c>
      <c r="H2810" t="s">
        <v>132</v>
      </c>
      <c r="I2810" t="s">
        <v>1</v>
      </c>
      <c r="J2810" t="s">
        <v>5298</v>
      </c>
      <c r="K2810" t="s">
        <v>51</v>
      </c>
      <c r="L2810" t="s">
        <v>445</v>
      </c>
      <c r="M2810" t="s">
        <v>134</v>
      </c>
      <c r="N2810" t="s">
        <v>135</v>
      </c>
      <c r="O2810"/>
      <c r="P2810"/>
      <c r="Q2810" t="s">
        <v>168</v>
      </c>
      <c r="R2810"/>
      <c r="S2810"/>
      <c r="T2810" t="s">
        <v>169</v>
      </c>
      <c r="U2810" t="s">
        <v>137</v>
      </c>
      <c r="V2810" t="s">
        <v>162</v>
      </c>
      <c r="W2810"/>
      <c r="X2810" t="s">
        <v>113</v>
      </c>
      <c r="Y2810"/>
      <c r="Z2810"/>
      <c r="AA2810" t="s">
        <v>292</v>
      </c>
      <c r="AB2810" t="s">
        <v>1</v>
      </c>
      <c r="AC2810" t="s">
        <v>138</v>
      </c>
      <c r="AD2810" t="s">
        <v>129</v>
      </c>
      <c r="AE2810" s="97"/>
    </row>
    <row r="2811" spans="1:31" ht="14.4" customHeight="1" x14ac:dyDescent="0.3">
      <c r="A2811" t="s">
        <v>5401</v>
      </c>
      <c r="B2811" t="s">
        <v>447</v>
      </c>
      <c r="C2811"/>
      <c r="D2811"/>
      <c r="E2811"/>
      <c r="F2811"/>
      <c r="G2811" t="s">
        <v>5356</v>
      </c>
      <c r="H2811" t="s">
        <v>132</v>
      </c>
      <c r="I2811" t="s">
        <v>1</v>
      </c>
      <c r="J2811" t="s">
        <v>5298</v>
      </c>
      <c r="K2811" t="s">
        <v>51</v>
      </c>
      <c r="L2811" t="s">
        <v>448</v>
      </c>
      <c r="M2811" t="s">
        <v>134</v>
      </c>
      <c r="N2811" t="s">
        <v>135</v>
      </c>
      <c r="O2811"/>
      <c r="P2811"/>
      <c r="Q2811" t="s">
        <v>168</v>
      </c>
      <c r="R2811"/>
      <c r="S2811"/>
      <c r="T2811" t="s">
        <v>169</v>
      </c>
      <c r="U2811" t="s">
        <v>137</v>
      </c>
      <c r="V2811" t="s">
        <v>165</v>
      </c>
      <c r="W2811"/>
      <c r="X2811" t="s">
        <v>122</v>
      </c>
      <c r="Y2811"/>
      <c r="Z2811"/>
      <c r="AA2811" t="s">
        <v>292</v>
      </c>
      <c r="AB2811" t="s">
        <v>1</v>
      </c>
      <c r="AC2811" t="s">
        <v>138</v>
      </c>
      <c r="AD2811" t="s">
        <v>130</v>
      </c>
      <c r="AE2811" s="97"/>
    </row>
    <row r="2812" spans="1:31" ht="14.4" customHeight="1" x14ac:dyDescent="0.3">
      <c r="A2812" t="s">
        <v>5402</v>
      </c>
      <c r="B2812" t="s">
        <v>450</v>
      </c>
      <c r="C2812"/>
      <c r="D2812"/>
      <c r="E2812"/>
      <c r="F2812"/>
      <c r="G2812" t="s">
        <v>5356</v>
      </c>
      <c r="H2812" t="s">
        <v>132</v>
      </c>
      <c r="I2812" t="s">
        <v>1</v>
      </c>
      <c r="J2812" t="s">
        <v>5298</v>
      </c>
      <c r="K2812" t="s">
        <v>51</v>
      </c>
      <c r="L2812" t="s">
        <v>451</v>
      </c>
      <c r="M2812" t="s">
        <v>134</v>
      </c>
      <c r="N2812" t="s">
        <v>135</v>
      </c>
      <c r="O2812"/>
      <c r="P2812"/>
      <c r="Q2812" t="s">
        <v>168</v>
      </c>
      <c r="R2812"/>
      <c r="S2812"/>
      <c r="T2812" t="s">
        <v>169</v>
      </c>
      <c r="U2812" t="s">
        <v>137</v>
      </c>
      <c r="V2812" t="s">
        <v>147</v>
      </c>
      <c r="W2812" s="9">
        <v>46178.324430671295</v>
      </c>
      <c r="X2812" t="s">
        <v>70</v>
      </c>
      <c r="Y2812"/>
      <c r="Z2812"/>
      <c r="AA2812" t="s">
        <v>292</v>
      </c>
      <c r="AB2812" t="s">
        <v>1</v>
      </c>
      <c r="AC2812" t="s">
        <v>24</v>
      </c>
      <c r="AD2812" t="s">
        <v>128</v>
      </c>
      <c r="AE2812" s="97"/>
    </row>
    <row r="2813" spans="1:31" ht="14.4" customHeight="1" x14ac:dyDescent="0.3">
      <c r="A2813" t="s">
        <v>5403</v>
      </c>
      <c r="B2813" t="s">
        <v>453</v>
      </c>
      <c r="C2813"/>
      <c r="D2813"/>
      <c r="E2813"/>
      <c r="F2813"/>
      <c r="G2813" t="s">
        <v>5356</v>
      </c>
      <c r="H2813" t="s">
        <v>132</v>
      </c>
      <c r="I2813" t="s">
        <v>1</v>
      </c>
      <c r="J2813" t="s">
        <v>5298</v>
      </c>
      <c r="K2813" t="s">
        <v>51</v>
      </c>
      <c r="L2813" t="s">
        <v>451</v>
      </c>
      <c r="M2813" t="s">
        <v>134</v>
      </c>
      <c r="N2813" t="s">
        <v>135</v>
      </c>
      <c r="O2813"/>
      <c r="P2813"/>
      <c r="Q2813" t="s">
        <v>168</v>
      </c>
      <c r="R2813"/>
      <c r="S2813"/>
      <c r="T2813" t="s">
        <v>169</v>
      </c>
      <c r="U2813" t="s">
        <v>137</v>
      </c>
      <c r="V2813" t="s">
        <v>147</v>
      </c>
      <c r="W2813" s="9">
        <v>46178.325840509257</v>
      </c>
      <c r="X2813" t="s">
        <v>70</v>
      </c>
      <c r="Y2813"/>
      <c r="Z2813"/>
      <c r="AA2813" t="s">
        <v>292</v>
      </c>
      <c r="AB2813" t="s">
        <v>1</v>
      </c>
      <c r="AC2813" t="s">
        <v>24</v>
      </c>
      <c r="AD2813" t="s">
        <v>128</v>
      </c>
      <c r="AE2813" s="97"/>
    </row>
    <row r="2814" spans="1:31" ht="14.4" customHeight="1" x14ac:dyDescent="0.3">
      <c r="A2814" t="s">
        <v>5404</v>
      </c>
      <c r="B2814" t="s">
        <v>455</v>
      </c>
      <c r="C2814"/>
      <c r="D2814"/>
      <c r="E2814"/>
      <c r="F2814"/>
      <c r="G2814" t="s">
        <v>5356</v>
      </c>
      <c r="H2814" t="s">
        <v>132</v>
      </c>
      <c r="I2814" t="s">
        <v>1</v>
      </c>
      <c r="J2814" t="s">
        <v>5298</v>
      </c>
      <c r="K2814" t="s">
        <v>51</v>
      </c>
      <c r="L2814" t="s">
        <v>451</v>
      </c>
      <c r="M2814" t="s">
        <v>134</v>
      </c>
      <c r="N2814" t="s">
        <v>135</v>
      </c>
      <c r="O2814"/>
      <c r="P2814"/>
      <c r="Q2814" t="s">
        <v>168</v>
      </c>
      <c r="R2814"/>
      <c r="S2814"/>
      <c r="T2814" t="s">
        <v>169</v>
      </c>
      <c r="U2814" t="s">
        <v>137</v>
      </c>
      <c r="V2814" t="s">
        <v>147</v>
      </c>
      <c r="W2814"/>
      <c r="X2814" t="s">
        <v>70</v>
      </c>
      <c r="Y2814"/>
      <c r="Z2814"/>
      <c r="AA2814" t="s">
        <v>292</v>
      </c>
      <c r="AB2814" t="s">
        <v>1</v>
      </c>
      <c r="AC2814" t="s">
        <v>3733</v>
      </c>
      <c r="AD2814" t="s">
        <v>128</v>
      </c>
      <c r="AE2814" s="97"/>
    </row>
    <row r="2815" spans="1:31" ht="14.4" customHeight="1" x14ac:dyDescent="0.3">
      <c r="A2815" t="s">
        <v>5405</v>
      </c>
      <c r="B2815" t="s">
        <v>457</v>
      </c>
      <c r="C2815"/>
      <c r="D2815"/>
      <c r="E2815"/>
      <c r="F2815"/>
      <c r="G2815" t="s">
        <v>5356</v>
      </c>
      <c r="H2815" t="s">
        <v>132</v>
      </c>
      <c r="I2815" t="s">
        <v>1</v>
      </c>
      <c r="J2815" t="s">
        <v>5298</v>
      </c>
      <c r="K2815" t="s">
        <v>51</v>
      </c>
      <c r="L2815" t="s">
        <v>451</v>
      </c>
      <c r="M2815" t="s">
        <v>134</v>
      </c>
      <c r="N2815" t="s">
        <v>135</v>
      </c>
      <c r="O2815"/>
      <c r="P2815"/>
      <c r="Q2815" t="s">
        <v>168</v>
      </c>
      <c r="R2815"/>
      <c r="S2815"/>
      <c r="T2815" t="s">
        <v>169</v>
      </c>
      <c r="U2815" t="s">
        <v>137</v>
      </c>
      <c r="V2815" t="s">
        <v>147</v>
      </c>
      <c r="W2815" s="9">
        <v>46179.195530243058</v>
      </c>
      <c r="X2815" t="s">
        <v>70</v>
      </c>
      <c r="Y2815"/>
      <c r="Z2815"/>
      <c r="AA2815" t="s">
        <v>292</v>
      </c>
      <c r="AB2815" t="s">
        <v>1</v>
      </c>
      <c r="AC2815" t="s">
        <v>24</v>
      </c>
      <c r="AD2815" t="s">
        <v>128</v>
      </c>
      <c r="AE2815" s="97"/>
    </row>
    <row r="2816" spans="1:31" ht="14.4" customHeight="1" x14ac:dyDescent="0.3">
      <c r="A2816" t="s">
        <v>5406</v>
      </c>
      <c r="B2816" t="s">
        <v>459</v>
      </c>
      <c r="C2816"/>
      <c r="D2816"/>
      <c r="E2816"/>
      <c r="F2816"/>
      <c r="G2816" t="s">
        <v>5356</v>
      </c>
      <c r="H2816" t="s">
        <v>132</v>
      </c>
      <c r="I2816" t="s">
        <v>1</v>
      </c>
      <c r="J2816" t="s">
        <v>5298</v>
      </c>
      <c r="K2816" t="s">
        <v>51</v>
      </c>
      <c r="L2816" t="s">
        <v>451</v>
      </c>
      <c r="M2816" t="s">
        <v>134</v>
      </c>
      <c r="N2816" t="s">
        <v>135</v>
      </c>
      <c r="O2816"/>
      <c r="P2816"/>
      <c r="Q2816" t="s">
        <v>168</v>
      </c>
      <c r="R2816"/>
      <c r="S2816"/>
      <c r="T2816" t="s">
        <v>169</v>
      </c>
      <c r="U2816" t="s">
        <v>137</v>
      </c>
      <c r="V2816" t="s">
        <v>147</v>
      </c>
      <c r="W2816"/>
      <c r="X2816" t="s">
        <v>70</v>
      </c>
      <c r="Y2816"/>
      <c r="Z2816"/>
      <c r="AA2816" t="s">
        <v>292</v>
      </c>
      <c r="AB2816" t="s">
        <v>1</v>
      </c>
      <c r="AC2816" t="s">
        <v>3733</v>
      </c>
      <c r="AD2816" t="s">
        <v>128</v>
      </c>
      <c r="AE2816" s="97"/>
    </row>
    <row r="2817" spans="1:31" ht="14.4" customHeight="1" x14ac:dyDescent="0.3">
      <c r="A2817" t="s">
        <v>5407</v>
      </c>
      <c r="B2817" t="s">
        <v>461</v>
      </c>
      <c r="C2817"/>
      <c r="D2817"/>
      <c r="E2817"/>
      <c r="F2817"/>
      <c r="G2817" t="s">
        <v>5356</v>
      </c>
      <c r="H2817" t="s">
        <v>132</v>
      </c>
      <c r="I2817" t="s">
        <v>1</v>
      </c>
      <c r="J2817" t="s">
        <v>5298</v>
      </c>
      <c r="K2817" t="s">
        <v>51</v>
      </c>
      <c r="L2817" t="s">
        <v>451</v>
      </c>
      <c r="M2817" t="s">
        <v>134</v>
      </c>
      <c r="N2817" t="s">
        <v>135</v>
      </c>
      <c r="O2817"/>
      <c r="P2817"/>
      <c r="Q2817" t="s">
        <v>168</v>
      </c>
      <c r="R2817"/>
      <c r="S2817"/>
      <c r="T2817" t="s">
        <v>169</v>
      </c>
      <c r="U2817" t="s">
        <v>137</v>
      </c>
      <c r="V2817" t="s">
        <v>147</v>
      </c>
      <c r="W2817"/>
      <c r="X2817" t="s">
        <v>70</v>
      </c>
      <c r="Y2817"/>
      <c r="Z2817"/>
      <c r="AA2817" t="s">
        <v>292</v>
      </c>
      <c r="AB2817" t="s">
        <v>1</v>
      </c>
      <c r="AC2817" t="s">
        <v>3733</v>
      </c>
      <c r="AD2817" t="s">
        <v>128</v>
      </c>
      <c r="AE2817" s="97"/>
    </row>
    <row r="2818" spans="1:31" ht="14.4" customHeight="1" x14ac:dyDescent="0.3">
      <c r="A2818" t="s">
        <v>5408</v>
      </c>
      <c r="B2818" t="s">
        <v>463</v>
      </c>
      <c r="C2818"/>
      <c r="D2818"/>
      <c r="E2818"/>
      <c r="F2818"/>
      <c r="G2818" t="s">
        <v>5356</v>
      </c>
      <c r="H2818" t="s">
        <v>132</v>
      </c>
      <c r="I2818" t="s">
        <v>1</v>
      </c>
      <c r="J2818" t="s">
        <v>5298</v>
      </c>
      <c r="K2818" t="s">
        <v>51</v>
      </c>
      <c r="L2818" t="s">
        <v>464</v>
      </c>
      <c r="M2818" t="s">
        <v>134</v>
      </c>
      <c r="N2818" t="s">
        <v>135</v>
      </c>
      <c r="O2818"/>
      <c r="P2818"/>
      <c r="Q2818" t="s">
        <v>168</v>
      </c>
      <c r="R2818"/>
      <c r="S2818"/>
      <c r="T2818" t="s">
        <v>169</v>
      </c>
      <c r="U2818" t="s">
        <v>137</v>
      </c>
      <c r="V2818" t="s">
        <v>147</v>
      </c>
      <c r="W2818"/>
      <c r="X2818" t="s">
        <v>70</v>
      </c>
      <c r="Y2818"/>
      <c r="Z2818"/>
      <c r="AA2818" t="s">
        <v>292</v>
      </c>
      <c r="AB2818" t="s">
        <v>1</v>
      </c>
      <c r="AC2818" t="s">
        <v>3733</v>
      </c>
      <c r="AD2818" t="s">
        <v>128</v>
      </c>
      <c r="AE2818" s="97"/>
    </row>
    <row r="2819" spans="1:31" ht="14.4" customHeight="1" x14ac:dyDescent="0.3">
      <c r="A2819" t="s">
        <v>5409</v>
      </c>
      <c r="B2819" t="s">
        <v>466</v>
      </c>
      <c r="C2819"/>
      <c r="D2819"/>
      <c r="E2819"/>
      <c r="F2819"/>
      <c r="G2819" t="s">
        <v>5356</v>
      </c>
      <c r="H2819" t="s">
        <v>132</v>
      </c>
      <c r="I2819" t="s">
        <v>1</v>
      </c>
      <c r="J2819" t="s">
        <v>5298</v>
      </c>
      <c r="K2819" t="s">
        <v>51</v>
      </c>
      <c r="L2819" t="s">
        <v>464</v>
      </c>
      <c r="M2819" t="s">
        <v>134</v>
      </c>
      <c r="N2819" t="s">
        <v>135</v>
      </c>
      <c r="O2819"/>
      <c r="P2819"/>
      <c r="Q2819" t="s">
        <v>168</v>
      </c>
      <c r="R2819"/>
      <c r="S2819"/>
      <c r="T2819" t="s">
        <v>169</v>
      </c>
      <c r="U2819" t="s">
        <v>137</v>
      </c>
      <c r="V2819" t="s">
        <v>147</v>
      </c>
      <c r="W2819"/>
      <c r="X2819" t="s">
        <v>70</v>
      </c>
      <c r="Y2819"/>
      <c r="Z2819"/>
      <c r="AA2819" t="s">
        <v>292</v>
      </c>
      <c r="AB2819" t="s">
        <v>1</v>
      </c>
      <c r="AC2819" t="s">
        <v>3733</v>
      </c>
      <c r="AD2819" t="s">
        <v>128</v>
      </c>
      <c r="AE2819" s="97"/>
    </row>
    <row r="2820" spans="1:31" ht="14.4" customHeight="1" x14ac:dyDescent="0.3">
      <c r="A2820" t="s">
        <v>5410</v>
      </c>
      <c r="B2820" t="s">
        <v>468</v>
      </c>
      <c r="C2820"/>
      <c r="D2820"/>
      <c r="E2820"/>
      <c r="F2820"/>
      <c r="G2820" t="s">
        <v>5356</v>
      </c>
      <c r="H2820" t="s">
        <v>132</v>
      </c>
      <c r="I2820" t="s">
        <v>1</v>
      </c>
      <c r="J2820" t="s">
        <v>5298</v>
      </c>
      <c r="K2820" t="s">
        <v>51</v>
      </c>
      <c r="L2820" t="s">
        <v>464</v>
      </c>
      <c r="M2820" t="s">
        <v>134</v>
      </c>
      <c r="N2820" t="s">
        <v>135</v>
      </c>
      <c r="O2820"/>
      <c r="P2820"/>
      <c r="Q2820" t="s">
        <v>168</v>
      </c>
      <c r="R2820"/>
      <c r="S2820"/>
      <c r="T2820" t="s">
        <v>169</v>
      </c>
      <c r="U2820" t="s">
        <v>137</v>
      </c>
      <c r="V2820" t="s">
        <v>147</v>
      </c>
      <c r="W2820"/>
      <c r="X2820" t="s">
        <v>70</v>
      </c>
      <c r="Y2820"/>
      <c r="Z2820"/>
      <c r="AA2820" t="s">
        <v>292</v>
      </c>
      <c r="AB2820" t="s">
        <v>1</v>
      </c>
      <c r="AC2820" t="s">
        <v>3733</v>
      </c>
      <c r="AD2820" t="s">
        <v>128</v>
      </c>
      <c r="AE2820" s="97"/>
    </row>
    <row r="2821" spans="1:31" ht="14.4" customHeight="1" x14ac:dyDescent="0.3">
      <c r="A2821" t="s">
        <v>5411</v>
      </c>
      <c r="B2821" t="s">
        <v>470</v>
      </c>
      <c r="C2821"/>
      <c r="D2821"/>
      <c r="E2821"/>
      <c r="F2821"/>
      <c r="G2821" t="s">
        <v>5356</v>
      </c>
      <c r="H2821" t="s">
        <v>132</v>
      </c>
      <c r="I2821" t="s">
        <v>1</v>
      </c>
      <c r="J2821" t="s">
        <v>5298</v>
      </c>
      <c r="K2821" t="s">
        <v>51</v>
      </c>
      <c r="L2821" t="s">
        <v>464</v>
      </c>
      <c r="M2821" t="s">
        <v>134</v>
      </c>
      <c r="N2821" t="s">
        <v>135</v>
      </c>
      <c r="O2821"/>
      <c r="P2821"/>
      <c r="Q2821" t="s">
        <v>168</v>
      </c>
      <c r="R2821"/>
      <c r="S2821"/>
      <c r="T2821" t="s">
        <v>169</v>
      </c>
      <c r="U2821" t="s">
        <v>137</v>
      </c>
      <c r="V2821" t="s">
        <v>147</v>
      </c>
      <c r="W2821"/>
      <c r="X2821" t="s">
        <v>70</v>
      </c>
      <c r="Y2821"/>
      <c r="Z2821"/>
      <c r="AA2821" t="s">
        <v>292</v>
      </c>
      <c r="AB2821" t="s">
        <v>1</v>
      </c>
      <c r="AC2821" t="s">
        <v>3733</v>
      </c>
      <c r="AD2821" t="s">
        <v>128</v>
      </c>
      <c r="AE2821" s="97"/>
    </row>
    <row r="2822" spans="1:31" ht="14.4" customHeight="1" x14ac:dyDescent="0.3">
      <c r="A2822" t="s">
        <v>5412</v>
      </c>
      <c r="B2822" t="s">
        <v>472</v>
      </c>
      <c r="C2822"/>
      <c r="D2822"/>
      <c r="E2822"/>
      <c r="F2822"/>
      <c r="G2822" t="s">
        <v>5356</v>
      </c>
      <c r="H2822" t="s">
        <v>132</v>
      </c>
      <c r="I2822" t="s">
        <v>1</v>
      </c>
      <c r="J2822" t="s">
        <v>5298</v>
      </c>
      <c r="K2822" t="s">
        <v>51</v>
      </c>
      <c r="L2822" t="s">
        <v>464</v>
      </c>
      <c r="M2822" t="s">
        <v>134</v>
      </c>
      <c r="N2822" t="s">
        <v>135</v>
      </c>
      <c r="O2822"/>
      <c r="P2822"/>
      <c r="Q2822" t="s">
        <v>168</v>
      </c>
      <c r="R2822"/>
      <c r="S2822"/>
      <c r="T2822" t="s">
        <v>169</v>
      </c>
      <c r="U2822" t="s">
        <v>137</v>
      </c>
      <c r="V2822" t="s">
        <v>147</v>
      </c>
      <c r="W2822"/>
      <c r="X2822" t="s">
        <v>70</v>
      </c>
      <c r="Y2822"/>
      <c r="Z2822"/>
      <c r="AA2822" t="s">
        <v>292</v>
      </c>
      <c r="AB2822" t="s">
        <v>1</v>
      </c>
      <c r="AC2822" t="s">
        <v>3733</v>
      </c>
      <c r="AD2822" t="s">
        <v>128</v>
      </c>
      <c r="AE2822" s="97"/>
    </row>
    <row r="2823" spans="1:31" ht="14.4" customHeight="1" x14ac:dyDescent="0.3">
      <c r="A2823" t="s">
        <v>5413</v>
      </c>
      <c r="B2823" t="s">
        <v>474</v>
      </c>
      <c r="C2823"/>
      <c r="D2823"/>
      <c r="E2823"/>
      <c r="F2823"/>
      <c r="G2823" t="s">
        <v>5356</v>
      </c>
      <c r="H2823" t="s">
        <v>132</v>
      </c>
      <c r="I2823" t="s">
        <v>1</v>
      </c>
      <c r="J2823" t="s">
        <v>5298</v>
      </c>
      <c r="K2823" t="s">
        <v>51</v>
      </c>
      <c r="L2823" t="s">
        <v>464</v>
      </c>
      <c r="M2823" t="s">
        <v>134</v>
      </c>
      <c r="N2823" t="s">
        <v>135</v>
      </c>
      <c r="O2823"/>
      <c r="P2823"/>
      <c r="Q2823" t="s">
        <v>168</v>
      </c>
      <c r="R2823"/>
      <c r="S2823"/>
      <c r="T2823" t="s">
        <v>169</v>
      </c>
      <c r="U2823" t="s">
        <v>137</v>
      </c>
      <c r="V2823" t="s">
        <v>147</v>
      </c>
      <c r="W2823"/>
      <c r="X2823" t="s">
        <v>70</v>
      </c>
      <c r="Y2823"/>
      <c r="Z2823"/>
      <c r="AA2823" t="s">
        <v>292</v>
      </c>
      <c r="AB2823" t="s">
        <v>1</v>
      </c>
      <c r="AC2823" t="s">
        <v>3733</v>
      </c>
      <c r="AD2823" t="s">
        <v>128</v>
      </c>
      <c r="AE2823" s="97"/>
    </row>
    <row r="2824" spans="1:31" ht="14.4" customHeight="1" x14ac:dyDescent="0.3">
      <c r="A2824" t="s">
        <v>5414</v>
      </c>
      <c r="B2824" t="s">
        <v>476</v>
      </c>
      <c r="C2824"/>
      <c r="D2824"/>
      <c r="E2824"/>
      <c r="F2824"/>
      <c r="G2824" t="s">
        <v>5356</v>
      </c>
      <c r="H2824" t="s">
        <v>132</v>
      </c>
      <c r="I2824" t="s">
        <v>1</v>
      </c>
      <c r="J2824" t="s">
        <v>5298</v>
      </c>
      <c r="K2824" t="s">
        <v>51</v>
      </c>
      <c r="L2824" t="s">
        <v>477</v>
      </c>
      <c r="M2824" t="s">
        <v>134</v>
      </c>
      <c r="N2824" t="s">
        <v>135</v>
      </c>
      <c r="O2824"/>
      <c r="P2824"/>
      <c r="Q2824" t="s">
        <v>168</v>
      </c>
      <c r="R2824"/>
      <c r="S2824"/>
      <c r="T2824" t="s">
        <v>169</v>
      </c>
      <c r="U2824" t="s">
        <v>137</v>
      </c>
      <c r="V2824" t="s">
        <v>150</v>
      </c>
      <c r="W2824"/>
      <c r="X2824" t="s">
        <v>76</v>
      </c>
      <c r="Y2824"/>
      <c r="Z2824"/>
      <c r="AA2824" t="s">
        <v>292</v>
      </c>
      <c r="AB2824" t="s">
        <v>1</v>
      </c>
      <c r="AC2824" t="s">
        <v>3733</v>
      </c>
      <c r="AD2824" t="s">
        <v>128</v>
      </c>
      <c r="AE2824" s="97"/>
    </row>
    <row r="2825" spans="1:31" ht="14.4" customHeight="1" x14ac:dyDescent="0.3">
      <c r="A2825" t="s">
        <v>5415</v>
      </c>
      <c r="B2825" t="s">
        <v>479</v>
      </c>
      <c r="C2825"/>
      <c r="D2825"/>
      <c r="E2825"/>
      <c r="F2825"/>
      <c r="G2825" t="s">
        <v>5356</v>
      </c>
      <c r="H2825" t="s">
        <v>132</v>
      </c>
      <c r="I2825" t="s">
        <v>1</v>
      </c>
      <c r="J2825" t="s">
        <v>5298</v>
      </c>
      <c r="K2825" t="s">
        <v>51</v>
      </c>
      <c r="L2825" t="s">
        <v>477</v>
      </c>
      <c r="M2825" t="s">
        <v>134</v>
      </c>
      <c r="N2825" t="s">
        <v>135</v>
      </c>
      <c r="O2825"/>
      <c r="P2825"/>
      <c r="Q2825" t="s">
        <v>168</v>
      </c>
      <c r="R2825"/>
      <c r="S2825"/>
      <c r="T2825" t="s">
        <v>169</v>
      </c>
      <c r="U2825" t="s">
        <v>137</v>
      </c>
      <c r="V2825" t="s">
        <v>150</v>
      </c>
      <c r="W2825"/>
      <c r="X2825" t="s">
        <v>76</v>
      </c>
      <c r="Y2825"/>
      <c r="Z2825"/>
      <c r="AA2825" t="s">
        <v>292</v>
      </c>
      <c r="AB2825" t="s">
        <v>1</v>
      </c>
      <c r="AC2825" t="s">
        <v>3733</v>
      </c>
      <c r="AD2825" t="s">
        <v>128</v>
      </c>
      <c r="AE2825" s="97"/>
    </row>
    <row r="2826" spans="1:31" ht="14.4" customHeight="1" x14ac:dyDescent="0.3">
      <c r="A2826" t="s">
        <v>5416</v>
      </c>
      <c r="B2826" t="s">
        <v>481</v>
      </c>
      <c r="C2826"/>
      <c r="D2826"/>
      <c r="E2826"/>
      <c r="F2826"/>
      <c r="G2826" t="s">
        <v>5356</v>
      </c>
      <c r="H2826" t="s">
        <v>132</v>
      </c>
      <c r="I2826" t="s">
        <v>1</v>
      </c>
      <c r="J2826" t="s">
        <v>5298</v>
      </c>
      <c r="K2826" t="s">
        <v>51</v>
      </c>
      <c r="L2826" t="s">
        <v>477</v>
      </c>
      <c r="M2826" t="s">
        <v>134</v>
      </c>
      <c r="N2826" t="s">
        <v>135</v>
      </c>
      <c r="O2826"/>
      <c r="P2826"/>
      <c r="Q2826" t="s">
        <v>168</v>
      </c>
      <c r="R2826"/>
      <c r="S2826"/>
      <c r="T2826" t="s">
        <v>169</v>
      </c>
      <c r="U2826" t="s">
        <v>137</v>
      </c>
      <c r="V2826" t="s">
        <v>150</v>
      </c>
      <c r="W2826"/>
      <c r="X2826" t="s">
        <v>76</v>
      </c>
      <c r="Y2826"/>
      <c r="Z2826"/>
      <c r="AA2826" t="s">
        <v>292</v>
      </c>
      <c r="AB2826" t="s">
        <v>1</v>
      </c>
      <c r="AC2826" t="s">
        <v>3733</v>
      </c>
      <c r="AD2826" t="s">
        <v>128</v>
      </c>
      <c r="AE2826" s="97"/>
    </row>
    <row r="2827" spans="1:31" ht="14.4" customHeight="1" x14ac:dyDescent="0.3">
      <c r="A2827" t="s">
        <v>5417</v>
      </c>
      <c r="B2827" t="s">
        <v>483</v>
      </c>
      <c r="C2827"/>
      <c r="D2827"/>
      <c r="E2827"/>
      <c r="F2827"/>
      <c r="G2827" t="s">
        <v>5356</v>
      </c>
      <c r="H2827" t="s">
        <v>132</v>
      </c>
      <c r="I2827" t="s">
        <v>1</v>
      </c>
      <c r="J2827" t="s">
        <v>5298</v>
      </c>
      <c r="K2827" t="s">
        <v>51</v>
      </c>
      <c r="L2827" t="s">
        <v>477</v>
      </c>
      <c r="M2827" t="s">
        <v>134</v>
      </c>
      <c r="N2827" t="s">
        <v>135</v>
      </c>
      <c r="O2827"/>
      <c r="P2827"/>
      <c r="Q2827" t="s">
        <v>168</v>
      </c>
      <c r="R2827"/>
      <c r="S2827"/>
      <c r="T2827" t="s">
        <v>169</v>
      </c>
      <c r="U2827" t="s">
        <v>137</v>
      </c>
      <c r="V2827" t="s">
        <v>150</v>
      </c>
      <c r="W2827"/>
      <c r="X2827" t="s">
        <v>76</v>
      </c>
      <c r="Y2827"/>
      <c r="Z2827"/>
      <c r="AA2827" t="s">
        <v>292</v>
      </c>
      <c r="AB2827" t="s">
        <v>1</v>
      </c>
      <c r="AC2827" t="s">
        <v>3733</v>
      </c>
      <c r="AD2827" t="s">
        <v>128</v>
      </c>
      <c r="AE2827" s="97"/>
    </row>
    <row r="2828" spans="1:31" ht="14.4" customHeight="1" x14ac:dyDescent="0.3">
      <c r="A2828" t="s">
        <v>5418</v>
      </c>
      <c r="B2828" t="s">
        <v>485</v>
      </c>
      <c r="C2828"/>
      <c r="D2828"/>
      <c r="E2828"/>
      <c r="F2828"/>
      <c r="G2828" t="s">
        <v>5356</v>
      </c>
      <c r="H2828" t="s">
        <v>132</v>
      </c>
      <c r="I2828" t="s">
        <v>1</v>
      </c>
      <c r="J2828" t="s">
        <v>5298</v>
      </c>
      <c r="K2828" t="s">
        <v>51</v>
      </c>
      <c r="L2828" t="s">
        <v>477</v>
      </c>
      <c r="M2828" t="s">
        <v>134</v>
      </c>
      <c r="N2828" t="s">
        <v>135</v>
      </c>
      <c r="O2828"/>
      <c r="P2828"/>
      <c r="Q2828" t="s">
        <v>168</v>
      </c>
      <c r="R2828"/>
      <c r="S2828"/>
      <c r="T2828" t="s">
        <v>169</v>
      </c>
      <c r="U2828" t="s">
        <v>137</v>
      </c>
      <c r="V2828" t="s">
        <v>150</v>
      </c>
      <c r="W2828"/>
      <c r="X2828" t="s">
        <v>76</v>
      </c>
      <c r="Y2828"/>
      <c r="Z2828"/>
      <c r="AA2828" t="s">
        <v>292</v>
      </c>
      <c r="AB2828" t="s">
        <v>1</v>
      </c>
      <c r="AC2828" t="s">
        <v>3733</v>
      </c>
      <c r="AD2828" t="s">
        <v>128</v>
      </c>
      <c r="AE2828" s="97"/>
    </row>
    <row r="2829" spans="1:31" ht="14.4" customHeight="1" x14ac:dyDescent="0.3">
      <c r="A2829" t="s">
        <v>5419</v>
      </c>
      <c r="B2829" t="s">
        <v>487</v>
      </c>
      <c r="C2829"/>
      <c r="D2829"/>
      <c r="E2829"/>
      <c r="F2829"/>
      <c r="G2829" t="s">
        <v>5356</v>
      </c>
      <c r="H2829" t="s">
        <v>132</v>
      </c>
      <c r="I2829" t="s">
        <v>1</v>
      </c>
      <c r="J2829" t="s">
        <v>5298</v>
      </c>
      <c r="K2829" t="s">
        <v>51</v>
      </c>
      <c r="L2829" t="s">
        <v>477</v>
      </c>
      <c r="M2829" t="s">
        <v>134</v>
      </c>
      <c r="N2829" t="s">
        <v>135</v>
      </c>
      <c r="O2829"/>
      <c r="P2829"/>
      <c r="Q2829" t="s">
        <v>168</v>
      </c>
      <c r="R2829"/>
      <c r="S2829"/>
      <c r="T2829" t="s">
        <v>169</v>
      </c>
      <c r="U2829" t="s">
        <v>137</v>
      </c>
      <c r="V2829" t="s">
        <v>150</v>
      </c>
      <c r="W2829"/>
      <c r="X2829" t="s">
        <v>76</v>
      </c>
      <c r="Y2829"/>
      <c r="Z2829"/>
      <c r="AA2829" t="s">
        <v>292</v>
      </c>
      <c r="AB2829" t="s">
        <v>1</v>
      </c>
      <c r="AC2829" t="s">
        <v>3733</v>
      </c>
      <c r="AD2829" t="s">
        <v>128</v>
      </c>
      <c r="AE2829" s="97"/>
    </row>
    <row r="2830" spans="1:31" ht="14.4" customHeight="1" x14ac:dyDescent="0.3">
      <c r="A2830" t="s">
        <v>5420</v>
      </c>
      <c r="B2830" t="s">
        <v>489</v>
      </c>
      <c r="C2830"/>
      <c r="D2830"/>
      <c r="E2830"/>
      <c r="F2830"/>
      <c r="G2830" t="s">
        <v>5356</v>
      </c>
      <c r="H2830" t="s">
        <v>132</v>
      </c>
      <c r="I2830" t="s">
        <v>1</v>
      </c>
      <c r="J2830" t="s">
        <v>5298</v>
      </c>
      <c r="K2830" t="s">
        <v>51</v>
      </c>
      <c r="L2830" t="s">
        <v>490</v>
      </c>
      <c r="M2830" t="s">
        <v>134</v>
      </c>
      <c r="N2830" t="s">
        <v>135</v>
      </c>
      <c r="O2830"/>
      <c r="P2830"/>
      <c r="Q2830" t="s">
        <v>168</v>
      </c>
      <c r="R2830"/>
      <c r="S2830"/>
      <c r="T2830" t="s">
        <v>169</v>
      </c>
      <c r="U2830" t="s">
        <v>137</v>
      </c>
      <c r="V2830" t="s">
        <v>150</v>
      </c>
      <c r="W2830"/>
      <c r="X2830" t="s">
        <v>76</v>
      </c>
      <c r="Y2830"/>
      <c r="Z2830"/>
      <c r="AA2830" t="s">
        <v>292</v>
      </c>
      <c r="AB2830" t="s">
        <v>1</v>
      </c>
      <c r="AC2830" t="s">
        <v>3733</v>
      </c>
      <c r="AD2830" t="s">
        <v>128</v>
      </c>
      <c r="AE2830" s="97"/>
    </row>
    <row r="2831" spans="1:31" ht="14.4" customHeight="1" x14ac:dyDescent="0.3">
      <c r="A2831" t="s">
        <v>5421</v>
      </c>
      <c r="B2831" t="s">
        <v>492</v>
      </c>
      <c r="C2831"/>
      <c r="D2831"/>
      <c r="E2831"/>
      <c r="F2831"/>
      <c r="G2831" t="s">
        <v>5356</v>
      </c>
      <c r="H2831" t="s">
        <v>132</v>
      </c>
      <c r="I2831" t="s">
        <v>1</v>
      </c>
      <c r="J2831" t="s">
        <v>5298</v>
      </c>
      <c r="K2831" t="s">
        <v>51</v>
      </c>
      <c r="L2831" t="s">
        <v>490</v>
      </c>
      <c r="M2831" t="s">
        <v>134</v>
      </c>
      <c r="N2831" t="s">
        <v>135</v>
      </c>
      <c r="O2831"/>
      <c r="P2831"/>
      <c r="Q2831" t="s">
        <v>168</v>
      </c>
      <c r="R2831"/>
      <c r="S2831"/>
      <c r="T2831" t="s">
        <v>169</v>
      </c>
      <c r="U2831" t="s">
        <v>137</v>
      </c>
      <c r="V2831" t="s">
        <v>150</v>
      </c>
      <c r="W2831"/>
      <c r="X2831" t="s">
        <v>76</v>
      </c>
      <c r="Y2831"/>
      <c r="Z2831"/>
      <c r="AA2831" t="s">
        <v>292</v>
      </c>
      <c r="AB2831" t="s">
        <v>1</v>
      </c>
      <c r="AC2831" t="s">
        <v>3733</v>
      </c>
      <c r="AD2831" t="s">
        <v>128</v>
      </c>
      <c r="AE2831" s="97"/>
    </row>
    <row r="2832" spans="1:31" ht="14.4" customHeight="1" x14ac:dyDescent="0.3">
      <c r="A2832" t="s">
        <v>5422</v>
      </c>
      <c r="B2832" t="s">
        <v>494</v>
      </c>
      <c r="C2832"/>
      <c r="D2832"/>
      <c r="E2832"/>
      <c r="F2832"/>
      <c r="G2832" t="s">
        <v>5356</v>
      </c>
      <c r="H2832" t="s">
        <v>132</v>
      </c>
      <c r="I2832" t="s">
        <v>1</v>
      </c>
      <c r="J2832" t="s">
        <v>5298</v>
      </c>
      <c r="K2832" t="s">
        <v>51</v>
      </c>
      <c r="L2832" t="s">
        <v>490</v>
      </c>
      <c r="M2832" t="s">
        <v>134</v>
      </c>
      <c r="N2832" t="s">
        <v>135</v>
      </c>
      <c r="O2832"/>
      <c r="P2832"/>
      <c r="Q2832" t="s">
        <v>168</v>
      </c>
      <c r="R2832"/>
      <c r="S2832"/>
      <c r="T2832" t="s">
        <v>169</v>
      </c>
      <c r="U2832" t="s">
        <v>137</v>
      </c>
      <c r="V2832" t="s">
        <v>150</v>
      </c>
      <c r="W2832"/>
      <c r="X2832" t="s">
        <v>76</v>
      </c>
      <c r="Y2832"/>
      <c r="Z2832"/>
      <c r="AA2832" t="s">
        <v>292</v>
      </c>
      <c r="AB2832" t="s">
        <v>1</v>
      </c>
      <c r="AC2832" t="s">
        <v>3733</v>
      </c>
      <c r="AD2832" t="s">
        <v>128</v>
      </c>
      <c r="AE2832" s="97"/>
    </row>
    <row r="2833" spans="1:31" ht="14.4" customHeight="1" x14ac:dyDescent="0.3">
      <c r="A2833" t="s">
        <v>5423</v>
      </c>
      <c r="B2833" t="s">
        <v>496</v>
      </c>
      <c r="C2833"/>
      <c r="D2833"/>
      <c r="E2833"/>
      <c r="F2833"/>
      <c r="G2833" t="s">
        <v>5356</v>
      </c>
      <c r="H2833" t="s">
        <v>132</v>
      </c>
      <c r="I2833" t="s">
        <v>1</v>
      </c>
      <c r="J2833" t="s">
        <v>5298</v>
      </c>
      <c r="K2833" t="s">
        <v>51</v>
      </c>
      <c r="L2833" t="s">
        <v>490</v>
      </c>
      <c r="M2833" t="s">
        <v>134</v>
      </c>
      <c r="N2833" t="s">
        <v>135</v>
      </c>
      <c r="O2833"/>
      <c r="P2833"/>
      <c r="Q2833" t="s">
        <v>168</v>
      </c>
      <c r="R2833"/>
      <c r="S2833"/>
      <c r="T2833" t="s">
        <v>169</v>
      </c>
      <c r="U2833" t="s">
        <v>137</v>
      </c>
      <c r="V2833" t="s">
        <v>150</v>
      </c>
      <c r="W2833"/>
      <c r="X2833" t="s">
        <v>76</v>
      </c>
      <c r="Y2833"/>
      <c r="Z2833"/>
      <c r="AA2833" t="s">
        <v>292</v>
      </c>
      <c r="AB2833" t="s">
        <v>1</v>
      </c>
      <c r="AC2833" t="s">
        <v>3733</v>
      </c>
      <c r="AD2833" t="s">
        <v>128</v>
      </c>
      <c r="AE2833" s="97"/>
    </row>
    <row r="2834" spans="1:31" ht="14.4" customHeight="1" x14ac:dyDescent="0.3">
      <c r="A2834" t="s">
        <v>5424</v>
      </c>
      <c r="B2834" t="s">
        <v>498</v>
      </c>
      <c r="C2834"/>
      <c r="D2834"/>
      <c r="E2834"/>
      <c r="F2834"/>
      <c r="G2834" t="s">
        <v>5356</v>
      </c>
      <c r="H2834" t="s">
        <v>132</v>
      </c>
      <c r="I2834" t="s">
        <v>1</v>
      </c>
      <c r="J2834" t="s">
        <v>5298</v>
      </c>
      <c r="K2834" t="s">
        <v>51</v>
      </c>
      <c r="L2834" t="s">
        <v>490</v>
      </c>
      <c r="M2834" t="s">
        <v>134</v>
      </c>
      <c r="N2834" t="s">
        <v>135</v>
      </c>
      <c r="O2834"/>
      <c r="P2834"/>
      <c r="Q2834" t="s">
        <v>168</v>
      </c>
      <c r="R2834"/>
      <c r="S2834"/>
      <c r="T2834" t="s">
        <v>169</v>
      </c>
      <c r="U2834" t="s">
        <v>137</v>
      </c>
      <c r="V2834" t="s">
        <v>150</v>
      </c>
      <c r="W2834"/>
      <c r="X2834" t="s">
        <v>76</v>
      </c>
      <c r="Y2834"/>
      <c r="Z2834"/>
      <c r="AA2834" t="s">
        <v>292</v>
      </c>
      <c r="AB2834" t="s">
        <v>1</v>
      </c>
      <c r="AC2834" t="s">
        <v>3733</v>
      </c>
      <c r="AD2834" t="s">
        <v>128</v>
      </c>
      <c r="AE2834" s="97"/>
    </row>
    <row r="2835" spans="1:31" ht="14.4" customHeight="1" x14ac:dyDescent="0.3">
      <c r="A2835" t="s">
        <v>5425</v>
      </c>
      <c r="B2835" t="s">
        <v>500</v>
      </c>
      <c r="C2835"/>
      <c r="D2835"/>
      <c r="E2835"/>
      <c r="F2835"/>
      <c r="G2835" t="s">
        <v>5356</v>
      </c>
      <c r="H2835" t="s">
        <v>132</v>
      </c>
      <c r="I2835" t="s">
        <v>1</v>
      </c>
      <c r="J2835" t="s">
        <v>5298</v>
      </c>
      <c r="K2835" t="s">
        <v>51</v>
      </c>
      <c r="L2835" t="s">
        <v>490</v>
      </c>
      <c r="M2835" t="s">
        <v>134</v>
      </c>
      <c r="N2835" t="s">
        <v>135</v>
      </c>
      <c r="O2835"/>
      <c r="P2835"/>
      <c r="Q2835" t="s">
        <v>168</v>
      </c>
      <c r="R2835"/>
      <c r="S2835"/>
      <c r="T2835" t="s">
        <v>169</v>
      </c>
      <c r="U2835" t="s">
        <v>137</v>
      </c>
      <c r="V2835" t="s">
        <v>150</v>
      </c>
      <c r="W2835" s="9">
        <v>46192.196469178241</v>
      </c>
      <c r="X2835" t="s">
        <v>76</v>
      </c>
      <c r="Y2835"/>
      <c r="Z2835"/>
      <c r="AA2835" t="s">
        <v>292</v>
      </c>
      <c r="AB2835" t="s">
        <v>1</v>
      </c>
      <c r="AC2835" t="s">
        <v>24</v>
      </c>
      <c r="AD2835" t="s">
        <v>128</v>
      </c>
      <c r="AE2835" s="97"/>
    </row>
    <row r="2836" spans="1:31" ht="14.4" customHeight="1" x14ac:dyDescent="0.3">
      <c r="A2836" t="s">
        <v>5426</v>
      </c>
      <c r="B2836" t="s">
        <v>502</v>
      </c>
      <c r="C2836"/>
      <c r="D2836"/>
      <c r="E2836"/>
      <c r="F2836"/>
      <c r="G2836" t="s">
        <v>5356</v>
      </c>
      <c r="H2836" t="s">
        <v>132</v>
      </c>
      <c r="I2836" t="s">
        <v>1</v>
      </c>
      <c r="J2836" t="s">
        <v>5298</v>
      </c>
      <c r="K2836" t="s">
        <v>51</v>
      </c>
      <c r="L2836" t="s">
        <v>503</v>
      </c>
      <c r="M2836" t="s">
        <v>134</v>
      </c>
      <c r="N2836" t="s">
        <v>135</v>
      </c>
      <c r="O2836"/>
      <c r="P2836"/>
      <c r="Q2836" t="s">
        <v>168</v>
      </c>
      <c r="R2836"/>
      <c r="S2836"/>
      <c r="T2836" t="s">
        <v>169</v>
      </c>
      <c r="U2836" t="s">
        <v>137</v>
      </c>
      <c r="V2836" t="s">
        <v>153</v>
      </c>
      <c r="W2836"/>
      <c r="X2836" t="s">
        <v>88</v>
      </c>
      <c r="Y2836"/>
      <c r="Z2836"/>
      <c r="AA2836" t="s">
        <v>292</v>
      </c>
      <c r="AB2836" t="s">
        <v>1</v>
      </c>
      <c r="AC2836" t="s">
        <v>138</v>
      </c>
      <c r="AD2836" t="s">
        <v>129</v>
      </c>
      <c r="AE2836" s="97"/>
    </row>
    <row r="2837" spans="1:31" ht="14.4" customHeight="1" x14ac:dyDescent="0.3">
      <c r="A2837" t="s">
        <v>5427</v>
      </c>
      <c r="B2837" t="s">
        <v>505</v>
      </c>
      <c r="C2837"/>
      <c r="D2837"/>
      <c r="E2837"/>
      <c r="F2837"/>
      <c r="G2837" t="s">
        <v>5356</v>
      </c>
      <c r="H2837" t="s">
        <v>132</v>
      </c>
      <c r="I2837" t="s">
        <v>1</v>
      </c>
      <c r="J2837" t="s">
        <v>5298</v>
      </c>
      <c r="K2837" t="s">
        <v>51</v>
      </c>
      <c r="L2837" t="s">
        <v>503</v>
      </c>
      <c r="M2837" t="s">
        <v>134</v>
      </c>
      <c r="N2837" t="s">
        <v>135</v>
      </c>
      <c r="O2837"/>
      <c r="P2837"/>
      <c r="Q2837" t="s">
        <v>168</v>
      </c>
      <c r="R2837"/>
      <c r="S2837"/>
      <c r="T2837" t="s">
        <v>169</v>
      </c>
      <c r="U2837" t="s">
        <v>137</v>
      </c>
      <c r="V2837" t="s">
        <v>153</v>
      </c>
      <c r="W2837"/>
      <c r="X2837" t="s">
        <v>88</v>
      </c>
      <c r="Y2837"/>
      <c r="Z2837"/>
      <c r="AA2837" t="s">
        <v>292</v>
      </c>
      <c r="AB2837" t="s">
        <v>1</v>
      </c>
      <c r="AC2837" t="s">
        <v>138</v>
      </c>
      <c r="AD2837" t="s">
        <v>129</v>
      </c>
      <c r="AE2837" s="97"/>
    </row>
    <row r="2838" spans="1:31" ht="14.4" customHeight="1" x14ac:dyDescent="0.3">
      <c r="A2838" t="s">
        <v>5428</v>
      </c>
      <c r="B2838" t="s">
        <v>507</v>
      </c>
      <c r="C2838"/>
      <c r="D2838"/>
      <c r="E2838"/>
      <c r="F2838"/>
      <c r="G2838" t="s">
        <v>5356</v>
      </c>
      <c r="H2838" t="s">
        <v>132</v>
      </c>
      <c r="I2838" t="s">
        <v>1</v>
      </c>
      <c r="J2838" t="s">
        <v>5298</v>
      </c>
      <c r="K2838" t="s">
        <v>51</v>
      </c>
      <c r="L2838" t="s">
        <v>503</v>
      </c>
      <c r="M2838" t="s">
        <v>134</v>
      </c>
      <c r="N2838" t="s">
        <v>135</v>
      </c>
      <c r="O2838"/>
      <c r="P2838"/>
      <c r="Q2838" t="s">
        <v>168</v>
      </c>
      <c r="R2838"/>
      <c r="S2838"/>
      <c r="T2838" t="s">
        <v>169</v>
      </c>
      <c r="U2838" t="s">
        <v>137</v>
      </c>
      <c r="V2838" t="s">
        <v>153</v>
      </c>
      <c r="W2838"/>
      <c r="X2838" t="s">
        <v>88</v>
      </c>
      <c r="Y2838"/>
      <c r="Z2838"/>
      <c r="AA2838" t="s">
        <v>292</v>
      </c>
      <c r="AB2838" t="s">
        <v>1</v>
      </c>
      <c r="AC2838" t="s">
        <v>138</v>
      </c>
      <c r="AD2838" t="s">
        <v>129</v>
      </c>
      <c r="AE2838" s="97"/>
    </row>
    <row r="2839" spans="1:31" ht="14.4" customHeight="1" x14ac:dyDescent="0.3">
      <c r="A2839" t="s">
        <v>5429</v>
      </c>
      <c r="B2839" t="s">
        <v>509</v>
      </c>
      <c r="C2839"/>
      <c r="D2839"/>
      <c r="E2839"/>
      <c r="F2839"/>
      <c r="G2839" t="s">
        <v>5356</v>
      </c>
      <c r="H2839" t="s">
        <v>132</v>
      </c>
      <c r="I2839" t="s">
        <v>1</v>
      </c>
      <c r="J2839" t="s">
        <v>5298</v>
      </c>
      <c r="K2839" t="s">
        <v>51</v>
      </c>
      <c r="L2839" t="s">
        <v>503</v>
      </c>
      <c r="M2839" t="s">
        <v>134</v>
      </c>
      <c r="N2839" t="s">
        <v>135</v>
      </c>
      <c r="O2839"/>
      <c r="P2839"/>
      <c r="Q2839" t="s">
        <v>168</v>
      </c>
      <c r="R2839"/>
      <c r="S2839"/>
      <c r="T2839" t="s">
        <v>169</v>
      </c>
      <c r="U2839" t="s">
        <v>137</v>
      </c>
      <c r="V2839" t="s">
        <v>153</v>
      </c>
      <c r="W2839"/>
      <c r="X2839" t="s">
        <v>88</v>
      </c>
      <c r="Y2839"/>
      <c r="Z2839"/>
      <c r="AA2839" t="s">
        <v>292</v>
      </c>
      <c r="AB2839" t="s">
        <v>1</v>
      </c>
      <c r="AC2839" t="s">
        <v>138</v>
      </c>
      <c r="AD2839" t="s">
        <v>129</v>
      </c>
      <c r="AE2839" s="97"/>
    </row>
    <row r="2840" spans="1:31" ht="14.4" customHeight="1" x14ac:dyDescent="0.3">
      <c r="A2840" t="s">
        <v>5430</v>
      </c>
      <c r="B2840" t="s">
        <v>511</v>
      </c>
      <c r="C2840"/>
      <c r="D2840"/>
      <c r="E2840"/>
      <c r="F2840"/>
      <c r="G2840" t="s">
        <v>5356</v>
      </c>
      <c r="H2840" t="s">
        <v>132</v>
      </c>
      <c r="I2840" t="s">
        <v>1</v>
      </c>
      <c r="J2840" t="s">
        <v>5298</v>
      </c>
      <c r="K2840" t="s">
        <v>51</v>
      </c>
      <c r="L2840" t="s">
        <v>503</v>
      </c>
      <c r="M2840" t="s">
        <v>134</v>
      </c>
      <c r="N2840" t="s">
        <v>135</v>
      </c>
      <c r="O2840"/>
      <c r="P2840"/>
      <c r="Q2840" t="s">
        <v>168</v>
      </c>
      <c r="R2840"/>
      <c r="S2840"/>
      <c r="T2840" t="s">
        <v>169</v>
      </c>
      <c r="U2840" t="s">
        <v>137</v>
      </c>
      <c r="V2840" t="s">
        <v>153</v>
      </c>
      <c r="W2840"/>
      <c r="X2840" t="s">
        <v>88</v>
      </c>
      <c r="Y2840"/>
      <c r="Z2840"/>
      <c r="AA2840" t="s">
        <v>292</v>
      </c>
      <c r="AB2840" t="s">
        <v>1</v>
      </c>
      <c r="AC2840" t="s">
        <v>138</v>
      </c>
      <c r="AD2840" t="s">
        <v>129</v>
      </c>
      <c r="AE2840" s="97"/>
    </row>
    <row r="2841" spans="1:31" ht="14.4" customHeight="1" x14ac:dyDescent="0.3">
      <c r="A2841" t="s">
        <v>5431</v>
      </c>
      <c r="B2841" t="s">
        <v>513</v>
      </c>
      <c r="C2841"/>
      <c r="D2841"/>
      <c r="E2841"/>
      <c r="F2841"/>
      <c r="G2841" t="s">
        <v>5356</v>
      </c>
      <c r="H2841" t="s">
        <v>132</v>
      </c>
      <c r="I2841" t="s">
        <v>1</v>
      </c>
      <c r="J2841" t="s">
        <v>5298</v>
      </c>
      <c r="K2841" t="s">
        <v>51</v>
      </c>
      <c r="L2841" t="s">
        <v>503</v>
      </c>
      <c r="M2841" t="s">
        <v>134</v>
      </c>
      <c r="N2841" t="s">
        <v>135</v>
      </c>
      <c r="O2841"/>
      <c r="P2841"/>
      <c r="Q2841" t="s">
        <v>168</v>
      </c>
      <c r="R2841"/>
      <c r="S2841"/>
      <c r="T2841" t="s">
        <v>169</v>
      </c>
      <c r="U2841" t="s">
        <v>137</v>
      </c>
      <c r="V2841" t="s">
        <v>153</v>
      </c>
      <c r="W2841"/>
      <c r="X2841" t="s">
        <v>88</v>
      </c>
      <c r="Y2841"/>
      <c r="Z2841"/>
      <c r="AA2841" t="s">
        <v>292</v>
      </c>
      <c r="AB2841" t="s">
        <v>1</v>
      </c>
      <c r="AC2841" t="s">
        <v>138</v>
      </c>
      <c r="AD2841" t="s">
        <v>129</v>
      </c>
      <c r="AE2841" s="97"/>
    </row>
    <row r="2842" spans="1:31" ht="14.4" customHeight="1" x14ac:dyDescent="0.3">
      <c r="A2842" t="s">
        <v>5432</v>
      </c>
      <c r="B2842" t="s">
        <v>515</v>
      </c>
      <c r="C2842"/>
      <c r="D2842"/>
      <c r="E2842"/>
      <c r="F2842"/>
      <c r="G2842" t="s">
        <v>5356</v>
      </c>
      <c r="H2842" t="s">
        <v>132</v>
      </c>
      <c r="I2842" t="s">
        <v>1</v>
      </c>
      <c r="J2842" t="s">
        <v>5298</v>
      </c>
      <c r="K2842" t="s">
        <v>51</v>
      </c>
      <c r="L2842" t="s">
        <v>516</v>
      </c>
      <c r="M2842" t="s">
        <v>134</v>
      </c>
      <c r="N2842" t="s">
        <v>135</v>
      </c>
      <c r="O2842"/>
      <c r="P2842"/>
      <c r="Q2842" t="s">
        <v>168</v>
      </c>
      <c r="R2842"/>
      <c r="S2842"/>
      <c r="T2842" t="s">
        <v>169</v>
      </c>
      <c r="U2842" t="s">
        <v>137</v>
      </c>
      <c r="V2842" t="s">
        <v>153</v>
      </c>
      <c r="W2842"/>
      <c r="X2842" t="s">
        <v>88</v>
      </c>
      <c r="Y2842"/>
      <c r="Z2842"/>
      <c r="AA2842" t="s">
        <v>292</v>
      </c>
      <c r="AB2842" t="s">
        <v>1</v>
      </c>
      <c r="AC2842" t="s">
        <v>138</v>
      </c>
      <c r="AD2842" t="s">
        <v>129</v>
      </c>
      <c r="AE2842" s="97"/>
    </row>
    <row r="2843" spans="1:31" ht="14.4" customHeight="1" x14ac:dyDescent="0.3">
      <c r="A2843" t="s">
        <v>5433</v>
      </c>
      <c r="B2843" t="s">
        <v>518</v>
      </c>
      <c r="C2843"/>
      <c r="D2843"/>
      <c r="E2843"/>
      <c r="F2843"/>
      <c r="G2843" t="s">
        <v>5356</v>
      </c>
      <c r="H2843" t="s">
        <v>132</v>
      </c>
      <c r="I2843" t="s">
        <v>1</v>
      </c>
      <c r="J2843" t="s">
        <v>5298</v>
      </c>
      <c r="K2843" t="s">
        <v>51</v>
      </c>
      <c r="L2843" t="s">
        <v>516</v>
      </c>
      <c r="M2843" t="s">
        <v>134</v>
      </c>
      <c r="N2843" t="s">
        <v>135</v>
      </c>
      <c r="O2843"/>
      <c r="P2843"/>
      <c r="Q2843" t="s">
        <v>168</v>
      </c>
      <c r="R2843"/>
      <c r="S2843"/>
      <c r="T2843" t="s">
        <v>169</v>
      </c>
      <c r="U2843" t="s">
        <v>137</v>
      </c>
      <c r="V2843" t="s">
        <v>153</v>
      </c>
      <c r="W2843"/>
      <c r="X2843" t="s">
        <v>88</v>
      </c>
      <c r="Y2843"/>
      <c r="Z2843"/>
      <c r="AA2843" t="s">
        <v>292</v>
      </c>
      <c r="AB2843" t="s">
        <v>1</v>
      </c>
      <c r="AC2843" t="s">
        <v>138</v>
      </c>
      <c r="AD2843" t="s">
        <v>129</v>
      </c>
      <c r="AE2843" s="97"/>
    </row>
    <row r="2844" spans="1:31" ht="14.4" customHeight="1" x14ac:dyDescent="0.3">
      <c r="A2844" t="s">
        <v>5434</v>
      </c>
      <c r="B2844" t="s">
        <v>520</v>
      </c>
      <c r="C2844"/>
      <c r="D2844"/>
      <c r="E2844"/>
      <c r="F2844"/>
      <c r="G2844" t="s">
        <v>5356</v>
      </c>
      <c r="H2844" t="s">
        <v>132</v>
      </c>
      <c r="I2844" t="s">
        <v>1</v>
      </c>
      <c r="J2844" t="s">
        <v>5298</v>
      </c>
      <c r="K2844" t="s">
        <v>51</v>
      </c>
      <c r="L2844" t="s">
        <v>516</v>
      </c>
      <c r="M2844" t="s">
        <v>134</v>
      </c>
      <c r="N2844" t="s">
        <v>135</v>
      </c>
      <c r="O2844"/>
      <c r="P2844"/>
      <c r="Q2844" t="s">
        <v>168</v>
      </c>
      <c r="R2844"/>
      <c r="S2844"/>
      <c r="T2844" t="s">
        <v>169</v>
      </c>
      <c r="U2844" t="s">
        <v>137</v>
      </c>
      <c r="V2844" t="s">
        <v>153</v>
      </c>
      <c r="W2844"/>
      <c r="X2844" t="s">
        <v>88</v>
      </c>
      <c r="Y2844"/>
      <c r="Z2844"/>
      <c r="AA2844" t="s">
        <v>292</v>
      </c>
      <c r="AB2844" t="s">
        <v>1</v>
      </c>
      <c r="AC2844" t="s">
        <v>138</v>
      </c>
      <c r="AD2844" t="s">
        <v>129</v>
      </c>
      <c r="AE2844" s="97"/>
    </row>
    <row r="2845" spans="1:31" ht="14.4" customHeight="1" x14ac:dyDescent="0.3">
      <c r="A2845" t="s">
        <v>5435</v>
      </c>
      <c r="B2845" t="s">
        <v>522</v>
      </c>
      <c r="C2845"/>
      <c r="D2845"/>
      <c r="E2845"/>
      <c r="F2845"/>
      <c r="G2845" t="s">
        <v>5356</v>
      </c>
      <c r="H2845" t="s">
        <v>132</v>
      </c>
      <c r="I2845" t="s">
        <v>1</v>
      </c>
      <c r="J2845" t="s">
        <v>5298</v>
      </c>
      <c r="K2845" t="s">
        <v>51</v>
      </c>
      <c r="L2845" t="s">
        <v>516</v>
      </c>
      <c r="M2845" t="s">
        <v>134</v>
      </c>
      <c r="N2845" t="s">
        <v>135</v>
      </c>
      <c r="O2845"/>
      <c r="P2845"/>
      <c r="Q2845" t="s">
        <v>168</v>
      </c>
      <c r="R2845"/>
      <c r="S2845"/>
      <c r="T2845" t="s">
        <v>169</v>
      </c>
      <c r="U2845" t="s">
        <v>137</v>
      </c>
      <c r="V2845" t="s">
        <v>153</v>
      </c>
      <c r="W2845"/>
      <c r="X2845" t="s">
        <v>88</v>
      </c>
      <c r="Y2845"/>
      <c r="Z2845"/>
      <c r="AA2845" t="s">
        <v>292</v>
      </c>
      <c r="AB2845" t="s">
        <v>1</v>
      </c>
      <c r="AC2845" t="s">
        <v>138</v>
      </c>
      <c r="AD2845" t="s">
        <v>129</v>
      </c>
      <c r="AE2845" s="97"/>
    </row>
    <row r="2846" spans="1:31" ht="14.4" customHeight="1" x14ac:dyDescent="0.3">
      <c r="A2846" t="s">
        <v>5436</v>
      </c>
      <c r="B2846" t="s">
        <v>524</v>
      </c>
      <c r="C2846"/>
      <c r="D2846"/>
      <c r="E2846"/>
      <c r="F2846"/>
      <c r="G2846" t="s">
        <v>5356</v>
      </c>
      <c r="H2846" t="s">
        <v>132</v>
      </c>
      <c r="I2846" t="s">
        <v>1</v>
      </c>
      <c r="J2846" t="s">
        <v>5298</v>
      </c>
      <c r="K2846" t="s">
        <v>51</v>
      </c>
      <c r="L2846" t="s">
        <v>516</v>
      </c>
      <c r="M2846" t="s">
        <v>134</v>
      </c>
      <c r="N2846" t="s">
        <v>135</v>
      </c>
      <c r="O2846"/>
      <c r="P2846"/>
      <c r="Q2846" t="s">
        <v>168</v>
      </c>
      <c r="R2846"/>
      <c r="S2846"/>
      <c r="T2846" t="s">
        <v>169</v>
      </c>
      <c r="U2846" t="s">
        <v>137</v>
      </c>
      <c r="V2846" t="s">
        <v>153</v>
      </c>
      <c r="W2846"/>
      <c r="X2846" t="s">
        <v>88</v>
      </c>
      <c r="Y2846"/>
      <c r="Z2846"/>
      <c r="AA2846" t="s">
        <v>292</v>
      </c>
      <c r="AB2846" t="s">
        <v>1</v>
      </c>
      <c r="AC2846" t="s">
        <v>138</v>
      </c>
      <c r="AD2846" t="s">
        <v>129</v>
      </c>
      <c r="AE2846" s="97"/>
    </row>
    <row r="2847" spans="1:31" ht="14.4" customHeight="1" x14ac:dyDescent="0.3">
      <c r="A2847" t="s">
        <v>5437</v>
      </c>
      <c r="B2847" t="s">
        <v>526</v>
      </c>
      <c r="C2847"/>
      <c r="D2847"/>
      <c r="E2847"/>
      <c r="F2847"/>
      <c r="G2847" t="s">
        <v>5356</v>
      </c>
      <c r="H2847" t="s">
        <v>132</v>
      </c>
      <c r="I2847" t="s">
        <v>1</v>
      </c>
      <c r="J2847" t="s">
        <v>5298</v>
      </c>
      <c r="K2847" t="s">
        <v>51</v>
      </c>
      <c r="L2847" t="s">
        <v>516</v>
      </c>
      <c r="M2847" t="s">
        <v>134</v>
      </c>
      <c r="N2847" t="s">
        <v>135</v>
      </c>
      <c r="O2847"/>
      <c r="P2847"/>
      <c r="Q2847" t="s">
        <v>168</v>
      </c>
      <c r="R2847"/>
      <c r="S2847"/>
      <c r="T2847" t="s">
        <v>169</v>
      </c>
      <c r="U2847" t="s">
        <v>137</v>
      </c>
      <c r="V2847" t="s">
        <v>153</v>
      </c>
      <c r="W2847"/>
      <c r="X2847" t="s">
        <v>88</v>
      </c>
      <c r="Y2847"/>
      <c r="Z2847"/>
      <c r="AA2847" t="s">
        <v>292</v>
      </c>
      <c r="AB2847" t="s">
        <v>1</v>
      </c>
      <c r="AC2847" t="s">
        <v>138</v>
      </c>
      <c r="AD2847" t="s">
        <v>129</v>
      </c>
      <c r="AE2847" s="97"/>
    </row>
    <row r="2848" spans="1:31" ht="14.4" customHeight="1" x14ac:dyDescent="0.3">
      <c r="A2848" t="s">
        <v>5438</v>
      </c>
      <c r="B2848" t="s">
        <v>528</v>
      </c>
      <c r="C2848"/>
      <c r="D2848"/>
      <c r="E2848"/>
      <c r="F2848"/>
      <c r="G2848" t="s">
        <v>5356</v>
      </c>
      <c r="H2848" t="s">
        <v>132</v>
      </c>
      <c r="I2848" t="s">
        <v>1</v>
      </c>
      <c r="J2848" t="s">
        <v>5298</v>
      </c>
      <c r="K2848" t="s">
        <v>51</v>
      </c>
      <c r="L2848" t="s">
        <v>529</v>
      </c>
      <c r="M2848" t="s">
        <v>134</v>
      </c>
      <c r="N2848" t="s">
        <v>135</v>
      </c>
      <c r="O2848"/>
      <c r="P2848"/>
      <c r="Q2848" t="s">
        <v>168</v>
      </c>
      <c r="R2848"/>
      <c r="S2848"/>
      <c r="T2848" t="s">
        <v>169</v>
      </c>
      <c r="U2848" t="s">
        <v>137</v>
      </c>
      <c r="V2848" t="s">
        <v>156</v>
      </c>
      <c r="W2848"/>
      <c r="X2848" t="s">
        <v>97</v>
      </c>
      <c r="Y2848"/>
      <c r="Z2848"/>
      <c r="AA2848" t="s">
        <v>292</v>
      </c>
      <c r="AB2848" t="s">
        <v>1</v>
      </c>
      <c r="AC2848" t="s">
        <v>138</v>
      </c>
      <c r="AD2848" t="s">
        <v>129</v>
      </c>
      <c r="AE2848" s="97"/>
    </row>
    <row r="2849" spans="1:31" ht="14.4" customHeight="1" x14ac:dyDescent="0.3">
      <c r="A2849" t="s">
        <v>5439</v>
      </c>
      <c r="B2849" t="s">
        <v>531</v>
      </c>
      <c r="C2849"/>
      <c r="D2849"/>
      <c r="E2849"/>
      <c r="F2849"/>
      <c r="G2849" t="s">
        <v>5356</v>
      </c>
      <c r="H2849" t="s">
        <v>132</v>
      </c>
      <c r="I2849" t="s">
        <v>1</v>
      </c>
      <c r="J2849" t="s">
        <v>5298</v>
      </c>
      <c r="K2849" t="s">
        <v>51</v>
      </c>
      <c r="L2849" t="s">
        <v>529</v>
      </c>
      <c r="M2849" t="s">
        <v>134</v>
      </c>
      <c r="N2849" t="s">
        <v>135</v>
      </c>
      <c r="O2849"/>
      <c r="P2849"/>
      <c r="Q2849" t="s">
        <v>168</v>
      </c>
      <c r="R2849"/>
      <c r="S2849"/>
      <c r="T2849" t="s">
        <v>169</v>
      </c>
      <c r="U2849" t="s">
        <v>137</v>
      </c>
      <c r="V2849" t="s">
        <v>156</v>
      </c>
      <c r="W2849"/>
      <c r="X2849" t="s">
        <v>97</v>
      </c>
      <c r="Y2849"/>
      <c r="Z2849"/>
      <c r="AA2849" t="s">
        <v>292</v>
      </c>
      <c r="AB2849" t="s">
        <v>1</v>
      </c>
      <c r="AC2849" t="s">
        <v>138</v>
      </c>
      <c r="AD2849" t="s">
        <v>129</v>
      </c>
      <c r="AE2849" s="97"/>
    </row>
    <row r="2850" spans="1:31" ht="14.4" customHeight="1" x14ac:dyDescent="0.3">
      <c r="A2850" t="s">
        <v>5440</v>
      </c>
      <c r="B2850" t="s">
        <v>533</v>
      </c>
      <c r="C2850"/>
      <c r="D2850"/>
      <c r="E2850"/>
      <c r="F2850"/>
      <c r="G2850" t="s">
        <v>5356</v>
      </c>
      <c r="H2850" t="s">
        <v>132</v>
      </c>
      <c r="I2850" t="s">
        <v>1</v>
      </c>
      <c r="J2850" t="s">
        <v>5298</v>
      </c>
      <c r="K2850" t="s">
        <v>51</v>
      </c>
      <c r="L2850" t="s">
        <v>529</v>
      </c>
      <c r="M2850" t="s">
        <v>134</v>
      </c>
      <c r="N2850" t="s">
        <v>135</v>
      </c>
      <c r="O2850"/>
      <c r="P2850"/>
      <c r="Q2850" t="s">
        <v>168</v>
      </c>
      <c r="R2850"/>
      <c r="S2850"/>
      <c r="T2850" t="s">
        <v>169</v>
      </c>
      <c r="U2850" t="s">
        <v>137</v>
      </c>
      <c r="V2850" t="s">
        <v>156</v>
      </c>
      <c r="W2850"/>
      <c r="X2850" t="s">
        <v>97</v>
      </c>
      <c r="Y2850"/>
      <c r="Z2850"/>
      <c r="AA2850" t="s">
        <v>292</v>
      </c>
      <c r="AB2850" t="s">
        <v>1</v>
      </c>
      <c r="AC2850" t="s">
        <v>138</v>
      </c>
      <c r="AD2850" t="s">
        <v>129</v>
      </c>
      <c r="AE2850" s="97"/>
    </row>
    <row r="2851" spans="1:31" ht="14.4" customHeight="1" x14ac:dyDescent="0.3">
      <c r="A2851" t="s">
        <v>5441</v>
      </c>
      <c r="B2851" t="s">
        <v>535</v>
      </c>
      <c r="C2851"/>
      <c r="D2851"/>
      <c r="E2851"/>
      <c r="F2851"/>
      <c r="G2851" t="s">
        <v>5356</v>
      </c>
      <c r="H2851" t="s">
        <v>132</v>
      </c>
      <c r="I2851" t="s">
        <v>1</v>
      </c>
      <c r="J2851" t="s">
        <v>5298</v>
      </c>
      <c r="K2851" t="s">
        <v>51</v>
      </c>
      <c r="L2851" t="s">
        <v>529</v>
      </c>
      <c r="M2851" t="s">
        <v>134</v>
      </c>
      <c r="N2851" t="s">
        <v>135</v>
      </c>
      <c r="O2851"/>
      <c r="P2851"/>
      <c r="Q2851" t="s">
        <v>168</v>
      </c>
      <c r="R2851"/>
      <c r="S2851"/>
      <c r="T2851" t="s">
        <v>169</v>
      </c>
      <c r="U2851" t="s">
        <v>137</v>
      </c>
      <c r="V2851" t="s">
        <v>156</v>
      </c>
      <c r="W2851"/>
      <c r="X2851" t="s">
        <v>97</v>
      </c>
      <c r="Y2851"/>
      <c r="Z2851"/>
      <c r="AA2851" t="s">
        <v>292</v>
      </c>
      <c r="AB2851" t="s">
        <v>1</v>
      </c>
      <c r="AC2851" t="s">
        <v>138</v>
      </c>
      <c r="AD2851" t="s">
        <v>129</v>
      </c>
      <c r="AE2851" s="97"/>
    </row>
    <row r="2852" spans="1:31" ht="14.4" customHeight="1" x14ac:dyDescent="0.3">
      <c r="A2852" t="s">
        <v>5442</v>
      </c>
      <c r="B2852" t="s">
        <v>537</v>
      </c>
      <c r="C2852"/>
      <c r="D2852"/>
      <c r="E2852"/>
      <c r="F2852"/>
      <c r="G2852" t="s">
        <v>5356</v>
      </c>
      <c r="H2852" t="s">
        <v>132</v>
      </c>
      <c r="I2852" t="s">
        <v>1</v>
      </c>
      <c r="J2852" t="s">
        <v>5298</v>
      </c>
      <c r="K2852" t="s">
        <v>51</v>
      </c>
      <c r="L2852" t="s">
        <v>529</v>
      </c>
      <c r="M2852" t="s">
        <v>134</v>
      </c>
      <c r="N2852" t="s">
        <v>135</v>
      </c>
      <c r="O2852"/>
      <c r="P2852"/>
      <c r="Q2852" t="s">
        <v>168</v>
      </c>
      <c r="R2852"/>
      <c r="S2852"/>
      <c r="T2852" t="s">
        <v>169</v>
      </c>
      <c r="U2852" t="s">
        <v>137</v>
      </c>
      <c r="V2852" t="s">
        <v>156</v>
      </c>
      <c r="W2852"/>
      <c r="X2852" t="s">
        <v>97</v>
      </c>
      <c r="Y2852"/>
      <c r="Z2852"/>
      <c r="AA2852" t="s">
        <v>292</v>
      </c>
      <c r="AB2852" t="s">
        <v>1</v>
      </c>
      <c r="AC2852" t="s">
        <v>138</v>
      </c>
      <c r="AD2852" t="s">
        <v>129</v>
      </c>
      <c r="AE2852" s="97"/>
    </row>
    <row r="2853" spans="1:31" ht="14.4" customHeight="1" x14ac:dyDescent="0.3">
      <c r="A2853" t="s">
        <v>5443</v>
      </c>
      <c r="B2853" t="s">
        <v>539</v>
      </c>
      <c r="C2853"/>
      <c r="D2853"/>
      <c r="E2853"/>
      <c r="F2853"/>
      <c r="G2853" t="s">
        <v>5356</v>
      </c>
      <c r="H2853" t="s">
        <v>132</v>
      </c>
      <c r="I2853" t="s">
        <v>1</v>
      </c>
      <c r="J2853" t="s">
        <v>5298</v>
      </c>
      <c r="K2853" t="s">
        <v>51</v>
      </c>
      <c r="L2853" t="s">
        <v>529</v>
      </c>
      <c r="M2853" t="s">
        <v>134</v>
      </c>
      <c r="N2853" t="s">
        <v>135</v>
      </c>
      <c r="O2853"/>
      <c r="P2853"/>
      <c r="Q2853" t="s">
        <v>168</v>
      </c>
      <c r="R2853"/>
      <c r="S2853"/>
      <c r="T2853" t="s">
        <v>169</v>
      </c>
      <c r="U2853" t="s">
        <v>137</v>
      </c>
      <c r="V2853" t="s">
        <v>156</v>
      </c>
      <c r="W2853"/>
      <c r="X2853" t="s">
        <v>97</v>
      </c>
      <c r="Y2853"/>
      <c r="Z2853"/>
      <c r="AA2853" t="s">
        <v>292</v>
      </c>
      <c r="AB2853" t="s">
        <v>1</v>
      </c>
      <c r="AC2853" t="s">
        <v>138</v>
      </c>
      <c r="AD2853" t="s">
        <v>129</v>
      </c>
      <c r="AE2853" s="97"/>
    </row>
    <row r="2854" spans="1:31" ht="14.4" customHeight="1" x14ac:dyDescent="0.3">
      <c r="A2854" t="s">
        <v>5444</v>
      </c>
      <c r="B2854" t="s">
        <v>541</v>
      </c>
      <c r="C2854"/>
      <c r="D2854"/>
      <c r="E2854"/>
      <c r="F2854"/>
      <c r="G2854" t="s">
        <v>5356</v>
      </c>
      <c r="H2854" t="s">
        <v>132</v>
      </c>
      <c r="I2854" t="s">
        <v>1</v>
      </c>
      <c r="J2854" t="s">
        <v>5298</v>
      </c>
      <c r="K2854" t="s">
        <v>51</v>
      </c>
      <c r="L2854" t="s">
        <v>542</v>
      </c>
      <c r="M2854" t="s">
        <v>134</v>
      </c>
      <c r="N2854" t="s">
        <v>135</v>
      </c>
      <c r="O2854"/>
      <c r="P2854"/>
      <c r="Q2854" t="s">
        <v>168</v>
      </c>
      <c r="R2854"/>
      <c r="S2854"/>
      <c r="T2854" t="s">
        <v>169</v>
      </c>
      <c r="U2854" t="s">
        <v>137</v>
      </c>
      <c r="V2854" t="s">
        <v>156</v>
      </c>
      <c r="W2854"/>
      <c r="X2854" t="s">
        <v>97</v>
      </c>
      <c r="Y2854"/>
      <c r="Z2854"/>
      <c r="AA2854" t="s">
        <v>292</v>
      </c>
      <c r="AB2854" t="s">
        <v>1</v>
      </c>
      <c r="AC2854" t="s">
        <v>138</v>
      </c>
      <c r="AD2854" t="s">
        <v>129</v>
      </c>
      <c r="AE2854" s="97"/>
    </row>
    <row r="2855" spans="1:31" ht="14.4" customHeight="1" x14ac:dyDescent="0.3">
      <c r="A2855" t="s">
        <v>5445</v>
      </c>
      <c r="B2855" t="s">
        <v>544</v>
      </c>
      <c r="C2855"/>
      <c r="D2855"/>
      <c r="E2855"/>
      <c r="F2855"/>
      <c r="G2855" t="s">
        <v>5356</v>
      </c>
      <c r="H2855" t="s">
        <v>132</v>
      </c>
      <c r="I2855" t="s">
        <v>1</v>
      </c>
      <c r="J2855" t="s">
        <v>5298</v>
      </c>
      <c r="K2855" t="s">
        <v>51</v>
      </c>
      <c r="L2855" t="s">
        <v>542</v>
      </c>
      <c r="M2855" t="s">
        <v>134</v>
      </c>
      <c r="N2855" t="s">
        <v>135</v>
      </c>
      <c r="O2855"/>
      <c r="P2855"/>
      <c r="Q2855" t="s">
        <v>168</v>
      </c>
      <c r="R2855"/>
      <c r="S2855"/>
      <c r="T2855" t="s">
        <v>169</v>
      </c>
      <c r="U2855" t="s">
        <v>137</v>
      </c>
      <c r="V2855" t="s">
        <v>156</v>
      </c>
      <c r="W2855"/>
      <c r="X2855" t="s">
        <v>97</v>
      </c>
      <c r="Y2855"/>
      <c r="Z2855"/>
      <c r="AA2855" t="s">
        <v>292</v>
      </c>
      <c r="AB2855" t="s">
        <v>1</v>
      </c>
      <c r="AC2855" t="s">
        <v>138</v>
      </c>
      <c r="AD2855" t="s">
        <v>129</v>
      </c>
      <c r="AE2855" s="97"/>
    </row>
    <row r="2856" spans="1:31" ht="14.4" customHeight="1" x14ac:dyDescent="0.3">
      <c r="A2856" t="s">
        <v>5446</v>
      </c>
      <c r="B2856" t="s">
        <v>546</v>
      </c>
      <c r="C2856"/>
      <c r="D2856"/>
      <c r="E2856"/>
      <c r="F2856"/>
      <c r="G2856" t="s">
        <v>5356</v>
      </c>
      <c r="H2856" t="s">
        <v>132</v>
      </c>
      <c r="I2856" t="s">
        <v>1</v>
      </c>
      <c r="J2856" t="s">
        <v>5298</v>
      </c>
      <c r="K2856" t="s">
        <v>51</v>
      </c>
      <c r="L2856" t="s">
        <v>542</v>
      </c>
      <c r="M2856" t="s">
        <v>134</v>
      </c>
      <c r="N2856" t="s">
        <v>135</v>
      </c>
      <c r="O2856"/>
      <c r="P2856"/>
      <c r="Q2856" t="s">
        <v>168</v>
      </c>
      <c r="R2856"/>
      <c r="S2856"/>
      <c r="T2856" t="s">
        <v>169</v>
      </c>
      <c r="U2856" t="s">
        <v>137</v>
      </c>
      <c r="V2856" t="s">
        <v>156</v>
      </c>
      <c r="W2856"/>
      <c r="X2856" t="s">
        <v>97</v>
      </c>
      <c r="Y2856"/>
      <c r="Z2856"/>
      <c r="AA2856" t="s">
        <v>292</v>
      </c>
      <c r="AB2856" t="s">
        <v>1</v>
      </c>
      <c r="AC2856" t="s">
        <v>138</v>
      </c>
      <c r="AD2856" t="s">
        <v>129</v>
      </c>
      <c r="AE2856" s="97"/>
    </row>
    <row r="2857" spans="1:31" ht="14.4" customHeight="1" x14ac:dyDescent="0.3">
      <c r="A2857" t="s">
        <v>5447</v>
      </c>
      <c r="B2857" t="s">
        <v>548</v>
      </c>
      <c r="C2857"/>
      <c r="D2857"/>
      <c r="E2857"/>
      <c r="F2857"/>
      <c r="G2857" t="s">
        <v>5356</v>
      </c>
      <c r="H2857" t="s">
        <v>132</v>
      </c>
      <c r="I2857" t="s">
        <v>1</v>
      </c>
      <c r="J2857" t="s">
        <v>5298</v>
      </c>
      <c r="K2857" t="s">
        <v>51</v>
      </c>
      <c r="L2857" t="s">
        <v>542</v>
      </c>
      <c r="M2857" t="s">
        <v>134</v>
      </c>
      <c r="N2857" t="s">
        <v>135</v>
      </c>
      <c r="O2857"/>
      <c r="P2857"/>
      <c r="Q2857" t="s">
        <v>168</v>
      </c>
      <c r="R2857"/>
      <c r="S2857"/>
      <c r="T2857" t="s">
        <v>169</v>
      </c>
      <c r="U2857" t="s">
        <v>137</v>
      </c>
      <c r="V2857" t="s">
        <v>156</v>
      </c>
      <c r="W2857"/>
      <c r="X2857" t="s">
        <v>97</v>
      </c>
      <c r="Y2857"/>
      <c r="Z2857"/>
      <c r="AA2857" t="s">
        <v>292</v>
      </c>
      <c r="AB2857" t="s">
        <v>1</v>
      </c>
      <c r="AC2857" t="s">
        <v>138</v>
      </c>
      <c r="AD2857" t="s">
        <v>129</v>
      </c>
      <c r="AE2857" s="97"/>
    </row>
    <row r="2858" spans="1:31" ht="14.4" customHeight="1" x14ac:dyDescent="0.3">
      <c r="A2858" t="s">
        <v>5448</v>
      </c>
      <c r="B2858" t="s">
        <v>550</v>
      </c>
      <c r="C2858"/>
      <c r="D2858"/>
      <c r="E2858"/>
      <c r="F2858"/>
      <c r="G2858" t="s">
        <v>5356</v>
      </c>
      <c r="H2858" t="s">
        <v>132</v>
      </c>
      <c r="I2858" t="s">
        <v>1</v>
      </c>
      <c r="J2858" t="s">
        <v>5298</v>
      </c>
      <c r="K2858" t="s">
        <v>51</v>
      </c>
      <c r="L2858" t="s">
        <v>542</v>
      </c>
      <c r="M2858" t="s">
        <v>134</v>
      </c>
      <c r="N2858" t="s">
        <v>135</v>
      </c>
      <c r="O2858"/>
      <c r="P2858"/>
      <c r="Q2858" t="s">
        <v>168</v>
      </c>
      <c r="R2858"/>
      <c r="S2858"/>
      <c r="T2858" t="s">
        <v>169</v>
      </c>
      <c r="U2858" t="s">
        <v>137</v>
      </c>
      <c r="V2858" t="s">
        <v>156</v>
      </c>
      <c r="W2858"/>
      <c r="X2858" t="s">
        <v>97</v>
      </c>
      <c r="Y2858"/>
      <c r="Z2858"/>
      <c r="AA2858" t="s">
        <v>292</v>
      </c>
      <c r="AB2858" t="s">
        <v>1</v>
      </c>
      <c r="AC2858" t="s">
        <v>138</v>
      </c>
      <c r="AD2858" t="s">
        <v>129</v>
      </c>
      <c r="AE2858" s="97"/>
    </row>
    <row r="2859" spans="1:31" ht="14.4" customHeight="1" x14ac:dyDescent="0.3">
      <c r="A2859" t="s">
        <v>5449</v>
      </c>
      <c r="B2859" t="s">
        <v>552</v>
      </c>
      <c r="C2859"/>
      <c r="D2859"/>
      <c r="E2859"/>
      <c r="F2859"/>
      <c r="G2859" t="s">
        <v>5356</v>
      </c>
      <c r="H2859" t="s">
        <v>132</v>
      </c>
      <c r="I2859" t="s">
        <v>1</v>
      </c>
      <c r="J2859" t="s">
        <v>5298</v>
      </c>
      <c r="K2859" t="s">
        <v>51</v>
      </c>
      <c r="L2859" t="s">
        <v>542</v>
      </c>
      <c r="M2859" t="s">
        <v>134</v>
      </c>
      <c r="N2859" t="s">
        <v>135</v>
      </c>
      <c r="O2859"/>
      <c r="P2859"/>
      <c r="Q2859" t="s">
        <v>168</v>
      </c>
      <c r="R2859"/>
      <c r="S2859"/>
      <c r="T2859" t="s">
        <v>169</v>
      </c>
      <c r="U2859" t="s">
        <v>137</v>
      </c>
      <c r="V2859" t="s">
        <v>156</v>
      </c>
      <c r="W2859"/>
      <c r="X2859" t="s">
        <v>97</v>
      </c>
      <c r="Y2859"/>
      <c r="Z2859"/>
      <c r="AA2859" t="s">
        <v>292</v>
      </c>
      <c r="AB2859" t="s">
        <v>1</v>
      </c>
      <c r="AC2859" t="s">
        <v>138</v>
      </c>
      <c r="AD2859" t="s">
        <v>129</v>
      </c>
      <c r="AE2859" s="97"/>
    </row>
    <row r="2860" spans="1:31" ht="14.4" customHeight="1" x14ac:dyDescent="0.3">
      <c r="A2860" t="s">
        <v>5450</v>
      </c>
      <c r="B2860" t="s">
        <v>554</v>
      </c>
      <c r="C2860"/>
      <c r="D2860"/>
      <c r="E2860"/>
      <c r="F2860"/>
      <c r="G2860" t="s">
        <v>5356</v>
      </c>
      <c r="H2860" t="s">
        <v>132</v>
      </c>
      <c r="I2860" t="s">
        <v>1</v>
      </c>
      <c r="J2860" t="s">
        <v>5298</v>
      </c>
      <c r="K2860" t="s">
        <v>51</v>
      </c>
      <c r="L2860" t="s">
        <v>555</v>
      </c>
      <c r="M2860" t="s">
        <v>134</v>
      </c>
      <c r="N2860" t="s">
        <v>135</v>
      </c>
      <c r="O2860"/>
      <c r="P2860"/>
      <c r="Q2860" t="s">
        <v>168</v>
      </c>
      <c r="R2860"/>
      <c r="S2860"/>
      <c r="T2860" t="s">
        <v>169</v>
      </c>
      <c r="U2860" t="s">
        <v>137</v>
      </c>
      <c r="V2860" t="s">
        <v>159</v>
      </c>
      <c r="W2860"/>
      <c r="X2860" t="s">
        <v>106</v>
      </c>
      <c r="Y2860"/>
      <c r="Z2860"/>
      <c r="AA2860" t="s">
        <v>292</v>
      </c>
      <c r="AB2860" t="s">
        <v>1</v>
      </c>
      <c r="AC2860" t="s">
        <v>138</v>
      </c>
      <c r="AD2860" t="s">
        <v>129</v>
      </c>
      <c r="AE2860" s="97"/>
    </row>
    <row r="2861" spans="1:31" ht="14.4" customHeight="1" x14ac:dyDescent="0.3">
      <c r="A2861" t="s">
        <v>5451</v>
      </c>
      <c r="B2861" t="s">
        <v>557</v>
      </c>
      <c r="C2861"/>
      <c r="D2861"/>
      <c r="E2861"/>
      <c r="F2861"/>
      <c r="G2861" t="s">
        <v>5356</v>
      </c>
      <c r="H2861" t="s">
        <v>132</v>
      </c>
      <c r="I2861" t="s">
        <v>1</v>
      </c>
      <c r="J2861" t="s">
        <v>5298</v>
      </c>
      <c r="K2861" t="s">
        <v>51</v>
      </c>
      <c r="L2861" t="s">
        <v>555</v>
      </c>
      <c r="M2861" t="s">
        <v>134</v>
      </c>
      <c r="N2861" t="s">
        <v>135</v>
      </c>
      <c r="O2861"/>
      <c r="P2861"/>
      <c r="Q2861" t="s">
        <v>168</v>
      </c>
      <c r="R2861"/>
      <c r="S2861"/>
      <c r="T2861" t="s">
        <v>169</v>
      </c>
      <c r="U2861" t="s">
        <v>137</v>
      </c>
      <c r="V2861" t="s">
        <v>159</v>
      </c>
      <c r="W2861"/>
      <c r="X2861" t="s">
        <v>106</v>
      </c>
      <c r="Y2861"/>
      <c r="Z2861"/>
      <c r="AA2861" t="s">
        <v>292</v>
      </c>
      <c r="AB2861" t="s">
        <v>1</v>
      </c>
      <c r="AC2861" t="s">
        <v>138</v>
      </c>
      <c r="AD2861" t="s">
        <v>129</v>
      </c>
      <c r="AE2861" s="97"/>
    </row>
    <row r="2862" spans="1:31" ht="14.4" customHeight="1" x14ac:dyDescent="0.3">
      <c r="A2862" t="s">
        <v>5452</v>
      </c>
      <c r="B2862" t="s">
        <v>559</v>
      </c>
      <c r="C2862"/>
      <c r="D2862"/>
      <c r="E2862"/>
      <c r="F2862"/>
      <c r="G2862" t="s">
        <v>5356</v>
      </c>
      <c r="H2862" t="s">
        <v>132</v>
      </c>
      <c r="I2862" t="s">
        <v>1</v>
      </c>
      <c r="J2862" t="s">
        <v>5298</v>
      </c>
      <c r="K2862" t="s">
        <v>51</v>
      </c>
      <c r="L2862" t="s">
        <v>555</v>
      </c>
      <c r="M2862" t="s">
        <v>134</v>
      </c>
      <c r="N2862" t="s">
        <v>135</v>
      </c>
      <c r="O2862"/>
      <c r="P2862"/>
      <c r="Q2862" t="s">
        <v>168</v>
      </c>
      <c r="R2862"/>
      <c r="S2862"/>
      <c r="T2862" t="s">
        <v>169</v>
      </c>
      <c r="U2862" t="s">
        <v>137</v>
      </c>
      <c r="V2862" t="s">
        <v>159</v>
      </c>
      <c r="W2862"/>
      <c r="X2862" t="s">
        <v>106</v>
      </c>
      <c r="Y2862"/>
      <c r="Z2862"/>
      <c r="AA2862" t="s">
        <v>292</v>
      </c>
      <c r="AB2862" t="s">
        <v>1</v>
      </c>
      <c r="AC2862" t="s">
        <v>138</v>
      </c>
      <c r="AD2862" t="s">
        <v>129</v>
      </c>
      <c r="AE2862" s="97"/>
    </row>
    <row r="2863" spans="1:31" ht="14.4" customHeight="1" x14ac:dyDescent="0.3">
      <c r="A2863" t="s">
        <v>5453</v>
      </c>
      <c r="B2863" t="s">
        <v>561</v>
      </c>
      <c r="C2863"/>
      <c r="D2863"/>
      <c r="E2863"/>
      <c r="F2863"/>
      <c r="G2863" t="s">
        <v>5356</v>
      </c>
      <c r="H2863" t="s">
        <v>132</v>
      </c>
      <c r="I2863" t="s">
        <v>1</v>
      </c>
      <c r="J2863" t="s">
        <v>5298</v>
      </c>
      <c r="K2863" t="s">
        <v>51</v>
      </c>
      <c r="L2863" t="s">
        <v>555</v>
      </c>
      <c r="M2863" t="s">
        <v>134</v>
      </c>
      <c r="N2863" t="s">
        <v>135</v>
      </c>
      <c r="O2863"/>
      <c r="P2863"/>
      <c r="Q2863" t="s">
        <v>168</v>
      </c>
      <c r="R2863"/>
      <c r="S2863"/>
      <c r="T2863" t="s">
        <v>169</v>
      </c>
      <c r="U2863" t="s">
        <v>137</v>
      </c>
      <c r="V2863" t="s">
        <v>159</v>
      </c>
      <c r="W2863"/>
      <c r="X2863" t="s">
        <v>106</v>
      </c>
      <c r="Y2863"/>
      <c r="Z2863"/>
      <c r="AA2863" t="s">
        <v>292</v>
      </c>
      <c r="AB2863" t="s">
        <v>1</v>
      </c>
      <c r="AC2863" t="s">
        <v>138</v>
      </c>
      <c r="AD2863" t="s">
        <v>129</v>
      </c>
      <c r="AE2863" s="97"/>
    </row>
    <row r="2864" spans="1:31" ht="14.4" customHeight="1" x14ac:dyDescent="0.3">
      <c r="A2864" t="s">
        <v>5454</v>
      </c>
      <c r="B2864" t="s">
        <v>563</v>
      </c>
      <c r="C2864"/>
      <c r="D2864"/>
      <c r="E2864"/>
      <c r="F2864"/>
      <c r="G2864" t="s">
        <v>5356</v>
      </c>
      <c r="H2864" t="s">
        <v>132</v>
      </c>
      <c r="I2864" t="s">
        <v>1</v>
      </c>
      <c r="J2864" t="s">
        <v>5298</v>
      </c>
      <c r="K2864" t="s">
        <v>51</v>
      </c>
      <c r="L2864" t="s">
        <v>555</v>
      </c>
      <c r="M2864" t="s">
        <v>134</v>
      </c>
      <c r="N2864" t="s">
        <v>135</v>
      </c>
      <c r="O2864"/>
      <c r="P2864"/>
      <c r="Q2864" t="s">
        <v>168</v>
      </c>
      <c r="R2864"/>
      <c r="S2864"/>
      <c r="T2864" t="s">
        <v>169</v>
      </c>
      <c r="U2864" t="s">
        <v>137</v>
      </c>
      <c r="V2864" t="s">
        <v>159</v>
      </c>
      <c r="W2864"/>
      <c r="X2864" t="s">
        <v>106</v>
      </c>
      <c r="Y2864"/>
      <c r="Z2864"/>
      <c r="AA2864" t="s">
        <v>292</v>
      </c>
      <c r="AB2864" t="s">
        <v>1</v>
      </c>
      <c r="AC2864" t="s">
        <v>138</v>
      </c>
      <c r="AD2864" t="s">
        <v>129</v>
      </c>
      <c r="AE2864" s="97"/>
    </row>
    <row r="2865" spans="1:31" ht="14.4" customHeight="1" x14ac:dyDescent="0.3">
      <c r="A2865" t="s">
        <v>5455</v>
      </c>
      <c r="B2865" t="s">
        <v>565</v>
      </c>
      <c r="C2865"/>
      <c r="D2865"/>
      <c r="E2865"/>
      <c r="F2865"/>
      <c r="G2865" t="s">
        <v>5356</v>
      </c>
      <c r="H2865" t="s">
        <v>132</v>
      </c>
      <c r="I2865" t="s">
        <v>1</v>
      </c>
      <c r="J2865" t="s">
        <v>5298</v>
      </c>
      <c r="K2865" t="s">
        <v>51</v>
      </c>
      <c r="L2865" t="s">
        <v>555</v>
      </c>
      <c r="M2865" t="s">
        <v>134</v>
      </c>
      <c r="N2865" t="s">
        <v>135</v>
      </c>
      <c r="O2865"/>
      <c r="P2865"/>
      <c r="Q2865" t="s">
        <v>168</v>
      </c>
      <c r="R2865"/>
      <c r="S2865"/>
      <c r="T2865" t="s">
        <v>169</v>
      </c>
      <c r="U2865" t="s">
        <v>137</v>
      </c>
      <c r="V2865" t="s">
        <v>159</v>
      </c>
      <c r="W2865"/>
      <c r="X2865" t="s">
        <v>106</v>
      </c>
      <c r="Y2865"/>
      <c r="Z2865"/>
      <c r="AA2865" t="s">
        <v>292</v>
      </c>
      <c r="AB2865" t="s">
        <v>1</v>
      </c>
      <c r="AC2865" t="s">
        <v>138</v>
      </c>
      <c r="AD2865" t="s">
        <v>129</v>
      </c>
      <c r="AE2865" s="97"/>
    </row>
    <row r="2866" spans="1:31" ht="14.4" customHeight="1" x14ac:dyDescent="0.3">
      <c r="A2866" t="s">
        <v>5456</v>
      </c>
      <c r="B2866" t="s">
        <v>567</v>
      </c>
      <c r="C2866"/>
      <c r="D2866"/>
      <c r="E2866"/>
      <c r="F2866"/>
      <c r="G2866" t="s">
        <v>5356</v>
      </c>
      <c r="H2866" t="s">
        <v>132</v>
      </c>
      <c r="I2866" t="s">
        <v>1</v>
      </c>
      <c r="J2866" t="s">
        <v>5298</v>
      </c>
      <c r="K2866" t="s">
        <v>51</v>
      </c>
      <c r="L2866" t="s">
        <v>568</v>
      </c>
      <c r="M2866" t="s">
        <v>134</v>
      </c>
      <c r="N2866" t="s">
        <v>135</v>
      </c>
      <c r="O2866"/>
      <c r="P2866"/>
      <c r="Q2866" t="s">
        <v>168</v>
      </c>
      <c r="R2866"/>
      <c r="S2866"/>
      <c r="T2866" t="s">
        <v>169</v>
      </c>
      <c r="U2866" t="s">
        <v>137</v>
      </c>
      <c r="V2866" t="s">
        <v>159</v>
      </c>
      <c r="W2866"/>
      <c r="X2866" t="s">
        <v>106</v>
      </c>
      <c r="Y2866"/>
      <c r="Z2866"/>
      <c r="AA2866" t="s">
        <v>292</v>
      </c>
      <c r="AB2866" t="s">
        <v>1</v>
      </c>
      <c r="AC2866" t="s">
        <v>138</v>
      </c>
      <c r="AD2866" t="s">
        <v>129</v>
      </c>
      <c r="AE2866" s="97"/>
    </row>
    <row r="2867" spans="1:31" ht="14.4" customHeight="1" x14ac:dyDescent="0.3">
      <c r="A2867" t="s">
        <v>5457</v>
      </c>
      <c r="B2867" t="s">
        <v>570</v>
      </c>
      <c r="C2867"/>
      <c r="D2867"/>
      <c r="E2867"/>
      <c r="F2867"/>
      <c r="G2867" t="s">
        <v>5356</v>
      </c>
      <c r="H2867" t="s">
        <v>132</v>
      </c>
      <c r="I2867" t="s">
        <v>1</v>
      </c>
      <c r="J2867" t="s">
        <v>5298</v>
      </c>
      <c r="K2867" t="s">
        <v>51</v>
      </c>
      <c r="L2867" t="s">
        <v>568</v>
      </c>
      <c r="M2867" t="s">
        <v>134</v>
      </c>
      <c r="N2867" t="s">
        <v>135</v>
      </c>
      <c r="O2867"/>
      <c r="P2867"/>
      <c r="Q2867" t="s">
        <v>168</v>
      </c>
      <c r="R2867"/>
      <c r="S2867"/>
      <c r="T2867" t="s">
        <v>169</v>
      </c>
      <c r="U2867" t="s">
        <v>137</v>
      </c>
      <c r="V2867" t="s">
        <v>159</v>
      </c>
      <c r="W2867"/>
      <c r="X2867" t="s">
        <v>106</v>
      </c>
      <c r="Y2867"/>
      <c r="Z2867"/>
      <c r="AA2867" t="s">
        <v>292</v>
      </c>
      <c r="AB2867" t="s">
        <v>1</v>
      </c>
      <c r="AC2867" t="s">
        <v>138</v>
      </c>
      <c r="AD2867" t="s">
        <v>129</v>
      </c>
      <c r="AE2867" s="97"/>
    </row>
    <row r="2868" spans="1:31" ht="14.4" customHeight="1" x14ac:dyDescent="0.3">
      <c r="A2868" t="s">
        <v>5458</v>
      </c>
      <c r="B2868" t="s">
        <v>572</v>
      </c>
      <c r="C2868"/>
      <c r="D2868"/>
      <c r="E2868"/>
      <c r="F2868"/>
      <c r="G2868" t="s">
        <v>5356</v>
      </c>
      <c r="H2868" t="s">
        <v>132</v>
      </c>
      <c r="I2868" t="s">
        <v>1</v>
      </c>
      <c r="J2868" t="s">
        <v>5298</v>
      </c>
      <c r="K2868" t="s">
        <v>51</v>
      </c>
      <c r="L2868" t="s">
        <v>568</v>
      </c>
      <c r="M2868" t="s">
        <v>134</v>
      </c>
      <c r="N2868" t="s">
        <v>135</v>
      </c>
      <c r="O2868"/>
      <c r="P2868"/>
      <c r="Q2868" t="s">
        <v>168</v>
      </c>
      <c r="R2868"/>
      <c r="S2868"/>
      <c r="T2868" t="s">
        <v>169</v>
      </c>
      <c r="U2868" t="s">
        <v>137</v>
      </c>
      <c r="V2868" t="s">
        <v>159</v>
      </c>
      <c r="W2868"/>
      <c r="X2868" t="s">
        <v>106</v>
      </c>
      <c r="Y2868"/>
      <c r="Z2868"/>
      <c r="AA2868" t="s">
        <v>292</v>
      </c>
      <c r="AB2868" t="s">
        <v>1</v>
      </c>
      <c r="AC2868" t="s">
        <v>138</v>
      </c>
      <c r="AD2868" t="s">
        <v>129</v>
      </c>
      <c r="AE2868" s="97"/>
    </row>
    <row r="2869" spans="1:31" ht="14.4" customHeight="1" x14ac:dyDescent="0.3">
      <c r="A2869" t="s">
        <v>5459</v>
      </c>
      <c r="B2869" t="s">
        <v>574</v>
      </c>
      <c r="C2869"/>
      <c r="D2869"/>
      <c r="E2869"/>
      <c r="F2869"/>
      <c r="G2869" t="s">
        <v>5356</v>
      </c>
      <c r="H2869" t="s">
        <v>132</v>
      </c>
      <c r="I2869" t="s">
        <v>1</v>
      </c>
      <c r="J2869" t="s">
        <v>5298</v>
      </c>
      <c r="K2869" t="s">
        <v>51</v>
      </c>
      <c r="L2869" t="s">
        <v>568</v>
      </c>
      <c r="M2869" t="s">
        <v>134</v>
      </c>
      <c r="N2869" t="s">
        <v>135</v>
      </c>
      <c r="O2869"/>
      <c r="P2869"/>
      <c r="Q2869" t="s">
        <v>168</v>
      </c>
      <c r="R2869"/>
      <c r="S2869"/>
      <c r="T2869" t="s">
        <v>169</v>
      </c>
      <c r="U2869" t="s">
        <v>137</v>
      </c>
      <c r="V2869" t="s">
        <v>159</v>
      </c>
      <c r="W2869"/>
      <c r="X2869" t="s">
        <v>106</v>
      </c>
      <c r="Y2869"/>
      <c r="Z2869"/>
      <c r="AA2869" t="s">
        <v>292</v>
      </c>
      <c r="AB2869" t="s">
        <v>1</v>
      </c>
      <c r="AC2869" t="s">
        <v>138</v>
      </c>
      <c r="AD2869" t="s">
        <v>129</v>
      </c>
      <c r="AE2869" s="97"/>
    </row>
    <row r="2870" spans="1:31" ht="14.4" customHeight="1" x14ac:dyDescent="0.3">
      <c r="A2870" t="s">
        <v>5460</v>
      </c>
      <c r="B2870" t="s">
        <v>576</v>
      </c>
      <c r="C2870"/>
      <c r="D2870"/>
      <c r="E2870"/>
      <c r="F2870"/>
      <c r="G2870" t="s">
        <v>5356</v>
      </c>
      <c r="H2870" t="s">
        <v>132</v>
      </c>
      <c r="I2870" t="s">
        <v>1</v>
      </c>
      <c r="J2870" t="s">
        <v>5298</v>
      </c>
      <c r="K2870" t="s">
        <v>51</v>
      </c>
      <c r="L2870" t="s">
        <v>568</v>
      </c>
      <c r="M2870" t="s">
        <v>134</v>
      </c>
      <c r="N2870" t="s">
        <v>135</v>
      </c>
      <c r="O2870"/>
      <c r="P2870"/>
      <c r="Q2870" t="s">
        <v>168</v>
      </c>
      <c r="R2870"/>
      <c r="S2870"/>
      <c r="T2870" t="s">
        <v>169</v>
      </c>
      <c r="U2870" t="s">
        <v>137</v>
      </c>
      <c r="V2870" t="s">
        <v>159</v>
      </c>
      <c r="W2870"/>
      <c r="X2870" t="s">
        <v>106</v>
      </c>
      <c r="Y2870"/>
      <c r="Z2870"/>
      <c r="AA2870" t="s">
        <v>292</v>
      </c>
      <c r="AB2870" t="s">
        <v>1</v>
      </c>
      <c r="AC2870" t="s">
        <v>138</v>
      </c>
      <c r="AD2870" t="s">
        <v>129</v>
      </c>
      <c r="AE2870" s="97"/>
    </row>
    <row r="2871" spans="1:31" ht="14.4" customHeight="1" x14ac:dyDescent="0.3">
      <c r="A2871" t="s">
        <v>5461</v>
      </c>
      <c r="B2871" t="s">
        <v>578</v>
      </c>
      <c r="C2871"/>
      <c r="D2871"/>
      <c r="E2871"/>
      <c r="F2871"/>
      <c r="G2871" t="s">
        <v>5356</v>
      </c>
      <c r="H2871" t="s">
        <v>132</v>
      </c>
      <c r="I2871" t="s">
        <v>1</v>
      </c>
      <c r="J2871" t="s">
        <v>5298</v>
      </c>
      <c r="K2871" t="s">
        <v>51</v>
      </c>
      <c r="L2871" t="s">
        <v>568</v>
      </c>
      <c r="M2871" t="s">
        <v>134</v>
      </c>
      <c r="N2871" t="s">
        <v>135</v>
      </c>
      <c r="O2871"/>
      <c r="P2871"/>
      <c r="Q2871" t="s">
        <v>168</v>
      </c>
      <c r="R2871"/>
      <c r="S2871"/>
      <c r="T2871" t="s">
        <v>169</v>
      </c>
      <c r="U2871" t="s">
        <v>137</v>
      </c>
      <c r="V2871" t="s">
        <v>159</v>
      </c>
      <c r="W2871"/>
      <c r="X2871" t="s">
        <v>106</v>
      </c>
      <c r="Y2871"/>
      <c r="Z2871"/>
      <c r="AA2871" t="s">
        <v>292</v>
      </c>
      <c r="AB2871" t="s">
        <v>1</v>
      </c>
      <c r="AC2871" t="s">
        <v>138</v>
      </c>
      <c r="AD2871" t="s">
        <v>129</v>
      </c>
      <c r="AE2871" s="97"/>
    </row>
    <row r="2872" spans="1:31" ht="14.4" customHeight="1" x14ac:dyDescent="0.3">
      <c r="A2872" t="s">
        <v>5462</v>
      </c>
      <c r="B2872" t="s">
        <v>580</v>
      </c>
      <c r="C2872"/>
      <c r="D2872"/>
      <c r="E2872"/>
      <c r="F2872"/>
      <c r="G2872" t="s">
        <v>5356</v>
      </c>
      <c r="H2872" t="s">
        <v>132</v>
      </c>
      <c r="I2872" t="s">
        <v>1</v>
      </c>
      <c r="J2872" t="s">
        <v>5298</v>
      </c>
      <c r="K2872" t="s">
        <v>51</v>
      </c>
      <c r="L2872" t="s">
        <v>581</v>
      </c>
      <c r="M2872" t="s">
        <v>134</v>
      </c>
      <c r="N2872" t="s">
        <v>135</v>
      </c>
      <c r="O2872"/>
      <c r="P2872"/>
      <c r="Q2872" t="s">
        <v>168</v>
      </c>
      <c r="R2872"/>
      <c r="S2872"/>
      <c r="T2872" t="s">
        <v>169</v>
      </c>
      <c r="U2872" t="s">
        <v>137</v>
      </c>
      <c r="V2872" t="s">
        <v>162</v>
      </c>
      <c r="W2872"/>
      <c r="X2872" t="s">
        <v>113</v>
      </c>
      <c r="Y2872"/>
      <c r="Z2872"/>
      <c r="AA2872" t="s">
        <v>292</v>
      </c>
      <c r="AB2872" t="s">
        <v>1</v>
      </c>
      <c r="AC2872" t="s">
        <v>138</v>
      </c>
      <c r="AD2872" t="s">
        <v>129</v>
      </c>
      <c r="AE2872" s="97"/>
    </row>
    <row r="2873" spans="1:31" ht="14.4" customHeight="1" x14ac:dyDescent="0.3">
      <c r="A2873" t="s">
        <v>5463</v>
      </c>
      <c r="B2873" t="s">
        <v>583</v>
      </c>
      <c r="C2873"/>
      <c r="D2873"/>
      <c r="E2873"/>
      <c r="F2873"/>
      <c r="G2873" t="s">
        <v>5356</v>
      </c>
      <c r="H2873" t="s">
        <v>132</v>
      </c>
      <c r="I2873" t="s">
        <v>1</v>
      </c>
      <c r="J2873" t="s">
        <v>5298</v>
      </c>
      <c r="K2873" t="s">
        <v>51</v>
      </c>
      <c r="L2873" t="s">
        <v>581</v>
      </c>
      <c r="M2873" t="s">
        <v>134</v>
      </c>
      <c r="N2873" t="s">
        <v>135</v>
      </c>
      <c r="O2873"/>
      <c r="P2873"/>
      <c r="Q2873" t="s">
        <v>168</v>
      </c>
      <c r="R2873"/>
      <c r="S2873"/>
      <c r="T2873" t="s">
        <v>169</v>
      </c>
      <c r="U2873" t="s">
        <v>137</v>
      </c>
      <c r="V2873" t="s">
        <v>162</v>
      </c>
      <c r="W2873"/>
      <c r="X2873" t="s">
        <v>113</v>
      </c>
      <c r="Y2873"/>
      <c r="Z2873"/>
      <c r="AA2873" t="s">
        <v>292</v>
      </c>
      <c r="AB2873" t="s">
        <v>1</v>
      </c>
      <c r="AC2873" t="s">
        <v>138</v>
      </c>
      <c r="AD2873" t="s">
        <v>129</v>
      </c>
      <c r="AE2873" s="97"/>
    </row>
    <row r="2874" spans="1:31" ht="14.4" customHeight="1" x14ac:dyDescent="0.3">
      <c r="A2874" t="s">
        <v>5464</v>
      </c>
      <c r="B2874" t="s">
        <v>585</v>
      </c>
      <c r="C2874"/>
      <c r="D2874"/>
      <c r="E2874"/>
      <c r="F2874"/>
      <c r="G2874" t="s">
        <v>5356</v>
      </c>
      <c r="H2874" t="s">
        <v>132</v>
      </c>
      <c r="I2874" t="s">
        <v>1</v>
      </c>
      <c r="J2874" t="s">
        <v>5298</v>
      </c>
      <c r="K2874" t="s">
        <v>51</v>
      </c>
      <c r="L2874" t="s">
        <v>581</v>
      </c>
      <c r="M2874" t="s">
        <v>134</v>
      </c>
      <c r="N2874" t="s">
        <v>135</v>
      </c>
      <c r="O2874"/>
      <c r="P2874"/>
      <c r="Q2874" t="s">
        <v>168</v>
      </c>
      <c r="R2874"/>
      <c r="S2874"/>
      <c r="T2874" t="s">
        <v>169</v>
      </c>
      <c r="U2874" t="s">
        <v>137</v>
      </c>
      <c r="V2874" t="s">
        <v>162</v>
      </c>
      <c r="W2874"/>
      <c r="X2874" t="s">
        <v>113</v>
      </c>
      <c r="Y2874"/>
      <c r="Z2874"/>
      <c r="AA2874" t="s">
        <v>292</v>
      </c>
      <c r="AB2874" t="s">
        <v>1</v>
      </c>
      <c r="AC2874" t="s">
        <v>138</v>
      </c>
      <c r="AD2874" t="s">
        <v>129</v>
      </c>
      <c r="AE2874" s="97"/>
    </row>
    <row r="2875" spans="1:31" ht="14.4" customHeight="1" x14ac:dyDescent="0.3">
      <c r="A2875" t="s">
        <v>5465</v>
      </c>
      <c r="B2875" t="s">
        <v>587</v>
      </c>
      <c r="C2875"/>
      <c r="D2875"/>
      <c r="E2875"/>
      <c r="F2875"/>
      <c r="G2875" t="s">
        <v>5356</v>
      </c>
      <c r="H2875" t="s">
        <v>132</v>
      </c>
      <c r="I2875" t="s">
        <v>1</v>
      </c>
      <c r="J2875" t="s">
        <v>5298</v>
      </c>
      <c r="K2875" t="s">
        <v>51</v>
      </c>
      <c r="L2875" t="s">
        <v>581</v>
      </c>
      <c r="M2875" t="s">
        <v>134</v>
      </c>
      <c r="N2875" t="s">
        <v>135</v>
      </c>
      <c r="O2875"/>
      <c r="P2875"/>
      <c r="Q2875" t="s">
        <v>168</v>
      </c>
      <c r="R2875"/>
      <c r="S2875"/>
      <c r="T2875" t="s">
        <v>169</v>
      </c>
      <c r="U2875" t="s">
        <v>137</v>
      </c>
      <c r="V2875" t="s">
        <v>162</v>
      </c>
      <c r="W2875"/>
      <c r="X2875" t="s">
        <v>113</v>
      </c>
      <c r="Y2875"/>
      <c r="Z2875"/>
      <c r="AA2875" t="s">
        <v>292</v>
      </c>
      <c r="AB2875" t="s">
        <v>1</v>
      </c>
      <c r="AC2875" t="s">
        <v>138</v>
      </c>
      <c r="AD2875" t="s">
        <v>129</v>
      </c>
      <c r="AE2875" s="97"/>
    </row>
    <row r="2876" spans="1:31" ht="14.4" customHeight="1" x14ac:dyDescent="0.3">
      <c r="A2876" t="s">
        <v>5466</v>
      </c>
      <c r="B2876" t="s">
        <v>589</v>
      </c>
      <c r="C2876"/>
      <c r="D2876"/>
      <c r="E2876"/>
      <c r="F2876"/>
      <c r="G2876" t="s">
        <v>5356</v>
      </c>
      <c r="H2876" t="s">
        <v>132</v>
      </c>
      <c r="I2876" t="s">
        <v>1</v>
      </c>
      <c r="J2876" t="s">
        <v>5298</v>
      </c>
      <c r="K2876" t="s">
        <v>51</v>
      </c>
      <c r="L2876" t="s">
        <v>581</v>
      </c>
      <c r="M2876" t="s">
        <v>134</v>
      </c>
      <c r="N2876" t="s">
        <v>135</v>
      </c>
      <c r="O2876"/>
      <c r="P2876"/>
      <c r="Q2876" t="s">
        <v>168</v>
      </c>
      <c r="R2876"/>
      <c r="S2876"/>
      <c r="T2876" t="s">
        <v>169</v>
      </c>
      <c r="U2876" t="s">
        <v>137</v>
      </c>
      <c r="V2876" t="s">
        <v>162</v>
      </c>
      <c r="W2876"/>
      <c r="X2876" t="s">
        <v>113</v>
      </c>
      <c r="Y2876"/>
      <c r="Z2876"/>
      <c r="AA2876" t="s">
        <v>292</v>
      </c>
      <c r="AB2876" t="s">
        <v>1</v>
      </c>
      <c r="AC2876" t="s">
        <v>138</v>
      </c>
      <c r="AD2876" t="s">
        <v>129</v>
      </c>
      <c r="AE2876" s="97"/>
    </row>
    <row r="2877" spans="1:31" ht="14.4" customHeight="1" x14ac:dyDescent="0.3">
      <c r="A2877" t="s">
        <v>5467</v>
      </c>
      <c r="B2877" t="s">
        <v>591</v>
      </c>
      <c r="C2877"/>
      <c r="D2877"/>
      <c r="E2877"/>
      <c r="F2877"/>
      <c r="G2877" t="s">
        <v>5356</v>
      </c>
      <c r="H2877" t="s">
        <v>132</v>
      </c>
      <c r="I2877" t="s">
        <v>1</v>
      </c>
      <c r="J2877" t="s">
        <v>5298</v>
      </c>
      <c r="K2877" t="s">
        <v>51</v>
      </c>
      <c r="L2877" t="s">
        <v>581</v>
      </c>
      <c r="M2877" t="s">
        <v>134</v>
      </c>
      <c r="N2877" t="s">
        <v>135</v>
      </c>
      <c r="O2877"/>
      <c r="P2877"/>
      <c r="Q2877" t="s">
        <v>168</v>
      </c>
      <c r="R2877"/>
      <c r="S2877"/>
      <c r="T2877" t="s">
        <v>169</v>
      </c>
      <c r="U2877" t="s">
        <v>137</v>
      </c>
      <c r="V2877" t="s">
        <v>162</v>
      </c>
      <c r="W2877"/>
      <c r="X2877" t="s">
        <v>113</v>
      </c>
      <c r="Y2877"/>
      <c r="Z2877"/>
      <c r="AA2877" t="s">
        <v>292</v>
      </c>
      <c r="AB2877" t="s">
        <v>1</v>
      </c>
      <c r="AC2877" t="s">
        <v>138</v>
      </c>
      <c r="AD2877" t="s">
        <v>129</v>
      </c>
      <c r="AE2877" s="97"/>
    </row>
    <row r="2878" spans="1:31" ht="14.4" customHeight="1" x14ac:dyDescent="0.3">
      <c r="A2878" t="s">
        <v>5468</v>
      </c>
      <c r="B2878" t="s">
        <v>593</v>
      </c>
      <c r="C2878"/>
      <c r="D2878"/>
      <c r="E2878"/>
      <c r="F2878"/>
      <c r="G2878" t="s">
        <v>5356</v>
      </c>
      <c r="H2878" t="s">
        <v>132</v>
      </c>
      <c r="I2878" t="s">
        <v>1</v>
      </c>
      <c r="J2878" t="s">
        <v>5298</v>
      </c>
      <c r="K2878" t="s">
        <v>51</v>
      </c>
      <c r="L2878" t="s">
        <v>594</v>
      </c>
      <c r="M2878" t="s">
        <v>134</v>
      </c>
      <c r="N2878" t="s">
        <v>135</v>
      </c>
      <c r="O2878"/>
      <c r="P2878"/>
      <c r="Q2878" t="s">
        <v>168</v>
      </c>
      <c r="R2878"/>
      <c r="S2878"/>
      <c r="T2878" t="s">
        <v>169</v>
      </c>
      <c r="U2878" t="s">
        <v>137</v>
      </c>
      <c r="V2878" t="s">
        <v>162</v>
      </c>
      <c r="W2878"/>
      <c r="X2878" t="s">
        <v>113</v>
      </c>
      <c r="Y2878"/>
      <c r="Z2878"/>
      <c r="AA2878" t="s">
        <v>292</v>
      </c>
      <c r="AB2878" t="s">
        <v>1</v>
      </c>
      <c r="AC2878" t="s">
        <v>138</v>
      </c>
      <c r="AD2878" t="s">
        <v>129</v>
      </c>
      <c r="AE2878" s="97"/>
    </row>
    <row r="2879" spans="1:31" ht="14.4" customHeight="1" x14ac:dyDescent="0.3">
      <c r="A2879" t="s">
        <v>5469</v>
      </c>
      <c r="B2879" t="s">
        <v>596</v>
      </c>
      <c r="C2879"/>
      <c r="D2879"/>
      <c r="E2879"/>
      <c r="F2879"/>
      <c r="G2879" t="s">
        <v>5356</v>
      </c>
      <c r="H2879" t="s">
        <v>132</v>
      </c>
      <c r="I2879" t="s">
        <v>1</v>
      </c>
      <c r="J2879" t="s">
        <v>5298</v>
      </c>
      <c r="K2879" t="s">
        <v>51</v>
      </c>
      <c r="L2879" t="s">
        <v>594</v>
      </c>
      <c r="M2879" t="s">
        <v>134</v>
      </c>
      <c r="N2879" t="s">
        <v>135</v>
      </c>
      <c r="O2879"/>
      <c r="P2879"/>
      <c r="Q2879" t="s">
        <v>168</v>
      </c>
      <c r="R2879"/>
      <c r="S2879"/>
      <c r="T2879" t="s">
        <v>169</v>
      </c>
      <c r="U2879" t="s">
        <v>137</v>
      </c>
      <c r="V2879" t="s">
        <v>162</v>
      </c>
      <c r="W2879"/>
      <c r="X2879" t="s">
        <v>113</v>
      </c>
      <c r="Y2879"/>
      <c r="Z2879"/>
      <c r="AA2879" t="s">
        <v>292</v>
      </c>
      <c r="AB2879" t="s">
        <v>1</v>
      </c>
      <c r="AC2879" t="s">
        <v>138</v>
      </c>
      <c r="AD2879" t="s">
        <v>129</v>
      </c>
      <c r="AE2879" s="97"/>
    </row>
    <row r="2880" spans="1:31" ht="14.4" customHeight="1" x14ac:dyDescent="0.3">
      <c r="A2880" t="s">
        <v>5470</v>
      </c>
      <c r="B2880" t="s">
        <v>598</v>
      </c>
      <c r="C2880"/>
      <c r="D2880"/>
      <c r="E2880"/>
      <c r="F2880"/>
      <c r="G2880" t="s">
        <v>5356</v>
      </c>
      <c r="H2880" t="s">
        <v>132</v>
      </c>
      <c r="I2880" t="s">
        <v>1</v>
      </c>
      <c r="J2880" t="s">
        <v>5298</v>
      </c>
      <c r="K2880" t="s">
        <v>51</v>
      </c>
      <c r="L2880" t="s">
        <v>594</v>
      </c>
      <c r="M2880" t="s">
        <v>134</v>
      </c>
      <c r="N2880" t="s">
        <v>135</v>
      </c>
      <c r="O2880"/>
      <c r="P2880"/>
      <c r="Q2880" t="s">
        <v>168</v>
      </c>
      <c r="R2880"/>
      <c r="S2880"/>
      <c r="T2880" t="s">
        <v>169</v>
      </c>
      <c r="U2880" t="s">
        <v>137</v>
      </c>
      <c r="V2880" t="s">
        <v>162</v>
      </c>
      <c r="W2880"/>
      <c r="X2880" t="s">
        <v>113</v>
      </c>
      <c r="Y2880"/>
      <c r="Z2880"/>
      <c r="AA2880" t="s">
        <v>292</v>
      </c>
      <c r="AB2880" t="s">
        <v>1</v>
      </c>
      <c r="AC2880" t="s">
        <v>138</v>
      </c>
      <c r="AD2880" t="s">
        <v>129</v>
      </c>
      <c r="AE2880" s="97"/>
    </row>
    <row r="2881" spans="1:31" ht="14.4" customHeight="1" x14ac:dyDescent="0.3">
      <c r="A2881" t="s">
        <v>5471</v>
      </c>
      <c r="B2881" t="s">
        <v>600</v>
      </c>
      <c r="C2881"/>
      <c r="D2881"/>
      <c r="E2881"/>
      <c r="F2881"/>
      <c r="G2881" t="s">
        <v>5356</v>
      </c>
      <c r="H2881" t="s">
        <v>132</v>
      </c>
      <c r="I2881" t="s">
        <v>1</v>
      </c>
      <c r="J2881" t="s">
        <v>5298</v>
      </c>
      <c r="K2881" t="s">
        <v>51</v>
      </c>
      <c r="L2881" t="s">
        <v>594</v>
      </c>
      <c r="M2881" t="s">
        <v>134</v>
      </c>
      <c r="N2881" t="s">
        <v>135</v>
      </c>
      <c r="O2881"/>
      <c r="P2881"/>
      <c r="Q2881" t="s">
        <v>168</v>
      </c>
      <c r="R2881"/>
      <c r="S2881"/>
      <c r="T2881" t="s">
        <v>169</v>
      </c>
      <c r="U2881" t="s">
        <v>137</v>
      </c>
      <c r="V2881" t="s">
        <v>162</v>
      </c>
      <c r="W2881"/>
      <c r="X2881" t="s">
        <v>113</v>
      </c>
      <c r="Y2881"/>
      <c r="Z2881"/>
      <c r="AA2881" t="s">
        <v>292</v>
      </c>
      <c r="AB2881" t="s">
        <v>1</v>
      </c>
      <c r="AC2881" t="s">
        <v>138</v>
      </c>
      <c r="AD2881" t="s">
        <v>129</v>
      </c>
      <c r="AE2881" s="97"/>
    </row>
    <row r="2882" spans="1:31" ht="14.4" customHeight="1" x14ac:dyDescent="0.3">
      <c r="A2882" t="s">
        <v>5472</v>
      </c>
      <c r="B2882" t="s">
        <v>602</v>
      </c>
      <c r="C2882"/>
      <c r="D2882"/>
      <c r="E2882"/>
      <c r="F2882"/>
      <c r="G2882" t="s">
        <v>5356</v>
      </c>
      <c r="H2882" t="s">
        <v>132</v>
      </c>
      <c r="I2882" t="s">
        <v>1</v>
      </c>
      <c r="J2882" t="s">
        <v>5298</v>
      </c>
      <c r="K2882" t="s">
        <v>51</v>
      </c>
      <c r="L2882" t="s">
        <v>594</v>
      </c>
      <c r="M2882" t="s">
        <v>134</v>
      </c>
      <c r="N2882" t="s">
        <v>135</v>
      </c>
      <c r="O2882"/>
      <c r="P2882"/>
      <c r="Q2882" t="s">
        <v>168</v>
      </c>
      <c r="R2882"/>
      <c r="S2882"/>
      <c r="T2882" t="s">
        <v>169</v>
      </c>
      <c r="U2882" t="s">
        <v>137</v>
      </c>
      <c r="V2882" t="s">
        <v>162</v>
      </c>
      <c r="W2882"/>
      <c r="X2882" t="s">
        <v>113</v>
      </c>
      <c r="Y2882"/>
      <c r="Z2882"/>
      <c r="AA2882" t="s">
        <v>292</v>
      </c>
      <c r="AB2882" t="s">
        <v>1</v>
      </c>
      <c r="AC2882" t="s">
        <v>138</v>
      </c>
      <c r="AD2882" t="s">
        <v>129</v>
      </c>
      <c r="AE2882" s="97"/>
    </row>
    <row r="2883" spans="1:31" ht="14.4" customHeight="1" x14ac:dyDescent="0.3">
      <c r="A2883" t="s">
        <v>5473</v>
      </c>
      <c r="B2883" t="s">
        <v>604</v>
      </c>
      <c r="C2883"/>
      <c r="D2883"/>
      <c r="E2883"/>
      <c r="F2883"/>
      <c r="G2883" t="s">
        <v>5356</v>
      </c>
      <c r="H2883" t="s">
        <v>132</v>
      </c>
      <c r="I2883" t="s">
        <v>1</v>
      </c>
      <c r="J2883" t="s">
        <v>5298</v>
      </c>
      <c r="K2883" t="s">
        <v>51</v>
      </c>
      <c r="L2883" t="s">
        <v>594</v>
      </c>
      <c r="M2883" t="s">
        <v>134</v>
      </c>
      <c r="N2883" t="s">
        <v>135</v>
      </c>
      <c r="O2883"/>
      <c r="P2883"/>
      <c r="Q2883" t="s">
        <v>168</v>
      </c>
      <c r="R2883"/>
      <c r="S2883"/>
      <c r="T2883" t="s">
        <v>169</v>
      </c>
      <c r="U2883" t="s">
        <v>137</v>
      </c>
      <c r="V2883" t="s">
        <v>162</v>
      </c>
      <c r="W2883"/>
      <c r="X2883" t="s">
        <v>113</v>
      </c>
      <c r="Y2883"/>
      <c r="Z2883"/>
      <c r="AA2883" t="s">
        <v>292</v>
      </c>
      <c r="AB2883" t="s">
        <v>1</v>
      </c>
      <c r="AC2883" t="s">
        <v>138</v>
      </c>
      <c r="AD2883" t="s">
        <v>129</v>
      </c>
      <c r="AE2883" s="97"/>
    </row>
    <row r="2884" spans="1:31" ht="14.4" customHeight="1" x14ac:dyDescent="0.3">
      <c r="A2884" t="s">
        <v>5474</v>
      </c>
      <c r="B2884" t="s">
        <v>606</v>
      </c>
      <c r="C2884"/>
      <c r="D2884"/>
      <c r="E2884"/>
      <c r="F2884"/>
      <c r="G2884" t="s">
        <v>5356</v>
      </c>
      <c r="H2884" t="s">
        <v>132</v>
      </c>
      <c r="I2884" t="s">
        <v>1</v>
      </c>
      <c r="J2884" t="s">
        <v>5298</v>
      </c>
      <c r="K2884" t="s">
        <v>51</v>
      </c>
      <c r="L2884" t="s">
        <v>607</v>
      </c>
      <c r="M2884" t="s">
        <v>134</v>
      </c>
      <c r="N2884" t="s">
        <v>135</v>
      </c>
      <c r="O2884"/>
      <c r="P2884"/>
      <c r="Q2884" t="s">
        <v>168</v>
      </c>
      <c r="R2884"/>
      <c r="S2884"/>
      <c r="T2884" t="s">
        <v>169</v>
      </c>
      <c r="U2884" t="s">
        <v>137</v>
      </c>
      <c r="V2884" t="s">
        <v>165</v>
      </c>
      <c r="W2884"/>
      <c r="X2884" t="s">
        <v>122</v>
      </c>
      <c r="Y2884"/>
      <c r="Z2884"/>
      <c r="AA2884" t="s">
        <v>292</v>
      </c>
      <c r="AB2884" t="s">
        <v>1</v>
      </c>
      <c r="AC2884" t="s">
        <v>138</v>
      </c>
      <c r="AD2884" t="s">
        <v>130</v>
      </c>
      <c r="AE2884" s="97"/>
    </row>
    <row r="2885" spans="1:31" ht="14.4" customHeight="1" x14ac:dyDescent="0.3">
      <c r="A2885" t="s">
        <v>5475</v>
      </c>
      <c r="B2885" t="s">
        <v>609</v>
      </c>
      <c r="C2885"/>
      <c r="D2885"/>
      <c r="E2885"/>
      <c r="F2885"/>
      <c r="G2885" t="s">
        <v>5356</v>
      </c>
      <c r="H2885" t="s">
        <v>132</v>
      </c>
      <c r="I2885" t="s">
        <v>1</v>
      </c>
      <c r="J2885" t="s">
        <v>5298</v>
      </c>
      <c r="K2885" t="s">
        <v>51</v>
      </c>
      <c r="L2885" t="s">
        <v>607</v>
      </c>
      <c r="M2885" t="s">
        <v>134</v>
      </c>
      <c r="N2885" t="s">
        <v>135</v>
      </c>
      <c r="O2885"/>
      <c r="P2885"/>
      <c r="Q2885" t="s">
        <v>168</v>
      </c>
      <c r="R2885"/>
      <c r="S2885"/>
      <c r="T2885" t="s">
        <v>169</v>
      </c>
      <c r="U2885" t="s">
        <v>137</v>
      </c>
      <c r="V2885" t="s">
        <v>165</v>
      </c>
      <c r="W2885"/>
      <c r="X2885" t="s">
        <v>122</v>
      </c>
      <c r="Y2885"/>
      <c r="Z2885"/>
      <c r="AA2885" t="s">
        <v>292</v>
      </c>
      <c r="AB2885" t="s">
        <v>1</v>
      </c>
      <c r="AC2885" t="s">
        <v>138</v>
      </c>
      <c r="AD2885" t="s">
        <v>130</v>
      </c>
      <c r="AE2885" s="97"/>
    </row>
    <row r="2886" spans="1:31" ht="14.4" customHeight="1" x14ac:dyDescent="0.3">
      <c r="A2886" t="s">
        <v>5476</v>
      </c>
      <c r="B2886" t="s">
        <v>611</v>
      </c>
      <c r="C2886"/>
      <c r="D2886"/>
      <c r="E2886"/>
      <c r="F2886"/>
      <c r="G2886" t="s">
        <v>5356</v>
      </c>
      <c r="H2886" t="s">
        <v>132</v>
      </c>
      <c r="I2886" t="s">
        <v>1</v>
      </c>
      <c r="J2886" t="s">
        <v>5298</v>
      </c>
      <c r="K2886" t="s">
        <v>51</v>
      </c>
      <c r="L2886" t="s">
        <v>607</v>
      </c>
      <c r="M2886" t="s">
        <v>134</v>
      </c>
      <c r="N2886" t="s">
        <v>135</v>
      </c>
      <c r="O2886"/>
      <c r="P2886"/>
      <c r="Q2886" t="s">
        <v>168</v>
      </c>
      <c r="R2886"/>
      <c r="S2886"/>
      <c r="T2886" t="s">
        <v>169</v>
      </c>
      <c r="U2886" t="s">
        <v>137</v>
      </c>
      <c r="V2886" t="s">
        <v>165</v>
      </c>
      <c r="W2886"/>
      <c r="X2886" t="s">
        <v>122</v>
      </c>
      <c r="Y2886"/>
      <c r="Z2886"/>
      <c r="AA2886" t="s">
        <v>292</v>
      </c>
      <c r="AB2886" t="s">
        <v>1</v>
      </c>
      <c r="AC2886" t="s">
        <v>138</v>
      </c>
      <c r="AD2886" t="s">
        <v>130</v>
      </c>
      <c r="AE2886" s="97"/>
    </row>
    <row r="2887" spans="1:31" ht="14.4" customHeight="1" x14ac:dyDescent="0.3">
      <c r="A2887" t="s">
        <v>5477</v>
      </c>
      <c r="B2887" t="s">
        <v>613</v>
      </c>
      <c r="C2887"/>
      <c r="D2887"/>
      <c r="E2887"/>
      <c r="F2887"/>
      <c r="G2887" t="s">
        <v>5356</v>
      </c>
      <c r="H2887" t="s">
        <v>132</v>
      </c>
      <c r="I2887" t="s">
        <v>1</v>
      </c>
      <c r="J2887" t="s">
        <v>5298</v>
      </c>
      <c r="K2887" t="s">
        <v>51</v>
      </c>
      <c r="L2887" t="s">
        <v>607</v>
      </c>
      <c r="M2887" t="s">
        <v>134</v>
      </c>
      <c r="N2887" t="s">
        <v>135</v>
      </c>
      <c r="O2887"/>
      <c r="P2887"/>
      <c r="Q2887" t="s">
        <v>168</v>
      </c>
      <c r="R2887"/>
      <c r="S2887"/>
      <c r="T2887" t="s">
        <v>169</v>
      </c>
      <c r="U2887" t="s">
        <v>137</v>
      </c>
      <c r="V2887" t="s">
        <v>165</v>
      </c>
      <c r="W2887"/>
      <c r="X2887" t="s">
        <v>122</v>
      </c>
      <c r="Y2887"/>
      <c r="Z2887"/>
      <c r="AA2887" t="s">
        <v>292</v>
      </c>
      <c r="AB2887" t="s">
        <v>1</v>
      </c>
      <c r="AC2887" t="s">
        <v>138</v>
      </c>
      <c r="AD2887" t="s">
        <v>130</v>
      </c>
      <c r="AE2887" s="97"/>
    </row>
    <row r="2888" spans="1:31" ht="14.4" customHeight="1" x14ac:dyDescent="0.3">
      <c r="A2888" t="s">
        <v>5478</v>
      </c>
      <c r="B2888" t="s">
        <v>615</v>
      </c>
      <c r="C2888"/>
      <c r="D2888"/>
      <c r="E2888"/>
      <c r="F2888"/>
      <c r="G2888" t="s">
        <v>5356</v>
      </c>
      <c r="H2888" t="s">
        <v>132</v>
      </c>
      <c r="I2888" t="s">
        <v>1</v>
      </c>
      <c r="J2888" t="s">
        <v>5298</v>
      </c>
      <c r="K2888" t="s">
        <v>51</v>
      </c>
      <c r="L2888" t="s">
        <v>607</v>
      </c>
      <c r="M2888" t="s">
        <v>134</v>
      </c>
      <c r="N2888" t="s">
        <v>135</v>
      </c>
      <c r="O2888"/>
      <c r="P2888"/>
      <c r="Q2888" t="s">
        <v>168</v>
      </c>
      <c r="R2888"/>
      <c r="S2888"/>
      <c r="T2888" t="s">
        <v>169</v>
      </c>
      <c r="U2888" t="s">
        <v>137</v>
      </c>
      <c r="V2888" t="s">
        <v>165</v>
      </c>
      <c r="W2888"/>
      <c r="X2888" t="s">
        <v>122</v>
      </c>
      <c r="Y2888"/>
      <c r="Z2888"/>
      <c r="AA2888" t="s">
        <v>292</v>
      </c>
      <c r="AB2888" t="s">
        <v>1</v>
      </c>
      <c r="AC2888" t="s">
        <v>138</v>
      </c>
      <c r="AD2888" t="s">
        <v>130</v>
      </c>
      <c r="AE2888" s="97"/>
    </row>
    <row r="2889" spans="1:31" ht="14.4" customHeight="1" x14ac:dyDescent="0.3">
      <c r="A2889" t="s">
        <v>5479</v>
      </c>
      <c r="B2889" t="s">
        <v>617</v>
      </c>
      <c r="C2889"/>
      <c r="D2889"/>
      <c r="E2889"/>
      <c r="F2889"/>
      <c r="G2889" t="s">
        <v>5356</v>
      </c>
      <c r="H2889" t="s">
        <v>132</v>
      </c>
      <c r="I2889" t="s">
        <v>1</v>
      </c>
      <c r="J2889" t="s">
        <v>5298</v>
      </c>
      <c r="K2889" t="s">
        <v>51</v>
      </c>
      <c r="L2889" t="s">
        <v>607</v>
      </c>
      <c r="M2889" t="s">
        <v>134</v>
      </c>
      <c r="N2889" t="s">
        <v>135</v>
      </c>
      <c r="O2889"/>
      <c r="P2889"/>
      <c r="Q2889" t="s">
        <v>168</v>
      </c>
      <c r="R2889"/>
      <c r="S2889"/>
      <c r="T2889" t="s">
        <v>169</v>
      </c>
      <c r="U2889" t="s">
        <v>137</v>
      </c>
      <c r="V2889" t="s">
        <v>165</v>
      </c>
      <c r="W2889"/>
      <c r="X2889" t="s">
        <v>122</v>
      </c>
      <c r="Y2889"/>
      <c r="Z2889"/>
      <c r="AA2889" t="s">
        <v>292</v>
      </c>
      <c r="AB2889" t="s">
        <v>1</v>
      </c>
      <c r="AC2889" t="s">
        <v>138</v>
      </c>
      <c r="AD2889" t="s">
        <v>130</v>
      </c>
      <c r="AE2889" s="97"/>
    </row>
    <row r="2890" spans="1:31" ht="14.4" customHeight="1" x14ac:dyDescent="0.3">
      <c r="A2890" t="s">
        <v>5480</v>
      </c>
      <c r="B2890" t="s">
        <v>619</v>
      </c>
      <c r="C2890"/>
      <c r="D2890"/>
      <c r="E2890"/>
      <c r="F2890"/>
      <c r="G2890" t="s">
        <v>5356</v>
      </c>
      <c r="H2890" t="s">
        <v>132</v>
      </c>
      <c r="I2890" t="s">
        <v>1</v>
      </c>
      <c r="J2890" t="s">
        <v>5298</v>
      </c>
      <c r="K2890" t="s">
        <v>51</v>
      </c>
      <c r="L2890" t="s">
        <v>620</v>
      </c>
      <c r="M2890" t="s">
        <v>134</v>
      </c>
      <c r="N2890" t="s">
        <v>135</v>
      </c>
      <c r="O2890"/>
      <c r="P2890"/>
      <c r="Q2890" t="s">
        <v>168</v>
      </c>
      <c r="R2890"/>
      <c r="S2890"/>
      <c r="T2890" t="s">
        <v>169</v>
      </c>
      <c r="U2890" t="s">
        <v>137</v>
      </c>
      <c r="V2890" t="s">
        <v>165</v>
      </c>
      <c r="W2890"/>
      <c r="X2890" t="s">
        <v>122</v>
      </c>
      <c r="Y2890"/>
      <c r="Z2890"/>
      <c r="AA2890" t="s">
        <v>292</v>
      </c>
      <c r="AB2890" t="s">
        <v>1</v>
      </c>
      <c r="AC2890" t="s">
        <v>138</v>
      </c>
      <c r="AD2890" t="s">
        <v>130</v>
      </c>
      <c r="AE2890" s="97"/>
    </row>
    <row r="2891" spans="1:31" ht="14.4" customHeight="1" x14ac:dyDescent="0.3">
      <c r="A2891" t="s">
        <v>5481</v>
      </c>
      <c r="B2891" t="s">
        <v>622</v>
      </c>
      <c r="C2891"/>
      <c r="D2891"/>
      <c r="E2891"/>
      <c r="F2891"/>
      <c r="G2891" t="s">
        <v>5356</v>
      </c>
      <c r="H2891" t="s">
        <v>132</v>
      </c>
      <c r="I2891" t="s">
        <v>1</v>
      </c>
      <c r="J2891" t="s">
        <v>5298</v>
      </c>
      <c r="K2891" t="s">
        <v>51</v>
      </c>
      <c r="L2891" t="s">
        <v>620</v>
      </c>
      <c r="M2891" t="s">
        <v>134</v>
      </c>
      <c r="N2891" t="s">
        <v>135</v>
      </c>
      <c r="O2891"/>
      <c r="P2891"/>
      <c r="Q2891" t="s">
        <v>168</v>
      </c>
      <c r="R2891"/>
      <c r="S2891"/>
      <c r="T2891" t="s">
        <v>169</v>
      </c>
      <c r="U2891" t="s">
        <v>137</v>
      </c>
      <c r="V2891" t="s">
        <v>165</v>
      </c>
      <c r="W2891"/>
      <c r="X2891" t="s">
        <v>122</v>
      </c>
      <c r="Y2891"/>
      <c r="Z2891"/>
      <c r="AA2891" t="s">
        <v>292</v>
      </c>
      <c r="AB2891" t="s">
        <v>1</v>
      </c>
      <c r="AC2891" t="s">
        <v>138</v>
      </c>
      <c r="AD2891" t="s">
        <v>130</v>
      </c>
      <c r="AE2891" s="97"/>
    </row>
    <row r="2892" spans="1:31" ht="14.4" customHeight="1" x14ac:dyDescent="0.3">
      <c r="A2892" t="s">
        <v>5482</v>
      </c>
      <c r="B2892" t="s">
        <v>624</v>
      </c>
      <c r="C2892"/>
      <c r="D2892"/>
      <c r="E2892"/>
      <c r="F2892"/>
      <c r="G2892" t="s">
        <v>5356</v>
      </c>
      <c r="H2892" t="s">
        <v>132</v>
      </c>
      <c r="I2892" t="s">
        <v>1</v>
      </c>
      <c r="J2892" t="s">
        <v>5298</v>
      </c>
      <c r="K2892" t="s">
        <v>51</v>
      </c>
      <c r="L2892" t="s">
        <v>620</v>
      </c>
      <c r="M2892" t="s">
        <v>134</v>
      </c>
      <c r="N2892" t="s">
        <v>135</v>
      </c>
      <c r="O2892"/>
      <c r="P2892"/>
      <c r="Q2892" t="s">
        <v>168</v>
      </c>
      <c r="R2892"/>
      <c r="S2892"/>
      <c r="T2892" t="s">
        <v>169</v>
      </c>
      <c r="U2892" t="s">
        <v>137</v>
      </c>
      <c r="V2892" t="s">
        <v>165</v>
      </c>
      <c r="W2892"/>
      <c r="X2892" t="s">
        <v>122</v>
      </c>
      <c r="Y2892"/>
      <c r="Z2892"/>
      <c r="AA2892" t="s">
        <v>292</v>
      </c>
      <c r="AB2892" t="s">
        <v>1</v>
      </c>
      <c r="AC2892" t="s">
        <v>138</v>
      </c>
      <c r="AD2892" t="s">
        <v>130</v>
      </c>
      <c r="AE2892" s="97"/>
    </row>
    <row r="2893" spans="1:31" ht="14.4" customHeight="1" x14ac:dyDescent="0.3">
      <c r="A2893" t="s">
        <v>5483</v>
      </c>
      <c r="B2893" t="s">
        <v>626</v>
      </c>
      <c r="C2893"/>
      <c r="D2893"/>
      <c r="E2893"/>
      <c r="F2893"/>
      <c r="G2893" t="s">
        <v>5356</v>
      </c>
      <c r="H2893" t="s">
        <v>132</v>
      </c>
      <c r="I2893" t="s">
        <v>1</v>
      </c>
      <c r="J2893" t="s">
        <v>5298</v>
      </c>
      <c r="K2893" t="s">
        <v>51</v>
      </c>
      <c r="L2893" t="s">
        <v>620</v>
      </c>
      <c r="M2893" t="s">
        <v>134</v>
      </c>
      <c r="N2893" t="s">
        <v>135</v>
      </c>
      <c r="O2893"/>
      <c r="P2893"/>
      <c r="Q2893" t="s">
        <v>168</v>
      </c>
      <c r="R2893"/>
      <c r="S2893"/>
      <c r="T2893" t="s">
        <v>169</v>
      </c>
      <c r="U2893" t="s">
        <v>137</v>
      </c>
      <c r="V2893" t="s">
        <v>165</v>
      </c>
      <c r="W2893"/>
      <c r="X2893" t="s">
        <v>122</v>
      </c>
      <c r="Y2893"/>
      <c r="Z2893"/>
      <c r="AA2893" t="s">
        <v>292</v>
      </c>
      <c r="AB2893" t="s">
        <v>1</v>
      </c>
      <c r="AC2893" t="s">
        <v>138</v>
      </c>
      <c r="AD2893" t="s">
        <v>130</v>
      </c>
      <c r="AE2893" s="97"/>
    </row>
    <row r="2894" spans="1:31" ht="14.4" customHeight="1" x14ac:dyDescent="0.3">
      <c r="A2894" t="s">
        <v>5484</v>
      </c>
      <c r="B2894" t="s">
        <v>628</v>
      </c>
      <c r="C2894"/>
      <c r="D2894"/>
      <c r="E2894"/>
      <c r="F2894"/>
      <c r="G2894" t="s">
        <v>5356</v>
      </c>
      <c r="H2894" t="s">
        <v>132</v>
      </c>
      <c r="I2894" t="s">
        <v>1</v>
      </c>
      <c r="J2894" t="s">
        <v>5298</v>
      </c>
      <c r="K2894" t="s">
        <v>51</v>
      </c>
      <c r="L2894" t="s">
        <v>620</v>
      </c>
      <c r="M2894" t="s">
        <v>134</v>
      </c>
      <c r="N2894" t="s">
        <v>135</v>
      </c>
      <c r="O2894"/>
      <c r="P2894"/>
      <c r="Q2894" t="s">
        <v>168</v>
      </c>
      <c r="R2894"/>
      <c r="S2894"/>
      <c r="T2894" t="s">
        <v>169</v>
      </c>
      <c r="U2894" t="s">
        <v>137</v>
      </c>
      <c r="V2894" t="s">
        <v>165</v>
      </c>
      <c r="W2894"/>
      <c r="X2894" t="s">
        <v>122</v>
      </c>
      <c r="Y2894"/>
      <c r="Z2894"/>
      <c r="AA2894" t="s">
        <v>292</v>
      </c>
      <c r="AB2894" t="s">
        <v>1</v>
      </c>
      <c r="AC2894" t="s">
        <v>138</v>
      </c>
      <c r="AD2894" t="s">
        <v>130</v>
      </c>
      <c r="AE2894" s="97"/>
    </row>
    <row r="2895" spans="1:31" ht="14.4" customHeight="1" x14ac:dyDescent="0.3">
      <c r="A2895" t="s">
        <v>5485</v>
      </c>
      <c r="B2895" t="s">
        <v>630</v>
      </c>
      <c r="C2895"/>
      <c r="D2895"/>
      <c r="E2895"/>
      <c r="F2895"/>
      <c r="G2895" t="s">
        <v>5356</v>
      </c>
      <c r="H2895" t="s">
        <v>132</v>
      </c>
      <c r="I2895" t="s">
        <v>1</v>
      </c>
      <c r="J2895" t="s">
        <v>5298</v>
      </c>
      <c r="K2895" t="s">
        <v>51</v>
      </c>
      <c r="L2895" t="s">
        <v>620</v>
      </c>
      <c r="M2895" t="s">
        <v>134</v>
      </c>
      <c r="N2895" t="s">
        <v>135</v>
      </c>
      <c r="O2895"/>
      <c r="P2895"/>
      <c r="Q2895" t="s">
        <v>168</v>
      </c>
      <c r="R2895"/>
      <c r="S2895"/>
      <c r="T2895" t="s">
        <v>169</v>
      </c>
      <c r="U2895" t="s">
        <v>137</v>
      </c>
      <c r="V2895" t="s">
        <v>165</v>
      </c>
      <c r="W2895"/>
      <c r="X2895" t="s">
        <v>122</v>
      </c>
      <c r="Y2895"/>
      <c r="Z2895"/>
      <c r="AA2895" t="s">
        <v>292</v>
      </c>
      <c r="AB2895" t="s">
        <v>1</v>
      </c>
      <c r="AC2895" t="s">
        <v>138</v>
      </c>
      <c r="AD2895" t="s">
        <v>130</v>
      </c>
      <c r="AE2895" s="97"/>
    </row>
    <row r="2896" spans="1:31" ht="14.4" customHeight="1" x14ac:dyDescent="0.3">
      <c r="A2896" t="s">
        <v>5486</v>
      </c>
      <c r="B2896" t="s">
        <v>632</v>
      </c>
      <c r="C2896"/>
      <c r="D2896"/>
      <c r="E2896"/>
      <c r="F2896"/>
      <c r="G2896" t="s">
        <v>5356</v>
      </c>
      <c r="H2896" t="s">
        <v>132</v>
      </c>
      <c r="I2896" t="s">
        <v>1</v>
      </c>
      <c r="J2896" t="s">
        <v>5298</v>
      </c>
      <c r="K2896" t="s">
        <v>51</v>
      </c>
      <c r="L2896" t="s">
        <v>633</v>
      </c>
      <c r="M2896" t="s">
        <v>134</v>
      </c>
      <c r="N2896" t="s">
        <v>135</v>
      </c>
      <c r="O2896"/>
      <c r="P2896"/>
      <c r="Q2896" t="s">
        <v>168</v>
      </c>
      <c r="R2896"/>
      <c r="S2896"/>
      <c r="T2896" t="s">
        <v>169</v>
      </c>
      <c r="U2896" t="s">
        <v>137</v>
      </c>
      <c r="V2896" t="s">
        <v>352</v>
      </c>
      <c r="W2896" s="9">
        <v>46179.195998263887</v>
      </c>
      <c r="X2896" t="s">
        <v>56</v>
      </c>
      <c r="Y2896"/>
      <c r="Z2896"/>
      <c r="AA2896" t="s">
        <v>292</v>
      </c>
      <c r="AB2896" t="s">
        <v>1</v>
      </c>
      <c r="AC2896" t="s">
        <v>24</v>
      </c>
      <c r="AD2896" t="s">
        <v>128</v>
      </c>
      <c r="AE2896" s="97"/>
    </row>
    <row r="2897" spans="1:31" ht="14.4" customHeight="1" x14ac:dyDescent="0.3">
      <c r="A2897" t="s">
        <v>5487</v>
      </c>
      <c r="B2897" t="s">
        <v>635</v>
      </c>
      <c r="C2897"/>
      <c r="D2897"/>
      <c r="E2897"/>
      <c r="F2897"/>
      <c r="G2897" t="s">
        <v>5356</v>
      </c>
      <c r="H2897" t="s">
        <v>132</v>
      </c>
      <c r="I2897" t="s">
        <v>1</v>
      </c>
      <c r="J2897" t="s">
        <v>5298</v>
      </c>
      <c r="K2897" t="s">
        <v>51</v>
      </c>
      <c r="L2897" t="s">
        <v>636</v>
      </c>
      <c r="M2897" t="s">
        <v>134</v>
      </c>
      <c r="N2897" t="s">
        <v>135</v>
      </c>
      <c r="O2897"/>
      <c r="P2897"/>
      <c r="Q2897" t="s">
        <v>168</v>
      </c>
      <c r="R2897"/>
      <c r="S2897"/>
      <c r="T2897" t="s">
        <v>169</v>
      </c>
      <c r="U2897" t="s">
        <v>137</v>
      </c>
      <c r="V2897" t="s">
        <v>352</v>
      </c>
      <c r="W2897" s="9">
        <v>46192.353257256946</v>
      </c>
      <c r="X2897" t="s">
        <v>56</v>
      </c>
      <c r="Y2897"/>
      <c r="Z2897"/>
      <c r="AA2897" t="s">
        <v>292</v>
      </c>
      <c r="AB2897" t="s">
        <v>1</v>
      </c>
      <c r="AC2897" t="s">
        <v>24</v>
      </c>
      <c r="AD2897" t="s">
        <v>128</v>
      </c>
      <c r="AE2897" s="97"/>
    </row>
    <row r="2898" spans="1:31" ht="14.4" customHeight="1" x14ac:dyDescent="0.3">
      <c r="A2898" t="s">
        <v>5488</v>
      </c>
      <c r="B2898" t="s">
        <v>638</v>
      </c>
      <c r="C2898"/>
      <c r="D2898"/>
      <c r="E2898"/>
      <c r="F2898"/>
      <c r="G2898" t="s">
        <v>5356</v>
      </c>
      <c r="H2898" t="s">
        <v>132</v>
      </c>
      <c r="I2898" t="s">
        <v>1</v>
      </c>
      <c r="J2898" t="s">
        <v>5298</v>
      </c>
      <c r="K2898" t="s">
        <v>51</v>
      </c>
      <c r="L2898" t="s">
        <v>639</v>
      </c>
      <c r="M2898" t="s">
        <v>134</v>
      </c>
      <c r="N2898" t="s">
        <v>135</v>
      </c>
      <c r="O2898"/>
      <c r="P2898"/>
      <c r="Q2898" t="s">
        <v>168</v>
      </c>
      <c r="R2898"/>
      <c r="S2898"/>
      <c r="T2898" t="s">
        <v>169</v>
      </c>
      <c r="U2898" t="s">
        <v>137</v>
      </c>
      <c r="V2898" t="s">
        <v>640</v>
      </c>
      <c r="W2898" s="9">
        <v>46184.44536258102</v>
      </c>
      <c r="X2898" t="s">
        <v>66</v>
      </c>
      <c r="Y2898"/>
      <c r="Z2898"/>
      <c r="AA2898" t="s">
        <v>292</v>
      </c>
      <c r="AB2898" t="s">
        <v>1</v>
      </c>
      <c r="AC2898" t="s">
        <v>24</v>
      </c>
      <c r="AD2898" t="s">
        <v>128</v>
      </c>
      <c r="AE2898" s="97"/>
    </row>
    <row r="2899" spans="1:31" ht="14.4" customHeight="1" x14ac:dyDescent="0.3">
      <c r="A2899" t="s">
        <v>5489</v>
      </c>
      <c r="B2899" t="s">
        <v>642</v>
      </c>
      <c r="C2899"/>
      <c r="D2899"/>
      <c r="E2899"/>
      <c r="F2899"/>
      <c r="G2899" t="s">
        <v>5356</v>
      </c>
      <c r="H2899" t="s">
        <v>132</v>
      </c>
      <c r="I2899" t="s">
        <v>1</v>
      </c>
      <c r="J2899" t="s">
        <v>5298</v>
      </c>
      <c r="K2899" t="s">
        <v>51</v>
      </c>
      <c r="L2899" t="s">
        <v>639</v>
      </c>
      <c r="M2899" t="s">
        <v>134</v>
      </c>
      <c r="N2899" t="s">
        <v>135</v>
      </c>
      <c r="O2899"/>
      <c r="P2899"/>
      <c r="Q2899" t="s">
        <v>168</v>
      </c>
      <c r="R2899"/>
      <c r="S2899"/>
      <c r="T2899" t="s">
        <v>169</v>
      </c>
      <c r="U2899" t="s">
        <v>137</v>
      </c>
      <c r="V2899" t="s">
        <v>640</v>
      </c>
      <c r="W2899" s="9">
        <v>46184.445931793984</v>
      </c>
      <c r="X2899" t="s">
        <v>66</v>
      </c>
      <c r="Y2899"/>
      <c r="Z2899"/>
      <c r="AA2899" t="s">
        <v>292</v>
      </c>
      <c r="AB2899" t="s">
        <v>1</v>
      </c>
      <c r="AC2899" t="s">
        <v>24</v>
      </c>
      <c r="AD2899" t="s">
        <v>128</v>
      </c>
      <c r="AE2899" s="97"/>
    </row>
    <row r="2900" spans="1:31" ht="14.4" customHeight="1" x14ac:dyDescent="0.3">
      <c r="A2900" t="s">
        <v>5490</v>
      </c>
      <c r="B2900" t="s">
        <v>644</v>
      </c>
      <c r="C2900"/>
      <c r="D2900"/>
      <c r="E2900"/>
      <c r="F2900"/>
      <c r="G2900" t="s">
        <v>5356</v>
      </c>
      <c r="H2900" t="s">
        <v>132</v>
      </c>
      <c r="I2900" t="s">
        <v>1</v>
      </c>
      <c r="J2900" t="s">
        <v>5298</v>
      </c>
      <c r="K2900" t="s">
        <v>51</v>
      </c>
      <c r="L2900" t="s">
        <v>645</v>
      </c>
      <c r="M2900" t="s">
        <v>134</v>
      </c>
      <c r="N2900" t="s">
        <v>135</v>
      </c>
      <c r="O2900"/>
      <c r="P2900"/>
      <c r="Q2900" t="s">
        <v>168</v>
      </c>
      <c r="R2900"/>
      <c r="S2900"/>
      <c r="T2900" t="s">
        <v>169</v>
      </c>
      <c r="U2900" t="s">
        <v>137</v>
      </c>
      <c r="V2900" t="s">
        <v>646</v>
      </c>
      <c r="W2900" s="9">
        <v>46184.446282870369</v>
      </c>
      <c r="X2900" t="s">
        <v>74</v>
      </c>
      <c r="Y2900"/>
      <c r="Z2900"/>
      <c r="AA2900" t="s">
        <v>292</v>
      </c>
      <c r="AB2900" t="s">
        <v>1</v>
      </c>
      <c r="AC2900" t="s">
        <v>24</v>
      </c>
      <c r="AD2900" t="s">
        <v>128</v>
      </c>
      <c r="AE2900" s="97"/>
    </row>
    <row r="2901" spans="1:31" ht="14.4" customHeight="1" x14ac:dyDescent="0.3">
      <c r="A2901" t="s">
        <v>5491</v>
      </c>
      <c r="B2901" t="s">
        <v>648</v>
      </c>
      <c r="C2901"/>
      <c r="D2901"/>
      <c r="E2901"/>
      <c r="F2901"/>
      <c r="G2901" t="s">
        <v>5356</v>
      </c>
      <c r="H2901" t="s">
        <v>132</v>
      </c>
      <c r="I2901" t="s">
        <v>1</v>
      </c>
      <c r="J2901" t="s">
        <v>5298</v>
      </c>
      <c r="K2901" t="s">
        <v>51</v>
      </c>
      <c r="L2901" t="s">
        <v>645</v>
      </c>
      <c r="M2901" t="s">
        <v>134</v>
      </c>
      <c r="N2901" t="s">
        <v>135</v>
      </c>
      <c r="O2901"/>
      <c r="P2901"/>
      <c r="Q2901" t="s">
        <v>168</v>
      </c>
      <c r="R2901"/>
      <c r="S2901"/>
      <c r="T2901" t="s">
        <v>169</v>
      </c>
      <c r="U2901" t="s">
        <v>137</v>
      </c>
      <c r="V2901" t="s">
        <v>646</v>
      </c>
      <c r="W2901" s="9">
        <v>46184.44668695602</v>
      </c>
      <c r="X2901" t="s">
        <v>74</v>
      </c>
      <c r="Y2901"/>
      <c r="Z2901"/>
      <c r="AA2901" t="s">
        <v>292</v>
      </c>
      <c r="AB2901" t="s">
        <v>1</v>
      </c>
      <c r="AC2901" t="s">
        <v>24</v>
      </c>
      <c r="AD2901" t="s">
        <v>128</v>
      </c>
      <c r="AE2901" s="97"/>
    </row>
    <row r="2902" spans="1:31" ht="14.4" customHeight="1" x14ac:dyDescent="0.3">
      <c r="A2902" t="s">
        <v>5492</v>
      </c>
      <c r="B2902" t="s">
        <v>650</v>
      </c>
      <c r="C2902"/>
      <c r="D2902"/>
      <c r="E2902"/>
      <c r="F2902"/>
      <c r="G2902" t="s">
        <v>5356</v>
      </c>
      <c r="H2902" t="s">
        <v>132</v>
      </c>
      <c r="I2902" t="s">
        <v>1</v>
      </c>
      <c r="J2902" t="s">
        <v>5298</v>
      </c>
      <c r="K2902" t="s">
        <v>51</v>
      </c>
      <c r="L2902" t="s">
        <v>651</v>
      </c>
      <c r="M2902" t="s">
        <v>134</v>
      </c>
      <c r="N2902" t="s">
        <v>135</v>
      </c>
      <c r="O2902"/>
      <c r="P2902"/>
      <c r="Q2902" t="s">
        <v>168</v>
      </c>
      <c r="R2902"/>
      <c r="S2902"/>
      <c r="T2902" t="s">
        <v>169</v>
      </c>
      <c r="U2902" t="s">
        <v>137</v>
      </c>
      <c r="V2902" t="s">
        <v>652</v>
      </c>
      <c r="W2902"/>
      <c r="X2902" t="s">
        <v>85</v>
      </c>
      <c r="Y2902"/>
      <c r="Z2902"/>
      <c r="AA2902" t="s">
        <v>292</v>
      </c>
      <c r="AB2902" t="s">
        <v>1</v>
      </c>
      <c r="AC2902" t="s">
        <v>138</v>
      </c>
      <c r="AD2902" t="s">
        <v>129</v>
      </c>
      <c r="AE2902" s="97"/>
    </row>
    <row r="2903" spans="1:31" ht="14.4" customHeight="1" x14ac:dyDescent="0.3">
      <c r="A2903" t="s">
        <v>5493</v>
      </c>
      <c r="B2903" t="s">
        <v>654</v>
      </c>
      <c r="C2903"/>
      <c r="D2903"/>
      <c r="E2903"/>
      <c r="F2903"/>
      <c r="G2903" t="s">
        <v>5356</v>
      </c>
      <c r="H2903" t="s">
        <v>132</v>
      </c>
      <c r="I2903" t="s">
        <v>1</v>
      </c>
      <c r="J2903" t="s">
        <v>5298</v>
      </c>
      <c r="K2903" t="s">
        <v>51</v>
      </c>
      <c r="L2903" t="s">
        <v>651</v>
      </c>
      <c r="M2903" t="s">
        <v>134</v>
      </c>
      <c r="N2903" t="s">
        <v>135</v>
      </c>
      <c r="O2903"/>
      <c r="P2903"/>
      <c r="Q2903" t="s">
        <v>168</v>
      </c>
      <c r="R2903"/>
      <c r="S2903"/>
      <c r="T2903" t="s">
        <v>169</v>
      </c>
      <c r="U2903" t="s">
        <v>137</v>
      </c>
      <c r="V2903" t="s">
        <v>652</v>
      </c>
      <c r="W2903"/>
      <c r="X2903" t="s">
        <v>85</v>
      </c>
      <c r="Y2903"/>
      <c r="Z2903"/>
      <c r="AA2903" t="s">
        <v>292</v>
      </c>
      <c r="AB2903" t="s">
        <v>1</v>
      </c>
      <c r="AC2903" t="s">
        <v>138</v>
      </c>
      <c r="AD2903" t="s">
        <v>129</v>
      </c>
      <c r="AE2903" s="97"/>
    </row>
    <row r="2904" spans="1:31" ht="14.4" customHeight="1" x14ac:dyDescent="0.3">
      <c r="A2904" t="s">
        <v>5494</v>
      </c>
      <c r="B2904" t="s">
        <v>656</v>
      </c>
      <c r="C2904"/>
      <c r="D2904"/>
      <c r="E2904"/>
      <c r="F2904"/>
      <c r="G2904" t="s">
        <v>5356</v>
      </c>
      <c r="H2904" t="s">
        <v>132</v>
      </c>
      <c r="I2904" t="s">
        <v>1</v>
      </c>
      <c r="J2904" t="s">
        <v>5298</v>
      </c>
      <c r="K2904" t="s">
        <v>51</v>
      </c>
      <c r="L2904" t="s">
        <v>657</v>
      </c>
      <c r="M2904" t="s">
        <v>134</v>
      </c>
      <c r="N2904" t="s">
        <v>135</v>
      </c>
      <c r="O2904"/>
      <c r="P2904"/>
      <c r="Q2904" t="s">
        <v>168</v>
      </c>
      <c r="R2904"/>
      <c r="S2904"/>
      <c r="T2904" t="s">
        <v>169</v>
      </c>
      <c r="U2904" t="s">
        <v>137</v>
      </c>
      <c r="V2904" t="s">
        <v>658</v>
      </c>
      <c r="W2904" s="9">
        <v>46184.447213692132</v>
      </c>
      <c r="X2904" t="s">
        <v>94</v>
      </c>
      <c r="Y2904"/>
      <c r="Z2904"/>
      <c r="AA2904" t="s">
        <v>292</v>
      </c>
      <c r="AB2904" t="s">
        <v>1</v>
      </c>
      <c r="AC2904" t="s">
        <v>24</v>
      </c>
      <c r="AD2904" t="s">
        <v>129</v>
      </c>
      <c r="AE2904" s="97"/>
    </row>
    <row r="2905" spans="1:31" ht="14.4" customHeight="1" x14ac:dyDescent="0.3">
      <c r="A2905" t="s">
        <v>5495</v>
      </c>
      <c r="B2905" t="s">
        <v>660</v>
      </c>
      <c r="C2905"/>
      <c r="D2905"/>
      <c r="E2905"/>
      <c r="F2905"/>
      <c r="G2905" t="s">
        <v>5356</v>
      </c>
      <c r="H2905" t="s">
        <v>132</v>
      </c>
      <c r="I2905" t="s">
        <v>1</v>
      </c>
      <c r="J2905" t="s">
        <v>5298</v>
      </c>
      <c r="K2905" t="s">
        <v>51</v>
      </c>
      <c r="L2905" t="s">
        <v>657</v>
      </c>
      <c r="M2905" t="s">
        <v>134</v>
      </c>
      <c r="N2905" t="s">
        <v>135</v>
      </c>
      <c r="O2905"/>
      <c r="P2905"/>
      <c r="Q2905" t="s">
        <v>168</v>
      </c>
      <c r="R2905"/>
      <c r="S2905"/>
      <c r="T2905" t="s">
        <v>169</v>
      </c>
      <c r="U2905" t="s">
        <v>137</v>
      </c>
      <c r="V2905" t="s">
        <v>658</v>
      </c>
      <c r="W2905" s="9">
        <v>46184.447654166666</v>
      </c>
      <c r="X2905" t="s">
        <v>94</v>
      </c>
      <c r="Y2905"/>
      <c r="Z2905"/>
      <c r="AA2905" t="s">
        <v>292</v>
      </c>
      <c r="AB2905" t="s">
        <v>1</v>
      </c>
      <c r="AC2905" t="s">
        <v>24</v>
      </c>
      <c r="AD2905" t="s">
        <v>129</v>
      </c>
      <c r="AE2905" s="97"/>
    </row>
    <row r="2906" spans="1:31" ht="14.4" customHeight="1" x14ac:dyDescent="0.3">
      <c r="A2906" t="s">
        <v>5496</v>
      </c>
      <c r="B2906" t="s">
        <v>662</v>
      </c>
      <c r="C2906"/>
      <c r="D2906"/>
      <c r="E2906"/>
      <c r="F2906"/>
      <c r="G2906" t="s">
        <v>5356</v>
      </c>
      <c r="H2906" t="s">
        <v>132</v>
      </c>
      <c r="I2906" t="s">
        <v>1</v>
      </c>
      <c r="J2906" t="s">
        <v>5298</v>
      </c>
      <c r="K2906" t="s">
        <v>51</v>
      </c>
      <c r="L2906" t="s">
        <v>663</v>
      </c>
      <c r="M2906" t="s">
        <v>134</v>
      </c>
      <c r="N2906" t="s">
        <v>135</v>
      </c>
      <c r="O2906"/>
      <c r="P2906"/>
      <c r="Q2906" t="s">
        <v>168</v>
      </c>
      <c r="R2906"/>
      <c r="S2906"/>
      <c r="T2906" t="s">
        <v>169</v>
      </c>
      <c r="U2906" t="s">
        <v>137</v>
      </c>
      <c r="V2906" t="s">
        <v>664</v>
      </c>
      <c r="W2906"/>
      <c r="X2906" t="s">
        <v>103</v>
      </c>
      <c r="Y2906"/>
      <c r="Z2906"/>
      <c r="AA2906" t="s">
        <v>292</v>
      </c>
      <c r="AB2906" t="s">
        <v>1</v>
      </c>
      <c r="AC2906" t="s">
        <v>138</v>
      </c>
      <c r="AD2906" t="s">
        <v>129</v>
      </c>
      <c r="AE2906" s="97"/>
    </row>
    <row r="2907" spans="1:31" ht="14.4" customHeight="1" x14ac:dyDescent="0.3">
      <c r="A2907" t="s">
        <v>5497</v>
      </c>
      <c r="B2907" t="s">
        <v>666</v>
      </c>
      <c r="C2907"/>
      <c r="D2907"/>
      <c r="E2907"/>
      <c r="F2907"/>
      <c r="G2907" t="s">
        <v>5356</v>
      </c>
      <c r="H2907" t="s">
        <v>132</v>
      </c>
      <c r="I2907" t="s">
        <v>1</v>
      </c>
      <c r="J2907" t="s">
        <v>5298</v>
      </c>
      <c r="K2907" t="s">
        <v>51</v>
      </c>
      <c r="L2907" t="s">
        <v>663</v>
      </c>
      <c r="M2907" t="s">
        <v>134</v>
      </c>
      <c r="N2907" t="s">
        <v>135</v>
      </c>
      <c r="O2907"/>
      <c r="P2907"/>
      <c r="Q2907" t="s">
        <v>168</v>
      </c>
      <c r="R2907"/>
      <c r="S2907"/>
      <c r="T2907" t="s">
        <v>169</v>
      </c>
      <c r="U2907" t="s">
        <v>137</v>
      </c>
      <c r="V2907" t="s">
        <v>664</v>
      </c>
      <c r="W2907"/>
      <c r="X2907" t="s">
        <v>103</v>
      </c>
      <c r="Y2907"/>
      <c r="Z2907"/>
      <c r="AA2907" t="s">
        <v>292</v>
      </c>
      <c r="AB2907" t="s">
        <v>1</v>
      </c>
      <c r="AC2907" t="s">
        <v>138</v>
      </c>
      <c r="AD2907" t="s">
        <v>129</v>
      </c>
      <c r="AE2907" s="97"/>
    </row>
    <row r="2908" spans="1:31" ht="14.4" customHeight="1" x14ac:dyDescent="0.3">
      <c r="A2908" t="s">
        <v>5498</v>
      </c>
      <c r="B2908" t="s">
        <v>668</v>
      </c>
      <c r="C2908"/>
      <c r="D2908"/>
      <c r="E2908"/>
      <c r="F2908"/>
      <c r="G2908" t="s">
        <v>5356</v>
      </c>
      <c r="H2908" t="s">
        <v>132</v>
      </c>
      <c r="I2908" t="s">
        <v>1</v>
      </c>
      <c r="J2908" t="s">
        <v>5298</v>
      </c>
      <c r="K2908" t="s">
        <v>51</v>
      </c>
      <c r="L2908" t="s">
        <v>669</v>
      </c>
      <c r="M2908" t="s">
        <v>134</v>
      </c>
      <c r="N2908" t="s">
        <v>135</v>
      </c>
      <c r="O2908"/>
      <c r="P2908"/>
      <c r="Q2908" t="s">
        <v>168</v>
      </c>
      <c r="R2908"/>
      <c r="S2908"/>
      <c r="T2908" t="s">
        <v>169</v>
      </c>
      <c r="U2908" t="s">
        <v>137</v>
      </c>
      <c r="V2908" t="s">
        <v>670</v>
      </c>
      <c r="W2908"/>
      <c r="X2908" t="s">
        <v>110</v>
      </c>
      <c r="Y2908"/>
      <c r="Z2908"/>
      <c r="AA2908" t="s">
        <v>292</v>
      </c>
      <c r="AB2908" t="s">
        <v>1</v>
      </c>
      <c r="AC2908" t="s">
        <v>138</v>
      </c>
      <c r="AD2908" t="s">
        <v>129</v>
      </c>
      <c r="AE2908" s="97"/>
    </row>
    <row r="2909" spans="1:31" ht="14.4" customHeight="1" x14ac:dyDescent="0.3">
      <c r="A2909" t="s">
        <v>5499</v>
      </c>
      <c r="B2909" t="s">
        <v>672</v>
      </c>
      <c r="C2909"/>
      <c r="D2909"/>
      <c r="E2909"/>
      <c r="F2909"/>
      <c r="G2909" t="s">
        <v>5356</v>
      </c>
      <c r="H2909" t="s">
        <v>132</v>
      </c>
      <c r="I2909" t="s">
        <v>1</v>
      </c>
      <c r="J2909" t="s">
        <v>5298</v>
      </c>
      <c r="K2909" t="s">
        <v>51</v>
      </c>
      <c r="L2909" t="s">
        <v>669</v>
      </c>
      <c r="M2909" t="s">
        <v>134</v>
      </c>
      <c r="N2909" t="s">
        <v>135</v>
      </c>
      <c r="O2909"/>
      <c r="P2909"/>
      <c r="Q2909" t="s">
        <v>168</v>
      </c>
      <c r="R2909"/>
      <c r="S2909"/>
      <c r="T2909" t="s">
        <v>169</v>
      </c>
      <c r="U2909" t="s">
        <v>137</v>
      </c>
      <c r="V2909" t="s">
        <v>670</v>
      </c>
      <c r="W2909"/>
      <c r="X2909" t="s">
        <v>110</v>
      </c>
      <c r="Y2909"/>
      <c r="Z2909"/>
      <c r="AA2909" t="s">
        <v>292</v>
      </c>
      <c r="AB2909" t="s">
        <v>1</v>
      </c>
      <c r="AC2909" t="s">
        <v>138</v>
      </c>
      <c r="AD2909" t="s">
        <v>129</v>
      </c>
      <c r="AE2909" s="97"/>
    </row>
    <row r="2910" spans="1:31" ht="14.4" customHeight="1" x14ac:dyDescent="0.3">
      <c r="A2910" t="s">
        <v>5500</v>
      </c>
      <c r="B2910" t="s">
        <v>674</v>
      </c>
      <c r="C2910"/>
      <c r="D2910"/>
      <c r="E2910"/>
      <c r="F2910"/>
      <c r="G2910" t="s">
        <v>5356</v>
      </c>
      <c r="H2910" t="s">
        <v>132</v>
      </c>
      <c r="I2910" t="s">
        <v>1</v>
      </c>
      <c r="J2910" t="s">
        <v>5298</v>
      </c>
      <c r="K2910" t="s">
        <v>51</v>
      </c>
      <c r="L2910" t="s">
        <v>675</v>
      </c>
      <c r="M2910" t="s">
        <v>134</v>
      </c>
      <c r="N2910" t="s">
        <v>135</v>
      </c>
      <c r="O2910"/>
      <c r="P2910"/>
      <c r="Q2910" t="s">
        <v>168</v>
      </c>
      <c r="R2910"/>
      <c r="S2910"/>
      <c r="T2910" t="s">
        <v>169</v>
      </c>
      <c r="U2910" t="s">
        <v>137</v>
      </c>
      <c r="V2910" t="s">
        <v>676</v>
      </c>
      <c r="W2910"/>
      <c r="X2910" t="s">
        <v>119</v>
      </c>
      <c r="Y2910"/>
      <c r="Z2910"/>
      <c r="AA2910" t="s">
        <v>292</v>
      </c>
      <c r="AB2910" t="s">
        <v>1</v>
      </c>
      <c r="AC2910" t="s">
        <v>138</v>
      </c>
      <c r="AD2910" t="s">
        <v>130</v>
      </c>
      <c r="AE2910" s="97"/>
    </row>
    <row r="2911" spans="1:31" ht="14.4" customHeight="1" x14ac:dyDescent="0.3">
      <c r="A2911" t="s">
        <v>5501</v>
      </c>
      <c r="B2911" t="s">
        <v>678</v>
      </c>
      <c r="C2911"/>
      <c r="D2911"/>
      <c r="E2911"/>
      <c r="F2911"/>
      <c r="G2911" t="s">
        <v>5356</v>
      </c>
      <c r="H2911" t="s">
        <v>132</v>
      </c>
      <c r="I2911" t="s">
        <v>1</v>
      </c>
      <c r="J2911" t="s">
        <v>5298</v>
      </c>
      <c r="K2911" t="s">
        <v>51</v>
      </c>
      <c r="L2911" t="s">
        <v>675</v>
      </c>
      <c r="M2911" t="s">
        <v>134</v>
      </c>
      <c r="N2911" t="s">
        <v>135</v>
      </c>
      <c r="O2911"/>
      <c r="P2911"/>
      <c r="Q2911" t="s">
        <v>168</v>
      </c>
      <c r="R2911"/>
      <c r="S2911"/>
      <c r="T2911" t="s">
        <v>169</v>
      </c>
      <c r="U2911" t="s">
        <v>137</v>
      </c>
      <c r="V2911" t="s">
        <v>676</v>
      </c>
      <c r="W2911"/>
      <c r="X2911" t="s">
        <v>119</v>
      </c>
      <c r="Y2911"/>
      <c r="Z2911"/>
      <c r="AA2911" t="s">
        <v>292</v>
      </c>
      <c r="AB2911" t="s">
        <v>1</v>
      </c>
      <c r="AC2911" t="s">
        <v>138</v>
      </c>
      <c r="AD2911" t="s">
        <v>130</v>
      </c>
      <c r="AE2911" s="97"/>
    </row>
    <row r="2912" spans="1:31" ht="14.4" customHeight="1" x14ac:dyDescent="0.3">
      <c r="A2912" t="s">
        <v>5502</v>
      </c>
      <c r="B2912" t="s">
        <v>680</v>
      </c>
      <c r="C2912"/>
      <c r="D2912"/>
      <c r="E2912"/>
      <c r="F2912"/>
      <c r="G2912" t="s">
        <v>5356</v>
      </c>
      <c r="H2912" t="s">
        <v>132</v>
      </c>
      <c r="I2912" t="s">
        <v>1</v>
      </c>
      <c r="J2912" t="s">
        <v>5298</v>
      </c>
      <c r="K2912" t="s">
        <v>51</v>
      </c>
      <c r="L2912" t="s">
        <v>681</v>
      </c>
      <c r="M2912" t="s">
        <v>134</v>
      </c>
      <c r="N2912" t="s">
        <v>135</v>
      </c>
      <c r="O2912"/>
      <c r="P2912"/>
      <c r="Q2912" t="s">
        <v>168</v>
      </c>
      <c r="R2912"/>
      <c r="S2912"/>
      <c r="T2912" t="s">
        <v>169</v>
      </c>
      <c r="U2912" t="s">
        <v>137</v>
      </c>
      <c r="V2912" t="s">
        <v>640</v>
      </c>
      <c r="W2912" s="9">
        <v>46192.196330011575</v>
      </c>
      <c r="X2912" t="s">
        <v>66</v>
      </c>
      <c r="Y2912"/>
      <c r="Z2912"/>
      <c r="AA2912" t="s">
        <v>292</v>
      </c>
      <c r="AB2912" t="s">
        <v>1</v>
      </c>
      <c r="AC2912" t="s">
        <v>24</v>
      </c>
      <c r="AD2912" t="s">
        <v>128</v>
      </c>
      <c r="AE2912" s="97"/>
    </row>
    <row r="2913" spans="1:31" ht="14.4" customHeight="1" x14ac:dyDescent="0.3">
      <c r="A2913" t="s">
        <v>5503</v>
      </c>
      <c r="B2913" t="s">
        <v>683</v>
      </c>
      <c r="C2913"/>
      <c r="D2913"/>
      <c r="E2913"/>
      <c r="F2913"/>
      <c r="G2913" t="s">
        <v>5356</v>
      </c>
      <c r="H2913" t="s">
        <v>132</v>
      </c>
      <c r="I2913" t="s">
        <v>1</v>
      </c>
      <c r="J2913" t="s">
        <v>5298</v>
      </c>
      <c r="K2913" t="s">
        <v>51</v>
      </c>
      <c r="L2913" t="s">
        <v>684</v>
      </c>
      <c r="M2913" t="s">
        <v>134</v>
      </c>
      <c r="N2913" t="s">
        <v>135</v>
      </c>
      <c r="O2913"/>
      <c r="P2913"/>
      <c r="Q2913" t="s">
        <v>168</v>
      </c>
      <c r="R2913"/>
      <c r="S2913"/>
      <c r="T2913" t="s">
        <v>169</v>
      </c>
      <c r="U2913" t="s">
        <v>137</v>
      </c>
      <c r="V2913" t="s">
        <v>646</v>
      </c>
      <c r="W2913" s="9">
        <v>46192.19715162037</v>
      </c>
      <c r="X2913" t="s">
        <v>74</v>
      </c>
      <c r="Y2913"/>
      <c r="Z2913"/>
      <c r="AA2913" t="s">
        <v>292</v>
      </c>
      <c r="AB2913" t="s">
        <v>1</v>
      </c>
      <c r="AC2913" t="s">
        <v>24</v>
      </c>
      <c r="AD2913" t="s">
        <v>128</v>
      </c>
      <c r="AE2913" s="97"/>
    </row>
    <row r="2914" spans="1:31" ht="14.4" customHeight="1" x14ac:dyDescent="0.3">
      <c r="A2914" t="s">
        <v>5504</v>
      </c>
      <c r="B2914" t="s">
        <v>686</v>
      </c>
      <c r="C2914"/>
      <c r="D2914"/>
      <c r="E2914"/>
      <c r="F2914"/>
      <c r="G2914" t="s">
        <v>5356</v>
      </c>
      <c r="H2914" t="s">
        <v>132</v>
      </c>
      <c r="I2914" t="s">
        <v>1</v>
      </c>
      <c r="J2914" t="s">
        <v>5298</v>
      </c>
      <c r="K2914" t="s">
        <v>51</v>
      </c>
      <c r="L2914" t="s">
        <v>687</v>
      </c>
      <c r="M2914" t="s">
        <v>134</v>
      </c>
      <c r="N2914" t="s">
        <v>135</v>
      </c>
      <c r="O2914"/>
      <c r="P2914"/>
      <c r="Q2914" t="s">
        <v>168</v>
      </c>
      <c r="R2914"/>
      <c r="S2914"/>
      <c r="T2914" t="s">
        <v>169</v>
      </c>
      <c r="U2914" t="s">
        <v>137</v>
      </c>
      <c r="V2914" t="s">
        <v>652</v>
      </c>
      <c r="W2914"/>
      <c r="X2914" t="s">
        <v>85</v>
      </c>
      <c r="Y2914"/>
      <c r="Z2914"/>
      <c r="AA2914" t="s">
        <v>292</v>
      </c>
      <c r="AB2914" t="s">
        <v>1</v>
      </c>
      <c r="AC2914" t="s">
        <v>138</v>
      </c>
      <c r="AD2914" t="s">
        <v>129</v>
      </c>
      <c r="AE2914" s="97"/>
    </row>
    <row r="2915" spans="1:31" ht="14.4" customHeight="1" x14ac:dyDescent="0.3">
      <c r="A2915" t="s">
        <v>5505</v>
      </c>
      <c r="B2915" t="s">
        <v>689</v>
      </c>
      <c r="C2915"/>
      <c r="D2915"/>
      <c r="E2915"/>
      <c r="F2915"/>
      <c r="G2915" t="s">
        <v>5356</v>
      </c>
      <c r="H2915" t="s">
        <v>132</v>
      </c>
      <c r="I2915" t="s">
        <v>1</v>
      </c>
      <c r="J2915" t="s">
        <v>5298</v>
      </c>
      <c r="K2915" t="s">
        <v>51</v>
      </c>
      <c r="L2915" t="s">
        <v>690</v>
      </c>
      <c r="M2915" t="s">
        <v>134</v>
      </c>
      <c r="N2915" t="s">
        <v>135</v>
      </c>
      <c r="O2915"/>
      <c r="P2915"/>
      <c r="Q2915" t="s">
        <v>168</v>
      </c>
      <c r="R2915"/>
      <c r="S2915"/>
      <c r="T2915" t="s">
        <v>169</v>
      </c>
      <c r="U2915" t="s">
        <v>137</v>
      </c>
      <c r="V2915" t="s">
        <v>658</v>
      </c>
      <c r="W2915" s="9">
        <v>46192.35736454861</v>
      </c>
      <c r="X2915" t="s">
        <v>94</v>
      </c>
      <c r="Y2915"/>
      <c r="Z2915"/>
      <c r="AA2915" t="s">
        <v>292</v>
      </c>
      <c r="AB2915" t="s">
        <v>1</v>
      </c>
      <c r="AC2915" t="s">
        <v>24</v>
      </c>
      <c r="AD2915" t="s">
        <v>129</v>
      </c>
      <c r="AE2915" s="97"/>
    </row>
    <row r="2916" spans="1:31" ht="14.4" customHeight="1" x14ac:dyDescent="0.3">
      <c r="A2916" t="s">
        <v>5506</v>
      </c>
      <c r="B2916" t="s">
        <v>692</v>
      </c>
      <c r="C2916"/>
      <c r="D2916"/>
      <c r="E2916"/>
      <c r="F2916"/>
      <c r="G2916" t="s">
        <v>5356</v>
      </c>
      <c r="H2916" t="s">
        <v>132</v>
      </c>
      <c r="I2916" t="s">
        <v>1</v>
      </c>
      <c r="J2916" t="s">
        <v>5298</v>
      </c>
      <c r="K2916" t="s">
        <v>51</v>
      </c>
      <c r="L2916" t="s">
        <v>693</v>
      </c>
      <c r="M2916" t="s">
        <v>134</v>
      </c>
      <c r="N2916" t="s">
        <v>135</v>
      </c>
      <c r="O2916"/>
      <c r="P2916"/>
      <c r="Q2916" t="s">
        <v>168</v>
      </c>
      <c r="R2916"/>
      <c r="S2916"/>
      <c r="T2916" t="s">
        <v>169</v>
      </c>
      <c r="U2916" t="s">
        <v>137</v>
      </c>
      <c r="V2916" t="s">
        <v>664</v>
      </c>
      <c r="W2916"/>
      <c r="X2916" t="s">
        <v>103</v>
      </c>
      <c r="Y2916"/>
      <c r="Z2916"/>
      <c r="AA2916" t="s">
        <v>292</v>
      </c>
      <c r="AB2916" t="s">
        <v>1</v>
      </c>
      <c r="AC2916" t="s">
        <v>138</v>
      </c>
      <c r="AD2916" t="s">
        <v>129</v>
      </c>
      <c r="AE2916" s="97"/>
    </row>
    <row r="2917" spans="1:31" ht="14.4" customHeight="1" x14ac:dyDescent="0.3">
      <c r="A2917" t="s">
        <v>5507</v>
      </c>
      <c r="B2917" t="s">
        <v>695</v>
      </c>
      <c r="C2917"/>
      <c r="D2917"/>
      <c r="E2917"/>
      <c r="F2917"/>
      <c r="G2917" t="s">
        <v>5356</v>
      </c>
      <c r="H2917" t="s">
        <v>132</v>
      </c>
      <c r="I2917" t="s">
        <v>1</v>
      </c>
      <c r="J2917" t="s">
        <v>5298</v>
      </c>
      <c r="K2917" t="s">
        <v>51</v>
      </c>
      <c r="L2917" t="s">
        <v>696</v>
      </c>
      <c r="M2917" t="s">
        <v>134</v>
      </c>
      <c r="N2917" t="s">
        <v>135</v>
      </c>
      <c r="O2917"/>
      <c r="P2917"/>
      <c r="Q2917" t="s">
        <v>168</v>
      </c>
      <c r="R2917"/>
      <c r="S2917"/>
      <c r="T2917" t="s">
        <v>169</v>
      </c>
      <c r="U2917" t="s">
        <v>137</v>
      </c>
      <c r="V2917" t="s">
        <v>670</v>
      </c>
      <c r="W2917"/>
      <c r="X2917" t="s">
        <v>110</v>
      </c>
      <c r="Y2917"/>
      <c r="Z2917"/>
      <c r="AA2917" t="s">
        <v>292</v>
      </c>
      <c r="AB2917" t="s">
        <v>1</v>
      </c>
      <c r="AC2917" t="s">
        <v>138</v>
      </c>
      <c r="AD2917" t="s">
        <v>129</v>
      </c>
      <c r="AE2917" s="97"/>
    </row>
    <row r="2918" spans="1:31" ht="14.4" customHeight="1" x14ac:dyDescent="0.3">
      <c r="A2918" t="s">
        <v>5508</v>
      </c>
      <c r="B2918" t="s">
        <v>698</v>
      </c>
      <c r="C2918"/>
      <c r="D2918"/>
      <c r="E2918"/>
      <c r="F2918"/>
      <c r="G2918" t="s">
        <v>5356</v>
      </c>
      <c r="H2918" t="s">
        <v>132</v>
      </c>
      <c r="I2918" t="s">
        <v>1</v>
      </c>
      <c r="J2918" t="s">
        <v>5298</v>
      </c>
      <c r="K2918" t="s">
        <v>51</v>
      </c>
      <c r="L2918" t="s">
        <v>699</v>
      </c>
      <c r="M2918" t="s">
        <v>134</v>
      </c>
      <c r="N2918" t="s">
        <v>135</v>
      </c>
      <c r="O2918"/>
      <c r="P2918"/>
      <c r="Q2918" t="s">
        <v>168</v>
      </c>
      <c r="R2918"/>
      <c r="S2918"/>
      <c r="T2918" t="s">
        <v>169</v>
      </c>
      <c r="U2918" t="s">
        <v>137</v>
      </c>
      <c r="V2918" t="s">
        <v>676</v>
      </c>
      <c r="W2918"/>
      <c r="X2918" t="s">
        <v>119</v>
      </c>
      <c r="Y2918"/>
      <c r="Z2918"/>
      <c r="AA2918" t="s">
        <v>292</v>
      </c>
      <c r="AB2918" t="s">
        <v>1</v>
      </c>
      <c r="AC2918" t="s">
        <v>138</v>
      </c>
      <c r="AD2918" t="s">
        <v>130</v>
      </c>
      <c r="AE2918" s="97"/>
    </row>
    <row r="2919" spans="1:31" ht="14.4" customHeight="1" x14ac:dyDescent="0.3">
      <c r="A2919" t="s">
        <v>5509</v>
      </c>
      <c r="B2919" t="s">
        <v>701</v>
      </c>
      <c r="C2919"/>
      <c r="D2919"/>
      <c r="E2919"/>
      <c r="F2919"/>
      <c r="G2919" t="s">
        <v>5356</v>
      </c>
      <c r="H2919" t="s">
        <v>132</v>
      </c>
      <c r="I2919" t="s">
        <v>1</v>
      </c>
      <c r="J2919" t="s">
        <v>5298</v>
      </c>
      <c r="K2919" t="s">
        <v>51</v>
      </c>
      <c r="L2919" t="s">
        <v>702</v>
      </c>
      <c r="M2919" t="s">
        <v>134</v>
      </c>
      <c r="N2919" t="s">
        <v>135</v>
      </c>
      <c r="O2919"/>
      <c r="P2919"/>
      <c r="Q2919" t="s">
        <v>168</v>
      </c>
      <c r="R2919"/>
      <c r="S2919"/>
      <c r="T2919" t="s">
        <v>169</v>
      </c>
      <c r="U2919" t="s">
        <v>137</v>
      </c>
      <c r="V2919" t="s">
        <v>703</v>
      </c>
      <c r="W2919" s="9">
        <v>46192.197637152778</v>
      </c>
      <c r="X2919" t="s">
        <v>62</v>
      </c>
      <c r="Y2919"/>
      <c r="Z2919"/>
      <c r="AA2919" t="s">
        <v>292</v>
      </c>
      <c r="AB2919" t="s">
        <v>1</v>
      </c>
      <c r="AC2919" t="s">
        <v>24</v>
      </c>
      <c r="AD2919" t="s">
        <v>128</v>
      </c>
      <c r="AE2919" s="97"/>
    </row>
    <row r="2920" spans="1:31" ht="14.4" customHeight="1" x14ac:dyDescent="0.3">
      <c r="A2920" t="s">
        <v>5510</v>
      </c>
      <c r="B2920" t="s">
        <v>705</v>
      </c>
      <c r="C2920"/>
      <c r="D2920"/>
      <c r="E2920"/>
      <c r="F2920"/>
      <c r="G2920" t="s">
        <v>5356</v>
      </c>
      <c r="H2920" t="s">
        <v>132</v>
      </c>
      <c r="I2920" t="s">
        <v>1</v>
      </c>
      <c r="J2920" t="s">
        <v>5298</v>
      </c>
      <c r="K2920" t="s">
        <v>51</v>
      </c>
      <c r="L2920" t="s">
        <v>702</v>
      </c>
      <c r="M2920" t="s">
        <v>134</v>
      </c>
      <c r="N2920" t="s">
        <v>135</v>
      </c>
      <c r="O2920"/>
      <c r="P2920"/>
      <c r="Q2920" t="s">
        <v>168</v>
      </c>
      <c r="R2920"/>
      <c r="S2920"/>
      <c r="T2920" t="s">
        <v>169</v>
      </c>
      <c r="U2920" t="s">
        <v>137</v>
      </c>
      <c r="V2920" t="s">
        <v>703</v>
      </c>
      <c r="W2920" s="9">
        <v>46192.197962650462</v>
      </c>
      <c r="X2920" t="s">
        <v>62</v>
      </c>
      <c r="Y2920"/>
      <c r="Z2920"/>
      <c r="AA2920" t="s">
        <v>292</v>
      </c>
      <c r="AB2920" t="s">
        <v>1</v>
      </c>
      <c r="AC2920" t="s">
        <v>24</v>
      </c>
      <c r="AD2920" t="s">
        <v>128</v>
      </c>
      <c r="AE2920" s="97"/>
    </row>
    <row r="2921" spans="1:31" ht="14.4" customHeight="1" x14ac:dyDescent="0.3">
      <c r="A2921" t="s">
        <v>5511</v>
      </c>
      <c r="B2921" t="s">
        <v>707</v>
      </c>
      <c r="C2921"/>
      <c r="D2921"/>
      <c r="E2921"/>
      <c r="F2921"/>
      <c r="G2921" t="s">
        <v>5356</v>
      </c>
      <c r="H2921" t="s">
        <v>132</v>
      </c>
      <c r="I2921" t="s">
        <v>1</v>
      </c>
      <c r="J2921" t="s">
        <v>5298</v>
      </c>
      <c r="K2921" t="s">
        <v>51</v>
      </c>
      <c r="L2921" t="s">
        <v>708</v>
      </c>
      <c r="M2921" t="s">
        <v>134</v>
      </c>
      <c r="N2921" t="s">
        <v>135</v>
      </c>
      <c r="O2921"/>
      <c r="P2921"/>
      <c r="Q2921" t="s">
        <v>168</v>
      </c>
      <c r="R2921"/>
      <c r="S2921"/>
      <c r="T2921" t="s">
        <v>169</v>
      </c>
      <c r="U2921" t="s">
        <v>137</v>
      </c>
      <c r="V2921" t="s">
        <v>709</v>
      </c>
      <c r="W2921" s="9">
        <v>46192.198248958332</v>
      </c>
      <c r="X2921" t="s">
        <v>73</v>
      </c>
      <c r="Y2921"/>
      <c r="Z2921"/>
      <c r="AA2921" t="s">
        <v>292</v>
      </c>
      <c r="AB2921" t="s">
        <v>1</v>
      </c>
      <c r="AC2921" t="s">
        <v>24</v>
      </c>
      <c r="AD2921" t="s">
        <v>128</v>
      </c>
      <c r="AE2921" s="97"/>
    </row>
    <row r="2922" spans="1:31" ht="14.4" customHeight="1" x14ac:dyDescent="0.3">
      <c r="A2922" t="s">
        <v>5512</v>
      </c>
      <c r="B2922" t="s">
        <v>711</v>
      </c>
      <c r="C2922"/>
      <c r="D2922"/>
      <c r="E2922"/>
      <c r="F2922"/>
      <c r="G2922" t="s">
        <v>5356</v>
      </c>
      <c r="H2922" t="s">
        <v>132</v>
      </c>
      <c r="I2922" t="s">
        <v>1</v>
      </c>
      <c r="J2922" t="s">
        <v>5298</v>
      </c>
      <c r="K2922" t="s">
        <v>51</v>
      </c>
      <c r="L2922" t="s">
        <v>708</v>
      </c>
      <c r="M2922" t="s">
        <v>134</v>
      </c>
      <c r="N2922" t="s">
        <v>135</v>
      </c>
      <c r="O2922"/>
      <c r="P2922"/>
      <c r="Q2922" t="s">
        <v>168</v>
      </c>
      <c r="R2922"/>
      <c r="S2922"/>
      <c r="T2922" t="s">
        <v>169</v>
      </c>
      <c r="U2922" t="s">
        <v>137</v>
      </c>
      <c r="V2922" t="s">
        <v>709</v>
      </c>
      <c r="W2922" s="9">
        <v>46192.198540358797</v>
      </c>
      <c r="X2922" t="s">
        <v>73</v>
      </c>
      <c r="Y2922"/>
      <c r="Z2922"/>
      <c r="AA2922" t="s">
        <v>292</v>
      </c>
      <c r="AB2922" t="s">
        <v>1</v>
      </c>
      <c r="AC2922" t="s">
        <v>24</v>
      </c>
      <c r="AD2922" t="s">
        <v>128</v>
      </c>
      <c r="AE2922" s="97"/>
    </row>
    <row r="2923" spans="1:31" ht="14.4" customHeight="1" x14ac:dyDescent="0.3">
      <c r="A2923" t="s">
        <v>5513</v>
      </c>
      <c r="B2923" t="s">
        <v>713</v>
      </c>
      <c r="C2923"/>
      <c r="D2923"/>
      <c r="E2923"/>
      <c r="F2923"/>
      <c r="G2923" t="s">
        <v>5356</v>
      </c>
      <c r="H2923" t="s">
        <v>132</v>
      </c>
      <c r="I2923" t="s">
        <v>1</v>
      </c>
      <c r="J2923" t="s">
        <v>5298</v>
      </c>
      <c r="K2923" t="s">
        <v>51</v>
      </c>
      <c r="L2923" t="s">
        <v>714</v>
      </c>
      <c r="M2923" t="s">
        <v>134</v>
      </c>
      <c r="N2923" t="s">
        <v>135</v>
      </c>
      <c r="O2923"/>
      <c r="P2923"/>
      <c r="Q2923" t="s">
        <v>168</v>
      </c>
      <c r="R2923"/>
      <c r="S2923"/>
      <c r="T2923" t="s">
        <v>169</v>
      </c>
      <c r="U2923" t="s">
        <v>137</v>
      </c>
      <c r="V2923" t="s">
        <v>715</v>
      </c>
      <c r="W2923"/>
      <c r="X2923" t="s">
        <v>82</v>
      </c>
      <c r="Y2923"/>
      <c r="Z2923"/>
      <c r="AA2923" t="s">
        <v>292</v>
      </c>
      <c r="AB2923" t="s">
        <v>1</v>
      </c>
      <c r="AC2923" t="s">
        <v>138</v>
      </c>
      <c r="AD2923" t="s">
        <v>129</v>
      </c>
      <c r="AE2923" s="97"/>
    </row>
    <row r="2924" spans="1:31" ht="14.4" customHeight="1" x14ac:dyDescent="0.3">
      <c r="A2924" t="s">
        <v>5514</v>
      </c>
      <c r="B2924" t="s">
        <v>717</v>
      </c>
      <c r="C2924"/>
      <c r="D2924"/>
      <c r="E2924"/>
      <c r="F2924"/>
      <c r="G2924" t="s">
        <v>5356</v>
      </c>
      <c r="H2924" t="s">
        <v>132</v>
      </c>
      <c r="I2924" t="s">
        <v>1</v>
      </c>
      <c r="J2924" t="s">
        <v>5298</v>
      </c>
      <c r="K2924" t="s">
        <v>51</v>
      </c>
      <c r="L2924" t="s">
        <v>714</v>
      </c>
      <c r="M2924" t="s">
        <v>134</v>
      </c>
      <c r="N2924" t="s">
        <v>135</v>
      </c>
      <c r="O2924"/>
      <c r="P2924"/>
      <c r="Q2924" t="s">
        <v>168</v>
      </c>
      <c r="R2924"/>
      <c r="S2924"/>
      <c r="T2924" t="s">
        <v>169</v>
      </c>
      <c r="U2924" t="s">
        <v>137</v>
      </c>
      <c r="V2924" t="s">
        <v>715</v>
      </c>
      <c r="W2924" s="9">
        <v>46192.198838275464</v>
      </c>
      <c r="X2924" t="s">
        <v>82</v>
      </c>
      <c r="Y2924"/>
      <c r="Z2924"/>
      <c r="AA2924" t="s">
        <v>292</v>
      </c>
      <c r="AB2924" t="s">
        <v>1</v>
      </c>
      <c r="AC2924" t="s">
        <v>24</v>
      </c>
      <c r="AD2924" t="s">
        <v>129</v>
      </c>
      <c r="AE2924" s="97"/>
    </row>
    <row r="2925" spans="1:31" ht="14.4" customHeight="1" x14ac:dyDescent="0.3">
      <c r="A2925" t="s">
        <v>5515</v>
      </c>
      <c r="B2925" t="s">
        <v>719</v>
      </c>
      <c r="C2925"/>
      <c r="D2925"/>
      <c r="E2925"/>
      <c r="F2925"/>
      <c r="G2925" t="s">
        <v>5356</v>
      </c>
      <c r="H2925" t="s">
        <v>132</v>
      </c>
      <c r="I2925" t="s">
        <v>1</v>
      </c>
      <c r="J2925" t="s">
        <v>5298</v>
      </c>
      <c r="K2925" t="s">
        <v>51</v>
      </c>
      <c r="L2925" t="s">
        <v>720</v>
      </c>
      <c r="M2925" t="s">
        <v>134</v>
      </c>
      <c r="N2925" t="s">
        <v>135</v>
      </c>
      <c r="O2925"/>
      <c r="P2925"/>
      <c r="Q2925" t="s">
        <v>168</v>
      </c>
      <c r="R2925"/>
      <c r="S2925"/>
      <c r="T2925" t="s">
        <v>169</v>
      </c>
      <c r="U2925" t="s">
        <v>137</v>
      </c>
      <c r="V2925" t="s">
        <v>721</v>
      </c>
      <c r="W2925" s="9">
        <v>46184.448145567127</v>
      </c>
      <c r="X2925" t="s">
        <v>91</v>
      </c>
      <c r="Y2925"/>
      <c r="Z2925"/>
      <c r="AA2925" t="s">
        <v>292</v>
      </c>
      <c r="AB2925" t="s">
        <v>1</v>
      </c>
      <c r="AC2925" t="s">
        <v>24</v>
      </c>
      <c r="AD2925" t="s">
        <v>129</v>
      </c>
      <c r="AE2925" s="97"/>
    </row>
    <row r="2926" spans="1:31" ht="14.4" customHeight="1" x14ac:dyDescent="0.3">
      <c r="A2926" t="s">
        <v>5516</v>
      </c>
      <c r="B2926" t="s">
        <v>723</v>
      </c>
      <c r="C2926"/>
      <c r="D2926"/>
      <c r="E2926"/>
      <c r="F2926"/>
      <c r="G2926" t="s">
        <v>5356</v>
      </c>
      <c r="H2926" t="s">
        <v>132</v>
      </c>
      <c r="I2926" t="s">
        <v>1</v>
      </c>
      <c r="J2926" t="s">
        <v>5298</v>
      </c>
      <c r="K2926" t="s">
        <v>51</v>
      </c>
      <c r="L2926" t="s">
        <v>720</v>
      </c>
      <c r="M2926" t="s">
        <v>134</v>
      </c>
      <c r="N2926" t="s">
        <v>135</v>
      </c>
      <c r="O2926"/>
      <c r="P2926"/>
      <c r="Q2926" t="s">
        <v>168</v>
      </c>
      <c r="R2926"/>
      <c r="S2926"/>
      <c r="T2926" t="s">
        <v>169</v>
      </c>
      <c r="U2926" t="s">
        <v>137</v>
      </c>
      <c r="V2926" t="s">
        <v>721</v>
      </c>
      <c r="W2926" s="9">
        <v>46184.44855940972</v>
      </c>
      <c r="X2926" t="s">
        <v>91</v>
      </c>
      <c r="Y2926"/>
      <c r="Z2926"/>
      <c r="AA2926" t="s">
        <v>292</v>
      </c>
      <c r="AB2926" t="s">
        <v>1</v>
      </c>
      <c r="AC2926" t="s">
        <v>24</v>
      </c>
      <c r="AD2926" t="s">
        <v>129</v>
      </c>
      <c r="AE2926" s="97"/>
    </row>
    <row r="2927" spans="1:31" ht="14.4" customHeight="1" x14ac:dyDescent="0.3">
      <c r="A2927" t="s">
        <v>5517</v>
      </c>
      <c r="B2927" t="s">
        <v>725</v>
      </c>
      <c r="C2927"/>
      <c r="D2927"/>
      <c r="E2927"/>
      <c r="F2927"/>
      <c r="G2927" t="s">
        <v>5356</v>
      </c>
      <c r="H2927" t="s">
        <v>132</v>
      </c>
      <c r="I2927" t="s">
        <v>1</v>
      </c>
      <c r="J2927" t="s">
        <v>5298</v>
      </c>
      <c r="K2927" t="s">
        <v>51</v>
      </c>
      <c r="L2927" t="s">
        <v>726</v>
      </c>
      <c r="M2927" t="s">
        <v>134</v>
      </c>
      <c r="N2927" t="s">
        <v>135</v>
      </c>
      <c r="O2927"/>
      <c r="P2927"/>
      <c r="Q2927" t="s">
        <v>168</v>
      </c>
      <c r="R2927"/>
      <c r="S2927"/>
      <c r="T2927" t="s">
        <v>169</v>
      </c>
      <c r="U2927" t="s">
        <v>137</v>
      </c>
      <c r="V2927" t="s">
        <v>727</v>
      </c>
      <c r="W2927"/>
      <c r="X2927" t="s">
        <v>100</v>
      </c>
      <c r="Y2927"/>
      <c r="Z2927"/>
      <c r="AA2927" t="s">
        <v>292</v>
      </c>
      <c r="AB2927" t="s">
        <v>1</v>
      </c>
      <c r="AC2927" t="s">
        <v>138</v>
      </c>
      <c r="AD2927" t="s">
        <v>129</v>
      </c>
      <c r="AE2927" s="97"/>
    </row>
    <row r="2928" spans="1:31" ht="14.4" customHeight="1" x14ac:dyDescent="0.3">
      <c r="A2928" t="s">
        <v>5518</v>
      </c>
      <c r="B2928" t="s">
        <v>729</v>
      </c>
      <c r="C2928"/>
      <c r="D2928"/>
      <c r="E2928"/>
      <c r="F2928"/>
      <c r="G2928" t="s">
        <v>5356</v>
      </c>
      <c r="H2928" t="s">
        <v>132</v>
      </c>
      <c r="I2928" t="s">
        <v>1</v>
      </c>
      <c r="J2928" t="s">
        <v>5298</v>
      </c>
      <c r="K2928" t="s">
        <v>51</v>
      </c>
      <c r="L2928" t="s">
        <v>726</v>
      </c>
      <c r="M2928" t="s">
        <v>134</v>
      </c>
      <c r="N2928" t="s">
        <v>135</v>
      </c>
      <c r="O2928"/>
      <c r="P2928"/>
      <c r="Q2928" t="s">
        <v>168</v>
      </c>
      <c r="R2928"/>
      <c r="S2928"/>
      <c r="T2928" t="s">
        <v>169</v>
      </c>
      <c r="U2928" t="s">
        <v>137</v>
      </c>
      <c r="V2928" t="s">
        <v>727</v>
      </c>
      <c r="W2928" s="9">
        <v>46184.448981516201</v>
      </c>
      <c r="X2928" t="s">
        <v>100</v>
      </c>
      <c r="Y2928"/>
      <c r="Z2928"/>
      <c r="AA2928" t="s">
        <v>292</v>
      </c>
      <c r="AB2928" t="s">
        <v>1</v>
      </c>
      <c r="AC2928" t="s">
        <v>24</v>
      </c>
      <c r="AD2928" t="s">
        <v>129</v>
      </c>
      <c r="AE2928" s="97"/>
    </row>
    <row r="2929" spans="1:31" ht="14.4" customHeight="1" x14ac:dyDescent="0.3">
      <c r="A2929" t="s">
        <v>5519</v>
      </c>
      <c r="B2929" t="s">
        <v>731</v>
      </c>
      <c r="C2929"/>
      <c r="D2929"/>
      <c r="E2929"/>
      <c r="F2929"/>
      <c r="G2929" t="s">
        <v>5356</v>
      </c>
      <c r="H2929" t="s">
        <v>132</v>
      </c>
      <c r="I2929" t="s">
        <v>1</v>
      </c>
      <c r="J2929" t="s">
        <v>5298</v>
      </c>
      <c r="K2929" t="s">
        <v>51</v>
      </c>
      <c r="L2929" t="s">
        <v>732</v>
      </c>
      <c r="M2929" t="s">
        <v>134</v>
      </c>
      <c r="N2929" t="s">
        <v>135</v>
      </c>
      <c r="O2929"/>
      <c r="P2929"/>
      <c r="Q2929" t="s">
        <v>168</v>
      </c>
      <c r="R2929"/>
      <c r="S2929"/>
      <c r="T2929" t="s">
        <v>169</v>
      </c>
      <c r="U2929" t="s">
        <v>137</v>
      </c>
      <c r="V2929" t="s">
        <v>733</v>
      </c>
      <c r="W2929"/>
      <c r="X2929" t="s">
        <v>109</v>
      </c>
      <c r="Y2929"/>
      <c r="Z2929"/>
      <c r="AA2929" t="s">
        <v>292</v>
      </c>
      <c r="AB2929" t="s">
        <v>1</v>
      </c>
      <c r="AC2929" t="s">
        <v>138</v>
      </c>
      <c r="AD2929" t="s">
        <v>129</v>
      </c>
      <c r="AE2929" s="97"/>
    </row>
    <row r="2930" spans="1:31" ht="14.4" customHeight="1" x14ac:dyDescent="0.3">
      <c r="A2930" t="s">
        <v>5520</v>
      </c>
      <c r="B2930" t="s">
        <v>735</v>
      </c>
      <c r="C2930"/>
      <c r="D2930"/>
      <c r="E2930"/>
      <c r="F2930"/>
      <c r="G2930" t="s">
        <v>5356</v>
      </c>
      <c r="H2930" t="s">
        <v>132</v>
      </c>
      <c r="I2930" t="s">
        <v>1</v>
      </c>
      <c r="J2930" t="s">
        <v>5298</v>
      </c>
      <c r="K2930" t="s">
        <v>51</v>
      </c>
      <c r="L2930" t="s">
        <v>732</v>
      </c>
      <c r="M2930" t="s">
        <v>134</v>
      </c>
      <c r="N2930" t="s">
        <v>135</v>
      </c>
      <c r="O2930"/>
      <c r="P2930"/>
      <c r="Q2930" t="s">
        <v>168</v>
      </c>
      <c r="R2930"/>
      <c r="S2930"/>
      <c r="T2930" t="s">
        <v>169</v>
      </c>
      <c r="U2930" t="s">
        <v>137</v>
      </c>
      <c r="V2930" t="s">
        <v>733</v>
      </c>
      <c r="W2930" s="9">
        <v>46184.449427893516</v>
      </c>
      <c r="X2930" t="s">
        <v>109</v>
      </c>
      <c r="Y2930"/>
      <c r="Z2930"/>
      <c r="AA2930" t="s">
        <v>292</v>
      </c>
      <c r="AB2930" t="s">
        <v>1</v>
      </c>
      <c r="AC2930" t="s">
        <v>24</v>
      </c>
      <c r="AD2930" t="s">
        <v>129</v>
      </c>
      <c r="AE2930" s="97"/>
    </row>
    <row r="2931" spans="1:31" ht="14.4" customHeight="1" x14ac:dyDescent="0.3">
      <c r="A2931" t="s">
        <v>5521</v>
      </c>
      <c r="B2931" t="s">
        <v>737</v>
      </c>
      <c r="C2931"/>
      <c r="D2931"/>
      <c r="E2931"/>
      <c r="F2931"/>
      <c r="G2931" t="s">
        <v>5356</v>
      </c>
      <c r="H2931" t="s">
        <v>132</v>
      </c>
      <c r="I2931" t="s">
        <v>1</v>
      </c>
      <c r="J2931" t="s">
        <v>5298</v>
      </c>
      <c r="K2931" t="s">
        <v>51</v>
      </c>
      <c r="L2931" t="s">
        <v>738</v>
      </c>
      <c r="M2931" t="s">
        <v>134</v>
      </c>
      <c r="N2931" t="s">
        <v>135</v>
      </c>
      <c r="O2931"/>
      <c r="P2931"/>
      <c r="Q2931" t="s">
        <v>168</v>
      </c>
      <c r="R2931"/>
      <c r="S2931"/>
      <c r="T2931" t="s">
        <v>169</v>
      </c>
      <c r="U2931" t="s">
        <v>137</v>
      </c>
      <c r="V2931" t="s">
        <v>739</v>
      </c>
      <c r="W2931"/>
      <c r="X2931" t="s">
        <v>118</v>
      </c>
      <c r="Y2931"/>
      <c r="Z2931"/>
      <c r="AA2931" t="s">
        <v>292</v>
      </c>
      <c r="AB2931" t="s">
        <v>1</v>
      </c>
      <c r="AC2931" t="s">
        <v>138</v>
      </c>
      <c r="AD2931" t="s">
        <v>130</v>
      </c>
      <c r="AE2931" s="97"/>
    </row>
    <row r="2932" spans="1:31" ht="14.4" customHeight="1" x14ac:dyDescent="0.3">
      <c r="A2932" t="s">
        <v>5522</v>
      </c>
      <c r="B2932" t="s">
        <v>741</v>
      </c>
      <c r="C2932"/>
      <c r="D2932"/>
      <c r="E2932"/>
      <c r="F2932"/>
      <c r="G2932" t="s">
        <v>5356</v>
      </c>
      <c r="H2932" t="s">
        <v>132</v>
      </c>
      <c r="I2932" t="s">
        <v>1</v>
      </c>
      <c r="J2932" t="s">
        <v>5298</v>
      </c>
      <c r="K2932" t="s">
        <v>51</v>
      </c>
      <c r="L2932" t="s">
        <v>738</v>
      </c>
      <c r="M2932" t="s">
        <v>134</v>
      </c>
      <c r="N2932" t="s">
        <v>135</v>
      </c>
      <c r="O2932"/>
      <c r="P2932"/>
      <c r="Q2932" t="s">
        <v>168</v>
      </c>
      <c r="R2932"/>
      <c r="S2932"/>
      <c r="T2932" t="s">
        <v>169</v>
      </c>
      <c r="U2932" t="s">
        <v>137</v>
      </c>
      <c r="V2932" t="s">
        <v>739</v>
      </c>
      <c r="W2932" s="9">
        <v>46192.199200196759</v>
      </c>
      <c r="X2932" t="s">
        <v>118</v>
      </c>
      <c r="Y2932"/>
      <c r="Z2932"/>
      <c r="AA2932" t="s">
        <v>292</v>
      </c>
      <c r="AB2932" t="s">
        <v>1</v>
      </c>
      <c r="AC2932" t="s">
        <v>24</v>
      </c>
      <c r="AD2932" t="s">
        <v>130</v>
      </c>
      <c r="AE2932" s="97"/>
    </row>
    <row r="2933" spans="1:31" ht="14.4" customHeight="1" x14ac:dyDescent="0.3">
      <c r="A2933" t="s">
        <v>5523</v>
      </c>
      <c r="B2933" t="s">
        <v>743</v>
      </c>
      <c r="C2933"/>
      <c r="D2933"/>
      <c r="E2933"/>
      <c r="F2933"/>
      <c r="G2933" t="s">
        <v>5356</v>
      </c>
      <c r="H2933" t="s">
        <v>132</v>
      </c>
      <c r="I2933" t="s">
        <v>1</v>
      </c>
      <c r="J2933" t="s">
        <v>5298</v>
      </c>
      <c r="K2933" t="s">
        <v>51</v>
      </c>
      <c r="L2933" t="s">
        <v>744</v>
      </c>
      <c r="M2933" t="s">
        <v>134</v>
      </c>
      <c r="N2933" t="s">
        <v>135</v>
      </c>
      <c r="O2933"/>
      <c r="P2933"/>
      <c r="Q2933" t="s">
        <v>168</v>
      </c>
      <c r="R2933"/>
      <c r="S2933"/>
      <c r="T2933" t="s">
        <v>169</v>
      </c>
      <c r="U2933" t="s">
        <v>137</v>
      </c>
      <c r="V2933" t="s">
        <v>147</v>
      </c>
      <c r="W2933" s="9">
        <v>46178.326802743053</v>
      </c>
      <c r="X2933" t="s">
        <v>70</v>
      </c>
      <c r="Y2933"/>
      <c r="Z2933"/>
      <c r="AA2933" t="s">
        <v>292</v>
      </c>
      <c r="AB2933" t="s">
        <v>1</v>
      </c>
      <c r="AC2933" t="s">
        <v>24</v>
      </c>
      <c r="AD2933" t="s">
        <v>128</v>
      </c>
      <c r="AE2933" s="97"/>
    </row>
    <row r="2934" spans="1:31" ht="14.4" customHeight="1" x14ac:dyDescent="0.3">
      <c r="A2934" t="s">
        <v>5524</v>
      </c>
      <c r="B2934" t="s">
        <v>746</v>
      </c>
      <c r="C2934"/>
      <c r="D2934"/>
      <c r="E2934"/>
      <c r="F2934"/>
      <c r="G2934" t="s">
        <v>5356</v>
      </c>
      <c r="H2934" t="s">
        <v>132</v>
      </c>
      <c r="I2934" t="s">
        <v>1</v>
      </c>
      <c r="J2934" t="s">
        <v>5298</v>
      </c>
      <c r="K2934" t="s">
        <v>51</v>
      </c>
      <c r="L2934" t="s">
        <v>747</v>
      </c>
      <c r="M2934" t="s">
        <v>134</v>
      </c>
      <c r="N2934" t="s">
        <v>135</v>
      </c>
      <c r="O2934"/>
      <c r="P2934"/>
      <c r="Q2934" t="s">
        <v>168</v>
      </c>
      <c r="R2934"/>
      <c r="S2934"/>
      <c r="T2934" t="s">
        <v>169</v>
      </c>
      <c r="U2934" t="s">
        <v>137</v>
      </c>
      <c r="V2934" t="s">
        <v>150</v>
      </c>
      <c r="W2934" s="9">
        <v>46178.327466087962</v>
      </c>
      <c r="X2934" t="s">
        <v>76</v>
      </c>
      <c r="Y2934"/>
      <c r="Z2934"/>
      <c r="AA2934" t="s">
        <v>292</v>
      </c>
      <c r="AB2934" t="s">
        <v>1</v>
      </c>
      <c r="AC2934" t="s">
        <v>24</v>
      </c>
      <c r="AD2934" t="s">
        <v>128</v>
      </c>
      <c r="AE2934" s="97"/>
    </row>
    <row r="2935" spans="1:31" ht="14.4" customHeight="1" x14ac:dyDescent="0.3">
      <c r="A2935" t="s">
        <v>5525</v>
      </c>
      <c r="B2935" t="s">
        <v>749</v>
      </c>
      <c r="C2935"/>
      <c r="D2935"/>
      <c r="E2935"/>
      <c r="F2935"/>
      <c r="G2935" t="s">
        <v>5356</v>
      </c>
      <c r="H2935" t="s">
        <v>132</v>
      </c>
      <c r="I2935" t="s">
        <v>1</v>
      </c>
      <c r="J2935" t="s">
        <v>5298</v>
      </c>
      <c r="K2935" t="s">
        <v>51</v>
      </c>
      <c r="L2935" t="s">
        <v>750</v>
      </c>
      <c r="M2935" t="s">
        <v>134</v>
      </c>
      <c r="N2935" t="s">
        <v>135</v>
      </c>
      <c r="O2935"/>
      <c r="P2935"/>
      <c r="Q2935" t="s">
        <v>168</v>
      </c>
      <c r="R2935"/>
      <c r="S2935"/>
      <c r="T2935" t="s">
        <v>169</v>
      </c>
      <c r="U2935" t="s">
        <v>137</v>
      </c>
      <c r="V2935" t="s">
        <v>153</v>
      </c>
      <c r="W2935" s="9">
        <v>46178.328087696762</v>
      </c>
      <c r="X2935" t="s">
        <v>88</v>
      </c>
      <c r="Y2935"/>
      <c r="Z2935"/>
      <c r="AA2935" t="s">
        <v>292</v>
      </c>
      <c r="AB2935" t="s">
        <v>1</v>
      </c>
      <c r="AC2935" t="s">
        <v>24</v>
      </c>
      <c r="AD2935" t="s">
        <v>129</v>
      </c>
      <c r="AE2935" s="97"/>
    </row>
    <row r="2936" spans="1:31" ht="14.4" customHeight="1" x14ac:dyDescent="0.3">
      <c r="A2936" t="s">
        <v>5526</v>
      </c>
      <c r="B2936" t="s">
        <v>752</v>
      </c>
      <c r="C2936"/>
      <c r="D2936"/>
      <c r="E2936"/>
      <c r="F2936"/>
      <c r="G2936" t="s">
        <v>5356</v>
      </c>
      <c r="H2936" t="s">
        <v>132</v>
      </c>
      <c r="I2936" t="s">
        <v>1</v>
      </c>
      <c r="J2936" t="s">
        <v>5298</v>
      </c>
      <c r="K2936" t="s">
        <v>51</v>
      </c>
      <c r="L2936" t="s">
        <v>753</v>
      </c>
      <c r="M2936" t="s">
        <v>134</v>
      </c>
      <c r="N2936" t="s">
        <v>135</v>
      </c>
      <c r="O2936"/>
      <c r="P2936"/>
      <c r="Q2936" t="s">
        <v>168</v>
      </c>
      <c r="R2936"/>
      <c r="S2936"/>
      <c r="T2936" t="s">
        <v>169</v>
      </c>
      <c r="U2936" t="s">
        <v>137</v>
      </c>
      <c r="V2936" t="s">
        <v>156</v>
      </c>
      <c r="W2936" s="9">
        <v>46179.196550462962</v>
      </c>
      <c r="X2936" t="s">
        <v>97</v>
      </c>
      <c r="Y2936"/>
      <c r="Z2936"/>
      <c r="AA2936" t="s">
        <v>292</v>
      </c>
      <c r="AB2936" t="s">
        <v>1</v>
      </c>
      <c r="AC2936" t="s">
        <v>24</v>
      </c>
      <c r="AD2936" t="s">
        <v>129</v>
      </c>
      <c r="AE2936" s="97"/>
    </row>
    <row r="2937" spans="1:31" ht="14.4" customHeight="1" x14ac:dyDescent="0.3">
      <c r="A2937" t="s">
        <v>5527</v>
      </c>
      <c r="B2937" t="s">
        <v>755</v>
      </c>
      <c r="C2937"/>
      <c r="D2937"/>
      <c r="E2937"/>
      <c r="F2937"/>
      <c r="G2937" t="s">
        <v>5356</v>
      </c>
      <c r="H2937" t="s">
        <v>132</v>
      </c>
      <c r="I2937" t="s">
        <v>1</v>
      </c>
      <c r="J2937" t="s">
        <v>5298</v>
      </c>
      <c r="K2937" t="s">
        <v>51</v>
      </c>
      <c r="L2937" t="s">
        <v>756</v>
      </c>
      <c r="M2937" t="s">
        <v>134</v>
      </c>
      <c r="N2937" t="s">
        <v>135</v>
      </c>
      <c r="O2937"/>
      <c r="P2937"/>
      <c r="Q2937" t="s">
        <v>168</v>
      </c>
      <c r="R2937"/>
      <c r="S2937"/>
      <c r="T2937" t="s">
        <v>169</v>
      </c>
      <c r="U2937" t="s">
        <v>137</v>
      </c>
      <c r="V2937" t="s">
        <v>159</v>
      </c>
      <c r="W2937" s="9">
        <v>46178.329168136574</v>
      </c>
      <c r="X2937" t="s">
        <v>106</v>
      </c>
      <c r="Y2937"/>
      <c r="Z2937"/>
      <c r="AA2937" t="s">
        <v>292</v>
      </c>
      <c r="AB2937" t="s">
        <v>1</v>
      </c>
      <c r="AC2937" t="s">
        <v>24</v>
      </c>
      <c r="AD2937" t="s">
        <v>129</v>
      </c>
      <c r="AE2937" s="97"/>
    </row>
    <row r="2938" spans="1:31" ht="14.4" customHeight="1" x14ac:dyDescent="0.3">
      <c r="A2938" t="s">
        <v>5528</v>
      </c>
      <c r="B2938" t="s">
        <v>758</v>
      </c>
      <c r="C2938"/>
      <c r="D2938"/>
      <c r="E2938"/>
      <c r="F2938"/>
      <c r="G2938" t="s">
        <v>5356</v>
      </c>
      <c r="H2938" t="s">
        <v>132</v>
      </c>
      <c r="I2938" t="s">
        <v>1</v>
      </c>
      <c r="J2938" t="s">
        <v>5298</v>
      </c>
      <c r="K2938" t="s">
        <v>51</v>
      </c>
      <c r="L2938" t="s">
        <v>759</v>
      </c>
      <c r="M2938" t="s">
        <v>134</v>
      </c>
      <c r="N2938" t="s">
        <v>135</v>
      </c>
      <c r="O2938"/>
      <c r="P2938"/>
      <c r="Q2938" t="s">
        <v>168</v>
      </c>
      <c r="R2938"/>
      <c r="S2938"/>
      <c r="T2938" t="s">
        <v>169</v>
      </c>
      <c r="U2938" t="s">
        <v>137</v>
      </c>
      <c r="V2938" t="s">
        <v>162</v>
      </c>
      <c r="W2938" s="9">
        <v>46179.19703009259</v>
      </c>
      <c r="X2938" t="s">
        <v>113</v>
      </c>
      <c r="Y2938"/>
      <c r="Z2938"/>
      <c r="AA2938" t="s">
        <v>292</v>
      </c>
      <c r="AB2938" t="s">
        <v>1</v>
      </c>
      <c r="AC2938" t="s">
        <v>24</v>
      </c>
      <c r="AD2938" t="s">
        <v>129</v>
      </c>
      <c r="AE2938" s="97"/>
    </row>
    <row r="2939" spans="1:31" ht="14.4" customHeight="1" x14ac:dyDescent="0.3">
      <c r="A2939" t="s">
        <v>5529</v>
      </c>
      <c r="B2939" t="s">
        <v>761</v>
      </c>
      <c r="C2939"/>
      <c r="D2939"/>
      <c r="E2939"/>
      <c r="F2939"/>
      <c r="G2939" t="s">
        <v>5356</v>
      </c>
      <c r="H2939" t="s">
        <v>132</v>
      </c>
      <c r="I2939" t="s">
        <v>1</v>
      </c>
      <c r="J2939" t="s">
        <v>5298</v>
      </c>
      <c r="K2939" t="s">
        <v>51</v>
      </c>
      <c r="L2939" t="s">
        <v>762</v>
      </c>
      <c r="M2939" t="s">
        <v>134</v>
      </c>
      <c r="N2939" t="s">
        <v>135</v>
      </c>
      <c r="O2939"/>
      <c r="P2939"/>
      <c r="Q2939" t="s">
        <v>168</v>
      </c>
      <c r="R2939"/>
      <c r="S2939"/>
      <c r="T2939" t="s">
        <v>169</v>
      </c>
      <c r="U2939" t="s">
        <v>137</v>
      </c>
      <c r="V2939" t="s">
        <v>165</v>
      </c>
      <c r="W2939" s="9">
        <v>46178.330459340279</v>
      </c>
      <c r="X2939" t="s">
        <v>122</v>
      </c>
      <c r="Y2939"/>
      <c r="Z2939"/>
      <c r="AA2939" t="s">
        <v>292</v>
      </c>
      <c r="AB2939" t="s">
        <v>1</v>
      </c>
      <c r="AC2939" t="s">
        <v>24</v>
      </c>
      <c r="AD2939" t="s">
        <v>130</v>
      </c>
      <c r="AE2939" s="97"/>
    </row>
    <row r="2940" spans="1:31" ht="14.4" customHeight="1" x14ac:dyDescent="0.3">
      <c r="A2940" t="s">
        <v>5530</v>
      </c>
      <c r="B2940" t="s">
        <v>764</v>
      </c>
      <c r="C2940"/>
      <c r="D2940"/>
      <c r="E2940"/>
      <c r="F2940"/>
      <c r="G2940" t="s">
        <v>5356</v>
      </c>
      <c r="H2940" t="s">
        <v>132</v>
      </c>
      <c r="I2940" t="s">
        <v>1</v>
      </c>
      <c r="J2940" t="s">
        <v>5298</v>
      </c>
      <c r="K2940" t="s">
        <v>51</v>
      </c>
      <c r="L2940" t="s">
        <v>765</v>
      </c>
      <c r="M2940" t="s">
        <v>134</v>
      </c>
      <c r="N2940" t="s">
        <v>135</v>
      </c>
      <c r="O2940"/>
      <c r="P2940"/>
      <c r="Q2940" t="s">
        <v>168</v>
      </c>
      <c r="R2940"/>
      <c r="S2940"/>
      <c r="T2940" t="s">
        <v>169</v>
      </c>
      <c r="U2940" t="s">
        <v>137</v>
      </c>
      <c r="V2940" t="s">
        <v>147</v>
      </c>
      <c r="W2940"/>
      <c r="X2940" t="s">
        <v>70</v>
      </c>
      <c r="Y2940"/>
      <c r="Z2940"/>
      <c r="AA2940" t="s">
        <v>292</v>
      </c>
      <c r="AB2940" t="s">
        <v>1</v>
      </c>
      <c r="AC2940" t="s">
        <v>138</v>
      </c>
      <c r="AD2940" t="s">
        <v>128</v>
      </c>
      <c r="AE2940" s="97"/>
    </row>
    <row r="2941" spans="1:31" ht="14.4" customHeight="1" x14ac:dyDescent="0.3">
      <c r="A2941" t="s">
        <v>5531</v>
      </c>
      <c r="B2941" t="s">
        <v>767</v>
      </c>
      <c r="C2941"/>
      <c r="D2941"/>
      <c r="E2941"/>
      <c r="F2941"/>
      <c r="G2941" t="s">
        <v>5356</v>
      </c>
      <c r="H2941" t="s">
        <v>132</v>
      </c>
      <c r="I2941" t="s">
        <v>1</v>
      </c>
      <c r="J2941" t="s">
        <v>5298</v>
      </c>
      <c r="K2941" t="s">
        <v>51</v>
      </c>
      <c r="L2941" t="s">
        <v>765</v>
      </c>
      <c r="M2941" t="s">
        <v>134</v>
      </c>
      <c r="N2941" t="s">
        <v>135</v>
      </c>
      <c r="O2941"/>
      <c r="P2941"/>
      <c r="Q2941" t="s">
        <v>168</v>
      </c>
      <c r="R2941"/>
      <c r="S2941"/>
      <c r="T2941" t="s">
        <v>169</v>
      </c>
      <c r="U2941" t="s">
        <v>137</v>
      </c>
      <c r="V2941" t="s">
        <v>147</v>
      </c>
      <c r="W2941" s="9">
        <v>46192.200256909724</v>
      </c>
      <c r="X2941" t="s">
        <v>70</v>
      </c>
      <c r="Y2941"/>
      <c r="Z2941"/>
      <c r="AA2941" t="s">
        <v>292</v>
      </c>
      <c r="AB2941" t="s">
        <v>1</v>
      </c>
      <c r="AC2941" t="s">
        <v>24</v>
      </c>
      <c r="AD2941" t="s">
        <v>128</v>
      </c>
      <c r="AE2941" s="97"/>
    </row>
    <row r="2942" spans="1:31" ht="14.4" customHeight="1" x14ac:dyDescent="0.3">
      <c r="A2942" t="s">
        <v>5532</v>
      </c>
      <c r="B2942" t="s">
        <v>769</v>
      </c>
      <c r="C2942"/>
      <c r="D2942"/>
      <c r="E2942"/>
      <c r="F2942"/>
      <c r="G2942" t="s">
        <v>5356</v>
      </c>
      <c r="H2942" t="s">
        <v>132</v>
      </c>
      <c r="I2942" t="s">
        <v>1</v>
      </c>
      <c r="J2942" t="s">
        <v>5298</v>
      </c>
      <c r="K2942" t="s">
        <v>51</v>
      </c>
      <c r="L2942" t="s">
        <v>765</v>
      </c>
      <c r="M2942" t="s">
        <v>134</v>
      </c>
      <c r="N2942" t="s">
        <v>135</v>
      </c>
      <c r="O2942"/>
      <c r="P2942"/>
      <c r="Q2942" t="s">
        <v>168</v>
      </c>
      <c r="R2942"/>
      <c r="S2942"/>
      <c r="T2942" t="s">
        <v>169</v>
      </c>
      <c r="U2942" t="s">
        <v>137</v>
      </c>
      <c r="V2942" t="s">
        <v>147</v>
      </c>
      <c r="W2942" s="9">
        <v>46192.200187581017</v>
      </c>
      <c r="X2942" t="s">
        <v>70</v>
      </c>
      <c r="Y2942"/>
      <c r="Z2942"/>
      <c r="AA2942" t="s">
        <v>292</v>
      </c>
      <c r="AB2942" t="s">
        <v>1</v>
      </c>
      <c r="AC2942" t="s">
        <v>24</v>
      </c>
      <c r="AD2942" t="s">
        <v>128</v>
      </c>
      <c r="AE2942" s="97"/>
    </row>
    <row r="2943" spans="1:31" ht="14.4" customHeight="1" x14ac:dyDescent="0.3">
      <c r="A2943" t="s">
        <v>5533</v>
      </c>
      <c r="B2943" t="s">
        <v>771</v>
      </c>
      <c r="C2943"/>
      <c r="D2943"/>
      <c r="E2943"/>
      <c r="F2943"/>
      <c r="G2943" t="s">
        <v>5356</v>
      </c>
      <c r="H2943" t="s">
        <v>132</v>
      </c>
      <c r="I2943" t="s">
        <v>1</v>
      </c>
      <c r="J2943" t="s">
        <v>5298</v>
      </c>
      <c r="K2943" t="s">
        <v>51</v>
      </c>
      <c r="L2943" t="s">
        <v>772</v>
      </c>
      <c r="M2943" t="s">
        <v>134</v>
      </c>
      <c r="N2943" t="s">
        <v>135</v>
      </c>
      <c r="O2943"/>
      <c r="P2943"/>
      <c r="Q2943" t="s">
        <v>168</v>
      </c>
      <c r="R2943"/>
      <c r="S2943"/>
      <c r="T2943" t="s">
        <v>169</v>
      </c>
      <c r="U2943" t="s">
        <v>137</v>
      </c>
      <c r="V2943" t="s">
        <v>150</v>
      </c>
      <c r="W2943"/>
      <c r="X2943" t="s">
        <v>76</v>
      </c>
      <c r="Y2943"/>
      <c r="Z2943"/>
      <c r="AA2943" t="s">
        <v>292</v>
      </c>
      <c r="AB2943" t="s">
        <v>1</v>
      </c>
      <c r="AC2943" t="s">
        <v>138</v>
      </c>
      <c r="AD2943" t="s">
        <v>128</v>
      </c>
      <c r="AE2943" s="97"/>
    </row>
    <row r="2944" spans="1:31" ht="14.4" customHeight="1" x14ac:dyDescent="0.3">
      <c r="A2944" t="s">
        <v>5534</v>
      </c>
      <c r="B2944" t="s">
        <v>774</v>
      </c>
      <c r="C2944"/>
      <c r="D2944"/>
      <c r="E2944"/>
      <c r="F2944"/>
      <c r="G2944" t="s">
        <v>5356</v>
      </c>
      <c r="H2944" t="s">
        <v>132</v>
      </c>
      <c r="I2944" t="s">
        <v>1</v>
      </c>
      <c r="J2944" t="s">
        <v>5298</v>
      </c>
      <c r="K2944" t="s">
        <v>51</v>
      </c>
      <c r="L2944" t="s">
        <v>772</v>
      </c>
      <c r="M2944" t="s">
        <v>134</v>
      </c>
      <c r="N2944" t="s">
        <v>135</v>
      </c>
      <c r="O2944"/>
      <c r="P2944"/>
      <c r="Q2944" t="s">
        <v>168</v>
      </c>
      <c r="R2944"/>
      <c r="S2944"/>
      <c r="T2944" t="s">
        <v>169</v>
      </c>
      <c r="U2944" t="s">
        <v>137</v>
      </c>
      <c r="V2944" t="s">
        <v>150</v>
      </c>
      <c r="W2944" s="9">
        <v>46192.200074768516</v>
      </c>
      <c r="X2944" t="s">
        <v>76</v>
      </c>
      <c r="Y2944"/>
      <c r="Z2944"/>
      <c r="AA2944" t="s">
        <v>292</v>
      </c>
      <c r="AB2944" t="s">
        <v>1</v>
      </c>
      <c r="AC2944" t="s">
        <v>24</v>
      </c>
      <c r="AD2944" t="s">
        <v>128</v>
      </c>
      <c r="AE2944" s="97"/>
    </row>
    <row r="2945" spans="1:31" ht="14.4" customHeight="1" x14ac:dyDescent="0.3">
      <c r="A2945" t="s">
        <v>5535</v>
      </c>
      <c r="B2945" t="s">
        <v>776</v>
      </c>
      <c r="C2945"/>
      <c r="D2945"/>
      <c r="E2945"/>
      <c r="F2945"/>
      <c r="G2945" t="s">
        <v>5356</v>
      </c>
      <c r="H2945" t="s">
        <v>132</v>
      </c>
      <c r="I2945" t="s">
        <v>1</v>
      </c>
      <c r="J2945" t="s">
        <v>5298</v>
      </c>
      <c r="K2945" t="s">
        <v>51</v>
      </c>
      <c r="L2945" t="s">
        <v>772</v>
      </c>
      <c r="M2945" t="s">
        <v>134</v>
      </c>
      <c r="N2945" t="s">
        <v>135</v>
      </c>
      <c r="O2945"/>
      <c r="P2945"/>
      <c r="Q2945" t="s">
        <v>168</v>
      </c>
      <c r="R2945"/>
      <c r="S2945"/>
      <c r="T2945" t="s">
        <v>169</v>
      </c>
      <c r="U2945" t="s">
        <v>137</v>
      </c>
      <c r="V2945" t="s">
        <v>150</v>
      </c>
      <c r="W2945" s="9">
        <v>46192.200612581022</v>
      </c>
      <c r="X2945" t="s">
        <v>76</v>
      </c>
      <c r="Y2945"/>
      <c r="Z2945"/>
      <c r="AA2945" t="s">
        <v>292</v>
      </c>
      <c r="AB2945" t="s">
        <v>1</v>
      </c>
      <c r="AC2945" t="s">
        <v>24</v>
      </c>
      <c r="AD2945" t="s">
        <v>128</v>
      </c>
      <c r="AE2945" s="97"/>
    </row>
    <row r="2946" spans="1:31" ht="14.4" customHeight="1" x14ac:dyDescent="0.3">
      <c r="A2946" t="s">
        <v>5536</v>
      </c>
      <c r="B2946" t="s">
        <v>778</v>
      </c>
      <c r="C2946"/>
      <c r="D2946"/>
      <c r="E2946"/>
      <c r="F2946"/>
      <c r="G2946" t="s">
        <v>5356</v>
      </c>
      <c r="H2946" t="s">
        <v>132</v>
      </c>
      <c r="I2946" t="s">
        <v>1</v>
      </c>
      <c r="J2946" t="s">
        <v>5298</v>
      </c>
      <c r="K2946" t="s">
        <v>51</v>
      </c>
      <c r="L2946" t="s">
        <v>779</v>
      </c>
      <c r="M2946" t="s">
        <v>134</v>
      </c>
      <c r="N2946" t="s">
        <v>135</v>
      </c>
      <c r="O2946"/>
      <c r="P2946"/>
      <c r="Q2946" t="s">
        <v>168</v>
      </c>
      <c r="R2946"/>
      <c r="S2946"/>
      <c r="T2946" t="s">
        <v>169</v>
      </c>
      <c r="U2946" t="s">
        <v>137</v>
      </c>
      <c r="V2946" t="s">
        <v>153</v>
      </c>
      <c r="W2946"/>
      <c r="X2946" t="s">
        <v>88</v>
      </c>
      <c r="Y2946"/>
      <c r="Z2946"/>
      <c r="AA2946" t="s">
        <v>292</v>
      </c>
      <c r="AB2946" t="s">
        <v>1</v>
      </c>
      <c r="AC2946" t="s">
        <v>138</v>
      </c>
      <c r="AD2946" t="s">
        <v>129</v>
      </c>
      <c r="AE2946" s="97"/>
    </row>
    <row r="2947" spans="1:31" ht="14.4" customHeight="1" x14ac:dyDescent="0.3">
      <c r="A2947" t="s">
        <v>5537</v>
      </c>
      <c r="B2947" t="s">
        <v>781</v>
      </c>
      <c r="C2947"/>
      <c r="D2947"/>
      <c r="E2947"/>
      <c r="F2947"/>
      <c r="G2947" t="s">
        <v>5356</v>
      </c>
      <c r="H2947" t="s">
        <v>132</v>
      </c>
      <c r="I2947" t="s">
        <v>1</v>
      </c>
      <c r="J2947" t="s">
        <v>5298</v>
      </c>
      <c r="K2947" t="s">
        <v>51</v>
      </c>
      <c r="L2947" t="s">
        <v>779</v>
      </c>
      <c r="M2947" t="s">
        <v>134</v>
      </c>
      <c r="N2947" t="s">
        <v>135</v>
      </c>
      <c r="O2947"/>
      <c r="P2947"/>
      <c r="Q2947" t="s">
        <v>168</v>
      </c>
      <c r="R2947"/>
      <c r="S2947"/>
      <c r="T2947" t="s">
        <v>169</v>
      </c>
      <c r="U2947" t="s">
        <v>137</v>
      </c>
      <c r="V2947" t="s">
        <v>153</v>
      </c>
      <c r="W2947"/>
      <c r="X2947" t="s">
        <v>88</v>
      </c>
      <c r="Y2947"/>
      <c r="Z2947"/>
      <c r="AA2947" t="s">
        <v>292</v>
      </c>
      <c r="AB2947" t="s">
        <v>1</v>
      </c>
      <c r="AC2947" t="s">
        <v>138</v>
      </c>
      <c r="AD2947" t="s">
        <v>129</v>
      </c>
      <c r="AE2947" s="97"/>
    </row>
    <row r="2948" spans="1:31" ht="14.4" customHeight="1" x14ac:dyDescent="0.3">
      <c r="A2948" t="s">
        <v>5538</v>
      </c>
      <c r="B2948" t="s">
        <v>783</v>
      </c>
      <c r="C2948"/>
      <c r="D2948"/>
      <c r="E2948"/>
      <c r="F2948"/>
      <c r="G2948" t="s">
        <v>5356</v>
      </c>
      <c r="H2948" t="s">
        <v>132</v>
      </c>
      <c r="I2948" t="s">
        <v>1</v>
      </c>
      <c r="J2948" t="s">
        <v>5298</v>
      </c>
      <c r="K2948" t="s">
        <v>51</v>
      </c>
      <c r="L2948" t="s">
        <v>779</v>
      </c>
      <c r="M2948" t="s">
        <v>134</v>
      </c>
      <c r="N2948" t="s">
        <v>135</v>
      </c>
      <c r="O2948"/>
      <c r="P2948"/>
      <c r="Q2948" t="s">
        <v>168</v>
      </c>
      <c r="R2948"/>
      <c r="S2948"/>
      <c r="T2948" t="s">
        <v>169</v>
      </c>
      <c r="U2948" t="s">
        <v>137</v>
      </c>
      <c r="V2948" t="s">
        <v>153</v>
      </c>
      <c r="W2948"/>
      <c r="X2948" t="s">
        <v>88</v>
      </c>
      <c r="Y2948"/>
      <c r="Z2948"/>
      <c r="AA2948" t="s">
        <v>292</v>
      </c>
      <c r="AB2948" t="s">
        <v>1</v>
      </c>
      <c r="AC2948" t="s">
        <v>138</v>
      </c>
      <c r="AD2948" t="s">
        <v>129</v>
      </c>
      <c r="AE2948" s="97"/>
    </row>
    <row r="2949" spans="1:31" ht="14.4" customHeight="1" x14ac:dyDescent="0.3">
      <c r="A2949" t="s">
        <v>5539</v>
      </c>
      <c r="B2949" t="s">
        <v>785</v>
      </c>
      <c r="C2949"/>
      <c r="D2949"/>
      <c r="E2949"/>
      <c r="F2949"/>
      <c r="G2949" t="s">
        <v>5356</v>
      </c>
      <c r="H2949" t="s">
        <v>132</v>
      </c>
      <c r="I2949" t="s">
        <v>1</v>
      </c>
      <c r="J2949" t="s">
        <v>5298</v>
      </c>
      <c r="K2949" t="s">
        <v>51</v>
      </c>
      <c r="L2949" t="s">
        <v>786</v>
      </c>
      <c r="M2949" t="s">
        <v>134</v>
      </c>
      <c r="N2949" t="s">
        <v>135</v>
      </c>
      <c r="O2949"/>
      <c r="P2949"/>
      <c r="Q2949" t="s">
        <v>168</v>
      </c>
      <c r="R2949"/>
      <c r="S2949"/>
      <c r="T2949" t="s">
        <v>169</v>
      </c>
      <c r="U2949" t="s">
        <v>137</v>
      </c>
      <c r="V2949" t="s">
        <v>156</v>
      </c>
      <c r="W2949"/>
      <c r="X2949" t="s">
        <v>97</v>
      </c>
      <c r="Y2949"/>
      <c r="Z2949"/>
      <c r="AA2949" t="s">
        <v>292</v>
      </c>
      <c r="AB2949" t="s">
        <v>1</v>
      </c>
      <c r="AC2949" t="s">
        <v>138</v>
      </c>
      <c r="AD2949" t="s">
        <v>129</v>
      </c>
      <c r="AE2949" s="97"/>
    </row>
    <row r="2950" spans="1:31" ht="14.4" customHeight="1" x14ac:dyDescent="0.3">
      <c r="A2950" t="s">
        <v>5540</v>
      </c>
      <c r="B2950" t="s">
        <v>788</v>
      </c>
      <c r="C2950"/>
      <c r="D2950"/>
      <c r="E2950"/>
      <c r="F2950"/>
      <c r="G2950" t="s">
        <v>5356</v>
      </c>
      <c r="H2950" t="s">
        <v>132</v>
      </c>
      <c r="I2950" t="s">
        <v>1</v>
      </c>
      <c r="J2950" t="s">
        <v>5298</v>
      </c>
      <c r="K2950" t="s">
        <v>51</v>
      </c>
      <c r="L2950" t="s">
        <v>786</v>
      </c>
      <c r="M2950" t="s">
        <v>134</v>
      </c>
      <c r="N2950" t="s">
        <v>135</v>
      </c>
      <c r="O2950"/>
      <c r="P2950"/>
      <c r="Q2950" t="s">
        <v>168</v>
      </c>
      <c r="R2950"/>
      <c r="S2950"/>
      <c r="T2950" t="s">
        <v>169</v>
      </c>
      <c r="U2950" t="s">
        <v>137</v>
      </c>
      <c r="V2950" t="s">
        <v>156</v>
      </c>
      <c r="W2950" s="9">
        <v>46192.201643831017</v>
      </c>
      <c r="X2950" t="s">
        <v>97</v>
      </c>
      <c r="Y2950"/>
      <c r="Z2950"/>
      <c r="AA2950" t="s">
        <v>292</v>
      </c>
      <c r="AB2950" t="s">
        <v>1</v>
      </c>
      <c r="AC2950" t="s">
        <v>24</v>
      </c>
      <c r="AD2950" t="s">
        <v>129</v>
      </c>
      <c r="AE2950" s="97"/>
    </row>
    <row r="2951" spans="1:31" ht="14.4" customHeight="1" x14ac:dyDescent="0.3">
      <c r="A2951" t="s">
        <v>5541</v>
      </c>
      <c r="B2951" t="s">
        <v>790</v>
      </c>
      <c r="C2951"/>
      <c r="D2951"/>
      <c r="E2951"/>
      <c r="F2951"/>
      <c r="G2951" t="s">
        <v>5356</v>
      </c>
      <c r="H2951" t="s">
        <v>132</v>
      </c>
      <c r="I2951" t="s">
        <v>1</v>
      </c>
      <c r="J2951" t="s">
        <v>5298</v>
      </c>
      <c r="K2951" t="s">
        <v>51</v>
      </c>
      <c r="L2951" t="s">
        <v>786</v>
      </c>
      <c r="M2951" t="s">
        <v>134</v>
      </c>
      <c r="N2951" t="s">
        <v>135</v>
      </c>
      <c r="O2951"/>
      <c r="P2951"/>
      <c r="Q2951" t="s">
        <v>168</v>
      </c>
      <c r="R2951"/>
      <c r="S2951"/>
      <c r="T2951" t="s">
        <v>169</v>
      </c>
      <c r="U2951" t="s">
        <v>137</v>
      </c>
      <c r="V2951" t="s">
        <v>156</v>
      </c>
      <c r="W2951" s="9">
        <v>46192.201783020835</v>
      </c>
      <c r="X2951" t="s">
        <v>97</v>
      </c>
      <c r="Y2951"/>
      <c r="Z2951"/>
      <c r="AA2951" t="s">
        <v>292</v>
      </c>
      <c r="AB2951" t="s">
        <v>1</v>
      </c>
      <c r="AC2951" t="s">
        <v>24</v>
      </c>
      <c r="AD2951" t="s">
        <v>129</v>
      </c>
      <c r="AE2951" s="97"/>
    </row>
    <row r="2952" spans="1:31" ht="14.4" customHeight="1" x14ac:dyDescent="0.3">
      <c r="A2952" t="s">
        <v>5542</v>
      </c>
      <c r="B2952" t="s">
        <v>792</v>
      </c>
      <c r="C2952"/>
      <c r="D2952"/>
      <c r="E2952"/>
      <c r="F2952"/>
      <c r="G2952" t="s">
        <v>5356</v>
      </c>
      <c r="H2952" t="s">
        <v>132</v>
      </c>
      <c r="I2952" t="s">
        <v>1</v>
      </c>
      <c r="J2952" t="s">
        <v>5298</v>
      </c>
      <c r="K2952" t="s">
        <v>51</v>
      </c>
      <c r="L2952" t="s">
        <v>793</v>
      </c>
      <c r="M2952" t="s">
        <v>134</v>
      </c>
      <c r="N2952" t="s">
        <v>135</v>
      </c>
      <c r="O2952"/>
      <c r="P2952"/>
      <c r="Q2952" t="s">
        <v>168</v>
      </c>
      <c r="R2952"/>
      <c r="S2952"/>
      <c r="T2952" t="s">
        <v>169</v>
      </c>
      <c r="U2952" t="s">
        <v>137</v>
      </c>
      <c r="V2952" t="s">
        <v>159</v>
      </c>
      <c r="W2952"/>
      <c r="X2952" t="s">
        <v>106</v>
      </c>
      <c r="Y2952"/>
      <c r="Z2952"/>
      <c r="AA2952" t="s">
        <v>292</v>
      </c>
      <c r="AB2952" t="s">
        <v>1</v>
      </c>
      <c r="AC2952" t="s">
        <v>138</v>
      </c>
      <c r="AD2952" t="s">
        <v>129</v>
      </c>
      <c r="AE2952" s="97"/>
    </row>
    <row r="2953" spans="1:31" ht="14.4" customHeight="1" x14ac:dyDescent="0.3">
      <c r="A2953" t="s">
        <v>5543</v>
      </c>
      <c r="B2953" t="s">
        <v>795</v>
      </c>
      <c r="C2953"/>
      <c r="D2953"/>
      <c r="E2953"/>
      <c r="F2953"/>
      <c r="G2953" t="s">
        <v>5356</v>
      </c>
      <c r="H2953" t="s">
        <v>132</v>
      </c>
      <c r="I2953" t="s">
        <v>1</v>
      </c>
      <c r="J2953" t="s">
        <v>5298</v>
      </c>
      <c r="K2953" t="s">
        <v>51</v>
      </c>
      <c r="L2953" t="s">
        <v>793</v>
      </c>
      <c r="M2953" t="s">
        <v>134</v>
      </c>
      <c r="N2953" t="s">
        <v>135</v>
      </c>
      <c r="O2953"/>
      <c r="P2953"/>
      <c r="Q2953" t="s">
        <v>168</v>
      </c>
      <c r="R2953"/>
      <c r="S2953"/>
      <c r="T2953" t="s">
        <v>169</v>
      </c>
      <c r="U2953" t="s">
        <v>137</v>
      </c>
      <c r="V2953" t="s">
        <v>159</v>
      </c>
      <c r="W2953"/>
      <c r="X2953" t="s">
        <v>106</v>
      </c>
      <c r="Y2953"/>
      <c r="Z2953"/>
      <c r="AA2953" t="s">
        <v>292</v>
      </c>
      <c r="AB2953" t="s">
        <v>1</v>
      </c>
      <c r="AC2953" t="s">
        <v>138</v>
      </c>
      <c r="AD2953" t="s">
        <v>129</v>
      </c>
      <c r="AE2953" s="97"/>
    </row>
    <row r="2954" spans="1:31" ht="14.4" customHeight="1" x14ac:dyDescent="0.3">
      <c r="A2954" t="s">
        <v>5544</v>
      </c>
      <c r="B2954" t="s">
        <v>797</v>
      </c>
      <c r="C2954"/>
      <c r="D2954"/>
      <c r="E2954"/>
      <c r="F2954"/>
      <c r="G2954" t="s">
        <v>5356</v>
      </c>
      <c r="H2954" t="s">
        <v>132</v>
      </c>
      <c r="I2954" t="s">
        <v>1</v>
      </c>
      <c r="J2954" t="s">
        <v>5298</v>
      </c>
      <c r="K2954" t="s">
        <v>51</v>
      </c>
      <c r="L2954" t="s">
        <v>793</v>
      </c>
      <c r="M2954" t="s">
        <v>134</v>
      </c>
      <c r="N2954" t="s">
        <v>135</v>
      </c>
      <c r="O2954"/>
      <c r="P2954"/>
      <c r="Q2954" t="s">
        <v>168</v>
      </c>
      <c r="R2954"/>
      <c r="S2954"/>
      <c r="T2954" t="s">
        <v>169</v>
      </c>
      <c r="U2954" t="s">
        <v>137</v>
      </c>
      <c r="V2954" t="s">
        <v>159</v>
      </c>
      <c r="W2954"/>
      <c r="X2954" t="s">
        <v>106</v>
      </c>
      <c r="Y2954"/>
      <c r="Z2954"/>
      <c r="AA2954" t="s">
        <v>292</v>
      </c>
      <c r="AB2954" t="s">
        <v>1</v>
      </c>
      <c r="AC2954" t="s">
        <v>138</v>
      </c>
      <c r="AD2954" t="s">
        <v>129</v>
      </c>
      <c r="AE2954" s="97"/>
    </row>
    <row r="2955" spans="1:31" ht="14.4" customHeight="1" x14ac:dyDescent="0.3">
      <c r="A2955" t="s">
        <v>5545</v>
      </c>
      <c r="B2955" t="s">
        <v>799</v>
      </c>
      <c r="C2955"/>
      <c r="D2955"/>
      <c r="E2955"/>
      <c r="F2955"/>
      <c r="G2955" t="s">
        <v>5356</v>
      </c>
      <c r="H2955" t="s">
        <v>132</v>
      </c>
      <c r="I2955" t="s">
        <v>1</v>
      </c>
      <c r="J2955" t="s">
        <v>5298</v>
      </c>
      <c r="K2955" t="s">
        <v>51</v>
      </c>
      <c r="L2955" t="s">
        <v>800</v>
      </c>
      <c r="M2955" t="s">
        <v>134</v>
      </c>
      <c r="N2955" t="s">
        <v>135</v>
      </c>
      <c r="O2955"/>
      <c r="P2955"/>
      <c r="Q2955" t="s">
        <v>168</v>
      </c>
      <c r="R2955"/>
      <c r="S2955"/>
      <c r="T2955" t="s">
        <v>169</v>
      </c>
      <c r="U2955" t="s">
        <v>137</v>
      </c>
      <c r="V2955" t="s">
        <v>162</v>
      </c>
      <c r="W2955"/>
      <c r="X2955" t="s">
        <v>113</v>
      </c>
      <c r="Y2955"/>
      <c r="Z2955"/>
      <c r="AA2955" t="s">
        <v>292</v>
      </c>
      <c r="AB2955" t="s">
        <v>1</v>
      </c>
      <c r="AC2955" t="s">
        <v>138</v>
      </c>
      <c r="AD2955" t="s">
        <v>129</v>
      </c>
      <c r="AE2955" s="97"/>
    </row>
    <row r="2956" spans="1:31" ht="14.4" customHeight="1" x14ac:dyDescent="0.3">
      <c r="A2956" t="s">
        <v>5546</v>
      </c>
      <c r="B2956" t="s">
        <v>802</v>
      </c>
      <c r="C2956"/>
      <c r="D2956"/>
      <c r="E2956"/>
      <c r="F2956"/>
      <c r="G2956" t="s">
        <v>5356</v>
      </c>
      <c r="H2956" t="s">
        <v>132</v>
      </c>
      <c r="I2956" t="s">
        <v>1</v>
      </c>
      <c r="J2956" t="s">
        <v>5298</v>
      </c>
      <c r="K2956" t="s">
        <v>51</v>
      </c>
      <c r="L2956" t="s">
        <v>800</v>
      </c>
      <c r="M2956" t="s">
        <v>134</v>
      </c>
      <c r="N2956" t="s">
        <v>135</v>
      </c>
      <c r="O2956"/>
      <c r="P2956"/>
      <c r="Q2956" t="s">
        <v>168</v>
      </c>
      <c r="R2956"/>
      <c r="S2956"/>
      <c r="T2956" t="s">
        <v>169</v>
      </c>
      <c r="U2956" t="s">
        <v>137</v>
      </c>
      <c r="V2956" t="s">
        <v>162</v>
      </c>
      <c r="W2956"/>
      <c r="X2956" t="s">
        <v>113</v>
      </c>
      <c r="Y2956"/>
      <c r="Z2956"/>
      <c r="AA2956" t="s">
        <v>292</v>
      </c>
      <c r="AB2956" t="s">
        <v>1</v>
      </c>
      <c r="AC2956" t="s">
        <v>138</v>
      </c>
      <c r="AD2956" t="s">
        <v>129</v>
      </c>
      <c r="AE2956" s="97"/>
    </row>
    <row r="2957" spans="1:31" ht="14.4" customHeight="1" x14ac:dyDescent="0.3">
      <c r="A2957" t="s">
        <v>5547</v>
      </c>
      <c r="B2957" t="s">
        <v>804</v>
      </c>
      <c r="C2957"/>
      <c r="D2957"/>
      <c r="E2957"/>
      <c r="F2957"/>
      <c r="G2957" t="s">
        <v>5356</v>
      </c>
      <c r="H2957" t="s">
        <v>132</v>
      </c>
      <c r="I2957" t="s">
        <v>1</v>
      </c>
      <c r="J2957" t="s">
        <v>5298</v>
      </c>
      <c r="K2957" t="s">
        <v>51</v>
      </c>
      <c r="L2957" t="s">
        <v>800</v>
      </c>
      <c r="M2957" t="s">
        <v>134</v>
      </c>
      <c r="N2957" t="s">
        <v>135</v>
      </c>
      <c r="O2957"/>
      <c r="P2957"/>
      <c r="Q2957" t="s">
        <v>168</v>
      </c>
      <c r="R2957"/>
      <c r="S2957"/>
      <c r="T2957" t="s">
        <v>169</v>
      </c>
      <c r="U2957" t="s">
        <v>137</v>
      </c>
      <c r="V2957" t="s">
        <v>162</v>
      </c>
      <c r="W2957"/>
      <c r="X2957" t="s">
        <v>113</v>
      </c>
      <c r="Y2957"/>
      <c r="Z2957"/>
      <c r="AA2957" t="s">
        <v>292</v>
      </c>
      <c r="AB2957" t="s">
        <v>1</v>
      </c>
      <c r="AC2957" t="s">
        <v>138</v>
      </c>
      <c r="AD2957" t="s">
        <v>129</v>
      </c>
      <c r="AE2957" s="97"/>
    </row>
    <row r="2958" spans="1:31" ht="14.4" customHeight="1" x14ac:dyDescent="0.3">
      <c r="A2958" t="s">
        <v>5548</v>
      </c>
      <c r="B2958" t="s">
        <v>806</v>
      </c>
      <c r="C2958"/>
      <c r="D2958"/>
      <c r="E2958"/>
      <c r="F2958"/>
      <c r="G2958" t="s">
        <v>5356</v>
      </c>
      <c r="H2958" t="s">
        <v>132</v>
      </c>
      <c r="I2958" t="s">
        <v>1</v>
      </c>
      <c r="J2958" t="s">
        <v>5298</v>
      </c>
      <c r="K2958" t="s">
        <v>51</v>
      </c>
      <c r="L2958" t="s">
        <v>807</v>
      </c>
      <c r="M2958" t="s">
        <v>134</v>
      </c>
      <c r="N2958" t="s">
        <v>135</v>
      </c>
      <c r="O2958"/>
      <c r="P2958"/>
      <c r="Q2958" t="s">
        <v>168</v>
      </c>
      <c r="R2958"/>
      <c r="S2958"/>
      <c r="T2958" t="s">
        <v>169</v>
      </c>
      <c r="U2958" t="s">
        <v>137</v>
      </c>
      <c r="V2958" t="s">
        <v>165</v>
      </c>
      <c r="W2958"/>
      <c r="X2958" t="s">
        <v>122</v>
      </c>
      <c r="Y2958"/>
      <c r="Z2958"/>
      <c r="AA2958" t="s">
        <v>292</v>
      </c>
      <c r="AB2958" t="s">
        <v>1</v>
      </c>
      <c r="AC2958" t="s">
        <v>138</v>
      </c>
      <c r="AD2958" t="s">
        <v>130</v>
      </c>
      <c r="AE2958" s="97"/>
    </row>
    <row r="2959" spans="1:31" ht="14.4" customHeight="1" x14ac:dyDescent="0.3">
      <c r="A2959" t="s">
        <v>5549</v>
      </c>
      <c r="B2959" t="s">
        <v>809</v>
      </c>
      <c r="C2959"/>
      <c r="D2959"/>
      <c r="E2959"/>
      <c r="F2959"/>
      <c r="G2959" t="s">
        <v>5356</v>
      </c>
      <c r="H2959" t="s">
        <v>132</v>
      </c>
      <c r="I2959" t="s">
        <v>1</v>
      </c>
      <c r="J2959" t="s">
        <v>5298</v>
      </c>
      <c r="K2959" t="s">
        <v>51</v>
      </c>
      <c r="L2959" t="s">
        <v>807</v>
      </c>
      <c r="M2959" t="s">
        <v>134</v>
      </c>
      <c r="N2959" t="s">
        <v>135</v>
      </c>
      <c r="O2959"/>
      <c r="P2959"/>
      <c r="Q2959" t="s">
        <v>168</v>
      </c>
      <c r="R2959"/>
      <c r="S2959"/>
      <c r="T2959" t="s">
        <v>169</v>
      </c>
      <c r="U2959" t="s">
        <v>137</v>
      </c>
      <c r="V2959" t="s">
        <v>165</v>
      </c>
      <c r="W2959"/>
      <c r="X2959" t="s">
        <v>122</v>
      </c>
      <c r="Y2959"/>
      <c r="Z2959"/>
      <c r="AA2959" t="s">
        <v>292</v>
      </c>
      <c r="AB2959" t="s">
        <v>1</v>
      </c>
      <c r="AC2959" t="s">
        <v>138</v>
      </c>
      <c r="AD2959" t="s">
        <v>130</v>
      </c>
      <c r="AE2959" s="97"/>
    </row>
    <row r="2960" spans="1:31" ht="14.4" customHeight="1" x14ac:dyDescent="0.3">
      <c r="A2960" t="s">
        <v>5550</v>
      </c>
      <c r="B2960" t="s">
        <v>811</v>
      </c>
      <c r="C2960"/>
      <c r="D2960"/>
      <c r="E2960"/>
      <c r="F2960"/>
      <c r="G2960" t="s">
        <v>5356</v>
      </c>
      <c r="H2960" t="s">
        <v>132</v>
      </c>
      <c r="I2960" t="s">
        <v>1</v>
      </c>
      <c r="J2960" t="s">
        <v>5298</v>
      </c>
      <c r="K2960" t="s">
        <v>51</v>
      </c>
      <c r="L2960" t="s">
        <v>807</v>
      </c>
      <c r="M2960" t="s">
        <v>134</v>
      </c>
      <c r="N2960" t="s">
        <v>135</v>
      </c>
      <c r="O2960"/>
      <c r="P2960"/>
      <c r="Q2960" t="s">
        <v>168</v>
      </c>
      <c r="R2960"/>
      <c r="S2960"/>
      <c r="T2960" t="s">
        <v>169</v>
      </c>
      <c r="U2960" t="s">
        <v>137</v>
      </c>
      <c r="V2960" t="s">
        <v>165</v>
      </c>
      <c r="W2960"/>
      <c r="X2960" t="s">
        <v>122</v>
      </c>
      <c r="Y2960"/>
      <c r="Z2960"/>
      <c r="AA2960" t="s">
        <v>292</v>
      </c>
      <c r="AB2960" t="s">
        <v>1</v>
      </c>
      <c r="AC2960" t="s">
        <v>138</v>
      </c>
      <c r="AD2960" t="s">
        <v>130</v>
      </c>
      <c r="AE2960" s="97"/>
    </row>
    <row r="2961" spans="1:31" ht="14.4" customHeight="1" x14ac:dyDescent="0.3">
      <c r="A2961" t="s">
        <v>5551</v>
      </c>
      <c r="B2961" t="s">
        <v>813</v>
      </c>
      <c r="C2961"/>
      <c r="D2961"/>
      <c r="E2961"/>
      <c r="F2961"/>
      <c r="G2961" t="s">
        <v>5356</v>
      </c>
      <c r="H2961" t="s">
        <v>132</v>
      </c>
      <c r="I2961" t="s">
        <v>1</v>
      </c>
      <c r="J2961" t="s">
        <v>5298</v>
      </c>
      <c r="K2961" t="s">
        <v>51</v>
      </c>
      <c r="L2961" t="s">
        <v>814</v>
      </c>
      <c r="M2961" t="s">
        <v>134</v>
      </c>
      <c r="N2961" t="s">
        <v>135</v>
      </c>
      <c r="O2961"/>
      <c r="P2961"/>
      <c r="Q2961" t="s">
        <v>168</v>
      </c>
      <c r="R2961"/>
      <c r="S2961"/>
      <c r="T2961" t="s">
        <v>169</v>
      </c>
      <c r="U2961" t="s">
        <v>137</v>
      </c>
      <c r="V2961" t="s">
        <v>147</v>
      </c>
      <c r="W2961"/>
      <c r="X2961" t="s">
        <v>70</v>
      </c>
      <c r="Y2961"/>
      <c r="Z2961"/>
      <c r="AA2961" t="s">
        <v>292</v>
      </c>
      <c r="AB2961" t="s">
        <v>1</v>
      </c>
      <c r="AC2961" t="s">
        <v>138</v>
      </c>
      <c r="AD2961" t="s">
        <v>128</v>
      </c>
      <c r="AE2961" s="97"/>
    </row>
    <row r="2962" spans="1:31" ht="14.4" customHeight="1" x14ac:dyDescent="0.3">
      <c r="A2962" t="s">
        <v>5552</v>
      </c>
      <c r="B2962" t="s">
        <v>816</v>
      </c>
      <c r="C2962"/>
      <c r="D2962"/>
      <c r="E2962"/>
      <c r="F2962"/>
      <c r="G2962" t="s">
        <v>5356</v>
      </c>
      <c r="H2962" t="s">
        <v>132</v>
      </c>
      <c r="I2962" t="s">
        <v>1</v>
      </c>
      <c r="J2962" t="s">
        <v>5298</v>
      </c>
      <c r="K2962" t="s">
        <v>51</v>
      </c>
      <c r="L2962" t="s">
        <v>817</v>
      </c>
      <c r="M2962" t="s">
        <v>134</v>
      </c>
      <c r="N2962" t="s">
        <v>135</v>
      </c>
      <c r="O2962"/>
      <c r="P2962"/>
      <c r="Q2962" t="s">
        <v>168</v>
      </c>
      <c r="R2962"/>
      <c r="S2962"/>
      <c r="T2962" t="s">
        <v>169</v>
      </c>
      <c r="U2962" t="s">
        <v>137</v>
      </c>
      <c r="V2962" t="s">
        <v>153</v>
      </c>
      <c r="W2962"/>
      <c r="X2962" t="s">
        <v>88</v>
      </c>
      <c r="Y2962"/>
      <c r="Z2962"/>
      <c r="AA2962" t="s">
        <v>292</v>
      </c>
      <c r="AB2962" t="s">
        <v>1</v>
      </c>
      <c r="AC2962" t="s">
        <v>138</v>
      </c>
      <c r="AD2962" t="s">
        <v>129</v>
      </c>
      <c r="AE2962" s="97"/>
    </row>
    <row r="2963" spans="1:31" ht="14.4" customHeight="1" x14ac:dyDescent="0.3">
      <c r="A2963" t="s">
        <v>5553</v>
      </c>
      <c r="B2963" t="s">
        <v>819</v>
      </c>
      <c r="C2963"/>
      <c r="D2963"/>
      <c r="E2963"/>
      <c r="F2963"/>
      <c r="G2963" t="s">
        <v>5356</v>
      </c>
      <c r="H2963" t="s">
        <v>132</v>
      </c>
      <c r="I2963" t="s">
        <v>1</v>
      </c>
      <c r="J2963" t="s">
        <v>5298</v>
      </c>
      <c r="K2963" t="s">
        <v>51</v>
      </c>
      <c r="L2963" t="s">
        <v>820</v>
      </c>
      <c r="M2963" t="s">
        <v>134</v>
      </c>
      <c r="N2963" t="s">
        <v>135</v>
      </c>
      <c r="O2963"/>
      <c r="P2963"/>
      <c r="Q2963" t="s">
        <v>168</v>
      </c>
      <c r="R2963"/>
      <c r="S2963"/>
      <c r="T2963" t="s">
        <v>169</v>
      </c>
      <c r="U2963" t="s">
        <v>137</v>
      </c>
      <c r="V2963" t="s">
        <v>159</v>
      </c>
      <c r="W2963"/>
      <c r="X2963" t="s">
        <v>106</v>
      </c>
      <c r="Y2963"/>
      <c r="Z2963"/>
      <c r="AA2963" t="s">
        <v>292</v>
      </c>
      <c r="AB2963" t="s">
        <v>1</v>
      </c>
      <c r="AC2963" t="s">
        <v>138</v>
      </c>
      <c r="AD2963" t="s">
        <v>129</v>
      </c>
      <c r="AE2963" s="97"/>
    </row>
    <row r="2964" spans="1:31" ht="14.4" customHeight="1" x14ac:dyDescent="0.3">
      <c r="A2964" t="s">
        <v>5554</v>
      </c>
      <c r="B2964" t="s">
        <v>822</v>
      </c>
      <c r="C2964"/>
      <c r="D2964"/>
      <c r="E2964"/>
      <c r="F2964"/>
      <c r="G2964" t="s">
        <v>5356</v>
      </c>
      <c r="H2964" t="s">
        <v>132</v>
      </c>
      <c r="I2964" t="s">
        <v>1</v>
      </c>
      <c r="J2964" t="s">
        <v>5298</v>
      </c>
      <c r="K2964" t="s">
        <v>51</v>
      </c>
      <c r="L2964" t="s">
        <v>823</v>
      </c>
      <c r="M2964" t="s">
        <v>134</v>
      </c>
      <c r="N2964" t="s">
        <v>135</v>
      </c>
      <c r="O2964"/>
      <c r="P2964"/>
      <c r="Q2964" t="s">
        <v>168</v>
      </c>
      <c r="R2964"/>
      <c r="S2964"/>
      <c r="T2964" t="s">
        <v>169</v>
      </c>
      <c r="U2964" t="s">
        <v>137</v>
      </c>
      <c r="V2964" t="s">
        <v>165</v>
      </c>
      <c r="W2964"/>
      <c r="X2964" t="s">
        <v>122</v>
      </c>
      <c r="Y2964"/>
      <c r="Z2964"/>
      <c r="AA2964" t="s">
        <v>292</v>
      </c>
      <c r="AB2964" t="s">
        <v>1</v>
      </c>
      <c r="AC2964" t="s">
        <v>138</v>
      </c>
      <c r="AD2964" t="s">
        <v>130</v>
      </c>
      <c r="AE2964" s="97"/>
    </row>
    <row r="2965" spans="1:31" ht="14.4" customHeight="1" x14ac:dyDescent="0.3">
      <c r="A2965" t="s">
        <v>5555</v>
      </c>
      <c r="B2965" t="s">
        <v>825</v>
      </c>
      <c r="C2965"/>
      <c r="D2965"/>
      <c r="E2965"/>
      <c r="F2965"/>
      <c r="G2965" t="s">
        <v>5356</v>
      </c>
      <c r="H2965" t="s">
        <v>132</v>
      </c>
      <c r="I2965" t="s">
        <v>1</v>
      </c>
      <c r="J2965" t="s">
        <v>5298</v>
      </c>
      <c r="K2965" t="s">
        <v>51</v>
      </c>
      <c r="L2965" t="s">
        <v>826</v>
      </c>
      <c r="M2965" t="s">
        <v>134</v>
      </c>
      <c r="N2965" t="s">
        <v>135</v>
      </c>
      <c r="O2965"/>
      <c r="P2965"/>
      <c r="Q2965" t="s">
        <v>168</v>
      </c>
      <c r="R2965"/>
      <c r="S2965"/>
      <c r="T2965" t="s">
        <v>169</v>
      </c>
      <c r="U2965" t="s">
        <v>137</v>
      </c>
      <c r="V2965" t="s">
        <v>147</v>
      </c>
      <c r="W2965" s="9">
        <v>46192.352866122688</v>
      </c>
      <c r="X2965" t="s">
        <v>70</v>
      </c>
      <c r="Y2965"/>
      <c r="Z2965"/>
      <c r="AA2965" t="s">
        <v>292</v>
      </c>
      <c r="AB2965" t="s">
        <v>1</v>
      </c>
      <c r="AC2965" t="s">
        <v>24</v>
      </c>
      <c r="AD2965" t="s">
        <v>128</v>
      </c>
      <c r="AE2965" s="97"/>
    </row>
    <row r="2966" spans="1:31" ht="14.4" customHeight="1" x14ac:dyDescent="0.3">
      <c r="A2966" t="s">
        <v>5556</v>
      </c>
      <c r="B2966" t="s">
        <v>828</v>
      </c>
      <c r="C2966"/>
      <c r="D2966"/>
      <c r="E2966"/>
      <c r="F2966"/>
      <c r="G2966" t="s">
        <v>5356</v>
      </c>
      <c r="H2966" t="s">
        <v>132</v>
      </c>
      <c r="I2966" t="s">
        <v>1</v>
      </c>
      <c r="J2966" t="s">
        <v>5298</v>
      </c>
      <c r="K2966" t="s">
        <v>51</v>
      </c>
      <c r="L2966" t="s">
        <v>829</v>
      </c>
      <c r="M2966" t="s">
        <v>134</v>
      </c>
      <c r="N2966" t="s">
        <v>135</v>
      </c>
      <c r="O2966"/>
      <c r="P2966"/>
      <c r="Q2966" t="s">
        <v>168</v>
      </c>
      <c r="R2966"/>
      <c r="S2966"/>
      <c r="T2966" t="s">
        <v>169</v>
      </c>
      <c r="U2966" t="s">
        <v>137</v>
      </c>
      <c r="V2966" t="s">
        <v>147</v>
      </c>
      <c r="W2966" s="9">
        <v>46192.35484965278</v>
      </c>
      <c r="X2966" t="s">
        <v>70</v>
      </c>
      <c r="Y2966"/>
      <c r="Z2966"/>
      <c r="AA2966" t="s">
        <v>292</v>
      </c>
      <c r="AB2966" t="s">
        <v>1</v>
      </c>
      <c r="AC2966" t="s">
        <v>24</v>
      </c>
      <c r="AD2966" t="s">
        <v>128</v>
      </c>
      <c r="AE2966" s="97"/>
    </row>
    <row r="2967" spans="1:31" ht="14.4" customHeight="1" x14ac:dyDescent="0.3">
      <c r="A2967" t="s">
        <v>5557</v>
      </c>
      <c r="B2967" t="s">
        <v>831</v>
      </c>
      <c r="C2967"/>
      <c r="D2967"/>
      <c r="E2967"/>
      <c r="F2967"/>
      <c r="G2967" t="s">
        <v>5356</v>
      </c>
      <c r="H2967" t="s">
        <v>132</v>
      </c>
      <c r="I2967" t="s">
        <v>1</v>
      </c>
      <c r="J2967" t="s">
        <v>5298</v>
      </c>
      <c r="K2967" t="s">
        <v>51</v>
      </c>
      <c r="L2967" t="s">
        <v>832</v>
      </c>
      <c r="M2967" t="s">
        <v>134</v>
      </c>
      <c r="N2967" t="s">
        <v>135</v>
      </c>
      <c r="O2967"/>
      <c r="P2967"/>
      <c r="Q2967" t="s">
        <v>168</v>
      </c>
      <c r="R2967"/>
      <c r="S2967"/>
      <c r="T2967" t="s">
        <v>169</v>
      </c>
      <c r="U2967" t="s">
        <v>137</v>
      </c>
      <c r="V2967" t="s">
        <v>147</v>
      </c>
      <c r="W2967" s="9">
        <v>46192.354900428239</v>
      </c>
      <c r="X2967" t="s">
        <v>70</v>
      </c>
      <c r="Y2967"/>
      <c r="Z2967"/>
      <c r="AA2967" t="s">
        <v>292</v>
      </c>
      <c r="AB2967" t="s">
        <v>1</v>
      </c>
      <c r="AC2967" t="s">
        <v>24</v>
      </c>
      <c r="AD2967" t="s">
        <v>128</v>
      </c>
      <c r="AE2967" s="97"/>
    </row>
    <row r="2968" spans="1:31" ht="14.4" customHeight="1" x14ac:dyDescent="0.3">
      <c r="A2968" t="s">
        <v>5558</v>
      </c>
      <c r="B2968" t="s">
        <v>834</v>
      </c>
      <c r="C2968"/>
      <c r="D2968"/>
      <c r="E2968"/>
      <c r="F2968"/>
      <c r="G2968" t="s">
        <v>5356</v>
      </c>
      <c r="H2968" t="s">
        <v>132</v>
      </c>
      <c r="I2968" t="s">
        <v>1</v>
      </c>
      <c r="J2968" t="s">
        <v>5298</v>
      </c>
      <c r="K2968" t="s">
        <v>51</v>
      </c>
      <c r="L2968" t="s">
        <v>835</v>
      </c>
      <c r="M2968" t="s">
        <v>134</v>
      </c>
      <c r="N2968" t="s">
        <v>135</v>
      </c>
      <c r="O2968"/>
      <c r="P2968"/>
      <c r="Q2968" t="s">
        <v>168</v>
      </c>
      <c r="R2968"/>
      <c r="S2968"/>
      <c r="T2968" t="s">
        <v>169</v>
      </c>
      <c r="U2968" t="s">
        <v>137</v>
      </c>
      <c r="V2968" t="s">
        <v>150</v>
      </c>
      <c r="W2968" s="9">
        <v>46179.197415393515</v>
      </c>
      <c r="X2968" t="s">
        <v>76</v>
      </c>
      <c r="Y2968"/>
      <c r="Z2968"/>
      <c r="AA2968" t="s">
        <v>292</v>
      </c>
      <c r="AB2968" t="s">
        <v>1</v>
      </c>
      <c r="AC2968" t="s">
        <v>24</v>
      </c>
      <c r="AD2968" t="s">
        <v>128</v>
      </c>
      <c r="AE2968" s="97"/>
    </row>
    <row r="2969" spans="1:31" ht="14.4" customHeight="1" x14ac:dyDescent="0.3">
      <c r="A2969" t="s">
        <v>5559</v>
      </c>
      <c r="B2969" t="s">
        <v>837</v>
      </c>
      <c r="C2969"/>
      <c r="D2969"/>
      <c r="E2969"/>
      <c r="F2969"/>
      <c r="G2969" t="s">
        <v>5356</v>
      </c>
      <c r="H2969" t="s">
        <v>132</v>
      </c>
      <c r="I2969" t="s">
        <v>1</v>
      </c>
      <c r="J2969" t="s">
        <v>5298</v>
      </c>
      <c r="K2969" t="s">
        <v>51</v>
      </c>
      <c r="L2969" t="s">
        <v>838</v>
      </c>
      <c r="M2969" t="s">
        <v>134</v>
      </c>
      <c r="N2969" t="s">
        <v>135</v>
      </c>
      <c r="O2969"/>
      <c r="P2969"/>
      <c r="Q2969" t="s">
        <v>168</v>
      </c>
      <c r="R2969"/>
      <c r="S2969"/>
      <c r="T2969" t="s">
        <v>169</v>
      </c>
      <c r="U2969" t="s">
        <v>137</v>
      </c>
      <c r="V2969" t="s">
        <v>150</v>
      </c>
      <c r="W2969" s="9">
        <v>46179.197895335645</v>
      </c>
      <c r="X2969" t="s">
        <v>76</v>
      </c>
      <c r="Y2969"/>
      <c r="Z2969"/>
      <c r="AA2969" t="s">
        <v>292</v>
      </c>
      <c r="AB2969" t="s">
        <v>1</v>
      </c>
      <c r="AC2969" t="s">
        <v>24</v>
      </c>
      <c r="AD2969" t="s">
        <v>128</v>
      </c>
      <c r="AE2969" s="97"/>
    </row>
    <row r="2970" spans="1:31" ht="14.4" customHeight="1" x14ac:dyDescent="0.3">
      <c r="A2970" t="s">
        <v>5560</v>
      </c>
      <c r="B2970" t="s">
        <v>840</v>
      </c>
      <c r="C2970"/>
      <c r="D2970"/>
      <c r="E2970"/>
      <c r="F2970"/>
      <c r="G2970" t="s">
        <v>5356</v>
      </c>
      <c r="H2970" t="s">
        <v>132</v>
      </c>
      <c r="I2970" t="s">
        <v>1</v>
      </c>
      <c r="J2970" t="s">
        <v>5298</v>
      </c>
      <c r="K2970" t="s">
        <v>51</v>
      </c>
      <c r="L2970" t="s">
        <v>841</v>
      </c>
      <c r="M2970" t="s">
        <v>134</v>
      </c>
      <c r="N2970" t="s">
        <v>135</v>
      </c>
      <c r="O2970"/>
      <c r="P2970"/>
      <c r="Q2970" t="s">
        <v>168</v>
      </c>
      <c r="R2970"/>
      <c r="S2970"/>
      <c r="T2970" t="s">
        <v>169</v>
      </c>
      <c r="U2970" t="s">
        <v>137</v>
      </c>
      <c r="V2970" t="s">
        <v>150</v>
      </c>
      <c r="W2970" s="9">
        <v>46192.354955057868</v>
      </c>
      <c r="X2970" t="s">
        <v>76</v>
      </c>
      <c r="Y2970"/>
      <c r="Z2970"/>
      <c r="AA2970" t="s">
        <v>292</v>
      </c>
      <c r="AB2970" t="s">
        <v>1</v>
      </c>
      <c r="AC2970" t="s">
        <v>24</v>
      </c>
      <c r="AD2970" t="s">
        <v>128</v>
      </c>
      <c r="AE2970" s="97"/>
    </row>
    <row r="2971" spans="1:31" ht="14.4" customHeight="1" x14ac:dyDescent="0.3">
      <c r="A2971" t="s">
        <v>5561</v>
      </c>
      <c r="B2971" t="s">
        <v>843</v>
      </c>
      <c r="C2971"/>
      <c r="D2971"/>
      <c r="E2971"/>
      <c r="F2971"/>
      <c r="G2971" t="s">
        <v>5356</v>
      </c>
      <c r="H2971" t="s">
        <v>132</v>
      </c>
      <c r="I2971" t="s">
        <v>1</v>
      </c>
      <c r="J2971" t="s">
        <v>5298</v>
      </c>
      <c r="K2971" t="s">
        <v>51</v>
      </c>
      <c r="L2971" t="s">
        <v>844</v>
      </c>
      <c r="M2971" t="s">
        <v>134</v>
      </c>
      <c r="N2971" t="s">
        <v>135</v>
      </c>
      <c r="O2971"/>
      <c r="P2971"/>
      <c r="Q2971" t="s">
        <v>168</v>
      </c>
      <c r="R2971"/>
      <c r="S2971"/>
      <c r="T2971" t="s">
        <v>169</v>
      </c>
      <c r="U2971" t="s">
        <v>137</v>
      </c>
      <c r="V2971" t="s">
        <v>153</v>
      </c>
      <c r="W2971"/>
      <c r="X2971" t="s">
        <v>88</v>
      </c>
      <c r="Y2971"/>
      <c r="Z2971"/>
      <c r="AA2971" t="s">
        <v>292</v>
      </c>
      <c r="AB2971" t="s">
        <v>1</v>
      </c>
      <c r="AC2971" t="s">
        <v>138</v>
      </c>
      <c r="AD2971" t="s">
        <v>129</v>
      </c>
      <c r="AE2971" s="97"/>
    </row>
    <row r="2972" spans="1:31" ht="14.4" customHeight="1" x14ac:dyDescent="0.3">
      <c r="A2972" t="s">
        <v>5562</v>
      </c>
      <c r="B2972" t="s">
        <v>846</v>
      </c>
      <c r="C2972"/>
      <c r="D2972"/>
      <c r="E2972"/>
      <c r="F2972"/>
      <c r="G2972" t="s">
        <v>5356</v>
      </c>
      <c r="H2972" t="s">
        <v>132</v>
      </c>
      <c r="I2972" t="s">
        <v>1</v>
      </c>
      <c r="J2972" t="s">
        <v>5298</v>
      </c>
      <c r="K2972" t="s">
        <v>51</v>
      </c>
      <c r="L2972" t="s">
        <v>847</v>
      </c>
      <c r="M2972" t="s">
        <v>134</v>
      </c>
      <c r="N2972" t="s">
        <v>135</v>
      </c>
      <c r="O2972"/>
      <c r="P2972"/>
      <c r="Q2972" t="s">
        <v>168</v>
      </c>
      <c r="R2972"/>
      <c r="S2972"/>
      <c r="T2972" t="s">
        <v>169</v>
      </c>
      <c r="U2972" t="s">
        <v>137</v>
      </c>
      <c r="V2972" t="s">
        <v>153</v>
      </c>
      <c r="W2972"/>
      <c r="X2972" t="s">
        <v>88</v>
      </c>
      <c r="Y2972"/>
      <c r="Z2972"/>
      <c r="AA2972" t="s">
        <v>292</v>
      </c>
      <c r="AB2972" t="s">
        <v>1</v>
      </c>
      <c r="AC2972" t="s">
        <v>138</v>
      </c>
      <c r="AD2972" t="s">
        <v>129</v>
      </c>
      <c r="AE2972" s="97"/>
    </row>
    <row r="2973" spans="1:31" ht="14.4" customHeight="1" x14ac:dyDescent="0.3">
      <c r="A2973" t="s">
        <v>5563</v>
      </c>
      <c r="B2973" t="s">
        <v>849</v>
      </c>
      <c r="C2973"/>
      <c r="D2973"/>
      <c r="E2973"/>
      <c r="F2973"/>
      <c r="G2973" t="s">
        <v>5356</v>
      </c>
      <c r="H2973" t="s">
        <v>132</v>
      </c>
      <c r="I2973" t="s">
        <v>1</v>
      </c>
      <c r="J2973" t="s">
        <v>5298</v>
      </c>
      <c r="K2973" t="s">
        <v>51</v>
      </c>
      <c r="L2973" t="s">
        <v>850</v>
      </c>
      <c r="M2973" t="s">
        <v>134</v>
      </c>
      <c r="N2973" t="s">
        <v>135</v>
      </c>
      <c r="O2973"/>
      <c r="P2973"/>
      <c r="Q2973" t="s">
        <v>168</v>
      </c>
      <c r="R2973"/>
      <c r="S2973"/>
      <c r="T2973" t="s">
        <v>169</v>
      </c>
      <c r="U2973" t="s">
        <v>137</v>
      </c>
      <c r="V2973" t="s">
        <v>153</v>
      </c>
      <c r="W2973"/>
      <c r="X2973" t="s">
        <v>88</v>
      </c>
      <c r="Y2973"/>
      <c r="Z2973"/>
      <c r="AA2973" t="s">
        <v>292</v>
      </c>
      <c r="AB2973" t="s">
        <v>1</v>
      </c>
      <c r="AC2973" t="s">
        <v>138</v>
      </c>
      <c r="AD2973" t="s">
        <v>129</v>
      </c>
      <c r="AE2973" s="97"/>
    </row>
    <row r="2974" spans="1:31" ht="14.4" customHeight="1" x14ac:dyDescent="0.3">
      <c r="A2974" t="s">
        <v>5564</v>
      </c>
      <c r="B2974" t="s">
        <v>852</v>
      </c>
      <c r="C2974"/>
      <c r="D2974"/>
      <c r="E2974"/>
      <c r="F2974"/>
      <c r="G2974" t="s">
        <v>5356</v>
      </c>
      <c r="H2974" t="s">
        <v>132</v>
      </c>
      <c r="I2974" t="s">
        <v>1</v>
      </c>
      <c r="J2974" t="s">
        <v>5298</v>
      </c>
      <c r="K2974" t="s">
        <v>51</v>
      </c>
      <c r="L2974" t="s">
        <v>853</v>
      </c>
      <c r="M2974" t="s">
        <v>134</v>
      </c>
      <c r="N2974" t="s">
        <v>135</v>
      </c>
      <c r="O2974"/>
      <c r="P2974"/>
      <c r="Q2974" t="s">
        <v>168</v>
      </c>
      <c r="R2974"/>
      <c r="S2974"/>
      <c r="T2974" t="s">
        <v>169</v>
      </c>
      <c r="U2974" t="s">
        <v>137</v>
      </c>
      <c r="V2974" t="s">
        <v>156</v>
      </c>
      <c r="W2974" s="9">
        <v>46192.182600694447</v>
      </c>
      <c r="X2974" t="s">
        <v>97</v>
      </c>
      <c r="Y2974"/>
      <c r="Z2974"/>
      <c r="AA2974" t="s">
        <v>292</v>
      </c>
      <c r="AB2974" t="s">
        <v>1</v>
      </c>
      <c r="AC2974" t="s">
        <v>24</v>
      </c>
      <c r="AD2974" t="s">
        <v>129</v>
      </c>
      <c r="AE2974" s="97"/>
    </row>
    <row r="2975" spans="1:31" ht="14.4" customHeight="1" x14ac:dyDescent="0.3">
      <c r="A2975" t="s">
        <v>5565</v>
      </c>
      <c r="B2975" t="s">
        <v>855</v>
      </c>
      <c r="C2975"/>
      <c r="D2975"/>
      <c r="E2975"/>
      <c r="F2975"/>
      <c r="G2975" t="s">
        <v>5356</v>
      </c>
      <c r="H2975" t="s">
        <v>132</v>
      </c>
      <c r="I2975" t="s">
        <v>1</v>
      </c>
      <c r="J2975" t="s">
        <v>5298</v>
      </c>
      <c r="K2975" t="s">
        <v>51</v>
      </c>
      <c r="L2975" t="s">
        <v>856</v>
      </c>
      <c r="M2975" t="s">
        <v>134</v>
      </c>
      <c r="N2975" t="s">
        <v>135</v>
      </c>
      <c r="O2975"/>
      <c r="P2975"/>
      <c r="Q2975" t="s">
        <v>168</v>
      </c>
      <c r="R2975"/>
      <c r="S2975"/>
      <c r="T2975" t="s">
        <v>169</v>
      </c>
      <c r="U2975" t="s">
        <v>137</v>
      </c>
      <c r="V2975" t="s">
        <v>156</v>
      </c>
      <c r="W2975" s="9">
        <v>46192.182935567129</v>
      </c>
      <c r="X2975" t="s">
        <v>97</v>
      </c>
      <c r="Y2975"/>
      <c r="Z2975"/>
      <c r="AA2975" t="s">
        <v>292</v>
      </c>
      <c r="AB2975" t="s">
        <v>1</v>
      </c>
      <c r="AC2975" t="s">
        <v>24</v>
      </c>
      <c r="AD2975" t="s">
        <v>129</v>
      </c>
      <c r="AE2975" s="97"/>
    </row>
    <row r="2976" spans="1:31" ht="14.4" customHeight="1" x14ac:dyDescent="0.3">
      <c r="A2976" t="s">
        <v>5566</v>
      </c>
      <c r="B2976" t="s">
        <v>858</v>
      </c>
      <c r="C2976"/>
      <c r="D2976"/>
      <c r="E2976"/>
      <c r="F2976"/>
      <c r="G2976" t="s">
        <v>5356</v>
      </c>
      <c r="H2976" t="s">
        <v>132</v>
      </c>
      <c r="I2976" t="s">
        <v>1</v>
      </c>
      <c r="J2976" t="s">
        <v>5298</v>
      </c>
      <c r="K2976" t="s">
        <v>51</v>
      </c>
      <c r="L2976" t="s">
        <v>859</v>
      </c>
      <c r="M2976" t="s">
        <v>134</v>
      </c>
      <c r="N2976" t="s">
        <v>135</v>
      </c>
      <c r="O2976"/>
      <c r="P2976"/>
      <c r="Q2976" t="s">
        <v>168</v>
      </c>
      <c r="R2976"/>
      <c r="S2976"/>
      <c r="T2976" t="s">
        <v>169</v>
      </c>
      <c r="U2976" t="s">
        <v>137</v>
      </c>
      <c r="V2976" t="s">
        <v>156</v>
      </c>
      <c r="W2976"/>
      <c r="X2976" t="s">
        <v>97</v>
      </c>
      <c r="Y2976"/>
      <c r="Z2976"/>
      <c r="AA2976" t="s">
        <v>292</v>
      </c>
      <c r="AB2976" t="s">
        <v>1</v>
      </c>
      <c r="AC2976" t="s">
        <v>138</v>
      </c>
      <c r="AD2976" t="s">
        <v>129</v>
      </c>
      <c r="AE2976" s="97"/>
    </row>
    <row r="2977" spans="1:31" ht="14.4" customHeight="1" x14ac:dyDescent="0.3">
      <c r="A2977" t="s">
        <v>5567</v>
      </c>
      <c r="B2977" t="s">
        <v>861</v>
      </c>
      <c r="C2977"/>
      <c r="D2977"/>
      <c r="E2977"/>
      <c r="F2977"/>
      <c r="G2977" t="s">
        <v>5356</v>
      </c>
      <c r="H2977" t="s">
        <v>132</v>
      </c>
      <c r="I2977" t="s">
        <v>1</v>
      </c>
      <c r="J2977" t="s">
        <v>5298</v>
      </c>
      <c r="K2977" t="s">
        <v>51</v>
      </c>
      <c r="L2977" t="s">
        <v>862</v>
      </c>
      <c r="M2977" t="s">
        <v>134</v>
      </c>
      <c r="N2977" t="s">
        <v>135</v>
      </c>
      <c r="O2977"/>
      <c r="P2977"/>
      <c r="Q2977" t="s">
        <v>168</v>
      </c>
      <c r="R2977"/>
      <c r="S2977"/>
      <c r="T2977" t="s">
        <v>169</v>
      </c>
      <c r="U2977" t="s">
        <v>137</v>
      </c>
      <c r="V2977" t="s">
        <v>159</v>
      </c>
      <c r="W2977"/>
      <c r="X2977" t="s">
        <v>106</v>
      </c>
      <c r="Y2977"/>
      <c r="Z2977"/>
      <c r="AA2977" t="s">
        <v>292</v>
      </c>
      <c r="AB2977" t="s">
        <v>1</v>
      </c>
      <c r="AC2977" t="s">
        <v>138</v>
      </c>
      <c r="AD2977" t="s">
        <v>129</v>
      </c>
      <c r="AE2977" s="97"/>
    </row>
    <row r="2978" spans="1:31" ht="14.4" customHeight="1" x14ac:dyDescent="0.3">
      <c r="A2978" t="s">
        <v>5568</v>
      </c>
      <c r="B2978" t="s">
        <v>864</v>
      </c>
      <c r="C2978"/>
      <c r="D2978"/>
      <c r="E2978"/>
      <c r="F2978"/>
      <c r="G2978" t="s">
        <v>5356</v>
      </c>
      <c r="H2978" t="s">
        <v>132</v>
      </c>
      <c r="I2978" t="s">
        <v>1</v>
      </c>
      <c r="J2978" t="s">
        <v>5298</v>
      </c>
      <c r="K2978" t="s">
        <v>51</v>
      </c>
      <c r="L2978" t="s">
        <v>865</v>
      </c>
      <c r="M2978" t="s">
        <v>134</v>
      </c>
      <c r="N2978" t="s">
        <v>135</v>
      </c>
      <c r="O2978"/>
      <c r="P2978"/>
      <c r="Q2978" t="s">
        <v>168</v>
      </c>
      <c r="R2978"/>
      <c r="S2978"/>
      <c r="T2978" t="s">
        <v>169</v>
      </c>
      <c r="U2978" t="s">
        <v>137</v>
      </c>
      <c r="V2978" t="s">
        <v>159</v>
      </c>
      <c r="W2978"/>
      <c r="X2978" t="s">
        <v>106</v>
      </c>
      <c r="Y2978"/>
      <c r="Z2978"/>
      <c r="AA2978" t="s">
        <v>292</v>
      </c>
      <c r="AB2978" t="s">
        <v>1</v>
      </c>
      <c r="AC2978" t="s">
        <v>138</v>
      </c>
      <c r="AD2978" t="s">
        <v>129</v>
      </c>
      <c r="AE2978" s="97"/>
    </row>
    <row r="2979" spans="1:31" ht="14.4" customHeight="1" x14ac:dyDescent="0.3">
      <c r="A2979" t="s">
        <v>5569</v>
      </c>
      <c r="B2979" t="s">
        <v>867</v>
      </c>
      <c r="C2979"/>
      <c r="D2979"/>
      <c r="E2979"/>
      <c r="F2979"/>
      <c r="G2979" t="s">
        <v>5356</v>
      </c>
      <c r="H2979" t="s">
        <v>132</v>
      </c>
      <c r="I2979" t="s">
        <v>1</v>
      </c>
      <c r="J2979" t="s">
        <v>5298</v>
      </c>
      <c r="K2979" t="s">
        <v>51</v>
      </c>
      <c r="L2979" t="s">
        <v>868</v>
      </c>
      <c r="M2979" t="s">
        <v>134</v>
      </c>
      <c r="N2979" t="s">
        <v>135</v>
      </c>
      <c r="O2979"/>
      <c r="P2979"/>
      <c r="Q2979" t="s">
        <v>168</v>
      </c>
      <c r="R2979"/>
      <c r="S2979"/>
      <c r="T2979" t="s">
        <v>169</v>
      </c>
      <c r="U2979" t="s">
        <v>137</v>
      </c>
      <c r="V2979" t="s">
        <v>159</v>
      </c>
      <c r="W2979"/>
      <c r="X2979" t="s">
        <v>106</v>
      </c>
      <c r="Y2979"/>
      <c r="Z2979"/>
      <c r="AA2979" t="s">
        <v>292</v>
      </c>
      <c r="AB2979" t="s">
        <v>1</v>
      </c>
      <c r="AC2979" t="s">
        <v>138</v>
      </c>
      <c r="AD2979" t="s">
        <v>129</v>
      </c>
      <c r="AE2979" s="97"/>
    </row>
    <row r="2980" spans="1:31" ht="14.4" customHeight="1" x14ac:dyDescent="0.3">
      <c r="A2980" t="s">
        <v>5570</v>
      </c>
      <c r="B2980" t="s">
        <v>870</v>
      </c>
      <c r="C2980"/>
      <c r="D2980"/>
      <c r="E2980"/>
      <c r="F2980"/>
      <c r="G2980" t="s">
        <v>5356</v>
      </c>
      <c r="H2980" t="s">
        <v>132</v>
      </c>
      <c r="I2980" t="s">
        <v>1</v>
      </c>
      <c r="J2980" t="s">
        <v>5298</v>
      </c>
      <c r="K2980" t="s">
        <v>51</v>
      </c>
      <c r="L2980" t="s">
        <v>871</v>
      </c>
      <c r="M2980" t="s">
        <v>134</v>
      </c>
      <c r="N2980" t="s">
        <v>135</v>
      </c>
      <c r="O2980"/>
      <c r="P2980"/>
      <c r="Q2980" t="s">
        <v>168</v>
      </c>
      <c r="R2980"/>
      <c r="S2980"/>
      <c r="T2980" t="s">
        <v>169</v>
      </c>
      <c r="U2980" t="s">
        <v>137</v>
      </c>
      <c r="V2980" t="s">
        <v>162</v>
      </c>
      <c r="W2980"/>
      <c r="X2980" t="s">
        <v>113</v>
      </c>
      <c r="Y2980"/>
      <c r="Z2980"/>
      <c r="AA2980" t="s">
        <v>292</v>
      </c>
      <c r="AB2980" t="s">
        <v>1</v>
      </c>
      <c r="AC2980" t="s">
        <v>138</v>
      </c>
      <c r="AD2980" t="s">
        <v>129</v>
      </c>
      <c r="AE2980" s="97"/>
    </row>
    <row r="2981" spans="1:31" ht="14.4" customHeight="1" x14ac:dyDescent="0.3">
      <c r="A2981" t="s">
        <v>5571</v>
      </c>
      <c r="B2981" t="s">
        <v>873</v>
      </c>
      <c r="C2981"/>
      <c r="D2981"/>
      <c r="E2981"/>
      <c r="F2981"/>
      <c r="G2981" t="s">
        <v>5356</v>
      </c>
      <c r="H2981" t="s">
        <v>132</v>
      </c>
      <c r="I2981" t="s">
        <v>1</v>
      </c>
      <c r="J2981" t="s">
        <v>5298</v>
      </c>
      <c r="K2981" t="s">
        <v>51</v>
      </c>
      <c r="L2981" t="s">
        <v>874</v>
      </c>
      <c r="M2981" t="s">
        <v>134</v>
      </c>
      <c r="N2981" t="s">
        <v>135</v>
      </c>
      <c r="O2981"/>
      <c r="P2981"/>
      <c r="Q2981" t="s">
        <v>168</v>
      </c>
      <c r="R2981"/>
      <c r="S2981"/>
      <c r="T2981" t="s">
        <v>169</v>
      </c>
      <c r="U2981" t="s">
        <v>137</v>
      </c>
      <c r="V2981" t="s">
        <v>162</v>
      </c>
      <c r="W2981"/>
      <c r="X2981" t="s">
        <v>113</v>
      </c>
      <c r="Y2981"/>
      <c r="Z2981"/>
      <c r="AA2981" t="s">
        <v>292</v>
      </c>
      <c r="AB2981" t="s">
        <v>1</v>
      </c>
      <c r="AC2981" t="s">
        <v>138</v>
      </c>
      <c r="AD2981" t="s">
        <v>129</v>
      </c>
      <c r="AE2981" s="97"/>
    </row>
    <row r="2982" spans="1:31" ht="14.4" customHeight="1" x14ac:dyDescent="0.3">
      <c r="A2982" t="s">
        <v>5572</v>
      </c>
      <c r="B2982" t="s">
        <v>876</v>
      </c>
      <c r="C2982"/>
      <c r="D2982"/>
      <c r="E2982"/>
      <c r="F2982"/>
      <c r="G2982" t="s">
        <v>5356</v>
      </c>
      <c r="H2982" t="s">
        <v>132</v>
      </c>
      <c r="I2982" t="s">
        <v>1</v>
      </c>
      <c r="J2982" t="s">
        <v>5298</v>
      </c>
      <c r="K2982" t="s">
        <v>51</v>
      </c>
      <c r="L2982" t="s">
        <v>877</v>
      </c>
      <c r="M2982" t="s">
        <v>134</v>
      </c>
      <c r="N2982" t="s">
        <v>135</v>
      </c>
      <c r="O2982"/>
      <c r="P2982"/>
      <c r="Q2982" t="s">
        <v>168</v>
      </c>
      <c r="R2982"/>
      <c r="S2982"/>
      <c r="T2982" t="s">
        <v>169</v>
      </c>
      <c r="U2982" t="s">
        <v>137</v>
      </c>
      <c r="V2982" t="s">
        <v>162</v>
      </c>
      <c r="W2982"/>
      <c r="X2982" t="s">
        <v>113</v>
      </c>
      <c r="Y2982"/>
      <c r="Z2982"/>
      <c r="AA2982" t="s">
        <v>292</v>
      </c>
      <c r="AB2982" t="s">
        <v>1</v>
      </c>
      <c r="AC2982" t="s">
        <v>138</v>
      </c>
      <c r="AD2982" t="s">
        <v>129</v>
      </c>
      <c r="AE2982" s="97"/>
    </row>
    <row r="2983" spans="1:31" ht="14.4" customHeight="1" x14ac:dyDescent="0.3">
      <c r="A2983" t="s">
        <v>5573</v>
      </c>
      <c r="B2983" t="s">
        <v>879</v>
      </c>
      <c r="C2983"/>
      <c r="D2983"/>
      <c r="E2983"/>
      <c r="F2983"/>
      <c r="G2983" t="s">
        <v>5356</v>
      </c>
      <c r="H2983" t="s">
        <v>132</v>
      </c>
      <c r="I2983" t="s">
        <v>1</v>
      </c>
      <c r="J2983" t="s">
        <v>5298</v>
      </c>
      <c r="K2983" t="s">
        <v>51</v>
      </c>
      <c r="L2983" t="s">
        <v>880</v>
      </c>
      <c r="M2983" t="s">
        <v>134</v>
      </c>
      <c r="N2983" t="s">
        <v>135</v>
      </c>
      <c r="O2983"/>
      <c r="P2983"/>
      <c r="Q2983" t="s">
        <v>168</v>
      </c>
      <c r="R2983"/>
      <c r="S2983"/>
      <c r="T2983" t="s">
        <v>169</v>
      </c>
      <c r="U2983" t="s">
        <v>137</v>
      </c>
      <c r="V2983" t="s">
        <v>165</v>
      </c>
      <c r="W2983"/>
      <c r="X2983" t="s">
        <v>122</v>
      </c>
      <c r="Y2983"/>
      <c r="Z2983"/>
      <c r="AA2983" t="s">
        <v>292</v>
      </c>
      <c r="AB2983" t="s">
        <v>1</v>
      </c>
      <c r="AC2983" t="s">
        <v>138</v>
      </c>
      <c r="AD2983" t="s">
        <v>130</v>
      </c>
      <c r="AE2983" s="97"/>
    </row>
    <row r="2984" spans="1:31" ht="14.4" customHeight="1" x14ac:dyDescent="0.3">
      <c r="A2984" t="s">
        <v>5574</v>
      </c>
      <c r="B2984" t="s">
        <v>882</v>
      </c>
      <c r="C2984"/>
      <c r="D2984"/>
      <c r="E2984"/>
      <c r="F2984"/>
      <c r="G2984" t="s">
        <v>5356</v>
      </c>
      <c r="H2984" t="s">
        <v>132</v>
      </c>
      <c r="I2984" t="s">
        <v>1</v>
      </c>
      <c r="J2984" t="s">
        <v>5298</v>
      </c>
      <c r="K2984" t="s">
        <v>51</v>
      </c>
      <c r="L2984" t="s">
        <v>883</v>
      </c>
      <c r="M2984" t="s">
        <v>134</v>
      </c>
      <c r="N2984" t="s">
        <v>135</v>
      </c>
      <c r="O2984"/>
      <c r="P2984"/>
      <c r="Q2984" t="s">
        <v>168</v>
      </c>
      <c r="R2984"/>
      <c r="S2984"/>
      <c r="T2984" t="s">
        <v>169</v>
      </c>
      <c r="U2984" t="s">
        <v>137</v>
      </c>
      <c r="V2984" t="s">
        <v>165</v>
      </c>
      <c r="W2984"/>
      <c r="X2984" t="s">
        <v>122</v>
      </c>
      <c r="Y2984"/>
      <c r="Z2984"/>
      <c r="AA2984" t="s">
        <v>292</v>
      </c>
      <c r="AB2984" t="s">
        <v>1</v>
      </c>
      <c r="AC2984" t="s">
        <v>138</v>
      </c>
      <c r="AD2984" t="s">
        <v>130</v>
      </c>
      <c r="AE2984" s="97"/>
    </row>
    <row r="2985" spans="1:31" ht="14.4" customHeight="1" x14ac:dyDescent="0.3">
      <c r="A2985" t="s">
        <v>5575</v>
      </c>
      <c r="B2985" t="s">
        <v>885</v>
      </c>
      <c r="C2985"/>
      <c r="D2985"/>
      <c r="E2985"/>
      <c r="F2985"/>
      <c r="G2985" t="s">
        <v>5356</v>
      </c>
      <c r="H2985" t="s">
        <v>132</v>
      </c>
      <c r="I2985" t="s">
        <v>1</v>
      </c>
      <c r="J2985" t="s">
        <v>5298</v>
      </c>
      <c r="K2985" t="s">
        <v>51</v>
      </c>
      <c r="L2985" t="s">
        <v>886</v>
      </c>
      <c r="M2985" t="s">
        <v>134</v>
      </c>
      <c r="N2985" t="s">
        <v>135</v>
      </c>
      <c r="O2985"/>
      <c r="P2985"/>
      <c r="Q2985" t="s">
        <v>168</v>
      </c>
      <c r="R2985"/>
      <c r="S2985"/>
      <c r="T2985" t="s">
        <v>169</v>
      </c>
      <c r="U2985" t="s">
        <v>137</v>
      </c>
      <c r="V2985" t="s">
        <v>165</v>
      </c>
      <c r="W2985"/>
      <c r="X2985" t="s">
        <v>122</v>
      </c>
      <c r="Y2985"/>
      <c r="Z2985"/>
      <c r="AA2985" t="s">
        <v>292</v>
      </c>
      <c r="AB2985" t="s">
        <v>1</v>
      </c>
      <c r="AC2985" t="s">
        <v>138</v>
      </c>
      <c r="AD2985" t="s">
        <v>130</v>
      </c>
      <c r="AE2985" s="97"/>
    </row>
    <row r="2986" spans="1:31" ht="14.4" customHeight="1" x14ac:dyDescent="0.3">
      <c r="A2986" t="s">
        <v>5576</v>
      </c>
      <c r="B2986" t="s">
        <v>888</v>
      </c>
      <c r="C2986"/>
      <c r="D2986"/>
      <c r="E2986"/>
      <c r="F2986"/>
      <c r="G2986" t="s">
        <v>5356</v>
      </c>
      <c r="H2986" t="s">
        <v>132</v>
      </c>
      <c r="I2986" t="s">
        <v>1</v>
      </c>
      <c r="J2986" t="s">
        <v>5298</v>
      </c>
      <c r="K2986" t="s">
        <v>51</v>
      </c>
      <c r="L2986" t="s">
        <v>889</v>
      </c>
      <c r="M2986" t="s">
        <v>134</v>
      </c>
      <c r="N2986" t="s">
        <v>135</v>
      </c>
      <c r="O2986"/>
      <c r="P2986"/>
      <c r="Q2986" t="s">
        <v>168</v>
      </c>
      <c r="R2986"/>
      <c r="S2986"/>
      <c r="T2986" t="s">
        <v>169</v>
      </c>
      <c r="U2986" t="s">
        <v>137</v>
      </c>
      <c r="V2986" t="s">
        <v>890</v>
      </c>
      <c r="W2986" s="9">
        <v>46192.184326041664</v>
      </c>
      <c r="X2986" t="s">
        <v>59</v>
      </c>
      <c r="Y2986"/>
      <c r="Z2986"/>
      <c r="AA2986" t="s">
        <v>292</v>
      </c>
      <c r="AB2986" t="s">
        <v>1</v>
      </c>
      <c r="AC2986" t="s">
        <v>24</v>
      </c>
      <c r="AD2986" t="s">
        <v>128</v>
      </c>
      <c r="AE2986" s="97"/>
    </row>
    <row r="2987" spans="1:31" ht="14.4" customHeight="1" x14ac:dyDescent="0.3">
      <c r="A2987" t="s">
        <v>5577</v>
      </c>
      <c r="B2987" t="s">
        <v>892</v>
      </c>
      <c r="C2987"/>
      <c r="D2987"/>
      <c r="E2987"/>
      <c r="F2987"/>
      <c r="G2987" t="s">
        <v>5356</v>
      </c>
      <c r="H2987" t="s">
        <v>132</v>
      </c>
      <c r="I2987" t="s">
        <v>1</v>
      </c>
      <c r="J2987" t="s">
        <v>5298</v>
      </c>
      <c r="K2987" t="s">
        <v>51</v>
      </c>
      <c r="L2987" t="s">
        <v>893</v>
      </c>
      <c r="M2987" t="s">
        <v>134</v>
      </c>
      <c r="N2987" t="s">
        <v>135</v>
      </c>
      <c r="O2987"/>
      <c r="P2987"/>
      <c r="Q2987" t="s">
        <v>168</v>
      </c>
      <c r="R2987"/>
      <c r="S2987"/>
      <c r="T2987" t="s">
        <v>169</v>
      </c>
      <c r="U2987" t="s">
        <v>137</v>
      </c>
      <c r="V2987" t="s">
        <v>890</v>
      </c>
      <c r="W2987" s="9">
        <v>46192.184583946757</v>
      </c>
      <c r="X2987" t="s">
        <v>59</v>
      </c>
      <c r="Y2987"/>
      <c r="Z2987"/>
      <c r="AA2987" t="s">
        <v>292</v>
      </c>
      <c r="AB2987" t="s">
        <v>1</v>
      </c>
      <c r="AC2987" t="s">
        <v>24</v>
      </c>
      <c r="AD2987" t="s">
        <v>128</v>
      </c>
      <c r="AE2987" s="97"/>
    </row>
    <row r="2988" spans="1:31" ht="14.4" customHeight="1" x14ac:dyDescent="0.3">
      <c r="A2988" t="s">
        <v>5578</v>
      </c>
      <c r="B2988" t="s">
        <v>895</v>
      </c>
      <c r="C2988"/>
      <c r="D2988"/>
      <c r="E2988"/>
      <c r="F2988"/>
      <c r="G2988" t="s">
        <v>5356</v>
      </c>
      <c r="H2988" t="s">
        <v>132</v>
      </c>
      <c r="I2988" t="s">
        <v>1</v>
      </c>
      <c r="J2988" t="s">
        <v>5298</v>
      </c>
      <c r="K2988" t="s">
        <v>51</v>
      </c>
      <c r="L2988" t="s">
        <v>896</v>
      </c>
      <c r="M2988" t="s">
        <v>134</v>
      </c>
      <c r="N2988" t="s">
        <v>135</v>
      </c>
      <c r="O2988"/>
      <c r="P2988"/>
      <c r="Q2988" t="s">
        <v>168</v>
      </c>
      <c r="R2988"/>
      <c r="S2988"/>
      <c r="T2988" t="s">
        <v>169</v>
      </c>
      <c r="U2988" t="s">
        <v>137</v>
      </c>
      <c r="V2988" t="s">
        <v>897</v>
      </c>
      <c r="W2988" s="9">
        <v>46192.184985960645</v>
      </c>
      <c r="X2988" t="s">
        <v>64</v>
      </c>
      <c r="Y2988"/>
      <c r="Z2988"/>
      <c r="AA2988" t="s">
        <v>292</v>
      </c>
      <c r="AB2988" t="s">
        <v>1</v>
      </c>
      <c r="AC2988" t="s">
        <v>24</v>
      </c>
      <c r="AD2988" t="s">
        <v>128</v>
      </c>
      <c r="AE2988" s="97"/>
    </row>
    <row r="2989" spans="1:31" ht="14.4" customHeight="1" x14ac:dyDescent="0.3">
      <c r="A2989" t="s">
        <v>5579</v>
      </c>
      <c r="B2989" t="s">
        <v>899</v>
      </c>
      <c r="C2989"/>
      <c r="D2989"/>
      <c r="E2989"/>
      <c r="F2989"/>
      <c r="G2989" t="s">
        <v>5356</v>
      </c>
      <c r="H2989" t="s">
        <v>132</v>
      </c>
      <c r="I2989" t="s">
        <v>1</v>
      </c>
      <c r="J2989" t="s">
        <v>5298</v>
      </c>
      <c r="K2989" t="s">
        <v>51</v>
      </c>
      <c r="L2989" t="s">
        <v>900</v>
      </c>
      <c r="M2989" t="s">
        <v>134</v>
      </c>
      <c r="N2989" t="s">
        <v>135</v>
      </c>
      <c r="O2989"/>
      <c r="P2989"/>
      <c r="Q2989" t="s">
        <v>168</v>
      </c>
      <c r="R2989"/>
      <c r="S2989"/>
      <c r="T2989" t="s">
        <v>169</v>
      </c>
      <c r="U2989" t="s">
        <v>137</v>
      </c>
      <c r="V2989" t="s">
        <v>897</v>
      </c>
      <c r="W2989" s="9">
        <v>46192.185285300926</v>
      </c>
      <c r="X2989" t="s">
        <v>64</v>
      </c>
      <c r="Y2989"/>
      <c r="Z2989"/>
      <c r="AA2989" t="s">
        <v>292</v>
      </c>
      <c r="AB2989" t="s">
        <v>1</v>
      </c>
      <c r="AC2989" t="s">
        <v>24</v>
      </c>
      <c r="AD2989" t="s">
        <v>128</v>
      </c>
      <c r="AE2989" s="97"/>
    </row>
    <row r="2990" spans="1:31" ht="14.4" customHeight="1" x14ac:dyDescent="0.3">
      <c r="A2990" t="s">
        <v>5580</v>
      </c>
      <c r="B2990" t="s">
        <v>902</v>
      </c>
      <c r="C2990"/>
      <c r="D2990"/>
      <c r="E2990"/>
      <c r="F2990"/>
      <c r="G2990" t="s">
        <v>5356</v>
      </c>
      <c r="H2990" t="s">
        <v>132</v>
      </c>
      <c r="I2990" t="s">
        <v>1</v>
      </c>
      <c r="J2990" t="s">
        <v>5298</v>
      </c>
      <c r="K2990" t="s">
        <v>51</v>
      </c>
      <c r="L2990" t="s">
        <v>903</v>
      </c>
      <c r="M2990" t="s">
        <v>134</v>
      </c>
      <c r="N2990" t="s">
        <v>135</v>
      </c>
      <c r="O2990"/>
      <c r="P2990"/>
      <c r="Q2990" t="s">
        <v>168</v>
      </c>
      <c r="R2990"/>
      <c r="S2990"/>
      <c r="T2990" t="s">
        <v>169</v>
      </c>
      <c r="U2990" t="s">
        <v>137</v>
      </c>
      <c r="V2990" t="s">
        <v>904</v>
      </c>
      <c r="W2990"/>
      <c r="X2990" t="s">
        <v>79</v>
      </c>
      <c r="Y2990"/>
      <c r="Z2990"/>
      <c r="AA2990" t="s">
        <v>292</v>
      </c>
      <c r="AB2990" t="s">
        <v>1</v>
      </c>
      <c r="AC2990" t="s">
        <v>138</v>
      </c>
      <c r="AD2990" t="s">
        <v>129</v>
      </c>
      <c r="AE2990" s="97"/>
    </row>
    <row r="2991" spans="1:31" ht="14.4" customHeight="1" x14ac:dyDescent="0.3">
      <c r="A2991" t="s">
        <v>5581</v>
      </c>
      <c r="B2991" t="s">
        <v>906</v>
      </c>
      <c r="C2991"/>
      <c r="D2991"/>
      <c r="E2991"/>
      <c r="F2991"/>
      <c r="G2991" t="s">
        <v>5356</v>
      </c>
      <c r="H2991" t="s">
        <v>132</v>
      </c>
      <c r="I2991" t="s">
        <v>1</v>
      </c>
      <c r="J2991" t="s">
        <v>5298</v>
      </c>
      <c r="K2991" t="s">
        <v>51</v>
      </c>
      <c r="L2991" t="s">
        <v>907</v>
      </c>
      <c r="M2991" t="s">
        <v>134</v>
      </c>
      <c r="N2991" t="s">
        <v>135</v>
      </c>
      <c r="O2991"/>
      <c r="P2991"/>
      <c r="Q2991" t="s">
        <v>168</v>
      </c>
      <c r="R2991"/>
      <c r="S2991"/>
      <c r="T2991" t="s">
        <v>169</v>
      </c>
      <c r="U2991" t="s">
        <v>137</v>
      </c>
      <c r="V2991" t="s">
        <v>904</v>
      </c>
      <c r="W2991"/>
      <c r="X2991" t="s">
        <v>79</v>
      </c>
      <c r="Y2991"/>
      <c r="Z2991"/>
      <c r="AA2991" t="s">
        <v>292</v>
      </c>
      <c r="AB2991" t="s">
        <v>1</v>
      </c>
      <c r="AC2991" t="s">
        <v>138</v>
      </c>
      <c r="AD2991" t="s">
        <v>129</v>
      </c>
      <c r="AE2991" s="97"/>
    </row>
    <row r="2992" spans="1:31" ht="14.4" customHeight="1" x14ac:dyDescent="0.3">
      <c r="A2992" t="s">
        <v>5582</v>
      </c>
      <c r="B2992" t="s">
        <v>909</v>
      </c>
      <c r="C2992"/>
      <c r="D2992"/>
      <c r="E2992"/>
      <c r="F2992"/>
      <c r="G2992" t="s">
        <v>5356</v>
      </c>
      <c r="H2992" t="s">
        <v>132</v>
      </c>
      <c r="I2992" t="s">
        <v>1</v>
      </c>
      <c r="J2992" t="s">
        <v>5298</v>
      </c>
      <c r="K2992" t="s">
        <v>51</v>
      </c>
      <c r="L2992" t="s">
        <v>910</v>
      </c>
      <c r="M2992" t="s">
        <v>134</v>
      </c>
      <c r="N2992" t="s">
        <v>135</v>
      </c>
      <c r="O2992"/>
      <c r="P2992"/>
      <c r="Q2992" t="s">
        <v>168</v>
      </c>
      <c r="R2992"/>
      <c r="S2992"/>
      <c r="T2992" t="s">
        <v>169</v>
      </c>
      <c r="U2992" t="s">
        <v>137</v>
      </c>
      <c r="V2992" t="s">
        <v>911</v>
      </c>
      <c r="W2992"/>
      <c r="X2992" t="s">
        <v>83</v>
      </c>
      <c r="Y2992"/>
      <c r="Z2992"/>
      <c r="AA2992" t="s">
        <v>292</v>
      </c>
      <c r="AB2992" t="s">
        <v>1</v>
      </c>
      <c r="AC2992" t="s">
        <v>138</v>
      </c>
      <c r="AD2992" t="s">
        <v>129</v>
      </c>
      <c r="AE2992" s="97"/>
    </row>
    <row r="2993" spans="1:31" ht="14.4" customHeight="1" x14ac:dyDescent="0.3">
      <c r="A2993" t="s">
        <v>5583</v>
      </c>
      <c r="B2993" t="s">
        <v>913</v>
      </c>
      <c r="C2993"/>
      <c r="D2993"/>
      <c r="E2993"/>
      <c r="F2993"/>
      <c r="G2993" t="s">
        <v>5356</v>
      </c>
      <c r="H2993" t="s">
        <v>132</v>
      </c>
      <c r="I2993" t="s">
        <v>1</v>
      </c>
      <c r="J2993" t="s">
        <v>5298</v>
      </c>
      <c r="K2993" t="s">
        <v>51</v>
      </c>
      <c r="L2993" t="s">
        <v>914</v>
      </c>
      <c r="M2993" t="s">
        <v>134</v>
      </c>
      <c r="N2993" t="s">
        <v>135</v>
      </c>
      <c r="O2993"/>
      <c r="P2993"/>
      <c r="Q2993" t="s">
        <v>168</v>
      </c>
      <c r="R2993"/>
      <c r="S2993"/>
      <c r="T2993" t="s">
        <v>169</v>
      </c>
      <c r="U2993" t="s">
        <v>137</v>
      </c>
      <c r="V2993" t="s">
        <v>911</v>
      </c>
      <c r="W2993" s="9">
        <v>46192.185579247685</v>
      </c>
      <c r="X2993" t="s">
        <v>83</v>
      </c>
      <c r="Y2993"/>
      <c r="Z2993"/>
      <c r="AA2993" t="s">
        <v>292</v>
      </c>
      <c r="AB2993" t="s">
        <v>1</v>
      </c>
      <c r="AC2993" t="s">
        <v>24</v>
      </c>
      <c r="AD2993" t="s">
        <v>129</v>
      </c>
      <c r="AE2993" s="97"/>
    </row>
    <row r="2994" spans="1:31" ht="14.4" customHeight="1" x14ac:dyDescent="0.3">
      <c r="A2994" t="s">
        <v>5584</v>
      </c>
      <c r="B2994" t="s">
        <v>916</v>
      </c>
      <c r="C2994"/>
      <c r="D2994"/>
      <c r="E2994"/>
      <c r="F2994"/>
      <c r="G2994" t="s">
        <v>5356</v>
      </c>
      <c r="H2994" t="s">
        <v>132</v>
      </c>
      <c r="I2994" t="s">
        <v>1</v>
      </c>
      <c r="J2994" t="s">
        <v>5298</v>
      </c>
      <c r="K2994" t="s">
        <v>51</v>
      </c>
      <c r="L2994" t="s">
        <v>917</v>
      </c>
      <c r="M2994" t="s">
        <v>134</v>
      </c>
      <c r="N2994" t="s">
        <v>135</v>
      </c>
      <c r="O2994"/>
      <c r="P2994"/>
      <c r="Q2994" t="s">
        <v>168</v>
      </c>
      <c r="R2994"/>
      <c r="S2994"/>
      <c r="T2994" t="s">
        <v>169</v>
      </c>
      <c r="U2994" t="s">
        <v>137</v>
      </c>
      <c r="V2994" t="s">
        <v>918</v>
      </c>
      <c r="W2994"/>
      <c r="X2994" t="s">
        <v>92</v>
      </c>
      <c r="Y2994"/>
      <c r="Z2994"/>
      <c r="AA2994" t="s">
        <v>292</v>
      </c>
      <c r="AB2994" t="s">
        <v>1</v>
      </c>
      <c r="AC2994" t="s">
        <v>138</v>
      </c>
      <c r="AD2994" t="s">
        <v>129</v>
      </c>
      <c r="AE2994" s="97"/>
    </row>
    <row r="2995" spans="1:31" ht="14.4" customHeight="1" x14ac:dyDescent="0.3">
      <c r="A2995" t="s">
        <v>5585</v>
      </c>
      <c r="B2995" t="s">
        <v>920</v>
      </c>
      <c r="C2995"/>
      <c r="D2995"/>
      <c r="E2995"/>
      <c r="F2995"/>
      <c r="G2995" t="s">
        <v>5356</v>
      </c>
      <c r="H2995" t="s">
        <v>132</v>
      </c>
      <c r="I2995" t="s">
        <v>1</v>
      </c>
      <c r="J2995" t="s">
        <v>5298</v>
      </c>
      <c r="K2995" t="s">
        <v>51</v>
      </c>
      <c r="L2995" t="s">
        <v>921</v>
      </c>
      <c r="M2995" t="s">
        <v>134</v>
      </c>
      <c r="N2995" t="s">
        <v>135</v>
      </c>
      <c r="O2995"/>
      <c r="P2995"/>
      <c r="Q2995" t="s">
        <v>168</v>
      </c>
      <c r="R2995"/>
      <c r="S2995"/>
      <c r="T2995" t="s">
        <v>169</v>
      </c>
      <c r="U2995" t="s">
        <v>137</v>
      </c>
      <c r="V2995" t="s">
        <v>918</v>
      </c>
      <c r="W2995"/>
      <c r="X2995" t="s">
        <v>92</v>
      </c>
      <c r="Y2995"/>
      <c r="Z2995"/>
      <c r="AA2995" t="s">
        <v>292</v>
      </c>
      <c r="AB2995" t="s">
        <v>1</v>
      </c>
      <c r="AC2995" t="s">
        <v>138</v>
      </c>
      <c r="AD2995" t="s">
        <v>129</v>
      </c>
      <c r="AE2995" s="97"/>
    </row>
    <row r="2996" spans="1:31" ht="14.4" customHeight="1" x14ac:dyDescent="0.3">
      <c r="A2996" t="s">
        <v>5586</v>
      </c>
      <c r="B2996" t="s">
        <v>923</v>
      </c>
      <c r="C2996"/>
      <c r="D2996"/>
      <c r="E2996"/>
      <c r="F2996"/>
      <c r="G2996" t="s">
        <v>5356</v>
      </c>
      <c r="H2996" t="s">
        <v>132</v>
      </c>
      <c r="I2996" t="s">
        <v>1</v>
      </c>
      <c r="J2996" t="s">
        <v>5298</v>
      </c>
      <c r="K2996" t="s">
        <v>51</v>
      </c>
      <c r="L2996" t="s">
        <v>924</v>
      </c>
      <c r="M2996" t="s">
        <v>134</v>
      </c>
      <c r="N2996" t="s">
        <v>135</v>
      </c>
      <c r="O2996"/>
      <c r="P2996"/>
      <c r="Q2996" t="s">
        <v>168</v>
      </c>
      <c r="R2996"/>
      <c r="S2996"/>
      <c r="T2996" t="s">
        <v>169</v>
      </c>
      <c r="U2996" t="s">
        <v>137</v>
      </c>
      <c r="V2996" t="s">
        <v>925</v>
      </c>
      <c r="W2996"/>
      <c r="X2996" t="s">
        <v>101</v>
      </c>
      <c r="Y2996"/>
      <c r="Z2996"/>
      <c r="AA2996" t="s">
        <v>292</v>
      </c>
      <c r="AB2996" t="s">
        <v>1</v>
      </c>
      <c r="AC2996" t="s">
        <v>138</v>
      </c>
      <c r="AD2996" t="s">
        <v>129</v>
      </c>
      <c r="AE2996" s="97"/>
    </row>
    <row r="2997" spans="1:31" ht="14.4" customHeight="1" x14ac:dyDescent="0.3">
      <c r="A2997" t="s">
        <v>5587</v>
      </c>
      <c r="B2997" t="s">
        <v>927</v>
      </c>
      <c r="C2997"/>
      <c r="D2997"/>
      <c r="E2997"/>
      <c r="F2997"/>
      <c r="G2997" t="s">
        <v>5356</v>
      </c>
      <c r="H2997" t="s">
        <v>132</v>
      </c>
      <c r="I2997" t="s">
        <v>1</v>
      </c>
      <c r="J2997" t="s">
        <v>5298</v>
      </c>
      <c r="K2997" t="s">
        <v>51</v>
      </c>
      <c r="L2997" t="s">
        <v>928</v>
      </c>
      <c r="M2997" t="s">
        <v>134</v>
      </c>
      <c r="N2997" t="s">
        <v>135</v>
      </c>
      <c r="O2997"/>
      <c r="P2997"/>
      <c r="Q2997" t="s">
        <v>168</v>
      </c>
      <c r="R2997"/>
      <c r="S2997"/>
      <c r="T2997" t="s">
        <v>169</v>
      </c>
      <c r="U2997" t="s">
        <v>137</v>
      </c>
      <c r="V2997" t="s">
        <v>925</v>
      </c>
      <c r="W2997"/>
      <c r="X2997" t="s">
        <v>101</v>
      </c>
      <c r="Y2997"/>
      <c r="Z2997"/>
      <c r="AA2997" t="s">
        <v>292</v>
      </c>
      <c r="AB2997" t="s">
        <v>1</v>
      </c>
      <c r="AC2997" t="s">
        <v>138</v>
      </c>
      <c r="AD2997" t="s">
        <v>129</v>
      </c>
      <c r="AE2997" s="97"/>
    </row>
    <row r="2998" spans="1:31" ht="14.4" customHeight="1" x14ac:dyDescent="0.3">
      <c r="A2998" t="s">
        <v>5588</v>
      </c>
      <c r="B2998" t="s">
        <v>930</v>
      </c>
      <c r="C2998"/>
      <c r="D2998"/>
      <c r="E2998"/>
      <c r="F2998"/>
      <c r="G2998" t="s">
        <v>5356</v>
      </c>
      <c r="H2998" t="s">
        <v>132</v>
      </c>
      <c r="I2998" t="s">
        <v>1</v>
      </c>
      <c r="J2998" t="s">
        <v>5298</v>
      </c>
      <c r="K2998" t="s">
        <v>51</v>
      </c>
      <c r="L2998" t="s">
        <v>931</v>
      </c>
      <c r="M2998" t="s">
        <v>134</v>
      </c>
      <c r="N2998" t="s">
        <v>135</v>
      </c>
      <c r="O2998"/>
      <c r="P2998"/>
      <c r="Q2998" t="s">
        <v>168</v>
      </c>
      <c r="R2998"/>
      <c r="S2998"/>
      <c r="T2998" t="s">
        <v>169</v>
      </c>
      <c r="U2998" t="s">
        <v>137</v>
      </c>
      <c r="V2998" t="s">
        <v>932</v>
      </c>
      <c r="W2998"/>
      <c r="X2998" t="s">
        <v>115</v>
      </c>
      <c r="Y2998"/>
      <c r="Z2998"/>
      <c r="AA2998" t="s">
        <v>292</v>
      </c>
      <c r="AB2998" t="s">
        <v>1</v>
      </c>
      <c r="AC2998" t="s">
        <v>138</v>
      </c>
      <c r="AD2998" t="s">
        <v>130</v>
      </c>
      <c r="AE2998" s="97"/>
    </row>
    <row r="2999" spans="1:31" ht="14.4" customHeight="1" x14ac:dyDescent="0.3">
      <c r="A2999" t="s">
        <v>5589</v>
      </c>
      <c r="B2999" t="s">
        <v>934</v>
      </c>
      <c r="C2999"/>
      <c r="D2999"/>
      <c r="E2999"/>
      <c r="F2999"/>
      <c r="G2999" t="s">
        <v>5356</v>
      </c>
      <c r="H2999" t="s">
        <v>132</v>
      </c>
      <c r="I2999" t="s">
        <v>1</v>
      </c>
      <c r="J2999" t="s">
        <v>5298</v>
      </c>
      <c r="K2999" t="s">
        <v>51</v>
      </c>
      <c r="L2999" t="s">
        <v>935</v>
      </c>
      <c r="M2999" t="s">
        <v>134</v>
      </c>
      <c r="N2999" t="s">
        <v>135</v>
      </c>
      <c r="O2999"/>
      <c r="P2999"/>
      <c r="Q2999" t="s">
        <v>168</v>
      </c>
      <c r="R2999"/>
      <c r="S2999"/>
      <c r="T2999" t="s">
        <v>169</v>
      </c>
      <c r="U2999" t="s">
        <v>137</v>
      </c>
      <c r="V2999" t="s">
        <v>932</v>
      </c>
      <c r="W2999"/>
      <c r="X2999" t="s">
        <v>115</v>
      </c>
      <c r="Y2999"/>
      <c r="Z2999"/>
      <c r="AA2999" t="s">
        <v>292</v>
      </c>
      <c r="AB2999" t="s">
        <v>1</v>
      </c>
      <c r="AC2999" t="s">
        <v>138</v>
      </c>
      <c r="AD2999" t="s">
        <v>130</v>
      </c>
      <c r="AE2999" s="97"/>
    </row>
    <row r="3000" spans="1:31" ht="14.4" customHeight="1" x14ac:dyDescent="0.3">
      <c r="A3000" t="s">
        <v>5590</v>
      </c>
      <c r="B3000" t="s">
        <v>937</v>
      </c>
      <c r="C3000"/>
      <c r="D3000"/>
      <c r="E3000"/>
      <c r="F3000"/>
      <c r="G3000" t="s">
        <v>5356</v>
      </c>
      <c r="H3000" t="s">
        <v>132</v>
      </c>
      <c r="I3000" t="s">
        <v>1</v>
      </c>
      <c r="J3000" t="s">
        <v>5298</v>
      </c>
      <c r="K3000" t="s">
        <v>51</v>
      </c>
      <c r="L3000" t="s">
        <v>938</v>
      </c>
      <c r="M3000" t="s">
        <v>134</v>
      </c>
      <c r="N3000" t="s">
        <v>135</v>
      </c>
      <c r="O3000"/>
      <c r="P3000"/>
      <c r="Q3000" t="s">
        <v>168</v>
      </c>
      <c r="R3000"/>
      <c r="S3000"/>
      <c r="T3000" t="s">
        <v>169</v>
      </c>
      <c r="U3000" t="s">
        <v>137</v>
      </c>
      <c r="V3000" t="s">
        <v>352</v>
      </c>
      <c r="W3000" s="9">
        <v>46192.185892673609</v>
      </c>
      <c r="X3000" t="s">
        <v>56</v>
      </c>
      <c r="Y3000"/>
      <c r="Z3000"/>
      <c r="AA3000" t="s">
        <v>292</v>
      </c>
      <c r="AB3000" t="s">
        <v>1</v>
      </c>
      <c r="AC3000" t="s">
        <v>24</v>
      </c>
      <c r="AD3000" t="s">
        <v>128</v>
      </c>
      <c r="AE3000" s="97"/>
    </row>
    <row r="3001" spans="1:31" ht="14.4" customHeight="1" x14ac:dyDescent="0.3">
      <c r="A3001" t="s">
        <v>5591</v>
      </c>
      <c r="B3001" t="s">
        <v>940</v>
      </c>
      <c r="C3001"/>
      <c r="D3001"/>
      <c r="E3001"/>
      <c r="F3001"/>
      <c r="G3001" t="s">
        <v>5356</v>
      </c>
      <c r="H3001" t="s">
        <v>132</v>
      </c>
      <c r="I3001" t="s">
        <v>1</v>
      </c>
      <c r="J3001" t="s">
        <v>5298</v>
      </c>
      <c r="K3001" t="s">
        <v>51</v>
      </c>
      <c r="L3001" t="s">
        <v>941</v>
      </c>
      <c r="M3001" t="s">
        <v>134</v>
      </c>
      <c r="N3001" t="s">
        <v>135</v>
      </c>
      <c r="O3001"/>
      <c r="P3001"/>
      <c r="Q3001" t="s">
        <v>168</v>
      </c>
      <c r="R3001"/>
      <c r="S3001"/>
      <c r="T3001" t="s">
        <v>169</v>
      </c>
      <c r="U3001" t="s">
        <v>137</v>
      </c>
      <c r="V3001" t="s">
        <v>352</v>
      </c>
      <c r="W3001" s="9">
        <v>46192.186174074071</v>
      </c>
      <c r="X3001" t="s">
        <v>56</v>
      </c>
      <c r="Y3001"/>
      <c r="Z3001"/>
      <c r="AA3001" t="s">
        <v>292</v>
      </c>
      <c r="AB3001" t="s">
        <v>1</v>
      </c>
      <c r="AC3001" t="s">
        <v>24</v>
      </c>
      <c r="AD3001" t="s">
        <v>128</v>
      </c>
      <c r="AE3001" s="97"/>
    </row>
    <row r="3002" spans="1:31" ht="14.4" customHeight="1" x14ac:dyDescent="0.3">
      <c r="A3002" t="s">
        <v>5592</v>
      </c>
      <c r="B3002" t="s">
        <v>943</v>
      </c>
      <c r="C3002"/>
      <c r="D3002"/>
      <c r="E3002"/>
      <c r="F3002"/>
      <c r="G3002" t="s">
        <v>5356</v>
      </c>
      <c r="H3002" t="s">
        <v>132</v>
      </c>
      <c r="I3002" t="s">
        <v>1</v>
      </c>
      <c r="J3002" t="s">
        <v>5298</v>
      </c>
      <c r="K3002" t="s">
        <v>51</v>
      </c>
      <c r="L3002" t="s">
        <v>323</v>
      </c>
      <c r="M3002" t="s">
        <v>134</v>
      </c>
      <c r="N3002" t="s">
        <v>135</v>
      </c>
      <c r="O3002"/>
      <c r="P3002"/>
      <c r="Q3002" t="s">
        <v>168</v>
      </c>
      <c r="R3002"/>
      <c r="S3002"/>
      <c r="T3002" t="s">
        <v>169</v>
      </c>
      <c r="U3002" t="s">
        <v>137</v>
      </c>
      <c r="V3002" t="s">
        <v>324</v>
      </c>
      <c r="W3002" s="9">
        <v>46192.349239583331</v>
      </c>
      <c r="X3002" t="s">
        <v>60</v>
      </c>
      <c r="Y3002"/>
      <c r="Z3002"/>
      <c r="AA3002" t="s">
        <v>292</v>
      </c>
      <c r="AB3002" t="s">
        <v>1</v>
      </c>
      <c r="AC3002" t="s">
        <v>24</v>
      </c>
      <c r="AD3002" t="s">
        <v>128</v>
      </c>
      <c r="AE3002" s="97"/>
    </row>
    <row r="3003" spans="1:31" ht="14.4" customHeight="1" x14ac:dyDescent="0.3">
      <c r="A3003" t="s">
        <v>5593</v>
      </c>
      <c r="B3003" t="s">
        <v>945</v>
      </c>
      <c r="C3003"/>
      <c r="D3003"/>
      <c r="E3003"/>
      <c r="F3003"/>
      <c r="G3003" t="s">
        <v>5356</v>
      </c>
      <c r="H3003" t="s">
        <v>132</v>
      </c>
      <c r="I3003" t="s">
        <v>1</v>
      </c>
      <c r="J3003" t="s">
        <v>5298</v>
      </c>
      <c r="K3003" t="s">
        <v>51</v>
      </c>
      <c r="L3003" t="s">
        <v>323</v>
      </c>
      <c r="M3003" t="s">
        <v>134</v>
      </c>
      <c r="N3003" t="s">
        <v>135</v>
      </c>
      <c r="O3003"/>
      <c r="P3003"/>
      <c r="Q3003" t="s">
        <v>168</v>
      </c>
      <c r="R3003"/>
      <c r="S3003"/>
      <c r="T3003" t="s">
        <v>169</v>
      </c>
      <c r="U3003" t="s">
        <v>137</v>
      </c>
      <c r="V3003" t="s">
        <v>324</v>
      </c>
      <c r="W3003" s="9">
        <v>46192.349657754632</v>
      </c>
      <c r="X3003" t="s">
        <v>60</v>
      </c>
      <c r="Y3003"/>
      <c r="Z3003"/>
      <c r="AA3003" t="s">
        <v>292</v>
      </c>
      <c r="AB3003" t="s">
        <v>1</v>
      </c>
      <c r="AC3003" t="s">
        <v>24</v>
      </c>
      <c r="AD3003" t="s">
        <v>128</v>
      </c>
      <c r="AE3003" s="97"/>
    </row>
    <row r="3004" spans="1:31" ht="14.4" customHeight="1" x14ac:dyDescent="0.3">
      <c r="A3004" t="s">
        <v>5594</v>
      </c>
      <c r="B3004" t="s">
        <v>947</v>
      </c>
      <c r="C3004"/>
      <c r="D3004"/>
      <c r="E3004"/>
      <c r="F3004"/>
      <c r="G3004" t="s">
        <v>5356</v>
      </c>
      <c r="H3004" t="s">
        <v>132</v>
      </c>
      <c r="I3004" t="s">
        <v>1</v>
      </c>
      <c r="J3004" t="s">
        <v>5298</v>
      </c>
      <c r="K3004" t="s">
        <v>51</v>
      </c>
      <c r="L3004" t="s">
        <v>323</v>
      </c>
      <c r="M3004" t="s">
        <v>134</v>
      </c>
      <c r="N3004" t="s">
        <v>135</v>
      </c>
      <c r="O3004"/>
      <c r="P3004"/>
      <c r="Q3004" t="s">
        <v>168</v>
      </c>
      <c r="R3004"/>
      <c r="S3004"/>
      <c r="T3004" t="s">
        <v>169</v>
      </c>
      <c r="U3004" t="s">
        <v>137</v>
      </c>
      <c r="V3004" t="s">
        <v>324</v>
      </c>
      <c r="W3004" s="9">
        <v>46192.350826192131</v>
      </c>
      <c r="X3004" t="s">
        <v>60</v>
      </c>
      <c r="Y3004"/>
      <c r="Z3004"/>
      <c r="AA3004" t="s">
        <v>292</v>
      </c>
      <c r="AB3004" t="s">
        <v>1</v>
      </c>
      <c r="AC3004" t="s">
        <v>24</v>
      </c>
      <c r="AD3004" t="s">
        <v>128</v>
      </c>
      <c r="AE3004" s="97"/>
    </row>
    <row r="3005" spans="1:31" ht="14.4" customHeight="1" x14ac:dyDescent="0.3">
      <c r="A3005" t="s">
        <v>5595</v>
      </c>
      <c r="B3005" t="s">
        <v>949</v>
      </c>
      <c r="C3005"/>
      <c r="D3005"/>
      <c r="E3005"/>
      <c r="F3005"/>
      <c r="G3005" t="s">
        <v>5356</v>
      </c>
      <c r="H3005" t="s">
        <v>132</v>
      </c>
      <c r="I3005" t="s">
        <v>1</v>
      </c>
      <c r="J3005" t="s">
        <v>5298</v>
      </c>
      <c r="K3005" t="s">
        <v>51</v>
      </c>
      <c r="L3005" t="s">
        <v>323</v>
      </c>
      <c r="M3005" t="s">
        <v>134</v>
      </c>
      <c r="N3005" t="s">
        <v>135</v>
      </c>
      <c r="O3005"/>
      <c r="P3005"/>
      <c r="Q3005" t="s">
        <v>168</v>
      </c>
      <c r="R3005"/>
      <c r="S3005"/>
      <c r="T3005" t="s">
        <v>169</v>
      </c>
      <c r="U3005" t="s">
        <v>137</v>
      </c>
      <c r="V3005" t="s">
        <v>324</v>
      </c>
      <c r="W3005" s="9">
        <v>46192.351480983794</v>
      </c>
      <c r="X3005" t="s">
        <v>60</v>
      </c>
      <c r="Y3005"/>
      <c r="Z3005"/>
      <c r="AA3005" t="s">
        <v>292</v>
      </c>
      <c r="AB3005" t="s">
        <v>1</v>
      </c>
      <c r="AC3005" t="s">
        <v>24</v>
      </c>
      <c r="AD3005" t="s">
        <v>128</v>
      </c>
      <c r="AE3005" s="97"/>
    </row>
    <row r="3006" spans="1:31" ht="14.4" customHeight="1" x14ac:dyDescent="0.3">
      <c r="A3006" t="s">
        <v>5596</v>
      </c>
      <c r="B3006" t="s">
        <v>951</v>
      </c>
      <c r="C3006"/>
      <c r="D3006"/>
      <c r="E3006"/>
      <c r="F3006"/>
      <c r="G3006" t="s">
        <v>5356</v>
      </c>
      <c r="H3006" t="s">
        <v>132</v>
      </c>
      <c r="I3006" t="s">
        <v>1</v>
      </c>
      <c r="J3006" t="s">
        <v>5298</v>
      </c>
      <c r="K3006" t="s">
        <v>51</v>
      </c>
      <c r="L3006" t="s">
        <v>952</v>
      </c>
      <c r="M3006" t="s">
        <v>134</v>
      </c>
      <c r="N3006" t="s">
        <v>135</v>
      </c>
      <c r="O3006"/>
      <c r="P3006"/>
      <c r="Q3006" t="s">
        <v>168</v>
      </c>
      <c r="R3006"/>
      <c r="S3006"/>
      <c r="T3006" t="s">
        <v>169</v>
      </c>
      <c r="U3006" t="s">
        <v>137</v>
      </c>
      <c r="V3006" t="s">
        <v>324</v>
      </c>
      <c r="W3006" s="9">
        <v>46192.355034062501</v>
      </c>
      <c r="X3006" t="s">
        <v>60</v>
      </c>
      <c r="Y3006"/>
      <c r="Z3006"/>
      <c r="AA3006" t="s">
        <v>292</v>
      </c>
      <c r="AB3006" t="s">
        <v>1</v>
      </c>
      <c r="AC3006" t="s">
        <v>24</v>
      </c>
      <c r="AD3006" t="s">
        <v>128</v>
      </c>
      <c r="AE3006" s="97"/>
    </row>
    <row r="3007" spans="1:31" ht="14.4" customHeight="1" x14ac:dyDescent="0.3">
      <c r="A3007" t="s">
        <v>5597</v>
      </c>
      <c r="B3007" t="s">
        <v>954</v>
      </c>
      <c r="C3007"/>
      <c r="D3007"/>
      <c r="E3007"/>
      <c r="F3007"/>
      <c r="G3007" t="s">
        <v>5356</v>
      </c>
      <c r="H3007" t="s">
        <v>132</v>
      </c>
      <c r="I3007" t="s">
        <v>1</v>
      </c>
      <c r="J3007" t="s">
        <v>5298</v>
      </c>
      <c r="K3007" t="s">
        <v>51</v>
      </c>
      <c r="L3007" t="s">
        <v>955</v>
      </c>
      <c r="M3007" t="s">
        <v>134</v>
      </c>
      <c r="N3007" t="s">
        <v>135</v>
      </c>
      <c r="O3007"/>
      <c r="P3007"/>
      <c r="Q3007" t="s">
        <v>168</v>
      </c>
      <c r="R3007"/>
      <c r="S3007"/>
      <c r="T3007" t="s">
        <v>169</v>
      </c>
      <c r="U3007" t="s">
        <v>137</v>
      </c>
      <c r="V3007" t="s">
        <v>324</v>
      </c>
      <c r="W3007" s="9">
        <v>46192.186452928239</v>
      </c>
      <c r="X3007" t="s">
        <v>60</v>
      </c>
      <c r="Y3007"/>
      <c r="Z3007"/>
      <c r="AA3007" t="s">
        <v>292</v>
      </c>
      <c r="AB3007" t="s">
        <v>1</v>
      </c>
      <c r="AC3007" t="s">
        <v>24</v>
      </c>
      <c r="AD3007" t="s">
        <v>128</v>
      </c>
      <c r="AE3007" s="97"/>
    </row>
    <row r="3008" spans="1:31" ht="14.4" customHeight="1" x14ac:dyDescent="0.3">
      <c r="A3008" t="s">
        <v>5598</v>
      </c>
      <c r="B3008" t="s">
        <v>957</v>
      </c>
      <c r="C3008"/>
      <c r="D3008"/>
      <c r="E3008"/>
      <c r="F3008"/>
      <c r="G3008" t="s">
        <v>5356</v>
      </c>
      <c r="H3008" t="s">
        <v>132</v>
      </c>
      <c r="I3008" t="s">
        <v>1</v>
      </c>
      <c r="J3008" t="s">
        <v>5298</v>
      </c>
      <c r="K3008" t="s">
        <v>51</v>
      </c>
      <c r="L3008" t="s">
        <v>327</v>
      </c>
      <c r="M3008" t="s">
        <v>134</v>
      </c>
      <c r="N3008" t="s">
        <v>135</v>
      </c>
      <c r="O3008"/>
      <c r="P3008"/>
      <c r="Q3008" t="s">
        <v>168</v>
      </c>
      <c r="R3008"/>
      <c r="S3008"/>
      <c r="T3008" t="s">
        <v>169</v>
      </c>
      <c r="U3008" t="s">
        <v>137</v>
      </c>
      <c r="V3008" t="s">
        <v>328</v>
      </c>
      <c r="W3008" s="9">
        <v>46192.352942592595</v>
      </c>
      <c r="X3008" t="s">
        <v>65</v>
      </c>
      <c r="Y3008"/>
      <c r="Z3008"/>
      <c r="AA3008" t="s">
        <v>292</v>
      </c>
      <c r="AB3008" t="s">
        <v>1</v>
      </c>
      <c r="AC3008" t="s">
        <v>24</v>
      </c>
      <c r="AD3008" t="s">
        <v>128</v>
      </c>
      <c r="AE3008" s="97"/>
    </row>
    <row r="3009" spans="1:31" ht="14.4" customHeight="1" x14ac:dyDescent="0.3">
      <c r="A3009" t="s">
        <v>5599</v>
      </c>
      <c r="B3009" t="s">
        <v>959</v>
      </c>
      <c r="C3009"/>
      <c r="D3009"/>
      <c r="E3009"/>
      <c r="F3009"/>
      <c r="G3009" t="s">
        <v>5356</v>
      </c>
      <c r="H3009" t="s">
        <v>132</v>
      </c>
      <c r="I3009" t="s">
        <v>1</v>
      </c>
      <c r="J3009" t="s">
        <v>5298</v>
      </c>
      <c r="K3009" t="s">
        <v>51</v>
      </c>
      <c r="L3009" t="s">
        <v>327</v>
      </c>
      <c r="M3009" t="s">
        <v>134</v>
      </c>
      <c r="N3009" t="s">
        <v>135</v>
      </c>
      <c r="O3009"/>
      <c r="P3009"/>
      <c r="Q3009" t="s">
        <v>168</v>
      </c>
      <c r="R3009"/>
      <c r="S3009"/>
      <c r="T3009" t="s">
        <v>169</v>
      </c>
      <c r="U3009" t="s">
        <v>137</v>
      </c>
      <c r="V3009" t="s">
        <v>328</v>
      </c>
      <c r="W3009" s="9">
        <v>46192.352991585649</v>
      </c>
      <c r="X3009" t="s">
        <v>65</v>
      </c>
      <c r="Y3009"/>
      <c r="Z3009"/>
      <c r="AA3009" t="s">
        <v>292</v>
      </c>
      <c r="AB3009" t="s">
        <v>1</v>
      </c>
      <c r="AC3009" t="s">
        <v>24</v>
      </c>
      <c r="AD3009" t="s">
        <v>128</v>
      </c>
      <c r="AE3009" s="97"/>
    </row>
    <row r="3010" spans="1:31" ht="14.4" customHeight="1" x14ac:dyDescent="0.3">
      <c r="A3010" t="s">
        <v>5600</v>
      </c>
      <c r="B3010" t="s">
        <v>961</v>
      </c>
      <c r="C3010"/>
      <c r="D3010"/>
      <c r="E3010"/>
      <c r="F3010"/>
      <c r="G3010" t="s">
        <v>5356</v>
      </c>
      <c r="H3010" t="s">
        <v>132</v>
      </c>
      <c r="I3010" t="s">
        <v>1</v>
      </c>
      <c r="J3010" t="s">
        <v>5298</v>
      </c>
      <c r="K3010" t="s">
        <v>51</v>
      </c>
      <c r="L3010" t="s">
        <v>327</v>
      </c>
      <c r="M3010" t="s">
        <v>134</v>
      </c>
      <c r="N3010" t="s">
        <v>135</v>
      </c>
      <c r="O3010"/>
      <c r="P3010"/>
      <c r="Q3010" t="s">
        <v>168</v>
      </c>
      <c r="R3010"/>
      <c r="S3010"/>
      <c r="T3010" t="s">
        <v>169</v>
      </c>
      <c r="U3010" t="s">
        <v>137</v>
      </c>
      <c r="V3010" t="s">
        <v>328</v>
      </c>
      <c r="W3010" s="9">
        <v>46192.353072685182</v>
      </c>
      <c r="X3010" t="s">
        <v>65</v>
      </c>
      <c r="Y3010"/>
      <c r="Z3010"/>
      <c r="AA3010" t="s">
        <v>292</v>
      </c>
      <c r="AB3010" t="s">
        <v>1</v>
      </c>
      <c r="AC3010" t="s">
        <v>24</v>
      </c>
      <c r="AD3010" t="s">
        <v>128</v>
      </c>
      <c r="AE3010" s="97"/>
    </row>
    <row r="3011" spans="1:31" ht="14.4" customHeight="1" x14ac:dyDescent="0.3">
      <c r="A3011" t="s">
        <v>5601</v>
      </c>
      <c r="B3011" t="s">
        <v>963</v>
      </c>
      <c r="C3011"/>
      <c r="D3011"/>
      <c r="E3011"/>
      <c r="F3011"/>
      <c r="G3011" t="s">
        <v>5356</v>
      </c>
      <c r="H3011" t="s">
        <v>132</v>
      </c>
      <c r="I3011" t="s">
        <v>1</v>
      </c>
      <c r="J3011" t="s">
        <v>5298</v>
      </c>
      <c r="K3011" t="s">
        <v>51</v>
      </c>
      <c r="L3011" t="s">
        <v>327</v>
      </c>
      <c r="M3011" t="s">
        <v>134</v>
      </c>
      <c r="N3011" t="s">
        <v>135</v>
      </c>
      <c r="O3011"/>
      <c r="P3011"/>
      <c r="Q3011" t="s">
        <v>168</v>
      </c>
      <c r="R3011"/>
      <c r="S3011"/>
      <c r="T3011" t="s">
        <v>169</v>
      </c>
      <c r="U3011" t="s">
        <v>137</v>
      </c>
      <c r="V3011" t="s">
        <v>328</v>
      </c>
      <c r="W3011" s="9">
        <v>46192.353165081018</v>
      </c>
      <c r="X3011" t="s">
        <v>65</v>
      </c>
      <c r="Y3011"/>
      <c r="Z3011"/>
      <c r="AA3011" t="s">
        <v>292</v>
      </c>
      <c r="AB3011" t="s">
        <v>1</v>
      </c>
      <c r="AC3011" t="s">
        <v>24</v>
      </c>
      <c r="AD3011" t="s">
        <v>128</v>
      </c>
      <c r="AE3011" s="97"/>
    </row>
    <row r="3012" spans="1:31" ht="14.4" customHeight="1" x14ac:dyDescent="0.3">
      <c r="A3012" t="s">
        <v>5602</v>
      </c>
      <c r="B3012" t="s">
        <v>965</v>
      </c>
      <c r="C3012"/>
      <c r="D3012"/>
      <c r="E3012"/>
      <c r="F3012"/>
      <c r="G3012" t="s">
        <v>5356</v>
      </c>
      <c r="H3012" t="s">
        <v>132</v>
      </c>
      <c r="I3012" t="s">
        <v>1</v>
      </c>
      <c r="J3012" t="s">
        <v>5298</v>
      </c>
      <c r="K3012" t="s">
        <v>51</v>
      </c>
      <c r="L3012" t="s">
        <v>966</v>
      </c>
      <c r="M3012" t="s">
        <v>134</v>
      </c>
      <c r="N3012" t="s">
        <v>135</v>
      </c>
      <c r="O3012"/>
      <c r="P3012"/>
      <c r="Q3012" t="s">
        <v>168</v>
      </c>
      <c r="R3012"/>
      <c r="S3012"/>
      <c r="T3012" t="s">
        <v>169</v>
      </c>
      <c r="U3012" t="s">
        <v>137</v>
      </c>
      <c r="V3012" t="s">
        <v>328</v>
      </c>
      <c r="W3012" s="9">
        <v>46192.186848807869</v>
      </c>
      <c r="X3012" t="s">
        <v>65</v>
      </c>
      <c r="Y3012"/>
      <c r="Z3012"/>
      <c r="AA3012" t="s">
        <v>292</v>
      </c>
      <c r="AB3012" t="s">
        <v>1</v>
      </c>
      <c r="AC3012" t="s">
        <v>24</v>
      </c>
      <c r="AD3012" t="s">
        <v>128</v>
      </c>
      <c r="AE3012" s="97"/>
    </row>
    <row r="3013" spans="1:31" ht="14.4" customHeight="1" x14ac:dyDescent="0.3">
      <c r="A3013" t="s">
        <v>5603</v>
      </c>
      <c r="B3013" t="s">
        <v>968</v>
      </c>
      <c r="C3013"/>
      <c r="D3013"/>
      <c r="E3013"/>
      <c r="F3013"/>
      <c r="G3013" t="s">
        <v>5356</v>
      </c>
      <c r="H3013" t="s">
        <v>132</v>
      </c>
      <c r="I3013" t="s">
        <v>1</v>
      </c>
      <c r="J3013" t="s">
        <v>5298</v>
      </c>
      <c r="K3013" t="s">
        <v>51</v>
      </c>
      <c r="L3013" t="s">
        <v>969</v>
      </c>
      <c r="M3013" t="s">
        <v>134</v>
      </c>
      <c r="N3013" t="s">
        <v>135</v>
      </c>
      <c r="O3013"/>
      <c r="P3013"/>
      <c r="Q3013" t="s">
        <v>168</v>
      </c>
      <c r="R3013"/>
      <c r="S3013"/>
      <c r="T3013" t="s">
        <v>169</v>
      </c>
      <c r="U3013" t="s">
        <v>137</v>
      </c>
      <c r="V3013" t="s">
        <v>328</v>
      </c>
      <c r="W3013" s="9">
        <v>46192.188671261574</v>
      </c>
      <c r="X3013" t="s">
        <v>65</v>
      </c>
      <c r="Y3013"/>
      <c r="Z3013"/>
      <c r="AA3013" t="s">
        <v>292</v>
      </c>
      <c r="AB3013" t="s">
        <v>1</v>
      </c>
      <c r="AC3013" t="s">
        <v>24</v>
      </c>
      <c r="AD3013" t="s">
        <v>128</v>
      </c>
      <c r="AE3013" s="97"/>
    </row>
    <row r="3014" spans="1:31" ht="14.4" customHeight="1" x14ac:dyDescent="0.3">
      <c r="A3014" t="s">
        <v>5604</v>
      </c>
      <c r="B3014" t="s">
        <v>971</v>
      </c>
      <c r="C3014"/>
      <c r="D3014"/>
      <c r="E3014"/>
      <c r="F3014"/>
      <c r="G3014" t="s">
        <v>5356</v>
      </c>
      <c r="H3014" t="s">
        <v>132</v>
      </c>
      <c r="I3014" t="s">
        <v>1</v>
      </c>
      <c r="J3014" t="s">
        <v>5298</v>
      </c>
      <c r="K3014" t="s">
        <v>51</v>
      </c>
      <c r="L3014" t="s">
        <v>331</v>
      </c>
      <c r="M3014" t="s">
        <v>134</v>
      </c>
      <c r="N3014" t="s">
        <v>135</v>
      </c>
      <c r="O3014"/>
      <c r="P3014"/>
      <c r="Q3014" t="s">
        <v>168</v>
      </c>
      <c r="R3014"/>
      <c r="S3014"/>
      <c r="T3014" t="s">
        <v>169</v>
      </c>
      <c r="U3014" t="s">
        <v>137</v>
      </c>
      <c r="V3014" t="s">
        <v>332</v>
      </c>
      <c r="W3014"/>
      <c r="X3014" t="s">
        <v>80</v>
      </c>
      <c r="Y3014"/>
      <c r="Z3014"/>
      <c r="AA3014" t="s">
        <v>292</v>
      </c>
      <c r="AB3014" t="s">
        <v>1</v>
      </c>
      <c r="AC3014" t="s">
        <v>138</v>
      </c>
      <c r="AD3014" t="s">
        <v>129</v>
      </c>
      <c r="AE3014" s="97"/>
    </row>
    <row r="3015" spans="1:31" ht="14.4" customHeight="1" x14ac:dyDescent="0.3">
      <c r="A3015" t="s">
        <v>5605</v>
      </c>
      <c r="B3015" t="s">
        <v>973</v>
      </c>
      <c r="C3015"/>
      <c r="D3015"/>
      <c r="E3015"/>
      <c r="F3015"/>
      <c r="G3015" t="s">
        <v>5356</v>
      </c>
      <c r="H3015" t="s">
        <v>132</v>
      </c>
      <c r="I3015" t="s">
        <v>1</v>
      </c>
      <c r="J3015" t="s">
        <v>5298</v>
      </c>
      <c r="K3015" t="s">
        <v>51</v>
      </c>
      <c r="L3015" t="s">
        <v>331</v>
      </c>
      <c r="M3015" t="s">
        <v>134</v>
      </c>
      <c r="N3015" t="s">
        <v>135</v>
      </c>
      <c r="O3015"/>
      <c r="P3015"/>
      <c r="Q3015" t="s">
        <v>168</v>
      </c>
      <c r="R3015"/>
      <c r="S3015"/>
      <c r="T3015" t="s">
        <v>169</v>
      </c>
      <c r="U3015" t="s">
        <v>137</v>
      </c>
      <c r="V3015" t="s">
        <v>332</v>
      </c>
      <c r="W3015"/>
      <c r="X3015" t="s">
        <v>80</v>
      </c>
      <c r="Y3015"/>
      <c r="Z3015"/>
      <c r="AA3015" t="s">
        <v>292</v>
      </c>
      <c r="AB3015" t="s">
        <v>1</v>
      </c>
      <c r="AC3015" t="s">
        <v>138</v>
      </c>
      <c r="AD3015" t="s">
        <v>129</v>
      </c>
      <c r="AE3015" s="97"/>
    </row>
    <row r="3016" spans="1:31" ht="14.4" customHeight="1" x14ac:dyDescent="0.3">
      <c r="A3016" t="s">
        <v>5606</v>
      </c>
      <c r="B3016" t="s">
        <v>975</v>
      </c>
      <c r="C3016"/>
      <c r="D3016"/>
      <c r="E3016"/>
      <c r="F3016"/>
      <c r="G3016" t="s">
        <v>5356</v>
      </c>
      <c r="H3016" t="s">
        <v>132</v>
      </c>
      <c r="I3016" t="s">
        <v>1</v>
      </c>
      <c r="J3016" t="s">
        <v>5298</v>
      </c>
      <c r="K3016" t="s">
        <v>51</v>
      </c>
      <c r="L3016" t="s">
        <v>331</v>
      </c>
      <c r="M3016" t="s">
        <v>134</v>
      </c>
      <c r="N3016" t="s">
        <v>135</v>
      </c>
      <c r="O3016"/>
      <c r="P3016"/>
      <c r="Q3016" t="s">
        <v>168</v>
      </c>
      <c r="R3016"/>
      <c r="S3016"/>
      <c r="T3016" t="s">
        <v>169</v>
      </c>
      <c r="U3016" t="s">
        <v>137</v>
      </c>
      <c r="V3016" t="s">
        <v>332</v>
      </c>
      <c r="W3016"/>
      <c r="X3016" t="s">
        <v>80</v>
      </c>
      <c r="Y3016"/>
      <c r="Z3016"/>
      <c r="AA3016" t="s">
        <v>292</v>
      </c>
      <c r="AB3016" t="s">
        <v>1</v>
      </c>
      <c r="AC3016" t="s">
        <v>138</v>
      </c>
      <c r="AD3016" t="s">
        <v>129</v>
      </c>
      <c r="AE3016" s="97"/>
    </row>
    <row r="3017" spans="1:31" ht="14.4" customHeight="1" x14ac:dyDescent="0.3">
      <c r="A3017" t="s">
        <v>5607</v>
      </c>
      <c r="B3017" t="s">
        <v>977</v>
      </c>
      <c r="C3017"/>
      <c r="D3017"/>
      <c r="E3017"/>
      <c r="F3017"/>
      <c r="G3017" t="s">
        <v>5356</v>
      </c>
      <c r="H3017" t="s">
        <v>132</v>
      </c>
      <c r="I3017" t="s">
        <v>1</v>
      </c>
      <c r="J3017" t="s">
        <v>5298</v>
      </c>
      <c r="K3017" t="s">
        <v>51</v>
      </c>
      <c r="L3017" t="s">
        <v>331</v>
      </c>
      <c r="M3017" t="s">
        <v>134</v>
      </c>
      <c r="N3017" t="s">
        <v>135</v>
      </c>
      <c r="O3017"/>
      <c r="P3017"/>
      <c r="Q3017" t="s">
        <v>168</v>
      </c>
      <c r="R3017"/>
      <c r="S3017"/>
      <c r="T3017" t="s">
        <v>169</v>
      </c>
      <c r="U3017" t="s">
        <v>137</v>
      </c>
      <c r="V3017" t="s">
        <v>332</v>
      </c>
      <c r="W3017"/>
      <c r="X3017" t="s">
        <v>80</v>
      </c>
      <c r="Y3017"/>
      <c r="Z3017"/>
      <c r="AA3017" t="s">
        <v>292</v>
      </c>
      <c r="AB3017" t="s">
        <v>1</v>
      </c>
      <c r="AC3017" t="s">
        <v>138</v>
      </c>
      <c r="AD3017" t="s">
        <v>129</v>
      </c>
      <c r="AE3017" s="97"/>
    </row>
    <row r="3018" spans="1:31" ht="14.4" customHeight="1" x14ac:dyDescent="0.3">
      <c r="A3018" t="s">
        <v>5608</v>
      </c>
      <c r="B3018" t="s">
        <v>979</v>
      </c>
      <c r="C3018"/>
      <c r="D3018"/>
      <c r="E3018"/>
      <c r="F3018"/>
      <c r="G3018" t="s">
        <v>5356</v>
      </c>
      <c r="H3018" t="s">
        <v>132</v>
      </c>
      <c r="I3018" t="s">
        <v>1</v>
      </c>
      <c r="J3018" t="s">
        <v>5298</v>
      </c>
      <c r="K3018" t="s">
        <v>51</v>
      </c>
      <c r="L3018" t="s">
        <v>980</v>
      </c>
      <c r="M3018" t="s">
        <v>134</v>
      </c>
      <c r="N3018" t="s">
        <v>135</v>
      </c>
      <c r="O3018"/>
      <c r="P3018"/>
      <c r="Q3018" t="s">
        <v>168</v>
      </c>
      <c r="R3018"/>
      <c r="S3018"/>
      <c r="T3018" t="s">
        <v>169</v>
      </c>
      <c r="U3018" t="s">
        <v>137</v>
      </c>
      <c r="V3018" t="s">
        <v>332</v>
      </c>
      <c r="W3018"/>
      <c r="X3018" t="s">
        <v>80</v>
      </c>
      <c r="Y3018"/>
      <c r="Z3018"/>
      <c r="AA3018" t="s">
        <v>292</v>
      </c>
      <c r="AB3018" t="s">
        <v>1</v>
      </c>
      <c r="AC3018" t="s">
        <v>138</v>
      </c>
      <c r="AD3018" t="s">
        <v>129</v>
      </c>
      <c r="AE3018" s="97"/>
    </row>
    <row r="3019" spans="1:31" ht="14.4" customHeight="1" x14ac:dyDescent="0.3">
      <c r="A3019" t="s">
        <v>5609</v>
      </c>
      <c r="B3019" t="s">
        <v>982</v>
      </c>
      <c r="C3019"/>
      <c r="D3019"/>
      <c r="E3019"/>
      <c r="F3019"/>
      <c r="G3019" t="s">
        <v>5356</v>
      </c>
      <c r="H3019" t="s">
        <v>132</v>
      </c>
      <c r="I3019" t="s">
        <v>1</v>
      </c>
      <c r="J3019" t="s">
        <v>5298</v>
      </c>
      <c r="K3019" t="s">
        <v>51</v>
      </c>
      <c r="L3019" t="s">
        <v>983</v>
      </c>
      <c r="M3019" t="s">
        <v>134</v>
      </c>
      <c r="N3019" t="s">
        <v>135</v>
      </c>
      <c r="O3019"/>
      <c r="P3019"/>
      <c r="Q3019" t="s">
        <v>168</v>
      </c>
      <c r="R3019"/>
      <c r="S3019"/>
      <c r="T3019" t="s">
        <v>169</v>
      </c>
      <c r="U3019" t="s">
        <v>137</v>
      </c>
      <c r="V3019" t="s">
        <v>332</v>
      </c>
      <c r="W3019"/>
      <c r="X3019" t="s">
        <v>80</v>
      </c>
      <c r="Y3019"/>
      <c r="Z3019"/>
      <c r="AA3019" t="s">
        <v>292</v>
      </c>
      <c r="AB3019" t="s">
        <v>1</v>
      </c>
      <c r="AC3019" t="s">
        <v>138</v>
      </c>
      <c r="AD3019" t="s">
        <v>129</v>
      </c>
      <c r="AE3019" s="97"/>
    </row>
    <row r="3020" spans="1:31" ht="14.4" customHeight="1" x14ac:dyDescent="0.3">
      <c r="A3020" t="s">
        <v>5610</v>
      </c>
      <c r="B3020" t="s">
        <v>985</v>
      </c>
      <c r="C3020"/>
      <c r="D3020"/>
      <c r="E3020"/>
      <c r="F3020"/>
      <c r="G3020" t="s">
        <v>5356</v>
      </c>
      <c r="H3020" t="s">
        <v>132</v>
      </c>
      <c r="I3020" t="s">
        <v>1</v>
      </c>
      <c r="J3020" t="s">
        <v>5298</v>
      </c>
      <c r="K3020" t="s">
        <v>51</v>
      </c>
      <c r="L3020" t="s">
        <v>335</v>
      </c>
      <c r="M3020" t="s">
        <v>134</v>
      </c>
      <c r="N3020" t="s">
        <v>135</v>
      </c>
      <c r="O3020"/>
      <c r="P3020"/>
      <c r="Q3020" t="s">
        <v>168</v>
      </c>
      <c r="R3020"/>
      <c r="S3020"/>
      <c r="T3020" t="s">
        <v>169</v>
      </c>
      <c r="U3020" t="s">
        <v>137</v>
      </c>
      <c r="V3020" t="s">
        <v>336</v>
      </c>
      <c r="W3020"/>
      <c r="X3020" t="s">
        <v>84</v>
      </c>
      <c r="Y3020"/>
      <c r="Z3020"/>
      <c r="AA3020" t="s">
        <v>292</v>
      </c>
      <c r="AB3020" t="s">
        <v>1</v>
      </c>
      <c r="AC3020" t="s">
        <v>138</v>
      </c>
      <c r="AD3020" t="s">
        <v>129</v>
      </c>
      <c r="AE3020" s="97"/>
    </row>
    <row r="3021" spans="1:31" ht="14.4" customHeight="1" x14ac:dyDescent="0.3">
      <c r="A3021" t="s">
        <v>5611</v>
      </c>
      <c r="B3021" t="s">
        <v>987</v>
      </c>
      <c r="C3021"/>
      <c r="D3021"/>
      <c r="E3021"/>
      <c r="F3021"/>
      <c r="G3021" t="s">
        <v>5356</v>
      </c>
      <c r="H3021" t="s">
        <v>132</v>
      </c>
      <c r="I3021" t="s">
        <v>1</v>
      </c>
      <c r="J3021" t="s">
        <v>5298</v>
      </c>
      <c r="K3021" t="s">
        <v>51</v>
      </c>
      <c r="L3021" t="s">
        <v>335</v>
      </c>
      <c r="M3021" t="s">
        <v>134</v>
      </c>
      <c r="N3021" t="s">
        <v>135</v>
      </c>
      <c r="O3021"/>
      <c r="P3021"/>
      <c r="Q3021" t="s">
        <v>168</v>
      </c>
      <c r="R3021"/>
      <c r="S3021"/>
      <c r="T3021" t="s">
        <v>169</v>
      </c>
      <c r="U3021" t="s">
        <v>137</v>
      </c>
      <c r="V3021" t="s">
        <v>336</v>
      </c>
      <c r="W3021"/>
      <c r="X3021" t="s">
        <v>84</v>
      </c>
      <c r="Y3021"/>
      <c r="Z3021"/>
      <c r="AA3021" t="s">
        <v>292</v>
      </c>
      <c r="AB3021" t="s">
        <v>1</v>
      </c>
      <c r="AC3021" t="s">
        <v>138</v>
      </c>
      <c r="AD3021" t="s">
        <v>129</v>
      </c>
      <c r="AE3021" s="97"/>
    </row>
    <row r="3022" spans="1:31" ht="14.4" customHeight="1" x14ac:dyDescent="0.3">
      <c r="A3022" t="s">
        <v>5612</v>
      </c>
      <c r="B3022" t="s">
        <v>989</v>
      </c>
      <c r="C3022"/>
      <c r="D3022"/>
      <c r="E3022"/>
      <c r="F3022"/>
      <c r="G3022" t="s">
        <v>5356</v>
      </c>
      <c r="H3022" t="s">
        <v>132</v>
      </c>
      <c r="I3022" t="s">
        <v>1</v>
      </c>
      <c r="J3022" t="s">
        <v>5298</v>
      </c>
      <c r="K3022" t="s">
        <v>51</v>
      </c>
      <c r="L3022" t="s">
        <v>335</v>
      </c>
      <c r="M3022" t="s">
        <v>134</v>
      </c>
      <c r="N3022" t="s">
        <v>135</v>
      </c>
      <c r="O3022"/>
      <c r="P3022"/>
      <c r="Q3022" t="s">
        <v>168</v>
      </c>
      <c r="R3022"/>
      <c r="S3022"/>
      <c r="T3022" t="s">
        <v>169</v>
      </c>
      <c r="U3022" t="s">
        <v>137</v>
      </c>
      <c r="V3022" t="s">
        <v>336</v>
      </c>
      <c r="W3022"/>
      <c r="X3022" t="s">
        <v>84</v>
      </c>
      <c r="Y3022"/>
      <c r="Z3022"/>
      <c r="AA3022" t="s">
        <v>292</v>
      </c>
      <c r="AB3022" t="s">
        <v>1</v>
      </c>
      <c r="AC3022" t="s">
        <v>138</v>
      </c>
      <c r="AD3022" t="s">
        <v>129</v>
      </c>
      <c r="AE3022" s="97"/>
    </row>
    <row r="3023" spans="1:31" ht="14.4" customHeight="1" x14ac:dyDescent="0.3">
      <c r="A3023" t="s">
        <v>5613</v>
      </c>
      <c r="B3023" t="s">
        <v>991</v>
      </c>
      <c r="C3023"/>
      <c r="D3023"/>
      <c r="E3023"/>
      <c r="F3023"/>
      <c r="G3023" t="s">
        <v>5356</v>
      </c>
      <c r="H3023" t="s">
        <v>132</v>
      </c>
      <c r="I3023" t="s">
        <v>1</v>
      </c>
      <c r="J3023" t="s">
        <v>5298</v>
      </c>
      <c r="K3023" t="s">
        <v>51</v>
      </c>
      <c r="L3023" t="s">
        <v>335</v>
      </c>
      <c r="M3023" t="s">
        <v>134</v>
      </c>
      <c r="N3023" t="s">
        <v>135</v>
      </c>
      <c r="O3023"/>
      <c r="P3023"/>
      <c r="Q3023" t="s">
        <v>168</v>
      </c>
      <c r="R3023"/>
      <c r="S3023"/>
      <c r="T3023" t="s">
        <v>169</v>
      </c>
      <c r="U3023" t="s">
        <v>137</v>
      </c>
      <c r="V3023" t="s">
        <v>336</v>
      </c>
      <c r="W3023"/>
      <c r="X3023" t="s">
        <v>84</v>
      </c>
      <c r="Y3023"/>
      <c r="Z3023"/>
      <c r="AA3023" t="s">
        <v>292</v>
      </c>
      <c r="AB3023" t="s">
        <v>1</v>
      </c>
      <c r="AC3023" t="s">
        <v>138</v>
      </c>
      <c r="AD3023" t="s">
        <v>129</v>
      </c>
      <c r="AE3023" s="97"/>
    </row>
    <row r="3024" spans="1:31" ht="14.4" customHeight="1" x14ac:dyDescent="0.3">
      <c r="A3024" t="s">
        <v>5614</v>
      </c>
      <c r="B3024" t="s">
        <v>993</v>
      </c>
      <c r="C3024"/>
      <c r="D3024"/>
      <c r="E3024"/>
      <c r="F3024"/>
      <c r="G3024" t="s">
        <v>5356</v>
      </c>
      <c r="H3024" t="s">
        <v>132</v>
      </c>
      <c r="I3024" t="s">
        <v>1</v>
      </c>
      <c r="J3024" t="s">
        <v>5298</v>
      </c>
      <c r="K3024" t="s">
        <v>51</v>
      </c>
      <c r="L3024" t="s">
        <v>994</v>
      </c>
      <c r="M3024" t="s">
        <v>134</v>
      </c>
      <c r="N3024" t="s">
        <v>135</v>
      </c>
      <c r="O3024"/>
      <c r="P3024"/>
      <c r="Q3024" t="s">
        <v>168</v>
      </c>
      <c r="R3024"/>
      <c r="S3024"/>
      <c r="T3024" t="s">
        <v>169</v>
      </c>
      <c r="U3024" t="s">
        <v>137</v>
      </c>
      <c r="V3024" t="s">
        <v>336</v>
      </c>
      <c r="W3024" s="9">
        <v>46192.189444560187</v>
      </c>
      <c r="X3024" t="s">
        <v>84</v>
      </c>
      <c r="Y3024"/>
      <c r="Z3024"/>
      <c r="AA3024" t="s">
        <v>292</v>
      </c>
      <c r="AB3024" t="s">
        <v>1</v>
      </c>
      <c r="AC3024" t="s">
        <v>24</v>
      </c>
      <c r="AD3024" t="s">
        <v>129</v>
      </c>
      <c r="AE3024" s="97"/>
    </row>
    <row r="3025" spans="1:31" ht="14.4" customHeight="1" x14ac:dyDescent="0.3">
      <c r="A3025" t="s">
        <v>5615</v>
      </c>
      <c r="B3025" t="s">
        <v>996</v>
      </c>
      <c r="C3025"/>
      <c r="D3025"/>
      <c r="E3025"/>
      <c r="F3025"/>
      <c r="G3025" t="s">
        <v>5356</v>
      </c>
      <c r="H3025" t="s">
        <v>132</v>
      </c>
      <c r="I3025" t="s">
        <v>1</v>
      </c>
      <c r="J3025" t="s">
        <v>5298</v>
      </c>
      <c r="K3025" t="s">
        <v>51</v>
      </c>
      <c r="L3025" t="s">
        <v>997</v>
      </c>
      <c r="M3025" t="s">
        <v>134</v>
      </c>
      <c r="N3025" t="s">
        <v>135</v>
      </c>
      <c r="O3025"/>
      <c r="P3025"/>
      <c r="Q3025" t="s">
        <v>168</v>
      </c>
      <c r="R3025"/>
      <c r="S3025"/>
      <c r="T3025" t="s">
        <v>169</v>
      </c>
      <c r="U3025" t="s">
        <v>137</v>
      </c>
      <c r="V3025" t="s">
        <v>336</v>
      </c>
      <c r="W3025"/>
      <c r="X3025" t="s">
        <v>84</v>
      </c>
      <c r="Y3025"/>
      <c r="Z3025"/>
      <c r="AA3025" t="s">
        <v>292</v>
      </c>
      <c r="AB3025" t="s">
        <v>1</v>
      </c>
      <c r="AC3025" t="s">
        <v>138</v>
      </c>
      <c r="AD3025" t="s">
        <v>129</v>
      </c>
      <c r="AE3025" s="97"/>
    </row>
    <row r="3026" spans="1:31" ht="14.4" customHeight="1" x14ac:dyDescent="0.3">
      <c r="A3026" t="s">
        <v>5616</v>
      </c>
      <c r="B3026" t="s">
        <v>999</v>
      </c>
      <c r="C3026"/>
      <c r="D3026"/>
      <c r="E3026"/>
      <c r="F3026"/>
      <c r="G3026" t="s">
        <v>5356</v>
      </c>
      <c r="H3026" t="s">
        <v>132</v>
      </c>
      <c r="I3026" t="s">
        <v>1</v>
      </c>
      <c r="J3026" t="s">
        <v>5298</v>
      </c>
      <c r="K3026" t="s">
        <v>51</v>
      </c>
      <c r="L3026" t="s">
        <v>339</v>
      </c>
      <c r="M3026" t="s">
        <v>134</v>
      </c>
      <c r="N3026" t="s">
        <v>135</v>
      </c>
      <c r="O3026"/>
      <c r="P3026"/>
      <c r="Q3026" t="s">
        <v>168</v>
      </c>
      <c r="R3026"/>
      <c r="S3026"/>
      <c r="T3026" t="s">
        <v>169</v>
      </c>
      <c r="U3026" t="s">
        <v>137</v>
      </c>
      <c r="V3026" t="s">
        <v>340</v>
      </c>
      <c r="W3026"/>
      <c r="X3026" t="s">
        <v>93</v>
      </c>
      <c r="Y3026"/>
      <c r="Z3026"/>
      <c r="AA3026" t="s">
        <v>292</v>
      </c>
      <c r="AB3026" t="s">
        <v>1</v>
      </c>
      <c r="AC3026" t="s">
        <v>138</v>
      </c>
      <c r="AD3026" t="s">
        <v>129</v>
      </c>
      <c r="AE3026" s="97"/>
    </row>
    <row r="3027" spans="1:31" ht="14.4" customHeight="1" x14ac:dyDescent="0.3">
      <c r="A3027" t="s">
        <v>5617</v>
      </c>
      <c r="B3027" t="s">
        <v>1001</v>
      </c>
      <c r="C3027"/>
      <c r="D3027"/>
      <c r="E3027"/>
      <c r="F3027"/>
      <c r="G3027" t="s">
        <v>5356</v>
      </c>
      <c r="H3027" t="s">
        <v>132</v>
      </c>
      <c r="I3027" t="s">
        <v>1</v>
      </c>
      <c r="J3027" t="s">
        <v>5298</v>
      </c>
      <c r="K3027" t="s">
        <v>51</v>
      </c>
      <c r="L3027" t="s">
        <v>339</v>
      </c>
      <c r="M3027" t="s">
        <v>134</v>
      </c>
      <c r="N3027" t="s">
        <v>135</v>
      </c>
      <c r="O3027"/>
      <c r="P3027"/>
      <c r="Q3027" t="s">
        <v>168</v>
      </c>
      <c r="R3027"/>
      <c r="S3027"/>
      <c r="T3027" t="s">
        <v>169</v>
      </c>
      <c r="U3027" t="s">
        <v>137</v>
      </c>
      <c r="V3027" t="s">
        <v>340</v>
      </c>
      <c r="W3027"/>
      <c r="X3027" t="s">
        <v>93</v>
      </c>
      <c r="Y3027"/>
      <c r="Z3027"/>
      <c r="AA3027" t="s">
        <v>292</v>
      </c>
      <c r="AB3027" t="s">
        <v>1</v>
      </c>
      <c r="AC3027" t="s">
        <v>138</v>
      </c>
      <c r="AD3027" t="s">
        <v>129</v>
      </c>
      <c r="AE3027" s="97"/>
    </row>
    <row r="3028" spans="1:31" ht="14.4" customHeight="1" x14ac:dyDescent="0.3">
      <c r="A3028" t="s">
        <v>5618</v>
      </c>
      <c r="B3028" t="s">
        <v>1003</v>
      </c>
      <c r="C3028"/>
      <c r="D3028"/>
      <c r="E3028"/>
      <c r="F3028"/>
      <c r="G3028" t="s">
        <v>5356</v>
      </c>
      <c r="H3028" t="s">
        <v>132</v>
      </c>
      <c r="I3028" t="s">
        <v>1</v>
      </c>
      <c r="J3028" t="s">
        <v>5298</v>
      </c>
      <c r="K3028" t="s">
        <v>51</v>
      </c>
      <c r="L3028" t="s">
        <v>339</v>
      </c>
      <c r="M3028" t="s">
        <v>134</v>
      </c>
      <c r="N3028" t="s">
        <v>135</v>
      </c>
      <c r="O3028"/>
      <c r="P3028"/>
      <c r="Q3028" t="s">
        <v>168</v>
      </c>
      <c r="R3028"/>
      <c r="S3028"/>
      <c r="T3028" t="s">
        <v>169</v>
      </c>
      <c r="U3028" t="s">
        <v>137</v>
      </c>
      <c r="V3028" t="s">
        <v>340</v>
      </c>
      <c r="W3028"/>
      <c r="X3028" t="s">
        <v>93</v>
      </c>
      <c r="Y3028"/>
      <c r="Z3028"/>
      <c r="AA3028" t="s">
        <v>292</v>
      </c>
      <c r="AB3028" t="s">
        <v>1</v>
      </c>
      <c r="AC3028" t="s">
        <v>138</v>
      </c>
      <c r="AD3028" t="s">
        <v>129</v>
      </c>
      <c r="AE3028" s="97"/>
    </row>
    <row r="3029" spans="1:31" ht="14.4" customHeight="1" x14ac:dyDescent="0.3">
      <c r="A3029" t="s">
        <v>5619</v>
      </c>
      <c r="B3029" t="s">
        <v>1005</v>
      </c>
      <c r="C3029"/>
      <c r="D3029"/>
      <c r="E3029"/>
      <c r="F3029"/>
      <c r="G3029" t="s">
        <v>5356</v>
      </c>
      <c r="H3029" t="s">
        <v>132</v>
      </c>
      <c r="I3029" t="s">
        <v>1</v>
      </c>
      <c r="J3029" t="s">
        <v>5298</v>
      </c>
      <c r="K3029" t="s">
        <v>51</v>
      </c>
      <c r="L3029" t="s">
        <v>339</v>
      </c>
      <c r="M3029" t="s">
        <v>134</v>
      </c>
      <c r="N3029" t="s">
        <v>135</v>
      </c>
      <c r="O3029"/>
      <c r="P3029"/>
      <c r="Q3029" t="s">
        <v>168</v>
      </c>
      <c r="R3029"/>
      <c r="S3029"/>
      <c r="T3029" t="s">
        <v>169</v>
      </c>
      <c r="U3029" t="s">
        <v>137</v>
      </c>
      <c r="V3029" t="s">
        <v>340</v>
      </c>
      <c r="W3029"/>
      <c r="X3029" t="s">
        <v>93</v>
      </c>
      <c r="Y3029"/>
      <c r="Z3029"/>
      <c r="AA3029" t="s">
        <v>292</v>
      </c>
      <c r="AB3029" t="s">
        <v>1</v>
      </c>
      <c r="AC3029" t="s">
        <v>138</v>
      </c>
      <c r="AD3029" t="s">
        <v>129</v>
      </c>
      <c r="AE3029" s="97"/>
    </row>
    <row r="3030" spans="1:31" ht="14.4" customHeight="1" x14ac:dyDescent="0.3">
      <c r="A3030" t="s">
        <v>5620</v>
      </c>
      <c r="B3030" t="s">
        <v>1007</v>
      </c>
      <c r="C3030"/>
      <c r="D3030"/>
      <c r="E3030"/>
      <c r="F3030"/>
      <c r="G3030" t="s">
        <v>5356</v>
      </c>
      <c r="H3030" t="s">
        <v>132</v>
      </c>
      <c r="I3030" t="s">
        <v>1</v>
      </c>
      <c r="J3030" t="s">
        <v>5298</v>
      </c>
      <c r="K3030" t="s">
        <v>51</v>
      </c>
      <c r="L3030" t="s">
        <v>1008</v>
      </c>
      <c r="M3030" t="s">
        <v>134</v>
      </c>
      <c r="N3030" t="s">
        <v>135</v>
      </c>
      <c r="O3030"/>
      <c r="P3030"/>
      <c r="Q3030" t="s">
        <v>168</v>
      </c>
      <c r="R3030"/>
      <c r="S3030"/>
      <c r="T3030" t="s">
        <v>169</v>
      </c>
      <c r="U3030" t="s">
        <v>137</v>
      </c>
      <c r="V3030" t="s">
        <v>340</v>
      </c>
      <c r="W3030"/>
      <c r="X3030" t="s">
        <v>93</v>
      </c>
      <c r="Y3030"/>
      <c r="Z3030"/>
      <c r="AA3030" t="s">
        <v>292</v>
      </c>
      <c r="AB3030" t="s">
        <v>1</v>
      </c>
      <c r="AC3030" t="s">
        <v>138</v>
      </c>
      <c r="AD3030" t="s">
        <v>129</v>
      </c>
      <c r="AE3030" s="97"/>
    </row>
    <row r="3031" spans="1:31" ht="14.4" customHeight="1" x14ac:dyDescent="0.3">
      <c r="A3031" t="s">
        <v>5621</v>
      </c>
      <c r="B3031" t="s">
        <v>1010</v>
      </c>
      <c r="C3031"/>
      <c r="D3031"/>
      <c r="E3031"/>
      <c r="F3031"/>
      <c r="G3031" t="s">
        <v>5356</v>
      </c>
      <c r="H3031" t="s">
        <v>132</v>
      </c>
      <c r="I3031" t="s">
        <v>1</v>
      </c>
      <c r="J3031" t="s">
        <v>5298</v>
      </c>
      <c r="K3031" t="s">
        <v>51</v>
      </c>
      <c r="L3031" t="s">
        <v>1011</v>
      </c>
      <c r="M3031" t="s">
        <v>134</v>
      </c>
      <c r="N3031" t="s">
        <v>135</v>
      </c>
      <c r="O3031"/>
      <c r="P3031"/>
      <c r="Q3031" t="s">
        <v>168</v>
      </c>
      <c r="R3031"/>
      <c r="S3031"/>
      <c r="T3031" t="s">
        <v>169</v>
      </c>
      <c r="U3031" t="s">
        <v>137</v>
      </c>
      <c r="V3031" t="s">
        <v>340</v>
      </c>
      <c r="W3031"/>
      <c r="X3031" t="s">
        <v>93</v>
      </c>
      <c r="Y3031"/>
      <c r="Z3031"/>
      <c r="AA3031" t="s">
        <v>292</v>
      </c>
      <c r="AB3031" t="s">
        <v>1</v>
      </c>
      <c r="AC3031" t="s">
        <v>138</v>
      </c>
      <c r="AD3031" t="s">
        <v>129</v>
      </c>
      <c r="AE3031" s="97"/>
    </row>
    <row r="3032" spans="1:31" ht="14.4" customHeight="1" x14ac:dyDescent="0.3">
      <c r="A3032" t="s">
        <v>5622</v>
      </c>
      <c r="B3032" t="s">
        <v>1013</v>
      </c>
      <c r="C3032"/>
      <c r="D3032"/>
      <c r="E3032"/>
      <c r="F3032"/>
      <c r="G3032" t="s">
        <v>5356</v>
      </c>
      <c r="H3032" t="s">
        <v>132</v>
      </c>
      <c r="I3032" t="s">
        <v>1</v>
      </c>
      <c r="J3032" t="s">
        <v>5298</v>
      </c>
      <c r="K3032" t="s">
        <v>51</v>
      </c>
      <c r="L3032" t="s">
        <v>343</v>
      </c>
      <c r="M3032" t="s">
        <v>134</v>
      </c>
      <c r="N3032" t="s">
        <v>135</v>
      </c>
      <c r="O3032"/>
      <c r="P3032"/>
      <c r="Q3032" t="s">
        <v>168</v>
      </c>
      <c r="R3032"/>
      <c r="S3032"/>
      <c r="T3032" t="s">
        <v>169</v>
      </c>
      <c r="U3032" t="s">
        <v>137</v>
      </c>
      <c r="V3032" t="s">
        <v>344</v>
      </c>
      <c r="W3032"/>
      <c r="X3032" t="s">
        <v>102</v>
      </c>
      <c r="Y3032"/>
      <c r="Z3032"/>
      <c r="AA3032" t="s">
        <v>292</v>
      </c>
      <c r="AB3032" t="s">
        <v>1</v>
      </c>
      <c r="AC3032" t="s">
        <v>138</v>
      </c>
      <c r="AD3032" t="s">
        <v>129</v>
      </c>
      <c r="AE3032" s="97"/>
    </row>
    <row r="3033" spans="1:31" ht="14.4" customHeight="1" x14ac:dyDescent="0.3">
      <c r="A3033" t="s">
        <v>5623</v>
      </c>
      <c r="B3033" t="s">
        <v>1015</v>
      </c>
      <c r="C3033"/>
      <c r="D3033"/>
      <c r="E3033"/>
      <c r="F3033"/>
      <c r="G3033" t="s">
        <v>5356</v>
      </c>
      <c r="H3033" t="s">
        <v>132</v>
      </c>
      <c r="I3033" t="s">
        <v>1</v>
      </c>
      <c r="J3033" t="s">
        <v>5298</v>
      </c>
      <c r="K3033" t="s">
        <v>51</v>
      </c>
      <c r="L3033" t="s">
        <v>343</v>
      </c>
      <c r="M3033" t="s">
        <v>134</v>
      </c>
      <c r="N3033" t="s">
        <v>135</v>
      </c>
      <c r="O3033"/>
      <c r="P3033"/>
      <c r="Q3033" t="s">
        <v>168</v>
      </c>
      <c r="R3033"/>
      <c r="S3033"/>
      <c r="T3033" t="s">
        <v>169</v>
      </c>
      <c r="U3033" t="s">
        <v>137</v>
      </c>
      <c r="V3033" t="s">
        <v>344</v>
      </c>
      <c r="W3033"/>
      <c r="X3033" t="s">
        <v>102</v>
      </c>
      <c r="Y3033"/>
      <c r="Z3033"/>
      <c r="AA3033" t="s">
        <v>292</v>
      </c>
      <c r="AB3033" t="s">
        <v>1</v>
      </c>
      <c r="AC3033" t="s">
        <v>138</v>
      </c>
      <c r="AD3033" t="s">
        <v>129</v>
      </c>
      <c r="AE3033" s="97"/>
    </row>
    <row r="3034" spans="1:31" ht="14.4" customHeight="1" x14ac:dyDescent="0.3">
      <c r="A3034" t="s">
        <v>5624</v>
      </c>
      <c r="B3034" t="s">
        <v>1017</v>
      </c>
      <c r="C3034"/>
      <c r="D3034"/>
      <c r="E3034"/>
      <c r="F3034"/>
      <c r="G3034" t="s">
        <v>5356</v>
      </c>
      <c r="H3034" t="s">
        <v>132</v>
      </c>
      <c r="I3034" t="s">
        <v>1</v>
      </c>
      <c r="J3034" t="s">
        <v>5298</v>
      </c>
      <c r="K3034" t="s">
        <v>51</v>
      </c>
      <c r="L3034" t="s">
        <v>343</v>
      </c>
      <c r="M3034" t="s">
        <v>134</v>
      </c>
      <c r="N3034" t="s">
        <v>135</v>
      </c>
      <c r="O3034"/>
      <c r="P3034"/>
      <c r="Q3034" t="s">
        <v>168</v>
      </c>
      <c r="R3034"/>
      <c r="S3034"/>
      <c r="T3034" t="s">
        <v>169</v>
      </c>
      <c r="U3034" t="s">
        <v>137</v>
      </c>
      <c r="V3034" t="s">
        <v>344</v>
      </c>
      <c r="W3034"/>
      <c r="X3034" t="s">
        <v>102</v>
      </c>
      <c r="Y3034"/>
      <c r="Z3034"/>
      <c r="AA3034" t="s">
        <v>292</v>
      </c>
      <c r="AB3034" t="s">
        <v>1</v>
      </c>
      <c r="AC3034" t="s">
        <v>138</v>
      </c>
      <c r="AD3034" t="s">
        <v>129</v>
      </c>
      <c r="AE3034" s="97"/>
    </row>
    <row r="3035" spans="1:31" ht="14.4" customHeight="1" x14ac:dyDescent="0.3">
      <c r="A3035" t="s">
        <v>5625</v>
      </c>
      <c r="B3035" t="s">
        <v>1019</v>
      </c>
      <c r="C3035"/>
      <c r="D3035"/>
      <c r="E3035"/>
      <c r="F3035"/>
      <c r="G3035" t="s">
        <v>5356</v>
      </c>
      <c r="H3035" t="s">
        <v>132</v>
      </c>
      <c r="I3035" t="s">
        <v>1</v>
      </c>
      <c r="J3035" t="s">
        <v>5298</v>
      </c>
      <c r="K3035" t="s">
        <v>51</v>
      </c>
      <c r="L3035" t="s">
        <v>343</v>
      </c>
      <c r="M3035" t="s">
        <v>134</v>
      </c>
      <c r="N3035" t="s">
        <v>135</v>
      </c>
      <c r="O3035"/>
      <c r="P3035"/>
      <c r="Q3035" t="s">
        <v>168</v>
      </c>
      <c r="R3035"/>
      <c r="S3035"/>
      <c r="T3035" t="s">
        <v>169</v>
      </c>
      <c r="U3035" t="s">
        <v>137</v>
      </c>
      <c r="V3035" t="s">
        <v>344</v>
      </c>
      <c r="W3035"/>
      <c r="X3035" t="s">
        <v>102</v>
      </c>
      <c r="Y3035"/>
      <c r="Z3035"/>
      <c r="AA3035" t="s">
        <v>292</v>
      </c>
      <c r="AB3035" t="s">
        <v>1</v>
      </c>
      <c r="AC3035" t="s">
        <v>138</v>
      </c>
      <c r="AD3035" t="s">
        <v>129</v>
      </c>
      <c r="AE3035" s="97"/>
    </row>
    <row r="3036" spans="1:31" ht="14.4" customHeight="1" x14ac:dyDescent="0.3">
      <c r="A3036" t="s">
        <v>5626</v>
      </c>
      <c r="B3036" t="s">
        <v>1021</v>
      </c>
      <c r="C3036"/>
      <c r="D3036"/>
      <c r="E3036"/>
      <c r="F3036"/>
      <c r="G3036" t="s">
        <v>5356</v>
      </c>
      <c r="H3036" t="s">
        <v>132</v>
      </c>
      <c r="I3036" t="s">
        <v>1</v>
      </c>
      <c r="J3036" t="s">
        <v>5298</v>
      </c>
      <c r="K3036" t="s">
        <v>51</v>
      </c>
      <c r="L3036" t="s">
        <v>1022</v>
      </c>
      <c r="M3036" t="s">
        <v>134</v>
      </c>
      <c r="N3036" t="s">
        <v>135</v>
      </c>
      <c r="O3036"/>
      <c r="P3036"/>
      <c r="Q3036" t="s">
        <v>168</v>
      </c>
      <c r="R3036"/>
      <c r="S3036"/>
      <c r="T3036" t="s">
        <v>169</v>
      </c>
      <c r="U3036" t="s">
        <v>137</v>
      </c>
      <c r="V3036" t="s">
        <v>344</v>
      </c>
      <c r="W3036"/>
      <c r="X3036" t="s">
        <v>102</v>
      </c>
      <c r="Y3036"/>
      <c r="Z3036"/>
      <c r="AA3036" t="s">
        <v>292</v>
      </c>
      <c r="AB3036" t="s">
        <v>1</v>
      </c>
      <c r="AC3036" t="s">
        <v>138</v>
      </c>
      <c r="AD3036" t="s">
        <v>129</v>
      </c>
      <c r="AE3036" s="97"/>
    </row>
    <row r="3037" spans="1:31" ht="14.4" customHeight="1" x14ac:dyDescent="0.3">
      <c r="A3037" t="s">
        <v>5627</v>
      </c>
      <c r="B3037" t="s">
        <v>1024</v>
      </c>
      <c r="C3037"/>
      <c r="D3037"/>
      <c r="E3037"/>
      <c r="F3037"/>
      <c r="G3037" t="s">
        <v>5356</v>
      </c>
      <c r="H3037" t="s">
        <v>132</v>
      </c>
      <c r="I3037" t="s">
        <v>1</v>
      </c>
      <c r="J3037" t="s">
        <v>5298</v>
      </c>
      <c r="K3037" t="s">
        <v>51</v>
      </c>
      <c r="L3037" t="s">
        <v>1025</v>
      </c>
      <c r="M3037" t="s">
        <v>134</v>
      </c>
      <c r="N3037" t="s">
        <v>135</v>
      </c>
      <c r="O3037"/>
      <c r="P3037"/>
      <c r="Q3037" t="s">
        <v>168</v>
      </c>
      <c r="R3037"/>
      <c r="S3037"/>
      <c r="T3037" t="s">
        <v>169</v>
      </c>
      <c r="U3037" t="s">
        <v>137</v>
      </c>
      <c r="V3037" t="s">
        <v>344</v>
      </c>
      <c r="W3037"/>
      <c r="X3037" t="s">
        <v>102</v>
      </c>
      <c r="Y3037"/>
      <c r="Z3037"/>
      <c r="AA3037" t="s">
        <v>292</v>
      </c>
      <c r="AB3037" t="s">
        <v>1</v>
      </c>
      <c r="AC3037" t="s">
        <v>138</v>
      </c>
      <c r="AD3037" t="s">
        <v>129</v>
      </c>
      <c r="AE3037" s="97"/>
    </row>
    <row r="3038" spans="1:31" ht="14.4" customHeight="1" x14ac:dyDescent="0.3">
      <c r="A3038" t="s">
        <v>5628</v>
      </c>
      <c r="B3038" t="s">
        <v>1027</v>
      </c>
      <c r="C3038"/>
      <c r="D3038"/>
      <c r="E3038"/>
      <c r="F3038"/>
      <c r="G3038" t="s">
        <v>5356</v>
      </c>
      <c r="H3038" t="s">
        <v>132</v>
      </c>
      <c r="I3038" t="s">
        <v>1</v>
      </c>
      <c r="J3038" t="s">
        <v>5298</v>
      </c>
      <c r="K3038" t="s">
        <v>51</v>
      </c>
      <c r="L3038" t="s">
        <v>347</v>
      </c>
      <c r="M3038" t="s">
        <v>134</v>
      </c>
      <c r="N3038" t="s">
        <v>135</v>
      </c>
      <c r="O3038"/>
      <c r="P3038"/>
      <c r="Q3038" t="s">
        <v>168</v>
      </c>
      <c r="R3038"/>
      <c r="S3038"/>
      <c r="T3038" t="s">
        <v>169</v>
      </c>
      <c r="U3038" t="s">
        <v>137</v>
      </c>
      <c r="V3038" t="s">
        <v>348</v>
      </c>
      <c r="W3038"/>
      <c r="X3038" t="s">
        <v>116</v>
      </c>
      <c r="Y3038"/>
      <c r="Z3038"/>
      <c r="AA3038" t="s">
        <v>292</v>
      </c>
      <c r="AB3038" t="s">
        <v>1</v>
      </c>
      <c r="AC3038" t="s">
        <v>138</v>
      </c>
      <c r="AD3038" t="s">
        <v>130</v>
      </c>
      <c r="AE3038" s="97"/>
    </row>
    <row r="3039" spans="1:31" ht="14.4" customHeight="1" x14ac:dyDescent="0.3">
      <c r="A3039" t="s">
        <v>5629</v>
      </c>
      <c r="B3039" t="s">
        <v>1029</v>
      </c>
      <c r="C3039"/>
      <c r="D3039"/>
      <c r="E3039"/>
      <c r="F3039"/>
      <c r="G3039" t="s">
        <v>5356</v>
      </c>
      <c r="H3039" t="s">
        <v>132</v>
      </c>
      <c r="I3039" t="s">
        <v>1</v>
      </c>
      <c r="J3039" t="s">
        <v>5298</v>
      </c>
      <c r="K3039" t="s">
        <v>51</v>
      </c>
      <c r="L3039" t="s">
        <v>347</v>
      </c>
      <c r="M3039" t="s">
        <v>134</v>
      </c>
      <c r="N3039" t="s">
        <v>135</v>
      </c>
      <c r="O3039"/>
      <c r="P3039"/>
      <c r="Q3039" t="s">
        <v>168</v>
      </c>
      <c r="R3039"/>
      <c r="S3039"/>
      <c r="T3039" t="s">
        <v>169</v>
      </c>
      <c r="U3039" t="s">
        <v>137</v>
      </c>
      <c r="V3039" t="s">
        <v>348</v>
      </c>
      <c r="W3039"/>
      <c r="X3039" t="s">
        <v>116</v>
      </c>
      <c r="Y3039"/>
      <c r="Z3039"/>
      <c r="AA3039" t="s">
        <v>292</v>
      </c>
      <c r="AB3039" t="s">
        <v>1</v>
      </c>
      <c r="AC3039" t="s">
        <v>138</v>
      </c>
      <c r="AD3039" t="s">
        <v>130</v>
      </c>
      <c r="AE3039" s="97"/>
    </row>
    <row r="3040" spans="1:31" ht="14.4" customHeight="1" x14ac:dyDescent="0.3">
      <c r="A3040" t="s">
        <v>5630</v>
      </c>
      <c r="B3040" t="s">
        <v>1031</v>
      </c>
      <c r="C3040"/>
      <c r="D3040"/>
      <c r="E3040"/>
      <c r="F3040"/>
      <c r="G3040" t="s">
        <v>5356</v>
      </c>
      <c r="H3040" t="s">
        <v>132</v>
      </c>
      <c r="I3040" t="s">
        <v>1</v>
      </c>
      <c r="J3040" t="s">
        <v>5298</v>
      </c>
      <c r="K3040" t="s">
        <v>51</v>
      </c>
      <c r="L3040" t="s">
        <v>347</v>
      </c>
      <c r="M3040" t="s">
        <v>134</v>
      </c>
      <c r="N3040" t="s">
        <v>135</v>
      </c>
      <c r="O3040"/>
      <c r="P3040"/>
      <c r="Q3040" t="s">
        <v>168</v>
      </c>
      <c r="R3040"/>
      <c r="S3040"/>
      <c r="T3040" t="s">
        <v>169</v>
      </c>
      <c r="U3040" t="s">
        <v>137</v>
      </c>
      <c r="V3040" t="s">
        <v>348</v>
      </c>
      <c r="W3040"/>
      <c r="X3040" t="s">
        <v>116</v>
      </c>
      <c r="Y3040"/>
      <c r="Z3040"/>
      <c r="AA3040" t="s">
        <v>292</v>
      </c>
      <c r="AB3040" t="s">
        <v>1</v>
      </c>
      <c r="AC3040" t="s">
        <v>138</v>
      </c>
      <c r="AD3040" t="s">
        <v>130</v>
      </c>
      <c r="AE3040" s="97"/>
    </row>
    <row r="3041" spans="1:31" ht="14.4" customHeight="1" x14ac:dyDescent="0.3">
      <c r="A3041" t="s">
        <v>5631</v>
      </c>
      <c r="B3041" t="s">
        <v>1033</v>
      </c>
      <c r="C3041"/>
      <c r="D3041"/>
      <c r="E3041"/>
      <c r="F3041"/>
      <c r="G3041" t="s">
        <v>5356</v>
      </c>
      <c r="H3041" t="s">
        <v>132</v>
      </c>
      <c r="I3041" t="s">
        <v>1</v>
      </c>
      <c r="J3041" t="s">
        <v>5298</v>
      </c>
      <c r="K3041" t="s">
        <v>51</v>
      </c>
      <c r="L3041" t="s">
        <v>347</v>
      </c>
      <c r="M3041" t="s">
        <v>134</v>
      </c>
      <c r="N3041" t="s">
        <v>135</v>
      </c>
      <c r="O3041"/>
      <c r="P3041"/>
      <c r="Q3041" t="s">
        <v>168</v>
      </c>
      <c r="R3041"/>
      <c r="S3041"/>
      <c r="T3041" t="s">
        <v>169</v>
      </c>
      <c r="U3041" t="s">
        <v>137</v>
      </c>
      <c r="V3041" t="s">
        <v>348</v>
      </c>
      <c r="W3041"/>
      <c r="X3041" t="s">
        <v>116</v>
      </c>
      <c r="Y3041"/>
      <c r="Z3041"/>
      <c r="AA3041" t="s">
        <v>292</v>
      </c>
      <c r="AB3041" t="s">
        <v>1</v>
      </c>
      <c r="AC3041" t="s">
        <v>138</v>
      </c>
      <c r="AD3041" t="s">
        <v>130</v>
      </c>
      <c r="AE3041" s="97"/>
    </row>
    <row r="3042" spans="1:31" ht="14.4" customHeight="1" x14ac:dyDescent="0.3">
      <c r="A3042" t="s">
        <v>5632</v>
      </c>
      <c r="B3042" t="s">
        <v>1035</v>
      </c>
      <c r="C3042"/>
      <c r="D3042"/>
      <c r="E3042"/>
      <c r="F3042"/>
      <c r="G3042" t="s">
        <v>5356</v>
      </c>
      <c r="H3042" t="s">
        <v>132</v>
      </c>
      <c r="I3042" t="s">
        <v>1</v>
      </c>
      <c r="J3042" t="s">
        <v>5298</v>
      </c>
      <c r="K3042" t="s">
        <v>51</v>
      </c>
      <c r="L3042" t="s">
        <v>1036</v>
      </c>
      <c r="M3042" t="s">
        <v>134</v>
      </c>
      <c r="N3042" t="s">
        <v>135</v>
      </c>
      <c r="O3042"/>
      <c r="P3042"/>
      <c r="Q3042" t="s">
        <v>168</v>
      </c>
      <c r="R3042"/>
      <c r="S3042"/>
      <c r="T3042" t="s">
        <v>169</v>
      </c>
      <c r="U3042" t="s">
        <v>137</v>
      </c>
      <c r="V3042" t="s">
        <v>348</v>
      </c>
      <c r="W3042"/>
      <c r="X3042" t="s">
        <v>116</v>
      </c>
      <c r="Y3042"/>
      <c r="Z3042"/>
      <c r="AA3042" t="s">
        <v>292</v>
      </c>
      <c r="AB3042" t="s">
        <v>1</v>
      </c>
      <c r="AC3042" t="s">
        <v>138</v>
      </c>
      <c r="AD3042" t="s">
        <v>130</v>
      </c>
      <c r="AE3042" s="97"/>
    </row>
    <row r="3043" spans="1:31" ht="14.4" customHeight="1" x14ac:dyDescent="0.3">
      <c r="A3043" t="s">
        <v>5633</v>
      </c>
      <c r="B3043" t="s">
        <v>1038</v>
      </c>
      <c r="C3043"/>
      <c r="D3043"/>
      <c r="E3043"/>
      <c r="F3043"/>
      <c r="G3043" t="s">
        <v>5356</v>
      </c>
      <c r="H3043" t="s">
        <v>132</v>
      </c>
      <c r="I3043" t="s">
        <v>1</v>
      </c>
      <c r="J3043" t="s">
        <v>5298</v>
      </c>
      <c r="K3043" t="s">
        <v>51</v>
      </c>
      <c r="L3043" t="s">
        <v>1039</v>
      </c>
      <c r="M3043" t="s">
        <v>134</v>
      </c>
      <c r="N3043" t="s">
        <v>135</v>
      </c>
      <c r="O3043"/>
      <c r="P3043"/>
      <c r="Q3043" t="s">
        <v>168</v>
      </c>
      <c r="R3043"/>
      <c r="S3043"/>
      <c r="T3043" t="s">
        <v>169</v>
      </c>
      <c r="U3043" t="s">
        <v>137</v>
      </c>
      <c r="V3043" t="s">
        <v>348</v>
      </c>
      <c r="W3043"/>
      <c r="X3043" t="s">
        <v>116</v>
      </c>
      <c r="Y3043"/>
      <c r="Z3043"/>
      <c r="AA3043" t="s">
        <v>292</v>
      </c>
      <c r="AB3043" t="s">
        <v>1</v>
      </c>
      <c r="AC3043" t="s">
        <v>138</v>
      </c>
      <c r="AD3043" t="s">
        <v>130</v>
      </c>
      <c r="AE3043" s="97"/>
    </row>
    <row r="3044" spans="1:31" ht="14.4" customHeight="1" x14ac:dyDescent="0.3">
      <c r="A3044" t="s">
        <v>5634</v>
      </c>
      <c r="B3044" t="s">
        <v>1041</v>
      </c>
      <c r="C3044"/>
      <c r="D3044"/>
      <c r="E3044"/>
      <c r="F3044"/>
      <c r="G3044" t="s">
        <v>5356</v>
      </c>
      <c r="H3044" t="s">
        <v>132</v>
      </c>
      <c r="I3044" t="s">
        <v>1</v>
      </c>
      <c r="J3044" t="s">
        <v>5298</v>
      </c>
      <c r="K3044" t="s">
        <v>51</v>
      </c>
      <c r="L3044" t="s">
        <v>1042</v>
      </c>
      <c r="M3044" t="s">
        <v>134</v>
      </c>
      <c r="N3044" t="s">
        <v>135</v>
      </c>
      <c r="O3044"/>
      <c r="P3044"/>
      <c r="Q3044" t="s">
        <v>168</v>
      </c>
      <c r="R3044"/>
      <c r="S3044"/>
      <c r="T3044" t="s">
        <v>169</v>
      </c>
      <c r="U3044" t="s">
        <v>137</v>
      </c>
      <c r="V3044" t="s">
        <v>352</v>
      </c>
      <c r="W3044" s="9">
        <v>46192.189323530096</v>
      </c>
      <c r="X3044" t="s">
        <v>56</v>
      </c>
      <c r="Y3044"/>
      <c r="Z3044"/>
      <c r="AA3044" t="s">
        <v>292</v>
      </c>
      <c r="AB3044" t="s">
        <v>1</v>
      </c>
      <c r="AC3044" t="s">
        <v>24</v>
      </c>
      <c r="AD3044" t="s">
        <v>128</v>
      </c>
      <c r="AE3044" s="97"/>
    </row>
    <row r="3045" spans="1:31" ht="14.4" customHeight="1" x14ac:dyDescent="0.3">
      <c r="A3045" t="s">
        <v>5635</v>
      </c>
      <c r="B3045" t="s">
        <v>1044</v>
      </c>
      <c r="C3045"/>
      <c r="D3045"/>
      <c r="E3045"/>
      <c r="F3045"/>
      <c r="G3045" t="s">
        <v>5356</v>
      </c>
      <c r="H3045" t="s">
        <v>132</v>
      </c>
      <c r="I3045" t="s">
        <v>1</v>
      </c>
      <c r="J3045" t="s">
        <v>5298</v>
      </c>
      <c r="K3045" t="s">
        <v>51</v>
      </c>
      <c r="L3045" t="s">
        <v>1045</v>
      </c>
      <c r="M3045" t="s">
        <v>134</v>
      </c>
      <c r="N3045" t="s">
        <v>135</v>
      </c>
      <c r="O3045"/>
      <c r="P3045"/>
      <c r="Q3045" t="s">
        <v>168</v>
      </c>
      <c r="R3045"/>
      <c r="S3045"/>
      <c r="T3045" t="s">
        <v>169</v>
      </c>
      <c r="U3045" t="s">
        <v>137</v>
      </c>
      <c r="V3045" t="s">
        <v>352</v>
      </c>
      <c r="W3045" s="9">
        <v>46192.189248229166</v>
      </c>
      <c r="X3045" t="s">
        <v>56</v>
      </c>
      <c r="Y3045"/>
      <c r="Z3045"/>
      <c r="AA3045" t="s">
        <v>292</v>
      </c>
      <c r="AB3045" t="s">
        <v>1</v>
      </c>
      <c r="AC3045" t="s">
        <v>24</v>
      </c>
      <c r="AD3045" t="s">
        <v>128</v>
      </c>
      <c r="AE3045" s="97"/>
    </row>
    <row r="3046" spans="1:31" ht="14.4" customHeight="1" x14ac:dyDescent="0.3">
      <c r="A3046" t="s">
        <v>5636</v>
      </c>
      <c r="B3046" t="s">
        <v>1047</v>
      </c>
      <c r="C3046"/>
      <c r="D3046"/>
      <c r="E3046"/>
      <c r="F3046"/>
      <c r="G3046" t="s">
        <v>5356</v>
      </c>
      <c r="H3046" t="s">
        <v>132</v>
      </c>
      <c r="I3046" t="s">
        <v>1</v>
      </c>
      <c r="J3046" t="s">
        <v>5298</v>
      </c>
      <c r="K3046" t="s">
        <v>51</v>
      </c>
      <c r="L3046" t="s">
        <v>351</v>
      </c>
      <c r="M3046" t="s">
        <v>134</v>
      </c>
      <c r="N3046" t="s">
        <v>135</v>
      </c>
      <c r="O3046"/>
      <c r="P3046"/>
      <c r="Q3046" t="s">
        <v>168</v>
      </c>
      <c r="R3046"/>
      <c r="S3046"/>
      <c r="T3046" t="s">
        <v>169</v>
      </c>
      <c r="U3046" t="s">
        <v>137</v>
      </c>
      <c r="V3046" t="s">
        <v>352</v>
      </c>
      <c r="W3046" s="9">
        <v>46192.179007025465</v>
      </c>
      <c r="X3046" t="s">
        <v>56</v>
      </c>
      <c r="Y3046"/>
      <c r="Z3046"/>
      <c r="AA3046" t="s">
        <v>292</v>
      </c>
      <c r="AB3046" t="s">
        <v>1</v>
      </c>
      <c r="AC3046" t="s">
        <v>24</v>
      </c>
      <c r="AD3046" t="s">
        <v>128</v>
      </c>
      <c r="AE3046" s="97"/>
    </row>
    <row r="3047" spans="1:31" ht="14.4" customHeight="1" x14ac:dyDescent="0.3">
      <c r="A3047" t="s">
        <v>5637</v>
      </c>
      <c r="B3047" t="s">
        <v>1049</v>
      </c>
      <c r="C3047"/>
      <c r="D3047"/>
      <c r="E3047"/>
      <c r="F3047"/>
      <c r="G3047" t="s">
        <v>5356</v>
      </c>
      <c r="H3047" t="s">
        <v>132</v>
      </c>
      <c r="I3047" t="s">
        <v>1</v>
      </c>
      <c r="J3047" t="s">
        <v>5298</v>
      </c>
      <c r="K3047" t="s">
        <v>51</v>
      </c>
      <c r="L3047" t="s">
        <v>351</v>
      </c>
      <c r="M3047" t="s">
        <v>134</v>
      </c>
      <c r="N3047" t="s">
        <v>135</v>
      </c>
      <c r="O3047"/>
      <c r="P3047"/>
      <c r="Q3047" t="s">
        <v>168</v>
      </c>
      <c r="R3047"/>
      <c r="S3047"/>
      <c r="T3047" t="s">
        <v>169</v>
      </c>
      <c r="U3047" t="s">
        <v>137</v>
      </c>
      <c r="V3047" t="s">
        <v>352</v>
      </c>
      <c r="W3047" s="9">
        <v>46192.180446874998</v>
      </c>
      <c r="X3047" t="s">
        <v>56</v>
      </c>
      <c r="Y3047"/>
      <c r="Z3047"/>
      <c r="AA3047" t="s">
        <v>292</v>
      </c>
      <c r="AB3047" t="s">
        <v>1</v>
      </c>
      <c r="AC3047" t="s">
        <v>24</v>
      </c>
      <c r="AD3047" t="s">
        <v>128</v>
      </c>
      <c r="AE3047" s="97"/>
    </row>
    <row r="3048" spans="1:31" ht="14.4" customHeight="1" x14ac:dyDescent="0.3">
      <c r="A3048" t="s">
        <v>5638</v>
      </c>
      <c r="B3048" t="s">
        <v>1051</v>
      </c>
      <c r="C3048"/>
      <c r="D3048"/>
      <c r="E3048"/>
      <c r="F3048"/>
      <c r="G3048" t="s">
        <v>5356</v>
      </c>
      <c r="H3048" t="s">
        <v>132</v>
      </c>
      <c r="I3048" t="s">
        <v>1</v>
      </c>
      <c r="J3048" t="s">
        <v>5298</v>
      </c>
      <c r="K3048" t="s">
        <v>51</v>
      </c>
      <c r="L3048" t="s">
        <v>351</v>
      </c>
      <c r="M3048" t="s">
        <v>134</v>
      </c>
      <c r="N3048" t="s">
        <v>135</v>
      </c>
      <c r="O3048"/>
      <c r="P3048"/>
      <c r="Q3048" t="s">
        <v>168</v>
      </c>
      <c r="R3048"/>
      <c r="S3048"/>
      <c r="T3048" t="s">
        <v>169</v>
      </c>
      <c r="U3048" t="s">
        <v>137</v>
      </c>
      <c r="V3048" t="s">
        <v>352</v>
      </c>
      <c r="W3048" s="9">
        <v>46192.180745254627</v>
      </c>
      <c r="X3048" t="s">
        <v>56</v>
      </c>
      <c r="Y3048"/>
      <c r="Z3048"/>
      <c r="AA3048" t="s">
        <v>292</v>
      </c>
      <c r="AB3048" t="s">
        <v>1</v>
      </c>
      <c r="AC3048" t="s">
        <v>24</v>
      </c>
      <c r="AD3048" t="s">
        <v>128</v>
      </c>
      <c r="AE3048" s="97"/>
    </row>
    <row r="3049" spans="1:31" ht="14.4" customHeight="1" x14ac:dyDescent="0.3">
      <c r="A3049" t="s">
        <v>5639</v>
      </c>
      <c r="B3049" t="s">
        <v>1053</v>
      </c>
      <c r="C3049"/>
      <c r="D3049"/>
      <c r="E3049"/>
      <c r="F3049"/>
      <c r="G3049" t="s">
        <v>5356</v>
      </c>
      <c r="H3049" t="s">
        <v>132</v>
      </c>
      <c r="I3049" t="s">
        <v>1</v>
      </c>
      <c r="J3049" t="s">
        <v>5298</v>
      </c>
      <c r="K3049" t="s">
        <v>51</v>
      </c>
      <c r="L3049" t="s">
        <v>351</v>
      </c>
      <c r="M3049" t="s">
        <v>134</v>
      </c>
      <c r="N3049" t="s">
        <v>135</v>
      </c>
      <c r="O3049"/>
      <c r="P3049"/>
      <c r="Q3049" t="s">
        <v>168</v>
      </c>
      <c r="R3049"/>
      <c r="S3049"/>
      <c r="T3049" t="s">
        <v>169</v>
      </c>
      <c r="U3049" t="s">
        <v>137</v>
      </c>
      <c r="V3049" t="s">
        <v>352</v>
      </c>
      <c r="W3049" s="9">
        <v>46192.180826701391</v>
      </c>
      <c r="X3049" t="s">
        <v>56</v>
      </c>
      <c r="Y3049"/>
      <c r="Z3049"/>
      <c r="AA3049" t="s">
        <v>292</v>
      </c>
      <c r="AB3049" t="s">
        <v>1</v>
      </c>
      <c r="AC3049" t="s">
        <v>24</v>
      </c>
      <c r="AD3049" t="s">
        <v>128</v>
      </c>
      <c r="AE3049" s="97"/>
    </row>
    <row r="3050" spans="1:31" ht="14.4" customHeight="1" x14ac:dyDescent="0.3">
      <c r="A3050" t="s">
        <v>5640</v>
      </c>
      <c r="B3050" t="s">
        <v>1055</v>
      </c>
      <c r="C3050"/>
      <c r="D3050"/>
      <c r="E3050"/>
      <c r="F3050"/>
      <c r="G3050" t="s">
        <v>5356</v>
      </c>
      <c r="H3050" t="s">
        <v>132</v>
      </c>
      <c r="I3050" t="s">
        <v>1</v>
      </c>
      <c r="J3050" t="s">
        <v>5298</v>
      </c>
      <c r="K3050" t="s">
        <v>51</v>
      </c>
      <c r="L3050" t="s">
        <v>351</v>
      </c>
      <c r="M3050" t="s">
        <v>134</v>
      </c>
      <c r="N3050" t="s">
        <v>135</v>
      </c>
      <c r="O3050"/>
      <c r="P3050"/>
      <c r="Q3050" t="s">
        <v>168</v>
      </c>
      <c r="R3050"/>
      <c r="S3050"/>
      <c r="T3050" t="s">
        <v>169</v>
      </c>
      <c r="U3050" t="s">
        <v>137</v>
      </c>
      <c r="V3050" t="s">
        <v>352</v>
      </c>
      <c r="W3050" s="9">
        <v>46192.18090806713</v>
      </c>
      <c r="X3050" t="s">
        <v>56</v>
      </c>
      <c r="Y3050"/>
      <c r="Z3050"/>
      <c r="AA3050" t="s">
        <v>292</v>
      </c>
      <c r="AB3050" t="s">
        <v>1</v>
      </c>
      <c r="AC3050" t="s">
        <v>24</v>
      </c>
      <c r="AD3050" t="s">
        <v>128</v>
      </c>
      <c r="AE3050" s="97"/>
    </row>
    <row r="3051" spans="1:31" ht="14.4" customHeight="1" x14ac:dyDescent="0.3">
      <c r="A3051" t="s">
        <v>5641</v>
      </c>
      <c r="B3051" t="s">
        <v>1057</v>
      </c>
      <c r="C3051"/>
      <c r="D3051"/>
      <c r="E3051"/>
      <c r="F3051"/>
      <c r="G3051" t="s">
        <v>5356</v>
      </c>
      <c r="H3051" t="s">
        <v>132</v>
      </c>
      <c r="I3051" t="s">
        <v>1</v>
      </c>
      <c r="J3051" t="s">
        <v>5298</v>
      </c>
      <c r="K3051" t="s">
        <v>51</v>
      </c>
      <c r="L3051" t="s">
        <v>351</v>
      </c>
      <c r="M3051" t="s">
        <v>134</v>
      </c>
      <c r="N3051" t="s">
        <v>135</v>
      </c>
      <c r="O3051"/>
      <c r="P3051"/>
      <c r="Q3051" t="s">
        <v>168</v>
      </c>
      <c r="R3051"/>
      <c r="S3051"/>
      <c r="T3051" t="s">
        <v>169</v>
      </c>
      <c r="U3051" t="s">
        <v>137</v>
      </c>
      <c r="V3051" t="s">
        <v>352</v>
      </c>
      <c r="W3051" s="9">
        <v>46192.18097523148</v>
      </c>
      <c r="X3051" t="s">
        <v>56</v>
      </c>
      <c r="Y3051"/>
      <c r="Z3051"/>
      <c r="AA3051" t="s">
        <v>292</v>
      </c>
      <c r="AB3051" t="s">
        <v>1</v>
      </c>
      <c r="AC3051" t="s">
        <v>24</v>
      </c>
      <c r="AD3051" t="s">
        <v>128</v>
      </c>
      <c r="AE3051" s="97"/>
    </row>
    <row r="3052" spans="1:31" ht="14.4" customHeight="1" x14ac:dyDescent="0.3">
      <c r="A3052" t="s">
        <v>5642</v>
      </c>
      <c r="B3052" t="s">
        <v>1059</v>
      </c>
      <c r="C3052"/>
      <c r="D3052"/>
      <c r="E3052"/>
      <c r="F3052"/>
      <c r="G3052" t="s">
        <v>5356</v>
      </c>
      <c r="H3052" t="s">
        <v>132</v>
      </c>
      <c r="I3052" t="s">
        <v>1</v>
      </c>
      <c r="J3052" t="s">
        <v>5298</v>
      </c>
      <c r="K3052" t="s">
        <v>51</v>
      </c>
      <c r="L3052" t="s">
        <v>351</v>
      </c>
      <c r="M3052" t="s">
        <v>134</v>
      </c>
      <c r="N3052" t="s">
        <v>135</v>
      </c>
      <c r="O3052"/>
      <c r="P3052"/>
      <c r="Q3052" t="s">
        <v>168</v>
      </c>
      <c r="R3052"/>
      <c r="S3052"/>
      <c r="T3052" t="s">
        <v>169</v>
      </c>
      <c r="U3052" t="s">
        <v>137</v>
      </c>
      <c r="V3052" t="s">
        <v>352</v>
      </c>
      <c r="W3052" s="9">
        <v>46192.181084953707</v>
      </c>
      <c r="X3052" t="s">
        <v>56</v>
      </c>
      <c r="Y3052"/>
      <c r="Z3052"/>
      <c r="AA3052" t="s">
        <v>292</v>
      </c>
      <c r="AB3052" t="s">
        <v>1</v>
      </c>
      <c r="AC3052" t="s">
        <v>24</v>
      </c>
      <c r="AD3052" t="s">
        <v>128</v>
      </c>
      <c r="AE3052" s="97"/>
    </row>
    <row r="3053" spans="1:31" ht="14.4" customHeight="1" x14ac:dyDescent="0.3">
      <c r="A3053" t="s">
        <v>5643</v>
      </c>
      <c r="B3053" t="s">
        <v>1061</v>
      </c>
      <c r="C3053"/>
      <c r="D3053"/>
      <c r="E3053"/>
      <c r="F3053"/>
      <c r="G3053" t="s">
        <v>5356</v>
      </c>
      <c r="H3053" t="s">
        <v>132</v>
      </c>
      <c r="I3053" t="s">
        <v>1</v>
      </c>
      <c r="J3053" t="s">
        <v>5298</v>
      </c>
      <c r="K3053" t="s">
        <v>51</v>
      </c>
      <c r="L3053" t="s">
        <v>351</v>
      </c>
      <c r="M3053" t="s">
        <v>134</v>
      </c>
      <c r="N3053" t="s">
        <v>135</v>
      </c>
      <c r="O3053"/>
      <c r="P3053"/>
      <c r="Q3053" t="s">
        <v>168</v>
      </c>
      <c r="R3053"/>
      <c r="S3053"/>
      <c r="T3053" t="s">
        <v>169</v>
      </c>
      <c r="U3053" t="s">
        <v>137</v>
      </c>
      <c r="V3053" t="s">
        <v>352</v>
      </c>
      <c r="W3053" s="9">
        <v>46192.18053179398</v>
      </c>
      <c r="X3053" t="s">
        <v>56</v>
      </c>
      <c r="Y3053"/>
      <c r="Z3053"/>
      <c r="AA3053" t="s">
        <v>292</v>
      </c>
      <c r="AB3053" t="s">
        <v>1</v>
      </c>
      <c r="AC3053" t="s">
        <v>24</v>
      </c>
      <c r="AD3053" t="s">
        <v>128</v>
      </c>
      <c r="AE3053" s="97"/>
    </row>
    <row r="3054" spans="1:31" ht="14.4" customHeight="1" x14ac:dyDescent="0.3">
      <c r="A3054" t="s">
        <v>5644</v>
      </c>
      <c r="B3054" t="s">
        <v>1063</v>
      </c>
      <c r="C3054"/>
      <c r="D3054"/>
      <c r="E3054"/>
      <c r="F3054"/>
      <c r="G3054" t="s">
        <v>5356</v>
      </c>
      <c r="H3054" t="s">
        <v>132</v>
      </c>
      <c r="I3054" t="s">
        <v>1</v>
      </c>
      <c r="J3054" t="s">
        <v>5298</v>
      </c>
      <c r="K3054" t="s">
        <v>51</v>
      </c>
      <c r="L3054" t="s">
        <v>1064</v>
      </c>
      <c r="M3054" t="s">
        <v>134</v>
      </c>
      <c r="N3054" t="s">
        <v>135</v>
      </c>
      <c r="O3054"/>
      <c r="P3054"/>
      <c r="Q3054" t="s">
        <v>168</v>
      </c>
      <c r="R3054"/>
      <c r="S3054"/>
      <c r="T3054" t="s">
        <v>169</v>
      </c>
      <c r="U3054" t="s">
        <v>137</v>
      </c>
      <c r="V3054" t="s">
        <v>403</v>
      </c>
      <c r="W3054" s="9">
        <v>46192.201858715278</v>
      </c>
      <c r="X3054" t="s">
        <v>68</v>
      </c>
      <c r="Y3054"/>
      <c r="Z3054"/>
      <c r="AA3054" t="s">
        <v>292</v>
      </c>
      <c r="AB3054" t="s">
        <v>1</v>
      </c>
      <c r="AC3054" t="s">
        <v>24</v>
      </c>
      <c r="AD3054" t="s">
        <v>128</v>
      </c>
      <c r="AE3054" s="97"/>
    </row>
    <row r="3055" spans="1:31" ht="14.4" customHeight="1" x14ac:dyDescent="0.3">
      <c r="A3055" t="s">
        <v>5645</v>
      </c>
      <c r="B3055" t="s">
        <v>1066</v>
      </c>
      <c r="C3055"/>
      <c r="D3055"/>
      <c r="E3055"/>
      <c r="F3055"/>
      <c r="G3055" t="s">
        <v>5356</v>
      </c>
      <c r="H3055" t="s">
        <v>132</v>
      </c>
      <c r="I3055" t="s">
        <v>1</v>
      </c>
      <c r="J3055" t="s">
        <v>5298</v>
      </c>
      <c r="K3055" t="s">
        <v>51</v>
      </c>
      <c r="L3055" t="s">
        <v>1067</v>
      </c>
      <c r="M3055" t="s">
        <v>134</v>
      </c>
      <c r="N3055" t="s">
        <v>135</v>
      </c>
      <c r="O3055"/>
      <c r="P3055"/>
      <c r="Q3055" t="s">
        <v>168</v>
      </c>
      <c r="R3055"/>
      <c r="S3055"/>
      <c r="T3055" t="s">
        <v>169</v>
      </c>
      <c r="U3055" t="s">
        <v>137</v>
      </c>
      <c r="V3055" t="s">
        <v>407</v>
      </c>
      <c r="W3055" s="9">
        <v>46192.201907025461</v>
      </c>
      <c r="X3055" t="s">
        <v>77</v>
      </c>
      <c r="Y3055"/>
      <c r="Z3055"/>
      <c r="AA3055" t="s">
        <v>292</v>
      </c>
      <c r="AB3055" t="s">
        <v>1</v>
      </c>
      <c r="AC3055" t="s">
        <v>24</v>
      </c>
      <c r="AD3055" t="s">
        <v>128</v>
      </c>
      <c r="AE3055" s="97"/>
    </row>
    <row r="3056" spans="1:31" ht="14.4" customHeight="1" x14ac:dyDescent="0.3">
      <c r="A3056" t="s">
        <v>5646</v>
      </c>
      <c r="B3056" t="s">
        <v>1069</v>
      </c>
      <c r="C3056"/>
      <c r="D3056"/>
      <c r="E3056"/>
      <c r="F3056"/>
      <c r="G3056" t="s">
        <v>5356</v>
      </c>
      <c r="H3056" t="s">
        <v>132</v>
      </c>
      <c r="I3056" t="s">
        <v>1</v>
      </c>
      <c r="J3056" t="s">
        <v>5298</v>
      </c>
      <c r="K3056" t="s">
        <v>51</v>
      </c>
      <c r="L3056" t="s">
        <v>1070</v>
      </c>
      <c r="M3056" t="s">
        <v>134</v>
      </c>
      <c r="N3056" t="s">
        <v>135</v>
      </c>
      <c r="O3056"/>
      <c r="P3056"/>
      <c r="Q3056" t="s">
        <v>168</v>
      </c>
      <c r="R3056"/>
      <c r="S3056"/>
      <c r="T3056" t="s">
        <v>169</v>
      </c>
      <c r="U3056" t="s">
        <v>137</v>
      </c>
      <c r="V3056" t="s">
        <v>411</v>
      </c>
      <c r="W3056"/>
      <c r="X3056" t="s">
        <v>87</v>
      </c>
      <c r="Y3056"/>
      <c r="Z3056"/>
      <c r="AA3056" t="s">
        <v>292</v>
      </c>
      <c r="AB3056" t="s">
        <v>1</v>
      </c>
      <c r="AC3056" t="s">
        <v>138</v>
      </c>
      <c r="AD3056" t="s">
        <v>129</v>
      </c>
      <c r="AE3056" s="97"/>
    </row>
    <row r="3057" spans="1:31" ht="14.4" customHeight="1" x14ac:dyDescent="0.3">
      <c r="A3057" t="s">
        <v>5647</v>
      </c>
      <c r="B3057" t="s">
        <v>1072</v>
      </c>
      <c r="C3057"/>
      <c r="D3057"/>
      <c r="E3057"/>
      <c r="F3057"/>
      <c r="G3057" t="s">
        <v>5356</v>
      </c>
      <c r="H3057" t="s">
        <v>132</v>
      </c>
      <c r="I3057" t="s">
        <v>1</v>
      </c>
      <c r="J3057" t="s">
        <v>5298</v>
      </c>
      <c r="K3057" t="s">
        <v>51</v>
      </c>
      <c r="L3057" t="s">
        <v>1073</v>
      </c>
      <c r="M3057" t="s">
        <v>134</v>
      </c>
      <c r="N3057" t="s">
        <v>135</v>
      </c>
      <c r="O3057"/>
      <c r="P3057"/>
      <c r="Q3057" t="s">
        <v>168</v>
      </c>
      <c r="R3057"/>
      <c r="S3057"/>
      <c r="T3057" t="s">
        <v>169</v>
      </c>
      <c r="U3057" t="s">
        <v>137</v>
      </c>
      <c r="V3057" t="s">
        <v>415</v>
      </c>
      <c r="W3057" s="9">
        <v>46192.201716782409</v>
      </c>
      <c r="X3057" t="s">
        <v>96</v>
      </c>
      <c r="Y3057"/>
      <c r="Z3057"/>
      <c r="AA3057" t="s">
        <v>292</v>
      </c>
      <c r="AB3057" t="s">
        <v>1</v>
      </c>
      <c r="AC3057" t="s">
        <v>24</v>
      </c>
      <c r="AD3057" t="s">
        <v>129</v>
      </c>
      <c r="AE3057" s="97"/>
    </row>
    <row r="3058" spans="1:31" ht="14.4" customHeight="1" x14ac:dyDescent="0.3">
      <c r="A3058" t="s">
        <v>5648</v>
      </c>
      <c r="B3058" t="s">
        <v>1075</v>
      </c>
      <c r="C3058"/>
      <c r="D3058"/>
      <c r="E3058"/>
      <c r="F3058"/>
      <c r="G3058" t="s">
        <v>5356</v>
      </c>
      <c r="H3058" t="s">
        <v>132</v>
      </c>
      <c r="I3058" t="s">
        <v>1</v>
      </c>
      <c r="J3058" t="s">
        <v>5298</v>
      </c>
      <c r="K3058" t="s">
        <v>51</v>
      </c>
      <c r="L3058" t="s">
        <v>1076</v>
      </c>
      <c r="M3058" t="s">
        <v>134</v>
      </c>
      <c r="N3058" t="s">
        <v>135</v>
      </c>
      <c r="O3058"/>
      <c r="P3058"/>
      <c r="Q3058" t="s">
        <v>168</v>
      </c>
      <c r="R3058"/>
      <c r="S3058"/>
      <c r="T3058" t="s">
        <v>169</v>
      </c>
      <c r="U3058" t="s">
        <v>137</v>
      </c>
      <c r="V3058" t="s">
        <v>419</v>
      </c>
      <c r="W3058"/>
      <c r="X3058" t="s">
        <v>105</v>
      </c>
      <c r="Y3058"/>
      <c r="Z3058"/>
      <c r="AA3058" t="s">
        <v>292</v>
      </c>
      <c r="AB3058" t="s">
        <v>1</v>
      </c>
      <c r="AC3058" t="s">
        <v>138</v>
      </c>
      <c r="AD3058" t="s">
        <v>129</v>
      </c>
      <c r="AE3058" s="97"/>
    </row>
    <row r="3059" spans="1:31" ht="14.4" customHeight="1" x14ac:dyDescent="0.3">
      <c r="A3059" t="s">
        <v>5649</v>
      </c>
      <c r="B3059" t="s">
        <v>1078</v>
      </c>
      <c r="C3059"/>
      <c r="D3059"/>
      <c r="E3059"/>
      <c r="F3059"/>
      <c r="G3059" t="s">
        <v>5356</v>
      </c>
      <c r="H3059" t="s">
        <v>132</v>
      </c>
      <c r="I3059" t="s">
        <v>1</v>
      </c>
      <c r="J3059" t="s">
        <v>5298</v>
      </c>
      <c r="K3059" t="s">
        <v>51</v>
      </c>
      <c r="L3059" t="s">
        <v>1079</v>
      </c>
      <c r="M3059" t="s">
        <v>134</v>
      </c>
      <c r="N3059" t="s">
        <v>135</v>
      </c>
      <c r="O3059"/>
      <c r="P3059"/>
      <c r="Q3059" t="s">
        <v>168</v>
      </c>
      <c r="R3059"/>
      <c r="S3059"/>
      <c r="T3059" t="s">
        <v>169</v>
      </c>
      <c r="U3059" t="s">
        <v>137</v>
      </c>
      <c r="V3059" t="s">
        <v>423</v>
      </c>
      <c r="W3059"/>
      <c r="X3059" t="s">
        <v>112</v>
      </c>
      <c r="Y3059"/>
      <c r="Z3059"/>
      <c r="AA3059" t="s">
        <v>292</v>
      </c>
      <c r="AB3059" t="s">
        <v>1</v>
      </c>
      <c r="AC3059" t="s">
        <v>138</v>
      </c>
      <c r="AD3059" t="s">
        <v>129</v>
      </c>
      <c r="AE3059" s="97"/>
    </row>
    <row r="3060" spans="1:31" ht="14.4" customHeight="1" x14ac:dyDescent="0.3">
      <c r="A3060" t="s">
        <v>5650</v>
      </c>
      <c r="B3060" t="s">
        <v>1081</v>
      </c>
      <c r="C3060"/>
      <c r="D3060"/>
      <c r="E3060"/>
      <c r="F3060"/>
      <c r="G3060" t="s">
        <v>5356</v>
      </c>
      <c r="H3060" t="s">
        <v>132</v>
      </c>
      <c r="I3060" t="s">
        <v>1</v>
      </c>
      <c r="J3060" t="s">
        <v>5298</v>
      </c>
      <c r="K3060" t="s">
        <v>51</v>
      </c>
      <c r="L3060" t="s">
        <v>1082</v>
      </c>
      <c r="M3060" t="s">
        <v>134</v>
      </c>
      <c r="N3060" t="s">
        <v>135</v>
      </c>
      <c r="O3060"/>
      <c r="P3060"/>
      <c r="Q3060" t="s">
        <v>168</v>
      </c>
      <c r="R3060"/>
      <c r="S3060"/>
      <c r="T3060" t="s">
        <v>169</v>
      </c>
      <c r="U3060" t="s">
        <v>137</v>
      </c>
      <c r="V3060" t="s">
        <v>427</v>
      </c>
      <c r="W3060"/>
      <c r="X3060" t="s">
        <v>121</v>
      </c>
      <c r="Y3060"/>
      <c r="Z3060"/>
      <c r="AA3060" t="s">
        <v>292</v>
      </c>
      <c r="AB3060" t="s">
        <v>1</v>
      </c>
      <c r="AC3060" t="s">
        <v>138</v>
      </c>
      <c r="AD3060" t="s">
        <v>130</v>
      </c>
      <c r="AE3060" s="97"/>
    </row>
    <row r="3061" spans="1:31" ht="14.4" customHeight="1" x14ac:dyDescent="0.3">
      <c r="A3061" t="s">
        <v>5651</v>
      </c>
      <c r="B3061" t="s">
        <v>1084</v>
      </c>
      <c r="C3061"/>
      <c r="D3061"/>
      <c r="E3061"/>
      <c r="F3061"/>
      <c r="G3061" t="s">
        <v>5356</v>
      </c>
      <c r="H3061" t="s">
        <v>132</v>
      </c>
      <c r="I3061" t="s">
        <v>1</v>
      </c>
      <c r="J3061" t="s">
        <v>5298</v>
      </c>
      <c r="K3061" t="s">
        <v>51</v>
      </c>
      <c r="L3061" t="s">
        <v>295</v>
      </c>
      <c r="M3061" t="s">
        <v>134</v>
      </c>
      <c r="N3061" t="s">
        <v>135</v>
      </c>
      <c r="O3061"/>
      <c r="P3061"/>
      <c r="Q3061" t="s">
        <v>168</v>
      </c>
      <c r="R3061"/>
      <c r="S3061"/>
      <c r="T3061" t="s">
        <v>169</v>
      </c>
      <c r="U3061" t="s">
        <v>137</v>
      </c>
      <c r="V3061" t="s">
        <v>296</v>
      </c>
      <c r="W3061" s="9">
        <v>46192.357442939814</v>
      </c>
      <c r="X3061" t="s">
        <v>63</v>
      </c>
      <c r="Y3061"/>
      <c r="Z3061"/>
      <c r="AA3061" t="s">
        <v>292</v>
      </c>
      <c r="AB3061" t="s">
        <v>1</v>
      </c>
      <c r="AC3061" t="s">
        <v>24</v>
      </c>
      <c r="AD3061" t="s">
        <v>128</v>
      </c>
      <c r="AE3061" s="97"/>
    </row>
    <row r="3062" spans="1:31" ht="14.4" customHeight="1" x14ac:dyDescent="0.3">
      <c r="A3062" t="s">
        <v>5652</v>
      </c>
      <c r="B3062" t="s">
        <v>1086</v>
      </c>
      <c r="C3062"/>
      <c r="D3062"/>
      <c r="E3062"/>
      <c r="F3062"/>
      <c r="G3062" t="s">
        <v>5356</v>
      </c>
      <c r="H3062" t="s">
        <v>132</v>
      </c>
      <c r="I3062" t="s">
        <v>1</v>
      </c>
      <c r="J3062" t="s">
        <v>5298</v>
      </c>
      <c r="K3062" t="s">
        <v>51</v>
      </c>
      <c r="L3062" t="s">
        <v>1087</v>
      </c>
      <c r="M3062" t="s">
        <v>134</v>
      </c>
      <c r="N3062" t="s">
        <v>135</v>
      </c>
      <c r="O3062"/>
      <c r="P3062"/>
      <c r="Q3062" t="s">
        <v>168</v>
      </c>
      <c r="R3062"/>
      <c r="S3062"/>
      <c r="T3062" t="s">
        <v>169</v>
      </c>
      <c r="U3062" t="s">
        <v>137</v>
      </c>
      <c r="V3062" t="s">
        <v>296</v>
      </c>
      <c r="W3062" s="9">
        <v>46192.35511704861</v>
      </c>
      <c r="X3062" t="s">
        <v>63</v>
      </c>
      <c r="Y3062"/>
      <c r="Z3062"/>
      <c r="AA3062" t="s">
        <v>292</v>
      </c>
      <c r="AB3062" t="s">
        <v>1</v>
      </c>
      <c r="AC3062" t="s">
        <v>24</v>
      </c>
      <c r="AD3062" t="s">
        <v>128</v>
      </c>
      <c r="AE3062" s="97"/>
    </row>
    <row r="3063" spans="1:31" ht="14.4" customHeight="1" x14ac:dyDescent="0.3">
      <c r="A3063" t="s">
        <v>5653</v>
      </c>
      <c r="B3063" t="s">
        <v>1089</v>
      </c>
      <c r="C3063"/>
      <c r="D3063"/>
      <c r="E3063"/>
      <c r="F3063"/>
      <c r="G3063" t="s">
        <v>5356</v>
      </c>
      <c r="H3063" t="s">
        <v>132</v>
      </c>
      <c r="I3063" t="s">
        <v>1</v>
      </c>
      <c r="J3063" t="s">
        <v>5298</v>
      </c>
      <c r="K3063" t="s">
        <v>51</v>
      </c>
      <c r="L3063" t="s">
        <v>1090</v>
      </c>
      <c r="M3063" t="s">
        <v>134</v>
      </c>
      <c r="N3063" t="s">
        <v>135</v>
      </c>
      <c r="O3063"/>
      <c r="P3063"/>
      <c r="Q3063" t="s">
        <v>168</v>
      </c>
      <c r="R3063"/>
      <c r="S3063"/>
      <c r="T3063" t="s">
        <v>169</v>
      </c>
      <c r="U3063" t="s">
        <v>137</v>
      </c>
      <c r="V3063" t="s">
        <v>296</v>
      </c>
      <c r="W3063" s="9">
        <v>46192.355198067133</v>
      </c>
      <c r="X3063" t="s">
        <v>63</v>
      </c>
      <c r="Y3063"/>
      <c r="Z3063"/>
      <c r="AA3063" t="s">
        <v>292</v>
      </c>
      <c r="AB3063" t="s">
        <v>1</v>
      </c>
      <c r="AC3063" t="s">
        <v>24</v>
      </c>
      <c r="AD3063" t="s">
        <v>128</v>
      </c>
      <c r="AE3063" s="97"/>
    </row>
    <row r="3064" spans="1:31" ht="14.4" customHeight="1" x14ac:dyDescent="0.3">
      <c r="A3064" t="s">
        <v>5654</v>
      </c>
      <c r="B3064" t="s">
        <v>1092</v>
      </c>
      <c r="C3064"/>
      <c r="D3064"/>
      <c r="E3064"/>
      <c r="F3064"/>
      <c r="G3064" t="s">
        <v>5356</v>
      </c>
      <c r="H3064" t="s">
        <v>132</v>
      </c>
      <c r="I3064" t="s">
        <v>1</v>
      </c>
      <c r="J3064" t="s">
        <v>5298</v>
      </c>
      <c r="K3064" t="s">
        <v>51</v>
      </c>
      <c r="L3064" t="s">
        <v>299</v>
      </c>
      <c r="M3064" t="s">
        <v>134</v>
      </c>
      <c r="N3064" t="s">
        <v>135</v>
      </c>
      <c r="O3064"/>
      <c r="P3064"/>
      <c r="Q3064" t="s">
        <v>168</v>
      </c>
      <c r="R3064"/>
      <c r="S3064"/>
      <c r="T3064" t="s">
        <v>169</v>
      </c>
      <c r="U3064" t="s">
        <v>137</v>
      </c>
      <c r="V3064" t="s">
        <v>300</v>
      </c>
      <c r="W3064" s="9">
        <v>46192.357493171294</v>
      </c>
      <c r="X3064" t="s">
        <v>72</v>
      </c>
      <c r="Y3064"/>
      <c r="Z3064"/>
      <c r="AA3064" t="s">
        <v>292</v>
      </c>
      <c r="AB3064" t="s">
        <v>1</v>
      </c>
      <c r="AC3064" t="s">
        <v>24</v>
      </c>
      <c r="AD3064" t="s">
        <v>128</v>
      </c>
      <c r="AE3064" s="97"/>
    </row>
    <row r="3065" spans="1:31" ht="14.4" customHeight="1" x14ac:dyDescent="0.3">
      <c r="A3065" t="s">
        <v>5655</v>
      </c>
      <c r="B3065" t="s">
        <v>1094</v>
      </c>
      <c r="C3065"/>
      <c r="D3065"/>
      <c r="E3065"/>
      <c r="F3065"/>
      <c r="G3065" t="s">
        <v>5356</v>
      </c>
      <c r="H3065" t="s">
        <v>132</v>
      </c>
      <c r="I3065" t="s">
        <v>1</v>
      </c>
      <c r="J3065" t="s">
        <v>5298</v>
      </c>
      <c r="K3065" t="s">
        <v>51</v>
      </c>
      <c r="L3065" t="s">
        <v>1095</v>
      </c>
      <c r="M3065" t="s">
        <v>134</v>
      </c>
      <c r="N3065" t="s">
        <v>135</v>
      </c>
      <c r="O3065"/>
      <c r="P3065"/>
      <c r="Q3065" t="s">
        <v>168</v>
      </c>
      <c r="R3065"/>
      <c r="S3065"/>
      <c r="T3065" t="s">
        <v>169</v>
      </c>
      <c r="U3065" t="s">
        <v>137</v>
      </c>
      <c r="V3065" t="s">
        <v>300</v>
      </c>
      <c r="W3065" s="9">
        <v>46192.354779513887</v>
      </c>
      <c r="X3065" t="s">
        <v>72</v>
      </c>
      <c r="Y3065"/>
      <c r="Z3065"/>
      <c r="AA3065" t="s">
        <v>292</v>
      </c>
      <c r="AB3065" t="s">
        <v>1</v>
      </c>
      <c r="AC3065" t="s">
        <v>24</v>
      </c>
      <c r="AD3065" t="s">
        <v>128</v>
      </c>
      <c r="AE3065" s="97"/>
    </row>
    <row r="3066" spans="1:31" ht="14.4" customHeight="1" x14ac:dyDescent="0.3">
      <c r="A3066" t="s">
        <v>5656</v>
      </c>
      <c r="B3066" t="s">
        <v>1097</v>
      </c>
      <c r="C3066"/>
      <c r="D3066"/>
      <c r="E3066"/>
      <c r="F3066"/>
      <c r="G3066" t="s">
        <v>5356</v>
      </c>
      <c r="H3066" t="s">
        <v>132</v>
      </c>
      <c r="I3066" t="s">
        <v>1</v>
      </c>
      <c r="J3066" t="s">
        <v>5298</v>
      </c>
      <c r="K3066" t="s">
        <v>51</v>
      </c>
      <c r="L3066" t="s">
        <v>1098</v>
      </c>
      <c r="M3066" t="s">
        <v>134</v>
      </c>
      <c r="N3066" t="s">
        <v>135</v>
      </c>
      <c r="O3066"/>
      <c r="P3066"/>
      <c r="Q3066" t="s">
        <v>168</v>
      </c>
      <c r="R3066"/>
      <c r="S3066"/>
      <c r="T3066" t="s">
        <v>169</v>
      </c>
      <c r="U3066" t="s">
        <v>137</v>
      </c>
      <c r="V3066" t="s">
        <v>300</v>
      </c>
      <c r="W3066" s="9">
        <v>46192.355902858799</v>
      </c>
      <c r="X3066" t="s">
        <v>72</v>
      </c>
      <c r="Y3066"/>
      <c r="Z3066"/>
      <c r="AA3066" t="s">
        <v>292</v>
      </c>
      <c r="AB3066" t="s">
        <v>1</v>
      </c>
      <c r="AC3066" t="s">
        <v>24</v>
      </c>
      <c r="AD3066" t="s">
        <v>128</v>
      </c>
      <c r="AE3066" s="97"/>
    </row>
    <row r="3067" spans="1:31" ht="14.4" customHeight="1" x14ac:dyDescent="0.3">
      <c r="A3067" t="s">
        <v>5657</v>
      </c>
      <c r="B3067" t="s">
        <v>1100</v>
      </c>
      <c r="C3067"/>
      <c r="D3067"/>
      <c r="E3067"/>
      <c r="F3067"/>
      <c r="G3067" t="s">
        <v>5356</v>
      </c>
      <c r="H3067" t="s">
        <v>132</v>
      </c>
      <c r="I3067" t="s">
        <v>1</v>
      </c>
      <c r="J3067" t="s">
        <v>5298</v>
      </c>
      <c r="K3067" t="s">
        <v>51</v>
      </c>
      <c r="L3067" t="s">
        <v>303</v>
      </c>
      <c r="M3067" t="s">
        <v>134</v>
      </c>
      <c r="N3067" t="s">
        <v>135</v>
      </c>
      <c r="O3067"/>
      <c r="P3067"/>
      <c r="Q3067" t="s">
        <v>168</v>
      </c>
      <c r="R3067"/>
      <c r="S3067"/>
      <c r="T3067" t="s">
        <v>169</v>
      </c>
      <c r="U3067" t="s">
        <v>137</v>
      </c>
      <c r="V3067" t="s">
        <v>304</v>
      </c>
      <c r="W3067"/>
      <c r="X3067" t="s">
        <v>81</v>
      </c>
      <c r="Y3067"/>
      <c r="Z3067"/>
      <c r="AA3067" t="s">
        <v>292</v>
      </c>
      <c r="AB3067" t="s">
        <v>1</v>
      </c>
      <c r="AC3067" t="s">
        <v>138</v>
      </c>
      <c r="AD3067" t="s">
        <v>129</v>
      </c>
      <c r="AE3067" s="97"/>
    </row>
    <row r="3068" spans="1:31" ht="14.4" customHeight="1" x14ac:dyDescent="0.3">
      <c r="A3068" t="s">
        <v>5658</v>
      </c>
      <c r="B3068" t="s">
        <v>1102</v>
      </c>
      <c r="C3068"/>
      <c r="D3068"/>
      <c r="E3068"/>
      <c r="F3068"/>
      <c r="G3068" t="s">
        <v>5356</v>
      </c>
      <c r="H3068" t="s">
        <v>132</v>
      </c>
      <c r="I3068" t="s">
        <v>1</v>
      </c>
      <c r="J3068" t="s">
        <v>5298</v>
      </c>
      <c r="K3068" t="s">
        <v>51</v>
      </c>
      <c r="L3068" t="s">
        <v>1103</v>
      </c>
      <c r="M3068" t="s">
        <v>134</v>
      </c>
      <c r="N3068" t="s">
        <v>135</v>
      </c>
      <c r="O3068"/>
      <c r="P3068"/>
      <c r="Q3068" t="s">
        <v>168</v>
      </c>
      <c r="R3068"/>
      <c r="S3068"/>
      <c r="T3068" t="s">
        <v>169</v>
      </c>
      <c r="U3068" t="s">
        <v>137</v>
      </c>
      <c r="V3068" t="s">
        <v>304</v>
      </c>
      <c r="W3068"/>
      <c r="X3068" t="s">
        <v>81</v>
      </c>
      <c r="Y3068"/>
      <c r="Z3068"/>
      <c r="AA3068" t="s">
        <v>292</v>
      </c>
      <c r="AB3068" t="s">
        <v>1</v>
      </c>
      <c r="AC3068" t="s">
        <v>138</v>
      </c>
      <c r="AD3068" t="s">
        <v>129</v>
      </c>
      <c r="AE3068" s="97"/>
    </row>
    <row r="3069" spans="1:31" ht="14.4" customHeight="1" x14ac:dyDescent="0.3">
      <c r="A3069" t="s">
        <v>5659</v>
      </c>
      <c r="B3069" t="s">
        <v>1105</v>
      </c>
      <c r="C3069"/>
      <c r="D3069"/>
      <c r="E3069"/>
      <c r="F3069"/>
      <c r="G3069" t="s">
        <v>5356</v>
      </c>
      <c r="H3069" t="s">
        <v>132</v>
      </c>
      <c r="I3069" t="s">
        <v>1</v>
      </c>
      <c r="J3069" t="s">
        <v>5298</v>
      </c>
      <c r="K3069" t="s">
        <v>51</v>
      </c>
      <c r="L3069" t="s">
        <v>1106</v>
      </c>
      <c r="M3069" t="s">
        <v>134</v>
      </c>
      <c r="N3069" t="s">
        <v>135</v>
      </c>
      <c r="O3069"/>
      <c r="P3069"/>
      <c r="Q3069" t="s">
        <v>168</v>
      </c>
      <c r="R3069"/>
      <c r="S3069"/>
      <c r="T3069" t="s">
        <v>169</v>
      </c>
      <c r="U3069" t="s">
        <v>137</v>
      </c>
      <c r="V3069" t="s">
        <v>304</v>
      </c>
      <c r="W3069"/>
      <c r="X3069" t="s">
        <v>81</v>
      </c>
      <c r="Y3069"/>
      <c r="Z3069"/>
      <c r="AA3069" t="s">
        <v>292</v>
      </c>
      <c r="AB3069" t="s">
        <v>1</v>
      </c>
      <c r="AC3069" t="s">
        <v>138</v>
      </c>
      <c r="AD3069" t="s">
        <v>129</v>
      </c>
      <c r="AE3069" s="97"/>
    </row>
    <row r="3070" spans="1:31" ht="14.4" customHeight="1" x14ac:dyDescent="0.3">
      <c r="A3070" t="s">
        <v>5660</v>
      </c>
      <c r="B3070" t="s">
        <v>1108</v>
      </c>
      <c r="C3070"/>
      <c r="D3070"/>
      <c r="E3070"/>
      <c r="F3070"/>
      <c r="G3070" t="s">
        <v>5356</v>
      </c>
      <c r="H3070" t="s">
        <v>132</v>
      </c>
      <c r="I3070" t="s">
        <v>1</v>
      </c>
      <c r="J3070" t="s">
        <v>5298</v>
      </c>
      <c r="K3070" t="s">
        <v>51</v>
      </c>
      <c r="L3070" t="s">
        <v>307</v>
      </c>
      <c r="M3070" t="s">
        <v>134</v>
      </c>
      <c r="N3070" t="s">
        <v>135</v>
      </c>
      <c r="O3070"/>
      <c r="P3070"/>
      <c r="Q3070" t="s">
        <v>168</v>
      </c>
      <c r="R3070"/>
      <c r="S3070"/>
      <c r="T3070" t="s">
        <v>169</v>
      </c>
      <c r="U3070" t="s">
        <v>137</v>
      </c>
      <c r="V3070" t="s">
        <v>308</v>
      </c>
      <c r="W3070" s="9">
        <v>46192.203515474539</v>
      </c>
      <c r="X3070" t="s">
        <v>90</v>
      </c>
      <c r="Y3070"/>
      <c r="Z3070"/>
      <c r="AA3070" t="s">
        <v>292</v>
      </c>
      <c r="AB3070" t="s">
        <v>1</v>
      </c>
      <c r="AC3070" t="s">
        <v>24</v>
      </c>
      <c r="AD3070" t="s">
        <v>129</v>
      </c>
      <c r="AE3070" s="97"/>
    </row>
    <row r="3071" spans="1:31" ht="14.4" customHeight="1" x14ac:dyDescent="0.3">
      <c r="A3071" t="s">
        <v>5661</v>
      </c>
      <c r="B3071" t="s">
        <v>1110</v>
      </c>
      <c r="C3071"/>
      <c r="D3071"/>
      <c r="E3071"/>
      <c r="F3071"/>
      <c r="G3071" t="s">
        <v>5356</v>
      </c>
      <c r="H3071" t="s">
        <v>132</v>
      </c>
      <c r="I3071" t="s">
        <v>1</v>
      </c>
      <c r="J3071" t="s">
        <v>5298</v>
      </c>
      <c r="K3071" t="s">
        <v>51</v>
      </c>
      <c r="L3071" t="s">
        <v>1111</v>
      </c>
      <c r="M3071" t="s">
        <v>134</v>
      </c>
      <c r="N3071" t="s">
        <v>135</v>
      </c>
      <c r="O3071"/>
      <c r="P3071"/>
      <c r="Q3071" t="s">
        <v>168</v>
      </c>
      <c r="R3071"/>
      <c r="S3071"/>
      <c r="T3071" t="s">
        <v>169</v>
      </c>
      <c r="U3071" t="s">
        <v>137</v>
      </c>
      <c r="V3071" t="s">
        <v>308</v>
      </c>
      <c r="W3071" s="9">
        <v>46192.189170983795</v>
      </c>
      <c r="X3071" t="s">
        <v>90</v>
      </c>
      <c r="Y3071"/>
      <c r="Z3071"/>
      <c r="AA3071" t="s">
        <v>292</v>
      </c>
      <c r="AB3071" t="s">
        <v>1</v>
      </c>
      <c r="AC3071" t="s">
        <v>24</v>
      </c>
      <c r="AD3071" t="s">
        <v>129</v>
      </c>
      <c r="AE3071" s="97"/>
    </row>
    <row r="3072" spans="1:31" ht="14.4" customHeight="1" x14ac:dyDescent="0.3">
      <c r="A3072" t="s">
        <v>5662</v>
      </c>
      <c r="B3072" t="s">
        <v>1113</v>
      </c>
      <c r="C3072"/>
      <c r="D3072"/>
      <c r="E3072"/>
      <c r="F3072"/>
      <c r="G3072" t="s">
        <v>5356</v>
      </c>
      <c r="H3072" t="s">
        <v>132</v>
      </c>
      <c r="I3072" t="s">
        <v>1</v>
      </c>
      <c r="J3072" t="s">
        <v>5298</v>
      </c>
      <c r="K3072" t="s">
        <v>51</v>
      </c>
      <c r="L3072" t="s">
        <v>1114</v>
      </c>
      <c r="M3072" t="s">
        <v>134</v>
      </c>
      <c r="N3072" t="s">
        <v>135</v>
      </c>
      <c r="O3072"/>
      <c r="P3072"/>
      <c r="Q3072" t="s">
        <v>168</v>
      </c>
      <c r="R3072"/>
      <c r="S3072"/>
      <c r="T3072" t="s">
        <v>169</v>
      </c>
      <c r="U3072" t="s">
        <v>137</v>
      </c>
      <c r="V3072" t="s">
        <v>308</v>
      </c>
      <c r="W3072" s="9">
        <v>46192.189075543982</v>
      </c>
      <c r="X3072" t="s">
        <v>90</v>
      </c>
      <c r="Y3072"/>
      <c r="Z3072"/>
      <c r="AA3072" t="s">
        <v>292</v>
      </c>
      <c r="AB3072" t="s">
        <v>1</v>
      </c>
      <c r="AC3072" t="s">
        <v>24</v>
      </c>
      <c r="AD3072" t="s">
        <v>129</v>
      </c>
      <c r="AE3072" s="97"/>
    </row>
    <row r="3073" spans="1:31" ht="14.4" customHeight="1" x14ac:dyDescent="0.3">
      <c r="A3073" t="s">
        <v>5663</v>
      </c>
      <c r="B3073" t="s">
        <v>1116</v>
      </c>
      <c r="C3073"/>
      <c r="D3073"/>
      <c r="E3073"/>
      <c r="F3073"/>
      <c r="G3073" t="s">
        <v>5356</v>
      </c>
      <c r="H3073" t="s">
        <v>132</v>
      </c>
      <c r="I3073" t="s">
        <v>1</v>
      </c>
      <c r="J3073" t="s">
        <v>5298</v>
      </c>
      <c r="K3073" t="s">
        <v>51</v>
      </c>
      <c r="L3073" t="s">
        <v>311</v>
      </c>
      <c r="M3073" t="s">
        <v>134</v>
      </c>
      <c r="N3073" t="s">
        <v>135</v>
      </c>
      <c r="O3073"/>
      <c r="P3073"/>
      <c r="Q3073" t="s">
        <v>168</v>
      </c>
      <c r="R3073"/>
      <c r="S3073"/>
      <c r="T3073" t="s">
        <v>169</v>
      </c>
      <c r="U3073" t="s">
        <v>137</v>
      </c>
      <c r="V3073" t="s">
        <v>312</v>
      </c>
      <c r="W3073"/>
      <c r="X3073" t="s">
        <v>99</v>
      </c>
      <c r="Y3073"/>
      <c r="Z3073"/>
      <c r="AA3073" t="s">
        <v>292</v>
      </c>
      <c r="AB3073" t="s">
        <v>1</v>
      </c>
      <c r="AC3073" t="s">
        <v>138</v>
      </c>
      <c r="AD3073" t="s">
        <v>129</v>
      </c>
      <c r="AE3073" s="97"/>
    </row>
    <row r="3074" spans="1:31" ht="14.4" customHeight="1" x14ac:dyDescent="0.3">
      <c r="A3074" t="s">
        <v>5664</v>
      </c>
      <c r="B3074" t="s">
        <v>1118</v>
      </c>
      <c r="C3074"/>
      <c r="D3074"/>
      <c r="E3074"/>
      <c r="F3074"/>
      <c r="G3074" t="s">
        <v>5356</v>
      </c>
      <c r="H3074" t="s">
        <v>132</v>
      </c>
      <c r="I3074" t="s">
        <v>1</v>
      </c>
      <c r="J3074" t="s">
        <v>5298</v>
      </c>
      <c r="K3074" t="s">
        <v>51</v>
      </c>
      <c r="L3074" t="s">
        <v>1119</v>
      </c>
      <c r="M3074" t="s">
        <v>134</v>
      </c>
      <c r="N3074" t="s">
        <v>135</v>
      </c>
      <c r="O3074"/>
      <c r="P3074"/>
      <c r="Q3074" t="s">
        <v>168</v>
      </c>
      <c r="R3074"/>
      <c r="S3074"/>
      <c r="T3074" t="s">
        <v>169</v>
      </c>
      <c r="U3074" t="s">
        <v>137</v>
      </c>
      <c r="V3074" t="s">
        <v>312</v>
      </c>
      <c r="W3074"/>
      <c r="X3074" t="s">
        <v>99</v>
      </c>
      <c r="Y3074"/>
      <c r="Z3074"/>
      <c r="AA3074" t="s">
        <v>292</v>
      </c>
      <c r="AB3074" t="s">
        <v>1</v>
      </c>
      <c r="AC3074" t="s">
        <v>138</v>
      </c>
      <c r="AD3074" t="s">
        <v>129</v>
      </c>
      <c r="AE3074" s="97"/>
    </row>
    <row r="3075" spans="1:31" ht="14.4" customHeight="1" x14ac:dyDescent="0.3">
      <c r="A3075" t="s">
        <v>5665</v>
      </c>
      <c r="B3075" t="s">
        <v>1121</v>
      </c>
      <c r="C3075"/>
      <c r="D3075"/>
      <c r="E3075"/>
      <c r="F3075"/>
      <c r="G3075" t="s">
        <v>5356</v>
      </c>
      <c r="H3075" t="s">
        <v>132</v>
      </c>
      <c r="I3075" t="s">
        <v>1</v>
      </c>
      <c r="J3075" t="s">
        <v>5298</v>
      </c>
      <c r="K3075" t="s">
        <v>51</v>
      </c>
      <c r="L3075" t="s">
        <v>1122</v>
      </c>
      <c r="M3075" t="s">
        <v>134</v>
      </c>
      <c r="N3075" t="s">
        <v>135</v>
      </c>
      <c r="O3075"/>
      <c r="P3075"/>
      <c r="Q3075" t="s">
        <v>168</v>
      </c>
      <c r="R3075"/>
      <c r="S3075"/>
      <c r="T3075" t="s">
        <v>169</v>
      </c>
      <c r="U3075" t="s">
        <v>137</v>
      </c>
      <c r="V3075" t="s">
        <v>312</v>
      </c>
      <c r="W3075"/>
      <c r="X3075" t="s">
        <v>99</v>
      </c>
      <c r="Y3075"/>
      <c r="Z3075"/>
      <c r="AA3075" t="s">
        <v>292</v>
      </c>
      <c r="AB3075" t="s">
        <v>1</v>
      </c>
      <c r="AC3075" t="s">
        <v>138</v>
      </c>
      <c r="AD3075" t="s">
        <v>129</v>
      </c>
      <c r="AE3075" s="97"/>
    </row>
    <row r="3076" spans="1:31" ht="14.4" customHeight="1" x14ac:dyDescent="0.3">
      <c r="A3076" t="s">
        <v>5666</v>
      </c>
      <c r="B3076" t="s">
        <v>1124</v>
      </c>
      <c r="C3076"/>
      <c r="D3076"/>
      <c r="E3076"/>
      <c r="F3076"/>
      <c r="G3076" t="s">
        <v>5356</v>
      </c>
      <c r="H3076" t="s">
        <v>132</v>
      </c>
      <c r="I3076" t="s">
        <v>1</v>
      </c>
      <c r="J3076" t="s">
        <v>5298</v>
      </c>
      <c r="K3076" t="s">
        <v>51</v>
      </c>
      <c r="L3076" t="s">
        <v>315</v>
      </c>
      <c r="M3076" t="s">
        <v>134</v>
      </c>
      <c r="N3076" t="s">
        <v>135</v>
      </c>
      <c r="O3076"/>
      <c r="P3076"/>
      <c r="Q3076" t="s">
        <v>168</v>
      </c>
      <c r="R3076"/>
      <c r="S3076"/>
      <c r="T3076" t="s">
        <v>169</v>
      </c>
      <c r="U3076" t="s">
        <v>137</v>
      </c>
      <c r="V3076" t="s">
        <v>316</v>
      </c>
      <c r="W3076"/>
      <c r="X3076" t="s">
        <v>108</v>
      </c>
      <c r="Y3076"/>
      <c r="Z3076"/>
      <c r="AA3076" t="s">
        <v>292</v>
      </c>
      <c r="AB3076" t="s">
        <v>1</v>
      </c>
      <c r="AC3076" t="s">
        <v>138</v>
      </c>
      <c r="AD3076" t="s">
        <v>129</v>
      </c>
      <c r="AE3076" s="97"/>
    </row>
    <row r="3077" spans="1:31" ht="14.4" customHeight="1" x14ac:dyDescent="0.3">
      <c r="A3077" t="s">
        <v>5667</v>
      </c>
      <c r="B3077" t="s">
        <v>1126</v>
      </c>
      <c r="C3077"/>
      <c r="D3077"/>
      <c r="E3077"/>
      <c r="F3077"/>
      <c r="G3077" t="s">
        <v>5356</v>
      </c>
      <c r="H3077" t="s">
        <v>132</v>
      </c>
      <c r="I3077" t="s">
        <v>1</v>
      </c>
      <c r="J3077" t="s">
        <v>5298</v>
      </c>
      <c r="K3077" t="s">
        <v>51</v>
      </c>
      <c r="L3077" t="s">
        <v>1127</v>
      </c>
      <c r="M3077" t="s">
        <v>134</v>
      </c>
      <c r="N3077" t="s">
        <v>135</v>
      </c>
      <c r="O3077"/>
      <c r="P3077"/>
      <c r="Q3077" t="s">
        <v>168</v>
      </c>
      <c r="R3077"/>
      <c r="S3077"/>
      <c r="T3077" t="s">
        <v>169</v>
      </c>
      <c r="U3077" t="s">
        <v>137</v>
      </c>
      <c r="V3077" t="s">
        <v>316</v>
      </c>
      <c r="W3077"/>
      <c r="X3077" t="s">
        <v>108</v>
      </c>
      <c r="Y3077"/>
      <c r="Z3077"/>
      <c r="AA3077" t="s">
        <v>292</v>
      </c>
      <c r="AB3077" t="s">
        <v>1</v>
      </c>
      <c r="AC3077" t="s">
        <v>138</v>
      </c>
      <c r="AD3077" t="s">
        <v>129</v>
      </c>
      <c r="AE3077" s="97"/>
    </row>
    <row r="3078" spans="1:31" ht="14.4" customHeight="1" x14ac:dyDescent="0.3">
      <c r="A3078" t="s">
        <v>5668</v>
      </c>
      <c r="B3078" t="s">
        <v>1129</v>
      </c>
      <c r="C3078"/>
      <c r="D3078"/>
      <c r="E3078"/>
      <c r="F3078"/>
      <c r="G3078" t="s">
        <v>5356</v>
      </c>
      <c r="H3078" t="s">
        <v>132</v>
      </c>
      <c r="I3078" t="s">
        <v>1</v>
      </c>
      <c r="J3078" t="s">
        <v>5298</v>
      </c>
      <c r="K3078" t="s">
        <v>51</v>
      </c>
      <c r="L3078" t="s">
        <v>1130</v>
      </c>
      <c r="M3078" t="s">
        <v>134</v>
      </c>
      <c r="N3078" t="s">
        <v>135</v>
      </c>
      <c r="O3078"/>
      <c r="P3078"/>
      <c r="Q3078" t="s">
        <v>168</v>
      </c>
      <c r="R3078"/>
      <c r="S3078"/>
      <c r="T3078" t="s">
        <v>169</v>
      </c>
      <c r="U3078" t="s">
        <v>137</v>
      </c>
      <c r="V3078" t="s">
        <v>316</v>
      </c>
      <c r="W3078"/>
      <c r="X3078" t="s">
        <v>108</v>
      </c>
      <c r="Y3078"/>
      <c r="Z3078"/>
      <c r="AA3078" t="s">
        <v>292</v>
      </c>
      <c r="AB3078" t="s">
        <v>1</v>
      </c>
      <c r="AC3078" t="s">
        <v>138</v>
      </c>
      <c r="AD3078" t="s">
        <v>129</v>
      </c>
      <c r="AE3078" s="97"/>
    </row>
    <row r="3079" spans="1:31" ht="14.4" customHeight="1" x14ac:dyDescent="0.3">
      <c r="A3079" t="s">
        <v>5669</v>
      </c>
      <c r="B3079" t="s">
        <v>1132</v>
      </c>
      <c r="C3079"/>
      <c r="D3079"/>
      <c r="E3079"/>
      <c r="F3079"/>
      <c r="G3079" t="s">
        <v>5356</v>
      </c>
      <c r="H3079" t="s">
        <v>132</v>
      </c>
      <c r="I3079" t="s">
        <v>1</v>
      </c>
      <c r="J3079" t="s">
        <v>5298</v>
      </c>
      <c r="K3079" t="s">
        <v>51</v>
      </c>
      <c r="L3079" t="s">
        <v>319</v>
      </c>
      <c r="M3079" t="s">
        <v>134</v>
      </c>
      <c r="N3079" t="s">
        <v>135</v>
      </c>
      <c r="O3079"/>
      <c r="P3079"/>
      <c r="Q3079" t="s">
        <v>168</v>
      </c>
      <c r="R3079"/>
      <c r="S3079"/>
      <c r="T3079" t="s">
        <v>169</v>
      </c>
      <c r="U3079" t="s">
        <v>137</v>
      </c>
      <c r="V3079" t="s">
        <v>320</v>
      </c>
      <c r="W3079"/>
      <c r="X3079" t="s">
        <v>117</v>
      </c>
      <c r="Y3079"/>
      <c r="Z3079"/>
      <c r="AA3079" t="s">
        <v>292</v>
      </c>
      <c r="AB3079" t="s">
        <v>1</v>
      </c>
      <c r="AC3079" t="s">
        <v>138</v>
      </c>
      <c r="AD3079" t="s">
        <v>130</v>
      </c>
      <c r="AE3079" s="97"/>
    </row>
    <row r="3080" spans="1:31" ht="14.4" customHeight="1" x14ac:dyDescent="0.3">
      <c r="A3080" t="s">
        <v>5670</v>
      </c>
      <c r="B3080" t="s">
        <v>1134</v>
      </c>
      <c r="C3080"/>
      <c r="D3080"/>
      <c r="E3080"/>
      <c r="F3080"/>
      <c r="G3080" t="s">
        <v>5356</v>
      </c>
      <c r="H3080" t="s">
        <v>132</v>
      </c>
      <c r="I3080" t="s">
        <v>1</v>
      </c>
      <c r="J3080" t="s">
        <v>5298</v>
      </c>
      <c r="K3080" t="s">
        <v>51</v>
      </c>
      <c r="L3080" t="s">
        <v>1135</v>
      </c>
      <c r="M3080" t="s">
        <v>134</v>
      </c>
      <c r="N3080" t="s">
        <v>135</v>
      </c>
      <c r="O3080"/>
      <c r="P3080"/>
      <c r="Q3080" t="s">
        <v>168</v>
      </c>
      <c r="R3080"/>
      <c r="S3080"/>
      <c r="T3080" t="s">
        <v>169</v>
      </c>
      <c r="U3080" t="s">
        <v>137</v>
      </c>
      <c r="V3080" t="s">
        <v>320</v>
      </c>
      <c r="W3080"/>
      <c r="X3080" t="s">
        <v>117</v>
      </c>
      <c r="Y3080"/>
      <c r="Z3080"/>
      <c r="AA3080" t="s">
        <v>292</v>
      </c>
      <c r="AB3080" t="s">
        <v>1</v>
      </c>
      <c r="AC3080" t="s">
        <v>138</v>
      </c>
      <c r="AD3080" t="s">
        <v>130</v>
      </c>
      <c r="AE3080" s="97"/>
    </row>
    <row r="3081" spans="1:31" ht="14.4" customHeight="1" x14ac:dyDescent="0.3">
      <c r="A3081" t="s">
        <v>5671</v>
      </c>
      <c r="B3081" t="s">
        <v>1137</v>
      </c>
      <c r="C3081"/>
      <c r="D3081"/>
      <c r="E3081"/>
      <c r="F3081"/>
      <c r="G3081" t="s">
        <v>5356</v>
      </c>
      <c r="H3081" t="s">
        <v>132</v>
      </c>
      <c r="I3081" t="s">
        <v>1</v>
      </c>
      <c r="J3081" t="s">
        <v>5298</v>
      </c>
      <c r="K3081" t="s">
        <v>51</v>
      </c>
      <c r="L3081" t="s">
        <v>1138</v>
      </c>
      <c r="M3081" t="s">
        <v>134</v>
      </c>
      <c r="N3081" t="s">
        <v>135</v>
      </c>
      <c r="O3081"/>
      <c r="P3081"/>
      <c r="Q3081" t="s">
        <v>168</v>
      </c>
      <c r="R3081"/>
      <c r="S3081"/>
      <c r="T3081" t="s">
        <v>169</v>
      </c>
      <c r="U3081" t="s">
        <v>137</v>
      </c>
      <c r="V3081" t="s">
        <v>320</v>
      </c>
      <c r="W3081"/>
      <c r="X3081" t="s">
        <v>117</v>
      </c>
      <c r="Y3081"/>
      <c r="Z3081"/>
      <c r="AA3081" t="s">
        <v>292</v>
      </c>
      <c r="AB3081" t="s">
        <v>1</v>
      </c>
      <c r="AC3081" t="s">
        <v>138</v>
      </c>
      <c r="AD3081" t="s">
        <v>130</v>
      </c>
      <c r="AE3081" s="97"/>
    </row>
    <row r="3082" spans="1:31" ht="14.4" customHeight="1" x14ac:dyDescent="0.3">
      <c r="A3082" t="s">
        <v>5672</v>
      </c>
      <c r="B3082" t="s">
        <v>1140</v>
      </c>
      <c r="C3082"/>
      <c r="D3082"/>
      <c r="E3082"/>
      <c r="F3082"/>
      <c r="G3082" t="s">
        <v>5356</v>
      </c>
      <c r="H3082" t="s">
        <v>132</v>
      </c>
      <c r="I3082" t="s">
        <v>1</v>
      </c>
      <c r="J3082" t="s">
        <v>5298</v>
      </c>
      <c r="K3082" t="s">
        <v>51</v>
      </c>
      <c r="L3082" t="s">
        <v>1141</v>
      </c>
      <c r="M3082" t="s">
        <v>134</v>
      </c>
      <c r="N3082" t="s">
        <v>135</v>
      </c>
      <c r="O3082"/>
      <c r="P3082"/>
      <c r="Q3082" t="s">
        <v>168</v>
      </c>
      <c r="R3082"/>
      <c r="S3082"/>
      <c r="T3082" t="s">
        <v>169</v>
      </c>
      <c r="U3082" t="s">
        <v>137</v>
      </c>
      <c r="V3082" t="s">
        <v>352</v>
      </c>
      <c r="W3082"/>
      <c r="X3082" t="s">
        <v>56</v>
      </c>
      <c r="Y3082"/>
      <c r="Z3082"/>
      <c r="AA3082" t="s">
        <v>292</v>
      </c>
      <c r="AB3082" t="s">
        <v>1</v>
      </c>
      <c r="AC3082" t="s">
        <v>138</v>
      </c>
      <c r="AD3082" t="s">
        <v>128</v>
      </c>
      <c r="AE3082" s="97"/>
    </row>
    <row r="3083" spans="1:31" ht="14.4" customHeight="1" x14ac:dyDescent="0.3">
      <c r="A3083" t="s">
        <v>5673</v>
      </c>
      <c r="B3083" t="s">
        <v>1143</v>
      </c>
      <c r="C3083"/>
      <c r="D3083"/>
      <c r="E3083"/>
      <c r="F3083"/>
      <c r="G3083" t="s">
        <v>5356</v>
      </c>
      <c r="H3083" t="s">
        <v>132</v>
      </c>
      <c r="I3083" t="s">
        <v>1</v>
      </c>
      <c r="J3083" t="s">
        <v>5298</v>
      </c>
      <c r="K3083" t="s">
        <v>51</v>
      </c>
      <c r="L3083" t="s">
        <v>1144</v>
      </c>
      <c r="M3083" t="s">
        <v>134</v>
      </c>
      <c r="N3083" t="s">
        <v>135</v>
      </c>
      <c r="O3083"/>
      <c r="P3083"/>
      <c r="Q3083" t="s">
        <v>168</v>
      </c>
      <c r="R3083"/>
      <c r="S3083"/>
      <c r="T3083" t="s">
        <v>169</v>
      </c>
      <c r="U3083" t="s">
        <v>137</v>
      </c>
      <c r="V3083" t="s">
        <v>352</v>
      </c>
      <c r="W3083"/>
      <c r="X3083" t="s">
        <v>56</v>
      </c>
      <c r="Y3083"/>
      <c r="Z3083"/>
      <c r="AA3083" t="s">
        <v>292</v>
      </c>
      <c r="AB3083" t="s">
        <v>1</v>
      </c>
      <c r="AC3083" t="s">
        <v>138</v>
      </c>
      <c r="AD3083" t="s">
        <v>128</v>
      </c>
      <c r="AE3083" s="97"/>
    </row>
    <row r="3084" spans="1:31" ht="14.4" customHeight="1" x14ac:dyDescent="0.3">
      <c r="A3084" t="s">
        <v>5674</v>
      </c>
      <c r="B3084" t="s">
        <v>1146</v>
      </c>
      <c r="C3084"/>
      <c r="D3084"/>
      <c r="E3084"/>
      <c r="F3084"/>
      <c r="G3084" t="s">
        <v>5356</v>
      </c>
      <c r="H3084" t="s">
        <v>132</v>
      </c>
      <c r="I3084" t="s">
        <v>1</v>
      </c>
      <c r="J3084" t="s">
        <v>5298</v>
      </c>
      <c r="K3084" t="s">
        <v>51</v>
      </c>
      <c r="L3084" t="s">
        <v>1147</v>
      </c>
      <c r="M3084" t="s">
        <v>134</v>
      </c>
      <c r="N3084" t="s">
        <v>135</v>
      </c>
      <c r="O3084"/>
      <c r="P3084"/>
      <c r="Q3084" t="s">
        <v>168</v>
      </c>
      <c r="R3084"/>
      <c r="S3084"/>
      <c r="T3084" t="s">
        <v>169</v>
      </c>
      <c r="U3084" t="s">
        <v>137</v>
      </c>
      <c r="V3084" t="s">
        <v>352</v>
      </c>
      <c r="W3084" s="9">
        <v>46192.188987650465</v>
      </c>
      <c r="X3084" t="s">
        <v>56</v>
      </c>
      <c r="Y3084"/>
      <c r="Z3084"/>
      <c r="AA3084" t="s">
        <v>292</v>
      </c>
      <c r="AB3084" t="s">
        <v>1</v>
      </c>
      <c r="AC3084" t="s">
        <v>24</v>
      </c>
      <c r="AD3084" t="s">
        <v>128</v>
      </c>
      <c r="AE3084" s="97"/>
    </row>
    <row r="3085" spans="1:31" ht="14.4" customHeight="1" x14ac:dyDescent="0.3">
      <c r="A3085" t="s">
        <v>5675</v>
      </c>
      <c r="B3085" t="s">
        <v>1149</v>
      </c>
      <c r="C3085"/>
      <c r="D3085"/>
      <c r="E3085"/>
      <c r="F3085"/>
      <c r="G3085" t="s">
        <v>5356</v>
      </c>
      <c r="H3085" t="s">
        <v>132</v>
      </c>
      <c r="I3085" t="s">
        <v>1</v>
      </c>
      <c r="J3085" t="s">
        <v>5298</v>
      </c>
      <c r="K3085" t="s">
        <v>51</v>
      </c>
      <c r="L3085" t="s">
        <v>1150</v>
      </c>
      <c r="M3085" t="s">
        <v>134</v>
      </c>
      <c r="N3085" t="s">
        <v>135</v>
      </c>
      <c r="O3085"/>
      <c r="P3085"/>
      <c r="Q3085" t="s">
        <v>168</v>
      </c>
      <c r="R3085"/>
      <c r="S3085"/>
      <c r="T3085" t="s">
        <v>169</v>
      </c>
      <c r="U3085" t="s">
        <v>137</v>
      </c>
      <c r="V3085" t="s">
        <v>352</v>
      </c>
      <c r="W3085" s="9">
        <v>46192.188893287035</v>
      </c>
      <c r="X3085" t="s">
        <v>56</v>
      </c>
      <c r="Y3085"/>
      <c r="Z3085"/>
      <c r="AA3085" t="s">
        <v>292</v>
      </c>
      <c r="AB3085" t="s">
        <v>1</v>
      </c>
      <c r="AC3085" t="s">
        <v>24</v>
      </c>
      <c r="AD3085" t="s">
        <v>128</v>
      </c>
      <c r="AE3085" s="97"/>
    </row>
    <row r="3086" spans="1:31" ht="14.4" customHeight="1" x14ac:dyDescent="0.3">
      <c r="A3086" t="s">
        <v>5676</v>
      </c>
      <c r="B3086" t="s">
        <v>1152</v>
      </c>
      <c r="C3086"/>
      <c r="D3086"/>
      <c r="E3086"/>
      <c r="F3086"/>
      <c r="G3086" t="s">
        <v>5356</v>
      </c>
      <c r="H3086" t="s">
        <v>132</v>
      </c>
      <c r="I3086" t="s">
        <v>1</v>
      </c>
      <c r="J3086" t="s">
        <v>5298</v>
      </c>
      <c r="K3086" t="s">
        <v>51</v>
      </c>
      <c r="L3086" t="s">
        <v>1153</v>
      </c>
      <c r="M3086" t="s">
        <v>134</v>
      </c>
      <c r="N3086" t="s">
        <v>135</v>
      </c>
      <c r="O3086"/>
      <c r="P3086"/>
      <c r="Q3086" t="s">
        <v>168</v>
      </c>
      <c r="R3086"/>
      <c r="S3086"/>
      <c r="T3086" t="s">
        <v>169</v>
      </c>
      <c r="U3086" t="s">
        <v>137</v>
      </c>
      <c r="V3086" t="s">
        <v>352</v>
      </c>
      <c r="W3086" s="9">
        <v>46192.190356099534</v>
      </c>
      <c r="X3086" t="s">
        <v>56</v>
      </c>
      <c r="Y3086"/>
      <c r="Z3086"/>
      <c r="AA3086" t="s">
        <v>292</v>
      </c>
      <c r="AB3086" t="s">
        <v>1</v>
      </c>
      <c r="AC3086" t="s">
        <v>24</v>
      </c>
      <c r="AD3086" t="s">
        <v>128</v>
      </c>
      <c r="AE3086" s="97"/>
    </row>
    <row r="3087" spans="1:31" ht="14.4" customHeight="1" x14ac:dyDescent="0.3">
      <c r="A3087" t="s">
        <v>5677</v>
      </c>
      <c r="B3087" t="s">
        <v>1155</v>
      </c>
      <c r="C3087"/>
      <c r="D3087"/>
      <c r="E3087"/>
      <c r="F3087"/>
      <c r="G3087" t="s">
        <v>5356</v>
      </c>
      <c r="H3087" t="s">
        <v>132</v>
      </c>
      <c r="I3087" t="s">
        <v>1</v>
      </c>
      <c r="J3087" t="s">
        <v>5298</v>
      </c>
      <c r="K3087" t="s">
        <v>51</v>
      </c>
      <c r="L3087" t="s">
        <v>1156</v>
      </c>
      <c r="M3087" t="s">
        <v>134</v>
      </c>
      <c r="N3087" t="s">
        <v>135</v>
      </c>
      <c r="O3087"/>
      <c r="P3087"/>
      <c r="Q3087" t="s">
        <v>168</v>
      </c>
      <c r="R3087"/>
      <c r="S3087"/>
      <c r="T3087" t="s">
        <v>169</v>
      </c>
      <c r="U3087" t="s">
        <v>137</v>
      </c>
      <c r="V3087" t="s">
        <v>352</v>
      </c>
      <c r="W3087" s="9">
        <v>46192.190429247683</v>
      </c>
      <c r="X3087" t="s">
        <v>56</v>
      </c>
      <c r="Y3087"/>
      <c r="Z3087"/>
      <c r="AA3087" t="s">
        <v>292</v>
      </c>
      <c r="AB3087" t="s">
        <v>1</v>
      </c>
      <c r="AC3087" t="s">
        <v>24</v>
      </c>
      <c r="AD3087" t="s">
        <v>128</v>
      </c>
      <c r="AE3087" s="97"/>
    </row>
    <row r="3088" spans="1:31" ht="14.4" customHeight="1" x14ac:dyDescent="0.3">
      <c r="A3088" t="s">
        <v>5678</v>
      </c>
      <c r="B3088" t="s">
        <v>1158</v>
      </c>
      <c r="C3088"/>
      <c r="D3088"/>
      <c r="E3088"/>
      <c r="F3088"/>
      <c r="G3088" t="s">
        <v>5356</v>
      </c>
      <c r="H3088" t="s">
        <v>132</v>
      </c>
      <c r="I3088" t="s">
        <v>1</v>
      </c>
      <c r="J3088" t="s">
        <v>5298</v>
      </c>
      <c r="K3088" t="s">
        <v>51</v>
      </c>
      <c r="L3088" t="s">
        <v>1159</v>
      </c>
      <c r="M3088" t="s">
        <v>134</v>
      </c>
      <c r="N3088" t="s">
        <v>135</v>
      </c>
      <c r="O3088"/>
      <c r="P3088"/>
      <c r="Q3088" t="s">
        <v>168</v>
      </c>
      <c r="R3088"/>
      <c r="S3088"/>
      <c r="T3088" t="s">
        <v>169</v>
      </c>
      <c r="U3088" t="s">
        <v>137</v>
      </c>
      <c r="V3088" t="s">
        <v>147</v>
      </c>
      <c r="W3088" s="9">
        <v>46192.190484687497</v>
      </c>
      <c r="X3088" t="s">
        <v>70</v>
      </c>
      <c r="Y3088"/>
      <c r="Z3088"/>
      <c r="AA3088" t="s">
        <v>292</v>
      </c>
      <c r="AB3088" t="s">
        <v>1</v>
      </c>
      <c r="AC3088" t="s">
        <v>24</v>
      </c>
      <c r="AD3088" t="s">
        <v>128</v>
      </c>
      <c r="AE3088" s="97"/>
    </row>
    <row r="3089" spans="1:31" ht="14.4" customHeight="1" x14ac:dyDescent="0.3">
      <c r="A3089" t="s">
        <v>5679</v>
      </c>
      <c r="B3089" t="s">
        <v>1161</v>
      </c>
      <c r="C3089"/>
      <c r="D3089"/>
      <c r="E3089"/>
      <c r="F3089"/>
      <c r="G3089" t="s">
        <v>5356</v>
      </c>
      <c r="H3089" t="s">
        <v>132</v>
      </c>
      <c r="I3089" t="s">
        <v>1</v>
      </c>
      <c r="J3089" t="s">
        <v>5298</v>
      </c>
      <c r="K3089" t="s">
        <v>51</v>
      </c>
      <c r="L3089" t="s">
        <v>1162</v>
      </c>
      <c r="M3089" t="s">
        <v>134</v>
      </c>
      <c r="N3089" t="s">
        <v>135</v>
      </c>
      <c r="O3089"/>
      <c r="P3089"/>
      <c r="Q3089" t="s">
        <v>168</v>
      </c>
      <c r="R3089"/>
      <c r="S3089"/>
      <c r="T3089" t="s">
        <v>169</v>
      </c>
      <c r="U3089" t="s">
        <v>137</v>
      </c>
      <c r="V3089" t="s">
        <v>147</v>
      </c>
      <c r="W3089" s="9">
        <v>46192.19060228009</v>
      </c>
      <c r="X3089" t="s">
        <v>70</v>
      </c>
      <c r="Y3089"/>
      <c r="Z3089"/>
      <c r="AA3089" t="s">
        <v>292</v>
      </c>
      <c r="AB3089" t="s">
        <v>1</v>
      </c>
      <c r="AC3089" t="s">
        <v>24</v>
      </c>
      <c r="AD3089" t="s">
        <v>128</v>
      </c>
      <c r="AE3089" s="97"/>
    </row>
    <row r="3090" spans="1:31" ht="14.4" customHeight="1" x14ac:dyDescent="0.3">
      <c r="A3090" t="s">
        <v>5680</v>
      </c>
      <c r="B3090" t="s">
        <v>1164</v>
      </c>
      <c r="C3090"/>
      <c r="D3090"/>
      <c r="E3090"/>
      <c r="F3090"/>
      <c r="G3090" t="s">
        <v>5356</v>
      </c>
      <c r="H3090" t="s">
        <v>132</v>
      </c>
      <c r="I3090" t="s">
        <v>1</v>
      </c>
      <c r="J3090" t="s">
        <v>5298</v>
      </c>
      <c r="K3090" t="s">
        <v>51</v>
      </c>
      <c r="L3090" t="s">
        <v>1165</v>
      </c>
      <c r="M3090" t="s">
        <v>134</v>
      </c>
      <c r="N3090" t="s">
        <v>135</v>
      </c>
      <c r="O3090"/>
      <c r="P3090"/>
      <c r="Q3090" t="s">
        <v>168</v>
      </c>
      <c r="R3090"/>
      <c r="S3090"/>
      <c r="T3090" t="s">
        <v>169</v>
      </c>
      <c r="U3090" t="s">
        <v>137</v>
      </c>
      <c r="V3090" t="s">
        <v>156</v>
      </c>
      <c r="W3090"/>
      <c r="X3090" t="s">
        <v>97</v>
      </c>
      <c r="Y3090"/>
      <c r="Z3090"/>
      <c r="AA3090" t="s">
        <v>292</v>
      </c>
      <c r="AB3090" t="s">
        <v>1</v>
      </c>
      <c r="AC3090" t="s">
        <v>138</v>
      </c>
      <c r="AD3090" t="s">
        <v>129</v>
      </c>
      <c r="AE3090" s="97"/>
    </row>
    <row r="3091" spans="1:31" ht="14.4" customHeight="1" x14ac:dyDescent="0.3">
      <c r="A3091" t="s">
        <v>5681</v>
      </c>
      <c r="B3091" t="s">
        <v>1167</v>
      </c>
      <c r="C3091"/>
      <c r="D3091"/>
      <c r="E3091"/>
      <c r="F3091"/>
      <c r="G3091" t="s">
        <v>5356</v>
      </c>
      <c r="H3091" t="s">
        <v>132</v>
      </c>
      <c r="I3091" t="s">
        <v>1</v>
      </c>
      <c r="J3091" t="s">
        <v>5298</v>
      </c>
      <c r="K3091" t="s">
        <v>51</v>
      </c>
      <c r="L3091" t="s">
        <v>1168</v>
      </c>
      <c r="M3091" t="s">
        <v>134</v>
      </c>
      <c r="N3091" t="s">
        <v>135</v>
      </c>
      <c r="O3091"/>
      <c r="P3091"/>
      <c r="Q3091" t="s">
        <v>168</v>
      </c>
      <c r="R3091"/>
      <c r="S3091"/>
      <c r="T3091" t="s">
        <v>169</v>
      </c>
      <c r="U3091" t="s">
        <v>137</v>
      </c>
      <c r="V3091" t="s">
        <v>156</v>
      </c>
      <c r="W3091"/>
      <c r="X3091" t="s">
        <v>97</v>
      </c>
      <c r="Y3091"/>
      <c r="Z3091"/>
      <c r="AA3091" t="s">
        <v>292</v>
      </c>
      <c r="AB3091" t="s">
        <v>1</v>
      </c>
      <c r="AC3091" t="s">
        <v>138</v>
      </c>
      <c r="AD3091" t="s">
        <v>129</v>
      </c>
      <c r="AE3091" s="97"/>
    </row>
    <row r="3092" spans="1:31" ht="14.4" customHeight="1" x14ac:dyDescent="0.3">
      <c r="A3092" t="s">
        <v>5682</v>
      </c>
      <c r="B3092" t="s">
        <v>1170</v>
      </c>
      <c r="C3092"/>
      <c r="D3092"/>
      <c r="E3092"/>
      <c r="F3092"/>
      <c r="G3092" t="s">
        <v>5356</v>
      </c>
      <c r="H3092" t="s">
        <v>132</v>
      </c>
      <c r="I3092" t="s">
        <v>1</v>
      </c>
      <c r="J3092" t="s">
        <v>5298</v>
      </c>
      <c r="K3092" t="s">
        <v>51</v>
      </c>
      <c r="L3092" t="s">
        <v>1171</v>
      </c>
      <c r="M3092" t="s">
        <v>134</v>
      </c>
      <c r="N3092" t="s">
        <v>135</v>
      </c>
      <c r="O3092"/>
      <c r="P3092"/>
      <c r="Q3092" t="s">
        <v>168</v>
      </c>
      <c r="R3092"/>
      <c r="S3092"/>
      <c r="T3092" t="s">
        <v>169</v>
      </c>
      <c r="U3092" t="s">
        <v>137</v>
      </c>
      <c r="V3092" t="s">
        <v>162</v>
      </c>
      <c r="W3092"/>
      <c r="X3092" t="s">
        <v>113</v>
      </c>
      <c r="Y3092"/>
      <c r="Z3092"/>
      <c r="AA3092" t="s">
        <v>292</v>
      </c>
      <c r="AB3092" t="s">
        <v>1</v>
      </c>
      <c r="AC3092" t="s">
        <v>138</v>
      </c>
      <c r="AD3092" t="s">
        <v>129</v>
      </c>
      <c r="AE3092" s="97"/>
    </row>
    <row r="3093" spans="1:31" ht="14.4" customHeight="1" x14ac:dyDescent="0.3">
      <c r="A3093" t="s">
        <v>5683</v>
      </c>
      <c r="B3093" t="s">
        <v>1173</v>
      </c>
      <c r="C3093"/>
      <c r="D3093"/>
      <c r="E3093"/>
      <c r="F3093"/>
      <c r="G3093" t="s">
        <v>5356</v>
      </c>
      <c r="H3093" t="s">
        <v>132</v>
      </c>
      <c r="I3093" t="s">
        <v>1</v>
      </c>
      <c r="J3093" t="s">
        <v>5298</v>
      </c>
      <c r="K3093" t="s">
        <v>51</v>
      </c>
      <c r="L3093" t="s">
        <v>1174</v>
      </c>
      <c r="M3093" t="s">
        <v>134</v>
      </c>
      <c r="N3093" t="s">
        <v>135</v>
      </c>
      <c r="O3093"/>
      <c r="P3093"/>
      <c r="Q3093" t="s">
        <v>168</v>
      </c>
      <c r="R3093"/>
      <c r="S3093"/>
      <c r="T3093" t="s">
        <v>169</v>
      </c>
      <c r="U3093" t="s">
        <v>137</v>
      </c>
      <c r="V3093" t="s">
        <v>162</v>
      </c>
      <c r="W3093"/>
      <c r="X3093" t="s">
        <v>113</v>
      </c>
      <c r="Y3093"/>
      <c r="Z3093"/>
      <c r="AA3093" t="s">
        <v>292</v>
      </c>
      <c r="AB3093" t="s">
        <v>1</v>
      </c>
      <c r="AC3093" t="s">
        <v>138</v>
      </c>
      <c r="AD3093" t="s">
        <v>129</v>
      </c>
      <c r="AE3093" s="97"/>
    </row>
    <row r="3094" spans="1:31" ht="14.4" customHeight="1" x14ac:dyDescent="0.3">
      <c r="A3094" t="s">
        <v>5684</v>
      </c>
      <c r="B3094" t="s">
        <v>1176</v>
      </c>
      <c r="C3094"/>
      <c r="D3094"/>
      <c r="E3094"/>
      <c r="F3094"/>
      <c r="G3094" t="s">
        <v>5356</v>
      </c>
      <c r="H3094" t="s">
        <v>132</v>
      </c>
      <c r="I3094" t="s">
        <v>1</v>
      </c>
      <c r="J3094" t="s">
        <v>5298</v>
      </c>
      <c r="K3094" t="s">
        <v>51</v>
      </c>
      <c r="L3094" t="s">
        <v>1177</v>
      </c>
      <c r="M3094" t="s">
        <v>134</v>
      </c>
      <c r="N3094" t="s">
        <v>135</v>
      </c>
      <c r="O3094"/>
      <c r="P3094"/>
      <c r="Q3094" t="s">
        <v>168</v>
      </c>
      <c r="R3094"/>
      <c r="S3094"/>
      <c r="T3094" t="s">
        <v>169</v>
      </c>
      <c r="U3094" t="s">
        <v>137</v>
      </c>
      <c r="V3094" t="s">
        <v>352</v>
      </c>
      <c r="W3094" s="9">
        <v>46192.355972569443</v>
      </c>
      <c r="X3094" t="s">
        <v>56</v>
      </c>
      <c r="Y3094"/>
      <c r="Z3094"/>
      <c r="AA3094" t="s">
        <v>292</v>
      </c>
      <c r="AB3094" t="s">
        <v>1</v>
      </c>
      <c r="AC3094" t="s">
        <v>24</v>
      </c>
      <c r="AD3094" t="s">
        <v>128</v>
      </c>
      <c r="AE3094" s="97"/>
    </row>
    <row r="3095" spans="1:31" ht="14.4" customHeight="1" x14ac:dyDescent="0.3">
      <c r="A3095" t="s">
        <v>5685</v>
      </c>
      <c r="B3095" t="s">
        <v>1179</v>
      </c>
      <c r="C3095"/>
      <c r="D3095"/>
      <c r="E3095"/>
      <c r="F3095"/>
      <c r="G3095" t="s">
        <v>5356</v>
      </c>
      <c r="H3095" t="s">
        <v>132</v>
      </c>
      <c r="I3095" t="s">
        <v>1</v>
      </c>
      <c r="J3095" t="s">
        <v>5298</v>
      </c>
      <c r="K3095" t="s">
        <v>51</v>
      </c>
      <c r="L3095" t="s">
        <v>1180</v>
      </c>
      <c r="M3095" t="s">
        <v>134</v>
      </c>
      <c r="N3095" t="s">
        <v>135</v>
      </c>
      <c r="O3095"/>
      <c r="P3095"/>
      <c r="Q3095" t="s">
        <v>168</v>
      </c>
      <c r="R3095"/>
      <c r="S3095"/>
      <c r="T3095" t="s">
        <v>169</v>
      </c>
      <c r="U3095" t="s">
        <v>137</v>
      </c>
      <c r="V3095" t="s">
        <v>352</v>
      </c>
      <c r="W3095" s="9">
        <v>46192.355845868056</v>
      </c>
      <c r="X3095" t="s">
        <v>56</v>
      </c>
      <c r="Y3095"/>
      <c r="Z3095"/>
      <c r="AA3095" t="s">
        <v>292</v>
      </c>
      <c r="AB3095" t="s">
        <v>1</v>
      </c>
      <c r="AC3095" t="s">
        <v>24</v>
      </c>
      <c r="AD3095" t="s">
        <v>128</v>
      </c>
      <c r="AE3095" s="97"/>
    </row>
    <row r="3096" spans="1:31" ht="14.4" customHeight="1" x14ac:dyDescent="0.3">
      <c r="A3096" t="s">
        <v>5686</v>
      </c>
      <c r="B3096" t="s">
        <v>1182</v>
      </c>
      <c r="C3096"/>
      <c r="D3096"/>
      <c r="E3096"/>
      <c r="F3096"/>
      <c r="G3096" t="s">
        <v>5356</v>
      </c>
      <c r="H3096" t="s">
        <v>132</v>
      </c>
      <c r="I3096" t="s">
        <v>1</v>
      </c>
      <c r="J3096" t="s">
        <v>5298</v>
      </c>
      <c r="K3096" t="s">
        <v>51</v>
      </c>
      <c r="L3096" t="s">
        <v>1183</v>
      </c>
      <c r="M3096" t="s">
        <v>134</v>
      </c>
      <c r="N3096" t="s">
        <v>135</v>
      </c>
      <c r="O3096"/>
      <c r="P3096"/>
      <c r="Q3096" t="s">
        <v>168</v>
      </c>
      <c r="R3096"/>
      <c r="S3096"/>
      <c r="T3096" t="s">
        <v>169</v>
      </c>
      <c r="U3096" t="s">
        <v>137</v>
      </c>
      <c r="V3096" t="s">
        <v>358</v>
      </c>
      <c r="W3096"/>
      <c r="X3096" t="s">
        <v>124</v>
      </c>
      <c r="Y3096"/>
      <c r="Z3096"/>
      <c r="AA3096" t="s">
        <v>292</v>
      </c>
      <c r="AB3096" t="s">
        <v>1</v>
      </c>
      <c r="AC3096" t="s">
        <v>138</v>
      </c>
      <c r="AD3096" t="s">
        <v>130</v>
      </c>
      <c r="AE3096" s="97"/>
    </row>
    <row r="3097" spans="1:31" ht="14.4" customHeight="1" x14ac:dyDescent="0.3">
      <c r="A3097" t="s">
        <v>5687</v>
      </c>
      <c r="B3097" t="s">
        <v>1185</v>
      </c>
      <c r="C3097"/>
      <c r="D3097"/>
      <c r="E3097"/>
      <c r="F3097"/>
      <c r="G3097" t="s">
        <v>5356</v>
      </c>
      <c r="H3097" t="s">
        <v>132</v>
      </c>
      <c r="I3097" t="s">
        <v>1</v>
      </c>
      <c r="J3097" t="s">
        <v>5298</v>
      </c>
      <c r="K3097" t="s">
        <v>51</v>
      </c>
      <c r="L3097" t="s">
        <v>1186</v>
      </c>
      <c r="M3097" t="s">
        <v>134</v>
      </c>
      <c r="N3097" t="s">
        <v>135</v>
      </c>
      <c r="O3097"/>
      <c r="P3097"/>
      <c r="Q3097" t="s">
        <v>168</v>
      </c>
      <c r="R3097"/>
      <c r="S3097"/>
      <c r="T3097" t="s">
        <v>169</v>
      </c>
      <c r="U3097" t="s">
        <v>137</v>
      </c>
      <c r="V3097" t="s">
        <v>358</v>
      </c>
      <c r="W3097"/>
      <c r="X3097" t="s">
        <v>124</v>
      </c>
      <c r="Y3097"/>
      <c r="Z3097"/>
      <c r="AA3097" t="s">
        <v>292</v>
      </c>
      <c r="AB3097" t="s">
        <v>1</v>
      </c>
      <c r="AC3097" t="s">
        <v>138</v>
      </c>
      <c r="AD3097" t="s">
        <v>130</v>
      </c>
      <c r="AE3097" s="97"/>
    </row>
    <row r="3098" spans="1:31" ht="14.4" customHeight="1" x14ac:dyDescent="0.3">
      <c r="A3098" t="s">
        <v>5688</v>
      </c>
      <c r="B3098" t="s">
        <v>1188</v>
      </c>
      <c r="C3098"/>
      <c r="D3098"/>
      <c r="E3098"/>
      <c r="F3098"/>
      <c r="G3098" t="s">
        <v>5356</v>
      </c>
      <c r="H3098" t="s">
        <v>132</v>
      </c>
      <c r="I3098" t="s">
        <v>1</v>
      </c>
      <c r="J3098" t="s">
        <v>5298</v>
      </c>
      <c r="K3098" t="s">
        <v>51</v>
      </c>
      <c r="L3098" t="s">
        <v>1189</v>
      </c>
      <c r="M3098" t="s">
        <v>134</v>
      </c>
      <c r="N3098" t="s">
        <v>135</v>
      </c>
      <c r="O3098"/>
      <c r="P3098"/>
      <c r="Q3098" t="s">
        <v>168</v>
      </c>
      <c r="R3098"/>
      <c r="S3098"/>
      <c r="T3098" t="s">
        <v>169</v>
      </c>
      <c r="U3098" t="s">
        <v>137</v>
      </c>
      <c r="V3098" t="s">
        <v>1190</v>
      </c>
      <c r="W3098" s="9">
        <v>46192.203636805556</v>
      </c>
      <c r="X3098" t="s">
        <v>67</v>
      </c>
      <c r="Y3098"/>
      <c r="Z3098"/>
      <c r="AA3098" t="s">
        <v>292</v>
      </c>
      <c r="AB3098" t="s">
        <v>1</v>
      </c>
      <c r="AC3098" t="s">
        <v>24</v>
      </c>
      <c r="AD3098" t="s">
        <v>128</v>
      </c>
      <c r="AE3098" s="97"/>
    </row>
    <row r="3099" spans="1:31" ht="14.4" customHeight="1" x14ac:dyDescent="0.3">
      <c r="A3099" t="s">
        <v>5689</v>
      </c>
      <c r="B3099" t="s">
        <v>1192</v>
      </c>
      <c r="C3099"/>
      <c r="D3099"/>
      <c r="E3099"/>
      <c r="F3099"/>
      <c r="G3099" t="s">
        <v>5356</v>
      </c>
      <c r="H3099" t="s">
        <v>132</v>
      </c>
      <c r="I3099" t="s">
        <v>1</v>
      </c>
      <c r="J3099" t="s">
        <v>5298</v>
      </c>
      <c r="K3099" t="s">
        <v>51</v>
      </c>
      <c r="L3099" t="s">
        <v>1193</v>
      </c>
      <c r="M3099" t="s">
        <v>134</v>
      </c>
      <c r="N3099" t="s">
        <v>135</v>
      </c>
      <c r="O3099"/>
      <c r="P3099"/>
      <c r="Q3099" t="s">
        <v>168</v>
      </c>
      <c r="R3099"/>
      <c r="S3099"/>
      <c r="T3099" t="s">
        <v>169</v>
      </c>
      <c r="U3099" t="s">
        <v>137</v>
      </c>
      <c r="V3099" t="s">
        <v>1194</v>
      </c>
      <c r="W3099" s="9">
        <v>46192.203761076387</v>
      </c>
      <c r="X3099" t="s">
        <v>75</v>
      </c>
      <c r="Y3099"/>
      <c r="Z3099"/>
      <c r="AA3099" t="s">
        <v>292</v>
      </c>
      <c r="AB3099" t="s">
        <v>1</v>
      </c>
      <c r="AC3099" t="s">
        <v>24</v>
      </c>
      <c r="AD3099" t="s">
        <v>128</v>
      </c>
      <c r="AE3099" s="97"/>
    </row>
    <row r="3100" spans="1:31" ht="14.4" customHeight="1" x14ac:dyDescent="0.3">
      <c r="A3100" t="s">
        <v>5690</v>
      </c>
      <c r="B3100" t="s">
        <v>1196</v>
      </c>
      <c r="C3100"/>
      <c r="D3100"/>
      <c r="E3100"/>
      <c r="F3100"/>
      <c r="G3100" t="s">
        <v>5356</v>
      </c>
      <c r="H3100" t="s">
        <v>132</v>
      </c>
      <c r="I3100" t="s">
        <v>1</v>
      </c>
      <c r="J3100" t="s">
        <v>5298</v>
      </c>
      <c r="K3100" t="s">
        <v>51</v>
      </c>
      <c r="L3100" t="s">
        <v>1197</v>
      </c>
      <c r="M3100" t="s">
        <v>134</v>
      </c>
      <c r="N3100" t="s">
        <v>135</v>
      </c>
      <c r="O3100"/>
      <c r="P3100"/>
      <c r="Q3100" t="s">
        <v>168</v>
      </c>
      <c r="R3100"/>
      <c r="S3100"/>
      <c r="T3100" t="s">
        <v>169</v>
      </c>
      <c r="U3100" t="s">
        <v>137</v>
      </c>
      <c r="V3100" t="s">
        <v>1198</v>
      </c>
      <c r="W3100"/>
      <c r="X3100" t="s">
        <v>86</v>
      </c>
      <c r="Y3100"/>
      <c r="Z3100"/>
      <c r="AA3100" t="s">
        <v>292</v>
      </c>
      <c r="AB3100" t="s">
        <v>1</v>
      </c>
      <c r="AC3100" t="s">
        <v>138</v>
      </c>
      <c r="AD3100" t="s">
        <v>129</v>
      </c>
      <c r="AE3100" s="97"/>
    </row>
    <row r="3101" spans="1:31" ht="14.4" customHeight="1" x14ac:dyDescent="0.3">
      <c r="A3101" t="s">
        <v>5691</v>
      </c>
      <c r="B3101" t="s">
        <v>1200</v>
      </c>
      <c r="C3101"/>
      <c r="D3101"/>
      <c r="E3101"/>
      <c r="F3101"/>
      <c r="G3101" t="s">
        <v>5356</v>
      </c>
      <c r="H3101" t="s">
        <v>132</v>
      </c>
      <c r="I3101" t="s">
        <v>1</v>
      </c>
      <c r="J3101" t="s">
        <v>5298</v>
      </c>
      <c r="K3101" t="s">
        <v>51</v>
      </c>
      <c r="L3101" t="s">
        <v>1201</v>
      </c>
      <c r="M3101" t="s">
        <v>134</v>
      </c>
      <c r="N3101" t="s">
        <v>135</v>
      </c>
      <c r="O3101"/>
      <c r="P3101"/>
      <c r="Q3101" t="s">
        <v>168</v>
      </c>
      <c r="R3101"/>
      <c r="S3101"/>
      <c r="T3101" t="s">
        <v>169</v>
      </c>
      <c r="U3101" t="s">
        <v>137</v>
      </c>
      <c r="V3101" t="s">
        <v>1202</v>
      </c>
      <c r="W3101" s="9">
        <v>46192.203833715277</v>
      </c>
      <c r="X3101" t="s">
        <v>95</v>
      </c>
      <c r="Y3101"/>
      <c r="Z3101"/>
      <c r="AA3101" t="s">
        <v>292</v>
      </c>
      <c r="AB3101" t="s">
        <v>1</v>
      </c>
      <c r="AC3101" t="s">
        <v>24</v>
      </c>
      <c r="AD3101" t="s">
        <v>129</v>
      </c>
      <c r="AE3101" s="97"/>
    </row>
    <row r="3102" spans="1:31" ht="14.4" customHeight="1" x14ac:dyDescent="0.3">
      <c r="A3102" t="s">
        <v>5692</v>
      </c>
      <c r="B3102" t="s">
        <v>1204</v>
      </c>
      <c r="C3102"/>
      <c r="D3102"/>
      <c r="E3102"/>
      <c r="F3102"/>
      <c r="G3102" t="s">
        <v>5356</v>
      </c>
      <c r="H3102" t="s">
        <v>132</v>
      </c>
      <c r="I3102" t="s">
        <v>1</v>
      </c>
      <c r="J3102" t="s">
        <v>5298</v>
      </c>
      <c r="K3102" t="s">
        <v>51</v>
      </c>
      <c r="L3102" t="s">
        <v>1205</v>
      </c>
      <c r="M3102" t="s">
        <v>134</v>
      </c>
      <c r="N3102" t="s">
        <v>135</v>
      </c>
      <c r="O3102"/>
      <c r="P3102"/>
      <c r="Q3102" t="s">
        <v>168</v>
      </c>
      <c r="R3102"/>
      <c r="S3102"/>
      <c r="T3102" t="s">
        <v>169</v>
      </c>
      <c r="U3102" t="s">
        <v>137</v>
      </c>
      <c r="V3102" t="s">
        <v>1206</v>
      </c>
      <c r="W3102"/>
      <c r="X3102" t="s">
        <v>104</v>
      </c>
      <c r="Y3102"/>
      <c r="Z3102"/>
      <c r="AA3102" t="s">
        <v>292</v>
      </c>
      <c r="AB3102" t="s">
        <v>1</v>
      </c>
      <c r="AC3102" t="s">
        <v>138</v>
      </c>
      <c r="AD3102" t="s">
        <v>129</v>
      </c>
      <c r="AE3102" s="97"/>
    </row>
    <row r="3103" spans="1:31" ht="14.4" customHeight="1" x14ac:dyDescent="0.3">
      <c r="A3103" t="s">
        <v>5693</v>
      </c>
      <c r="B3103" t="s">
        <v>1208</v>
      </c>
      <c r="C3103"/>
      <c r="D3103"/>
      <c r="E3103"/>
      <c r="F3103"/>
      <c r="G3103" t="s">
        <v>5356</v>
      </c>
      <c r="H3103" t="s">
        <v>132</v>
      </c>
      <c r="I3103" t="s">
        <v>1</v>
      </c>
      <c r="J3103" t="s">
        <v>5298</v>
      </c>
      <c r="K3103" t="s">
        <v>51</v>
      </c>
      <c r="L3103" t="s">
        <v>1209</v>
      </c>
      <c r="M3103" t="s">
        <v>134</v>
      </c>
      <c r="N3103" t="s">
        <v>135</v>
      </c>
      <c r="O3103"/>
      <c r="P3103"/>
      <c r="Q3103" t="s">
        <v>168</v>
      </c>
      <c r="R3103"/>
      <c r="S3103"/>
      <c r="T3103" t="s">
        <v>169</v>
      </c>
      <c r="U3103" t="s">
        <v>137</v>
      </c>
      <c r="V3103" t="s">
        <v>1210</v>
      </c>
      <c r="W3103"/>
      <c r="X3103" t="s">
        <v>111</v>
      </c>
      <c r="Y3103"/>
      <c r="Z3103"/>
      <c r="AA3103" t="s">
        <v>292</v>
      </c>
      <c r="AB3103" t="s">
        <v>1</v>
      </c>
      <c r="AC3103" t="s">
        <v>138</v>
      </c>
      <c r="AD3103" t="s">
        <v>129</v>
      </c>
      <c r="AE3103" s="97"/>
    </row>
    <row r="3104" spans="1:31" ht="14.4" customHeight="1" x14ac:dyDescent="0.3">
      <c r="A3104" t="s">
        <v>5694</v>
      </c>
      <c r="B3104" t="s">
        <v>1212</v>
      </c>
      <c r="C3104"/>
      <c r="D3104"/>
      <c r="E3104"/>
      <c r="F3104"/>
      <c r="G3104" t="s">
        <v>5356</v>
      </c>
      <c r="H3104" t="s">
        <v>132</v>
      </c>
      <c r="I3104" t="s">
        <v>1</v>
      </c>
      <c r="J3104" t="s">
        <v>5298</v>
      </c>
      <c r="K3104" t="s">
        <v>51</v>
      </c>
      <c r="L3104" t="s">
        <v>1213</v>
      </c>
      <c r="M3104" t="s">
        <v>134</v>
      </c>
      <c r="N3104" t="s">
        <v>135</v>
      </c>
      <c r="O3104"/>
      <c r="P3104"/>
      <c r="Q3104" t="s">
        <v>168</v>
      </c>
      <c r="R3104"/>
      <c r="S3104"/>
      <c r="T3104" t="s">
        <v>169</v>
      </c>
      <c r="U3104" t="s">
        <v>137</v>
      </c>
      <c r="V3104" t="s">
        <v>1214</v>
      </c>
      <c r="W3104"/>
      <c r="X3104" t="s">
        <v>120</v>
      </c>
      <c r="Y3104"/>
      <c r="Z3104"/>
      <c r="AA3104" t="s">
        <v>292</v>
      </c>
      <c r="AB3104" t="s">
        <v>1</v>
      </c>
      <c r="AC3104" t="s">
        <v>138</v>
      </c>
      <c r="AD3104" t="s">
        <v>130</v>
      </c>
      <c r="AE3104" s="97"/>
    </row>
    <row r="3105" spans="1:31" ht="14.4" customHeight="1" x14ac:dyDescent="0.3">
      <c r="A3105" t="s">
        <v>5695</v>
      </c>
      <c r="B3105" t="s">
        <v>1216</v>
      </c>
      <c r="C3105"/>
      <c r="D3105"/>
      <c r="E3105"/>
      <c r="F3105"/>
      <c r="G3105" t="s">
        <v>5356</v>
      </c>
      <c r="H3105" t="s">
        <v>132</v>
      </c>
      <c r="I3105" t="s">
        <v>1</v>
      </c>
      <c r="J3105" t="s">
        <v>5298</v>
      </c>
      <c r="K3105" t="s">
        <v>51</v>
      </c>
      <c r="L3105" t="s">
        <v>1217</v>
      </c>
      <c r="M3105" t="s">
        <v>134</v>
      </c>
      <c r="N3105" t="s">
        <v>135</v>
      </c>
      <c r="O3105"/>
      <c r="P3105"/>
      <c r="Q3105" t="s">
        <v>168</v>
      </c>
      <c r="R3105"/>
      <c r="S3105"/>
      <c r="T3105" t="s">
        <v>169</v>
      </c>
      <c r="U3105" t="s">
        <v>137</v>
      </c>
      <c r="V3105" t="s">
        <v>147</v>
      </c>
      <c r="W3105" s="9">
        <v>46167.732295520836</v>
      </c>
      <c r="X3105" t="s">
        <v>70</v>
      </c>
      <c r="Y3105"/>
      <c r="Z3105"/>
      <c r="AA3105" t="s">
        <v>292</v>
      </c>
      <c r="AB3105" t="s">
        <v>1</v>
      </c>
      <c r="AC3105" t="s">
        <v>24</v>
      </c>
      <c r="AD3105" t="s">
        <v>128</v>
      </c>
      <c r="AE3105" s="97"/>
    </row>
    <row r="3106" spans="1:31" ht="14.4" customHeight="1" x14ac:dyDescent="0.3">
      <c r="A3106" t="s">
        <v>5696</v>
      </c>
      <c r="B3106" t="s">
        <v>1219</v>
      </c>
      <c r="C3106"/>
      <c r="D3106"/>
      <c r="E3106"/>
      <c r="F3106"/>
      <c r="G3106" t="s">
        <v>5356</v>
      </c>
      <c r="H3106" t="s">
        <v>132</v>
      </c>
      <c r="I3106" t="s">
        <v>1</v>
      </c>
      <c r="J3106" t="s">
        <v>5298</v>
      </c>
      <c r="K3106" t="s">
        <v>51</v>
      </c>
      <c r="L3106" t="s">
        <v>1220</v>
      </c>
      <c r="M3106" t="s">
        <v>134</v>
      </c>
      <c r="N3106" t="s">
        <v>135</v>
      </c>
      <c r="O3106"/>
      <c r="P3106"/>
      <c r="Q3106" t="s">
        <v>168</v>
      </c>
      <c r="R3106"/>
      <c r="S3106"/>
      <c r="T3106" t="s">
        <v>169</v>
      </c>
      <c r="U3106" t="s">
        <v>137</v>
      </c>
      <c r="V3106" t="s">
        <v>150</v>
      </c>
      <c r="W3106" s="9">
        <v>46167.732601585645</v>
      </c>
      <c r="X3106" t="s">
        <v>76</v>
      </c>
      <c r="Y3106"/>
      <c r="Z3106"/>
      <c r="AA3106" t="s">
        <v>292</v>
      </c>
      <c r="AB3106" t="s">
        <v>1</v>
      </c>
      <c r="AC3106" t="s">
        <v>24</v>
      </c>
      <c r="AD3106" t="s">
        <v>128</v>
      </c>
      <c r="AE3106" s="97"/>
    </row>
    <row r="3107" spans="1:31" ht="14.4" customHeight="1" x14ac:dyDescent="0.3">
      <c r="A3107" t="s">
        <v>5697</v>
      </c>
      <c r="B3107" t="s">
        <v>1222</v>
      </c>
      <c r="C3107"/>
      <c r="D3107"/>
      <c r="E3107"/>
      <c r="F3107"/>
      <c r="G3107" t="s">
        <v>5356</v>
      </c>
      <c r="H3107" t="s">
        <v>132</v>
      </c>
      <c r="I3107" t="s">
        <v>1</v>
      </c>
      <c r="J3107" t="s">
        <v>5298</v>
      </c>
      <c r="K3107" t="s">
        <v>51</v>
      </c>
      <c r="L3107" t="s">
        <v>1223</v>
      </c>
      <c r="M3107" t="s">
        <v>134</v>
      </c>
      <c r="N3107" t="s">
        <v>135</v>
      </c>
      <c r="O3107"/>
      <c r="P3107"/>
      <c r="Q3107" t="s">
        <v>168</v>
      </c>
      <c r="R3107"/>
      <c r="S3107"/>
      <c r="T3107" t="s">
        <v>169</v>
      </c>
      <c r="U3107" t="s">
        <v>137</v>
      </c>
      <c r="V3107" t="s">
        <v>153</v>
      </c>
      <c r="W3107" s="9">
        <v>46171.613006863423</v>
      </c>
      <c r="X3107" t="s">
        <v>88</v>
      </c>
      <c r="Y3107"/>
      <c r="Z3107"/>
      <c r="AA3107" t="s">
        <v>292</v>
      </c>
      <c r="AB3107" t="s">
        <v>1</v>
      </c>
      <c r="AC3107" t="s">
        <v>24</v>
      </c>
      <c r="AD3107" t="s">
        <v>129</v>
      </c>
      <c r="AE3107" s="97"/>
    </row>
    <row r="3108" spans="1:31" ht="14.4" customHeight="1" x14ac:dyDescent="0.3">
      <c r="A3108" t="s">
        <v>5698</v>
      </c>
      <c r="B3108" t="s">
        <v>1225</v>
      </c>
      <c r="C3108"/>
      <c r="D3108"/>
      <c r="E3108"/>
      <c r="F3108"/>
      <c r="G3108" t="s">
        <v>5356</v>
      </c>
      <c r="H3108" t="s">
        <v>132</v>
      </c>
      <c r="I3108" t="s">
        <v>1</v>
      </c>
      <c r="J3108" t="s">
        <v>5298</v>
      </c>
      <c r="K3108" t="s">
        <v>51</v>
      </c>
      <c r="L3108" t="s">
        <v>1226</v>
      </c>
      <c r="M3108" t="s">
        <v>134</v>
      </c>
      <c r="N3108" t="s">
        <v>135</v>
      </c>
      <c r="O3108"/>
      <c r="P3108"/>
      <c r="Q3108" t="s">
        <v>168</v>
      </c>
      <c r="R3108"/>
      <c r="S3108"/>
      <c r="T3108" t="s">
        <v>169</v>
      </c>
      <c r="U3108" t="s">
        <v>137</v>
      </c>
      <c r="V3108" t="s">
        <v>156</v>
      </c>
      <c r="W3108" s="9">
        <v>46171.612555555555</v>
      </c>
      <c r="X3108" t="s">
        <v>97</v>
      </c>
      <c r="Y3108"/>
      <c r="Z3108"/>
      <c r="AA3108" t="s">
        <v>292</v>
      </c>
      <c r="AB3108" t="s">
        <v>1</v>
      </c>
      <c r="AC3108" t="s">
        <v>24</v>
      </c>
      <c r="AD3108" t="s">
        <v>129</v>
      </c>
      <c r="AE3108" s="97"/>
    </row>
    <row r="3109" spans="1:31" ht="14.4" customHeight="1" x14ac:dyDescent="0.3">
      <c r="A3109" t="s">
        <v>5699</v>
      </c>
      <c r="B3109" t="s">
        <v>1228</v>
      </c>
      <c r="C3109"/>
      <c r="D3109"/>
      <c r="E3109"/>
      <c r="F3109"/>
      <c r="G3109" t="s">
        <v>5356</v>
      </c>
      <c r="H3109" t="s">
        <v>132</v>
      </c>
      <c r="I3109" t="s">
        <v>1</v>
      </c>
      <c r="J3109" t="s">
        <v>5298</v>
      </c>
      <c r="K3109" t="s">
        <v>51</v>
      </c>
      <c r="L3109" t="s">
        <v>1229</v>
      </c>
      <c r="M3109" t="s">
        <v>134</v>
      </c>
      <c r="N3109" t="s">
        <v>135</v>
      </c>
      <c r="O3109"/>
      <c r="P3109"/>
      <c r="Q3109" t="s">
        <v>168</v>
      </c>
      <c r="R3109"/>
      <c r="S3109"/>
      <c r="T3109" t="s">
        <v>169</v>
      </c>
      <c r="U3109" t="s">
        <v>137</v>
      </c>
      <c r="V3109" t="s">
        <v>159</v>
      </c>
      <c r="W3109" s="9">
        <v>46171.612306215276</v>
      </c>
      <c r="X3109" t="s">
        <v>106</v>
      </c>
      <c r="Y3109"/>
      <c r="Z3109"/>
      <c r="AA3109" t="s">
        <v>292</v>
      </c>
      <c r="AB3109" t="s">
        <v>1</v>
      </c>
      <c r="AC3109" t="s">
        <v>24</v>
      </c>
      <c r="AD3109" t="s">
        <v>129</v>
      </c>
      <c r="AE3109" s="97"/>
    </row>
    <row r="3110" spans="1:31" ht="14.4" customHeight="1" x14ac:dyDescent="0.3">
      <c r="A3110" t="s">
        <v>5700</v>
      </c>
      <c r="B3110" t="s">
        <v>1231</v>
      </c>
      <c r="C3110"/>
      <c r="D3110"/>
      <c r="E3110"/>
      <c r="F3110"/>
      <c r="G3110" t="s">
        <v>5356</v>
      </c>
      <c r="H3110" t="s">
        <v>132</v>
      </c>
      <c r="I3110" t="s">
        <v>1</v>
      </c>
      <c r="J3110" t="s">
        <v>5298</v>
      </c>
      <c r="K3110" t="s">
        <v>51</v>
      </c>
      <c r="L3110" t="s">
        <v>1232</v>
      </c>
      <c r="M3110" t="s">
        <v>134</v>
      </c>
      <c r="N3110" t="s">
        <v>135</v>
      </c>
      <c r="O3110"/>
      <c r="P3110"/>
      <c r="Q3110" t="s">
        <v>168</v>
      </c>
      <c r="R3110"/>
      <c r="S3110"/>
      <c r="T3110" t="s">
        <v>169</v>
      </c>
      <c r="U3110" t="s">
        <v>137</v>
      </c>
      <c r="V3110" t="s">
        <v>162</v>
      </c>
      <c r="W3110" s="9">
        <v>46171.612031631943</v>
      </c>
      <c r="X3110" t="s">
        <v>113</v>
      </c>
      <c r="Y3110"/>
      <c r="Z3110"/>
      <c r="AA3110" t="s">
        <v>292</v>
      </c>
      <c r="AB3110" t="s">
        <v>1</v>
      </c>
      <c r="AC3110" t="s">
        <v>24</v>
      </c>
      <c r="AD3110" t="s">
        <v>129</v>
      </c>
      <c r="AE3110" s="97"/>
    </row>
    <row r="3111" spans="1:31" ht="14.4" customHeight="1" x14ac:dyDescent="0.3">
      <c r="A3111" t="s">
        <v>5701</v>
      </c>
      <c r="B3111" t="s">
        <v>1234</v>
      </c>
      <c r="C3111"/>
      <c r="D3111"/>
      <c r="E3111"/>
      <c r="F3111"/>
      <c r="G3111" t="s">
        <v>5356</v>
      </c>
      <c r="H3111" t="s">
        <v>132</v>
      </c>
      <c r="I3111" t="s">
        <v>1</v>
      </c>
      <c r="J3111" t="s">
        <v>5298</v>
      </c>
      <c r="K3111" t="s">
        <v>51</v>
      </c>
      <c r="L3111" t="s">
        <v>1235</v>
      </c>
      <c r="M3111" t="s">
        <v>134</v>
      </c>
      <c r="N3111" t="s">
        <v>135</v>
      </c>
      <c r="O3111"/>
      <c r="P3111"/>
      <c r="Q3111" t="s">
        <v>168</v>
      </c>
      <c r="R3111"/>
      <c r="S3111"/>
      <c r="T3111" t="s">
        <v>169</v>
      </c>
      <c r="U3111" t="s">
        <v>137</v>
      </c>
      <c r="V3111" t="s">
        <v>165</v>
      </c>
      <c r="W3111" s="9">
        <v>46167.734155439815</v>
      </c>
      <c r="X3111" t="s">
        <v>122</v>
      </c>
      <c r="Y3111"/>
      <c r="Z3111"/>
      <c r="AA3111" t="s">
        <v>292</v>
      </c>
      <c r="AB3111" t="s">
        <v>1</v>
      </c>
      <c r="AC3111" t="s">
        <v>24</v>
      </c>
      <c r="AD3111" t="s">
        <v>130</v>
      </c>
      <c r="AE3111" s="97"/>
    </row>
    <row r="3112" spans="1:31" ht="14.4" customHeight="1" x14ac:dyDescent="0.3">
      <c r="A3112" t="s">
        <v>5702</v>
      </c>
      <c r="B3112" t="s">
        <v>1237</v>
      </c>
      <c r="C3112"/>
      <c r="D3112"/>
      <c r="E3112"/>
      <c r="F3112"/>
      <c r="G3112" t="s">
        <v>5356</v>
      </c>
      <c r="H3112" t="s">
        <v>132</v>
      </c>
      <c r="I3112" t="s">
        <v>1</v>
      </c>
      <c r="J3112" t="s">
        <v>5298</v>
      </c>
      <c r="K3112" t="s">
        <v>51</v>
      </c>
      <c r="L3112" t="s">
        <v>1238</v>
      </c>
      <c r="M3112" t="s">
        <v>134</v>
      </c>
      <c r="N3112" t="s">
        <v>135</v>
      </c>
      <c r="O3112"/>
      <c r="P3112"/>
      <c r="Q3112" t="s">
        <v>168</v>
      </c>
      <c r="R3112"/>
      <c r="S3112"/>
      <c r="T3112" t="s">
        <v>169</v>
      </c>
      <c r="U3112" t="s">
        <v>137</v>
      </c>
      <c r="V3112" t="s">
        <v>1239</v>
      </c>
      <c r="W3112"/>
      <c r="X3112" t="s">
        <v>127</v>
      </c>
      <c r="Y3112"/>
      <c r="Z3112"/>
      <c r="AA3112" t="s">
        <v>292</v>
      </c>
      <c r="AB3112" t="s">
        <v>1</v>
      </c>
      <c r="AC3112" t="s">
        <v>138</v>
      </c>
      <c r="AD3112" t="s">
        <v>131</v>
      </c>
      <c r="AE3112" s="97"/>
    </row>
    <row r="3113" spans="1:31" ht="14.4" customHeight="1" x14ac:dyDescent="0.3">
      <c r="A3113" t="s">
        <v>5703</v>
      </c>
      <c r="B3113" t="s">
        <v>1241</v>
      </c>
      <c r="C3113"/>
      <c r="D3113"/>
      <c r="E3113"/>
      <c r="F3113"/>
      <c r="G3113" t="s">
        <v>5356</v>
      </c>
      <c r="H3113" t="s">
        <v>132</v>
      </c>
      <c r="I3113" t="s">
        <v>1</v>
      </c>
      <c r="J3113" t="s">
        <v>5298</v>
      </c>
      <c r="K3113" t="s">
        <v>51</v>
      </c>
      <c r="L3113" t="s">
        <v>1242</v>
      </c>
      <c r="M3113" t="s">
        <v>134</v>
      </c>
      <c r="N3113" t="s">
        <v>135</v>
      </c>
      <c r="O3113"/>
      <c r="P3113"/>
      <c r="Q3113" t="s">
        <v>168</v>
      </c>
      <c r="R3113"/>
      <c r="S3113"/>
      <c r="T3113" t="s">
        <v>169</v>
      </c>
      <c r="U3113" t="s">
        <v>137</v>
      </c>
      <c r="V3113" t="s">
        <v>1239</v>
      </c>
      <c r="W3113"/>
      <c r="X3113" t="s">
        <v>127</v>
      </c>
      <c r="Y3113"/>
      <c r="Z3113"/>
      <c r="AA3113" t="s">
        <v>292</v>
      </c>
      <c r="AB3113" t="s">
        <v>1</v>
      </c>
      <c r="AC3113" t="s">
        <v>138</v>
      </c>
      <c r="AD3113" t="s">
        <v>131</v>
      </c>
      <c r="AE3113" s="97"/>
    </row>
    <row r="3114" spans="1:31" ht="14.4" customHeight="1" x14ac:dyDescent="0.3">
      <c r="A3114" t="s">
        <v>5704</v>
      </c>
      <c r="B3114" t="s">
        <v>1244</v>
      </c>
      <c r="C3114"/>
      <c r="D3114"/>
      <c r="E3114"/>
      <c r="F3114"/>
      <c r="G3114" t="s">
        <v>5356</v>
      </c>
      <c r="H3114" t="s">
        <v>132</v>
      </c>
      <c r="I3114" t="s">
        <v>1</v>
      </c>
      <c r="J3114" t="s">
        <v>5298</v>
      </c>
      <c r="K3114" t="s">
        <v>51</v>
      </c>
      <c r="L3114" t="s">
        <v>1245</v>
      </c>
      <c r="M3114" t="s">
        <v>134</v>
      </c>
      <c r="N3114" t="s">
        <v>135</v>
      </c>
      <c r="O3114"/>
      <c r="P3114"/>
      <c r="Q3114" t="s">
        <v>168</v>
      </c>
      <c r="R3114"/>
      <c r="S3114"/>
      <c r="T3114" t="s">
        <v>169</v>
      </c>
      <c r="U3114" t="s">
        <v>137</v>
      </c>
      <c r="V3114" t="s">
        <v>1239</v>
      </c>
      <c r="W3114"/>
      <c r="X3114" t="s">
        <v>127</v>
      </c>
      <c r="Y3114"/>
      <c r="Z3114"/>
      <c r="AA3114" t="s">
        <v>292</v>
      </c>
      <c r="AB3114" t="s">
        <v>1</v>
      </c>
      <c r="AC3114" t="s">
        <v>138</v>
      </c>
      <c r="AD3114" t="s">
        <v>131</v>
      </c>
      <c r="AE3114" s="97"/>
    </row>
    <row r="3115" spans="1:31" ht="14.4" customHeight="1" x14ac:dyDescent="0.3">
      <c r="A3115" t="s">
        <v>5705</v>
      </c>
      <c r="B3115" t="s">
        <v>1247</v>
      </c>
      <c r="C3115"/>
      <c r="D3115"/>
      <c r="E3115"/>
      <c r="F3115"/>
      <c r="G3115" t="s">
        <v>5356</v>
      </c>
      <c r="H3115" t="s">
        <v>132</v>
      </c>
      <c r="I3115" t="s">
        <v>1</v>
      </c>
      <c r="J3115" t="s">
        <v>5298</v>
      </c>
      <c r="K3115" t="s">
        <v>51</v>
      </c>
      <c r="L3115" t="s">
        <v>1248</v>
      </c>
      <c r="M3115" t="s">
        <v>134</v>
      </c>
      <c r="N3115" t="s">
        <v>135</v>
      </c>
      <c r="O3115"/>
      <c r="P3115"/>
      <c r="Q3115" t="s">
        <v>168</v>
      </c>
      <c r="R3115"/>
      <c r="S3115"/>
      <c r="T3115" t="s">
        <v>169</v>
      </c>
      <c r="U3115" t="s">
        <v>137</v>
      </c>
      <c r="V3115" t="s">
        <v>1249</v>
      </c>
      <c r="W3115" s="9">
        <v>46192.192585381941</v>
      </c>
      <c r="X3115" t="s">
        <v>61</v>
      </c>
      <c r="Y3115"/>
      <c r="Z3115"/>
      <c r="AA3115" t="s">
        <v>292</v>
      </c>
      <c r="AB3115" t="s">
        <v>1</v>
      </c>
      <c r="AC3115" t="s">
        <v>24</v>
      </c>
      <c r="AD3115" t="s">
        <v>128</v>
      </c>
      <c r="AE3115" s="97"/>
    </row>
    <row r="3116" spans="1:31" ht="14.4" customHeight="1" x14ac:dyDescent="0.3">
      <c r="A3116" t="s">
        <v>5706</v>
      </c>
      <c r="B3116" t="s">
        <v>1251</v>
      </c>
      <c r="C3116"/>
      <c r="D3116"/>
      <c r="E3116"/>
      <c r="F3116"/>
      <c r="G3116" t="s">
        <v>5356</v>
      </c>
      <c r="H3116" t="s">
        <v>132</v>
      </c>
      <c r="I3116" t="s">
        <v>1</v>
      </c>
      <c r="J3116" t="s">
        <v>5298</v>
      </c>
      <c r="K3116" t="s">
        <v>51</v>
      </c>
      <c r="L3116" t="s">
        <v>1252</v>
      </c>
      <c r="M3116" t="s">
        <v>134</v>
      </c>
      <c r="N3116" t="s">
        <v>135</v>
      </c>
      <c r="O3116"/>
      <c r="P3116"/>
      <c r="Q3116" t="s">
        <v>168</v>
      </c>
      <c r="R3116"/>
      <c r="S3116"/>
      <c r="T3116" t="s">
        <v>169</v>
      </c>
      <c r="U3116" t="s">
        <v>137</v>
      </c>
      <c r="V3116" t="s">
        <v>1249</v>
      </c>
      <c r="W3116" s="9">
        <v>46192.192874224536</v>
      </c>
      <c r="X3116" t="s">
        <v>61</v>
      </c>
      <c r="Y3116"/>
      <c r="Z3116"/>
      <c r="AA3116" t="s">
        <v>292</v>
      </c>
      <c r="AB3116" t="s">
        <v>1</v>
      </c>
      <c r="AC3116" t="s">
        <v>24</v>
      </c>
      <c r="AD3116" t="s">
        <v>128</v>
      </c>
      <c r="AE3116" s="97"/>
    </row>
    <row r="3117" spans="1:31" ht="14.4" customHeight="1" x14ac:dyDescent="0.3">
      <c r="A3117" t="s">
        <v>5707</v>
      </c>
      <c r="B3117" t="s">
        <v>1254</v>
      </c>
      <c r="C3117"/>
      <c r="D3117"/>
      <c r="E3117"/>
      <c r="F3117"/>
      <c r="G3117" t="s">
        <v>5356</v>
      </c>
      <c r="H3117" t="s">
        <v>132</v>
      </c>
      <c r="I3117" t="s">
        <v>1</v>
      </c>
      <c r="J3117" t="s">
        <v>5298</v>
      </c>
      <c r="K3117" t="s">
        <v>51</v>
      </c>
      <c r="L3117" t="s">
        <v>1255</v>
      </c>
      <c r="M3117" t="s">
        <v>134</v>
      </c>
      <c r="N3117" t="s">
        <v>135</v>
      </c>
      <c r="O3117"/>
      <c r="P3117"/>
      <c r="Q3117" t="s">
        <v>168</v>
      </c>
      <c r="R3117"/>
      <c r="S3117"/>
      <c r="T3117" t="s">
        <v>169</v>
      </c>
      <c r="U3117" t="s">
        <v>137</v>
      </c>
      <c r="V3117" t="s">
        <v>1249</v>
      </c>
      <c r="W3117" s="9">
        <v>46179.201117048608</v>
      </c>
      <c r="X3117" t="s">
        <v>61</v>
      </c>
      <c r="Y3117"/>
      <c r="Z3117"/>
      <c r="AA3117" t="s">
        <v>292</v>
      </c>
      <c r="AB3117" t="s">
        <v>1</v>
      </c>
      <c r="AC3117" t="s">
        <v>24</v>
      </c>
      <c r="AD3117" t="s">
        <v>128</v>
      </c>
      <c r="AE3117" s="97"/>
    </row>
    <row r="3118" spans="1:31" ht="14.4" customHeight="1" x14ac:dyDescent="0.3">
      <c r="A3118" t="s">
        <v>5708</v>
      </c>
      <c r="B3118" t="s">
        <v>1257</v>
      </c>
      <c r="C3118"/>
      <c r="D3118"/>
      <c r="E3118"/>
      <c r="F3118"/>
      <c r="G3118" t="s">
        <v>5356</v>
      </c>
      <c r="H3118" t="s">
        <v>132</v>
      </c>
      <c r="I3118" t="s">
        <v>1</v>
      </c>
      <c r="J3118" t="s">
        <v>5298</v>
      </c>
      <c r="K3118" t="s">
        <v>51</v>
      </c>
      <c r="L3118" t="s">
        <v>1258</v>
      </c>
      <c r="M3118" t="s">
        <v>134</v>
      </c>
      <c r="N3118" t="s">
        <v>135</v>
      </c>
      <c r="O3118"/>
      <c r="P3118"/>
      <c r="Q3118" t="s">
        <v>168</v>
      </c>
      <c r="R3118"/>
      <c r="S3118"/>
      <c r="T3118" t="s">
        <v>169</v>
      </c>
      <c r="U3118" t="s">
        <v>137</v>
      </c>
      <c r="V3118" t="s">
        <v>1259</v>
      </c>
      <c r="W3118" s="9">
        <v>46184.205284756943</v>
      </c>
      <c r="X3118" t="s">
        <v>126</v>
      </c>
      <c r="Y3118"/>
      <c r="Z3118"/>
      <c r="AA3118" t="s">
        <v>292</v>
      </c>
      <c r="AB3118" t="s">
        <v>1</v>
      </c>
      <c r="AC3118" t="s">
        <v>24</v>
      </c>
      <c r="AD3118" t="s">
        <v>131</v>
      </c>
      <c r="AE3118" s="97"/>
    </row>
    <row r="3119" spans="1:31" ht="14.4" customHeight="1" x14ac:dyDescent="0.3">
      <c r="A3119" t="s">
        <v>5709</v>
      </c>
      <c r="B3119" t="s">
        <v>1261</v>
      </c>
      <c r="C3119"/>
      <c r="D3119"/>
      <c r="E3119"/>
      <c r="F3119"/>
      <c r="G3119" t="s">
        <v>5356</v>
      </c>
      <c r="H3119" t="s">
        <v>132</v>
      </c>
      <c r="I3119" t="s">
        <v>1</v>
      </c>
      <c r="J3119" t="s">
        <v>5298</v>
      </c>
      <c r="K3119" t="s">
        <v>51</v>
      </c>
      <c r="L3119" t="s">
        <v>1262</v>
      </c>
      <c r="M3119" t="s">
        <v>134</v>
      </c>
      <c r="N3119" t="s">
        <v>135</v>
      </c>
      <c r="O3119"/>
      <c r="P3119"/>
      <c r="Q3119" t="s">
        <v>168</v>
      </c>
      <c r="R3119"/>
      <c r="S3119"/>
      <c r="T3119" t="s">
        <v>169</v>
      </c>
      <c r="U3119" t="s">
        <v>137</v>
      </c>
      <c r="V3119" t="s">
        <v>1263</v>
      </c>
      <c r="W3119" s="9">
        <v>46177.749149884257</v>
      </c>
      <c r="X3119" t="s">
        <v>69</v>
      </c>
      <c r="Y3119"/>
      <c r="Z3119"/>
      <c r="AA3119" t="s">
        <v>292</v>
      </c>
      <c r="AB3119" t="s">
        <v>1</v>
      </c>
      <c r="AC3119" t="s">
        <v>24</v>
      </c>
      <c r="AD3119" t="s">
        <v>128</v>
      </c>
      <c r="AE3119" s="97"/>
    </row>
    <row r="3120" spans="1:31" ht="14.4" customHeight="1" x14ac:dyDescent="0.3">
      <c r="A3120" t="s">
        <v>5710</v>
      </c>
      <c r="B3120" t="s">
        <v>1265</v>
      </c>
      <c r="C3120"/>
      <c r="D3120"/>
      <c r="E3120"/>
      <c r="F3120"/>
      <c r="G3120" t="s">
        <v>5356</v>
      </c>
      <c r="H3120" t="s">
        <v>132</v>
      </c>
      <c r="I3120" t="s">
        <v>1</v>
      </c>
      <c r="J3120" t="s">
        <v>5298</v>
      </c>
      <c r="K3120" t="s">
        <v>51</v>
      </c>
      <c r="L3120" t="s">
        <v>1266</v>
      </c>
      <c r="M3120" t="s">
        <v>134</v>
      </c>
      <c r="N3120" t="s">
        <v>135</v>
      </c>
      <c r="O3120"/>
      <c r="P3120"/>
      <c r="Q3120" t="s">
        <v>168</v>
      </c>
      <c r="R3120"/>
      <c r="S3120"/>
      <c r="T3120" t="s">
        <v>169</v>
      </c>
      <c r="U3120" t="s">
        <v>137</v>
      </c>
      <c r="V3120" t="s">
        <v>1259</v>
      </c>
      <c r="W3120" s="9">
        <v>46184.205567442128</v>
      </c>
      <c r="X3120" t="s">
        <v>126</v>
      </c>
      <c r="Y3120"/>
      <c r="Z3120"/>
      <c r="AA3120" t="s">
        <v>292</v>
      </c>
      <c r="AB3120" t="s">
        <v>1</v>
      </c>
      <c r="AC3120" t="s">
        <v>24</v>
      </c>
      <c r="AD3120" t="s">
        <v>131</v>
      </c>
      <c r="AE3120" s="97"/>
    </row>
    <row r="3121" spans="1:31" ht="14.4" customHeight="1" x14ac:dyDescent="0.3">
      <c r="A3121" t="s">
        <v>5711</v>
      </c>
      <c r="B3121" t="s">
        <v>1268</v>
      </c>
      <c r="C3121"/>
      <c r="D3121"/>
      <c r="E3121"/>
      <c r="F3121"/>
      <c r="G3121" t="s">
        <v>5356</v>
      </c>
      <c r="H3121" t="s">
        <v>132</v>
      </c>
      <c r="I3121" t="s">
        <v>1</v>
      </c>
      <c r="J3121" t="s">
        <v>5298</v>
      </c>
      <c r="K3121" t="s">
        <v>51</v>
      </c>
      <c r="L3121" t="s">
        <v>1269</v>
      </c>
      <c r="M3121" t="s">
        <v>134</v>
      </c>
      <c r="N3121" t="s">
        <v>135</v>
      </c>
      <c r="O3121"/>
      <c r="P3121"/>
      <c r="Q3121" t="s">
        <v>168</v>
      </c>
      <c r="R3121"/>
      <c r="S3121"/>
      <c r="T3121" t="s">
        <v>169</v>
      </c>
      <c r="U3121" t="s">
        <v>137</v>
      </c>
      <c r="V3121" t="s">
        <v>1263</v>
      </c>
      <c r="W3121" s="9">
        <v>46177.749659490742</v>
      </c>
      <c r="X3121" t="s">
        <v>69</v>
      </c>
      <c r="Y3121"/>
      <c r="Z3121"/>
      <c r="AA3121" t="s">
        <v>292</v>
      </c>
      <c r="AB3121" t="s">
        <v>1</v>
      </c>
      <c r="AC3121" t="s">
        <v>24</v>
      </c>
      <c r="AD3121" t="s">
        <v>128</v>
      </c>
      <c r="AE3121" s="97"/>
    </row>
    <row r="3122" spans="1:31" ht="14.4" customHeight="1" x14ac:dyDescent="0.3">
      <c r="A3122" t="s">
        <v>5712</v>
      </c>
      <c r="B3122" t="s">
        <v>1271</v>
      </c>
      <c r="C3122"/>
      <c r="D3122"/>
      <c r="E3122"/>
      <c r="F3122"/>
      <c r="G3122" t="s">
        <v>5356</v>
      </c>
      <c r="H3122" t="s">
        <v>132</v>
      </c>
      <c r="I3122" t="s">
        <v>1</v>
      </c>
      <c r="J3122" t="s">
        <v>5298</v>
      </c>
      <c r="K3122" t="s">
        <v>51</v>
      </c>
      <c r="L3122" t="s">
        <v>1272</v>
      </c>
      <c r="M3122" t="s">
        <v>134</v>
      </c>
      <c r="N3122" t="s">
        <v>135</v>
      </c>
      <c r="O3122"/>
      <c r="P3122"/>
      <c r="Q3122" t="s">
        <v>168</v>
      </c>
      <c r="R3122"/>
      <c r="S3122"/>
      <c r="T3122" t="s">
        <v>169</v>
      </c>
      <c r="U3122" t="s">
        <v>137</v>
      </c>
      <c r="V3122" t="s">
        <v>1259</v>
      </c>
      <c r="W3122" s="9">
        <v>46177.750676932868</v>
      </c>
      <c r="X3122" t="s">
        <v>126</v>
      </c>
      <c r="Y3122"/>
      <c r="Z3122"/>
      <c r="AA3122" t="s">
        <v>292</v>
      </c>
      <c r="AB3122" t="s">
        <v>1</v>
      </c>
      <c r="AC3122" t="s">
        <v>24</v>
      </c>
      <c r="AD3122" t="s">
        <v>131</v>
      </c>
      <c r="AE3122" s="97"/>
    </row>
    <row r="3123" spans="1:31" ht="14.4" customHeight="1" x14ac:dyDescent="0.3">
      <c r="A3123" t="s">
        <v>5713</v>
      </c>
      <c r="B3123" t="s">
        <v>1274</v>
      </c>
      <c r="C3123"/>
      <c r="D3123"/>
      <c r="E3123"/>
      <c r="F3123"/>
      <c r="G3123" t="s">
        <v>5356</v>
      </c>
      <c r="H3123" t="s">
        <v>132</v>
      </c>
      <c r="I3123" t="s">
        <v>1</v>
      </c>
      <c r="J3123" t="s">
        <v>5298</v>
      </c>
      <c r="K3123" t="s">
        <v>51</v>
      </c>
      <c r="L3123" t="s">
        <v>1275</v>
      </c>
      <c r="M3123" t="s">
        <v>134</v>
      </c>
      <c r="N3123" t="s">
        <v>135</v>
      </c>
      <c r="O3123"/>
      <c r="P3123"/>
      <c r="Q3123" t="s">
        <v>168</v>
      </c>
      <c r="R3123"/>
      <c r="S3123"/>
      <c r="T3123" t="s">
        <v>169</v>
      </c>
      <c r="U3123" t="s">
        <v>137</v>
      </c>
      <c r="V3123" t="s">
        <v>1259</v>
      </c>
      <c r="W3123" s="9">
        <v>46184.206566932873</v>
      </c>
      <c r="X3123" t="s">
        <v>126</v>
      </c>
      <c r="Y3123"/>
      <c r="Z3123"/>
      <c r="AA3123" t="s">
        <v>292</v>
      </c>
      <c r="AB3123" t="s">
        <v>1</v>
      </c>
      <c r="AC3123" t="s">
        <v>24</v>
      </c>
      <c r="AD3123" t="s">
        <v>131</v>
      </c>
      <c r="AE3123" s="97"/>
    </row>
    <row r="3124" spans="1:31" ht="14.4" customHeight="1" x14ac:dyDescent="0.3">
      <c r="A3124" t="s">
        <v>5714</v>
      </c>
      <c r="B3124" t="s">
        <v>1277</v>
      </c>
      <c r="C3124"/>
      <c r="D3124"/>
      <c r="E3124"/>
      <c r="F3124"/>
      <c r="G3124" t="s">
        <v>5356</v>
      </c>
      <c r="H3124" t="s">
        <v>132</v>
      </c>
      <c r="I3124" t="s">
        <v>1</v>
      </c>
      <c r="J3124" t="s">
        <v>5298</v>
      </c>
      <c r="K3124" t="s">
        <v>51</v>
      </c>
      <c r="L3124" t="s">
        <v>1278</v>
      </c>
      <c r="M3124" t="s">
        <v>134</v>
      </c>
      <c r="N3124" t="s">
        <v>135</v>
      </c>
      <c r="O3124"/>
      <c r="P3124"/>
      <c r="Q3124" t="s">
        <v>168</v>
      </c>
      <c r="R3124"/>
      <c r="S3124"/>
      <c r="T3124"/>
      <c r="U3124" t="s">
        <v>137</v>
      </c>
      <c r="V3124" t="s">
        <v>1279</v>
      </c>
      <c r="W3124" s="9">
        <v>46200.372557372684</v>
      </c>
      <c r="X3124" t="s">
        <v>71</v>
      </c>
      <c r="Y3124"/>
      <c r="Z3124"/>
      <c r="AA3124" t="s">
        <v>292</v>
      </c>
      <c r="AB3124" t="s">
        <v>1</v>
      </c>
      <c r="AC3124" t="s">
        <v>24</v>
      </c>
      <c r="AD3124" t="s">
        <v>128</v>
      </c>
      <c r="AE3124" s="97"/>
    </row>
    <row r="3125" spans="1:31" ht="14.4" customHeight="1" x14ac:dyDescent="0.3">
      <c r="A3125" t="s">
        <v>5715</v>
      </c>
      <c r="B3125" t="s">
        <v>1281</v>
      </c>
      <c r="C3125"/>
      <c r="D3125"/>
      <c r="E3125"/>
      <c r="F3125"/>
      <c r="G3125" t="s">
        <v>5356</v>
      </c>
      <c r="H3125" t="s">
        <v>132</v>
      </c>
      <c r="I3125" t="s">
        <v>1</v>
      </c>
      <c r="J3125" t="s">
        <v>5298</v>
      </c>
      <c r="K3125" t="s">
        <v>51</v>
      </c>
      <c r="L3125" t="s">
        <v>1282</v>
      </c>
      <c r="M3125" t="s">
        <v>134</v>
      </c>
      <c r="N3125" t="s">
        <v>135</v>
      </c>
      <c r="O3125"/>
      <c r="P3125"/>
      <c r="Q3125" t="s">
        <v>168</v>
      </c>
      <c r="R3125"/>
      <c r="S3125"/>
      <c r="T3125"/>
      <c r="U3125" t="s">
        <v>137</v>
      </c>
      <c r="V3125" t="s">
        <v>1283</v>
      </c>
      <c r="W3125" s="9">
        <v>46200.384338738426</v>
      </c>
      <c r="X3125" t="s">
        <v>78</v>
      </c>
      <c r="Y3125"/>
      <c r="Z3125"/>
      <c r="AA3125" t="s">
        <v>292</v>
      </c>
      <c r="AB3125" t="s">
        <v>1</v>
      </c>
      <c r="AC3125" t="s">
        <v>24</v>
      </c>
      <c r="AD3125" t="s">
        <v>128</v>
      </c>
      <c r="AE3125" s="97"/>
    </row>
    <row r="3126" spans="1:31" ht="14.4" customHeight="1" x14ac:dyDescent="0.3">
      <c r="A3126" t="s">
        <v>5716</v>
      </c>
      <c r="B3126" t="s">
        <v>1285</v>
      </c>
      <c r="C3126"/>
      <c r="D3126"/>
      <c r="E3126"/>
      <c r="F3126"/>
      <c r="G3126" t="s">
        <v>5356</v>
      </c>
      <c r="H3126" t="s">
        <v>132</v>
      </c>
      <c r="I3126" t="s">
        <v>1</v>
      </c>
      <c r="J3126" t="s">
        <v>5298</v>
      </c>
      <c r="K3126" t="s">
        <v>51</v>
      </c>
      <c r="L3126" t="s">
        <v>1286</v>
      </c>
      <c r="M3126" t="s">
        <v>134</v>
      </c>
      <c r="N3126" t="s">
        <v>135</v>
      </c>
      <c r="O3126"/>
      <c r="P3126"/>
      <c r="Q3126" t="s">
        <v>168</v>
      </c>
      <c r="R3126"/>
      <c r="S3126"/>
      <c r="T3126"/>
      <c r="U3126" t="s">
        <v>137</v>
      </c>
      <c r="V3126" t="s">
        <v>1287</v>
      </c>
      <c r="W3126"/>
      <c r="X3126" t="s">
        <v>89</v>
      </c>
      <c r="Y3126"/>
      <c r="Z3126"/>
      <c r="AA3126" t="s">
        <v>292</v>
      </c>
      <c r="AB3126" t="s">
        <v>1</v>
      </c>
      <c r="AC3126" t="s">
        <v>138</v>
      </c>
      <c r="AD3126" t="s">
        <v>129</v>
      </c>
      <c r="AE3126" s="97"/>
    </row>
    <row r="3127" spans="1:31" ht="14.4" customHeight="1" x14ac:dyDescent="0.3">
      <c r="A3127" t="s">
        <v>5717</v>
      </c>
      <c r="B3127" t="s">
        <v>1289</v>
      </c>
      <c r="C3127"/>
      <c r="D3127"/>
      <c r="E3127"/>
      <c r="F3127"/>
      <c r="G3127" t="s">
        <v>5356</v>
      </c>
      <c r="H3127" t="s">
        <v>132</v>
      </c>
      <c r="I3127" t="s">
        <v>1</v>
      </c>
      <c r="J3127" t="s">
        <v>5298</v>
      </c>
      <c r="K3127" t="s">
        <v>51</v>
      </c>
      <c r="L3127" t="s">
        <v>1290</v>
      </c>
      <c r="M3127" t="s">
        <v>134</v>
      </c>
      <c r="N3127" t="s">
        <v>135</v>
      </c>
      <c r="O3127"/>
      <c r="P3127"/>
      <c r="Q3127" t="s">
        <v>168</v>
      </c>
      <c r="R3127"/>
      <c r="S3127"/>
      <c r="T3127"/>
      <c r="U3127" t="s">
        <v>137</v>
      </c>
      <c r="V3127" t="s">
        <v>1291</v>
      </c>
      <c r="W3127" s="9">
        <v>46192.182212615742</v>
      </c>
      <c r="X3127" t="s">
        <v>98</v>
      </c>
      <c r="Y3127"/>
      <c r="Z3127"/>
      <c r="AA3127" t="s">
        <v>292</v>
      </c>
      <c r="AB3127" t="s">
        <v>1</v>
      </c>
      <c r="AC3127" t="s">
        <v>24</v>
      </c>
      <c r="AD3127" t="s">
        <v>129</v>
      </c>
      <c r="AE3127" s="97"/>
    </row>
    <row r="3128" spans="1:31" ht="14.4" customHeight="1" x14ac:dyDescent="0.3">
      <c r="A3128" t="s">
        <v>5718</v>
      </c>
      <c r="B3128" t="s">
        <v>1293</v>
      </c>
      <c r="C3128"/>
      <c r="D3128"/>
      <c r="E3128"/>
      <c r="F3128"/>
      <c r="G3128" t="s">
        <v>5356</v>
      </c>
      <c r="H3128" t="s">
        <v>132</v>
      </c>
      <c r="I3128" t="s">
        <v>1</v>
      </c>
      <c r="J3128" t="s">
        <v>5298</v>
      </c>
      <c r="K3128" t="s">
        <v>51</v>
      </c>
      <c r="L3128" t="s">
        <v>1294</v>
      </c>
      <c r="M3128" t="s">
        <v>134</v>
      </c>
      <c r="N3128" t="s">
        <v>135</v>
      </c>
      <c r="O3128"/>
      <c r="P3128"/>
      <c r="Q3128" t="s">
        <v>168</v>
      </c>
      <c r="R3128"/>
      <c r="S3128"/>
      <c r="T3128"/>
      <c r="U3128" t="s">
        <v>137</v>
      </c>
      <c r="V3128" t="s">
        <v>1295</v>
      </c>
      <c r="W3128"/>
      <c r="X3128" t="s">
        <v>107</v>
      </c>
      <c r="Y3128"/>
      <c r="Z3128"/>
      <c r="AA3128" t="s">
        <v>292</v>
      </c>
      <c r="AB3128" t="s">
        <v>1</v>
      </c>
      <c r="AC3128" t="s">
        <v>138</v>
      </c>
      <c r="AD3128" t="s">
        <v>129</v>
      </c>
      <c r="AE3128" s="97"/>
    </row>
    <row r="3129" spans="1:31" ht="14.4" customHeight="1" x14ac:dyDescent="0.3">
      <c r="A3129" t="s">
        <v>5719</v>
      </c>
      <c r="B3129" t="s">
        <v>1297</v>
      </c>
      <c r="C3129"/>
      <c r="D3129"/>
      <c r="E3129"/>
      <c r="F3129"/>
      <c r="G3129" t="s">
        <v>5356</v>
      </c>
      <c r="H3129" t="s">
        <v>132</v>
      </c>
      <c r="I3129" t="s">
        <v>1</v>
      </c>
      <c r="J3129" t="s">
        <v>5298</v>
      </c>
      <c r="K3129" t="s">
        <v>51</v>
      </c>
      <c r="L3129" t="s">
        <v>1298</v>
      </c>
      <c r="M3129" t="s">
        <v>134</v>
      </c>
      <c r="N3129" t="s">
        <v>135</v>
      </c>
      <c r="O3129"/>
      <c r="P3129"/>
      <c r="Q3129" t="s">
        <v>168</v>
      </c>
      <c r="R3129"/>
      <c r="S3129"/>
      <c r="T3129"/>
      <c r="U3129" t="s">
        <v>137</v>
      </c>
      <c r="V3129" t="s">
        <v>1299</v>
      </c>
      <c r="W3129"/>
      <c r="X3129" t="s">
        <v>114</v>
      </c>
      <c r="Y3129"/>
      <c r="Z3129"/>
      <c r="AA3129" t="s">
        <v>292</v>
      </c>
      <c r="AB3129" t="s">
        <v>1</v>
      </c>
      <c r="AC3129" t="s">
        <v>138</v>
      </c>
      <c r="AD3129" t="s">
        <v>129</v>
      </c>
      <c r="AE3129" s="97"/>
    </row>
    <row r="3130" spans="1:31" ht="14.4" customHeight="1" x14ac:dyDescent="0.3">
      <c r="A3130" t="s">
        <v>5720</v>
      </c>
      <c r="B3130" t="s">
        <v>1301</v>
      </c>
      <c r="C3130"/>
      <c r="D3130"/>
      <c r="E3130"/>
      <c r="F3130"/>
      <c r="G3130" t="s">
        <v>5356</v>
      </c>
      <c r="H3130" t="s">
        <v>132</v>
      </c>
      <c r="I3130" t="s">
        <v>1</v>
      </c>
      <c r="J3130" t="s">
        <v>5298</v>
      </c>
      <c r="K3130" t="s">
        <v>51</v>
      </c>
      <c r="L3130" t="s">
        <v>1302</v>
      </c>
      <c r="M3130" t="s">
        <v>134</v>
      </c>
      <c r="N3130" t="s">
        <v>135</v>
      </c>
      <c r="O3130"/>
      <c r="P3130"/>
      <c r="Q3130" t="s">
        <v>168</v>
      </c>
      <c r="R3130"/>
      <c r="S3130"/>
      <c r="T3130"/>
      <c r="U3130" t="s">
        <v>137</v>
      </c>
      <c r="V3130" t="s">
        <v>1303</v>
      </c>
      <c r="W3130"/>
      <c r="X3130" t="s">
        <v>123</v>
      </c>
      <c r="Y3130"/>
      <c r="Z3130"/>
      <c r="AA3130" t="s">
        <v>292</v>
      </c>
      <c r="AB3130" t="s">
        <v>1</v>
      </c>
      <c r="AC3130" t="s">
        <v>138</v>
      </c>
      <c r="AD3130" t="s">
        <v>130</v>
      </c>
      <c r="AE3130" s="97"/>
    </row>
    <row r="3131" spans="1:31" ht="14.4" customHeight="1" x14ac:dyDescent="0.3">
      <c r="A3131" t="s">
        <v>5721</v>
      </c>
      <c r="B3131" t="s">
        <v>1305</v>
      </c>
      <c r="C3131"/>
      <c r="D3131"/>
      <c r="E3131"/>
      <c r="F3131"/>
      <c r="G3131" t="s">
        <v>5356</v>
      </c>
      <c r="H3131" t="s">
        <v>132</v>
      </c>
      <c r="I3131" t="s">
        <v>1</v>
      </c>
      <c r="J3131" t="s">
        <v>5298</v>
      </c>
      <c r="K3131" t="s">
        <v>51</v>
      </c>
      <c r="L3131" t="s">
        <v>1306</v>
      </c>
      <c r="M3131" t="s">
        <v>134</v>
      </c>
      <c r="N3131" t="s">
        <v>135</v>
      </c>
      <c r="O3131"/>
      <c r="P3131"/>
      <c r="Q3131" t="s">
        <v>168</v>
      </c>
      <c r="R3131"/>
      <c r="S3131"/>
      <c r="T3131"/>
      <c r="U3131" t="s">
        <v>137</v>
      </c>
      <c r="V3131" t="s">
        <v>1279</v>
      </c>
      <c r="W3131" s="9">
        <v>46204.527465543979</v>
      </c>
      <c r="X3131" t="s">
        <v>71</v>
      </c>
      <c r="Y3131"/>
      <c r="Z3131"/>
      <c r="AA3131" t="s">
        <v>292</v>
      </c>
      <c r="AB3131" t="s">
        <v>1</v>
      </c>
      <c r="AC3131" t="s">
        <v>24</v>
      </c>
      <c r="AD3131" t="s">
        <v>128</v>
      </c>
      <c r="AE3131" s="97"/>
    </row>
    <row r="3132" spans="1:31" ht="14.4" customHeight="1" x14ac:dyDescent="0.3">
      <c r="A3132" t="s">
        <v>5722</v>
      </c>
      <c r="B3132" t="s">
        <v>1308</v>
      </c>
      <c r="C3132"/>
      <c r="D3132"/>
      <c r="E3132"/>
      <c r="F3132"/>
      <c r="G3132" t="s">
        <v>5356</v>
      </c>
      <c r="H3132" t="s">
        <v>132</v>
      </c>
      <c r="I3132" t="s">
        <v>1</v>
      </c>
      <c r="J3132" t="s">
        <v>5298</v>
      </c>
      <c r="K3132" t="s">
        <v>51</v>
      </c>
      <c r="L3132" t="s">
        <v>1309</v>
      </c>
      <c r="M3132" t="s">
        <v>134</v>
      </c>
      <c r="N3132" t="s">
        <v>135</v>
      </c>
      <c r="O3132"/>
      <c r="P3132"/>
      <c r="Q3132" t="s">
        <v>168</v>
      </c>
      <c r="R3132"/>
      <c r="S3132"/>
      <c r="T3132"/>
      <c r="U3132" t="s">
        <v>137</v>
      </c>
      <c r="V3132" t="s">
        <v>1283</v>
      </c>
      <c r="W3132"/>
      <c r="X3132" t="s">
        <v>78</v>
      </c>
      <c r="Y3132"/>
      <c r="Z3132"/>
      <c r="AA3132" t="s">
        <v>292</v>
      </c>
      <c r="AB3132" t="s">
        <v>1</v>
      </c>
      <c r="AC3132" t="s">
        <v>138</v>
      </c>
      <c r="AD3132" t="s">
        <v>128</v>
      </c>
      <c r="AE3132" s="97"/>
    </row>
    <row r="3133" spans="1:31" ht="14.4" customHeight="1" x14ac:dyDescent="0.3">
      <c r="A3133" t="s">
        <v>5723</v>
      </c>
      <c r="B3133" t="s">
        <v>1311</v>
      </c>
      <c r="C3133"/>
      <c r="D3133"/>
      <c r="E3133"/>
      <c r="F3133"/>
      <c r="G3133" t="s">
        <v>5356</v>
      </c>
      <c r="H3133" t="s">
        <v>132</v>
      </c>
      <c r="I3133" t="s">
        <v>1</v>
      </c>
      <c r="J3133" t="s">
        <v>5298</v>
      </c>
      <c r="K3133" t="s">
        <v>51</v>
      </c>
      <c r="L3133" t="s">
        <v>1312</v>
      </c>
      <c r="M3133" t="s">
        <v>134</v>
      </c>
      <c r="N3133" t="s">
        <v>135</v>
      </c>
      <c r="O3133"/>
      <c r="P3133"/>
      <c r="Q3133" t="s">
        <v>168</v>
      </c>
      <c r="R3133"/>
      <c r="S3133"/>
      <c r="T3133"/>
      <c r="U3133" t="s">
        <v>137</v>
      </c>
      <c r="V3133" t="s">
        <v>1287</v>
      </c>
      <c r="W3133"/>
      <c r="X3133" t="s">
        <v>89</v>
      </c>
      <c r="Y3133"/>
      <c r="Z3133"/>
      <c r="AA3133" t="s">
        <v>292</v>
      </c>
      <c r="AB3133" t="s">
        <v>1</v>
      </c>
      <c r="AC3133" t="s">
        <v>138</v>
      </c>
      <c r="AD3133" t="s">
        <v>129</v>
      </c>
      <c r="AE3133" s="97"/>
    </row>
    <row r="3134" spans="1:31" ht="14.4" customHeight="1" x14ac:dyDescent="0.3">
      <c r="A3134" t="s">
        <v>5724</v>
      </c>
      <c r="B3134" t="s">
        <v>1314</v>
      </c>
      <c r="C3134"/>
      <c r="D3134"/>
      <c r="E3134"/>
      <c r="F3134"/>
      <c r="G3134" t="s">
        <v>5356</v>
      </c>
      <c r="H3134" t="s">
        <v>132</v>
      </c>
      <c r="I3134" t="s">
        <v>1</v>
      </c>
      <c r="J3134" t="s">
        <v>5298</v>
      </c>
      <c r="K3134" t="s">
        <v>51</v>
      </c>
      <c r="L3134" t="s">
        <v>1315</v>
      </c>
      <c r="M3134" t="s">
        <v>134</v>
      </c>
      <c r="N3134" t="s">
        <v>135</v>
      </c>
      <c r="O3134"/>
      <c r="P3134"/>
      <c r="Q3134" t="s">
        <v>168</v>
      </c>
      <c r="R3134"/>
      <c r="S3134"/>
      <c r="T3134"/>
      <c r="U3134" t="s">
        <v>137</v>
      </c>
      <c r="V3134" t="s">
        <v>1291</v>
      </c>
      <c r="W3134"/>
      <c r="X3134" t="s">
        <v>98</v>
      </c>
      <c r="Y3134"/>
      <c r="Z3134"/>
      <c r="AA3134" t="s">
        <v>292</v>
      </c>
      <c r="AB3134" t="s">
        <v>1</v>
      </c>
      <c r="AC3134" t="s">
        <v>138</v>
      </c>
      <c r="AD3134" t="s">
        <v>129</v>
      </c>
      <c r="AE3134" s="97"/>
    </row>
    <row r="3135" spans="1:31" ht="14.4" customHeight="1" x14ac:dyDescent="0.3">
      <c r="A3135" t="s">
        <v>5725</v>
      </c>
      <c r="B3135" t="s">
        <v>1317</v>
      </c>
      <c r="C3135"/>
      <c r="D3135"/>
      <c r="E3135"/>
      <c r="F3135"/>
      <c r="G3135" t="s">
        <v>5356</v>
      </c>
      <c r="H3135" t="s">
        <v>132</v>
      </c>
      <c r="I3135" t="s">
        <v>1</v>
      </c>
      <c r="J3135" t="s">
        <v>5298</v>
      </c>
      <c r="K3135" t="s">
        <v>51</v>
      </c>
      <c r="L3135" t="s">
        <v>1318</v>
      </c>
      <c r="M3135" t="s">
        <v>134</v>
      </c>
      <c r="N3135" t="s">
        <v>135</v>
      </c>
      <c r="O3135"/>
      <c r="P3135"/>
      <c r="Q3135" t="s">
        <v>168</v>
      </c>
      <c r="R3135"/>
      <c r="S3135"/>
      <c r="T3135"/>
      <c r="U3135" t="s">
        <v>137</v>
      </c>
      <c r="V3135" t="s">
        <v>1295</v>
      </c>
      <c r="W3135"/>
      <c r="X3135" t="s">
        <v>107</v>
      </c>
      <c r="Y3135"/>
      <c r="Z3135"/>
      <c r="AA3135" t="s">
        <v>292</v>
      </c>
      <c r="AB3135" t="s">
        <v>1</v>
      </c>
      <c r="AC3135" t="s">
        <v>138</v>
      </c>
      <c r="AD3135" t="s">
        <v>129</v>
      </c>
      <c r="AE3135" s="97"/>
    </row>
    <row r="3136" spans="1:31" ht="14.4" customHeight="1" x14ac:dyDescent="0.3">
      <c r="A3136" t="s">
        <v>5726</v>
      </c>
      <c r="B3136" t="s">
        <v>1320</v>
      </c>
      <c r="C3136"/>
      <c r="D3136"/>
      <c r="E3136"/>
      <c r="F3136"/>
      <c r="G3136" t="s">
        <v>5356</v>
      </c>
      <c r="H3136" t="s">
        <v>132</v>
      </c>
      <c r="I3136" t="s">
        <v>1</v>
      </c>
      <c r="J3136" t="s">
        <v>5298</v>
      </c>
      <c r="K3136" t="s">
        <v>51</v>
      </c>
      <c r="L3136" t="s">
        <v>1321</v>
      </c>
      <c r="M3136" t="s">
        <v>134</v>
      </c>
      <c r="N3136" t="s">
        <v>135</v>
      </c>
      <c r="O3136"/>
      <c r="P3136"/>
      <c r="Q3136" t="s">
        <v>168</v>
      </c>
      <c r="R3136"/>
      <c r="S3136"/>
      <c r="T3136"/>
      <c r="U3136" t="s">
        <v>137</v>
      </c>
      <c r="V3136" t="s">
        <v>1299</v>
      </c>
      <c r="W3136"/>
      <c r="X3136" t="s">
        <v>114</v>
      </c>
      <c r="Y3136"/>
      <c r="Z3136"/>
      <c r="AA3136" t="s">
        <v>292</v>
      </c>
      <c r="AB3136" t="s">
        <v>1</v>
      </c>
      <c r="AC3136" t="s">
        <v>138</v>
      </c>
      <c r="AD3136" t="s">
        <v>129</v>
      </c>
      <c r="AE3136" s="97"/>
    </row>
    <row r="3137" spans="1:31" ht="14.4" customHeight="1" x14ac:dyDescent="0.3">
      <c r="A3137" t="s">
        <v>5727</v>
      </c>
      <c r="B3137" t="s">
        <v>1323</v>
      </c>
      <c r="C3137"/>
      <c r="D3137"/>
      <c r="E3137"/>
      <c r="F3137"/>
      <c r="G3137" t="s">
        <v>5356</v>
      </c>
      <c r="H3137" t="s">
        <v>132</v>
      </c>
      <c r="I3137" t="s">
        <v>1</v>
      </c>
      <c r="J3137" t="s">
        <v>5298</v>
      </c>
      <c r="K3137" t="s">
        <v>51</v>
      </c>
      <c r="L3137" t="s">
        <v>1324</v>
      </c>
      <c r="M3137" t="s">
        <v>134</v>
      </c>
      <c r="N3137" t="s">
        <v>135</v>
      </c>
      <c r="O3137"/>
      <c r="P3137"/>
      <c r="Q3137" t="s">
        <v>168</v>
      </c>
      <c r="R3137"/>
      <c r="S3137"/>
      <c r="T3137"/>
      <c r="U3137" t="s">
        <v>137</v>
      </c>
      <c r="V3137" t="s">
        <v>1303</v>
      </c>
      <c r="W3137"/>
      <c r="X3137" t="s">
        <v>123</v>
      </c>
      <c r="Y3137"/>
      <c r="Z3137"/>
      <c r="AA3137" t="s">
        <v>292</v>
      </c>
      <c r="AB3137" t="s">
        <v>1</v>
      </c>
      <c r="AC3137" t="s">
        <v>138</v>
      </c>
      <c r="AD3137" t="s">
        <v>130</v>
      </c>
      <c r="AE3137" s="97"/>
    </row>
    <row r="3138" spans="1:31" ht="14.4" customHeight="1" x14ac:dyDescent="0.3">
      <c r="A3138" t="s">
        <v>5728</v>
      </c>
      <c r="B3138" t="s">
        <v>1326</v>
      </c>
      <c r="C3138"/>
      <c r="D3138"/>
      <c r="E3138"/>
      <c r="F3138"/>
      <c r="G3138" t="s">
        <v>5356</v>
      </c>
      <c r="H3138" t="s">
        <v>132</v>
      </c>
      <c r="I3138" t="s">
        <v>1</v>
      </c>
      <c r="J3138" t="s">
        <v>5298</v>
      </c>
      <c r="K3138" t="s">
        <v>51</v>
      </c>
      <c r="L3138" t="s">
        <v>1327</v>
      </c>
      <c r="M3138" t="s">
        <v>134</v>
      </c>
      <c r="N3138" t="s">
        <v>135</v>
      </c>
      <c r="O3138"/>
      <c r="P3138"/>
      <c r="Q3138" t="s">
        <v>168</v>
      </c>
      <c r="R3138"/>
      <c r="S3138"/>
      <c r="T3138"/>
      <c r="U3138" t="s">
        <v>137</v>
      </c>
      <c r="V3138" t="s">
        <v>1279</v>
      </c>
      <c r="W3138" s="9">
        <v>46204.527050659723</v>
      </c>
      <c r="X3138" t="s">
        <v>71</v>
      </c>
      <c r="Y3138"/>
      <c r="Z3138"/>
      <c r="AA3138" t="s">
        <v>292</v>
      </c>
      <c r="AB3138" t="s">
        <v>1</v>
      </c>
      <c r="AC3138" t="s">
        <v>24</v>
      </c>
      <c r="AD3138" t="s">
        <v>128</v>
      </c>
      <c r="AE3138" s="97"/>
    </row>
    <row r="3139" spans="1:31" ht="14.4" customHeight="1" x14ac:dyDescent="0.3">
      <c r="A3139" t="s">
        <v>5729</v>
      </c>
      <c r="B3139" t="s">
        <v>1329</v>
      </c>
      <c r="C3139"/>
      <c r="D3139"/>
      <c r="E3139"/>
      <c r="F3139"/>
      <c r="G3139" t="s">
        <v>5356</v>
      </c>
      <c r="H3139" t="s">
        <v>132</v>
      </c>
      <c r="I3139" t="s">
        <v>1</v>
      </c>
      <c r="J3139" t="s">
        <v>5298</v>
      </c>
      <c r="K3139" t="s">
        <v>51</v>
      </c>
      <c r="L3139" t="s">
        <v>1330</v>
      </c>
      <c r="M3139" t="s">
        <v>134</v>
      </c>
      <c r="N3139" t="s">
        <v>135</v>
      </c>
      <c r="O3139"/>
      <c r="P3139"/>
      <c r="Q3139" t="s">
        <v>168</v>
      </c>
      <c r="R3139"/>
      <c r="S3139"/>
      <c r="T3139"/>
      <c r="U3139" t="s">
        <v>137</v>
      </c>
      <c r="V3139" t="s">
        <v>1283</v>
      </c>
      <c r="W3139" s="9">
        <v>46204.559159108794</v>
      </c>
      <c r="X3139" t="s">
        <v>78</v>
      </c>
      <c r="Y3139"/>
      <c r="Z3139"/>
      <c r="AA3139" t="s">
        <v>292</v>
      </c>
      <c r="AB3139" t="s">
        <v>1</v>
      </c>
      <c r="AC3139" t="s">
        <v>24</v>
      </c>
      <c r="AD3139" t="s">
        <v>128</v>
      </c>
      <c r="AE3139" s="97"/>
    </row>
    <row r="3140" spans="1:31" ht="14.4" customHeight="1" x14ac:dyDescent="0.3">
      <c r="A3140" t="s">
        <v>5730</v>
      </c>
      <c r="B3140" t="s">
        <v>1332</v>
      </c>
      <c r="C3140"/>
      <c r="D3140"/>
      <c r="E3140"/>
      <c r="F3140"/>
      <c r="G3140" t="s">
        <v>5356</v>
      </c>
      <c r="H3140" t="s">
        <v>132</v>
      </c>
      <c r="I3140" t="s">
        <v>1</v>
      </c>
      <c r="J3140" t="s">
        <v>5298</v>
      </c>
      <c r="K3140" t="s">
        <v>51</v>
      </c>
      <c r="L3140" t="s">
        <v>1333</v>
      </c>
      <c r="M3140" t="s">
        <v>134</v>
      </c>
      <c r="N3140" t="s">
        <v>135</v>
      </c>
      <c r="O3140"/>
      <c r="P3140"/>
      <c r="Q3140" t="s">
        <v>168</v>
      </c>
      <c r="R3140"/>
      <c r="S3140"/>
      <c r="T3140"/>
      <c r="U3140" t="s">
        <v>137</v>
      </c>
      <c r="V3140" t="s">
        <v>1287</v>
      </c>
      <c r="W3140"/>
      <c r="X3140" t="s">
        <v>89</v>
      </c>
      <c r="Y3140"/>
      <c r="Z3140"/>
      <c r="AA3140" t="s">
        <v>292</v>
      </c>
      <c r="AB3140" t="s">
        <v>1</v>
      </c>
      <c r="AC3140" t="s">
        <v>138</v>
      </c>
      <c r="AD3140" t="s">
        <v>129</v>
      </c>
      <c r="AE3140" s="97"/>
    </row>
    <row r="3141" spans="1:31" ht="14.4" customHeight="1" x14ac:dyDescent="0.3">
      <c r="A3141" t="s">
        <v>5731</v>
      </c>
      <c r="B3141" t="s">
        <v>1335</v>
      </c>
      <c r="C3141"/>
      <c r="D3141"/>
      <c r="E3141"/>
      <c r="F3141"/>
      <c r="G3141" t="s">
        <v>5356</v>
      </c>
      <c r="H3141" t="s">
        <v>132</v>
      </c>
      <c r="I3141" t="s">
        <v>1</v>
      </c>
      <c r="J3141" t="s">
        <v>5298</v>
      </c>
      <c r="K3141" t="s">
        <v>51</v>
      </c>
      <c r="L3141" t="s">
        <v>1336</v>
      </c>
      <c r="M3141" t="s">
        <v>134</v>
      </c>
      <c r="N3141" t="s">
        <v>135</v>
      </c>
      <c r="O3141"/>
      <c r="P3141"/>
      <c r="Q3141" t="s">
        <v>168</v>
      </c>
      <c r="R3141"/>
      <c r="S3141"/>
      <c r="T3141"/>
      <c r="U3141" t="s">
        <v>137</v>
      </c>
      <c r="V3141" t="s">
        <v>1291</v>
      </c>
      <c r="W3141"/>
      <c r="X3141" t="s">
        <v>98</v>
      </c>
      <c r="Y3141"/>
      <c r="Z3141"/>
      <c r="AA3141" t="s">
        <v>292</v>
      </c>
      <c r="AB3141" t="s">
        <v>1</v>
      </c>
      <c r="AC3141" t="s">
        <v>138</v>
      </c>
      <c r="AD3141" t="s">
        <v>129</v>
      </c>
      <c r="AE3141" s="97"/>
    </row>
    <row r="3142" spans="1:31" ht="14.4" customHeight="1" x14ac:dyDescent="0.3">
      <c r="A3142" t="s">
        <v>5732</v>
      </c>
      <c r="B3142" t="s">
        <v>1338</v>
      </c>
      <c r="C3142"/>
      <c r="D3142"/>
      <c r="E3142"/>
      <c r="F3142"/>
      <c r="G3142" t="s">
        <v>5356</v>
      </c>
      <c r="H3142" t="s">
        <v>132</v>
      </c>
      <c r="I3142" t="s">
        <v>1</v>
      </c>
      <c r="J3142" t="s">
        <v>5298</v>
      </c>
      <c r="K3142" t="s">
        <v>51</v>
      </c>
      <c r="L3142" t="s">
        <v>1339</v>
      </c>
      <c r="M3142" t="s">
        <v>134</v>
      </c>
      <c r="N3142" t="s">
        <v>135</v>
      </c>
      <c r="O3142"/>
      <c r="P3142"/>
      <c r="Q3142" t="s">
        <v>168</v>
      </c>
      <c r="R3142"/>
      <c r="S3142"/>
      <c r="T3142"/>
      <c r="U3142" t="s">
        <v>137</v>
      </c>
      <c r="V3142" t="s">
        <v>1295</v>
      </c>
      <c r="W3142"/>
      <c r="X3142" t="s">
        <v>107</v>
      </c>
      <c r="Y3142"/>
      <c r="Z3142"/>
      <c r="AA3142" t="s">
        <v>292</v>
      </c>
      <c r="AB3142" t="s">
        <v>1</v>
      </c>
      <c r="AC3142" t="s">
        <v>138</v>
      </c>
      <c r="AD3142" t="s">
        <v>129</v>
      </c>
      <c r="AE3142" s="97"/>
    </row>
    <row r="3143" spans="1:31" ht="14.4" customHeight="1" x14ac:dyDescent="0.3">
      <c r="A3143" t="s">
        <v>5733</v>
      </c>
      <c r="B3143" t="s">
        <v>1341</v>
      </c>
      <c r="C3143"/>
      <c r="D3143"/>
      <c r="E3143"/>
      <c r="F3143"/>
      <c r="G3143" t="s">
        <v>5356</v>
      </c>
      <c r="H3143" t="s">
        <v>132</v>
      </c>
      <c r="I3143" t="s">
        <v>1</v>
      </c>
      <c r="J3143" t="s">
        <v>5298</v>
      </c>
      <c r="K3143" t="s">
        <v>51</v>
      </c>
      <c r="L3143" t="s">
        <v>1342</v>
      </c>
      <c r="M3143" t="s">
        <v>134</v>
      </c>
      <c r="N3143" t="s">
        <v>135</v>
      </c>
      <c r="O3143"/>
      <c r="P3143"/>
      <c r="Q3143" t="s">
        <v>168</v>
      </c>
      <c r="R3143"/>
      <c r="S3143"/>
      <c r="T3143"/>
      <c r="U3143" t="s">
        <v>137</v>
      </c>
      <c r="V3143" t="s">
        <v>1299</v>
      </c>
      <c r="W3143"/>
      <c r="X3143" t="s">
        <v>114</v>
      </c>
      <c r="Y3143"/>
      <c r="Z3143"/>
      <c r="AA3143" t="s">
        <v>292</v>
      </c>
      <c r="AB3143" t="s">
        <v>1</v>
      </c>
      <c r="AC3143" t="s">
        <v>138</v>
      </c>
      <c r="AD3143" t="s">
        <v>129</v>
      </c>
      <c r="AE3143" s="97"/>
    </row>
    <row r="3144" spans="1:31" ht="14.4" customHeight="1" x14ac:dyDescent="0.3">
      <c r="A3144" t="s">
        <v>5734</v>
      </c>
      <c r="B3144" t="s">
        <v>1344</v>
      </c>
      <c r="C3144"/>
      <c r="D3144"/>
      <c r="E3144"/>
      <c r="F3144"/>
      <c r="G3144" t="s">
        <v>5356</v>
      </c>
      <c r="H3144" t="s">
        <v>132</v>
      </c>
      <c r="I3144" t="s">
        <v>1</v>
      </c>
      <c r="J3144" t="s">
        <v>5298</v>
      </c>
      <c r="K3144" t="s">
        <v>51</v>
      </c>
      <c r="L3144" t="s">
        <v>1345</v>
      </c>
      <c r="M3144" t="s">
        <v>134</v>
      </c>
      <c r="N3144" t="s">
        <v>135</v>
      </c>
      <c r="O3144"/>
      <c r="P3144"/>
      <c r="Q3144" t="s">
        <v>168</v>
      </c>
      <c r="R3144"/>
      <c r="S3144"/>
      <c r="T3144"/>
      <c r="U3144" t="s">
        <v>137</v>
      </c>
      <c r="V3144" t="s">
        <v>1303</v>
      </c>
      <c r="W3144"/>
      <c r="X3144" t="s">
        <v>123</v>
      </c>
      <c r="Y3144"/>
      <c r="Z3144"/>
      <c r="AA3144" t="s">
        <v>292</v>
      </c>
      <c r="AB3144" t="s">
        <v>1</v>
      </c>
      <c r="AC3144" t="s">
        <v>138</v>
      </c>
      <c r="AD3144" t="s">
        <v>130</v>
      </c>
      <c r="AE3144" s="97"/>
    </row>
    <row r="3145" spans="1:31" ht="14.4" customHeight="1" x14ac:dyDescent="0.3">
      <c r="A3145" t="s">
        <v>5735</v>
      </c>
      <c r="B3145" t="s">
        <v>1347</v>
      </c>
      <c r="C3145"/>
      <c r="D3145"/>
      <c r="E3145"/>
      <c r="F3145"/>
      <c r="G3145" t="s">
        <v>5356</v>
      </c>
      <c r="H3145" t="s">
        <v>132</v>
      </c>
      <c r="I3145" t="s">
        <v>1</v>
      </c>
      <c r="J3145" t="s">
        <v>5298</v>
      </c>
      <c r="K3145" t="s">
        <v>51</v>
      </c>
      <c r="L3145" t="s">
        <v>1348</v>
      </c>
      <c r="M3145" t="s">
        <v>134</v>
      </c>
      <c r="N3145" t="s">
        <v>135</v>
      </c>
      <c r="O3145"/>
      <c r="P3145"/>
      <c r="Q3145" t="s">
        <v>168</v>
      </c>
      <c r="R3145"/>
      <c r="S3145"/>
      <c r="T3145"/>
      <c r="U3145" t="s">
        <v>137</v>
      </c>
      <c r="V3145" t="s">
        <v>1279</v>
      </c>
      <c r="W3145" s="9">
        <v>46204.526677893518</v>
      </c>
      <c r="X3145" t="s">
        <v>71</v>
      </c>
      <c r="Y3145"/>
      <c r="Z3145"/>
      <c r="AA3145" t="s">
        <v>292</v>
      </c>
      <c r="AB3145" t="s">
        <v>1</v>
      </c>
      <c r="AC3145" t="s">
        <v>24</v>
      </c>
      <c r="AD3145" t="s">
        <v>128</v>
      </c>
      <c r="AE3145" s="97"/>
    </row>
    <row r="3146" spans="1:31" ht="14.4" customHeight="1" x14ac:dyDescent="0.3">
      <c r="A3146" t="s">
        <v>5736</v>
      </c>
      <c r="B3146" t="s">
        <v>1350</v>
      </c>
      <c r="C3146"/>
      <c r="D3146"/>
      <c r="E3146"/>
      <c r="F3146"/>
      <c r="G3146" t="s">
        <v>5356</v>
      </c>
      <c r="H3146" t="s">
        <v>132</v>
      </c>
      <c r="I3146" t="s">
        <v>1</v>
      </c>
      <c r="J3146" t="s">
        <v>5298</v>
      </c>
      <c r="K3146" t="s">
        <v>51</v>
      </c>
      <c r="L3146" t="s">
        <v>1348</v>
      </c>
      <c r="M3146" t="s">
        <v>134</v>
      </c>
      <c r="N3146" t="s">
        <v>135</v>
      </c>
      <c r="O3146"/>
      <c r="P3146"/>
      <c r="Q3146" t="s">
        <v>168</v>
      </c>
      <c r="R3146"/>
      <c r="S3146"/>
      <c r="T3146"/>
      <c r="U3146" t="s">
        <v>137</v>
      </c>
      <c r="V3146" t="s">
        <v>1279</v>
      </c>
      <c r="W3146" s="9">
        <v>46204.591482754629</v>
      </c>
      <c r="X3146" t="s">
        <v>71</v>
      </c>
      <c r="Y3146"/>
      <c r="Z3146"/>
      <c r="AA3146" t="s">
        <v>292</v>
      </c>
      <c r="AB3146" t="s">
        <v>1</v>
      </c>
      <c r="AC3146" t="s">
        <v>24</v>
      </c>
      <c r="AD3146" t="s">
        <v>128</v>
      </c>
      <c r="AE3146" s="97"/>
    </row>
    <row r="3147" spans="1:31" ht="14.4" customHeight="1" x14ac:dyDescent="0.3">
      <c r="A3147" t="s">
        <v>5737</v>
      </c>
      <c r="B3147" t="s">
        <v>1352</v>
      </c>
      <c r="C3147"/>
      <c r="D3147"/>
      <c r="E3147"/>
      <c r="F3147"/>
      <c r="G3147" t="s">
        <v>5356</v>
      </c>
      <c r="H3147" t="s">
        <v>132</v>
      </c>
      <c r="I3147" t="s">
        <v>1</v>
      </c>
      <c r="J3147" t="s">
        <v>5298</v>
      </c>
      <c r="K3147" t="s">
        <v>51</v>
      </c>
      <c r="L3147" t="s">
        <v>1348</v>
      </c>
      <c r="M3147" t="s">
        <v>134</v>
      </c>
      <c r="N3147" t="s">
        <v>135</v>
      </c>
      <c r="O3147"/>
      <c r="P3147"/>
      <c r="Q3147" t="s">
        <v>168</v>
      </c>
      <c r="R3147"/>
      <c r="S3147"/>
      <c r="T3147"/>
      <c r="U3147" t="s">
        <v>137</v>
      </c>
      <c r="V3147" t="s">
        <v>1279</v>
      </c>
      <c r="W3147" s="9">
        <v>46204.560932025466</v>
      </c>
      <c r="X3147" t="s">
        <v>71</v>
      </c>
      <c r="Y3147"/>
      <c r="Z3147"/>
      <c r="AA3147" t="s">
        <v>292</v>
      </c>
      <c r="AB3147" t="s">
        <v>1</v>
      </c>
      <c r="AC3147" t="s">
        <v>24</v>
      </c>
      <c r="AD3147" t="s">
        <v>128</v>
      </c>
      <c r="AE3147" s="97"/>
    </row>
    <row r="3148" spans="1:31" ht="14.4" customHeight="1" x14ac:dyDescent="0.3">
      <c r="A3148" t="s">
        <v>5738</v>
      </c>
      <c r="B3148" t="s">
        <v>1354</v>
      </c>
      <c r="C3148"/>
      <c r="D3148"/>
      <c r="E3148"/>
      <c r="F3148"/>
      <c r="G3148" t="s">
        <v>5356</v>
      </c>
      <c r="H3148" t="s">
        <v>132</v>
      </c>
      <c r="I3148" t="s">
        <v>1</v>
      </c>
      <c r="J3148" t="s">
        <v>5298</v>
      </c>
      <c r="K3148" t="s">
        <v>51</v>
      </c>
      <c r="L3148" t="s">
        <v>1348</v>
      </c>
      <c r="M3148" t="s">
        <v>134</v>
      </c>
      <c r="N3148" t="s">
        <v>135</v>
      </c>
      <c r="O3148"/>
      <c r="P3148"/>
      <c r="Q3148" t="s">
        <v>168</v>
      </c>
      <c r="R3148"/>
      <c r="S3148"/>
      <c r="T3148"/>
      <c r="U3148" t="s">
        <v>137</v>
      </c>
      <c r="V3148" t="s">
        <v>1279</v>
      </c>
      <c r="W3148" s="9">
        <v>46204.525116585646</v>
      </c>
      <c r="X3148" t="s">
        <v>71</v>
      </c>
      <c r="Y3148"/>
      <c r="Z3148"/>
      <c r="AA3148" t="s">
        <v>292</v>
      </c>
      <c r="AB3148" t="s">
        <v>1</v>
      </c>
      <c r="AC3148" t="s">
        <v>24</v>
      </c>
      <c r="AD3148" t="s">
        <v>128</v>
      </c>
      <c r="AE3148" s="97"/>
    </row>
    <row r="3149" spans="1:31" ht="14.4" customHeight="1" x14ac:dyDescent="0.3">
      <c r="A3149" t="s">
        <v>5739</v>
      </c>
      <c r="B3149" t="s">
        <v>1356</v>
      </c>
      <c r="C3149"/>
      <c r="D3149"/>
      <c r="E3149"/>
      <c r="F3149"/>
      <c r="G3149" t="s">
        <v>5356</v>
      </c>
      <c r="H3149" t="s">
        <v>132</v>
      </c>
      <c r="I3149" t="s">
        <v>1</v>
      </c>
      <c r="J3149" t="s">
        <v>5298</v>
      </c>
      <c r="K3149" t="s">
        <v>51</v>
      </c>
      <c r="L3149" t="s">
        <v>1348</v>
      </c>
      <c r="M3149" t="s">
        <v>134</v>
      </c>
      <c r="N3149" t="s">
        <v>135</v>
      </c>
      <c r="O3149"/>
      <c r="P3149"/>
      <c r="Q3149" t="s">
        <v>168</v>
      </c>
      <c r="R3149"/>
      <c r="S3149"/>
      <c r="T3149"/>
      <c r="U3149" t="s">
        <v>137</v>
      </c>
      <c r="V3149" t="s">
        <v>1279</v>
      </c>
      <c r="W3149" s="9">
        <v>46204.523525775461</v>
      </c>
      <c r="X3149" t="s">
        <v>71</v>
      </c>
      <c r="Y3149"/>
      <c r="Z3149"/>
      <c r="AA3149" t="s">
        <v>292</v>
      </c>
      <c r="AB3149" t="s">
        <v>1</v>
      </c>
      <c r="AC3149" t="s">
        <v>24</v>
      </c>
      <c r="AD3149" t="s">
        <v>128</v>
      </c>
      <c r="AE3149" s="97"/>
    </row>
    <row r="3150" spans="1:31" ht="14.4" customHeight="1" x14ac:dyDescent="0.3">
      <c r="A3150" t="s">
        <v>5740</v>
      </c>
      <c r="B3150" t="s">
        <v>1358</v>
      </c>
      <c r="C3150"/>
      <c r="D3150"/>
      <c r="E3150"/>
      <c r="F3150"/>
      <c r="G3150" t="s">
        <v>5356</v>
      </c>
      <c r="H3150" t="s">
        <v>132</v>
      </c>
      <c r="I3150" t="s">
        <v>1</v>
      </c>
      <c r="J3150" t="s">
        <v>5298</v>
      </c>
      <c r="K3150" t="s">
        <v>51</v>
      </c>
      <c r="L3150" t="s">
        <v>1348</v>
      </c>
      <c r="M3150" t="s">
        <v>134</v>
      </c>
      <c r="N3150" t="s">
        <v>135</v>
      </c>
      <c r="O3150"/>
      <c r="P3150"/>
      <c r="Q3150" t="s">
        <v>168</v>
      </c>
      <c r="R3150"/>
      <c r="S3150"/>
      <c r="T3150"/>
      <c r="U3150" t="s">
        <v>137</v>
      </c>
      <c r="V3150" t="s">
        <v>1279</v>
      </c>
      <c r="W3150" s="9">
        <v>46204.523061805558</v>
      </c>
      <c r="X3150" t="s">
        <v>71</v>
      </c>
      <c r="Y3150"/>
      <c r="Z3150"/>
      <c r="AA3150" t="s">
        <v>292</v>
      </c>
      <c r="AB3150" t="s">
        <v>1</v>
      </c>
      <c r="AC3150" t="s">
        <v>24</v>
      </c>
      <c r="AD3150" t="s">
        <v>128</v>
      </c>
      <c r="AE3150" s="97"/>
    </row>
    <row r="3151" spans="1:31" ht="14.4" customHeight="1" x14ac:dyDescent="0.3">
      <c r="A3151" t="s">
        <v>5741</v>
      </c>
      <c r="B3151" t="s">
        <v>1360</v>
      </c>
      <c r="C3151"/>
      <c r="D3151"/>
      <c r="E3151"/>
      <c r="F3151"/>
      <c r="G3151" t="s">
        <v>5356</v>
      </c>
      <c r="H3151" t="s">
        <v>132</v>
      </c>
      <c r="I3151" t="s">
        <v>1</v>
      </c>
      <c r="J3151" t="s">
        <v>5298</v>
      </c>
      <c r="K3151" t="s">
        <v>51</v>
      </c>
      <c r="L3151" t="s">
        <v>1348</v>
      </c>
      <c r="M3151" t="s">
        <v>134</v>
      </c>
      <c r="N3151" t="s">
        <v>135</v>
      </c>
      <c r="O3151"/>
      <c r="P3151"/>
      <c r="Q3151" t="s">
        <v>168</v>
      </c>
      <c r="R3151"/>
      <c r="S3151"/>
      <c r="T3151"/>
      <c r="U3151" t="s">
        <v>137</v>
      </c>
      <c r="V3151" t="s">
        <v>1279</v>
      </c>
      <c r="W3151" s="9">
        <v>46204.52258769676</v>
      </c>
      <c r="X3151" t="s">
        <v>71</v>
      </c>
      <c r="Y3151"/>
      <c r="Z3151"/>
      <c r="AA3151" t="s">
        <v>292</v>
      </c>
      <c r="AB3151" t="s">
        <v>1</v>
      </c>
      <c r="AC3151" t="s">
        <v>24</v>
      </c>
      <c r="AD3151" t="s">
        <v>128</v>
      </c>
      <c r="AE3151" s="97"/>
    </row>
    <row r="3152" spans="1:31" ht="14.4" customHeight="1" x14ac:dyDescent="0.3">
      <c r="A3152" t="s">
        <v>5742</v>
      </c>
      <c r="B3152" t="s">
        <v>1362</v>
      </c>
      <c r="C3152"/>
      <c r="D3152"/>
      <c r="E3152"/>
      <c r="F3152"/>
      <c r="G3152" t="s">
        <v>5356</v>
      </c>
      <c r="H3152" t="s">
        <v>132</v>
      </c>
      <c r="I3152" t="s">
        <v>1</v>
      </c>
      <c r="J3152" t="s">
        <v>5298</v>
      </c>
      <c r="K3152" t="s">
        <v>51</v>
      </c>
      <c r="L3152" t="s">
        <v>1348</v>
      </c>
      <c r="M3152" t="s">
        <v>134</v>
      </c>
      <c r="N3152" t="s">
        <v>135</v>
      </c>
      <c r="O3152"/>
      <c r="P3152"/>
      <c r="Q3152" t="s">
        <v>168</v>
      </c>
      <c r="R3152"/>
      <c r="S3152"/>
      <c r="T3152"/>
      <c r="U3152" t="s">
        <v>137</v>
      </c>
      <c r="V3152" t="s">
        <v>1279</v>
      </c>
      <c r="W3152" s="9">
        <v>46204.522245451386</v>
      </c>
      <c r="X3152" t="s">
        <v>71</v>
      </c>
      <c r="Y3152"/>
      <c r="Z3152"/>
      <c r="AA3152" t="s">
        <v>292</v>
      </c>
      <c r="AB3152" t="s">
        <v>1</v>
      </c>
      <c r="AC3152" t="s">
        <v>24</v>
      </c>
      <c r="AD3152" t="s">
        <v>128</v>
      </c>
      <c r="AE3152" s="97"/>
    </row>
    <row r="3153" spans="1:31" ht="14.4" customHeight="1" x14ac:dyDescent="0.3">
      <c r="A3153" t="s">
        <v>5743</v>
      </c>
      <c r="B3153" t="s">
        <v>1364</v>
      </c>
      <c r="C3153"/>
      <c r="D3153"/>
      <c r="E3153"/>
      <c r="F3153"/>
      <c r="G3153" t="s">
        <v>5356</v>
      </c>
      <c r="H3153" t="s">
        <v>132</v>
      </c>
      <c r="I3153" t="s">
        <v>1</v>
      </c>
      <c r="J3153" t="s">
        <v>5298</v>
      </c>
      <c r="K3153" t="s">
        <v>51</v>
      </c>
      <c r="L3153" t="s">
        <v>1348</v>
      </c>
      <c r="M3153" t="s">
        <v>134</v>
      </c>
      <c r="N3153" t="s">
        <v>135</v>
      </c>
      <c r="O3153"/>
      <c r="P3153"/>
      <c r="Q3153" t="s">
        <v>168</v>
      </c>
      <c r="R3153"/>
      <c r="S3153"/>
      <c r="T3153"/>
      <c r="U3153" t="s">
        <v>137</v>
      </c>
      <c r="V3153" t="s">
        <v>1279</v>
      </c>
      <c r="W3153" s="9">
        <v>46204.561637928244</v>
      </c>
      <c r="X3153" t="s">
        <v>71</v>
      </c>
      <c r="Y3153"/>
      <c r="Z3153"/>
      <c r="AA3153" t="s">
        <v>292</v>
      </c>
      <c r="AB3153" t="s">
        <v>1</v>
      </c>
      <c r="AC3153" t="s">
        <v>24</v>
      </c>
      <c r="AD3153" t="s">
        <v>128</v>
      </c>
      <c r="AE3153" s="97"/>
    </row>
    <row r="3154" spans="1:31" ht="14.4" customHeight="1" x14ac:dyDescent="0.3">
      <c r="A3154" t="s">
        <v>5744</v>
      </c>
      <c r="B3154" t="s">
        <v>1366</v>
      </c>
      <c r="C3154"/>
      <c r="D3154"/>
      <c r="E3154"/>
      <c r="F3154"/>
      <c r="G3154" t="s">
        <v>5356</v>
      </c>
      <c r="H3154" t="s">
        <v>132</v>
      </c>
      <c r="I3154" t="s">
        <v>1</v>
      </c>
      <c r="J3154" t="s">
        <v>5298</v>
      </c>
      <c r="K3154" t="s">
        <v>51</v>
      </c>
      <c r="L3154" t="s">
        <v>1348</v>
      </c>
      <c r="M3154" t="s">
        <v>134</v>
      </c>
      <c r="N3154" t="s">
        <v>135</v>
      </c>
      <c r="O3154"/>
      <c r="P3154"/>
      <c r="Q3154" t="s">
        <v>168</v>
      </c>
      <c r="R3154"/>
      <c r="S3154"/>
      <c r="T3154"/>
      <c r="U3154" t="s">
        <v>137</v>
      </c>
      <c r="V3154" t="s">
        <v>1279</v>
      </c>
      <c r="W3154" s="9">
        <v>46204.521891284719</v>
      </c>
      <c r="X3154" t="s">
        <v>71</v>
      </c>
      <c r="Y3154"/>
      <c r="Z3154"/>
      <c r="AA3154" t="s">
        <v>292</v>
      </c>
      <c r="AB3154" t="s">
        <v>1</v>
      </c>
      <c r="AC3154" t="s">
        <v>24</v>
      </c>
      <c r="AD3154" t="s">
        <v>128</v>
      </c>
      <c r="AE3154" s="97"/>
    </row>
    <row r="3155" spans="1:31" ht="14.4" customHeight="1" x14ac:dyDescent="0.3">
      <c r="A3155" t="s">
        <v>5745</v>
      </c>
      <c r="B3155" t="s">
        <v>1368</v>
      </c>
      <c r="C3155"/>
      <c r="D3155"/>
      <c r="E3155"/>
      <c r="F3155"/>
      <c r="G3155" t="s">
        <v>5356</v>
      </c>
      <c r="H3155" t="s">
        <v>132</v>
      </c>
      <c r="I3155" t="s">
        <v>1</v>
      </c>
      <c r="J3155" t="s">
        <v>5298</v>
      </c>
      <c r="K3155" t="s">
        <v>51</v>
      </c>
      <c r="L3155" t="s">
        <v>1348</v>
      </c>
      <c r="M3155" t="s">
        <v>134</v>
      </c>
      <c r="N3155" t="s">
        <v>135</v>
      </c>
      <c r="O3155"/>
      <c r="P3155"/>
      <c r="Q3155" t="s">
        <v>168</v>
      </c>
      <c r="R3155"/>
      <c r="S3155"/>
      <c r="T3155"/>
      <c r="U3155" t="s">
        <v>137</v>
      </c>
      <c r="V3155" t="s">
        <v>1279</v>
      </c>
      <c r="W3155" s="9">
        <v>46204.520550462963</v>
      </c>
      <c r="X3155" t="s">
        <v>71</v>
      </c>
      <c r="Y3155"/>
      <c r="Z3155"/>
      <c r="AA3155" t="s">
        <v>292</v>
      </c>
      <c r="AB3155" t="s">
        <v>1</v>
      </c>
      <c r="AC3155" t="s">
        <v>24</v>
      </c>
      <c r="AD3155" t="s">
        <v>128</v>
      </c>
      <c r="AE3155" s="97"/>
    </row>
    <row r="3156" spans="1:31" ht="14.4" customHeight="1" x14ac:dyDescent="0.3">
      <c r="A3156" t="s">
        <v>5746</v>
      </c>
      <c r="B3156" t="s">
        <v>1370</v>
      </c>
      <c r="C3156"/>
      <c r="D3156"/>
      <c r="E3156"/>
      <c r="F3156"/>
      <c r="G3156" t="s">
        <v>5356</v>
      </c>
      <c r="H3156" t="s">
        <v>132</v>
      </c>
      <c r="I3156" t="s">
        <v>1</v>
      </c>
      <c r="J3156" t="s">
        <v>5298</v>
      </c>
      <c r="K3156" t="s">
        <v>51</v>
      </c>
      <c r="L3156" t="s">
        <v>1371</v>
      </c>
      <c r="M3156" t="s">
        <v>134</v>
      </c>
      <c r="N3156" t="s">
        <v>135</v>
      </c>
      <c r="O3156"/>
      <c r="P3156"/>
      <c r="Q3156" t="s">
        <v>168</v>
      </c>
      <c r="R3156"/>
      <c r="S3156"/>
      <c r="T3156"/>
      <c r="U3156" t="s">
        <v>137</v>
      </c>
      <c r="V3156" t="s">
        <v>1283</v>
      </c>
      <c r="W3156" s="9">
        <v>46204.52012685185</v>
      </c>
      <c r="X3156" t="s">
        <v>78</v>
      </c>
      <c r="Y3156"/>
      <c r="Z3156"/>
      <c r="AA3156" t="s">
        <v>292</v>
      </c>
      <c r="AB3156" t="s">
        <v>1</v>
      </c>
      <c r="AC3156" t="s">
        <v>24</v>
      </c>
      <c r="AD3156" t="s">
        <v>128</v>
      </c>
      <c r="AE3156" s="97"/>
    </row>
    <row r="3157" spans="1:31" ht="14.4" customHeight="1" x14ac:dyDescent="0.3">
      <c r="A3157" t="s">
        <v>5747</v>
      </c>
      <c r="B3157" t="s">
        <v>1373</v>
      </c>
      <c r="C3157"/>
      <c r="D3157"/>
      <c r="E3157"/>
      <c r="F3157"/>
      <c r="G3157" t="s">
        <v>5356</v>
      </c>
      <c r="H3157" t="s">
        <v>132</v>
      </c>
      <c r="I3157" t="s">
        <v>1</v>
      </c>
      <c r="J3157" t="s">
        <v>5298</v>
      </c>
      <c r="K3157" t="s">
        <v>51</v>
      </c>
      <c r="L3157" t="s">
        <v>1371</v>
      </c>
      <c r="M3157" t="s">
        <v>134</v>
      </c>
      <c r="N3157" t="s">
        <v>135</v>
      </c>
      <c r="O3157"/>
      <c r="P3157"/>
      <c r="Q3157" t="s">
        <v>168</v>
      </c>
      <c r="R3157"/>
      <c r="S3157"/>
      <c r="T3157"/>
      <c r="U3157" t="s">
        <v>137</v>
      </c>
      <c r="V3157" t="s">
        <v>1283</v>
      </c>
      <c r="W3157" s="9">
        <v>46204.562924108795</v>
      </c>
      <c r="X3157" t="s">
        <v>78</v>
      </c>
      <c r="Y3157"/>
      <c r="Z3157"/>
      <c r="AA3157" t="s">
        <v>292</v>
      </c>
      <c r="AB3157" t="s">
        <v>1</v>
      </c>
      <c r="AC3157" t="s">
        <v>24</v>
      </c>
      <c r="AD3157" t="s">
        <v>128</v>
      </c>
      <c r="AE3157" s="97"/>
    </row>
    <row r="3158" spans="1:31" ht="14.4" customHeight="1" x14ac:dyDescent="0.3">
      <c r="A3158" t="s">
        <v>5748</v>
      </c>
      <c r="B3158" t="s">
        <v>1375</v>
      </c>
      <c r="C3158"/>
      <c r="D3158"/>
      <c r="E3158"/>
      <c r="F3158"/>
      <c r="G3158" t="s">
        <v>5356</v>
      </c>
      <c r="H3158" t="s">
        <v>132</v>
      </c>
      <c r="I3158" t="s">
        <v>1</v>
      </c>
      <c r="J3158" t="s">
        <v>5298</v>
      </c>
      <c r="K3158" t="s">
        <v>51</v>
      </c>
      <c r="L3158" t="s">
        <v>1371</v>
      </c>
      <c r="M3158" t="s">
        <v>134</v>
      </c>
      <c r="N3158" t="s">
        <v>135</v>
      </c>
      <c r="O3158"/>
      <c r="P3158"/>
      <c r="Q3158" t="s">
        <v>168</v>
      </c>
      <c r="R3158"/>
      <c r="S3158"/>
      <c r="T3158"/>
      <c r="U3158" t="s">
        <v>137</v>
      </c>
      <c r="V3158" t="s">
        <v>1283</v>
      </c>
      <c r="W3158" s="9">
        <v>46204.563542326388</v>
      </c>
      <c r="X3158" t="s">
        <v>78</v>
      </c>
      <c r="Y3158"/>
      <c r="Z3158"/>
      <c r="AA3158" t="s">
        <v>292</v>
      </c>
      <c r="AB3158" t="s">
        <v>1</v>
      </c>
      <c r="AC3158" t="s">
        <v>24</v>
      </c>
      <c r="AD3158" t="s">
        <v>128</v>
      </c>
      <c r="AE3158" s="97"/>
    </row>
    <row r="3159" spans="1:31" ht="14.4" customHeight="1" x14ac:dyDescent="0.3">
      <c r="A3159" t="s">
        <v>5749</v>
      </c>
      <c r="B3159" t="s">
        <v>1377</v>
      </c>
      <c r="C3159"/>
      <c r="D3159"/>
      <c r="E3159"/>
      <c r="F3159"/>
      <c r="G3159" t="s">
        <v>5356</v>
      </c>
      <c r="H3159" t="s">
        <v>132</v>
      </c>
      <c r="I3159" t="s">
        <v>1</v>
      </c>
      <c r="J3159" t="s">
        <v>5298</v>
      </c>
      <c r="K3159" t="s">
        <v>51</v>
      </c>
      <c r="L3159" t="s">
        <v>1371</v>
      </c>
      <c r="M3159" t="s">
        <v>134</v>
      </c>
      <c r="N3159" t="s">
        <v>135</v>
      </c>
      <c r="O3159"/>
      <c r="P3159"/>
      <c r="Q3159" t="s">
        <v>168</v>
      </c>
      <c r="R3159"/>
      <c r="S3159"/>
      <c r="T3159"/>
      <c r="U3159" t="s">
        <v>137</v>
      </c>
      <c r="V3159" t="s">
        <v>1283</v>
      </c>
      <c r="W3159" s="9">
        <v>46204.519662037033</v>
      </c>
      <c r="X3159" t="s">
        <v>78</v>
      </c>
      <c r="Y3159"/>
      <c r="Z3159"/>
      <c r="AA3159" t="s">
        <v>292</v>
      </c>
      <c r="AB3159" t="s">
        <v>1</v>
      </c>
      <c r="AC3159" t="s">
        <v>24</v>
      </c>
      <c r="AD3159" t="s">
        <v>128</v>
      </c>
      <c r="AE3159" s="97"/>
    </row>
    <row r="3160" spans="1:31" ht="14.4" customHeight="1" x14ac:dyDescent="0.3">
      <c r="A3160" t="s">
        <v>5750</v>
      </c>
      <c r="B3160" t="s">
        <v>1379</v>
      </c>
      <c r="C3160"/>
      <c r="D3160"/>
      <c r="E3160"/>
      <c r="F3160"/>
      <c r="G3160" t="s">
        <v>5356</v>
      </c>
      <c r="H3160" t="s">
        <v>132</v>
      </c>
      <c r="I3160" t="s">
        <v>1</v>
      </c>
      <c r="J3160" t="s">
        <v>5298</v>
      </c>
      <c r="K3160" t="s">
        <v>51</v>
      </c>
      <c r="L3160" t="s">
        <v>1371</v>
      </c>
      <c r="M3160" t="s">
        <v>134</v>
      </c>
      <c r="N3160" t="s">
        <v>135</v>
      </c>
      <c r="O3160"/>
      <c r="P3160"/>
      <c r="Q3160" t="s">
        <v>168</v>
      </c>
      <c r="R3160"/>
      <c r="S3160"/>
      <c r="T3160"/>
      <c r="U3160" t="s">
        <v>137</v>
      </c>
      <c r="V3160" t="s">
        <v>1283</v>
      </c>
      <c r="W3160" s="9">
        <v>46204.519211076389</v>
      </c>
      <c r="X3160" t="s">
        <v>78</v>
      </c>
      <c r="Y3160"/>
      <c r="Z3160"/>
      <c r="AA3160" t="s">
        <v>292</v>
      </c>
      <c r="AB3160" t="s">
        <v>1</v>
      </c>
      <c r="AC3160" t="s">
        <v>24</v>
      </c>
      <c r="AD3160" t="s">
        <v>128</v>
      </c>
      <c r="AE3160" s="97"/>
    </row>
    <row r="3161" spans="1:31" ht="14.4" customHeight="1" x14ac:dyDescent="0.3">
      <c r="A3161" t="s">
        <v>5751</v>
      </c>
      <c r="B3161" t="s">
        <v>1381</v>
      </c>
      <c r="C3161"/>
      <c r="D3161"/>
      <c r="E3161"/>
      <c r="F3161"/>
      <c r="G3161" t="s">
        <v>5356</v>
      </c>
      <c r="H3161" t="s">
        <v>132</v>
      </c>
      <c r="I3161" t="s">
        <v>1</v>
      </c>
      <c r="J3161" t="s">
        <v>5298</v>
      </c>
      <c r="K3161" t="s">
        <v>51</v>
      </c>
      <c r="L3161" t="s">
        <v>1371</v>
      </c>
      <c r="M3161" t="s">
        <v>134</v>
      </c>
      <c r="N3161" t="s">
        <v>135</v>
      </c>
      <c r="O3161"/>
      <c r="P3161"/>
      <c r="Q3161" t="s">
        <v>168</v>
      </c>
      <c r="R3161"/>
      <c r="S3161"/>
      <c r="T3161"/>
      <c r="U3161" t="s">
        <v>137</v>
      </c>
      <c r="V3161" t="s">
        <v>1283</v>
      </c>
      <c r="W3161" s="9">
        <v>46204.518753668985</v>
      </c>
      <c r="X3161" t="s">
        <v>78</v>
      </c>
      <c r="Y3161"/>
      <c r="Z3161"/>
      <c r="AA3161" t="s">
        <v>292</v>
      </c>
      <c r="AB3161" t="s">
        <v>1</v>
      </c>
      <c r="AC3161" t="s">
        <v>24</v>
      </c>
      <c r="AD3161" t="s">
        <v>128</v>
      </c>
      <c r="AE3161" s="97"/>
    </row>
    <row r="3162" spans="1:31" ht="14.4" customHeight="1" x14ac:dyDescent="0.3">
      <c r="A3162" t="s">
        <v>5752</v>
      </c>
      <c r="B3162" t="s">
        <v>1383</v>
      </c>
      <c r="C3162"/>
      <c r="D3162"/>
      <c r="E3162"/>
      <c r="F3162"/>
      <c r="G3162" t="s">
        <v>5356</v>
      </c>
      <c r="H3162" t="s">
        <v>132</v>
      </c>
      <c r="I3162" t="s">
        <v>1</v>
      </c>
      <c r="J3162" t="s">
        <v>5298</v>
      </c>
      <c r="K3162" t="s">
        <v>51</v>
      </c>
      <c r="L3162" t="s">
        <v>1371</v>
      </c>
      <c r="M3162" t="s">
        <v>134</v>
      </c>
      <c r="N3162" t="s">
        <v>135</v>
      </c>
      <c r="O3162"/>
      <c r="P3162"/>
      <c r="Q3162" t="s">
        <v>168</v>
      </c>
      <c r="R3162"/>
      <c r="S3162"/>
      <c r="T3162"/>
      <c r="U3162" t="s">
        <v>137</v>
      </c>
      <c r="V3162" t="s">
        <v>1283</v>
      </c>
      <c r="W3162" s="9">
        <v>46204.518339085647</v>
      </c>
      <c r="X3162" t="s">
        <v>78</v>
      </c>
      <c r="Y3162"/>
      <c r="Z3162"/>
      <c r="AA3162" t="s">
        <v>292</v>
      </c>
      <c r="AB3162" t="s">
        <v>1</v>
      </c>
      <c r="AC3162" t="s">
        <v>24</v>
      </c>
      <c r="AD3162" t="s">
        <v>128</v>
      </c>
      <c r="AE3162" s="97"/>
    </row>
    <row r="3163" spans="1:31" ht="14.4" customHeight="1" x14ac:dyDescent="0.3">
      <c r="A3163" t="s">
        <v>5753</v>
      </c>
      <c r="B3163" t="s">
        <v>1385</v>
      </c>
      <c r="C3163"/>
      <c r="D3163"/>
      <c r="E3163"/>
      <c r="F3163"/>
      <c r="G3163" t="s">
        <v>5356</v>
      </c>
      <c r="H3163" t="s">
        <v>132</v>
      </c>
      <c r="I3163" t="s">
        <v>1</v>
      </c>
      <c r="J3163" t="s">
        <v>5298</v>
      </c>
      <c r="K3163" t="s">
        <v>51</v>
      </c>
      <c r="L3163" t="s">
        <v>1371</v>
      </c>
      <c r="M3163" t="s">
        <v>134</v>
      </c>
      <c r="N3163" t="s">
        <v>135</v>
      </c>
      <c r="O3163"/>
      <c r="P3163"/>
      <c r="Q3163" t="s">
        <v>168</v>
      </c>
      <c r="R3163"/>
      <c r="S3163"/>
      <c r="T3163"/>
      <c r="U3163" t="s">
        <v>137</v>
      </c>
      <c r="V3163" t="s">
        <v>1283</v>
      </c>
      <c r="W3163" s="9">
        <v>46204.517638773148</v>
      </c>
      <c r="X3163" t="s">
        <v>78</v>
      </c>
      <c r="Y3163"/>
      <c r="Z3163"/>
      <c r="AA3163" t="s">
        <v>292</v>
      </c>
      <c r="AB3163" t="s">
        <v>1</v>
      </c>
      <c r="AC3163" t="s">
        <v>24</v>
      </c>
      <c r="AD3163" t="s">
        <v>128</v>
      </c>
      <c r="AE3163" s="97"/>
    </row>
    <row r="3164" spans="1:31" ht="14.4" customHeight="1" x14ac:dyDescent="0.3">
      <c r="A3164" t="s">
        <v>5754</v>
      </c>
      <c r="B3164" t="s">
        <v>1387</v>
      </c>
      <c r="C3164"/>
      <c r="D3164"/>
      <c r="E3164"/>
      <c r="F3164"/>
      <c r="G3164" t="s">
        <v>5356</v>
      </c>
      <c r="H3164" t="s">
        <v>132</v>
      </c>
      <c r="I3164" t="s">
        <v>1</v>
      </c>
      <c r="J3164" t="s">
        <v>5298</v>
      </c>
      <c r="K3164" t="s">
        <v>51</v>
      </c>
      <c r="L3164" t="s">
        <v>1371</v>
      </c>
      <c r="M3164" t="s">
        <v>134</v>
      </c>
      <c r="N3164" t="s">
        <v>135</v>
      </c>
      <c r="O3164"/>
      <c r="P3164"/>
      <c r="Q3164" t="s">
        <v>168</v>
      </c>
      <c r="R3164"/>
      <c r="S3164"/>
      <c r="T3164"/>
      <c r="U3164" t="s">
        <v>137</v>
      </c>
      <c r="V3164" t="s">
        <v>1283</v>
      </c>
      <c r="W3164" s="9">
        <v>46204.517282141205</v>
      </c>
      <c r="X3164" t="s">
        <v>78</v>
      </c>
      <c r="Y3164"/>
      <c r="Z3164"/>
      <c r="AA3164" t="s">
        <v>292</v>
      </c>
      <c r="AB3164" t="s">
        <v>1</v>
      </c>
      <c r="AC3164" t="s">
        <v>24</v>
      </c>
      <c r="AD3164" t="s">
        <v>128</v>
      </c>
      <c r="AE3164" s="97"/>
    </row>
    <row r="3165" spans="1:31" ht="14.4" customHeight="1" x14ac:dyDescent="0.3">
      <c r="A3165" t="s">
        <v>5755</v>
      </c>
      <c r="B3165" t="s">
        <v>1389</v>
      </c>
      <c r="C3165"/>
      <c r="D3165"/>
      <c r="E3165"/>
      <c r="F3165"/>
      <c r="G3165" t="s">
        <v>5356</v>
      </c>
      <c r="H3165" t="s">
        <v>132</v>
      </c>
      <c r="I3165" t="s">
        <v>1</v>
      </c>
      <c r="J3165" t="s">
        <v>5298</v>
      </c>
      <c r="K3165" t="s">
        <v>51</v>
      </c>
      <c r="L3165" t="s">
        <v>1371</v>
      </c>
      <c r="M3165" t="s">
        <v>134</v>
      </c>
      <c r="N3165" t="s">
        <v>135</v>
      </c>
      <c r="O3165"/>
      <c r="P3165"/>
      <c r="Q3165" t="s">
        <v>168</v>
      </c>
      <c r="R3165"/>
      <c r="S3165"/>
      <c r="T3165"/>
      <c r="U3165" t="s">
        <v>137</v>
      </c>
      <c r="V3165" t="s">
        <v>1283</v>
      </c>
      <c r="W3165" s="9">
        <v>46204.516968750002</v>
      </c>
      <c r="X3165" t="s">
        <v>78</v>
      </c>
      <c r="Y3165"/>
      <c r="Z3165"/>
      <c r="AA3165" t="s">
        <v>292</v>
      </c>
      <c r="AB3165" t="s">
        <v>1</v>
      </c>
      <c r="AC3165" t="s">
        <v>24</v>
      </c>
      <c r="AD3165" t="s">
        <v>128</v>
      </c>
      <c r="AE3165" s="97"/>
    </row>
    <row r="3166" spans="1:31" ht="14.4" customHeight="1" x14ac:dyDescent="0.3">
      <c r="A3166" t="s">
        <v>5756</v>
      </c>
      <c r="B3166" t="s">
        <v>1391</v>
      </c>
      <c r="C3166"/>
      <c r="D3166"/>
      <c r="E3166"/>
      <c r="F3166"/>
      <c r="G3166" t="s">
        <v>5356</v>
      </c>
      <c r="H3166" t="s">
        <v>132</v>
      </c>
      <c r="I3166" t="s">
        <v>1</v>
      </c>
      <c r="J3166" t="s">
        <v>5298</v>
      </c>
      <c r="K3166" t="s">
        <v>51</v>
      </c>
      <c r="L3166" t="s">
        <v>1371</v>
      </c>
      <c r="M3166" t="s">
        <v>134</v>
      </c>
      <c r="N3166" t="s">
        <v>135</v>
      </c>
      <c r="O3166"/>
      <c r="P3166"/>
      <c r="Q3166" t="s">
        <v>168</v>
      </c>
      <c r="R3166"/>
      <c r="S3166"/>
      <c r="T3166"/>
      <c r="U3166" t="s">
        <v>137</v>
      </c>
      <c r="V3166" t="s">
        <v>1283</v>
      </c>
      <c r="W3166" s="9">
        <v>46204.516575891204</v>
      </c>
      <c r="X3166" t="s">
        <v>78</v>
      </c>
      <c r="Y3166"/>
      <c r="Z3166"/>
      <c r="AA3166" t="s">
        <v>292</v>
      </c>
      <c r="AB3166" t="s">
        <v>1</v>
      </c>
      <c r="AC3166" t="s">
        <v>24</v>
      </c>
      <c r="AD3166" t="s">
        <v>128</v>
      </c>
      <c r="AE3166" s="97"/>
    </row>
    <row r="3167" spans="1:31" ht="14.4" customHeight="1" x14ac:dyDescent="0.3">
      <c r="A3167" t="s">
        <v>5757</v>
      </c>
      <c r="B3167" t="s">
        <v>1393</v>
      </c>
      <c r="C3167"/>
      <c r="D3167"/>
      <c r="E3167"/>
      <c r="F3167"/>
      <c r="G3167" t="s">
        <v>5356</v>
      </c>
      <c r="H3167" t="s">
        <v>132</v>
      </c>
      <c r="I3167" t="s">
        <v>1</v>
      </c>
      <c r="J3167" t="s">
        <v>5298</v>
      </c>
      <c r="K3167" t="s">
        <v>51</v>
      </c>
      <c r="L3167" t="s">
        <v>1394</v>
      </c>
      <c r="M3167" t="s">
        <v>134</v>
      </c>
      <c r="N3167" t="s">
        <v>135</v>
      </c>
      <c r="O3167"/>
      <c r="P3167"/>
      <c r="Q3167" t="s">
        <v>168</v>
      </c>
      <c r="R3167"/>
      <c r="S3167"/>
      <c r="T3167"/>
      <c r="U3167" t="s">
        <v>137</v>
      </c>
      <c r="V3167" t="s">
        <v>1287</v>
      </c>
      <c r="W3167"/>
      <c r="X3167" t="s">
        <v>89</v>
      </c>
      <c r="Y3167"/>
      <c r="Z3167"/>
      <c r="AA3167" t="s">
        <v>292</v>
      </c>
      <c r="AB3167" t="s">
        <v>1</v>
      </c>
      <c r="AC3167" t="s">
        <v>138</v>
      </c>
      <c r="AD3167" t="s">
        <v>129</v>
      </c>
      <c r="AE3167" s="97"/>
    </row>
    <row r="3168" spans="1:31" ht="14.4" customHeight="1" x14ac:dyDescent="0.3">
      <c r="A3168" t="s">
        <v>5758</v>
      </c>
      <c r="B3168" t="s">
        <v>1396</v>
      </c>
      <c r="C3168"/>
      <c r="D3168"/>
      <c r="E3168"/>
      <c r="F3168"/>
      <c r="G3168" t="s">
        <v>5356</v>
      </c>
      <c r="H3168" t="s">
        <v>132</v>
      </c>
      <c r="I3168" t="s">
        <v>1</v>
      </c>
      <c r="J3168" t="s">
        <v>5298</v>
      </c>
      <c r="K3168" t="s">
        <v>51</v>
      </c>
      <c r="L3168" t="s">
        <v>1394</v>
      </c>
      <c r="M3168" t="s">
        <v>134</v>
      </c>
      <c r="N3168" t="s">
        <v>135</v>
      </c>
      <c r="O3168"/>
      <c r="P3168"/>
      <c r="Q3168" t="s">
        <v>168</v>
      </c>
      <c r="R3168"/>
      <c r="S3168"/>
      <c r="T3168"/>
      <c r="U3168" t="s">
        <v>137</v>
      </c>
      <c r="V3168" t="s">
        <v>1287</v>
      </c>
      <c r="W3168"/>
      <c r="X3168" t="s">
        <v>89</v>
      </c>
      <c r="Y3168"/>
      <c r="Z3168"/>
      <c r="AA3168" t="s">
        <v>292</v>
      </c>
      <c r="AB3168" t="s">
        <v>1</v>
      </c>
      <c r="AC3168" t="s">
        <v>138</v>
      </c>
      <c r="AD3168" t="s">
        <v>129</v>
      </c>
      <c r="AE3168" s="97"/>
    </row>
    <row r="3169" spans="1:31" ht="14.4" customHeight="1" x14ac:dyDescent="0.3">
      <c r="A3169" t="s">
        <v>5759</v>
      </c>
      <c r="B3169" t="s">
        <v>1398</v>
      </c>
      <c r="C3169"/>
      <c r="D3169"/>
      <c r="E3169"/>
      <c r="F3169"/>
      <c r="G3169" t="s">
        <v>5356</v>
      </c>
      <c r="H3169" t="s">
        <v>132</v>
      </c>
      <c r="I3169" t="s">
        <v>1</v>
      </c>
      <c r="J3169" t="s">
        <v>5298</v>
      </c>
      <c r="K3169" t="s">
        <v>51</v>
      </c>
      <c r="L3169" t="s">
        <v>1394</v>
      </c>
      <c r="M3169" t="s">
        <v>134</v>
      </c>
      <c r="N3169" t="s">
        <v>135</v>
      </c>
      <c r="O3169"/>
      <c r="P3169"/>
      <c r="Q3169" t="s">
        <v>168</v>
      </c>
      <c r="R3169"/>
      <c r="S3169"/>
      <c r="T3169"/>
      <c r="U3169" t="s">
        <v>137</v>
      </c>
      <c r="V3169" t="s">
        <v>1287</v>
      </c>
      <c r="W3169"/>
      <c r="X3169" t="s">
        <v>89</v>
      </c>
      <c r="Y3169"/>
      <c r="Z3169"/>
      <c r="AA3169" t="s">
        <v>292</v>
      </c>
      <c r="AB3169" t="s">
        <v>1</v>
      </c>
      <c r="AC3169" t="s">
        <v>138</v>
      </c>
      <c r="AD3169" t="s">
        <v>129</v>
      </c>
      <c r="AE3169" s="97"/>
    </row>
    <row r="3170" spans="1:31" ht="14.4" customHeight="1" x14ac:dyDescent="0.3">
      <c r="A3170" t="s">
        <v>5760</v>
      </c>
      <c r="B3170" t="s">
        <v>1400</v>
      </c>
      <c r="C3170"/>
      <c r="D3170"/>
      <c r="E3170"/>
      <c r="F3170"/>
      <c r="G3170" t="s">
        <v>5356</v>
      </c>
      <c r="H3170" t="s">
        <v>132</v>
      </c>
      <c r="I3170" t="s">
        <v>1</v>
      </c>
      <c r="J3170" t="s">
        <v>5298</v>
      </c>
      <c r="K3170" t="s">
        <v>51</v>
      </c>
      <c r="L3170" t="s">
        <v>1394</v>
      </c>
      <c r="M3170" t="s">
        <v>134</v>
      </c>
      <c r="N3170" t="s">
        <v>135</v>
      </c>
      <c r="O3170"/>
      <c r="P3170"/>
      <c r="Q3170" t="s">
        <v>168</v>
      </c>
      <c r="R3170"/>
      <c r="S3170"/>
      <c r="T3170"/>
      <c r="U3170" t="s">
        <v>137</v>
      </c>
      <c r="V3170" t="s">
        <v>1287</v>
      </c>
      <c r="W3170"/>
      <c r="X3170" t="s">
        <v>89</v>
      </c>
      <c r="Y3170"/>
      <c r="Z3170"/>
      <c r="AA3170" t="s">
        <v>292</v>
      </c>
      <c r="AB3170" t="s">
        <v>1</v>
      </c>
      <c r="AC3170" t="s">
        <v>138</v>
      </c>
      <c r="AD3170" t="s">
        <v>129</v>
      </c>
      <c r="AE3170" s="97"/>
    </row>
    <row r="3171" spans="1:31" ht="14.4" customHeight="1" x14ac:dyDescent="0.3">
      <c r="A3171" t="s">
        <v>5761</v>
      </c>
      <c r="B3171" t="s">
        <v>1402</v>
      </c>
      <c r="C3171"/>
      <c r="D3171"/>
      <c r="E3171"/>
      <c r="F3171"/>
      <c r="G3171" t="s">
        <v>5356</v>
      </c>
      <c r="H3171" t="s">
        <v>132</v>
      </c>
      <c r="I3171" t="s">
        <v>1</v>
      </c>
      <c r="J3171" t="s">
        <v>5298</v>
      </c>
      <c r="K3171" t="s">
        <v>51</v>
      </c>
      <c r="L3171" t="s">
        <v>1394</v>
      </c>
      <c r="M3171" t="s">
        <v>134</v>
      </c>
      <c r="N3171" t="s">
        <v>135</v>
      </c>
      <c r="O3171"/>
      <c r="P3171"/>
      <c r="Q3171" t="s">
        <v>168</v>
      </c>
      <c r="R3171"/>
      <c r="S3171"/>
      <c r="T3171"/>
      <c r="U3171" t="s">
        <v>137</v>
      </c>
      <c r="V3171" t="s">
        <v>1287</v>
      </c>
      <c r="W3171"/>
      <c r="X3171" t="s">
        <v>89</v>
      </c>
      <c r="Y3171"/>
      <c r="Z3171"/>
      <c r="AA3171" t="s">
        <v>292</v>
      </c>
      <c r="AB3171" t="s">
        <v>1</v>
      </c>
      <c r="AC3171" t="s">
        <v>138</v>
      </c>
      <c r="AD3171" t="s">
        <v>129</v>
      </c>
      <c r="AE3171" s="97"/>
    </row>
    <row r="3172" spans="1:31" ht="14.4" customHeight="1" x14ac:dyDescent="0.3">
      <c r="A3172" t="s">
        <v>5762</v>
      </c>
      <c r="B3172" t="s">
        <v>1404</v>
      </c>
      <c r="C3172"/>
      <c r="D3172"/>
      <c r="E3172"/>
      <c r="F3172"/>
      <c r="G3172" t="s">
        <v>5356</v>
      </c>
      <c r="H3172" t="s">
        <v>132</v>
      </c>
      <c r="I3172" t="s">
        <v>1</v>
      </c>
      <c r="J3172" t="s">
        <v>5298</v>
      </c>
      <c r="K3172" t="s">
        <v>51</v>
      </c>
      <c r="L3172" t="s">
        <v>1394</v>
      </c>
      <c r="M3172" t="s">
        <v>134</v>
      </c>
      <c r="N3172" t="s">
        <v>135</v>
      </c>
      <c r="O3172"/>
      <c r="P3172"/>
      <c r="Q3172" t="s">
        <v>168</v>
      </c>
      <c r="R3172"/>
      <c r="S3172"/>
      <c r="T3172"/>
      <c r="U3172" t="s">
        <v>137</v>
      </c>
      <c r="V3172" t="s">
        <v>1287</v>
      </c>
      <c r="W3172"/>
      <c r="X3172" t="s">
        <v>89</v>
      </c>
      <c r="Y3172"/>
      <c r="Z3172"/>
      <c r="AA3172" t="s">
        <v>292</v>
      </c>
      <c r="AB3172" t="s">
        <v>1</v>
      </c>
      <c r="AC3172" t="s">
        <v>138</v>
      </c>
      <c r="AD3172" t="s">
        <v>129</v>
      </c>
      <c r="AE3172" s="97"/>
    </row>
    <row r="3173" spans="1:31" ht="14.4" customHeight="1" x14ac:dyDescent="0.3">
      <c r="A3173" t="s">
        <v>5763</v>
      </c>
      <c r="B3173" t="s">
        <v>1406</v>
      </c>
      <c r="C3173"/>
      <c r="D3173"/>
      <c r="E3173"/>
      <c r="F3173"/>
      <c r="G3173" t="s">
        <v>5356</v>
      </c>
      <c r="H3173" t="s">
        <v>132</v>
      </c>
      <c r="I3173" t="s">
        <v>1</v>
      </c>
      <c r="J3173" t="s">
        <v>5298</v>
      </c>
      <c r="K3173" t="s">
        <v>51</v>
      </c>
      <c r="L3173" t="s">
        <v>1394</v>
      </c>
      <c r="M3173" t="s">
        <v>134</v>
      </c>
      <c r="N3173" t="s">
        <v>135</v>
      </c>
      <c r="O3173"/>
      <c r="P3173"/>
      <c r="Q3173" t="s">
        <v>168</v>
      </c>
      <c r="R3173"/>
      <c r="S3173"/>
      <c r="T3173"/>
      <c r="U3173" t="s">
        <v>137</v>
      </c>
      <c r="V3173" t="s">
        <v>1287</v>
      </c>
      <c r="W3173"/>
      <c r="X3173" t="s">
        <v>89</v>
      </c>
      <c r="Y3173"/>
      <c r="Z3173"/>
      <c r="AA3173" t="s">
        <v>292</v>
      </c>
      <c r="AB3173" t="s">
        <v>1</v>
      </c>
      <c r="AC3173" t="s">
        <v>138</v>
      </c>
      <c r="AD3173" t="s">
        <v>129</v>
      </c>
      <c r="AE3173" s="97"/>
    </row>
    <row r="3174" spans="1:31" ht="14.4" customHeight="1" x14ac:dyDescent="0.3">
      <c r="A3174" t="s">
        <v>5764</v>
      </c>
      <c r="B3174" t="s">
        <v>1408</v>
      </c>
      <c r="C3174"/>
      <c r="D3174"/>
      <c r="E3174"/>
      <c r="F3174"/>
      <c r="G3174" t="s">
        <v>5356</v>
      </c>
      <c r="H3174" t="s">
        <v>132</v>
      </c>
      <c r="I3174" t="s">
        <v>1</v>
      </c>
      <c r="J3174" t="s">
        <v>5298</v>
      </c>
      <c r="K3174" t="s">
        <v>51</v>
      </c>
      <c r="L3174" t="s">
        <v>1394</v>
      </c>
      <c r="M3174" t="s">
        <v>134</v>
      </c>
      <c r="N3174" t="s">
        <v>135</v>
      </c>
      <c r="O3174"/>
      <c r="P3174"/>
      <c r="Q3174" t="s">
        <v>168</v>
      </c>
      <c r="R3174"/>
      <c r="S3174"/>
      <c r="T3174"/>
      <c r="U3174" t="s">
        <v>137</v>
      </c>
      <c r="V3174" t="s">
        <v>1287</v>
      </c>
      <c r="W3174"/>
      <c r="X3174" t="s">
        <v>89</v>
      </c>
      <c r="Y3174"/>
      <c r="Z3174"/>
      <c r="AA3174" t="s">
        <v>292</v>
      </c>
      <c r="AB3174" t="s">
        <v>1</v>
      </c>
      <c r="AC3174" t="s">
        <v>138</v>
      </c>
      <c r="AD3174" t="s">
        <v>129</v>
      </c>
      <c r="AE3174" s="97"/>
    </row>
    <row r="3175" spans="1:31" ht="14.4" customHeight="1" x14ac:dyDescent="0.3">
      <c r="A3175" t="s">
        <v>5765</v>
      </c>
      <c r="B3175" t="s">
        <v>1410</v>
      </c>
      <c r="C3175"/>
      <c r="D3175"/>
      <c r="E3175"/>
      <c r="F3175"/>
      <c r="G3175" t="s">
        <v>5356</v>
      </c>
      <c r="H3175" t="s">
        <v>132</v>
      </c>
      <c r="I3175" t="s">
        <v>1</v>
      </c>
      <c r="J3175" t="s">
        <v>5298</v>
      </c>
      <c r="K3175" t="s">
        <v>51</v>
      </c>
      <c r="L3175" t="s">
        <v>1394</v>
      </c>
      <c r="M3175" t="s">
        <v>134</v>
      </c>
      <c r="N3175" t="s">
        <v>135</v>
      </c>
      <c r="O3175"/>
      <c r="P3175"/>
      <c r="Q3175" t="s">
        <v>168</v>
      </c>
      <c r="R3175"/>
      <c r="S3175"/>
      <c r="T3175"/>
      <c r="U3175" t="s">
        <v>137</v>
      </c>
      <c r="V3175" t="s">
        <v>1287</v>
      </c>
      <c r="W3175"/>
      <c r="X3175" t="s">
        <v>89</v>
      </c>
      <c r="Y3175"/>
      <c r="Z3175"/>
      <c r="AA3175" t="s">
        <v>292</v>
      </c>
      <c r="AB3175" t="s">
        <v>1</v>
      </c>
      <c r="AC3175" t="s">
        <v>138</v>
      </c>
      <c r="AD3175" t="s">
        <v>129</v>
      </c>
      <c r="AE3175" s="97"/>
    </row>
    <row r="3176" spans="1:31" ht="14.4" customHeight="1" x14ac:dyDescent="0.3">
      <c r="A3176" t="s">
        <v>5766</v>
      </c>
      <c r="B3176" t="s">
        <v>1412</v>
      </c>
      <c r="C3176"/>
      <c r="D3176"/>
      <c r="E3176"/>
      <c r="F3176"/>
      <c r="G3176" t="s">
        <v>5356</v>
      </c>
      <c r="H3176" t="s">
        <v>132</v>
      </c>
      <c r="I3176" t="s">
        <v>1</v>
      </c>
      <c r="J3176" t="s">
        <v>5298</v>
      </c>
      <c r="K3176" t="s">
        <v>51</v>
      </c>
      <c r="L3176" t="s">
        <v>1394</v>
      </c>
      <c r="M3176" t="s">
        <v>134</v>
      </c>
      <c r="N3176" t="s">
        <v>135</v>
      </c>
      <c r="O3176"/>
      <c r="P3176"/>
      <c r="Q3176" t="s">
        <v>168</v>
      </c>
      <c r="R3176"/>
      <c r="S3176"/>
      <c r="T3176"/>
      <c r="U3176" t="s">
        <v>137</v>
      </c>
      <c r="V3176" t="s">
        <v>1287</v>
      </c>
      <c r="W3176"/>
      <c r="X3176" t="s">
        <v>89</v>
      </c>
      <c r="Y3176"/>
      <c r="Z3176"/>
      <c r="AA3176" t="s">
        <v>292</v>
      </c>
      <c r="AB3176" t="s">
        <v>1</v>
      </c>
      <c r="AC3176" t="s">
        <v>138</v>
      </c>
      <c r="AD3176" t="s">
        <v>129</v>
      </c>
      <c r="AE3176" s="97"/>
    </row>
    <row r="3177" spans="1:31" ht="14.4" customHeight="1" x14ac:dyDescent="0.3">
      <c r="A3177" t="s">
        <v>5767</v>
      </c>
      <c r="B3177" t="s">
        <v>1414</v>
      </c>
      <c r="C3177"/>
      <c r="D3177"/>
      <c r="E3177"/>
      <c r="F3177"/>
      <c r="G3177" t="s">
        <v>5356</v>
      </c>
      <c r="H3177" t="s">
        <v>132</v>
      </c>
      <c r="I3177" t="s">
        <v>1</v>
      </c>
      <c r="J3177" t="s">
        <v>5298</v>
      </c>
      <c r="K3177" t="s">
        <v>51</v>
      </c>
      <c r="L3177" t="s">
        <v>1394</v>
      </c>
      <c r="M3177" t="s">
        <v>134</v>
      </c>
      <c r="N3177" t="s">
        <v>135</v>
      </c>
      <c r="O3177"/>
      <c r="P3177"/>
      <c r="Q3177" t="s">
        <v>168</v>
      </c>
      <c r="R3177"/>
      <c r="S3177"/>
      <c r="T3177"/>
      <c r="U3177" t="s">
        <v>137</v>
      </c>
      <c r="V3177" t="s">
        <v>1287</v>
      </c>
      <c r="W3177"/>
      <c r="X3177" t="s">
        <v>89</v>
      </c>
      <c r="Y3177"/>
      <c r="Z3177"/>
      <c r="AA3177" t="s">
        <v>292</v>
      </c>
      <c r="AB3177" t="s">
        <v>1</v>
      </c>
      <c r="AC3177" t="s">
        <v>138</v>
      </c>
      <c r="AD3177" t="s">
        <v>129</v>
      </c>
      <c r="AE3177" s="97"/>
    </row>
    <row r="3178" spans="1:31" ht="14.4" customHeight="1" x14ac:dyDescent="0.3">
      <c r="A3178" t="s">
        <v>5768</v>
      </c>
      <c r="B3178" t="s">
        <v>1416</v>
      </c>
      <c r="C3178"/>
      <c r="D3178"/>
      <c r="E3178"/>
      <c r="F3178"/>
      <c r="G3178" t="s">
        <v>5356</v>
      </c>
      <c r="H3178" t="s">
        <v>132</v>
      </c>
      <c r="I3178" t="s">
        <v>1</v>
      </c>
      <c r="J3178" t="s">
        <v>5298</v>
      </c>
      <c r="K3178" t="s">
        <v>51</v>
      </c>
      <c r="L3178" t="s">
        <v>1417</v>
      </c>
      <c r="M3178" t="s">
        <v>134</v>
      </c>
      <c r="N3178" t="s">
        <v>135</v>
      </c>
      <c r="O3178"/>
      <c r="P3178"/>
      <c r="Q3178" t="s">
        <v>168</v>
      </c>
      <c r="R3178"/>
      <c r="S3178"/>
      <c r="T3178"/>
      <c r="U3178" t="s">
        <v>137</v>
      </c>
      <c r="V3178" t="s">
        <v>1291</v>
      </c>
      <c r="W3178"/>
      <c r="X3178" t="s">
        <v>98</v>
      </c>
      <c r="Y3178"/>
      <c r="Z3178"/>
      <c r="AA3178" t="s">
        <v>292</v>
      </c>
      <c r="AB3178" t="s">
        <v>1</v>
      </c>
      <c r="AC3178" t="s">
        <v>138</v>
      </c>
      <c r="AD3178" t="s">
        <v>129</v>
      </c>
      <c r="AE3178" s="97"/>
    </row>
    <row r="3179" spans="1:31" ht="14.4" customHeight="1" x14ac:dyDescent="0.3">
      <c r="A3179" t="s">
        <v>5769</v>
      </c>
      <c r="B3179" t="s">
        <v>1419</v>
      </c>
      <c r="C3179"/>
      <c r="D3179"/>
      <c r="E3179"/>
      <c r="F3179"/>
      <c r="G3179" t="s">
        <v>5356</v>
      </c>
      <c r="H3179" t="s">
        <v>132</v>
      </c>
      <c r="I3179" t="s">
        <v>1</v>
      </c>
      <c r="J3179" t="s">
        <v>5298</v>
      </c>
      <c r="K3179" t="s">
        <v>51</v>
      </c>
      <c r="L3179" t="s">
        <v>1417</v>
      </c>
      <c r="M3179" t="s">
        <v>134</v>
      </c>
      <c r="N3179" t="s">
        <v>135</v>
      </c>
      <c r="O3179"/>
      <c r="P3179"/>
      <c r="Q3179" t="s">
        <v>168</v>
      </c>
      <c r="R3179"/>
      <c r="S3179"/>
      <c r="T3179"/>
      <c r="U3179" t="s">
        <v>137</v>
      </c>
      <c r="V3179" t="s">
        <v>1291</v>
      </c>
      <c r="W3179"/>
      <c r="X3179" t="s">
        <v>98</v>
      </c>
      <c r="Y3179"/>
      <c r="Z3179"/>
      <c r="AA3179" t="s">
        <v>292</v>
      </c>
      <c r="AB3179" t="s">
        <v>1</v>
      </c>
      <c r="AC3179" t="s">
        <v>138</v>
      </c>
      <c r="AD3179" t="s">
        <v>129</v>
      </c>
      <c r="AE3179" s="97"/>
    </row>
    <row r="3180" spans="1:31" ht="14.4" customHeight="1" x14ac:dyDescent="0.3">
      <c r="A3180" t="s">
        <v>5770</v>
      </c>
      <c r="B3180" t="s">
        <v>1421</v>
      </c>
      <c r="C3180"/>
      <c r="D3180"/>
      <c r="E3180"/>
      <c r="F3180"/>
      <c r="G3180" t="s">
        <v>5356</v>
      </c>
      <c r="H3180" t="s">
        <v>132</v>
      </c>
      <c r="I3180" t="s">
        <v>1</v>
      </c>
      <c r="J3180" t="s">
        <v>5298</v>
      </c>
      <c r="K3180" t="s">
        <v>51</v>
      </c>
      <c r="L3180" t="s">
        <v>1417</v>
      </c>
      <c r="M3180" t="s">
        <v>134</v>
      </c>
      <c r="N3180" t="s">
        <v>135</v>
      </c>
      <c r="O3180"/>
      <c r="P3180"/>
      <c r="Q3180" t="s">
        <v>168</v>
      </c>
      <c r="R3180"/>
      <c r="S3180"/>
      <c r="T3180"/>
      <c r="U3180" t="s">
        <v>137</v>
      </c>
      <c r="V3180" t="s">
        <v>1291</v>
      </c>
      <c r="W3180"/>
      <c r="X3180" t="s">
        <v>98</v>
      </c>
      <c r="Y3180"/>
      <c r="Z3180"/>
      <c r="AA3180" t="s">
        <v>292</v>
      </c>
      <c r="AB3180" t="s">
        <v>1</v>
      </c>
      <c r="AC3180" t="s">
        <v>138</v>
      </c>
      <c r="AD3180" t="s">
        <v>129</v>
      </c>
      <c r="AE3180" s="97"/>
    </row>
    <row r="3181" spans="1:31" ht="14.4" customHeight="1" x14ac:dyDescent="0.3">
      <c r="A3181" t="s">
        <v>5771</v>
      </c>
      <c r="B3181" t="s">
        <v>1423</v>
      </c>
      <c r="C3181"/>
      <c r="D3181"/>
      <c r="E3181"/>
      <c r="F3181"/>
      <c r="G3181" t="s">
        <v>5356</v>
      </c>
      <c r="H3181" t="s">
        <v>132</v>
      </c>
      <c r="I3181" t="s">
        <v>1</v>
      </c>
      <c r="J3181" t="s">
        <v>5298</v>
      </c>
      <c r="K3181" t="s">
        <v>51</v>
      </c>
      <c r="L3181" t="s">
        <v>1417</v>
      </c>
      <c r="M3181" t="s">
        <v>134</v>
      </c>
      <c r="N3181" t="s">
        <v>135</v>
      </c>
      <c r="O3181"/>
      <c r="P3181"/>
      <c r="Q3181" t="s">
        <v>168</v>
      </c>
      <c r="R3181"/>
      <c r="S3181"/>
      <c r="T3181"/>
      <c r="U3181" t="s">
        <v>137</v>
      </c>
      <c r="V3181" t="s">
        <v>1291</v>
      </c>
      <c r="W3181"/>
      <c r="X3181" t="s">
        <v>98</v>
      </c>
      <c r="Y3181"/>
      <c r="Z3181"/>
      <c r="AA3181" t="s">
        <v>292</v>
      </c>
      <c r="AB3181" t="s">
        <v>1</v>
      </c>
      <c r="AC3181" t="s">
        <v>138</v>
      </c>
      <c r="AD3181" t="s">
        <v>129</v>
      </c>
      <c r="AE3181" s="97"/>
    </row>
    <row r="3182" spans="1:31" ht="14.4" customHeight="1" x14ac:dyDescent="0.3">
      <c r="A3182" t="s">
        <v>5772</v>
      </c>
      <c r="B3182" t="s">
        <v>1425</v>
      </c>
      <c r="C3182"/>
      <c r="D3182"/>
      <c r="E3182"/>
      <c r="F3182"/>
      <c r="G3182" t="s">
        <v>5356</v>
      </c>
      <c r="H3182" t="s">
        <v>132</v>
      </c>
      <c r="I3182" t="s">
        <v>1</v>
      </c>
      <c r="J3182" t="s">
        <v>5298</v>
      </c>
      <c r="K3182" t="s">
        <v>51</v>
      </c>
      <c r="L3182" t="s">
        <v>1417</v>
      </c>
      <c r="M3182" t="s">
        <v>134</v>
      </c>
      <c r="N3182" t="s">
        <v>135</v>
      </c>
      <c r="O3182"/>
      <c r="P3182"/>
      <c r="Q3182" t="s">
        <v>168</v>
      </c>
      <c r="R3182"/>
      <c r="S3182"/>
      <c r="T3182"/>
      <c r="U3182" t="s">
        <v>137</v>
      </c>
      <c r="V3182" t="s">
        <v>1291</v>
      </c>
      <c r="W3182"/>
      <c r="X3182" t="s">
        <v>98</v>
      </c>
      <c r="Y3182"/>
      <c r="Z3182"/>
      <c r="AA3182" t="s">
        <v>292</v>
      </c>
      <c r="AB3182" t="s">
        <v>1</v>
      </c>
      <c r="AC3182" t="s">
        <v>138</v>
      </c>
      <c r="AD3182" t="s">
        <v>129</v>
      </c>
      <c r="AE3182" s="97"/>
    </row>
    <row r="3183" spans="1:31" ht="14.4" customHeight="1" x14ac:dyDescent="0.3">
      <c r="A3183" t="s">
        <v>5773</v>
      </c>
      <c r="B3183" t="s">
        <v>1427</v>
      </c>
      <c r="C3183"/>
      <c r="D3183"/>
      <c r="E3183"/>
      <c r="F3183"/>
      <c r="G3183" t="s">
        <v>5356</v>
      </c>
      <c r="H3183" t="s">
        <v>132</v>
      </c>
      <c r="I3183" t="s">
        <v>1</v>
      </c>
      <c r="J3183" t="s">
        <v>5298</v>
      </c>
      <c r="K3183" t="s">
        <v>51</v>
      </c>
      <c r="L3183" t="s">
        <v>1417</v>
      </c>
      <c r="M3183" t="s">
        <v>134</v>
      </c>
      <c r="N3183" t="s">
        <v>135</v>
      </c>
      <c r="O3183"/>
      <c r="P3183"/>
      <c r="Q3183" t="s">
        <v>168</v>
      </c>
      <c r="R3183"/>
      <c r="S3183"/>
      <c r="T3183"/>
      <c r="U3183" t="s">
        <v>137</v>
      </c>
      <c r="V3183" t="s">
        <v>1291</v>
      </c>
      <c r="W3183"/>
      <c r="X3183" t="s">
        <v>98</v>
      </c>
      <c r="Y3183"/>
      <c r="Z3183"/>
      <c r="AA3183" t="s">
        <v>292</v>
      </c>
      <c r="AB3183" t="s">
        <v>1</v>
      </c>
      <c r="AC3183" t="s">
        <v>138</v>
      </c>
      <c r="AD3183" t="s">
        <v>129</v>
      </c>
      <c r="AE3183" s="97"/>
    </row>
    <row r="3184" spans="1:31" ht="14.4" customHeight="1" x14ac:dyDescent="0.3">
      <c r="A3184" t="s">
        <v>5774</v>
      </c>
      <c r="B3184" t="s">
        <v>1429</v>
      </c>
      <c r="C3184"/>
      <c r="D3184"/>
      <c r="E3184"/>
      <c r="F3184"/>
      <c r="G3184" t="s">
        <v>5356</v>
      </c>
      <c r="H3184" t="s">
        <v>132</v>
      </c>
      <c r="I3184" t="s">
        <v>1</v>
      </c>
      <c r="J3184" t="s">
        <v>5298</v>
      </c>
      <c r="K3184" t="s">
        <v>51</v>
      </c>
      <c r="L3184" t="s">
        <v>1417</v>
      </c>
      <c r="M3184" t="s">
        <v>134</v>
      </c>
      <c r="N3184" t="s">
        <v>135</v>
      </c>
      <c r="O3184"/>
      <c r="P3184"/>
      <c r="Q3184" t="s">
        <v>168</v>
      </c>
      <c r="R3184"/>
      <c r="S3184"/>
      <c r="T3184"/>
      <c r="U3184" t="s">
        <v>137</v>
      </c>
      <c r="V3184" t="s">
        <v>1291</v>
      </c>
      <c r="W3184"/>
      <c r="X3184" t="s">
        <v>98</v>
      </c>
      <c r="Y3184"/>
      <c r="Z3184"/>
      <c r="AA3184" t="s">
        <v>292</v>
      </c>
      <c r="AB3184" t="s">
        <v>1</v>
      </c>
      <c r="AC3184" t="s">
        <v>138</v>
      </c>
      <c r="AD3184" t="s">
        <v>129</v>
      </c>
      <c r="AE3184" s="97"/>
    </row>
    <row r="3185" spans="1:31" ht="14.4" customHeight="1" x14ac:dyDescent="0.3">
      <c r="A3185" t="s">
        <v>5775</v>
      </c>
      <c r="B3185" t="s">
        <v>1431</v>
      </c>
      <c r="C3185"/>
      <c r="D3185"/>
      <c r="E3185"/>
      <c r="F3185"/>
      <c r="G3185" t="s">
        <v>5356</v>
      </c>
      <c r="H3185" t="s">
        <v>132</v>
      </c>
      <c r="I3185" t="s">
        <v>1</v>
      </c>
      <c r="J3185" t="s">
        <v>5298</v>
      </c>
      <c r="K3185" t="s">
        <v>51</v>
      </c>
      <c r="L3185" t="s">
        <v>1417</v>
      </c>
      <c r="M3185" t="s">
        <v>134</v>
      </c>
      <c r="N3185" t="s">
        <v>135</v>
      </c>
      <c r="O3185"/>
      <c r="P3185"/>
      <c r="Q3185" t="s">
        <v>168</v>
      </c>
      <c r="R3185"/>
      <c r="S3185"/>
      <c r="T3185"/>
      <c r="U3185" t="s">
        <v>137</v>
      </c>
      <c r="V3185" t="s">
        <v>1291</v>
      </c>
      <c r="W3185"/>
      <c r="X3185" t="s">
        <v>98</v>
      </c>
      <c r="Y3185"/>
      <c r="Z3185"/>
      <c r="AA3185" t="s">
        <v>292</v>
      </c>
      <c r="AB3185" t="s">
        <v>1</v>
      </c>
      <c r="AC3185" t="s">
        <v>138</v>
      </c>
      <c r="AD3185" t="s">
        <v>129</v>
      </c>
      <c r="AE3185" s="97"/>
    </row>
    <row r="3186" spans="1:31" ht="14.4" customHeight="1" x14ac:dyDescent="0.3">
      <c r="A3186" t="s">
        <v>5776</v>
      </c>
      <c r="B3186" t="s">
        <v>1433</v>
      </c>
      <c r="C3186"/>
      <c r="D3186"/>
      <c r="E3186"/>
      <c r="F3186"/>
      <c r="G3186" t="s">
        <v>5356</v>
      </c>
      <c r="H3186" t="s">
        <v>132</v>
      </c>
      <c r="I3186" t="s">
        <v>1</v>
      </c>
      <c r="J3186" t="s">
        <v>5298</v>
      </c>
      <c r="K3186" t="s">
        <v>51</v>
      </c>
      <c r="L3186" t="s">
        <v>1417</v>
      </c>
      <c r="M3186" t="s">
        <v>134</v>
      </c>
      <c r="N3186" t="s">
        <v>135</v>
      </c>
      <c r="O3186"/>
      <c r="P3186"/>
      <c r="Q3186" t="s">
        <v>168</v>
      </c>
      <c r="R3186"/>
      <c r="S3186"/>
      <c r="T3186"/>
      <c r="U3186" t="s">
        <v>137</v>
      </c>
      <c r="V3186" t="s">
        <v>1291</v>
      </c>
      <c r="W3186"/>
      <c r="X3186" t="s">
        <v>98</v>
      </c>
      <c r="Y3186"/>
      <c r="Z3186"/>
      <c r="AA3186" t="s">
        <v>292</v>
      </c>
      <c r="AB3186" t="s">
        <v>1</v>
      </c>
      <c r="AC3186" t="s">
        <v>138</v>
      </c>
      <c r="AD3186" t="s">
        <v>129</v>
      </c>
      <c r="AE3186" s="97"/>
    </row>
    <row r="3187" spans="1:31" ht="14.4" customHeight="1" x14ac:dyDescent="0.3">
      <c r="A3187" t="s">
        <v>5777</v>
      </c>
      <c r="B3187" t="s">
        <v>1435</v>
      </c>
      <c r="C3187"/>
      <c r="D3187"/>
      <c r="E3187"/>
      <c r="F3187"/>
      <c r="G3187" t="s">
        <v>5356</v>
      </c>
      <c r="H3187" t="s">
        <v>132</v>
      </c>
      <c r="I3187" t="s">
        <v>1</v>
      </c>
      <c r="J3187" t="s">
        <v>5298</v>
      </c>
      <c r="K3187" t="s">
        <v>51</v>
      </c>
      <c r="L3187" t="s">
        <v>1417</v>
      </c>
      <c r="M3187" t="s">
        <v>134</v>
      </c>
      <c r="N3187" t="s">
        <v>135</v>
      </c>
      <c r="O3187"/>
      <c r="P3187"/>
      <c r="Q3187" t="s">
        <v>168</v>
      </c>
      <c r="R3187"/>
      <c r="S3187"/>
      <c r="T3187"/>
      <c r="U3187" t="s">
        <v>137</v>
      </c>
      <c r="V3187" t="s">
        <v>1291</v>
      </c>
      <c r="W3187"/>
      <c r="X3187" t="s">
        <v>98</v>
      </c>
      <c r="Y3187"/>
      <c r="Z3187"/>
      <c r="AA3187" t="s">
        <v>292</v>
      </c>
      <c r="AB3187" t="s">
        <v>1</v>
      </c>
      <c r="AC3187" t="s">
        <v>138</v>
      </c>
      <c r="AD3187" t="s">
        <v>129</v>
      </c>
      <c r="AE3187" s="97"/>
    </row>
    <row r="3188" spans="1:31" ht="14.4" customHeight="1" x14ac:dyDescent="0.3">
      <c r="A3188" t="s">
        <v>5778</v>
      </c>
      <c r="B3188" t="s">
        <v>1437</v>
      </c>
      <c r="C3188"/>
      <c r="D3188"/>
      <c r="E3188"/>
      <c r="F3188"/>
      <c r="G3188" t="s">
        <v>5356</v>
      </c>
      <c r="H3188" t="s">
        <v>132</v>
      </c>
      <c r="I3188" t="s">
        <v>1</v>
      </c>
      <c r="J3188" t="s">
        <v>5298</v>
      </c>
      <c r="K3188" t="s">
        <v>51</v>
      </c>
      <c r="L3188" t="s">
        <v>1417</v>
      </c>
      <c r="M3188" t="s">
        <v>134</v>
      </c>
      <c r="N3188" t="s">
        <v>135</v>
      </c>
      <c r="O3188"/>
      <c r="P3188"/>
      <c r="Q3188" t="s">
        <v>168</v>
      </c>
      <c r="R3188"/>
      <c r="S3188"/>
      <c r="T3188"/>
      <c r="U3188" t="s">
        <v>137</v>
      </c>
      <c r="V3188" t="s">
        <v>1291</v>
      </c>
      <c r="W3188"/>
      <c r="X3188" t="s">
        <v>98</v>
      </c>
      <c r="Y3188"/>
      <c r="Z3188"/>
      <c r="AA3188" t="s">
        <v>292</v>
      </c>
      <c r="AB3188" t="s">
        <v>1</v>
      </c>
      <c r="AC3188" t="s">
        <v>138</v>
      </c>
      <c r="AD3188" t="s">
        <v>129</v>
      </c>
      <c r="AE3188" s="97"/>
    </row>
    <row r="3189" spans="1:31" ht="14.4" customHeight="1" x14ac:dyDescent="0.3">
      <c r="A3189" t="s">
        <v>5779</v>
      </c>
      <c r="B3189" t="s">
        <v>1439</v>
      </c>
      <c r="C3189"/>
      <c r="D3189"/>
      <c r="E3189"/>
      <c r="F3189"/>
      <c r="G3189" t="s">
        <v>5356</v>
      </c>
      <c r="H3189" t="s">
        <v>132</v>
      </c>
      <c r="I3189" t="s">
        <v>1</v>
      </c>
      <c r="J3189" t="s">
        <v>5298</v>
      </c>
      <c r="K3189" t="s">
        <v>51</v>
      </c>
      <c r="L3189" t="s">
        <v>1440</v>
      </c>
      <c r="M3189" t="s">
        <v>134</v>
      </c>
      <c r="N3189" t="s">
        <v>135</v>
      </c>
      <c r="O3189"/>
      <c r="P3189"/>
      <c r="Q3189" t="s">
        <v>168</v>
      </c>
      <c r="R3189"/>
      <c r="S3189"/>
      <c r="T3189"/>
      <c r="U3189" t="s">
        <v>137</v>
      </c>
      <c r="V3189" t="s">
        <v>1295</v>
      </c>
      <c r="W3189"/>
      <c r="X3189" t="s">
        <v>107</v>
      </c>
      <c r="Y3189"/>
      <c r="Z3189"/>
      <c r="AA3189" t="s">
        <v>292</v>
      </c>
      <c r="AB3189" t="s">
        <v>1</v>
      </c>
      <c r="AC3189" t="s">
        <v>138</v>
      </c>
      <c r="AD3189" t="s">
        <v>129</v>
      </c>
      <c r="AE3189" s="97"/>
    </row>
    <row r="3190" spans="1:31" ht="14.4" customHeight="1" x14ac:dyDescent="0.3">
      <c r="A3190" t="s">
        <v>5780</v>
      </c>
      <c r="B3190" t="s">
        <v>1442</v>
      </c>
      <c r="C3190"/>
      <c r="D3190"/>
      <c r="E3190"/>
      <c r="F3190"/>
      <c r="G3190" t="s">
        <v>5356</v>
      </c>
      <c r="H3190" t="s">
        <v>132</v>
      </c>
      <c r="I3190" t="s">
        <v>1</v>
      </c>
      <c r="J3190" t="s">
        <v>5298</v>
      </c>
      <c r="K3190" t="s">
        <v>51</v>
      </c>
      <c r="L3190" t="s">
        <v>1440</v>
      </c>
      <c r="M3190" t="s">
        <v>134</v>
      </c>
      <c r="N3190" t="s">
        <v>135</v>
      </c>
      <c r="O3190"/>
      <c r="P3190"/>
      <c r="Q3190" t="s">
        <v>168</v>
      </c>
      <c r="R3190"/>
      <c r="S3190"/>
      <c r="T3190"/>
      <c r="U3190" t="s">
        <v>137</v>
      </c>
      <c r="V3190" t="s">
        <v>1295</v>
      </c>
      <c r="W3190"/>
      <c r="X3190" t="s">
        <v>107</v>
      </c>
      <c r="Y3190"/>
      <c r="Z3190"/>
      <c r="AA3190" t="s">
        <v>292</v>
      </c>
      <c r="AB3190" t="s">
        <v>1</v>
      </c>
      <c r="AC3190" t="s">
        <v>138</v>
      </c>
      <c r="AD3190" t="s">
        <v>129</v>
      </c>
      <c r="AE3190" s="97"/>
    </row>
    <row r="3191" spans="1:31" ht="14.4" customHeight="1" x14ac:dyDescent="0.3">
      <c r="A3191" t="s">
        <v>5781</v>
      </c>
      <c r="B3191" t="s">
        <v>1444</v>
      </c>
      <c r="C3191"/>
      <c r="D3191"/>
      <c r="E3191"/>
      <c r="F3191"/>
      <c r="G3191" t="s">
        <v>5356</v>
      </c>
      <c r="H3191" t="s">
        <v>132</v>
      </c>
      <c r="I3191" t="s">
        <v>1</v>
      </c>
      <c r="J3191" t="s">
        <v>5298</v>
      </c>
      <c r="K3191" t="s">
        <v>51</v>
      </c>
      <c r="L3191" t="s">
        <v>1440</v>
      </c>
      <c r="M3191" t="s">
        <v>134</v>
      </c>
      <c r="N3191" t="s">
        <v>135</v>
      </c>
      <c r="O3191"/>
      <c r="P3191"/>
      <c r="Q3191" t="s">
        <v>168</v>
      </c>
      <c r="R3191"/>
      <c r="S3191"/>
      <c r="T3191"/>
      <c r="U3191" t="s">
        <v>137</v>
      </c>
      <c r="V3191" t="s">
        <v>1295</v>
      </c>
      <c r="W3191"/>
      <c r="X3191" t="s">
        <v>107</v>
      </c>
      <c r="Y3191"/>
      <c r="Z3191"/>
      <c r="AA3191" t="s">
        <v>292</v>
      </c>
      <c r="AB3191" t="s">
        <v>1</v>
      </c>
      <c r="AC3191" t="s">
        <v>138</v>
      </c>
      <c r="AD3191" t="s">
        <v>129</v>
      </c>
      <c r="AE3191" s="97"/>
    </row>
    <row r="3192" spans="1:31" ht="14.4" customHeight="1" x14ac:dyDescent="0.3">
      <c r="A3192" t="s">
        <v>5782</v>
      </c>
      <c r="B3192" t="s">
        <v>1446</v>
      </c>
      <c r="C3192"/>
      <c r="D3192"/>
      <c r="E3192"/>
      <c r="F3192"/>
      <c r="G3192" t="s">
        <v>5356</v>
      </c>
      <c r="H3192" t="s">
        <v>132</v>
      </c>
      <c r="I3192" t="s">
        <v>1</v>
      </c>
      <c r="J3192" t="s">
        <v>5298</v>
      </c>
      <c r="K3192" t="s">
        <v>51</v>
      </c>
      <c r="L3192" t="s">
        <v>1440</v>
      </c>
      <c r="M3192" t="s">
        <v>134</v>
      </c>
      <c r="N3192" t="s">
        <v>135</v>
      </c>
      <c r="O3192"/>
      <c r="P3192"/>
      <c r="Q3192" t="s">
        <v>168</v>
      </c>
      <c r="R3192"/>
      <c r="S3192"/>
      <c r="T3192"/>
      <c r="U3192" t="s">
        <v>137</v>
      </c>
      <c r="V3192" t="s">
        <v>1295</v>
      </c>
      <c r="W3192"/>
      <c r="X3192" t="s">
        <v>107</v>
      </c>
      <c r="Y3192"/>
      <c r="Z3192"/>
      <c r="AA3192" t="s">
        <v>292</v>
      </c>
      <c r="AB3192" t="s">
        <v>1</v>
      </c>
      <c r="AC3192" t="s">
        <v>138</v>
      </c>
      <c r="AD3192" t="s">
        <v>129</v>
      </c>
      <c r="AE3192" s="97"/>
    </row>
    <row r="3193" spans="1:31" ht="14.4" customHeight="1" x14ac:dyDescent="0.3">
      <c r="A3193" t="s">
        <v>5783</v>
      </c>
      <c r="B3193" t="s">
        <v>1448</v>
      </c>
      <c r="C3193"/>
      <c r="D3193"/>
      <c r="E3193"/>
      <c r="F3193"/>
      <c r="G3193" t="s">
        <v>5356</v>
      </c>
      <c r="H3193" t="s">
        <v>132</v>
      </c>
      <c r="I3193" t="s">
        <v>1</v>
      </c>
      <c r="J3193" t="s">
        <v>5298</v>
      </c>
      <c r="K3193" t="s">
        <v>51</v>
      </c>
      <c r="L3193" t="s">
        <v>1440</v>
      </c>
      <c r="M3193" t="s">
        <v>134</v>
      </c>
      <c r="N3193" t="s">
        <v>135</v>
      </c>
      <c r="O3193"/>
      <c r="P3193"/>
      <c r="Q3193" t="s">
        <v>168</v>
      </c>
      <c r="R3193"/>
      <c r="S3193"/>
      <c r="T3193"/>
      <c r="U3193" t="s">
        <v>137</v>
      </c>
      <c r="V3193" t="s">
        <v>1295</v>
      </c>
      <c r="W3193"/>
      <c r="X3193" t="s">
        <v>107</v>
      </c>
      <c r="Y3193"/>
      <c r="Z3193"/>
      <c r="AA3193" t="s">
        <v>292</v>
      </c>
      <c r="AB3193" t="s">
        <v>1</v>
      </c>
      <c r="AC3193" t="s">
        <v>138</v>
      </c>
      <c r="AD3193" t="s">
        <v>129</v>
      </c>
      <c r="AE3193" s="97"/>
    </row>
    <row r="3194" spans="1:31" ht="14.4" customHeight="1" x14ac:dyDescent="0.3">
      <c r="A3194" t="s">
        <v>5784</v>
      </c>
      <c r="B3194" t="s">
        <v>1450</v>
      </c>
      <c r="C3194"/>
      <c r="D3194"/>
      <c r="E3194"/>
      <c r="F3194"/>
      <c r="G3194" t="s">
        <v>5356</v>
      </c>
      <c r="H3194" t="s">
        <v>132</v>
      </c>
      <c r="I3194" t="s">
        <v>1</v>
      </c>
      <c r="J3194" t="s">
        <v>5298</v>
      </c>
      <c r="K3194" t="s">
        <v>51</v>
      </c>
      <c r="L3194" t="s">
        <v>1440</v>
      </c>
      <c r="M3194" t="s">
        <v>134</v>
      </c>
      <c r="N3194" t="s">
        <v>135</v>
      </c>
      <c r="O3194"/>
      <c r="P3194"/>
      <c r="Q3194" t="s">
        <v>168</v>
      </c>
      <c r="R3194"/>
      <c r="S3194"/>
      <c r="T3194"/>
      <c r="U3194" t="s">
        <v>137</v>
      </c>
      <c r="V3194" t="s">
        <v>1295</v>
      </c>
      <c r="W3194"/>
      <c r="X3194" t="s">
        <v>107</v>
      </c>
      <c r="Y3194"/>
      <c r="Z3194"/>
      <c r="AA3194" t="s">
        <v>292</v>
      </c>
      <c r="AB3194" t="s">
        <v>1</v>
      </c>
      <c r="AC3194" t="s">
        <v>138</v>
      </c>
      <c r="AD3194" t="s">
        <v>129</v>
      </c>
      <c r="AE3194" s="97"/>
    </row>
    <row r="3195" spans="1:31" ht="14.4" customHeight="1" x14ac:dyDescent="0.3">
      <c r="A3195" t="s">
        <v>5785</v>
      </c>
      <c r="B3195" t="s">
        <v>1452</v>
      </c>
      <c r="C3195"/>
      <c r="D3195"/>
      <c r="E3195"/>
      <c r="F3195"/>
      <c r="G3195" t="s">
        <v>5356</v>
      </c>
      <c r="H3195" t="s">
        <v>132</v>
      </c>
      <c r="I3195" t="s">
        <v>1</v>
      </c>
      <c r="J3195" t="s">
        <v>5298</v>
      </c>
      <c r="K3195" t="s">
        <v>51</v>
      </c>
      <c r="L3195" t="s">
        <v>1440</v>
      </c>
      <c r="M3195" t="s">
        <v>134</v>
      </c>
      <c r="N3195" t="s">
        <v>135</v>
      </c>
      <c r="O3195"/>
      <c r="P3195"/>
      <c r="Q3195" t="s">
        <v>168</v>
      </c>
      <c r="R3195"/>
      <c r="S3195"/>
      <c r="T3195"/>
      <c r="U3195" t="s">
        <v>137</v>
      </c>
      <c r="V3195" t="s">
        <v>1295</v>
      </c>
      <c r="W3195"/>
      <c r="X3195" t="s">
        <v>107</v>
      </c>
      <c r="Y3195"/>
      <c r="Z3195"/>
      <c r="AA3195" t="s">
        <v>292</v>
      </c>
      <c r="AB3195" t="s">
        <v>1</v>
      </c>
      <c r="AC3195" t="s">
        <v>138</v>
      </c>
      <c r="AD3195" t="s">
        <v>129</v>
      </c>
      <c r="AE3195" s="97"/>
    </row>
    <row r="3196" spans="1:31" ht="14.4" customHeight="1" x14ac:dyDescent="0.3">
      <c r="A3196" t="s">
        <v>5786</v>
      </c>
      <c r="B3196" t="s">
        <v>1454</v>
      </c>
      <c r="C3196"/>
      <c r="D3196"/>
      <c r="E3196"/>
      <c r="F3196"/>
      <c r="G3196" t="s">
        <v>5356</v>
      </c>
      <c r="H3196" t="s">
        <v>132</v>
      </c>
      <c r="I3196" t="s">
        <v>1</v>
      </c>
      <c r="J3196" t="s">
        <v>5298</v>
      </c>
      <c r="K3196" t="s">
        <v>51</v>
      </c>
      <c r="L3196" t="s">
        <v>1440</v>
      </c>
      <c r="M3196" t="s">
        <v>134</v>
      </c>
      <c r="N3196" t="s">
        <v>135</v>
      </c>
      <c r="O3196"/>
      <c r="P3196"/>
      <c r="Q3196" t="s">
        <v>168</v>
      </c>
      <c r="R3196"/>
      <c r="S3196"/>
      <c r="T3196"/>
      <c r="U3196" t="s">
        <v>137</v>
      </c>
      <c r="V3196" t="s">
        <v>1295</v>
      </c>
      <c r="W3196"/>
      <c r="X3196" t="s">
        <v>107</v>
      </c>
      <c r="Y3196"/>
      <c r="Z3196"/>
      <c r="AA3196" t="s">
        <v>292</v>
      </c>
      <c r="AB3196" t="s">
        <v>1</v>
      </c>
      <c r="AC3196" t="s">
        <v>138</v>
      </c>
      <c r="AD3196" t="s">
        <v>129</v>
      </c>
      <c r="AE3196" s="97"/>
    </row>
    <row r="3197" spans="1:31" ht="14.4" customHeight="1" x14ac:dyDescent="0.3">
      <c r="A3197" t="s">
        <v>5787</v>
      </c>
      <c r="B3197" t="s">
        <v>1456</v>
      </c>
      <c r="C3197"/>
      <c r="D3197"/>
      <c r="E3197"/>
      <c r="F3197"/>
      <c r="G3197" t="s">
        <v>5356</v>
      </c>
      <c r="H3197" t="s">
        <v>132</v>
      </c>
      <c r="I3197" t="s">
        <v>1</v>
      </c>
      <c r="J3197" t="s">
        <v>5298</v>
      </c>
      <c r="K3197" t="s">
        <v>51</v>
      </c>
      <c r="L3197" t="s">
        <v>1440</v>
      </c>
      <c r="M3197" t="s">
        <v>134</v>
      </c>
      <c r="N3197" t="s">
        <v>135</v>
      </c>
      <c r="O3197"/>
      <c r="P3197"/>
      <c r="Q3197" t="s">
        <v>168</v>
      </c>
      <c r="R3197"/>
      <c r="S3197"/>
      <c r="T3197"/>
      <c r="U3197" t="s">
        <v>137</v>
      </c>
      <c r="V3197" t="s">
        <v>1295</v>
      </c>
      <c r="W3197"/>
      <c r="X3197" t="s">
        <v>107</v>
      </c>
      <c r="Y3197"/>
      <c r="Z3197"/>
      <c r="AA3197" t="s">
        <v>292</v>
      </c>
      <c r="AB3197" t="s">
        <v>1</v>
      </c>
      <c r="AC3197" t="s">
        <v>138</v>
      </c>
      <c r="AD3197" t="s">
        <v>129</v>
      </c>
      <c r="AE3197" s="97"/>
    </row>
    <row r="3198" spans="1:31" ht="14.4" customHeight="1" x14ac:dyDescent="0.3">
      <c r="A3198" t="s">
        <v>5788</v>
      </c>
      <c r="B3198" t="s">
        <v>1458</v>
      </c>
      <c r="C3198"/>
      <c r="D3198"/>
      <c r="E3198"/>
      <c r="F3198"/>
      <c r="G3198" t="s">
        <v>5356</v>
      </c>
      <c r="H3198" t="s">
        <v>132</v>
      </c>
      <c r="I3198" t="s">
        <v>1</v>
      </c>
      <c r="J3198" t="s">
        <v>5298</v>
      </c>
      <c r="K3198" t="s">
        <v>51</v>
      </c>
      <c r="L3198" t="s">
        <v>1440</v>
      </c>
      <c r="M3198" t="s">
        <v>134</v>
      </c>
      <c r="N3198" t="s">
        <v>135</v>
      </c>
      <c r="O3198"/>
      <c r="P3198"/>
      <c r="Q3198" t="s">
        <v>168</v>
      </c>
      <c r="R3198"/>
      <c r="S3198"/>
      <c r="T3198"/>
      <c r="U3198" t="s">
        <v>137</v>
      </c>
      <c r="V3198" t="s">
        <v>1295</v>
      </c>
      <c r="W3198"/>
      <c r="X3198" t="s">
        <v>107</v>
      </c>
      <c r="Y3198"/>
      <c r="Z3198"/>
      <c r="AA3198" t="s">
        <v>292</v>
      </c>
      <c r="AB3198" t="s">
        <v>1</v>
      </c>
      <c r="AC3198" t="s">
        <v>138</v>
      </c>
      <c r="AD3198" t="s">
        <v>129</v>
      </c>
      <c r="AE3198" s="97"/>
    </row>
    <row r="3199" spans="1:31" ht="14.4" customHeight="1" x14ac:dyDescent="0.3">
      <c r="A3199" t="s">
        <v>5789</v>
      </c>
      <c r="B3199" t="s">
        <v>1460</v>
      </c>
      <c r="C3199"/>
      <c r="D3199"/>
      <c r="E3199"/>
      <c r="F3199"/>
      <c r="G3199" t="s">
        <v>5356</v>
      </c>
      <c r="H3199" t="s">
        <v>132</v>
      </c>
      <c r="I3199" t="s">
        <v>1</v>
      </c>
      <c r="J3199" t="s">
        <v>5298</v>
      </c>
      <c r="K3199" t="s">
        <v>51</v>
      </c>
      <c r="L3199" t="s">
        <v>1440</v>
      </c>
      <c r="M3199" t="s">
        <v>134</v>
      </c>
      <c r="N3199" t="s">
        <v>135</v>
      </c>
      <c r="O3199"/>
      <c r="P3199"/>
      <c r="Q3199" t="s">
        <v>168</v>
      </c>
      <c r="R3199"/>
      <c r="S3199"/>
      <c r="T3199"/>
      <c r="U3199" t="s">
        <v>137</v>
      </c>
      <c r="V3199" t="s">
        <v>1295</v>
      </c>
      <c r="W3199"/>
      <c r="X3199" t="s">
        <v>107</v>
      </c>
      <c r="Y3199"/>
      <c r="Z3199"/>
      <c r="AA3199" t="s">
        <v>292</v>
      </c>
      <c r="AB3199" t="s">
        <v>1</v>
      </c>
      <c r="AC3199" t="s">
        <v>138</v>
      </c>
      <c r="AD3199" t="s">
        <v>129</v>
      </c>
      <c r="AE3199" s="97"/>
    </row>
    <row r="3200" spans="1:31" ht="14.4" customHeight="1" x14ac:dyDescent="0.3">
      <c r="A3200" t="s">
        <v>5790</v>
      </c>
      <c r="B3200" t="s">
        <v>1462</v>
      </c>
      <c r="C3200"/>
      <c r="D3200"/>
      <c r="E3200"/>
      <c r="F3200"/>
      <c r="G3200" t="s">
        <v>5356</v>
      </c>
      <c r="H3200" t="s">
        <v>132</v>
      </c>
      <c r="I3200" t="s">
        <v>1</v>
      </c>
      <c r="J3200" t="s">
        <v>5298</v>
      </c>
      <c r="K3200" t="s">
        <v>51</v>
      </c>
      <c r="L3200" t="s">
        <v>1463</v>
      </c>
      <c r="M3200" t="s">
        <v>134</v>
      </c>
      <c r="N3200" t="s">
        <v>135</v>
      </c>
      <c r="O3200"/>
      <c r="P3200"/>
      <c r="Q3200" t="s">
        <v>168</v>
      </c>
      <c r="R3200"/>
      <c r="S3200"/>
      <c r="T3200"/>
      <c r="U3200" t="s">
        <v>137</v>
      </c>
      <c r="V3200" t="s">
        <v>1299</v>
      </c>
      <c r="W3200"/>
      <c r="X3200" t="s">
        <v>114</v>
      </c>
      <c r="Y3200"/>
      <c r="Z3200"/>
      <c r="AA3200" t="s">
        <v>292</v>
      </c>
      <c r="AB3200" t="s">
        <v>1</v>
      </c>
      <c r="AC3200" t="s">
        <v>138</v>
      </c>
      <c r="AD3200" t="s">
        <v>129</v>
      </c>
      <c r="AE3200" s="97"/>
    </row>
    <row r="3201" spans="1:31" ht="14.4" customHeight="1" x14ac:dyDescent="0.3">
      <c r="A3201" t="s">
        <v>5791</v>
      </c>
      <c r="B3201" t="s">
        <v>1465</v>
      </c>
      <c r="C3201"/>
      <c r="D3201"/>
      <c r="E3201"/>
      <c r="F3201"/>
      <c r="G3201" t="s">
        <v>5356</v>
      </c>
      <c r="H3201" t="s">
        <v>132</v>
      </c>
      <c r="I3201" t="s">
        <v>1</v>
      </c>
      <c r="J3201" t="s">
        <v>5298</v>
      </c>
      <c r="K3201" t="s">
        <v>51</v>
      </c>
      <c r="L3201" t="s">
        <v>1463</v>
      </c>
      <c r="M3201" t="s">
        <v>134</v>
      </c>
      <c r="N3201" t="s">
        <v>135</v>
      </c>
      <c r="O3201"/>
      <c r="P3201"/>
      <c r="Q3201" t="s">
        <v>168</v>
      </c>
      <c r="R3201"/>
      <c r="S3201"/>
      <c r="T3201"/>
      <c r="U3201" t="s">
        <v>137</v>
      </c>
      <c r="V3201" t="s">
        <v>1299</v>
      </c>
      <c r="W3201"/>
      <c r="X3201" t="s">
        <v>114</v>
      </c>
      <c r="Y3201"/>
      <c r="Z3201"/>
      <c r="AA3201" t="s">
        <v>292</v>
      </c>
      <c r="AB3201" t="s">
        <v>1</v>
      </c>
      <c r="AC3201" t="s">
        <v>138</v>
      </c>
      <c r="AD3201" t="s">
        <v>129</v>
      </c>
      <c r="AE3201" s="97"/>
    </row>
    <row r="3202" spans="1:31" ht="14.4" customHeight="1" x14ac:dyDescent="0.3">
      <c r="A3202" t="s">
        <v>5792</v>
      </c>
      <c r="B3202" t="s">
        <v>1467</v>
      </c>
      <c r="C3202"/>
      <c r="D3202"/>
      <c r="E3202"/>
      <c r="F3202"/>
      <c r="G3202" t="s">
        <v>5356</v>
      </c>
      <c r="H3202" t="s">
        <v>132</v>
      </c>
      <c r="I3202" t="s">
        <v>1</v>
      </c>
      <c r="J3202" t="s">
        <v>5298</v>
      </c>
      <c r="K3202" t="s">
        <v>51</v>
      </c>
      <c r="L3202" t="s">
        <v>1463</v>
      </c>
      <c r="M3202" t="s">
        <v>134</v>
      </c>
      <c r="N3202" t="s">
        <v>135</v>
      </c>
      <c r="O3202"/>
      <c r="P3202"/>
      <c r="Q3202" t="s">
        <v>168</v>
      </c>
      <c r="R3202"/>
      <c r="S3202"/>
      <c r="T3202"/>
      <c r="U3202" t="s">
        <v>137</v>
      </c>
      <c r="V3202" t="s">
        <v>1299</v>
      </c>
      <c r="W3202"/>
      <c r="X3202" t="s">
        <v>114</v>
      </c>
      <c r="Y3202"/>
      <c r="Z3202"/>
      <c r="AA3202" t="s">
        <v>292</v>
      </c>
      <c r="AB3202" t="s">
        <v>1</v>
      </c>
      <c r="AC3202" t="s">
        <v>138</v>
      </c>
      <c r="AD3202" t="s">
        <v>129</v>
      </c>
      <c r="AE3202" s="97"/>
    </row>
    <row r="3203" spans="1:31" ht="14.4" customHeight="1" x14ac:dyDescent="0.3">
      <c r="A3203" t="s">
        <v>5793</v>
      </c>
      <c r="B3203" t="s">
        <v>1469</v>
      </c>
      <c r="C3203"/>
      <c r="D3203"/>
      <c r="E3203"/>
      <c r="F3203"/>
      <c r="G3203" t="s">
        <v>5356</v>
      </c>
      <c r="H3203" t="s">
        <v>132</v>
      </c>
      <c r="I3203" t="s">
        <v>1</v>
      </c>
      <c r="J3203" t="s">
        <v>5298</v>
      </c>
      <c r="K3203" t="s">
        <v>51</v>
      </c>
      <c r="L3203" t="s">
        <v>1463</v>
      </c>
      <c r="M3203" t="s">
        <v>134</v>
      </c>
      <c r="N3203" t="s">
        <v>135</v>
      </c>
      <c r="O3203"/>
      <c r="P3203"/>
      <c r="Q3203" t="s">
        <v>168</v>
      </c>
      <c r="R3203"/>
      <c r="S3203"/>
      <c r="T3203"/>
      <c r="U3203" t="s">
        <v>137</v>
      </c>
      <c r="V3203" t="s">
        <v>1299</v>
      </c>
      <c r="W3203"/>
      <c r="X3203" t="s">
        <v>114</v>
      </c>
      <c r="Y3203"/>
      <c r="Z3203"/>
      <c r="AA3203" t="s">
        <v>292</v>
      </c>
      <c r="AB3203" t="s">
        <v>1</v>
      </c>
      <c r="AC3203" t="s">
        <v>138</v>
      </c>
      <c r="AD3203" t="s">
        <v>129</v>
      </c>
      <c r="AE3203" s="97"/>
    </row>
    <row r="3204" spans="1:31" ht="14.4" customHeight="1" x14ac:dyDescent="0.3">
      <c r="A3204" t="s">
        <v>5794</v>
      </c>
      <c r="B3204" t="s">
        <v>1471</v>
      </c>
      <c r="C3204"/>
      <c r="D3204"/>
      <c r="E3204"/>
      <c r="F3204"/>
      <c r="G3204" t="s">
        <v>5356</v>
      </c>
      <c r="H3204" t="s">
        <v>132</v>
      </c>
      <c r="I3204" t="s">
        <v>1</v>
      </c>
      <c r="J3204" t="s">
        <v>5298</v>
      </c>
      <c r="K3204" t="s">
        <v>51</v>
      </c>
      <c r="L3204" t="s">
        <v>1463</v>
      </c>
      <c r="M3204" t="s">
        <v>134</v>
      </c>
      <c r="N3204" t="s">
        <v>135</v>
      </c>
      <c r="O3204"/>
      <c r="P3204"/>
      <c r="Q3204" t="s">
        <v>168</v>
      </c>
      <c r="R3204"/>
      <c r="S3204"/>
      <c r="T3204"/>
      <c r="U3204" t="s">
        <v>137</v>
      </c>
      <c r="V3204" t="s">
        <v>1299</v>
      </c>
      <c r="W3204"/>
      <c r="X3204" t="s">
        <v>114</v>
      </c>
      <c r="Y3204"/>
      <c r="Z3204"/>
      <c r="AA3204" t="s">
        <v>292</v>
      </c>
      <c r="AB3204" t="s">
        <v>1</v>
      </c>
      <c r="AC3204" t="s">
        <v>138</v>
      </c>
      <c r="AD3204" t="s">
        <v>129</v>
      </c>
      <c r="AE3204" s="97"/>
    </row>
    <row r="3205" spans="1:31" ht="14.4" customHeight="1" x14ac:dyDescent="0.3">
      <c r="A3205" t="s">
        <v>5795</v>
      </c>
      <c r="B3205" t="s">
        <v>1473</v>
      </c>
      <c r="C3205"/>
      <c r="D3205"/>
      <c r="E3205"/>
      <c r="F3205"/>
      <c r="G3205" t="s">
        <v>5356</v>
      </c>
      <c r="H3205" t="s">
        <v>132</v>
      </c>
      <c r="I3205" t="s">
        <v>1</v>
      </c>
      <c r="J3205" t="s">
        <v>5298</v>
      </c>
      <c r="K3205" t="s">
        <v>51</v>
      </c>
      <c r="L3205" t="s">
        <v>1463</v>
      </c>
      <c r="M3205" t="s">
        <v>134</v>
      </c>
      <c r="N3205" t="s">
        <v>135</v>
      </c>
      <c r="O3205"/>
      <c r="P3205"/>
      <c r="Q3205" t="s">
        <v>168</v>
      </c>
      <c r="R3205"/>
      <c r="S3205"/>
      <c r="T3205"/>
      <c r="U3205" t="s">
        <v>137</v>
      </c>
      <c r="V3205" t="s">
        <v>1299</v>
      </c>
      <c r="W3205"/>
      <c r="X3205" t="s">
        <v>114</v>
      </c>
      <c r="Y3205"/>
      <c r="Z3205"/>
      <c r="AA3205" t="s">
        <v>292</v>
      </c>
      <c r="AB3205" t="s">
        <v>1</v>
      </c>
      <c r="AC3205" t="s">
        <v>138</v>
      </c>
      <c r="AD3205" t="s">
        <v>129</v>
      </c>
      <c r="AE3205" s="97"/>
    </row>
    <row r="3206" spans="1:31" ht="14.4" customHeight="1" x14ac:dyDescent="0.3">
      <c r="A3206" t="s">
        <v>5796</v>
      </c>
      <c r="B3206" t="s">
        <v>1475</v>
      </c>
      <c r="C3206"/>
      <c r="D3206"/>
      <c r="E3206"/>
      <c r="F3206"/>
      <c r="G3206" t="s">
        <v>5356</v>
      </c>
      <c r="H3206" t="s">
        <v>132</v>
      </c>
      <c r="I3206" t="s">
        <v>1</v>
      </c>
      <c r="J3206" t="s">
        <v>5298</v>
      </c>
      <c r="K3206" t="s">
        <v>51</v>
      </c>
      <c r="L3206" t="s">
        <v>1463</v>
      </c>
      <c r="M3206" t="s">
        <v>134</v>
      </c>
      <c r="N3206" t="s">
        <v>135</v>
      </c>
      <c r="O3206"/>
      <c r="P3206"/>
      <c r="Q3206" t="s">
        <v>168</v>
      </c>
      <c r="R3206"/>
      <c r="S3206"/>
      <c r="T3206"/>
      <c r="U3206" t="s">
        <v>137</v>
      </c>
      <c r="V3206" t="s">
        <v>1299</v>
      </c>
      <c r="W3206"/>
      <c r="X3206" t="s">
        <v>114</v>
      </c>
      <c r="Y3206"/>
      <c r="Z3206"/>
      <c r="AA3206" t="s">
        <v>292</v>
      </c>
      <c r="AB3206" t="s">
        <v>1</v>
      </c>
      <c r="AC3206" t="s">
        <v>138</v>
      </c>
      <c r="AD3206" t="s">
        <v>129</v>
      </c>
      <c r="AE3206" s="97"/>
    </row>
    <row r="3207" spans="1:31" ht="14.4" customHeight="1" x14ac:dyDescent="0.3">
      <c r="A3207" t="s">
        <v>5797</v>
      </c>
      <c r="B3207" t="s">
        <v>1477</v>
      </c>
      <c r="C3207"/>
      <c r="D3207"/>
      <c r="E3207"/>
      <c r="F3207"/>
      <c r="G3207" t="s">
        <v>5356</v>
      </c>
      <c r="H3207" t="s">
        <v>132</v>
      </c>
      <c r="I3207" t="s">
        <v>1</v>
      </c>
      <c r="J3207" t="s">
        <v>5298</v>
      </c>
      <c r="K3207" t="s">
        <v>51</v>
      </c>
      <c r="L3207" t="s">
        <v>1463</v>
      </c>
      <c r="M3207" t="s">
        <v>134</v>
      </c>
      <c r="N3207" t="s">
        <v>135</v>
      </c>
      <c r="O3207"/>
      <c r="P3207"/>
      <c r="Q3207" t="s">
        <v>168</v>
      </c>
      <c r="R3207"/>
      <c r="S3207"/>
      <c r="T3207"/>
      <c r="U3207" t="s">
        <v>137</v>
      </c>
      <c r="V3207" t="s">
        <v>1299</v>
      </c>
      <c r="W3207"/>
      <c r="X3207" t="s">
        <v>114</v>
      </c>
      <c r="Y3207"/>
      <c r="Z3207"/>
      <c r="AA3207" t="s">
        <v>292</v>
      </c>
      <c r="AB3207" t="s">
        <v>1</v>
      </c>
      <c r="AC3207" t="s">
        <v>138</v>
      </c>
      <c r="AD3207" t="s">
        <v>129</v>
      </c>
      <c r="AE3207" s="97"/>
    </row>
    <row r="3208" spans="1:31" ht="14.4" customHeight="1" x14ac:dyDescent="0.3">
      <c r="A3208" t="s">
        <v>5798</v>
      </c>
      <c r="B3208" t="s">
        <v>1479</v>
      </c>
      <c r="C3208"/>
      <c r="D3208"/>
      <c r="E3208"/>
      <c r="F3208"/>
      <c r="G3208" t="s">
        <v>5356</v>
      </c>
      <c r="H3208" t="s">
        <v>132</v>
      </c>
      <c r="I3208" t="s">
        <v>1</v>
      </c>
      <c r="J3208" t="s">
        <v>5298</v>
      </c>
      <c r="K3208" t="s">
        <v>51</v>
      </c>
      <c r="L3208" t="s">
        <v>1463</v>
      </c>
      <c r="M3208" t="s">
        <v>134</v>
      </c>
      <c r="N3208" t="s">
        <v>135</v>
      </c>
      <c r="O3208"/>
      <c r="P3208"/>
      <c r="Q3208" t="s">
        <v>168</v>
      </c>
      <c r="R3208"/>
      <c r="S3208"/>
      <c r="T3208"/>
      <c r="U3208" t="s">
        <v>137</v>
      </c>
      <c r="V3208" t="s">
        <v>1299</v>
      </c>
      <c r="W3208"/>
      <c r="X3208" t="s">
        <v>114</v>
      </c>
      <c r="Y3208"/>
      <c r="Z3208"/>
      <c r="AA3208" t="s">
        <v>292</v>
      </c>
      <c r="AB3208" t="s">
        <v>1</v>
      </c>
      <c r="AC3208" t="s">
        <v>138</v>
      </c>
      <c r="AD3208" t="s">
        <v>129</v>
      </c>
      <c r="AE3208" s="97"/>
    </row>
    <row r="3209" spans="1:31" ht="14.4" customHeight="1" x14ac:dyDescent="0.3">
      <c r="A3209" t="s">
        <v>5799</v>
      </c>
      <c r="B3209" t="s">
        <v>1481</v>
      </c>
      <c r="C3209"/>
      <c r="D3209"/>
      <c r="E3209"/>
      <c r="F3209"/>
      <c r="G3209" t="s">
        <v>5356</v>
      </c>
      <c r="H3209" t="s">
        <v>132</v>
      </c>
      <c r="I3209" t="s">
        <v>1</v>
      </c>
      <c r="J3209" t="s">
        <v>5298</v>
      </c>
      <c r="K3209" t="s">
        <v>51</v>
      </c>
      <c r="L3209" t="s">
        <v>1463</v>
      </c>
      <c r="M3209" t="s">
        <v>134</v>
      </c>
      <c r="N3209" t="s">
        <v>135</v>
      </c>
      <c r="O3209"/>
      <c r="P3209"/>
      <c r="Q3209" t="s">
        <v>168</v>
      </c>
      <c r="R3209"/>
      <c r="S3209"/>
      <c r="T3209"/>
      <c r="U3209" t="s">
        <v>137</v>
      </c>
      <c r="V3209" t="s">
        <v>1299</v>
      </c>
      <c r="W3209"/>
      <c r="X3209" t="s">
        <v>114</v>
      </c>
      <c r="Y3209"/>
      <c r="Z3209"/>
      <c r="AA3209" t="s">
        <v>292</v>
      </c>
      <c r="AB3209" t="s">
        <v>1</v>
      </c>
      <c r="AC3209" t="s">
        <v>138</v>
      </c>
      <c r="AD3209" t="s">
        <v>129</v>
      </c>
      <c r="AE3209" s="97"/>
    </row>
    <row r="3210" spans="1:31" ht="14.4" customHeight="1" x14ac:dyDescent="0.3">
      <c r="A3210" t="s">
        <v>5800</v>
      </c>
      <c r="B3210" t="s">
        <v>1483</v>
      </c>
      <c r="C3210"/>
      <c r="D3210"/>
      <c r="E3210"/>
      <c r="F3210"/>
      <c r="G3210" t="s">
        <v>5356</v>
      </c>
      <c r="H3210" t="s">
        <v>132</v>
      </c>
      <c r="I3210" t="s">
        <v>1</v>
      </c>
      <c r="J3210" t="s">
        <v>5298</v>
      </c>
      <c r="K3210" t="s">
        <v>51</v>
      </c>
      <c r="L3210" t="s">
        <v>1463</v>
      </c>
      <c r="M3210" t="s">
        <v>134</v>
      </c>
      <c r="N3210" t="s">
        <v>135</v>
      </c>
      <c r="O3210"/>
      <c r="P3210"/>
      <c r="Q3210" t="s">
        <v>168</v>
      </c>
      <c r="R3210"/>
      <c r="S3210"/>
      <c r="T3210"/>
      <c r="U3210" t="s">
        <v>137</v>
      </c>
      <c r="V3210" t="s">
        <v>1299</v>
      </c>
      <c r="W3210"/>
      <c r="X3210" t="s">
        <v>114</v>
      </c>
      <c r="Y3210"/>
      <c r="Z3210"/>
      <c r="AA3210" t="s">
        <v>292</v>
      </c>
      <c r="AB3210" t="s">
        <v>1</v>
      </c>
      <c r="AC3210" t="s">
        <v>138</v>
      </c>
      <c r="AD3210" t="s">
        <v>129</v>
      </c>
      <c r="AE3210" s="97"/>
    </row>
    <row r="3211" spans="1:31" ht="14.4" customHeight="1" x14ac:dyDescent="0.3">
      <c r="A3211" t="s">
        <v>5801</v>
      </c>
      <c r="B3211" t="s">
        <v>1485</v>
      </c>
      <c r="C3211"/>
      <c r="D3211"/>
      <c r="E3211"/>
      <c r="F3211"/>
      <c r="G3211" t="s">
        <v>5356</v>
      </c>
      <c r="H3211" t="s">
        <v>132</v>
      </c>
      <c r="I3211" t="s">
        <v>1</v>
      </c>
      <c r="J3211" t="s">
        <v>5298</v>
      </c>
      <c r="K3211" t="s">
        <v>51</v>
      </c>
      <c r="L3211" t="s">
        <v>1486</v>
      </c>
      <c r="M3211" t="s">
        <v>134</v>
      </c>
      <c r="N3211" t="s">
        <v>135</v>
      </c>
      <c r="O3211"/>
      <c r="P3211"/>
      <c r="Q3211" t="s">
        <v>168</v>
      </c>
      <c r="R3211"/>
      <c r="S3211"/>
      <c r="T3211"/>
      <c r="U3211" t="s">
        <v>137</v>
      </c>
      <c r="V3211" t="s">
        <v>1303</v>
      </c>
      <c r="W3211"/>
      <c r="X3211" t="s">
        <v>123</v>
      </c>
      <c r="Y3211"/>
      <c r="Z3211"/>
      <c r="AA3211" t="s">
        <v>292</v>
      </c>
      <c r="AB3211" t="s">
        <v>1</v>
      </c>
      <c r="AC3211" t="s">
        <v>138</v>
      </c>
      <c r="AD3211" t="s">
        <v>130</v>
      </c>
      <c r="AE3211" s="97"/>
    </row>
    <row r="3212" spans="1:31" ht="14.4" customHeight="1" x14ac:dyDescent="0.3">
      <c r="A3212" t="s">
        <v>5802</v>
      </c>
      <c r="B3212" t="s">
        <v>1488</v>
      </c>
      <c r="C3212"/>
      <c r="D3212"/>
      <c r="E3212"/>
      <c r="F3212"/>
      <c r="G3212" t="s">
        <v>5356</v>
      </c>
      <c r="H3212" t="s">
        <v>132</v>
      </c>
      <c r="I3212" t="s">
        <v>1</v>
      </c>
      <c r="J3212" t="s">
        <v>5298</v>
      </c>
      <c r="K3212" t="s">
        <v>51</v>
      </c>
      <c r="L3212" t="s">
        <v>1486</v>
      </c>
      <c r="M3212" t="s">
        <v>134</v>
      </c>
      <c r="N3212" t="s">
        <v>135</v>
      </c>
      <c r="O3212"/>
      <c r="P3212"/>
      <c r="Q3212" t="s">
        <v>168</v>
      </c>
      <c r="R3212"/>
      <c r="S3212"/>
      <c r="T3212"/>
      <c r="U3212" t="s">
        <v>137</v>
      </c>
      <c r="V3212" t="s">
        <v>1303</v>
      </c>
      <c r="W3212"/>
      <c r="X3212" t="s">
        <v>123</v>
      </c>
      <c r="Y3212"/>
      <c r="Z3212"/>
      <c r="AA3212" t="s">
        <v>292</v>
      </c>
      <c r="AB3212" t="s">
        <v>1</v>
      </c>
      <c r="AC3212" t="s">
        <v>138</v>
      </c>
      <c r="AD3212" t="s">
        <v>130</v>
      </c>
      <c r="AE3212" s="97"/>
    </row>
    <row r="3213" spans="1:31" ht="14.4" customHeight="1" x14ac:dyDescent="0.3">
      <c r="A3213" t="s">
        <v>5803</v>
      </c>
      <c r="B3213" t="s">
        <v>1490</v>
      </c>
      <c r="C3213"/>
      <c r="D3213"/>
      <c r="E3213"/>
      <c r="F3213"/>
      <c r="G3213" t="s">
        <v>5356</v>
      </c>
      <c r="H3213" t="s">
        <v>132</v>
      </c>
      <c r="I3213" t="s">
        <v>1</v>
      </c>
      <c r="J3213" t="s">
        <v>5298</v>
      </c>
      <c r="K3213" t="s">
        <v>51</v>
      </c>
      <c r="L3213" t="s">
        <v>1486</v>
      </c>
      <c r="M3213" t="s">
        <v>134</v>
      </c>
      <c r="N3213" t="s">
        <v>135</v>
      </c>
      <c r="O3213"/>
      <c r="P3213"/>
      <c r="Q3213" t="s">
        <v>168</v>
      </c>
      <c r="R3213"/>
      <c r="S3213"/>
      <c r="T3213"/>
      <c r="U3213" t="s">
        <v>137</v>
      </c>
      <c r="V3213" t="s">
        <v>1303</v>
      </c>
      <c r="W3213"/>
      <c r="X3213" t="s">
        <v>123</v>
      </c>
      <c r="Y3213"/>
      <c r="Z3213"/>
      <c r="AA3213" t="s">
        <v>292</v>
      </c>
      <c r="AB3213" t="s">
        <v>1</v>
      </c>
      <c r="AC3213" t="s">
        <v>138</v>
      </c>
      <c r="AD3213" t="s">
        <v>130</v>
      </c>
      <c r="AE3213" s="97"/>
    </row>
    <row r="3214" spans="1:31" ht="14.4" customHeight="1" x14ac:dyDescent="0.3">
      <c r="A3214" t="s">
        <v>5804</v>
      </c>
      <c r="B3214" t="s">
        <v>1492</v>
      </c>
      <c r="C3214"/>
      <c r="D3214"/>
      <c r="E3214"/>
      <c r="F3214"/>
      <c r="G3214" t="s">
        <v>5356</v>
      </c>
      <c r="H3214" t="s">
        <v>132</v>
      </c>
      <c r="I3214" t="s">
        <v>1</v>
      </c>
      <c r="J3214" t="s">
        <v>5298</v>
      </c>
      <c r="K3214" t="s">
        <v>51</v>
      </c>
      <c r="L3214" t="s">
        <v>1486</v>
      </c>
      <c r="M3214" t="s">
        <v>134</v>
      </c>
      <c r="N3214" t="s">
        <v>135</v>
      </c>
      <c r="O3214"/>
      <c r="P3214"/>
      <c r="Q3214" t="s">
        <v>168</v>
      </c>
      <c r="R3214"/>
      <c r="S3214"/>
      <c r="T3214"/>
      <c r="U3214" t="s">
        <v>137</v>
      </c>
      <c r="V3214" t="s">
        <v>1303</v>
      </c>
      <c r="W3214"/>
      <c r="X3214" t="s">
        <v>123</v>
      </c>
      <c r="Y3214"/>
      <c r="Z3214"/>
      <c r="AA3214" t="s">
        <v>292</v>
      </c>
      <c r="AB3214" t="s">
        <v>1</v>
      </c>
      <c r="AC3214" t="s">
        <v>138</v>
      </c>
      <c r="AD3214" t="s">
        <v>130</v>
      </c>
      <c r="AE3214" s="97"/>
    </row>
    <row r="3215" spans="1:31" ht="14.4" customHeight="1" x14ac:dyDescent="0.3">
      <c r="A3215" t="s">
        <v>5805</v>
      </c>
      <c r="B3215" t="s">
        <v>1494</v>
      </c>
      <c r="C3215"/>
      <c r="D3215"/>
      <c r="E3215"/>
      <c r="F3215"/>
      <c r="G3215" t="s">
        <v>5356</v>
      </c>
      <c r="H3215" t="s">
        <v>132</v>
      </c>
      <c r="I3215" t="s">
        <v>1</v>
      </c>
      <c r="J3215" t="s">
        <v>5298</v>
      </c>
      <c r="K3215" t="s">
        <v>51</v>
      </c>
      <c r="L3215" t="s">
        <v>1486</v>
      </c>
      <c r="M3215" t="s">
        <v>134</v>
      </c>
      <c r="N3215" t="s">
        <v>135</v>
      </c>
      <c r="O3215"/>
      <c r="P3215"/>
      <c r="Q3215" t="s">
        <v>168</v>
      </c>
      <c r="R3215"/>
      <c r="S3215"/>
      <c r="T3215"/>
      <c r="U3215" t="s">
        <v>137</v>
      </c>
      <c r="V3215" t="s">
        <v>1303</v>
      </c>
      <c r="W3215"/>
      <c r="X3215" t="s">
        <v>123</v>
      </c>
      <c r="Y3215"/>
      <c r="Z3215"/>
      <c r="AA3215" t="s">
        <v>292</v>
      </c>
      <c r="AB3215" t="s">
        <v>1</v>
      </c>
      <c r="AC3215" t="s">
        <v>138</v>
      </c>
      <c r="AD3215" t="s">
        <v>130</v>
      </c>
      <c r="AE3215" s="97"/>
    </row>
    <row r="3216" spans="1:31" ht="14.4" customHeight="1" x14ac:dyDescent="0.3">
      <c r="A3216" t="s">
        <v>5806</v>
      </c>
      <c r="B3216" t="s">
        <v>1496</v>
      </c>
      <c r="C3216"/>
      <c r="D3216"/>
      <c r="E3216"/>
      <c r="F3216"/>
      <c r="G3216" t="s">
        <v>5356</v>
      </c>
      <c r="H3216" t="s">
        <v>132</v>
      </c>
      <c r="I3216" t="s">
        <v>1</v>
      </c>
      <c r="J3216" t="s">
        <v>5298</v>
      </c>
      <c r="K3216" t="s">
        <v>51</v>
      </c>
      <c r="L3216" t="s">
        <v>1486</v>
      </c>
      <c r="M3216" t="s">
        <v>134</v>
      </c>
      <c r="N3216" t="s">
        <v>135</v>
      </c>
      <c r="O3216"/>
      <c r="P3216"/>
      <c r="Q3216" t="s">
        <v>168</v>
      </c>
      <c r="R3216"/>
      <c r="S3216"/>
      <c r="T3216"/>
      <c r="U3216" t="s">
        <v>137</v>
      </c>
      <c r="V3216" t="s">
        <v>1303</v>
      </c>
      <c r="W3216"/>
      <c r="X3216" t="s">
        <v>123</v>
      </c>
      <c r="Y3216"/>
      <c r="Z3216"/>
      <c r="AA3216" t="s">
        <v>292</v>
      </c>
      <c r="AB3216" t="s">
        <v>1</v>
      </c>
      <c r="AC3216" t="s">
        <v>138</v>
      </c>
      <c r="AD3216" t="s">
        <v>130</v>
      </c>
      <c r="AE3216" s="97"/>
    </row>
    <row r="3217" spans="1:31" ht="14.4" customHeight="1" x14ac:dyDescent="0.3">
      <c r="A3217" t="s">
        <v>5807</v>
      </c>
      <c r="B3217" t="s">
        <v>1498</v>
      </c>
      <c r="C3217"/>
      <c r="D3217"/>
      <c r="E3217"/>
      <c r="F3217"/>
      <c r="G3217" t="s">
        <v>5356</v>
      </c>
      <c r="H3217" t="s">
        <v>132</v>
      </c>
      <c r="I3217" t="s">
        <v>1</v>
      </c>
      <c r="J3217" t="s">
        <v>5298</v>
      </c>
      <c r="K3217" t="s">
        <v>51</v>
      </c>
      <c r="L3217" t="s">
        <v>1486</v>
      </c>
      <c r="M3217" t="s">
        <v>134</v>
      </c>
      <c r="N3217" t="s">
        <v>135</v>
      </c>
      <c r="O3217"/>
      <c r="P3217"/>
      <c r="Q3217" t="s">
        <v>168</v>
      </c>
      <c r="R3217"/>
      <c r="S3217"/>
      <c r="T3217"/>
      <c r="U3217" t="s">
        <v>137</v>
      </c>
      <c r="V3217" t="s">
        <v>1303</v>
      </c>
      <c r="W3217"/>
      <c r="X3217" t="s">
        <v>123</v>
      </c>
      <c r="Y3217"/>
      <c r="Z3217"/>
      <c r="AA3217" t="s">
        <v>292</v>
      </c>
      <c r="AB3217" t="s">
        <v>1</v>
      </c>
      <c r="AC3217" t="s">
        <v>138</v>
      </c>
      <c r="AD3217" t="s">
        <v>130</v>
      </c>
      <c r="AE3217" s="97"/>
    </row>
    <row r="3218" spans="1:31" ht="14.4" customHeight="1" x14ac:dyDescent="0.3">
      <c r="A3218" t="s">
        <v>5808</v>
      </c>
      <c r="B3218" t="s">
        <v>1500</v>
      </c>
      <c r="C3218"/>
      <c r="D3218"/>
      <c r="E3218"/>
      <c r="F3218"/>
      <c r="G3218" t="s">
        <v>5356</v>
      </c>
      <c r="H3218" t="s">
        <v>132</v>
      </c>
      <c r="I3218" t="s">
        <v>1</v>
      </c>
      <c r="J3218" t="s">
        <v>5298</v>
      </c>
      <c r="K3218" t="s">
        <v>51</v>
      </c>
      <c r="L3218" t="s">
        <v>1486</v>
      </c>
      <c r="M3218" t="s">
        <v>134</v>
      </c>
      <c r="N3218" t="s">
        <v>135</v>
      </c>
      <c r="O3218"/>
      <c r="P3218"/>
      <c r="Q3218" t="s">
        <v>168</v>
      </c>
      <c r="R3218"/>
      <c r="S3218"/>
      <c r="T3218"/>
      <c r="U3218" t="s">
        <v>137</v>
      </c>
      <c r="V3218" t="s">
        <v>1303</v>
      </c>
      <c r="W3218"/>
      <c r="X3218" t="s">
        <v>123</v>
      </c>
      <c r="Y3218"/>
      <c r="Z3218"/>
      <c r="AA3218" t="s">
        <v>292</v>
      </c>
      <c r="AB3218" t="s">
        <v>1</v>
      </c>
      <c r="AC3218" t="s">
        <v>138</v>
      </c>
      <c r="AD3218" t="s">
        <v>130</v>
      </c>
      <c r="AE3218" s="97"/>
    </row>
    <row r="3219" spans="1:31" ht="14.4" customHeight="1" x14ac:dyDescent="0.3">
      <c r="A3219" t="s">
        <v>5809</v>
      </c>
      <c r="B3219" t="s">
        <v>1502</v>
      </c>
      <c r="C3219"/>
      <c r="D3219"/>
      <c r="E3219"/>
      <c r="F3219"/>
      <c r="G3219" t="s">
        <v>5356</v>
      </c>
      <c r="H3219" t="s">
        <v>132</v>
      </c>
      <c r="I3219" t="s">
        <v>1</v>
      </c>
      <c r="J3219" t="s">
        <v>5298</v>
      </c>
      <c r="K3219" t="s">
        <v>51</v>
      </c>
      <c r="L3219" t="s">
        <v>1486</v>
      </c>
      <c r="M3219" t="s">
        <v>134</v>
      </c>
      <c r="N3219" t="s">
        <v>135</v>
      </c>
      <c r="O3219"/>
      <c r="P3219"/>
      <c r="Q3219" t="s">
        <v>168</v>
      </c>
      <c r="R3219"/>
      <c r="S3219"/>
      <c r="T3219"/>
      <c r="U3219" t="s">
        <v>137</v>
      </c>
      <c r="V3219" t="s">
        <v>1303</v>
      </c>
      <c r="W3219"/>
      <c r="X3219" t="s">
        <v>123</v>
      </c>
      <c r="Y3219"/>
      <c r="Z3219"/>
      <c r="AA3219" t="s">
        <v>292</v>
      </c>
      <c r="AB3219" t="s">
        <v>1</v>
      </c>
      <c r="AC3219" t="s">
        <v>138</v>
      </c>
      <c r="AD3219" t="s">
        <v>130</v>
      </c>
      <c r="AE3219" s="97"/>
    </row>
    <row r="3220" spans="1:31" ht="14.4" customHeight="1" x14ac:dyDescent="0.3">
      <c r="A3220" t="s">
        <v>5810</v>
      </c>
      <c r="B3220" t="s">
        <v>1504</v>
      </c>
      <c r="C3220"/>
      <c r="D3220"/>
      <c r="E3220"/>
      <c r="F3220"/>
      <c r="G3220" t="s">
        <v>5356</v>
      </c>
      <c r="H3220" t="s">
        <v>132</v>
      </c>
      <c r="I3220" t="s">
        <v>1</v>
      </c>
      <c r="J3220" t="s">
        <v>5298</v>
      </c>
      <c r="K3220" t="s">
        <v>51</v>
      </c>
      <c r="L3220" t="s">
        <v>1486</v>
      </c>
      <c r="M3220" t="s">
        <v>134</v>
      </c>
      <c r="N3220" t="s">
        <v>135</v>
      </c>
      <c r="O3220"/>
      <c r="P3220"/>
      <c r="Q3220" t="s">
        <v>168</v>
      </c>
      <c r="R3220"/>
      <c r="S3220"/>
      <c r="T3220"/>
      <c r="U3220" t="s">
        <v>137</v>
      </c>
      <c r="V3220" t="s">
        <v>1303</v>
      </c>
      <c r="W3220"/>
      <c r="X3220" t="s">
        <v>123</v>
      </c>
      <c r="Y3220"/>
      <c r="Z3220"/>
      <c r="AA3220" t="s">
        <v>292</v>
      </c>
      <c r="AB3220" t="s">
        <v>1</v>
      </c>
      <c r="AC3220" t="s">
        <v>138</v>
      </c>
      <c r="AD3220" t="s">
        <v>130</v>
      </c>
      <c r="AE3220" s="97"/>
    </row>
    <row r="3221" spans="1:31" ht="14.4" customHeight="1" x14ac:dyDescent="0.3">
      <c r="A3221" t="s">
        <v>5811</v>
      </c>
      <c r="B3221" t="s">
        <v>1506</v>
      </c>
      <c r="C3221"/>
      <c r="D3221"/>
      <c r="E3221"/>
      <c r="F3221"/>
      <c r="G3221" t="s">
        <v>5356</v>
      </c>
      <c r="H3221" t="s">
        <v>132</v>
      </c>
      <c r="I3221" t="s">
        <v>1</v>
      </c>
      <c r="J3221" t="s">
        <v>5298</v>
      </c>
      <c r="K3221" t="s">
        <v>51</v>
      </c>
      <c r="L3221" t="s">
        <v>1486</v>
      </c>
      <c r="M3221" t="s">
        <v>134</v>
      </c>
      <c r="N3221" t="s">
        <v>135</v>
      </c>
      <c r="O3221"/>
      <c r="P3221"/>
      <c r="Q3221" t="s">
        <v>168</v>
      </c>
      <c r="R3221"/>
      <c r="S3221"/>
      <c r="T3221"/>
      <c r="U3221" t="s">
        <v>137</v>
      </c>
      <c r="V3221" t="s">
        <v>1303</v>
      </c>
      <c r="W3221"/>
      <c r="X3221" t="s">
        <v>123</v>
      </c>
      <c r="Y3221"/>
      <c r="Z3221"/>
      <c r="AA3221" t="s">
        <v>292</v>
      </c>
      <c r="AB3221" t="s">
        <v>1</v>
      </c>
      <c r="AC3221" t="s">
        <v>138</v>
      </c>
      <c r="AD3221" t="s">
        <v>130</v>
      </c>
      <c r="AE3221" s="97"/>
    </row>
    <row r="3222" spans="1:31" ht="14.4" customHeight="1" x14ac:dyDescent="0.3">
      <c r="A3222" t="s">
        <v>5812</v>
      </c>
      <c r="B3222" t="s">
        <v>1508</v>
      </c>
      <c r="C3222"/>
      <c r="D3222"/>
      <c r="E3222"/>
      <c r="F3222"/>
      <c r="G3222" t="s">
        <v>5356</v>
      </c>
      <c r="H3222" t="s">
        <v>132</v>
      </c>
      <c r="I3222" t="s">
        <v>1</v>
      </c>
      <c r="J3222" t="s">
        <v>5298</v>
      </c>
      <c r="K3222" t="s">
        <v>51</v>
      </c>
      <c r="L3222" t="s">
        <v>1509</v>
      </c>
      <c r="M3222" t="s">
        <v>134</v>
      </c>
      <c r="N3222" t="s">
        <v>135</v>
      </c>
      <c r="O3222"/>
      <c r="P3222"/>
      <c r="Q3222" t="s">
        <v>168</v>
      </c>
      <c r="R3222"/>
      <c r="S3222"/>
      <c r="T3222"/>
      <c r="U3222" t="s">
        <v>137</v>
      </c>
      <c r="V3222" t="s">
        <v>1279</v>
      </c>
      <c r="W3222" s="9">
        <v>46204.516227581022</v>
      </c>
      <c r="X3222" t="s">
        <v>71</v>
      </c>
      <c r="Y3222"/>
      <c r="Z3222"/>
      <c r="AA3222" t="s">
        <v>292</v>
      </c>
      <c r="AB3222" t="s">
        <v>1</v>
      </c>
      <c r="AC3222" t="s">
        <v>24</v>
      </c>
      <c r="AD3222" t="s">
        <v>128</v>
      </c>
      <c r="AE3222" s="97"/>
    </row>
    <row r="3223" spans="1:31" ht="14.4" customHeight="1" x14ac:dyDescent="0.3">
      <c r="A3223" t="s">
        <v>5813</v>
      </c>
      <c r="B3223" t="s">
        <v>1511</v>
      </c>
      <c r="C3223"/>
      <c r="D3223"/>
      <c r="E3223"/>
      <c r="F3223"/>
      <c r="G3223" t="s">
        <v>5356</v>
      </c>
      <c r="H3223" t="s">
        <v>132</v>
      </c>
      <c r="I3223" t="s">
        <v>1</v>
      </c>
      <c r="J3223" t="s">
        <v>5298</v>
      </c>
      <c r="K3223" t="s">
        <v>51</v>
      </c>
      <c r="L3223" t="s">
        <v>1512</v>
      </c>
      <c r="M3223" t="s">
        <v>134</v>
      </c>
      <c r="N3223" t="s">
        <v>135</v>
      </c>
      <c r="O3223"/>
      <c r="P3223"/>
      <c r="Q3223" t="s">
        <v>168</v>
      </c>
      <c r="R3223"/>
      <c r="S3223"/>
      <c r="T3223"/>
      <c r="U3223" t="s">
        <v>137</v>
      </c>
      <c r="V3223" t="s">
        <v>1283</v>
      </c>
      <c r="W3223" s="9">
        <v>46204.515812418984</v>
      </c>
      <c r="X3223" t="s">
        <v>78</v>
      </c>
      <c r="Y3223"/>
      <c r="Z3223"/>
      <c r="AA3223" t="s">
        <v>292</v>
      </c>
      <c r="AB3223" t="s">
        <v>1</v>
      </c>
      <c r="AC3223" t="s">
        <v>24</v>
      </c>
      <c r="AD3223" t="s">
        <v>128</v>
      </c>
      <c r="AE3223" s="97"/>
    </row>
    <row r="3224" spans="1:31" ht="14.4" customHeight="1" x14ac:dyDescent="0.3">
      <c r="A3224" t="s">
        <v>5814</v>
      </c>
      <c r="B3224" t="s">
        <v>1514</v>
      </c>
      <c r="C3224"/>
      <c r="D3224"/>
      <c r="E3224"/>
      <c r="F3224"/>
      <c r="G3224" t="s">
        <v>5356</v>
      </c>
      <c r="H3224" t="s">
        <v>132</v>
      </c>
      <c r="I3224" t="s">
        <v>1</v>
      </c>
      <c r="J3224" t="s">
        <v>5298</v>
      </c>
      <c r="K3224" t="s">
        <v>51</v>
      </c>
      <c r="L3224" t="s">
        <v>1515</v>
      </c>
      <c r="M3224" t="s">
        <v>134</v>
      </c>
      <c r="N3224" t="s">
        <v>135</v>
      </c>
      <c r="O3224"/>
      <c r="P3224"/>
      <c r="Q3224" t="s">
        <v>168</v>
      </c>
      <c r="R3224"/>
      <c r="S3224"/>
      <c r="T3224"/>
      <c r="U3224" t="s">
        <v>137</v>
      </c>
      <c r="V3224" t="s">
        <v>1287</v>
      </c>
      <c r="W3224"/>
      <c r="X3224" t="s">
        <v>89</v>
      </c>
      <c r="Y3224"/>
      <c r="Z3224"/>
      <c r="AA3224" t="s">
        <v>292</v>
      </c>
      <c r="AB3224" t="s">
        <v>1</v>
      </c>
      <c r="AC3224" t="s">
        <v>138</v>
      </c>
      <c r="AD3224" t="s">
        <v>129</v>
      </c>
      <c r="AE3224" s="97"/>
    </row>
    <row r="3225" spans="1:31" ht="14.4" customHeight="1" x14ac:dyDescent="0.3">
      <c r="A3225" t="s">
        <v>5815</v>
      </c>
      <c r="B3225" t="s">
        <v>1517</v>
      </c>
      <c r="C3225"/>
      <c r="D3225"/>
      <c r="E3225"/>
      <c r="F3225"/>
      <c r="G3225" t="s">
        <v>5356</v>
      </c>
      <c r="H3225" t="s">
        <v>132</v>
      </c>
      <c r="I3225" t="s">
        <v>1</v>
      </c>
      <c r="J3225" t="s">
        <v>5298</v>
      </c>
      <c r="K3225" t="s">
        <v>51</v>
      </c>
      <c r="L3225" t="s">
        <v>1518</v>
      </c>
      <c r="M3225" t="s">
        <v>134</v>
      </c>
      <c r="N3225" t="s">
        <v>135</v>
      </c>
      <c r="O3225"/>
      <c r="P3225"/>
      <c r="Q3225" t="s">
        <v>168</v>
      </c>
      <c r="R3225"/>
      <c r="S3225"/>
      <c r="T3225"/>
      <c r="U3225" t="s">
        <v>137</v>
      </c>
      <c r="V3225" t="s">
        <v>1291</v>
      </c>
      <c r="W3225"/>
      <c r="X3225" t="s">
        <v>98</v>
      </c>
      <c r="Y3225"/>
      <c r="Z3225"/>
      <c r="AA3225" t="s">
        <v>292</v>
      </c>
      <c r="AB3225" t="s">
        <v>1</v>
      </c>
      <c r="AC3225" t="s">
        <v>138</v>
      </c>
      <c r="AD3225" t="s">
        <v>129</v>
      </c>
      <c r="AE3225" s="97"/>
    </row>
    <row r="3226" spans="1:31" ht="14.4" customHeight="1" x14ac:dyDescent="0.3">
      <c r="A3226" t="s">
        <v>5816</v>
      </c>
      <c r="B3226" t="s">
        <v>1520</v>
      </c>
      <c r="C3226"/>
      <c r="D3226"/>
      <c r="E3226"/>
      <c r="F3226"/>
      <c r="G3226" t="s">
        <v>5356</v>
      </c>
      <c r="H3226" t="s">
        <v>132</v>
      </c>
      <c r="I3226" t="s">
        <v>1</v>
      </c>
      <c r="J3226" t="s">
        <v>5298</v>
      </c>
      <c r="K3226" t="s">
        <v>51</v>
      </c>
      <c r="L3226" t="s">
        <v>1521</v>
      </c>
      <c r="M3226" t="s">
        <v>134</v>
      </c>
      <c r="N3226" t="s">
        <v>135</v>
      </c>
      <c r="O3226"/>
      <c r="P3226"/>
      <c r="Q3226" t="s">
        <v>168</v>
      </c>
      <c r="R3226"/>
      <c r="S3226"/>
      <c r="T3226"/>
      <c r="U3226" t="s">
        <v>137</v>
      </c>
      <c r="V3226" t="s">
        <v>1295</v>
      </c>
      <c r="W3226"/>
      <c r="X3226" t="s">
        <v>107</v>
      </c>
      <c r="Y3226"/>
      <c r="Z3226"/>
      <c r="AA3226" t="s">
        <v>292</v>
      </c>
      <c r="AB3226" t="s">
        <v>1</v>
      </c>
      <c r="AC3226" t="s">
        <v>138</v>
      </c>
      <c r="AD3226" t="s">
        <v>129</v>
      </c>
      <c r="AE3226" s="97"/>
    </row>
    <row r="3227" spans="1:31" ht="14.4" customHeight="1" x14ac:dyDescent="0.3">
      <c r="A3227" t="s">
        <v>5817</v>
      </c>
      <c r="B3227" t="s">
        <v>1523</v>
      </c>
      <c r="C3227"/>
      <c r="D3227"/>
      <c r="E3227"/>
      <c r="F3227"/>
      <c r="G3227" t="s">
        <v>5356</v>
      </c>
      <c r="H3227" t="s">
        <v>132</v>
      </c>
      <c r="I3227" t="s">
        <v>1</v>
      </c>
      <c r="J3227" t="s">
        <v>5298</v>
      </c>
      <c r="K3227" t="s">
        <v>51</v>
      </c>
      <c r="L3227" t="s">
        <v>1524</v>
      </c>
      <c r="M3227" t="s">
        <v>134</v>
      </c>
      <c r="N3227" t="s">
        <v>135</v>
      </c>
      <c r="O3227"/>
      <c r="P3227"/>
      <c r="Q3227" t="s">
        <v>168</v>
      </c>
      <c r="R3227"/>
      <c r="S3227"/>
      <c r="T3227"/>
      <c r="U3227" t="s">
        <v>137</v>
      </c>
      <c r="V3227" t="s">
        <v>1299</v>
      </c>
      <c r="W3227"/>
      <c r="X3227" t="s">
        <v>114</v>
      </c>
      <c r="Y3227"/>
      <c r="Z3227"/>
      <c r="AA3227" t="s">
        <v>292</v>
      </c>
      <c r="AB3227" t="s">
        <v>1</v>
      </c>
      <c r="AC3227" t="s">
        <v>138</v>
      </c>
      <c r="AD3227" t="s">
        <v>129</v>
      </c>
      <c r="AE3227" s="97"/>
    </row>
    <row r="3228" spans="1:31" ht="14.4" customHeight="1" x14ac:dyDescent="0.3">
      <c r="A3228" t="s">
        <v>5818</v>
      </c>
      <c r="B3228" t="s">
        <v>1526</v>
      </c>
      <c r="C3228"/>
      <c r="D3228"/>
      <c r="E3228"/>
      <c r="F3228"/>
      <c r="G3228" t="s">
        <v>5356</v>
      </c>
      <c r="H3228" t="s">
        <v>132</v>
      </c>
      <c r="I3228" t="s">
        <v>1</v>
      </c>
      <c r="J3228" t="s">
        <v>5298</v>
      </c>
      <c r="K3228" t="s">
        <v>51</v>
      </c>
      <c r="L3228" t="s">
        <v>1527</v>
      </c>
      <c r="M3228" t="s">
        <v>134</v>
      </c>
      <c r="N3228" t="s">
        <v>135</v>
      </c>
      <c r="O3228"/>
      <c r="P3228"/>
      <c r="Q3228" t="s">
        <v>168</v>
      </c>
      <c r="R3228"/>
      <c r="S3228"/>
      <c r="T3228"/>
      <c r="U3228" t="s">
        <v>137</v>
      </c>
      <c r="V3228" t="s">
        <v>1303</v>
      </c>
      <c r="W3228"/>
      <c r="X3228" t="s">
        <v>123</v>
      </c>
      <c r="Y3228"/>
      <c r="Z3228"/>
      <c r="AA3228" t="s">
        <v>292</v>
      </c>
      <c r="AB3228" t="s">
        <v>1</v>
      </c>
      <c r="AC3228" t="s">
        <v>138</v>
      </c>
      <c r="AD3228" t="s">
        <v>130</v>
      </c>
      <c r="AE3228" s="97"/>
    </row>
    <row r="3229" spans="1:31" ht="14.4" customHeight="1" x14ac:dyDescent="0.3">
      <c r="A3229" t="s">
        <v>5819</v>
      </c>
      <c r="B3229" t="s">
        <v>1529</v>
      </c>
      <c r="C3229"/>
      <c r="D3229"/>
      <c r="E3229"/>
      <c r="F3229"/>
      <c r="G3229" t="s">
        <v>5356</v>
      </c>
      <c r="H3229" t="s">
        <v>132</v>
      </c>
      <c r="I3229" t="s">
        <v>1</v>
      </c>
      <c r="J3229" t="s">
        <v>5298</v>
      </c>
      <c r="K3229" t="s">
        <v>51</v>
      </c>
      <c r="L3229" t="s">
        <v>1530</v>
      </c>
      <c r="M3229" t="s">
        <v>134</v>
      </c>
      <c r="N3229" t="s">
        <v>135</v>
      </c>
      <c r="O3229"/>
      <c r="P3229"/>
      <c r="Q3229" t="s">
        <v>168</v>
      </c>
      <c r="R3229"/>
      <c r="S3229"/>
      <c r="T3229"/>
      <c r="U3229" t="s">
        <v>137</v>
      </c>
      <c r="V3229" t="s">
        <v>1279</v>
      </c>
      <c r="W3229"/>
      <c r="X3229" t="s">
        <v>71</v>
      </c>
      <c r="Y3229"/>
      <c r="Z3229"/>
      <c r="AA3229" t="s">
        <v>292</v>
      </c>
      <c r="AB3229" t="s">
        <v>1</v>
      </c>
      <c r="AC3229" t="s">
        <v>138</v>
      </c>
      <c r="AD3229" t="s">
        <v>128</v>
      </c>
      <c r="AE3229" s="97"/>
    </row>
    <row r="3230" spans="1:31" ht="14.4" customHeight="1" x14ac:dyDescent="0.3">
      <c r="A3230" t="s">
        <v>5820</v>
      </c>
      <c r="B3230" t="s">
        <v>1532</v>
      </c>
      <c r="C3230"/>
      <c r="D3230"/>
      <c r="E3230"/>
      <c r="F3230"/>
      <c r="G3230" t="s">
        <v>5356</v>
      </c>
      <c r="H3230" t="s">
        <v>132</v>
      </c>
      <c r="I3230" t="s">
        <v>1</v>
      </c>
      <c r="J3230" t="s">
        <v>5298</v>
      </c>
      <c r="K3230" t="s">
        <v>51</v>
      </c>
      <c r="L3230" t="s">
        <v>1533</v>
      </c>
      <c r="M3230" t="s">
        <v>134</v>
      </c>
      <c r="N3230" t="s">
        <v>135</v>
      </c>
      <c r="O3230"/>
      <c r="P3230"/>
      <c r="Q3230" t="s">
        <v>168</v>
      </c>
      <c r="R3230"/>
      <c r="S3230"/>
      <c r="T3230"/>
      <c r="U3230" t="s">
        <v>137</v>
      </c>
      <c r="V3230" t="s">
        <v>1283</v>
      </c>
      <c r="W3230"/>
      <c r="X3230" t="s">
        <v>78</v>
      </c>
      <c r="Y3230"/>
      <c r="Z3230"/>
      <c r="AA3230" t="s">
        <v>292</v>
      </c>
      <c r="AB3230" t="s">
        <v>1</v>
      </c>
      <c r="AC3230" t="s">
        <v>138</v>
      </c>
      <c r="AD3230" t="s">
        <v>128</v>
      </c>
      <c r="AE3230" s="97"/>
    </row>
    <row r="3231" spans="1:31" ht="14.4" customHeight="1" x14ac:dyDescent="0.3">
      <c r="A3231" t="s">
        <v>5821</v>
      </c>
      <c r="B3231" t="s">
        <v>1535</v>
      </c>
      <c r="C3231"/>
      <c r="D3231"/>
      <c r="E3231"/>
      <c r="F3231"/>
      <c r="G3231" t="s">
        <v>5356</v>
      </c>
      <c r="H3231" t="s">
        <v>132</v>
      </c>
      <c r="I3231" t="s">
        <v>1</v>
      </c>
      <c r="J3231" t="s">
        <v>5298</v>
      </c>
      <c r="K3231" t="s">
        <v>51</v>
      </c>
      <c r="L3231" t="s">
        <v>1536</v>
      </c>
      <c r="M3231" t="s">
        <v>134</v>
      </c>
      <c r="N3231" t="s">
        <v>135</v>
      </c>
      <c r="O3231"/>
      <c r="P3231"/>
      <c r="Q3231" t="s">
        <v>168</v>
      </c>
      <c r="R3231"/>
      <c r="S3231"/>
      <c r="T3231"/>
      <c r="U3231" t="s">
        <v>137</v>
      </c>
      <c r="V3231" t="s">
        <v>1287</v>
      </c>
      <c r="W3231"/>
      <c r="X3231" t="s">
        <v>89</v>
      </c>
      <c r="Y3231"/>
      <c r="Z3231"/>
      <c r="AA3231" t="s">
        <v>292</v>
      </c>
      <c r="AB3231" t="s">
        <v>1</v>
      </c>
      <c r="AC3231" t="s">
        <v>138</v>
      </c>
      <c r="AD3231" t="s">
        <v>129</v>
      </c>
      <c r="AE3231" s="97"/>
    </row>
    <row r="3232" spans="1:31" ht="14.4" customHeight="1" x14ac:dyDescent="0.3">
      <c r="A3232" t="s">
        <v>5822</v>
      </c>
      <c r="B3232" t="s">
        <v>1538</v>
      </c>
      <c r="C3232"/>
      <c r="D3232"/>
      <c r="E3232"/>
      <c r="F3232"/>
      <c r="G3232" t="s">
        <v>5356</v>
      </c>
      <c r="H3232" t="s">
        <v>132</v>
      </c>
      <c r="I3232" t="s">
        <v>1</v>
      </c>
      <c r="J3232" t="s">
        <v>5298</v>
      </c>
      <c r="K3232" t="s">
        <v>51</v>
      </c>
      <c r="L3232" t="s">
        <v>1539</v>
      </c>
      <c r="M3232" t="s">
        <v>134</v>
      </c>
      <c r="N3232" t="s">
        <v>135</v>
      </c>
      <c r="O3232"/>
      <c r="P3232"/>
      <c r="Q3232" t="s">
        <v>168</v>
      </c>
      <c r="R3232"/>
      <c r="S3232"/>
      <c r="T3232"/>
      <c r="U3232" t="s">
        <v>137</v>
      </c>
      <c r="V3232" t="s">
        <v>1291</v>
      </c>
      <c r="W3232"/>
      <c r="X3232" t="s">
        <v>98</v>
      </c>
      <c r="Y3232"/>
      <c r="Z3232"/>
      <c r="AA3232" t="s">
        <v>292</v>
      </c>
      <c r="AB3232" t="s">
        <v>1</v>
      </c>
      <c r="AC3232" t="s">
        <v>138</v>
      </c>
      <c r="AD3232" t="s">
        <v>129</v>
      </c>
      <c r="AE3232" s="97"/>
    </row>
    <row r="3233" spans="1:31" ht="14.4" customHeight="1" x14ac:dyDescent="0.3">
      <c r="A3233" t="s">
        <v>5823</v>
      </c>
      <c r="B3233" t="s">
        <v>1541</v>
      </c>
      <c r="C3233"/>
      <c r="D3233"/>
      <c r="E3233"/>
      <c r="F3233"/>
      <c r="G3233" t="s">
        <v>5356</v>
      </c>
      <c r="H3233" t="s">
        <v>132</v>
      </c>
      <c r="I3233" t="s">
        <v>1</v>
      </c>
      <c r="J3233" t="s">
        <v>5298</v>
      </c>
      <c r="K3233" t="s">
        <v>51</v>
      </c>
      <c r="L3233" t="s">
        <v>1542</v>
      </c>
      <c r="M3233" t="s">
        <v>134</v>
      </c>
      <c r="N3233" t="s">
        <v>135</v>
      </c>
      <c r="O3233"/>
      <c r="P3233"/>
      <c r="Q3233" t="s">
        <v>168</v>
      </c>
      <c r="R3233"/>
      <c r="S3233"/>
      <c r="T3233"/>
      <c r="U3233" t="s">
        <v>137</v>
      </c>
      <c r="V3233" t="s">
        <v>1295</v>
      </c>
      <c r="W3233"/>
      <c r="X3233" t="s">
        <v>107</v>
      </c>
      <c r="Y3233"/>
      <c r="Z3233"/>
      <c r="AA3233" t="s">
        <v>292</v>
      </c>
      <c r="AB3233" t="s">
        <v>1</v>
      </c>
      <c r="AC3233" t="s">
        <v>138</v>
      </c>
      <c r="AD3233" t="s">
        <v>129</v>
      </c>
      <c r="AE3233" s="97"/>
    </row>
    <row r="3234" spans="1:31" ht="14.4" customHeight="1" x14ac:dyDescent="0.3">
      <c r="A3234" t="s">
        <v>5824</v>
      </c>
      <c r="B3234" t="s">
        <v>1544</v>
      </c>
      <c r="C3234"/>
      <c r="D3234"/>
      <c r="E3234"/>
      <c r="F3234"/>
      <c r="G3234" t="s">
        <v>5356</v>
      </c>
      <c r="H3234" t="s">
        <v>132</v>
      </c>
      <c r="I3234" t="s">
        <v>1</v>
      </c>
      <c r="J3234" t="s">
        <v>5298</v>
      </c>
      <c r="K3234" t="s">
        <v>51</v>
      </c>
      <c r="L3234" t="s">
        <v>1545</v>
      </c>
      <c r="M3234" t="s">
        <v>134</v>
      </c>
      <c r="N3234" t="s">
        <v>135</v>
      </c>
      <c r="O3234"/>
      <c r="P3234"/>
      <c r="Q3234" t="s">
        <v>168</v>
      </c>
      <c r="R3234"/>
      <c r="S3234"/>
      <c r="T3234"/>
      <c r="U3234" t="s">
        <v>137</v>
      </c>
      <c r="V3234" t="s">
        <v>1299</v>
      </c>
      <c r="W3234"/>
      <c r="X3234" t="s">
        <v>114</v>
      </c>
      <c r="Y3234"/>
      <c r="Z3234"/>
      <c r="AA3234" t="s">
        <v>292</v>
      </c>
      <c r="AB3234" t="s">
        <v>1</v>
      </c>
      <c r="AC3234" t="s">
        <v>138</v>
      </c>
      <c r="AD3234" t="s">
        <v>129</v>
      </c>
      <c r="AE3234" s="97"/>
    </row>
    <row r="3235" spans="1:31" ht="14.4" customHeight="1" x14ac:dyDescent="0.3">
      <c r="A3235" t="s">
        <v>5825</v>
      </c>
      <c r="B3235" t="s">
        <v>1547</v>
      </c>
      <c r="C3235"/>
      <c r="D3235"/>
      <c r="E3235"/>
      <c r="F3235"/>
      <c r="G3235" t="s">
        <v>5356</v>
      </c>
      <c r="H3235" t="s">
        <v>132</v>
      </c>
      <c r="I3235" t="s">
        <v>1</v>
      </c>
      <c r="J3235" t="s">
        <v>5298</v>
      </c>
      <c r="K3235" t="s">
        <v>51</v>
      </c>
      <c r="L3235" t="s">
        <v>1548</v>
      </c>
      <c r="M3235" t="s">
        <v>134</v>
      </c>
      <c r="N3235" t="s">
        <v>135</v>
      </c>
      <c r="O3235"/>
      <c r="P3235"/>
      <c r="Q3235" t="s">
        <v>168</v>
      </c>
      <c r="R3235"/>
      <c r="S3235"/>
      <c r="T3235"/>
      <c r="U3235" t="s">
        <v>137</v>
      </c>
      <c r="V3235" t="s">
        <v>1303</v>
      </c>
      <c r="W3235"/>
      <c r="X3235" t="s">
        <v>123</v>
      </c>
      <c r="Y3235"/>
      <c r="Z3235"/>
      <c r="AA3235" t="s">
        <v>292</v>
      </c>
      <c r="AB3235" t="s">
        <v>1</v>
      </c>
      <c r="AC3235" t="s">
        <v>138</v>
      </c>
      <c r="AD3235" t="s">
        <v>130</v>
      </c>
      <c r="AE3235" s="97"/>
    </row>
    <row r="3236" spans="1:31" ht="14.4" customHeight="1" x14ac:dyDescent="0.3">
      <c r="A3236" t="s">
        <v>5826</v>
      </c>
      <c r="B3236" t="s">
        <v>1550</v>
      </c>
      <c r="C3236"/>
      <c r="D3236"/>
      <c r="E3236"/>
      <c r="F3236"/>
      <c r="G3236" t="s">
        <v>5356</v>
      </c>
      <c r="H3236" t="s">
        <v>132</v>
      </c>
      <c r="I3236" t="s">
        <v>1</v>
      </c>
      <c r="J3236" t="s">
        <v>5298</v>
      </c>
      <c r="K3236" t="s">
        <v>51</v>
      </c>
      <c r="L3236" t="s">
        <v>1551</v>
      </c>
      <c r="M3236" t="s">
        <v>134</v>
      </c>
      <c r="N3236" t="s">
        <v>135</v>
      </c>
      <c r="O3236"/>
      <c r="P3236"/>
      <c r="Q3236" t="s">
        <v>168</v>
      </c>
      <c r="R3236"/>
      <c r="S3236"/>
      <c r="T3236"/>
      <c r="U3236" t="s">
        <v>137</v>
      </c>
      <c r="V3236" t="s">
        <v>1259</v>
      </c>
      <c r="W3236" s="9">
        <v>46206.388242627312</v>
      </c>
      <c r="X3236" t="s">
        <v>126</v>
      </c>
      <c r="Y3236"/>
      <c r="Z3236"/>
      <c r="AA3236" t="s">
        <v>292</v>
      </c>
      <c r="AB3236" t="s">
        <v>1</v>
      </c>
      <c r="AC3236" t="s">
        <v>24</v>
      </c>
      <c r="AD3236" t="s">
        <v>131</v>
      </c>
      <c r="AE3236" s="97"/>
    </row>
    <row r="3237" spans="1:31" ht="14.4" customHeight="1" x14ac:dyDescent="0.3">
      <c r="A3237" t="s">
        <v>5827</v>
      </c>
      <c r="B3237" t="s">
        <v>1553</v>
      </c>
      <c r="C3237"/>
      <c r="D3237"/>
      <c r="E3237"/>
      <c r="F3237"/>
      <c r="G3237" t="s">
        <v>5356</v>
      </c>
      <c r="H3237" t="s">
        <v>132</v>
      </c>
      <c r="I3237" t="s">
        <v>1</v>
      </c>
      <c r="J3237" t="s">
        <v>5298</v>
      </c>
      <c r="K3237" t="s">
        <v>51</v>
      </c>
      <c r="L3237" t="s">
        <v>1551</v>
      </c>
      <c r="M3237" t="s">
        <v>134</v>
      </c>
      <c r="N3237" t="s">
        <v>135</v>
      </c>
      <c r="O3237"/>
      <c r="P3237"/>
      <c r="Q3237" t="s">
        <v>168</v>
      </c>
      <c r="R3237"/>
      <c r="S3237"/>
      <c r="T3237"/>
      <c r="U3237" t="s">
        <v>137</v>
      </c>
      <c r="V3237" t="s">
        <v>1259</v>
      </c>
      <c r="W3237"/>
      <c r="X3237" t="s">
        <v>126</v>
      </c>
      <c r="Y3237"/>
      <c r="Z3237"/>
      <c r="AA3237" t="s">
        <v>292</v>
      </c>
      <c r="AB3237" t="s">
        <v>1</v>
      </c>
      <c r="AC3237" t="s">
        <v>138</v>
      </c>
      <c r="AD3237" t="s">
        <v>131</v>
      </c>
      <c r="AE3237" s="97"/>
    </row>
    <row r="3238" spans="1:31" ht="14.4" customHeight="1" x14ac:dyDescent="0.3">
      <c r="A3238" t="s">
        <v>5828</v>
      </c>
      <c r="B3238" t="s">
        <v>1555</v>
      </c>
      <c r="C3238"/>
      <c r="D3238"/>
      <c r="E3238"/>
      <c r="F3238"/>
      <c r="G3238" t="s">
        <v>5356</v>
      </c>
      <c r="H3238" t="s">
        <v>132</v>
      </c>
      <c r="I3238" t="s">
        <v>1</v>
      </c>
      <c r="J3238" t="s">
        <v>5298</v>
      </c>
      <c r="K3238" t="s">
        <v>51</v>
      </c>
      <c r="L3238" t="s">
        <v>1551</v>
      </c>
      <c r="M3238" t="s">
        <v>134</v>
      </c>
      <c r="N3238" t="s">
        <v>135</v>
      </c>
      <c r="O3238"/>
      <c r="P3238"/>
      <c r="Q3238" t="s">
        <v>168</v>
      </c>
      <c r="R3238"/>
      <c r="S3238"/>
      <c r="T3238"/>
      <c r="U3238" t="s">
        <v>137</v>
      </c>
      <c r="V3238" t="s">
        <v>1259</v>
      </c>
      <c r="W3238" s="9">
        <v>46206.389907141202</v>
      </c>
      <c r="X3238" t="s">
        <v>126</v>
      </c>
      <c r="Y3238"/>
      <c r="Z3238"/>
      <c r="AA3238" t="s">
        <v>292</v>
      </c>
      <c r="AB3238" t="s">
        <v>1</v>
      </c>
      <c r="AC3238" t="s">
        <v>24</v>
      </c>
      <c r="AD3238" t="s">
        <v>131</v>
      </c>
      <c r="AE3238" s="97"/>
    </row>
    <row r="3239" spans="1:31" ht="14.4" customHeight="1" x14ac:dyDescent="0.3">
      <c r="A3239" t="s">
        <v>5829</v>
      </c>
      <c r="B3239" t="s">
        <v>1557</v>
      </c>
      <c r="C3239"/>
      <c r="D3239"/>
      <c r="E3239"/>
      <c r="F3239"/>
      <c r="G3239" t="s">
        <v>5356</v>
      </c>
      <c r="H3239" t="s">
        <v>132</v>
      </c>
      <c r="I3239" t="s">
        <v>1</v>
      </c>
      <c r="J3239" t="s">
        <v>5298</v>
      </c>
      <c r="K3239" t="s">
        <v>51</v>
      </c>
      <c r="L3239" t="s">
        <v>1558</v>
      </c>
      <c r="M3239" t="s">
        <v>134</v>
      </c>
      <c r="N3239" t="s">
        <v>135</v>
      </c>
      <c r="O3239"/>
      <c r="P3239"/>
      <c r="Q3239" t="s">
        <v>168</v>
      </c>
      <c r="R3239"/>
      <c r="S3239"/>
      <c r="T3239"/>
      <c r="U3239" t="s">
        <v>137</v>
      </c>
      <c r="V3239" t="s">
        <v>1259</v>
      </c>
      <c r="W3239" s="9">
        <v>46206.391697488427</v>
      </c>
      <c r="X3239" t="s">
        <v>126</v>
      </c>
      <c r="Y3239"/>
      <c r="Z3239"/>
      <c r="AA3239" t="s">
        <v>292</v>
      </c>
      <c r="AB3239" t="s">
        <v>1</v>
      </c>
      <c r="AC3239" t="s">
        <v>24</v>
      </c>
      <c r="AD3239" t="s">
        <v>131</v>
      </c>
      <c r="AE3239" s="97"/>
    </row>
    <row r="3240" spans="1:31" ht="14.4" customHeight="1" x14ac:dyDescent="0.3">
      <c r="A3240" t="s">
        <v>5830</v>
      </c>
      <c r="B3240" t="s">
        <v>1560</v>
      </c>
      <c r="C3240"/>
      <c r="D3240"/>
      <c r="E3240"/>
      <c r="F3240"/>
      <c r="G3240" t="s">
        <v>5356</v>
      </c>
      <c r="H3240" t="s">
        <v>132</v>
      </c>
      <c r="I3240" t="s">
        <v>1</v>
      </c>
      <c r="J3240" t="s">
        <v>5298</v>
      </c>
      <c r="K3240" t="s">
        <v>51</v>
      </c>
      <c r="L3240" t="s">
        <v>1558</v>
      </c>
      <c r="M3240" t="s">
        <v>134</v>
      </c>
      <c r="N3240" t="s">
        <v>135</v>
      </c>
      <c r="O3240"/>
      <c r="P3240"/>
      <c r="Q3240" t="s">
        <v>168</v>
      </c>
      <c r="R3240"/>
      <c r="S3240"/>
      <c r="T3240"/>
      <c r="U3240" t="s">
        <v>137</v>
      </c>
      <c r="V3240" t="s">
        <v>1259</v>
      </c>
      <c r="W3240"/>
      <c r="X3240" t="s">
        <v>126</v>
      </c>
      <c r="Y3240"/>
      <c r="Z3240"/>
      <c r="AA3240" t="s">
        <v>292</v>
      </c>
      <c r="AB3240" t="s">
        <v>1</v>
      </c>
      <c r="AC3240" t="s">
        <v>138</v>
      </c>
      <c r="AD3240" t="s">
        <v>131</v>
      </c>
      <c r="AE3240" s="97"/>
    </row>
    <row r="3241" spans="1:31" ht="14.4" customHeight="1" x14ac:dyDescent="0.3">
      <c r="A3241" t="s">
        <v>5831</v>
      </c>
      <c r="B3241" t="s">
        <v>1562</v>
      </c>
      <c r="C3241"/>
      <c r="D3241"/>
      <c r="E3241"/>
      <c r="F3241"/>
      <c r="G3241" t="s">
        <v>5356</v>
      </c>
      <c r="H3241" t="s">
        <v>132</v>
      </c>
      <c r="I3241" t="s">
        <v>1</v>
      </c>
      <c r="J3241" t="s">
        <v>5298</v>
      </c>
      <c r="K3241" t="s">
        <v>51</v>
      </c>
      <c r="L3241" t="s">
        <v>1558</v>
      </c>
      <c r="M3241" t="s">
        <v>134</v>
      </c>
      <c r="N3241" t="s">
        <v>135</v>
      </c>
      <c r="O3241"/>
      <c r="P3241"/>
      <c r="Q3241" t="s">
        <v>168</v>
      </c>
      <c r="R3241"/>
      <c r="S3241"/>
      <c r="T3241"/>
      <c r="U3241" t="s">
        <v>137</v>
      </c>
      <c r="V3241" t="s">
        <v>1259</v>
      </c>
      <c r="W3241"/>
      <c r="X3241" t="s">
        <v>126</v>
      </c>
      <c r="Y3241"/>
      <c r="Z3241"/>
      <c r="AA3241" t="s">
        <v>292</v>
      </c>
      <c r="AB3241" t="s">
        <v>1</v>
      </c>
      <c r="AC3241" t="s">
        <v>138</v>
      </c>
      <c r="AD3241" t="s">
        <v>131</v>
      </c>
      <c r="AE3241" s="97"/>
    </row>
    <row r="3242" spans="1:31" ht="14.4" customHeight="1" x14ac:dyDescent="0.3">
      <c r="A3242" t="s">
        <v>5832</v>
      </c>
      <c r="B3242" t="s">
        <v>1564</v>
      </c>
      <c r="C3242"/>
      <c r="D3242"/>
      <c r="E3242"/>
      <c r="F3242"/>
      <c r="G3242" t="s">
        <v>5356</v>
      </c>
      <c r="H3242" t="s">
        <v>132</v>
      </c>
      <c r="I3242" t="s">
        <v>1</v>
      </c>
      <c r="J3242" t="s">
        <v>5298</v>
      </c>
      <c r="K3242" t="s">
        <v>51</v>
      </c>
      <c r="L3242" t="s">
        <v>1558</v>
      </c>
      <c r="M3242" t="s">
        <v>134</v>
      </c>
      <c r="N3242" t="s">
        <v>135</v>
      </c>
      <c r="O3242"/>
      <c r="P3242"/>
      <c r="Q3242" t="s">
        <v>168</v>
      </c>
      <c r="R3242"/>
      <c r="S3242"/>
      <c r="T3242"/>
      <c r="U3242" t="s">
        <v>137</v>
      </c>
      <c r="V3242" t="s">
        <v>1259</v>
      </c>
      <c r="W3242"/>
      <c r="X3242" t="s">
        <v>126</v>
      </c>
      <c r="Y3242"/>
      <c r="Z3242"/>
      <c r="AA3242" t="s">
        <v>292</v>
      </c>
      <c r="AB3242" t="s">
        <v>1</v>
      </c>
      <c r="AC3242" t="s">
        <v>138</v>
      </c>
      <c r="AD3242" t="s">
        <v>131</v>
      </c>
      <c r="AE3242" s="97"/>
    </row>
    <row r="3243" spans="1:31" ht="14.4" customHeight="1" x14ac:dyDescent="0.3">
      <c r="A3243" t="s">
        <v>5833</v>
      </c>
      <c r="B3243" t="s">
        <v>1566</v>
      </c>
      <c r="C3243"/>
      <c r="D3243"/>
      <c r="E3243"/>
      <c r="F3243"/>
      <c r="G3243" t="s">
        <v>5356</v>
      </c>
      <c r="H3243" t="s">
        <v>132</v>
      </c>
      <c r="I3243" t="s">
        <v>1</v>
      </c>
      <c r="J3243" t="s">
        <v>5298</v>
      </c>
      <c r="K3243" t="s">
        <v>51</v>
      </c>
      <c r="L3243" t="s">
        <v>1567</v>
      </c>
      <c r="M3243" t="s">
        <v>134</v>
      </c>
      <c r="N3243" t="s">
        <v>135</v>
      </c>
      <c r="O3243"/>
      <c r="P3243"/>
      <c r="Q3243" t="s">
        <v>168</v>
      </c>
      <c r="R3243"/>
      <c r="S3243"/>
      <c r="T3243"/>
      <c r="U3243" t="s">
        <v>137</v>
      </c>
      <c r="V3243" t="s">
        <v>1259</v>
      </c>
      <c r="W3243"/>
      <c r="X3243" t="s">
        <v>126</v>
      </c>
      <c r="Y3243"/>
      <c r="Z3243"/>
      <c r="AA3243" t="s">
        <v>292</v>
      </c>
      <c r="AB3243" t="s">
        <v>1</v>
      </c>
      <c r="AC3243" t="s">
        <v>138</v>
      </c>
      <c r="AD3243" t="s">
        <v>131</v>
      </c>
      <c r="AE3243" s="97"/>
    </row>
    <row r="3244" spans="1:31" ht="14.4" customHeight="1" x14ac:dyDescent="0.3">
      <c r="A3244" t="s">
        <v>5834</v>
      </c>
      <c r="B3244" t="s">
        <v>1569</v>
      </c>
      <c r="C3244"/>
      <c r="D3244"/>
      <c r="E3244"/>
      <c r="F3244"/>
      <c r="G3244" t="s">
        <v>5356</v>
      </c>
      <c r="H3244" t="s">
        <v>132</v>
      </c>
      <c r="I3244" t="s">
        <v>1</v>
      </c>
      <c r="J3244" t="s">
        <v>5298</v>
      </c>
      <c r="K3244" t="s">
        <v>51</v>
      </c>
      <c r="L3244" t="s">
        <v>1570</v>
      </c>
      <c r="M3244" t="s">
        <v>134</v>
      </c>
      <c r="N3244" t="s">
        <v>135</v>
      </c>
      <c r="O3244"/>
      <c r="P3244"/>
      <c r="Q3244" t="s">
        <v>168</v>
      </c>
      <c r="R3244"/>
      <c r="S3244"/>
      <c r="T3244"/>
      <c r="U3244" t="s">
        <v>137</v>
      </c>
      <c r="V3244" t="s">
        <v>1263</v>
      </c>
      <c r="W3244" s="9">
        <v>46204.514595057874</v>
      </c>
      <c r="X3244" t="s">
        <v>69</v>
      </c>
      <c r="Y3244"/>
      <c r="Z3244"/>
      <c r="AA3244" t="s">
        <v>292</v>
      </c>
      <c r="AB3244" t="s">
        <v>1</v>
      </c>
      <c r="AC3244" t="s">
        <v>24</v>
      </c>
      <c r="AD3244" t="s">
        <v>128</v>
      </c>
      <c r="AE3244" s="97"/>
    </row>
    <row r="3245" spans="1:31" ht="14.4" customHeight="1" x14ac:dyDescent="0.3">
      <c r="A3245" t="s">
        <v>5835</v>
      </c>
      <c r="B3245" t="s">
        <v>1572</v>
      </c>
      <c r="C3245"/>
      <c r="D3245"/>
      <c r="E3245"/>
      <c r="F3245"/>
      <c r="G3245" t="s">
        <v>5356</v>
      </c>
      <c r="H3245" t="s">
        <v>132</v>
      </c>
      <c r="I3245" t="s">
        <v>1</v>
      </c>
      <c r="J3245" t="s">
        <v>5298</v>
      </c>
      <c r="K3245" t="s">
        <v>51</v>
      </c>
      <c r="L3245" t="s">
        <v>1570</v>
      </c>
      <c r="M3245" t="s">
        <v>134</v>
      </c>
      <c r="N3245" t="s">
        <v>135</v>
      </c>
      <c r="O3245"/>
      <c r="P3245"/>
      <c r="Q3245" t="s">
        <v>168</v>
      </c>
      <c r="R3245"/>
      <c r="S3245"/>
      <c r="T3245"/>
      <c r="U3245" t="s">
        <v>137</v>
      </c>
      <c r="V3245" t="s">
        <v>1263</v>
      </c>
      <c r="W3245" s="9">
        <v>46204.512872534724</v>
      </c>
      <c r="X3245" t="s">
        <v>69</v>
      </c>
      <c r="Y3245"/>
      <c r="Z3245"/>
      <c r="AA3245" t="s">
        <v>292</v>
      </c>
      <c r="AB3245" t="s">
        <v>1</v>
      </c>
      <c r="AC3245" t="s">
        <v>24</v>
      </c>
      <c r="AD3245" t="s">
        <v>128</v>
      </c>
      <c r="AE3245" s="97"/>
    </row>
    <row r="3246" spans="1:31" ht="14.4" customHeight="1" x14ac:dyDescent="0.3">
      <c r="A3246" t="s">
        <v>5836</v>
      </c>
      <c r="B3246" t="s">
        <v>1574</v>
      </c>
      <c r="C3246"/>
      <c r="D3246"/>
      <c r="E3246"/>
      <c r="F3246"/>
      <c r="G3246" t="s">
        <v>5356</v>
      </c>
      <c r="H3246" t="s">
        <v>132</v>
      </c>
      <c r="I3246" t="s">
        <v>1</v>
      </c>
      <c r="J3246" t="s">
        <v>5298</v>
      </c>
      <c r="K3246" t="s">
        <v>51</v>
      </c>
      <c r="L3246" t="s">
        <v>1570</v>
      </c>
      <c r="M3246" t="s">
        <v>134</v>
      </c>
      <c r="N3246" t="s">
        <v>135</v>
      </c>
      <c r="O3246"/>
      <c r="P3246"/>
      <c r="Q3246" t="s">
        <v>168</v>
      </c>
      <c r="R3246"/>
      <c r="S3246"/>
      <c r="T3246"/>
      <c r="U3246" t="s">
        <v>137</v>
      </c>
      <c r="V3246" t="s">
        <v>1263</v>
      </c>
      <c r="W3246" s="9">
        <v>46204.591116284719</v>
      </c>
      <c r="X3246" t="s">
        <v>69</v>
      </c>
      <c r="Y3246"/>
      <c r="Z3246"/>
      <c r="AA3246" t="s">
        <v>292</v>
      </c>
      <c r="AB3246" t="s">
        <v>1</v>
      </c>
      <c r="AC3246" t="s">
        <v>24</v>
      </c>
      <c r="AD3246" t="s">
        <v>128</v>
      </c>
      <c r="AE3246" s="97"/>
    </row>
    <row r="3247" spans="1:31" ht="14.4" customHeight="1" x14ac:dyDescent="0.3">
      <c r="A3247" t="s">
        <v>5837</v>
      </c>
      <c r="B3247" t="s">
        <v>1576</v>
      </c>
      <c r="C3247"/>
      <c r="D3247"/>
      <c r="E3247"/>
      <c r="F3247"/>
      <c r="G3247" t="s">
        <v>5356</v>
      </c>
      <c r="H3247" t="s">
        <v>132</v>
      </c>
      <c r="I3247" t="s">
        <v>1</v>
      </c>
      <c r="J3247" t="s">
        <v>5298</v>
      </c>
      <c r="K3247" t="s">
        <v>51</v>
      </c>
      <c r="L3247" t="s">
        <v>1577</v>
      </c>
      <c r="M3247" t="s">
        <v>134</v>
      </c>
      <c r="N3247" t="s">
        <v>135</v>
      </c>
      <c r="O3247"/>
      <c r="P3247"/>
      <c r="Q3247" t="s">
        <v>168</v>
      </c>
      <c r="R3247"/>
      <c r="S3247"/>
      <c r="T3247"/>
      <c r="U3247" t="s">
        <v>137</v>
      </c>
      <c r="V3247" t="s">
        <v>1263</v>
      </c>
      <c r="W3247" s="9">
        <v>46204.511735729167</v>
      </c>
      <c r="X3247" t="s">
        <v>69</v>
      </c>
      <c r="Y3247"/>
      <c r="Z3247"/>
      <c r="AA3247" t="s">
        <v>292</v>
      </c>
      <c r="AB3247" t="s">
        <v>1</v>
      </c>
      <c r="AC3247" t="s">
        <v>24</v>
      </c>
      <c r="AD3247" t="s">
        <v>128</v>
      </c>
      <c r="AE3247" s="97"/>
    </row>
    <row r="3248" spans="1:31" ht="14.4" customHeight="1" x14ac:dyDescent="0.3">
      <c r="A3248" t="s">
        <v>5839</v>
      </c>
      <c r="B3248" t="s">
        <v>1581</v>
      </c>
      <c r="C3248"/>
      <c r="D3248"/>
      <c r="E3248"/>
      <c r="F3248"/>
      <c r="G3248" t="s">
        <v>5838</v>
      </c>
      <c r="H3248" t="s">
        <v>132</v>
      </c>
      <c r="I3248" t="s">
        <v>1</v>
      </c>
      <c r="J3248" t="s">
        <v>5298</v>
      </c>
      <c r="K3248" t="s">
        <v>51</v>
      </c>
      <c r="L3248" t="s">
        <v>832</v>
      </c>
      <c r="M3248" t="s">
        <v>134</v>
      </c>
      <c r="N3248" t="s">
        <v>135</v>
      </c>
      <c r="O3248"/>
      <c r="P3248"/>
      <c r="Q3248" t="s">
        <v>168</v>
      </c>
      <c r="R3248"/>
      <c r="S3248" t="s">
        <v>168</v>
      </c>
      <c r="T3248" t="s">
        <v>169</v>
      </c>
      <c r="U3248" t="s">
        <v>137</v>
      </c>
      <c r="V3248" t="s">
        <v>147</v>
      </c>
      <c r="W3248" s="9">
        <v>46192.358609456016</v>
      </c>
      <c r="X3248" t="s">
        <v>70</v>
      </c>
      <c r="Y3248"/>
      <c r="Z3248"/>
      <c r="AA3248" t="s">
        <v>1579</v>
      </c>
      <c r="AB3248" t="s">
        <v>1</v>
      </c>
      <c r="AC3248" t="s">
        <v>24</v>
      </c>
      <c r="AD3248" t="s">
        <v>128</v>
      </c>
      <c r="AE3248" s="97"/>
    </row>
    <row r="3249" spans="1:31" ht="14.4" customHeight="1" x14ac:dyDescent="0.3">
      <c r="A3249" t="s">
        <v>5840</v>
      </c>
      <c r="B3249" t="s">
        <v>1583</v>
      </c>
      <c r="C3249"/>
      <c r="D3249"/>
      <c r="E3249"/>
      <c r="F3249"/>
      <c r="G3249" t="s">
        <v>5838</v>
      </c>
      <c r="H3249" t="s">
        <v>132</v>
      </c>
      <c r="I3249" t="s">
        <v>1</v>
      </c>
      <c r="J3249" t="s">
        <v>5298</v>
      </c>
      <c r="K3249" t="s">
        <v>51</v>
      </c>
      <c r="L3249" t="s">
        <v>832</v>
      </c>
      <c r="M3249" t="s">
        <v>134</v>
      </c>
      <c r="N3249" t="s">
        <v>135</v>
      </c>
      <c r="O3249"/>
      <c r="P3249"/>
      <c r="Q3249" t="s">
        <v>168</v>
      </c>
      <c r="R3249"/>
      <c r="S3249"/>
      <c r="T3249" t="s">
        <v>169</v>
      </c>
      <c r="U3249" t="s">
        <v>137</v>
      </c>
      <c r="V3249" t="s">
        <v>147</v>
      </c>
      <c r="W3249" s="9">
        <v>46192.35867947917</v>
      </c>
      <c r="X3249" t="s">
        <v>70</v>
      </c>
      <c r="Y3249"/>
      <c r="Z3249"/>
      <c r="AA3249" t="s">
        <v>1579</v>
      </c>
      <c r="AB3249" t="s">
        <v>1</v>
      </c>
      <c r="AC3249" t="s">
        <v>24</v>
      </c>
      <c r="AD3249" t="s">
        <v>128</v>
      </c>
      <c r="AE3249" s="97"/>
    </row>
    <row r="3250" spans="1:31" ht="14.4" customHeight="1" x14ac:dyDescent="0.3">
      <c r="A3250" t="s">
        <v>5841</v>
      </c>
      <c r="B3250" t="s">
        <v>1585</v>
      </c>
      <c r="C3250"/>
      <c r="D3250"/>
      <c r="E3250"/>
      <c r="F3250"/>
      <c r="G3250" t="s">
        <v>5838</v>
      </c>
      <c r="H3250" t="s">
        <v>132</v>
      </c>
      <c r="I3250" t="s">
        <v>1</v>
      </c>
      <c r="J3250" t="s">
        <v>5298</v>
      </c>
      <c r="K3250" t="s">
        <v>51</v>
      </c>
      <c r="L3250" t="s">
        <v>832</v>
      </c>
      <c r="M3250" t="s">
        <v>134</v>
      </c>
      <c r="N3250" t="s">
        <v>135</v>
      </c>
      <c r="O3250"/>
      <c r="P3250"/>
      <c r="Q3250" t="s">
        <v>168</v>
      </c>
      <c r="R3250"/>
      <c r="S3250"/>
      <c r="T3250" t="s">
        <v>169</v>
      </c>
      <c r="U3250" t="s">
        <v>137</v>
      </c>
      <c r="V3250" t="s">
        <v>147</v>
      </c>
      <c r="W3250" s="9">
        <v>46192.358733796296</v>
      </c>
      <c r="X3250" t="s">
        <v>70</v>
      </c>
      <c r="Y3250"/>
      <c r="Z3250"/>
      <c r="AA3250" t="s">
        <v>1579</v>
      </c>
      <c r="AB3250" t="s">
        <v>1</v>
      </c>
      <c r="AC3250" t="s">
        <v>24</v>
      </c>
      <c r="AD3250" t="s">
        <v>128</v>
      </c>
      <c r="AE3250" s="97"/>
    </row>
    <row r="3251" spans="1:31" ht="14.4" customHeight="1" x14ac:dyDescent="0.3">
      <c r="A3251" t="s">
        <v>5842</v>
      </c>
      <c r="B3251" t="s">
        <v>1587</v>
      </c>
      <c r="C3251"/>
      <c r="D3251"/>
      <c r="E3251"/>
      <c r="F3251"/>
      <c r="G3251" t="s">
        <v>5838</v>
      </c>
      <c r="H3251" t="s">
        <v>132</v>
      </c>
      <c r="I3251" t="s">
        <v>1</v>
      </c>
      <c r="J3251" t="s">
        <v>5298</v>
      </c>
      <c r="K3251" t="s">
        <v>51</v>
      </c>
      <c r="L3251" t="s">
        <v>841</v>
      </c>
      <c r="M3251" t="s">
        <v>134</v>
      </c>
      <c r="N3251" t="s">
        <v>135</v>
      </c>
      <c r="O3251"/>
      <c r="P3251"/>
      <c r="Q3251" t="s">
        <v>168</v>
      </c>
      <c r="R3251"/>
      <c r="S3251"/>
      <c r="T3251" t="s">
        <v>169</v>
      </c>
      <c r="U3251" t="s">
        <v>137</v>
      </c>
      <c r="V3251" t="s">
        <v>150</v>
      </c>
      <c r="W3251" s="9">
        <v>46192.358808414348</v>
      </c>
      <c r="X3251" t="s">
        <v>76</v>
      </c>
      <c r="Y3251"/>
      <c r="Z3251"/>
      <c r="AA3251" t="s">
        <v>1579</v>
      </c>
      <c r="AB3251" t="s">
        <v>1</v>
      </c>
      <c r="AC3251" t="s">
        <v>24</v>
      </c>
      <c r="AD3251" t="s">
        <v>128</v>
      </c>
      <c r="AE3251" s="97"/>
    </row>
    <row r="3252" spans="1:31" ht="14.4" customHeight="1" x14ac:dyDescent="0.3">
      <c r="A3252" t="s">
        <v>5843</v>
      </c>
      <c r="B3252" t="s">
        <v>1589</v>
      </c>
      <c r="C3252"/>
      <c r="D3252"/>
      <c r="E3252"/>
      <c r="F3252"/>
      <c r="G3252" t="s">
        <v>5838</v>
      </c>
      <c r="H3252" t="s">
        <v>132</v>
      </c>
      <c r="I3252" t="s">
        <v>1</v>
      </c>
      <c r="J3252" t="s">
        <v>5298</v>
      </c>
      <c r="K3252" t="s">
        <v>51</v>
      </c>
      <c r="L3252" t="s">
        <v>841</v>
      </c>
      <c r="M3252" t="s">
        <v>134</v>
      </c>
      <c r="N3252" t="s">
        <v>135</v>
      </c>
      <c r="O3252"/>
      <c r="P3252"/>
      <c r="Q3252" t="s">
        <v>168</v>
      </c>
      <c r="R3252"/>
      <c r="S3252"/>
      <c r="T3252" t="s">
        <v>169</v>
      </c>
      <c r="U3252" t="s">
        <v>137</v>
      </c>
      <c r="V3252" t="s">
        <v>150</v>
      </c>
      <c r="W3252" s="9">
        <v>46192.358541516202</v>
      </c>
      <c r="X3252" t="s">
        <v>76</v>
      </c>
      <c r="Y3252"/>
      <c r="Z3252"/>
      <c r="AA3252" t="s">
        <v>1579</v>
      </c>
      <c r="AB3252" t="s">
        <v>1</v>
      </c>
      <c r="AC3252" t="s">
        <v>24</v>
      </c>
      <c r="AD3252" t="s">
        <v>128</v>
      </c>
      <c r="AE3252" s="97"/>
    </row>
    <row r="3253" spans="1:31" ht="14.4" customHeight="1" x14ac:dyDescent="0.3">
      <c r="A3253" t="s">
        <v>5844</v>
      </c>
      <c r="B3253" t="s">
        <v>1591</v>
      </c>
      <c r="C3253"/>
      <c r="D3253"/>
      <c r="E3253"/>
      <c r="F3253"/>
      <c r="G3253" t="s">
        <v>5838</v>
      </c>
      <c r="H3253" t="s">
        <v>132</v>
      </c>
      <c r="I3253" t="s">
        <v>1</v>
      </c>
      <c r="J3253" t="s">
        <v>5298</v>
      </c>
      <c r="K3253" t="s">
        <v>51</v>
      </c>
      <c r="L3253" t="s">
        <v>841</v>
      </c>
      <c r="M3253" t="s">
        <v>134</v>
      </c>
      <c r="N3253" t="s">
        <v>135</v>
      </c>
      <c r="O3253"/>
      <c r="P3253"/>
      <c r="Q3253" t="s">
        <v>168</v>
      </c>
      <c r="R3253"/>
      <c r="S3253"/>
      <c r="T3253" t="s">
        <v>169</v>
      </c>
      <c r="U3253" t="s">
        <v>137</v>
      </c>
      <c r="V3253" t="s">
        <v>150</v>
      </c>
      <c r="W3253" s="9">
        <v>46192.360319988424</v>
      </c>
      <c r="X3253" t="s">
        <v>76</v>
      </c>
      <c r="Y3253"/>
      <c r="Z3253"/>
      <c r="AA3253" t="s">
        <v>1579</v>
      </c>
      <c r="AB3253" t="s">
        <v>1</v>
      </c>
      <c r="AC3253" t="s">
        <v>24</v>
      </c>
      <c r="AD3253" t="s">
        <v>128</v>
      </c>
      <c r="AE3253" s="97"/>
    </row>
    <row r="3254" spans="1:31" ht="14.4" customHeight="1" x14ac:dyDescent="0.3">
      <c r="A3254" t="s">
        <v>5845</v>
      </c>
      <c r="B3254" t="s">
        <v>1593</v>
      </c>
      <c r="C3254"/>
      <c r="D3254"/>
      <c r="E3254"/>
      <c r="F3254"/>
      <c r="G3254" t="s">
        <v>5838</v>
      </c>
      <c r="H3254" t="s">
        <v>132</v>
      </c>
      <c r="I3254" t="s">
        <v>1</v>
      </c>
      <c r="J3254" t="s">
        <v>5298</v>
      </c>
      <c r="K3254" t="s">
        <v>51</v>
      </c>
      <c r="L3254" t="s">
        <v>850</v>
      </c>
      <c r="M3254" t="s">
        <v>134</v>
      </c>
      <c r="N3254" t="s">
        <v>135</v>
      </c>
      <c r="O3254"/>
      <c r="P3254"/>
      <c r="Q3254" t="s">
        <v>168</v>
      </c>
      <c r="R3254"/>
      <c r="S3254"/>
      <c r="T3254" t="s">
        <v>169</v>
      </c>
      <c r="U3254" t="s">
        <v>137</v>
      </c>
      <c r="V3254" t="s">
        <v>153</v>
      </c>
      <c r="W3254" s="9">
        <v>46206.364761111108</v>
      </c>
      <c r="X3254" t="s">
        <v>88</v>
      </c>
      <c r="Y3254"/>
      <c r="Z3254"/>
      <c r="AA3254" t="s">
        <v>1579</v>
      </c>
      <c r="AB3254" t="s">
        <v>1</v>
      </c>
      <c r="AC3254" t="s">
        <v>24</v>
      </c>
      <c r="AD3254" t="s">
        <v>129</v>
      </c>
      <c r="AE3254" s="97"/>
    </row>
    <row r="3255" spans="1:31" ht="14.4" customHeight="1" x14ac:dyDescent="0.3">
      <c r="A3255" t="s">
        <v>5846</v>
      </c>
      <c r="B3255" t="s">
        <v>1595</v>
      </c>
      <c r="C3255"/>
      <c r="D3255"/>
      <c r="E3255"/>
      <c r="F3255"/>
      <c r="G3255" t="s">
        <v>5838</v>
      </c>
      <c r="H3255" t="s">
        <v>132</v>
      </c>
      <c r="I3255" t="s">
        <v>1</v>
      </c>
      <c r="J3255" t="s">
        <v>5298</v>
      </c>
      <c r="K3255" t="s">
        <v>51</v>
      </c>
      <c r="L3255" t="s">
        <v>850</v>
      </c>
      <c r="M3255" t="s">
        <v>134</v>
      </c>
      <c r="N3255" t="s">
        <v>135</v>
      </c>
      <c r="O3255"/>
      <c r="P3255"/>
      <c r="Q3255" t="s">
        <v>168</v>
      </c>
      <c r="R3255"/>
      <c r="S3255"/>
      <c r="T3255" t="s">
        <v>169</v>
      </c>
      <c r="U3255" t="s">
        <v>137</v>
      </c>
      <c r="V3255" t="s">
        <v>153</v>
      </c>
      <c r="W3255" s="9">
        <v>46206.368267824073</v>
      </c>
      <c r="X3255" t="s">
        <v>88</v>
      </c>
      <c r="Y3255"/>
      <c r="Z3255"/>
      <c r="AA3255" t="s">
        <v>1579</v>
      </c>
      <c r="AB3255" t="s">
        <v>1</v>
      </c>
      <c r="AC3255" t="s">
        <v>24</v>
      </c>
      <c r="AD3255" t="s">
        <v>129</v>
      </c>
      <c r="AE3255" s="97"/>
    </row>
    <row r="3256" spans="1:31" ht="14.4" customHeight="1" x14ac:dyDescent="0.3">
      <c r="A3256" t="s">
        <v>5847</v>
      </c>
      <c r="B3256" t="s">
        <v>1597</v>
      </c>
      <c r="C3256"/>
      <c r="D3256"/>
      <c r="E3256"/>
      <c r="F3256"/>
      <c r="G3256" t="s">
        <v>5838</v>
      </c>
      <c r="H3256" t="s">
        <v>132</v>
      </c>
      <c r="I3256" t="s">
        <v>1</v>
      </c>
      <c r="J3256" t="s">
        <v>5298</v>
      </c>
      <c r="K3256" t="s">
        <v>51</v>
      </c>
      <c r="L3256" t="s">
        <v>850</v>
      </c>
      <c r="M3256" t="s">
        <v>134</v>
      </c>
      <c r="N3256" t="s">
        <v>135</v>
      </c>
      <c r="O3256"/>
      <c r="P3256"/>
      <c r="Q3256" t="s">
        <v>168</v>
      </c>
      <c r="R3256"/>
      <c r="S3256"/>
      <c r="T3256" t="s">
        <v>169</v>
      </c>
      <c r="U3256" t="s">
        <v>137</v>
      </c>
      <c r="V3256" t="s">
        <v>153</v>
      </c>
      <c r="W3256" s="9">
        <v>46206.369791400466</v>
      </c>
      <c r="X3256" t="s">
        <v>88</v>
      </c>
      <c r="Y3256"/>
      <c r="Z3256"/>
      <c r="AA3256" t="s">
        <v>1579</v>
      </c>
      <c r="AB3256" t="s">
        <v>1</v>
      </c>
      <c r="AC3256" t="s">
        <v>24</v>
      </c>
      <c r="AD3256" t="s">
        <v>129</v>
      </c>
      <c r="AE3256" s="97"/>
    </row>
    <row r="3257" spans="1:31" ht="14.4" customHeight="1" x14ac:dyDescent="0.3">
      <c r="A3257" t="s">
        <v>5848</v>
      </c>
      <c r="B3257" t="s">
        <v>1599</v>
      </c>
      <c r="C3257"/>
      <c r="D3257"/>
      <c r="E3257"/>
      <c r="F3257"/>
      <c r="G3257" t="s">
        <v>5838</v>
      </c>
      <c r="H3257" t="s">
        <v>132</v>
      </c>
      <c r="I3257" t="s">
        <v>1</v>
      </c>
      <c r="J3257" t="s">
        <v>5298</v>
      </c>
      <c r="K3257" t="s">
        <v>51</v>
      </c>
      <c r="L3257" t="s">
        <v>859</v>
      </c>
      <c r="M3257" t="s">
        <v>134</v>
      </c>
      <c r="N3257" t="s">
        <v>135</v>
      </c>
      <c r="O3257"/>
      <c r="P3257"/>
      <c r="Q3257" t="s">
        <v>168</v>
      </c>
      <c r="R3257"/>
      <c r="S3257"/>
      <c r="T3257" t="s">
        <v>169</v>
      </c>
      <c r="U3257" t="s">
        <v>137</v>
      </c>
      <c r="V3257" t="s">
        <v>156</v>
      </c>
      <c r="W3257" s="9">
        <v>46206.372823148151</v>
      </c>
      <c r="X3257" t="s">
        <v>97</v>
      </c>
      <c r="Y3257"/>
      <c r="Z3257"/>
      <c r="AA3257" t="s">
        <v>1579</v>
      </c>
      <c r="AB3257" t="s">
        <v>1</v>
      </c>
      <c r="AC3257" t="s">
        <v>24</v>
      </c>
      <c r="AD3257" t="s">
        <v>129</v>
      </c>
      <c r="AE3257" s="97"/>
    </row>
    <row r="3258" spans="1:31" ht="14.4" customHeight="1" x14ac:dyDescent="0.3">
      <c r="A3258" t="s">
        <v>5849</v>
      </c>
      <c r="B3258" t="s">
        <v>1601</v>
      </c>
      <c r="C3258"/>
      <c r="D3258"/>
      <c r="E3258"/>
      <c r="F3258"/>
      <c r="G3258" t="s">
        <v>5838</v>
      </c>
      <c r="H3258" t="s">
        <v>132</v>
      </c>
      <c r="I3258" t="s">
        <v>1</v>
      </c>
      <c r="J3258" t="s">
        <v>5298</v>
      </c>
      <c r="K3258" t="s">
        <v>51</v>
      </c>
      <c r="L3258" t="s">
        <v>859</v>
      </c>
      <c r="M3258" t="s">
        <v>134</v>
      </c>
      <c r="N3258" t="s">
        <v>135</v>
      </c>
      <c r="O3258"/>
      <c r="P3258"/>
      <c r="Q3258" t="s">
        <v>168</v>
      </c>
      <c r="R3258"/>
      <c r="S3258"/>
      <c r="T3258" t="s">
        <v>169</v>
      </c>
      <c r="U3258" t="s">
        <v>137</v>
      </c>
      <c r="V3258" t="s">
        <v>156</v>
      </c>
      <c r="W3258" s="9">
        <v>46206.37589383102</v>
      </c>
      <c r="X3258" t="s">
        <v>97</v>
      </c>
      <c r="Y3258"/>
      <c r="Z3258"/>
      <c r="AA3258" t="s">
        <v>1579</v>
      </c>
      <c r="AB3258" t="s">
        <v>1</v>
      </c>
      <c r="AC3258" t="s">
        <v>24</v>
      </c>
      <c r="AD3258" t="s">
        <v>129</v>
      </c>
      <c r="AE3258" s="97"/>
    </row>
    <row r="3259" spans="1:31" ht="14.4" customHeight="1" x14ac:dyDescent="0.3">
      <c r="A3259" t="s">
        <v>5850</v>
      </c>
      <c r="B3259" t="s">
        <v>1603</v>
      </c>
      <c r="C3259"/>
      <c r="D3259"/>
      <c r="E3259"/>
      <c r="F3259"/>
      <c r="G3259" t="s">
        <v>5838</v>
      </c>
      <c r="H3259" t="s">
        <v>132</v>
      </c>
      <c r="I3259" t="s">
        <v>1</v>
      </c>
      <c r="J3259" t="s">
        <v>5298</v>
      </c>
      <c r="K3259" t="s">
        <v>51</v>
      </c>
      <c r="L3259" t="s">
        <v>859</v>
      </c>
      <c r="M3259" t="s">
        <v>134</v>
      </c>
      <c r="N3259" t="s">
        <v>135</v>
      </c>
      <c r="O3259"/>
      <c r="P3259"/>
      <c r="Q3259" t="s">
        <v>168</v>
      </c>
      <c r="R3259"/>
      <c r="S3259"/>
      <c r="T3259" t="s">
        <v>169</v>
      </c>
      <c r="U3259" t="s">
        <v>137</v>
      </c>
      <c r="V3259" t="s">
        <v>156</v>
      </c>
      <c r="W3259"/>
      <c r="X3259" t="s">
        <v>97</v>
      </c>
      <c r="Y3259"/>
      <c r="Z3259"/>
      <c r="AA3259" t="s">
        <v>1579</v>
      </c>
      <c r="AB3259" t="s">
        <v>1</v>
      </c>
      <c r="AC3259" t="s">
        <v>138</v>
      </c>
      <c r="AD3259" t="s">
        <v>129</v>
      </c>
      <c r="AE3259" s="97"/>
    </row>
    <row r="3260" spans="1:31" ht="14.4" customHeight="1" x14ac:dyDescent="0.3">
      <c r="A3260" t="s">
        <v>5851</v>
      </c>
      <c r="B3260" t="s">
        <v>1605</v>
      </c>
      <c r="C3260"/>
      <c r="D3260"/>
      <c r="E3260"/>
      <c r="F3260"/>
      <c r="G3260" t="s">
        <v>5838</v>
      </c>
      <c r="H3260" t="s">
        <v>132</v>
      </c>
      <c r="I3260" t="s">
        <v>1</v>
      </c>
      <c r="J3260" t="s">
        <v>5298</v>
      </c>
      <c r="K3260" t="s">
        <v>51</v>
      </c>
      <c r="L3260" t="s">
        <v>868</v>
      </c>
      <c r="M3260" t="s">
        <v>134</v>
      </c>
      <c r="N3260" t="s">
        <v>135</v>
      </c>
      <c r="O3260"/>
      <c r="P3260"/>
      <c r="Q3260" t="s">
        <v>168</v>
      </c>
      <c r="R3260"/>
      <c r="S3260"/>
      <c r="T3260" t="s">
        <v>169</v>
      </c>
      <c r="U3260" t="s">
        <v>137</v>
      </c>
      <c r="V3260" t="s">
        <v>159</v>
      </c>
      <c r="W3260"/>
      <c r="X3260" t="s">
        <v>106</v>
      </c>
      <c r="Y3260"/>
      <c r="Z3260"/>
      <c r="AA3260" t="s">
        <v>1579</v>
      </c>
      <c r="AB3260" t="s">
        <v>1</v>
      </c>
      <c r="AC3260" t="s">
        <v>138</v>
      </c>
      <c r="AD3260" t="s">
        <v>129</v>
      </c>
      <c r="AE3260" s="97"/>
    </row>
    <row r="3261" spans="1:31" ht="14.4" customHeight="1" x14ac:dyDescent="0.3">
      <c r="A3261" t="s">
        <v>5852</v>
      </c>
      <c r="B3261" t="s">
        <v>1607</v>
      </c>
      <c r="C3261"/>
      <c r="D3261"/>
      <c r="E3261"/>
      <c r="F3261"/>
      <c r="G3261" t="s">
        <v>5838</v>
      </c>
      <c r="H3261" t="s">
        <v>132</v>
      </c>
      <c r="I3261" t="s">
        <v>1</v>
      </c>
      <c r="J3261" t="s">
        <v>5298</v>
      </c>
      <c r="K3261" t="s">
        <v>51</v>
      </c>
      <c r="L3261" t="s">
        <v>868</v>
      </c>
      <c r="M3261" t="s">
        <v>134</v>
      </c>
      <c r="N3261" t="s">
        <v>135</v>
      </c>
      <c r="O3261"/>
      <c r="P3261"/>
      <c r="Q3261" t="s">
        <v>168</v>
      </c>
      <c r="R3261"/>
      <c r="S3261"/>
      <c r="T3261" t="s">
        <v>169</v>
      </c>
      <c r="U3261" t="s">
        <v>137</v>
      </c>
      <c r="V3261" t="s">
        <v>159</v>
      </c>
      <c r="W3261"/>
      <c r="X3261" t="s">
        <v>106</v>
      </c>
      <c r="Y3261"/>
      <c r="Z3261"/>
      <c r="AA3261" t="s">
        <v>1579</v>
      </c>
      <c r="AB3261" t="s">
        <v>1</v>
      </c>
      <c r="AC3261" t="s">
        <v>138</v>
      </c>
      <c r="AD3261" t="s">
        <v>129</v>
      </c>
      <c r="AE3261" s="97"/>
    </row>
    <row r="3262" spans="1:31" ht="14.4" customHeight="1" x14ac:dyDescent="0.3">
      <c r="A3262" t="s">
        <v>5853</v>
      </c>
      <c r="B3262" t="s">
        <v>1609</v>
      </c>
      <c r="C3262"/>
      <c r="D3262"/>
      <c r="E3262"/>
      <c r="F3262"/>
      <c r="G3262" t="s">
        <v>5838</v>
      </c>
      <c r="H3262" t="s">
        <v>132</v>
      </c>
      <c r="I3262" t="s">
        <v>1</v>
      </c>
      <c r="J3262" t="s">
        <v>5298</v>
      </c>
      <c r="K3262" t="s">
        <v>51</v>
      </c>
      <c r="L3262" t="s">
        <v>868</v>
      </c>
      <c r="M3262" t="s">
        <v>134</v>
      </c>
      <c r="N3262" t="s">
        <v>135</v>
      </c>
      <c r="O3262"/>
      <c r="P3262"/>
      <c r="Q3262" t="s">
        <v>168</v>
      </c>
      <c r="R3262"/>
      <c r="S3262"/>
      <c r="T3262" t="s">
        <v>169</v>
      </c>
      <c r="U3262" t="s">
        <v>137</v>
      </c>
      <c r="V3262" t="s">
        <v>159</v>
      </c>
      <c r="W3262"/>
      <c r="X3262" t="s">
        <v>106</v>
      </c>
      <c r="Y3262"/>
      <c r="Z3262"/>
      <c r="AA3262" t="s">
        <v>1579</v>
      </c>
      <c r="AB3262" t="s">
        <v>1</v>
      </c>
      <c r="AC3262" t="s">
        <v>138</v>
      </c>
      <c r="AD3262" t="s">
        <v>129</v>
      </c>
      <c r="AE3262" s="97"/>
    </row>
    <row r="3263" spans="1:31" ht="14.4" customHeight="1" x14ac:dyDescent="0.3">
      <c r="A3263" t="s">
        <v>5854</v>
      </c>
      <c r="B3263" t="s">
        <v>1611</v>
      </c>
      <c r="C3263"/>
      <c r="D3263"/>
      <c r="E3263"/>
      <c r="F3263"/>
      <c r="G3263" t="s">
        <v>5838</v>
      </c>
      <c r="H3263" t="s">
        <v>132</v>
      </c>
      <c r="I3263" t="s">
        <v>1</v>
      </c>
      <c r="J3263" t="s">
        <v>5298</v>
      </c>
      <c r="K3263" t="s">
        <v>51</v>
      </c>
      <c r="L3263" t="s">
        <v>877</v>
      </c>
      <c r="M3263" t="s">
        <v>134</v>
      </c>
      <c r="N3263" t="s">
        <v>135</v>
      </c>
      <c r="O3263"/>
      <c r="P3263"/>
      <c r="Q3263" t="s">
        <v>168</v>
      </c>
      <c r="R3263"/>
      <c r="S3263"/>
      <c r="T3263" t="s">
        <v>169</v>
      </c>
      <c r="U3263" t="s">
        <v>137</v>
      </c>
      <c r="V3263" t="s">
        <v>162</v>
      </c>
      <c r="W3263"/>
      <c r="X3263" t="s">
        <v>113</v>
      </c>
      <c r="Y3263"/>
      <c r="Z3263"/>
      <c r="AA3263" t="s">
        <v>1579</v>
      </c>
      <c r="AB3263" t="s">
        <v>1</v>
      </c>
      <c r="AC3263" t="s">
        <v>138</v>
      </c>
      <c r="AD3263" t="s">
        <v>129</v>
      </c>
      <c r="AE3263" s="97"/>
    </row>
    <row r="3264" spans="1:31" ht="14.4" customHeight="1" x14ac:dyDescent="0.3">
      <c r="A3264" t="s">
        <v>5855</v>
      </c>
      <c r="B3264" t="s">
        <v>1613</v>
      </c>
      <c r="C3264"/>
      <c r="D3264"/>
      <c r="E3264"/>
      <c r="F3264"/>
      <c r="G3264" t="s">
        <v>5838</v>
      </c>
      <c r="H3264" t="s">
        <v>132</v>
      </c>
      <c r="I3264" t="s">
        <v>1</v>
      </c>
      <c r="J3264" t="s">
        <v>5298</v>
      </c>
      <c r="K3264" t="s">
        <v>51</v>
      </c>
      <c r="L3264" t="s">
        <v>877</v>
      </c>
      <c r="M3264" t="s">
        <v>134</v>
      </c>
      <c r="N3264" t="s">
        <v>135</v>
      </c>
      <c r="O3264"/>
      <c r="P3264"/>
      <c r="Q3264" t="s">
        <v>168</v>
      </c>
      <c r="R3264"/>
      <c r="S3264"/>
      <c r="T3264" t="s">
        <v>169</v>
      </c>
      <c r="U3264" t="s">
        <v>137</v>
      </c>
      <c r="V3264" t="s">
        <v>162</v>
      </c>
      <c r="W3264"/>
      <c r="X3264" t="s">
        <v>113</v>
      </c>
      <c r="Y3264"/>
      <c r="Z3264"/>
      <c r="AA3264" t="s">
        <v>1579</v>
      </c>
      <c r="AB3264" t="s">
        <v>1</v>
      </c>
      <c r="AC3264" t="s">
        <v>138</v>
      </c>
      <c r="AD3264" t="s">
        <v>129</v>
      </c>
      <c r="AE3264" s="97"/>
    </row>
    <row r="3265" spans="1:31" ht="14.4" customHeight="1" x14ac:dyDescent="0.3">
      <c r="A3265" t="s">
        <v>5856</v>
      </c>
      <c r="B3265" t="s">
        <v>1615</v>
      </c>
      <c r="C3265"/>
      <c r="D3265"/>
      <c r="E3265"/>
      <c r="F3265"/>
      <c r="G3265" t="s">
        <v>5838</v>
      </c>
      <c r="H3265" t="s">
        <v>132</v>
      </c>
      <c r="I3265" t="s">
        <v>1</v>
      </c>
      <c r="J3265" t="s">
        <v>5298</v>
      </c>
      <c r="K3265" t="s">
        <v>51</v>
      </c>
      <c r="L3265" t="s">
        <v>877</v>
      </c>
      <c r="M3265" t="s">
        <v>134</v>
      </c>
      <c r="N3265" t="s">
        <v>135</v>
      </c>
      <c r="O3265"/>
      <c r="P3265"/>
      <c r="Q3265" t="s">
        <v>168</v>
      </c>
      <c r="R3265"/>
      <c r="S3265"/>
      <c r="T3265" t="s">
        <v>169</v>
      </c>
      <c r="U3265" t="s">
        <v>137</v>
      </c>
      <c r="V3265" t="s">
        <v>162</v>
      </c>
      <c r="W3265"/>
      <c r="X3265" t="s">
        <v>113</v>
      </c>
      <c r="Y3265"/>
      <c r="Z3265"/>
      <c r="AA3265" t="s">
        <v>1579</v>
      </c>
      <c r="AB3265" t="s">
        <v>1</v>
      </c>
      <c r="AC3265" t="s">
        <v>138</v>
      </c>
      <c r="AD3265" t="s">
        <v>129</v>
      </c>
      <c r="AE3265" s="97"/>
    </row>
    <row r="3266" spans="1:31" ht="14.4" customHeight="1" x14ac:dyDescent="0.3">
      <c r="A3266" t="s">
        <v>5857</v>
      </c>
      <c r="B3266" t="s">
        <v>1617</v>
      </c>
      <c r="C3266"/>
      <c r="D3266"/>
      <c r="E3266"/>
      <c r="F3266"/>
      <c r="G3266" t="s">
        <v>5838</v>
      </c>
      <c r="H3266" t="s">
        <v>132</v>
      </c>
      <c r="I3266" t="s">
        <v>1</v>
      </c>
      <c r="J3266" t="s">
        <v>5298</v>
      </c>
      <c r="K3266" t="s">
        <v>51</v>
      </c>
      <c r="L3266" t="s">
        <v>886</v>
      </c>
      <c r="M3266" t="s">
        <v>134</v>
      </c>
      <c r="N3266" t="s">
        <v>135</v>
      </c>
      <c r="O3266"/>
      <c r="P3266"/>
      <c r="Q3266" t="s">
        <v>168</v>
      </c>
      <c r="R3266"/>
      <c r="S3266"/>
      <c r="T3266" t="s">
        <v>169</v>
      </c>
      <c r="U3266" t="s">
        <v>137</v>
      </c>
      <c r="V3266" t="s">
        <v>165</v>
      </c>
      <c r="W3266"/>
      <c r="X3266" t="s">
        <v>122</v>
      </c>
      <c r="Y3266"/>
      <c r="Z3266"/>
      <c r="AA3266" t="s">
        <v>1579</v>
      </c>
      <c r="AB3266" t="s">
        <v>1</v>
      </c>
      <c r="AC3266" t="s">
        <v>138</v>
      </c>
      <c r="AD3266" t="s">
        <v>130</v>
      </c>
      <c r="AE3266" s="97"/>
    </row>
    <row r="3267" spans="1:31" ht="14.4" customHeight="1" x14ac:dyDescent="0.3">
      <c r="A3267" t="s">
        <v>5858</v>
      </c>
      <c r="B3267" t="s">
        <v>1619</v>
      </c>
      <c r="C3267"/>
      <c r="D3267"/>
      <c r="E3267"/>
      <c r="F3267"/>
      <c r="G3267" t="s">
        <v>5838</v>
      </c>
      <c r="H3267" t="s">
        <v>132</v>
      </c>
      <c r="I3267" t="s">
        <v>1</v>
      </c>
      <c r="J3267" t="s">
        <v>5298</v>
      </c>
      <c r="K3267" t="s">
        <v>51</v>
      </c>
      <c r="L3267" t="s">
        <v>886</v>
      </c>
      <c r="M3267" t="s">
        <v>134</v>
      </c>
      <c r="N3267" t="s">
        <v>135</v>
      </c>
      <c r="O3267"/>
      <c r="P3267"/>
      <c r="Q3267" t="s">
        <v>168</v>
      </c>
      <c r="R3267"/>
      <c r="S3267"/>
      <c r="T3267" t="s">
        <v>169</v>
      </c>
      <c r="U3267" t="s">
        <v>137</v>
      </c>
      <c r="V3267" t="s">
        <v>165</v>
      </c>
      <c r="W3267"/>
      <c r="X3267" t="s">
        <v>122</v>
      </c>
      <c r="Y3267"/>
      <c r="Z3267"/>
      <c r="AA3267" t="s">
        <v>1579</v>
      </c>
      <c r="AB3267" t="s">
        <v>1</v>
      </c>
      <c r="AC3267" t="s">
        <v>138</v>
      </c>
      <c r="AD3267" t="s">
        <v>130</v>
      </c>
      <c r="AE3267" s="97"/>
    </row>
    <row r="3268" spans="1:31" ht="14.4" customHeight="1" x14ac:dyDescent="0.3">
      <c r="A3268" t="s">
        <v>5859</v>
      </c>
      <c r="B3268" t="s">
        <v>1621</v>
      </c>
      <c r="C3268"/>
      <c r="D3268"/>
      <c r="E3268"/>
      <c r="F3268"/>
      <c r="G3268" t="s">
        <v>5838</v>
      </c>
      <c r="H3268" t="s">
        <v>132</v>
      </c>
      <c r="I3268" t="s">
        <v>1</v>
      </c>
      <c r="J3268" t="s">
        <v>5298</v>
      </c>
      <c r="K3268" t="s">
        <v>51</v>
      </c>
      <c r="L3268" t="s">
        <v>886</v>
      </c>
      <c r="M3268" t="s">
        <v>134</v>
      </c>
      <c r="N3268" t="s">
        <v>135</v>
      </c>
      <c r="O3268"/>
      <c r="P3268"/>
      <c r="Q3268" t="s">
        <v>168</v>
      </c>
      <c r="R3268"/>
      <c r="S3268"/>
      <c r="T3268" t="s">
        <v>169</v>
      </c>
      <c r="U3268" t="s">
        <v>137</v>
      </c>
      <c r="V3268" t="s">
        <v>165</v>
      </c>
      <c r="W3268"/>
      <c r="X3268" t="s">
        <v>122</v>
      </c>
      <c r="Y3268"/>
      <c r="Z3268"/>
      <c r="AA3268" t="s">
        <v>1579</v>
      </c>
      <c r="AB3268" t="s">
        <v>1</v>
      </c>
      <c r="AC3268" t="s">
        <v>138</v>
      </c>
      <c r="AD3268" t="s">
        <v>130</v>
      </c>
      <c r="AE3268" s="97"/>
    </row>
    <row r="3269" spans="1:31" ht="14.4" customHeight="1" x14ac:dyDescent="0.3">
      <c r="A3269" t="s">
        <v>5860</v>
      </c>
      <c r="B3269" t="s">
        <v>1623</v>
      </c>
      <c r="C3269"/>
      <c r="D3269"/>
      <c r="E3269"/>
      <c r="F3269"/>
      <c r="G3269" t="s">
        <v>5838</v>
      </c>
      <c r="H3269" t="s">
        <v>132</v>
      </c>
      <c r="I3269" t="s">
        <v>1</v>
      </c>
      <c r="J3269" t="s">
        <v>5298</v>
      </c>
      <c r="K3269" t="s">
        <v>51</v>
      </c>
      <c r="L3269" t="s">
        <v>1624</v>
      </c>
      <c r="M3269" t="s">
        <v>134</v>
      </c>
      <c r="N3269" t="s">
        <v>135</v>
      </c>
      <c r="O3269"/>
      <c r="P3269"/>
      <c r="Q3269" t="s">
        <v>168</v>
      </c>
      <c r="R3269"/>
      <c r="S3269"/>
      <c r="T3269" t="s">
        <v>169</v>
      </c>
      <c r="U3269" t="s">
        <v>137</v>
      </c>
      <c r="V3269" t="s">
        <v>147</v>
      </c>
      <c r="W3269" s="9">
        <v>46192.204348182873</v>
      </c>
      <c r="X3269" t="s">
        <v>70</v>
      </c>
      <c r="Y3269"/>
      <c r="Z3269"/>
      <c r="AA3269" t="s">
        <v>1579</v>
      </c>
      <c r="AB3269" t="s">
        <v>1</v>
      </c>
      <c r="AC3269" t="s">
        <v>24</v>
      </c>
      <c r="AD3269" t="s">
        <v>128</v>
      </c>
      <c r="AE3269" s="97"/>
    </row>
    <row r="3270" spans="1:31" ht="14.4" customHeight="1" x14ac:dyDescent="0.3">
      <c r="A3270" t="s">
        <v>5861</v>
      </c>
      <c r="B3270" t="s">
        <v>1626</v>
      </c>
      <c r="C3270"/>
      <c r="D3270"/>
      <c r="E3270"/>
      <c r="F3270"/>
      <c r="G3270" t="s">
        <v>5838</v>
      </c>
      <c r="H3270" t="s">
        <v>132</v>
      </c>
      <c r="I3270" t="s">
        <v>1</v>
      </c>
      <c r="J3270" t="s">
        <v>5298</v>
      </c>
      <c r="K3270" t="s">
        <v>51</v>
      </c>
      <c r="L3270" t="s">
        <v>1624</v>
      </c>
      <c r="M3270" t="s">
        <v>134</v>
      </c>
      <c r="N3270" t="s">
        <v>135</v>
      </c>
      <c r="O3270"/>
      <c r="P3270"/>
      <c r="Q3270" t="s">
        <v>168</v>
      </c>
      <c r="R3270"/>
      <c r="S3270"/>
      <c r="T3270" t="s">
        <v>169</v>
      </c>
      <c r="U3270" t="s">
        <v>137</v>
      </c>
      <c r="V3270" t="s">
        <v>147</v>
      </c>
      <c r="W3270" s="9">
        <v>46192.359291666668</v>
      </c>
      <c r="X3270" t="s">
        <v>70</v>
      </c>
      <c r="Y3270"/>
      <c r="Z3270"/>
      <c r="AA3270" t="s">
        <v>1579</v>
      </c>
      <c r="AB3270" t="s">
        <v>1</v>
      </c>
      <c r="AC3270" t="s">
        <v>24</v>
      </c>
      <c r="AD3270" t="s">
        <v>128</v>
      </c>
      <c r="AE3270" s="97"/>
    </row>
    <row r="3271" spans="1:31" ht="14.4" customHeight="1" x14ac:dyDescent="0.3">
      <c r="A3271" t="s">
        <v>5862</v>
      </c>
      <c r="B3271" t="s">
        <v>1628</v>
      </c>
      <c r="C3271"/>
      <c r="D3271"/>
      <c r="E3271"/>
      <c r="F3271"/>
      <c r="G3271" t="s">
        <v>5838</v>
      </c>
      <c r="H3271" t="s">
        <v>132</v>
      </c>
      <c r="I3271" t="s">
        <v>1</v>
      </c>
      <c r="J3271" t="s">
        <v>5298</v>
      </c>
      <c r="K3271" t="s">
        <v>51</v>
      </c>
      <c r="L3271" t="s">
        <v>1629</v>
      </c>
      <c r="M3271" t="s">
        <v>134</v>
      </c>
      <c r="N3271" t="s">
        <v>135</v>
      </c>
      <c r="O3271"/>
      <c r="P3271"/>
      <c r="Q3271" t="s">
        <v>168</v>
      </c>
      <c r="R3271"/>
      <c r="S3271"/>
      <c r="T3271" t="s">
        <v>169</v>
      </c>
      <c r="U3271" t="s">
        <v>137</v>
      </c>
      <c r="V3271" t="s">
        <v>147</v>
      </c>
      <c r="W3271" s="9">
        <v>46192.193146493053</v>
      </c>
      <c r="X3271" t="s">
        <v>70</v>
      </c>
      <c r="Y3271"/>
      <c r="Z3271"/>
      <c r="AA3271" t="s">
        <v>1579</v>
      </c>
      <c r="AB3271" t="s">
        <v>1</v>
      </c>
      <c r="AC3271" t="s">
        <v>24</v>
      </c>
      <c r="AD3271" t="s">
        <v>128</v>
      </c>
      <c r="AE3271" s="97"/>
    </row>
    <row r="3272" spans="1:31" ht="14.4" customHeight="1" x14ac:dyDescent="0.3">
      <c r="A3272" t="s">
        <v>5863</v>
      </c>
      <c r="B3272" t="s">
        <v>1631</v>
      </c>
      <c r="C3272"/>
      <c r="D3272"/>
      <c r="E3272"/>
      <c r="F3272"/>
      <c r="G3272" t="s">
        <v>5838</v>
      </c>
      <c r="H3272" t="s">
        <v>132</v>
      </c>
      <c r="I3272" t="s">
        <v>1</v>
      </c>
      <c r="J3272" t="s">
        <v>5298</v>
      </c>
      <c r="K3272" t="s">
        <v>51</v>
      </c>
      <c r="L3272" t="s">
        <v>1624</v>
      </c>
      <c r="M3272" t="s">
        <v>134</v>
      </c>
      <c r="N3272" t="s">
        <v>135</v>
      </c>
      <c r="O3272"/>
      <c r="P3272"/>
      <c r="Q3272" t="s">
        <v>168</v>
      </c>
      <c r="R3272"/>
      <c r="S3272"/>
      <c r="T3272" t="s">
        <v>169</v>
      </c>
      <c r="U3272" t="s">
        <v>137</v>
      </c>
      <c r="V3272" t="s">
        <v>147</v>
      </c>
      <c r="W3272" s="9">
        <v>46192.360416747688</v>
      </c>
      <c r="X3272" t="s">
        <v>70</v>
      </c>
      <c r="Y3272"/>
      <c r="Z3272"/>
      <c r="AA3272" t="s">
        <v>1579</v>
      </c>
      <c r="AB3272" t="s">
        <v>1</v>
      </c>
      <c r="AC3272" t="s">
        <v>24</v>
      </c>
      <c r="AD3272" t="s">
        <v>128</v>
      </c>
      <c r="AE3272" s="97"/>
    </row>
    <row r="3273" spans="1:31" ht="14.4" customHeight="1" x14ac:dyDescent="0.3">
      <c r="A3273" t="s">
        <v>5864</v>
      </c>
      <c r="B3273" t="s">
        <v>1637</v>
      </c>
      <c r="C3273"/>
      <c r="D3273"/>
      <c r="E3273"/>
      <c r="F3273"/>
      <c r="G3273" t="s">
        <v>5838</v>
      </c>
      <c r="H3273" t="s">
        <v>132</v>
      </c>
      <c r="I3273" t="s">
        <v>1</v>
      </c>
      <c r="J3273" t="s">
        <v>5298</v>
      </c>
      <c r="K3273" t="s">
        <v>51</v>
      </c>
      <c r="L3273" t="s">
        <v>1638</v>
      </c>
      <c r="M3273" t="s">
        <v>134</v>
      </c>
      <c r="N3273" t="s">
        <v>135</v>
      </c>
      <c r="O3273"/>
      <c r="P3273"/>
      <c r="Q3273" t="s">
        <v>168</v>
      </c>
      <c r="R3273"/>
      <c r="S3273"/>
      <c r="T3273" t="s">
        <v>169</v>
      </c>
      <c r="U3273" t="s">
        <v>137</v>
      </c>
      <c r="V3273" t="s">
        <v>147</v>
      </c>
      <c r="W3273" s="9">
        <v>46192.359840972225</v>
      </c>
      <c r="X3273" t="s">
        <v>70</v>
      </c>
      <c r="Y3273"/>
      <c r="Z3273"/>
      <c r="AA3273" t="s">
        <v>1579</v>
      </c>
      <c r="AB3273" t="s">
        <v>1</v>
      </c>
      <c r="AC3273" t="s">
        <v>24</v>
      </c>
      <c r="AD3273" t="s">
        <v>128</v>
      </c>
      <c r="AE3273" s="97"/>
    </row>
    <row r="3274" spans="1:31" ht="14.4" customHeight="1" x14ac:dyDescent="0.3">
      <c r="A3274" t="s">
        <v>5865</v>
      </c>
      <c r="B3274" t="s">
        <v>1640</v>
      </c>
      <c r="C3274"/>
      <c r="D3274"/>
      <c r="E3274"/>
      <c r="F3274"/>
      <c r="G3274" t="s">
        <v>5838</v>
      </c>
      <c r="H3274" t="s">
        <v>132</v>
      </c>
      <c r="I3274" t="s">
        <v>1</v>
      </c>
      <c r="J3274" t="s">
        <v>5298</v>
      </c>
      <c r="K3274" t="s">
        <v>51</v>
      </c>
      <c r="L3274" t="s">
        <v>1641</v>
      </c>
      <c r="M3274" t="s">
        <v>134</v>
      </c>
      <c r="N3274" t="s">
        <v>135</v>
      </c>
      <c r="O3274"/>
      <c r="P3274"/>
      <c r="Q3274" t="s">
        <v>168</v>
      </c>
      <c r="R3274"/>
      <c r="S3274"/>
      <c r="T3274" t="s">
        <v>169</v>
      </c>
      <c r="U3274" t="s">
        <v>137</v>
      </c>
      <c r="V3274" t="s">
        <v>147</v>
      </c>
      <c r="W3274" s="9">
        <v>46200.395843055558</v>
      </c>
      <c r="X3274" t="s">
        <v>70</v>
      </c>
      <c r="Y3274"/>
      <c r="Z3274"/>
      <c r="AA3274" t="s">
        <v>1579</v>
      </c>
      <c r="AB3274" t="s">
        <v>1</v>
      </c>
      <c r="AC3274" t="s">
        <v>24</v>
      </c>
      <c r="AD3274" t="s">
        <v>128</v>
      </c>
      <c r="AE3274" s="97"/>
    </row>
    <row r="3275" spans="1:31" ht="14.4" customHeight="1" x14ac:dyDescent="0.3">
      <c r="A3275" t="s">
        <v>5866</v>
      </c>
      <c r="B3275" t="s">
        <v>1643</v>
      </c>
      <c r="C3275"/>
      <c r="D3275"/>
      <c r="E3275"/>
      <c r="F3275"/>
      <c r="G3275" t="s">
        <v>5838</v>
      </c>
      <c r="H3275" t="s">
        <v>132</v>
      </c>
      <c r="I3275" t="s">
        <v>1</v>
      </c>
      <c r="J3275" t="s">
        <v>5298</v>
      </c>
      <c r="K3275" t="s">
        <v>51</v>
      </c>
      <c r="L3275" t="s">
        <v>1644</v>
      </c>
      <c r="M3275" t="s">
        <v>134</v>
      </c>
      <c r="N3275" t="s">
        <v>135</v>
      </c>
      <c r="O3275"/>
      <c r="P3275"/>
      <c r="Q3275" t="s">
        <v>168</v>
      </c>
      <c r="R3275"/>
      <c r="S3275"/>
      <c r="T3275" t="s">
        <v>169</v>
      </c>
      <c r="U3275" t="s">
        <v>137</v>
      </c>
      <c r="V3275" t="s">
        <v>150</v>
      </c>
      <c r="W3275" s="9">
        <v>46192.360211539351</v>
      </c>
      <c r="X3275" t="s">
        <v>76</v>
      </c>
      <c r="Y3275"/>
      <c r="Z3275"/>
      <c r="AA3275" t="s">
        <v>1579</v>
      </c>
      <c r="AB3275" t="s">
        <v>1</v>
      </c>
      <c r="AC3275" t="s">
        <v>24</v>
      </c>
      <c r="AD3275" t="s">
        <v>128</v>
      </c>
      <c r="AE3275" s="97"/>
    </row>
    <row r="3276" spans="1:31" ht="14.4" customHeight="1" x14ac:dyDescent="0.3">
      <c r="A3276" t="s">
        <v>5867</v>
      </c>
      <c r="B3276" t="s">
        <v>1646</v>
      </c>
      <c r="C3276"/>
      <c r="D3276"/>
      <c r="E3276"/>
      <c r="F3276"/>
      <c r="G3276" t="s">
        <v>5838</v>
      </c>
      <c r="H3276" t="s">
        <v>132</v>
      </c>
      <c r="I3276" t="s">
        <v>1</v>
      </c>
      <c r="J3276" t="s">
        <v>5298</v>
      </c>
      <c r="K3276" t="s">
        <v>51</v>
      </c>
      <c r="L3276" t="s">
        <v>1644</v>
      </c>
      <c r="M3276" t="s">
        <v>134</v>
      </c>
      <c r="N3276" t="s">
        <v>135</v>
      </c>
      <c r="O3276"/>
      <c r="P3276"/>
      <c r="Q3276" t="s">
        <v>168</v>
      </c>
      <c r="R3276"/>
      <c r="S3276"/>
      <c r="T3276" t="s">
        <v>169</v>
      </c>
      <c r="U3276" t="s">
        <v>137</v>
      </c>
      <c r="V3276" t="s">
        <v>150</v>
      </c>
      <c r="W3276" s="9">
        <v>46192.360911724536</v>
      </c>
      <c r="X3276" t="s">
        <v>76</v>
      </c>
      <c r="Y3276"/>
      <c r="Z3276"/>
      <c r="AA3276" t="s">
        <v>1579</v>
      </c>
      <c r="AB3276" t="s">
        <v>1</v>
      </c>
      <c r="AC3276" t="s">
        <v>24</v>
      </c>
      <c r="AD3276" t="s">
        <v>128</v>
      </c>
      <c r="AE3276" s="97"/>
    </row>
    <row r="3277" spans="1:31" ht="14.4" customHeight="1" x14ac:dyDescent="0.3">
      <c r="A3277" t="s">
        <v>5868</v>
      </c>
      <c r="B3277" t="s">
        <v>1648</v>
      </c>
      <c r="C3277"/>
      <c r="D3277"/>
      <c r="E3277"/>
      <c r="F3277"/>
      <c r="G3277" t="s">
        <v>5838</v>
      </c>
      <c r="H3277" t="s">
        <v>132</v>
      </c>
      <c r="I3277" t="s">
        <v>1</v>
      </c>
      <c r="J3277" t="s">
        <v>5298</v>
      </c>
      <c r="K3277" t="s">
        <v>51</v>
      </c>
      <c r="L3277" t="s">
        <v>1649</v>
      </c>
      <c r="M3277" t="s">
        <v>134</v>
      </c>
      <c r="N3277" t="s">
        <v>135</v>
      </c>
      <c r="O3277"/>
      <c r="P3277"/>
      <c r="Q3277" t="s">
        <v>168</v>
      </c>
      <c r="R3277"/>
      <c r="S3277"/>
      <c r="T3277" t="s">
        <v>169</v>
      </c>
      <c r="U3277" t="s">
        <v>137</v>
      </c>
      <c r="V3277" t="s">
        <v>150</v>
      </c>
      <c r="W3277" s="9">
        <v>46192.357156284721</v>
      </c>
      <c r="X3277" t="s">
        <v>76</v>
      </c>
      <c r="Y3277"/>
      <c r="Z3277"/>
      <c r="AA3277" t="s">
        <v>1579</v>
      </c>
      <c r="AB3277" t="s">
        <v>1</v>
      </c>
      <c r="AC3277" t="s">
        <v>24</v>
      </c>
      <c r="AD3277" t="s">
        <v>128</v>
      </c>
      <c r="AE3277" s="97"/>
    </row>
    <row r="3278" spans="1:31" ht="14.4" customHeight="1" x14ac:dyDescent="0.3">
      <c r="A3278" t="s">
        <v>5869</v>
      </c>
      <c r="B3278" t="s">
        <v>1651</v>
      </c>
      <c r="C3278"/>
      <c r="D3278"/>
      <c r="E3278"/>
      <c r="F3278"/>
      <c r="G3278" t="s">
        <v>5838</v>
      </c>
      <c r="H3278" t="s">
        <v>132</v>
      </c>
      <c r="I3278" t="s">
        <v>1</v>
      </c>
      <c r="J3278" t="s">
        <v>5298</v>
      </c>
      <c r="K3278" t="s">
        <v>51</v>
      </c>
      <c r="L3278" t="s">
        <v>1644</v>
      </c>
      <c r="M3278" t="s">
        <v>134</v>
      </c>
      <c r="N3278" t="s">
        <v>135</v>
      </c>
      <c r="O3278"/>
      <c r="P3278"/>
      <c r="Q3278" t="s">
        <v>168</v>
      </c>
      <c r="R3278"/>
      <c r="S3278"/>
      <c r="T3278" t="s">
        <v>169</v>
      </c>
      <c r="U3278" t="s">
        <v>137</v>
      </c>
      <c r="V3278" t="s">
        <v>150</v>
      </c>
      <c r="W3278" s="9">
        <v>46192.204914351852</v>
      </c>
      <c r="X3278" t="s">
        <v>76</v>
      </c>
      <c r="Y3278"/>
      <c r="Z3278"/>
      <c r="AA3278" t="s">
        <v>1579</v>
      </c>
      <c r="AB3278" t="s">
        <v>1</v>
      </c>
      <c r="AC3278" t="s">
        <v>24</v>
      </c>
      <c r="AD3278" t="s">
        <v>128</v>
      </c>
      <c r="AE3278" s="97"/>
    </row>
    <row r="3279" spans="1:31" ht="14.4" customHeight="1" x14ac:dyDescent="0.3">
      <c r="A3279" t="s">
        <v>5870</v>
      </c>
      <c r="B3279" t="s">
        <v>1657</v>
      </c>
      <c r="C3279"/>
      <c r="D3279"/>
      <c r="E3279"/>
      <c r="F3279"/>
      <c r="G3279" t="s">
        <v>5838</v>
      </c>
      <c r="H3279" t="s">
        <v>132</v>
      </c>
      <c r="I3279" t="s">
        <v>1</v>
      </c>
      <c r="J3279" t="s">
        <v>5298</v>
      </c>
      <c r="K3279" t="s">
        <v>51</v>
      </c>
      <c r="L3279" t="s">
        <v>1658</v>
      </c>
      <c r="M3279" t="s">
        <v>134</v>
      </c>
      <c r="N3279" t="s">
        <v>135</v>
      </c>
      <c r="O3279"/>
      <c r="P3279"/>
      <c r="Q3279" t="s">
        <v>168</v>
      </c>
      <c r="R3279"/>
      <c r="S3279"/>
      <c r="T3279" t="s">
        <v>169</v>
      </c>
      <c r="U3279" t="s">
        <v>137</v>
      </c>
      <c r="V3279" t="s">
        <v>150</v>
      </c>
      <c r="W3279" s="9">
        <v>46192.361312037036</v>
      </c>
      <c r="X3279" t="s">
        <v>76</v>
      </c>
      <c r="Y3279"/>
      <c r="Z3279"/>
      <c r="AA3279" t="s">
        <v>1579</v>
      </c>
      <c r="AB3279" t="s">
        <v>1</v>
      </c>
      <c r="AC3279" t="s">
        <v>24</v>
      </c>
      <c r="AD3279" t="s">
        <v>128</v>
      </c>
      <c r="AE3279" s="97"/>
    </row>
    <row r="3280" spans="1:31" ht="14.4" customHeight="1" x14ac:dyDescent="0.3">
      <c r="A3280" t="s">
        <v>5871</v>
      </c>
      <c r="B3280" t="s">
        <v>1660</v>
      </c>
      <c r="C3280"/>
      <c r="D3280"/>
      <c r="E3280"/>
      <c r="F3280"/>
      <c r="G3280" t="s">
        <v>5838</v>
      </c>
      <c r="H3280" t="s">
        <v>132</v>
      </c>
      <c r="I3280" t="s">
        <v>1</v>
      </c>
      <c r="J3280" t="s">
        <v>5298</v>
      </c>
      <c r="K3280" t="s">
        <v>51</v>
      </c>
      <c r="L3280" t="s">
        <v>1661</v>
      </c>
      <c r="M3280" t="s">
        <v>134</v>
      </c>
      <c r="N3280" t="s">
        <v>135</v>
      </c>
      <c r="O3280"/>
      <c r="P3280"/>
      <c r="Q3280" t="s">
        <v>168</v>
      </c>
      <c r="R3280"/>
      <c r="S3280"/>
      <c r="T3280" t="s">
        <v>169</v>
      </c>
      <c r="U3280" t="s">
        <v>137</v>
      </c>
      <c r="V3280" t="s">
        <v>150</v>
      </c>
      <c r="W3280" s="9">
        <v>46200.396603553243</v>
      </c>
      <c r="X3280" t="s">
        <v>76</v>
      </c>
      <c r="Y3280"/>
      <c r="Z3280"/>
      <c r="AA3280" t="s">
        <v>1579</v>
      </c>
      <c r="AB3280" t="s">
        <v>1</v>
      </c>
      <c r="AC3280" t="s">
        <v>24</v>
      </c>
      <c r="AD3280" t="s">
        <v>128</v>
      </c>
      <c r="AE3280" s="97"/>
    </row>
    <row r="3281" spans="1:31" ht="14.4" customHeight="1" x14ac:dyDescent="0.3">
      <c r="A3281" t="s">
        <v>5872</v>
      </c>
      <c r="B3281" t="s">
        <v>1663</v>
      </c>
      <c r="C3281"/>
      <c r="D3281"/>
      <c r="E3281"/>
      <c r="F3281"/>
      <c r="G3281" t="s">
        <v>5838</v>
      </c>
      <c r="H3281" t="s">
        <v>132</v>
      </c>
      <c r="I3281" t="s">
        <v>1</v>
      </c>
      <c r="J3281" t="s">
        <v>5298</v>
      </c>
      <c r="K3281" t="s">
        <v>51</v>
      </c>
      <c r="L3281" t="s">
        <v>1664</v>
      </c>
      <c r="M3281" t="s">
        <v>134</v>
      </c>
      <c r="N3281" t="s">
        <v>135</v>
      </c>
      <c r="O3281"/>
      <c r="P3281"/>
      <c r="Q3281" t="s">
        <v>168</v>
      </c>
      <c r="R3281"/>
      <c r="S3281"/>
      <c r="T3281" t="s">
        <v>169</v>
      </c>
      <c r="U3281" t="s">
        <v>137</v>
      </c>
      <c r="V3281" t="s">
        <v>153</v>
      </c>
      <c r="W3281"/>
      <c r="X3281" t="s">
        <v>88</v>
      </c>
      <c r="Y3281"/>
      <c r="Z3281"/>
      <c r="AA3281" t="s">
        <v>1579</v>
      </c>
      <c r="AB3281" t="s">
        <v>1</v>
      </c>
      <c r="AC3281" t="s">
        <v>138</v>
      </c>
      <c r="AD3281" t="s">
        <v>129</v>
      </c>
      <c r="AE3281" s="97"/>
    </row>
    <row r="3282" spans="1:31" ht="14.4" customHeight="1" x14ac:dyDescent="0.3">
      <c r="A3282" t="s">
        <v>5873</v>
      </c>
      <c r="B3282" t="s">
        <v>1666</v>
      </c>
      <c r="C3282"/>
      <c r="D3282"/>
      <c r="E3282"/>
      <c r="F3282"/>
      <c r="G3282" t="s">
        <v>5838</v>
      </c>
      <c r="H3282" t="s">
        <v>132</v>
      </c>
      <c r="I3282" t="s">
        <v>1</v>
      </c>
      <c r="J3282" t="s">
        <v>5298</v>
      </c>
      <c r="K3282" t="s">
        <v>51</v>
      </c>
      <c r="L3282" t="s">
        <v>1664</v>
      </c>
      <c r="M3282" t="s">
        <v>134</v>
      </c>
      <c r="N3282" t="s">
        <v>135</v>
      </c>
      <c r="O3282"/>
      <c r="P3282"/>
      <c r="Q3282" t="s">
        <v>168</v>
      </c>
      <c r="R3282"/>
      <c r="S3282"/>
      <c r="T3282" t="s">
        <v>169</v>
      </c>
      <c r="U3282" t="s">
        <v>137</v>
      </c>
      <c r="V3282" t="s">
        <v>153</v>
      </c>
      <c r="W3282"/>
      <c r="X3282" t="s">
        <v>88</v>
      </c>
      <c r="Y3282"/>
      <c r="Z3282"/>
      <c r="AA3282" t="s">
        <v>1579</v>
      </c>
      <c r="AB3282" t="s">
        <v>1</v>
      </c>
      <c r="AC3282" t="s">
        <v>138</v>
      </c>
      <c r="AD3282" t="s">
        <v>129</v>
      </c>
      <c r="AE3282" s="97"/>
    </row>
    <row r="3283" spans="1:31" ht="14.4" customHeight="1" x14ac:dyDescent="0.3">
      <c r="A3283" t="s">
        <v>5874</v>
      </c>
      <c r="B3283" t="s">
        <v>1668</v>
      </c>
      <c r="C3283"/>
      <c r="D3283"/>
      <c r="E3283"/>
      <c r="F3283"/>
      <c r="G3283" t="s">
        <v>5838</v>
      </c>
      <c r="H3283" t="s">
        <v>132</v>
      </c>
      <c r="I3283" t="s">
        <v>1</v>
      </c>
      <c r="J3283" t="s">
        <v>5298</v>
      </c>
      <c r="K3283" t="s">
        <v>51</v>
      </c>
      <c r="L3283" t="s">
        <v>1669</v>
      </c>
      <c r="M3283" t="s">
        <v>134</v>
      </c>
      <c r="N3283" t="s">
        <v>135</v>
      </c>
      <c r="O3283"/>
      <c r="P3283"/>
      <c r="Q3283" t="s">
        <v>168</v>
      </c>
      <c r="R3283"/>
      <c r="S3283"/>
      <c r="T3283" t="s">
        <v>169</v>
      </c>
      <c r="U3283" t="s">
        <v>137</v>
      </c>
      <c r="V3283" t="s">
        <v>153</v>
      </c>
      <c r="W3283" s="9">
        <v>46204.59180008102</v>
      </c>
      <c r="X3283" t="s">
        <v>88</v>
      </c>
      <c r="Y3283"/>
      <c r="Z3283"/>
      <c r="AA3283" t="s">
        <v>1579</v>
      </c>
      <c r="AB3283" t="s">
        <v>1</v>
      </c>
      <c r="AC3283" t="s">
        <v>24</v>
      </c>
      <c r="AD3283" t="s">
        <v>129</v>
      </c>
      <c r="AE3283" s="97"/>
    </row>
    <row r="3284" spans="1:31" ht="14.4" customHeight="1" x14ac:dyDescent="0.3">
      <c r="A3284" t="s">
        <v>5875</v>
      </c>
      <c r="B3284" t="s">
        <v>1671</v>
      </c>
      <c r="C3284"/>
      <c r="D3284"/>
      <c r="E3284"/>
      <c r="F3284"/>
      <c r="G3284" t="s">
        <v>5838</v>
      </c>
      <c r="H3284" t="s">
        <v>132</v>
      </c>
      <c r="I3284" t="s">
        <v>1</v>
      </c>
      <c r="J3284" t="s">
        <v>5298</v>
      </c>
      <c r="K3284" t="s">
        <v>51</v>
      </c>
      <c r="L3284" t="s">
        <v>1664</v>
      </c>
      <c r="M3284" t="s">
        <v>134</v>
      </c>
      <c r="N3284" t="s">
        <v>135</v>
      </c>
      <c r="O3284"/>
      <c r="P3284"/>
      <c r="Q3284" t="s">
        <v>168</v>
      </c>
      <c r="R3284"/>
      <c r="S3284"/>
      <c r="T3284" t="s">
        <v>169</v>
      </c>
      <c r="U3284" t="s">
        <v>137</v>
      </c>
      <c r="V3284" t="s">
        <v>153</v>
      </c>
      <c r="W3284"/>
      <c r="X3284" t="s">
        <v>88</v>
      </c>
      <c r="Y3284"/>
      <c r="Z3284"/>
      <c r="AA3284" t="s">
        <v>1579</v>
      </c>
      <c r="AB3284" t="s">
        <v>1</v>
      </c>
      <c r="AC3284" t="s">
        <v>138</v>
      </c>
      <c r="AD3284" t="s">
        <v>129</v>
      </c>
      <c r="AE3284" s="97"/>
    </row>
    <row r="3285" spans="1:31" ht="14.4" customHeight="1" x14ac:dyDescent="0.3">
      <c r="A3285" t="s">
        <v>5876</v>
      </c>
      <c r="B3285" t="s">
        <v>1677</v>
      </c>
      <c r="C3285"/>
      <c r="D3285"/>
      <c r="E3285"/>
      <c r="F3285"/>
      <c r="G3285" t="s">
        <v>5838</v>
      </c>
      <c r="H3285" t="s">
        <v>132</v>
      </c>
      <c r="I3285" t="s">
        <v>1</v>
      </c>
      <c r="J3285" t="s">
        <v>5298</v>
      </c>
      <c r="K3285" t="s">
        <v>51</v>
      </c>
      <c r="L3285" t="s">
        <v>1678</v>
      </c>
      <c r="M3285" t="s">
        <v>134</v>
      </c>
      <c r="N3285" t="s">
        <v>135</v>
      </c>
      <c r="O3285"/>
      <c r="P3285"/>
      <c r="Q3285" t="s">
        <v>168</v>
      </c>
      <c r="R3285"/>
      <c r="S3285"/>
      <c r="T3285" t="s">
        <v>169</v>
      </c>
      <c r="U3285" t="s">
        <v>137</v>
      </c>
      <c r="V3285" t="s">
        <v>153</v>
      </c>
      <c r="W3285"/>
      <c r="X3285" t="s">
        <v>88</v>
      </c>
      <c r="Y3285"/>
      <c r="Z3285"/>
      <c r="AA3285" t="s">
        <v>1579</v>
      </c>
      <c r="AB3285" t="s">
        <v>1</v>
      </c>
      <c r="AC3285" t="s">
        <v>138</v>
      </c>
      <c r="AD3285" t="s">
        <v>129</v>
      </c>
      <c r="AE3285" s="97"/>
    </row>
    <row r="3286" spans="1:31" ht="14.4" customHeight="1" x14ac:dyDescent="0.3">
      <c r="A3286" t="s">
        <v>5877</v>
      </c>
      <c r="B3286" t="s">
        <v>1680</v>
      </c>
      <c r="C3286"/>
      <c r="D3286"/>
      <c r="E3286"/>
      <c r="F3286"/>
      <c r="G3286" t="s">
        <v>5838</v>
      </c>
      <c r="H3286" t="s">
        <v>132</v>
      </c>
      <c r="I3286" t="s">
        <v>1</v>
      </c>
      <c r="J3286" t="s">
        <v>5298</v>
      </c>
      <c r="K3286" t="s">
        <v>51</v>
      </c>
      <c r="L3286" t="s">
        <v>1681</v>
      </c>
      <c r="M3286" t="s">
        <v>134</v>
      </c>
      <c r="N3286" t="s">
        <v>135</v>
      </c>
      <c r="O3286"/>
      <c r="P3286"/>
      <c r="Q3286" t="s">
        <v>168</v>
      </c>
      <c r="R3286"/>
      <c r="S3286"/>
      <c r="T3286" t="s">
        <v>169</v>
      </c>
      <c r="U3286" t="s">
        <v>137</v>
      </c>
      <c r="V3286" t="s">
        <v>153</v>
      </c>
      <c r="W3286"/>
      <c r="X3286" t="s">
        <v>88</v>
      </c>
      <c r="Y3286"/>
      <c r="Z3286"/>
      <c r="AA3286" t="s">
        <v>1579</v>
      </c>
      <c r="AB3286" t="s">
        <v>1</v>
      </c>
      <c r="AC3286" t="s">
        <v>138</v>
      </c>
      <c r="AD3286" t="s">
        <v>129</v>
      </c>
      <c r="AE3286" s="97"/>
    </row>
    <row r="3287" spans="1:31" ht="14.4" customHeight="1" x14ac:dyDescent="0.3">
      <c r="A3287" t="s">
        <v>5878</v>
      </c>
      <c r="B3287" t="s">
        <v>1683</v>
      </c>
      <c r="C3287"/>
      <c r="D3287"/>
      <c r="E3287"/>
      <c r="F3287"/>
      <c r="G3287" t="s">
        <v>5838</v>
      </c>
      <c r="H3287" t="s">
        <v>132</v>
      </c>
      <c r="I3287" t="s">
        <v>1</v>
      </c>
      <c r="J3287" t="s">
        <v>5298</v>
      </c>
      <c r="K3287" t="s">
        <v>51</v>
      </c>
      <c r="L3287" t="s">
        <v>1684</v>
      </c>
      <c r="M3287" t="s">
        <v>134</v>
      </c>
      <c r="N3287" t="s">
        <v>135</v>
      </c>
      <c r="O3287"/>
      <c r="P3287"/>
      <c r="Q3287" t="s">
        <v>168</v>
      </c>
      <c r="R3287"/>
      <c r="S3287"/>
      <c r="T3287" t="s">
        <v>169</v>
      </c>
      <c r="U3287" t="s">
        <v>137</v>
      </c>
      <c r="V3287" t="s">
        <v>156</v>
      </c>
      <c r="W3287"/>
      <c r="X3287" t="s">
        <v>97</v>
      </c>
      <c r="Y3287"/>
      <c r="Z3287"/>
      <c r="AA3287" t="s">
        <v>1579</v>
      </c>
      <c r="AB3287" t="s">
        <v>1</v>
      </c>
      <c r="AC3287" t="s">
        <v>138</v>
      </c>
      <c r="AD3287" t="s">
        <v>129</v>
      </c>
      <c r="AE3287" s="97"/>
    </row>
    <row r="3288" spans="1:31" ht="14.4" customHeight="1" x14ac:dyDescent="0.3">
      <c r="A3288" t="s">
        <v>5879</v>
      </c>
      <c r="B3288" t="s">
        <v>1686</v>
      </c>
      <c r="C3288"/>
      <c r="D3288"/>
      <c r="E3288"/>
      <c r="F3288"/>
      <c r="G3288" t="s">
        <v>5838</v>
      </c>
      <c r="H3288" t="s">
        <v>132</v>
      </c>
      <c r="I3288" t="s">
        <v>1</v>
      </c>
      <c r="J3288" t="s">
        <v>5298</v>
      </c>
      <c r="K3288" t="s">
        <v>51</v>
      </c>
      <c r="L3288" t="s">
        <v>1684</v>
      </c>
      <c r="M3288" t="s">
        <v>134</v>
      </c>
      <c r="N3288" t="s">
        <v>135</v>
      </c>
      <c r="O3288"/>
      <c r="P3288"/>
      <c r="Q3288" t="s">
        <v>168</v>
      </c>
      <c r="R3288"/>
      <c r="S3288"/>
      <c r="T3288" t="s">
        <v>169</v>
      </c>
      <c r="U3288" t="s">
        <v>137</v>
      </c>
      <c r="V3288" t="s">
        <v>156</v>
      </c>
      <c r="W3288" s="9">
        <v>46192.205324386574</v>
      </c>
      <c r="X3288" t="s">
        <v>97</v>
      </c>
      <c r="Y3288"/>
      <c r="Z3288"/>
      <c r="AA3288" t="s">
        <v>1579</v>
      </c>
      <c r="AB3288" t="s">
        <v>1</v>
      </c>
      <c r="AC3288" t="s">
        <v>24</v>
      </c>
      <c r="AD3288" t="s">
        <v>129</v>
      </c>
      <c r="AE3288" s="97"/>
    </row>
    <row r="3289" spans="1:31" ht="14.4" customHeight="1" x14ac:dyDescent="0.3">
      <c r="A3289" t="s">
        <v>5880</v>
      </c>
      <c r="B3289" t="s">
        <v>1688</v>
      </c>
      <c r="C3289"/>
      <c r="D3289"/>
      <c r="E3289"/>
      <c r="F3289"/>
      <c r="G3289" t="s">
        <v>5838</v>
      </c>
      <c r="H3289" t="s">
        <v>132</v>
      </c>
      <c r="I3289" t="s">
        <v>1</v>
      </c>
      <c r="J3289" t="s">
        <v>5298</v>
      </c>
      <c r="K3289" t="s">
        <v>51</v>
      </c>
      <c r="L3289" t="s">
        <v>1689</v>
      </c>
      <c r="M3289" t="s">
        <v>134</v>
      </c>
      <c r="N3289" t="s">
        <v>135</v>
      </c>
      <c r="O3289"/>
      <c r="P3289"/>
      <c r="Q3289" t="s">
        <v>168</v>
      </c>
      <c r="R3289"/>
      <c r="S3289"/>
      <c r="T3289" t="s">
        <v>169</v>
      </c>
      <c r="U3289" t="s">
        <v>137</v>
      </c>
      <c r="V3289" t="s">
        <v>156</v>
      </c>
      <c r="W3289" s="9">
        <v>46192.194931099541</v>
      </c>
      <c r="X3289" t="s">
        <v>97</v>
      </c>
      <c r="Y3289"/>
      <c r="Z3289"/>
      <c r="AA3289" t="s">
        <v>1579</v>
      </c>
      <c r="AB3289" t="s">
        <v>1</v>
      </c>
      <c r="AC3289" t="s">
        <v>24</v>
      </c>
      <c r="AD3289" t="s">
        <v>129</v>
      </c>
      <c r="AE3289" s="97"/>
    </row>
    <row r="3290" spans="1:31" ht="14.4" customHeight="1" x14ac:dyDescent="0.3">
      <c r="A3290" t="s">
        <v>5881</v>
      </c>
      <c r="B3290" t="s">
        <v>1691</v>
      </c>
      <c r="C3290"/>
      <c r="D3290"/>
      <c r="E3290"/>
      <c r="F3290"/>
      <c r="G3290" t="s">
        <v>5838</v>
      </c>
      <c r="H3290" t="s">
        <v>132</v>
      </c>
      <c r="I3290" t="s">
        <v>1</v>
      </c>
      <c r="J3290" t="s">
        <v>5298</v>
      </c>
      <c r="K3290" t="s">
        <v>51</v>
      </c>
      <c r="L3290" t="s">
        <v>1684</v>
      </c>
      <c r="M3290" t="s">
        <v>134</v>
      </c>
      <c r="N3290" t="s">
        <v>135</v>
      </c>
      <c r="O3290"/>
      <c r="P3290"/>
      <c r="Q3290" t="s">
        <v>168</v>
      </c>
      <c r="R3290"/>
      <c r="S3290"/>
      <c r="T3290" t="s">
        <v>169</v>
      </c>
      <c r="U3290" t="s">
        <v>137</v>
      </c>
      <c r="V3290" t="s">
        <v>156</v>
      </c>
      <c r="W3290" s="9">
        <v>46192.205725312502</v>
      </c>
      <c r="X3290" t="s">
        <v>97</v>
      </c>
      <c r="Y3290"/>
      <c r="Z3290"/>
      <c r="AA3290" t="s">
        <v>1579</v>
      </c>
      <c r="AB3290" t="s">
        <v>1</v>
      </c>
      <c r="AC3290" t="s">
        <v>24</v>
      </c>
      <c r="AD3290" t="s">
        <v>129</v>
      </c>
      <c r="AE3290" s="97"/>
    </row>
    <row r="3291" spans="1:31" ht="14.4" customHeight="1" x14ac:dyDescent="0.3">
      <c r="A3291" t="s">
        <v>5882</v>
      </c>
      <c r="B3291" t="s">
        <v>1697</v>
      </c>
      <c r="C3291"/>
      <c r="D3291"/>
      <c r="E3291"/>
      <c r="F3291"/>
      <c r="G3291" t="s">
        <v>5838</v>
      </c>
      <c r="H3291" t="s">
        <v>132</v>
      </c>
      <c r="I3291" t="s">
        <v>1</v>
      </c>
      <c r="J3291" t="s">
        <v>5298</v>
      </c>
      <c r="K3291" t="s">
        <v>51</v>
      </c>
      <c r="L3291" t="s">
        <v>1698</v>
      </c>
      <c r="M3291" t="s">
        <v>134</v>
      </c>
      <c r="N3291" t="s">
        <v>135</v>
      </c>
      <c r="O3291"/>
      <c r="P3291"/>
      <c r="Q3291" t="s">
        <v>168</v>
      </c>
      <c r="R3291"/>
      <c r="S3291"/>
      <c r="T3291" t="s">
        <v>169</v>
      </c>
      <c r="U3291" t="s">
        <v>137</v>
      </c>
      <c r="V3291" t="s">
        <v>156</v>
      </c>
      <c r="W3291" s="9">
        <v>46192.206085185186</v>
      </c>
      <c r="X3291" t="s">
        <v>97</v>
      </c>
      <c r="Y3291"/>
      <c r="Z3291"/>
      <c r="AA3291" t="s">
        <v>1579</v>
      </c>
      <c r="AB3291" t="s">
        <v>1</v>
      </c>
      <c r="AC3291" t="s">
        <v>24</v>
      </c>
      <c r="AD3291" t="s">
        <v>129</v>
      </c>
      <c r="AE3291" s="97"/>
    </row>
    <row r="3292" spans="1:31" ht="14.4" customHeight="1" x14ac:dyDescent="0.3">
      <c r="A3292" t="s">
        <v>5883</v>
      </c>
      <c r="B3292" t="s">
        <v>1700</v>
      </c>
      <c r="C3292"/>
      <c r="D3292"/>
      <c r="E3292"/>
      <c r="F3292"/>
      <c r="G3292" t="s">
        <v>5838</v>
      </c>
      <c r="H3292" t="s">
        <v>132</v>
      </c>
      <c r="I3292" t="s">
        <v>1</v>
      </c>
      <c r="J3292" t="s">
        <v>5298</v>
      </c>
      <c r="K3292" t="s">
        <v>51</v>
      </c>
      <c r="L3292" t="s">
        <v>1701</v>
      </c>
      <c r="M3292" t="s">
        <v>134</v>
      </c>
      <c r="N3292" t="s">
        <v>135</v>
      </c>
      <c r="O3292"/>
      <c r="P3292"/>
      <c r="Q3292" t="s">
        <v>168</v>
      </c>
      <c r="R3292"/>
      <c r="S3292"/>
      <c r="T3292" t="s">
        <v>169</v>
      </c>
      <c r="U3292" t="s">
        <v>137</v>
      </c>
      <c r="V3292" t="s">
        <v>156</v>
      </c>
      <c r="W3292"/>
      <c r="X3292" t="s">
        <v>97</v>
      </c>
      <c r="Y3292"/>
      <c r="Z3292"/>
      <c r="AA3292" t="s">
        <v>1579</v>
      </c>
      <c r="AB3292" t="s">
        <v>1</v>
      </c>
      <c r="AC3292" t="s">
        <v>138</v>
      </c>
      <c r="AD3292" t="s">
        <v>129</v>
      </c>
      <c r="AE3292" s="97"/>
    </row>
    <row r="3293" spans="1:31" ht="14.4" customHeight="1" x14ac:dyDescent="0.3">
      <c r="A3293" t="s">
        <v>5884</v>
      </c>
      <c r="B3293" t="s">
        <v>1703</v>
      </c>
      <c r="C3293"/>
      <c r="D3293"/>
      <c r="E3293"/>
      <c r="F3293"/>
      <c r="G3293" t="s">
        <v>5838</v>
      </c>
      <c r="H3293" t="s">
        <v>132</v>
      </c>
      <c r="I3293" t="s">
        <v>1</v>
      </c>
      <c r="J3293" t="s">
        <v>5298</v>
      </c>
      <c r="K3293" t="s">
        <v>51</v>
      </c>
      <c r="L3293" t="s">
        <v>1704</v>
      </c>
      <c r="M3293" t="s">
        <v>134</v>
      </c>
      <c r="N3293" t="s">
        <v>135</v>
      </c>
      <c r="O3293"/>
      <c r="P3293"/>
      <c r="Q3293" t="s">
        <v>168</v>
      </c>
      <c r="R3293"/>
      <c r="S3293"/>
      <c r="T3293" t="s">
        <v>169</v>
      </c>
      <c r="U3293" t="s">
        <v>137</v>
      </c>
      <c r="V3293" t="s">
        <v>159</v>
      </c>
      <c r="W3293"/>
      <c r="X3293" t="s">
        <v>106</v>
      </c>
      <c r="Y3293"/>
      <c r="Z3293"/>
      <c r="AA3293" t="s">
        <v>1579</v>
      </c>
      <c r="AB3293" t="s">
        <v>1</v>
      </c>
      <c r="AC3293" t="s">
        <v>138</v>
      </c>
      <c r="AD3293" t="s">
        <v>129</v>
      </c>
      <c r="AE3293" s="97"/>
    </row>
    <row r="3294" spans="1:31" ht="14.4" customHeight="1" x14ac:dyDescent="0.3">
      <c r="A3294" t="s">
        <v>5885</v>
      </c>
      <c r="B3294" t="s">
        <v>1706</v>
      </c>
      <c r="C3294"/>
      <c r="D3294"/>
      <c r="E3294"/>
      <c r="F3294"/>
      <c r="G3294" t="s">
        <v>5838</v>
      </c>
      <c r="H3294" t="s">
        <v>132</v>
      </c>
      <c r="I3294" t="s">
        <v>1</v>
      </c>
      <c r="J3294" t="s">
        <v>5298</v>
      </c>
      <c r="K3294" t="s">
        <v>51</v>
      </c>
      <c r="L3294" t="s">
        <v>1704</v>
      </c>
      <c r="M3294" t="s">
        <v>134</v>
      </c>
      <c r="N3294" t="s">
        <v>135</v>
      </c>
      <c r="O3294"/>
      <c r="P3294"/>
      <c r="Q3294" t="s">
        <v>168</v>
      </c>
      <c r="R3294"/>
      <c r="S3294"/>
      <c r="T3294" t="s">
        <v>169</v>
      </c>
      <c r="U3294" t="s">
        <v>137</v>
      </c>
      <c r="V3294" t="s">
        <v>159</v>
      </c>
      <c r="W3294"/>
      <c r="X3294" t="s">
        <v>106</v>
      </c>
      <c r="Y3294"/>
      <c r="Z3294"/>
      <c r="AA3294" t="s">
        <v>1579</v>
      </c>
      <c r="AB3294" t="s">
        <v>1</v>
      </c>
      <c r="AC3294" t="s">
        <v>138</v>
      </c>
      <c r="AD3294" t="s">
        <v>129</v>
      </c>
      <c r="AE3294" s="97"/>
    </row>
    <row r="3295" spans="1:31" ht="14.4" customHeight="1" x14ac:dyDescent="0.3">
      <c r="A3295" t="s">
        <v>5886</v>
      </c>
      <c r="B3295" t="s">
        <v>1708</v>
      </c>
      <c r="C3295"/>
      <c r="D3295"/>
      <c r="E3295"/>
      <c r="F3295"/>
      <c r="G3295" t="s">
        <v>5838</v>
      </c>
      <c r="H3295" t="s">
        <v>132</v>
      </c>
      <c r="I3295" t="s">
        <v>1</v>
      </c>
      <c r="J3295" t="s">
        <v>5298</v>
      </c>
      <c r="K3295" t="s">
        <v>51</v>
      </c>
      <c r="L3295" t="s">
        <v>1709</v>
      </c>
      <c r="M3295" t="s">
        <v>134</v>
      </c>
      <c r="N3295" t="s">
        <v>135</v>
      </c>
      <c r="O3295"/>
      <c r="P3295"/>
      <c r="Q3295" t="s">
        <v>168</v>
      </c>
      <c r="R3295"/>
      <c r="S3295"/>
      <c r="T3295" t="s">
        <v>169</v>
      </c>
      <c r="U3295" t="s">
        <v>137</v>
      </c>
      <c r="V3295" t="s">
        <v>159</v>
      </c>
      <c r="W3295" s="9">
        <v>46204.59213946759</v>
      </c>
      <c r="X3295" t="s">
        <v>106</v>
      </c>
      <c r="Y3295"/>
      <c r="Z3295"/>
      <c r="AA3295" t="s">
        <v>1579</v>
      </c>
      <c r="AB3295" t="s">
        <v>1</v>
      </c>
      <c r="AC3295" t="s">
        <v>24</v>
      </c>
      <c r="AD3295" t="s">
        <v>129</v>
      </c>
      <c r="AE3295" s="97"/>
    </row>
    <row r="3296" spans="1:31" ht="14.4" customHeight="1" x14ac:dyDescent="0.3">
      <c r="A3296" t="s">
        <v>5887</v>
      </c>
      <c r="B3296" t="s">
        <v>1711</v>
      </c>
      <c r="C3296"/>
      <c r="D3296"/>
      <c r="E3296"/>
      <c r="F3296"/>
      <c r="G3296" t="s">
        <v>5838</v>
      </c>
      <c r="H3296" t="s">
        <v>132</v>
      </c>
      <c r="I3296" t="s">
        <v>1</v>
      </c>
      <c r="J3296" t="s">
        <v>5298</v>
      </c>
      <c r="K3296" t="s">
        <v>51</v>
      </c>
      <c r="L3296" t="s">
        <v>1704</v>
      </c>
      <c r="M3296" t="s">
        <v>134</v>
      </c>
      <c r="N3296" t="s">
        <v>135</v>
      </c>
      <c r="O3296"/>
      <c r="P3296"/>
      <c r="Q3296" t="s">
        <v>168</v>
      </c>
      <c r="R3296"/>
      <c r="S3296"/>
      <c r="T3296" t="s">
        <v>169</v>
      </c>
      <c r="U3296" t="s">
        <v>137</v>
      </c>
      <c r="V3296" t="s">
        <v>159</v>
      </c>
      <c r="W3296"/>
      <c r="X3296" t="s">
        <v>106</v>
      </c>
      <c r="Y3296"/>
      <c r="Z3296"/>
      <c r="AA3296" t="s">
        <v>1579</v>
      </c>
      <c r="AB3296" t="s">
        <v>1</v>
      </c>
      <c r="AC3296" t="s">
        <v>138</v>
      </c>
      <c r="AD3296" t="s">
        <v>129</v>
      </c>
      <c r="AE3296" s="97"/>
    </row>
    <row r="3297" spans="1:31" ht="14.4" customHeight="1" x14ac:dyDescent="0.3">
      <c r="A3297" t="s">
        <v>5888</v>
      </c>
      <c r="B3297" t="s">
        <v>1717</v>
      </c>
      <c r="C3297"/>
      <c r="D3297"/>
      <c r="E3297"/>
      <c r="F3297"/>
      <c r="G3297" t="s">
        <v>5838</v>
      </c>
      <c r="H3297" t="s">
        <v>132</v>
      </c>
      <c r="I3297" t="s">
        <v>1</v>
      </c>
      <c r="J3297" t="s">
        <v>5298</v>
      </c>
      <c r="K3297" t="s">
        <v>51</v>
      </c>
      <c r="L3297" t="s">
        <v>1718</v>
      </c>
      <c r="M3297" t="s">
        <v>134</v>
      </c>
      <c r="N3297" t="s">
        <v>135</v>
      </c>
      <c r="O3297"/>
      <c r="P3297"/>
      <c r="Q3297" t="s">
        <v>168</v>
      </c>
      <c r="R3297"/>
      <c r="S3297"/>
      <c r="T3297" t="s">
        <v>169</v>
      </c>
      <c r="U3297" t="s">
        <v>137</v>
      </c>
      <c r="V3297" t="s">
        <v>159</v>
      </c>
      <c r="W3297"/>
      <c r="X3297" t="s">
        <v>106</v>
      </c>
      <c r="Y3297"/>
      <c r="Z3297"/>
      <c r="AA3297" t="s">
        <v>1579</v>
      </c>
      <c r="AB3297" t="s">
        <v>1</v>
      </c>
      <c r="AC3297" t="s">
        <v>138</v>
      </c>
      <c r="AD3297" t="s">
        <v>129</v>
      </c>
      <c r="AE3297" s="97"/>
    </row>
    <row r="3298" spans="1:31" ht="14.4" customHeight="1" x14ac:dyDescent="0.3">
      <c r="A3298" t="s">
        <v>5889</v>
      </c>
      <c r="B3298" t="s">
        <v>1720</v>
      </c>
      <c r="C3298"/>
      <c r="D3298"/>
      <c r="E3298"/>
      <c r="F3298"/>
      <c r="G3298" t="s">
        <v>5838</v>
      </c>
      <c r="H3298" t="s">
        <v>132</v>
      </c>
      <c r="I3298" t="s">
        <v>1</v>
      </c>
      <c r="J3298" t="s">
        <v>5298</v>
      </c>
      <c r="K3298" t="s">
        <v>51</v>
      </c>
      <c r="L3298" t="s">
        <v>1721</v>
      </c>
      <c r="M3298" t="s">
        <v>134</v>
      </c>
      <c r="N3298" t="s">
        <v>135</v>
      </c>
      <c r="O3298"/>
      <c r="P3298"/>
      <c r="Q3298" t="s">
        <v>168</v>
      </c>
      <c r="R3298"/>
      <c r="S3298"/>
      <c r="T3298" t="s">
        <v>169</v>
      </c>
      <c r="U3298" t="s">
        <v>137</v>
      </c>
      <c r="V3298" t="s">
        <v>159</v>
      </c>
      <c r="W3298"/>
      <c r="X3298" t="s">
        <v>106</v>
      </c>
      <c r="Y3298"/>
      <c r="Z3298"/>
      <c r="AA3298" t="s">
        <v>1579</v>
      </c>
      <c r="AB3298" t="s">
        <v>1</v>
      </c>
      <c r="AC3298" t="s">
        <v>138</v>
      </c>
      <c r="AD3298" t="s">
        <v>129</v>
      </c>
      <c r="AE3298" s="97"/>
    </row>
    <row r="3299" spans="1:31" ht="14.4" customHeight="1" x14ac:dyDescent="0.3">
      <c r="A3299" t="s">
        <v>5890</v>
      </c>
      <c r="B3299" t="s">
        <v>1723</v>
      </c>
      <c r="C3299"/>
      <c r="D3299"/>
      <c r="E3299"/>
      <c r="F3299"/>
      <c r="G3299" t="s">
        <v>5838</v>
      </c>
      <c r="H3299" t="s">
        <v>132</v>
      </c>
      <c r="I3299" t="s">
        <v>1</v>
      </c>
      <c r="J3299" t="s">
        <v>5298</v>
      </c>
      <c r="K3299" t="s">
        <v>51</v>
      </c>
      <c r="L3299" t="s">
        <v>1724</v>
      </c>
      <c r="M3299" t="s">
        <v>134</v>
      </c>
      <c r="N3299" t="s">
        <v>135</v>
      </c>
      <c r="O3299"/>
      <c r="P3299"/>
      <c r="Q3299" t="s">
        <v>168</v>
      </c>
      <c r="R3299"/>
      <c r="S3299"/>
      <c r="T3299" t="s">
        <v>169</v>
      </c>
      <c r="U3299" t="s">
        <v>137</v>
      </c>
      <c r="V3299" t="s">
        <v>162</v>
      </c>
      <c r="W3299"/>
      <c r="X3299" t="s">
        <v>113</v>
      </c>
      <c r="Y3299"/>
      <c r="Z3299"/>
      <c r="AA3299" t="s">
        <v>1579</v>
      </c>
      <c r="AB3299" t="s">
        <v>1</v>
      </c>
      <c r="AC3299" t="s">
        <v>138</v>
      </c>
      <c r="AD3299" t="s">
        <v>129</v>
      </c>
      <c r="AE3299" s="97"/>
    </row>
    <row r="3300" spans="1:31" ht="14.4" customHeight="1" x14ac:dyDescent="0.3">
      <c r="A3300" t="s">
        <v>5891</v>
      </c>
      <c r="B3300" t="s">
        <v>1726</v>
      </c>
      <c r="C3300"/>
      <c r="D3300"/>
      <c r="E3300"/>
      <c r="F3300"/>
      <c r="G3300" t="s">
        <v>5838</v>
      </c>
      <c r="H3300" t="s">
        <v>132</v>
      </c>
      <c r="I3300" t="s">
        <v>1</v>
      </c>
      <c r="J3300" t="s">
        <v>5298</v>
      </c>
      <c r="K3300" t="s">
        <v>51</v>
      </c>
      <c r="L3300" t="s">
        <v>1724</v>
      </c>
      <c r="M3300" t="s">
        <v>134</v>
      </c>
      <c r="N3300" t="s">
        <v>135</v>
      </c>
      <c r="O3300"/>
      <c r="P3300"/>
      <c r="Q3300" t="s">
        <v>168</v>
      </c>
      <c r="R3300"/>
      <c r="S3300"/>
      <c r="T3300" t="s">
        <v>169</v>
      </c>
      <c r="U3300" t="s">
        <v>137</v>
      </c>
      <c r="V3300" t="s">
        <v>162</v>
      </c>
      <c r="W3300"/>
      <c r="X3300" t="s">
        <v>113</v>
      </c>
      <c r="Y3300"/>
      <c r="Z3300"/>
      <c r="AA3300" t="s">
        <v>1579</v>
      </c>
      <c r="AB3300" t="s">
        <v>1</v>
      </c>
      <c r="AC3300" t="s">
        <v>138</v>
      </c>
      <c r="AD3300" t="s">
        <v>129</v>
      </c>
      <c r="AE3300" s="97"/>
    </row>
    <row r="3301" spans="1:31" ht="14.4" customHeight="1" x14ac:dyDescent="0.3">
      <c r="A3301" t="s">
        <v>5892</v>
      </c>
      <c r="B3301" t="s">
        <v>1728</v>
      </c>
      <c r="C3301"/>
      <c r="D3301"/>
      <c r="E3301"/>
      <c r="F3301"/>
      <c r="G3301" t="s">
        <v>5838</v>
      </c>
      <c r="H3301" t="s">
        <v>132</v>
      </c>
      <c r="I3301" t="s">
        <v>1</v>
      </c>
      <c r="J3301" t="s">
        <v>5298</v>
      </c>
      <c r="K3301" t="s">
        <v>51</v>
      </c>
      <c r="L3301" t="s">
        <v>1729</v>
      </c>
      <c r="M3301" t="s">
        <v>134</v>
      </c>
      <c r="N3301" t="s">
        <v>135</v>
      </c>
      <c r="O3301"/>
      <c r="P3301"/>
      <c r="Q3301" t="s">
        <v>168</v>
      </c>
      <c r="R3301"/>
      <c r="S3301"/>
      <c r="T3301" t="s">
        <v>169</v>
      </c>
      <c r="U3301" t="s">
        <v>137</v>
      </c>
      <c r="V3301" t="s">
        <v>162</v>
      </c>
      <c r="W3301" s="9">
        <v>46204.592619594907</v>
      </c>
      <c r="X3301" t="s">
        <v>113</v>
      </c>
      <c r="Y3301"/>
      <c r="Z3301"/>
      <c r="AA3301" t="s">
        <v>1579</v>
      </c>
      <c r="AB3301" t="s">
        <v>1</v>
      </c>
      <c r="AC3301" t="s">
        <v>24</v>
      </c>
      <c r="AD3301" t="s">
        <v>129</v>
      </c>
      <c r="AE3301" s="97"/>
    </row>
    <row r="3302" spans="1:31" ht="14.4" customHeight="1" x14ac:dyDescent="0.3">
      <c r="A3302" t="s">
        <v>5893</v>
      </c>
      <c r="B3302" t="s">
        <v>1731</v>
      </c>
      <c r="C3302"/>
      <c r="D3302"/>
      <c r="E3302"/>
      <c r="F3302"/>
      <c r="G3302" t="s">
        <v>5838</v>
      </c>
      <c r="H3302" t="s">
        <v>132</v>
      </c>
      <c r="I3302" t="s">
        <v>1</v>
      </c>
      <c r="J3302" t="s">
        <v>5298</v>
      </c>
      <c r="K3302" t="s">
        <v>51</v>
      </c>
      <c r="L3302" t="s">
        <v>1724</v>
      </c>
      <c r="M3302" t="s">
        <v>134</v>
      </c>
      <c r="N3302" t="s">
        <v>135</v>
      </c>
      <c r="O3302"/>
      <c r="P3302"/>
      <c r="Q3302" t="s">
        <v>168</v>
      </c>
      <c r="R3302"/>
      <c r="S3302"/>
      <c r="T3302" t="s">
        <v>169</v>
      </c>
      <c r="U3302" t="s">
        <v>137</v>
      </c>
      <c r="V3302" t="s">
        <v>162</v>
      </c>
      <c r="W3302"/>
      <c r="X3302" t="s">
        <v>113</v>
      </c>
      <c r="Y3302"/>
      <c r="Z3302"/>
      <c r="AA3302" t="s">
        <v>1579</v>
      </c>
      <c r="AB3302" t="s">
        <v>1</v>
      </c>
      <c r="AC3302" t="s">
        <v>138</v>
      </c>
      <c r="AD3302" t="s">
        <v>129</v>
      </c>
      <c r="AE3302" s="97"/>
    </row>
    <row r="3303" spans="1:31" ht="14.4" customHeight="1" x14ac:dyDescent="0.3">
      <c r="A3303" t="s">
        <v>5894</v>
      </c>
      <c r="B3303" t="s">
        <v>1737</v>
      </c>
      <c r="C3303"/>
      <c r="D3303"/>
      <c r="E3303"/>
      <c r="F3303"/>
      <c r="G3303" t="s">
        <v>5838</v>
      </c>
      <c r="H3303" t="s">
        <v>132</v>
      </c>
      <c r="I3303" t="s">
        <v>1</v>
      </c>
      <c r="J3303" t="s">
        <v>5298</v>
      </c>
      <c r="K3303" t="s">
        <v>51</v>
      </c>
      <c r="L3303" t="s">
        <v>1738</v>
      </c>
      <c r="M3303" t="s">
        <v>134</v>
      </c>
      <c r="N3303" t="s">
        <v>135</v>
      </c>
      <c r="O3303"/>
      <c r="P3303"/>
      <c r="Q3303" t="s">
        <v>168</v>
      </c>
      <c r="R3303"/>
      <c r="S3303"/>
      <c r="T3303" t="s">
        <v>169</v>
      </c>
      <c r="U3303" t="s">
        <v>137</v>
      </c>
      <c r="V3303" t="s">
        <v>162</v>
      </c>
      <c r="W3303"/>
      <c r="X3303" t="s">
        <v>113</v>
      </c>
      <c r="Y3303"/>
      <c r="Z3303"/>
      <c r="AA3303" t="s">
        <v>1579</v>
      </c>
      <c r="AB3303" t="s">
        <v>1</v>
      </c>
      <c r="AC3303" t="s">
        <v>138</v>
      </c>
      <c r="AD3303" t="s">
        <v>129</v>
      </c>
      <c r="AE3303" s="97"/>
    </row>
    <row r="3304" spans="1:31" ht="14.4" customHeight="1" x14ac:dyDescent="0.3">
      <c r="A3304" t="s">
        <v>5895</v>
      </c>
      <c r="B3304" t="s">
        <v>1740</v>
      </c>
      <c r="C3304"/>
      <c r="D3304"/>
      <c r="E3304"/>
      <c r="F3304"/>
      <c r="G3304" t="s">
        <v>5838</v>
      </c>
      <c r="H3304" t="s">
        <v>132</v>
      </c>
      <c r="I3304" t="s">
        <v>1</v>
      </c>
      <c r="J3304" t="s">
        <v>5298</v>
      </c>
      <c r="K3304" t="s">
        <v>51</v>
      </c>
      <c r="L3304" t="s">
        <v>1741</v>
      </c>
      <c r="M3304" t="s">
        <v>134</v>
      </c>
      <c r="N3304" t="s">
        <v>135</v>
      </c>
      <c r="O3304"/>
      <c r="P3304"/>
      <c r="Q3304" t="s">
        <v>168</v>
      </c>
      <c r="R3304"/>
      <c r="S3304"/>
      <c r="T3304" t="s">
        <v>169</v>
      </c>
      <c r="U3304" t="s">
        <v>137</v>
      </c>
      <c r="V3304" t="s">
        <v>162</v>
      </c>
      <c r="W3304"/>
      <c r="X3304" t="s">
        <v>113</v>
      </c>
      <c r="Y3304"/>
      <c r="Z3304"/>
      <c r="AA3304" t="s">
        <v>1579</v>
      </c>
      <c r="AB3304" t="s">
        <v>1</v>
      </c>
      <c r="AC3304" t="s">
        <v>138</v>
      </c>
      <c r="AD3304" t="s">
        <v>129</v>
      </c>
      <c r="AE3304" s="97"/>
    </row>
    <row r="3305" spans="1:31" ht="14.4" customHeight="1" x14ac:dyDescent="0.3">
      <c r="A3305" t="s">
        <v>5896</v>
      </c>
      <c r="B3305" t="s">
        <v>1743</v>
      </c>
      <c r="C3305"/>
      <c r="D3305"/>
      <c r="E3305"/>
      <c r="F3305"/>
      <c r="G3305" t="s">
        <v>5838</v>
      </c>
      <c r="H3305" t="s">
        <v>132</v>
      </c>
      <c r="I3305" t="s">
        <v>1</v>
      </c>
      <c r="J3305" t="s">
        <v>5298</v>
      </c>
      <c r="K3305" t="s">
        <v>51</v>
      </c>
      <c r="L3305" t="s">
        <v>1744</v>
      </c>
      <c r="M3305" t="s">
        <v>134</v>
      </c>
      <c r="N3305" t="s">
        <v>135</v>
      </c>
      <c r="O3305"/>
      <c r="P3305"/>
      <c r="Q3305" t="s">
        <v>168</v>
      </c>
      <c r="R3305"/>
      <c r="S3305"/>
      <c r="T3305" t="s">
        <v>169</v>
      </c>
      <c r="U3305" t="s">
        <v>137</v>
      </c>
      <c r="V3305" t="s">
        <v>165</v>
      </c>
      <c r="W3305"/>
      <c r="X3305" t="s">
        <v>122</v>
      </c>
      <c r="Y3305"/>
      <c r="Z3305"/>
      <c r="AA3305" t="s">
        <v>1579</v>
      </c>
      <c r="AB3305" t="s">
        <v>1</v>
      </c>
      <c r="AC3305" t="s">
        <v>138</v>
      </c>
      <c r="AD3305" t="s">
        <v>130</v>
      </c>
      <c r="AE3305" s="97"/>
    </row>
    <row r="3306" spans="1:31" ht="14.4" customHeight="1" x14ac:dyDescent="0.3">
      <c r="A3306" t="s">
        <v>5897</v>
      </c>
      <c r="B3306" t="s">
        <v>1746</v>
      </c>
      <c r="C3306"/>
      <c r="D3306"/>
      <c r="E3306"/>
      <c r="F3306"/>
      <c r="G3306" t="s">
        <v>5838</v>
      </c>
      <c r="H3306" t="s">
        <v>132</v>
      </c>
      <c r="I3306" t="s">
        <v>1</v>
      </c>
      <c r="J3306" t="s">
        <v>5298</v>
      </c>
      <c r="K3306" t="s">
        <v>51</v>
      </c>
      <c r="L3306" t="s">
        <v>1744</v>
      </c>
      <c r="M3306" t="s">
        <v>134</v>
      </c>
      <c r="N3306" t="s">
        <v>135</v>
      </c>
      <c r="O3306"/>
      <c r="P3306"/>
      <c r="Q3306" t="s">
        <v>168</v>
      </c>
      <c r="R3306"/>
      <c r="S3306"/>
      <c r="T3306" t="s">
        <v>169</v>
      </c>
      <c r="U3306" t="s">
        <v>137</v>
      </c>
      <c r="V3306" t="s">
        <v>165</v>
      </c>
      <c r="W3306"/>
      <c r="X3306" t="s">
        <v>122</v>
      </c>
      <c r="Y3306"/>
      <c r="Z3306"/>
      <c r="AA3306" t="s">
        <v>1579</v>
      </c>
      <c r="AB3306" t="s">
        <v>1</v>
      </c>
      <c r="AC3306" t="s">
        <v>138</v>
      </c>
      <c r="AD3306" t="s">
        <v>130</v>
      </c>
      <c r="AE3306" s="97"/>
    </row>
    <row r="3307" spans="1:31" ht="14.4" customHeight="1" x14ac:dyDescent="0.3">
      <c r="A3307" t="s">
        <v>5898</v>
      </c>
      <c r="B3307" t="s">
        <v>1748</v>
      </c>
      <c r="C3307"/>
      <c r="D3307"/>
      <c r="E3307"/>
      <c r="F3307"/>
      <c r="G3307" t="s">
        <v>5838</v>
      </c>
      <c r="H3307" t="s">
        <v>132</v>
      </c>
      <c r="I3307" t="s">
        <v>1</v>
      </c>
      <c r="J3307" t="s">
        <v>5298</v>
      </c>
      <c r="K3307" t="s">
        <v>51</v>
      </c>
      <c r="L3307" t="s">
        <v>1749</v>
      </c>
      <c r="M3307" t="s">
        <v>134</v>
      </c>
      <c r="N3307" t="s">
        <v>135</v>
      </c>
      <c r="O3307"/>
      <c r="P3307"/>
      <c r="Q3307" t="s">
        <v>168</v>
      </c>
      <c r="R3307"/>
      <c r="S3307"/>
      <c r="T3307" t="s">
        <v>169</v>
      </c>
      <c r="U3307" t="s">
        <v>137</v>
      </c>
      <c r="V3307" t="s">
        <v>165</v>
      </c>
      <c r="W3307" s="9">
        <v>46204.592945335651</v>
      </c>
      <c r="X3307" t="s">
        <v>122</v>
      </c>
      <c r="Y3307"/>
      <c r="Z3307"/>
      <c r="AA3307" t="s">
        <v>1579</v>
      </c>
      <c r="AB3307" t="s">
        <v>1</v>
      </c>
      <c r="AC3307" t="s">
        <v>24</v>
      </c>
      <c r="AD3307" t="s">
        <v>130</v>
      </c>
      <c r="AE3307" s="97"/>
    </row>
    <row r="3308" spans="1:31" ht="14.4" customHeight="1" x14ac:dyDescent="0.3">
      <c r="A3308" t="s">
        <v>5899</v>
      </c>
      <c r="B3308" t="s">
        <v>1751</v>
      </c>
      <c r="C3308"/>
      <c r="D3308"/>
      <c r="E3308"/>
      <c r="F3308"/>
      <c r="G3308" t="s">
        <v>5838</v>
      </c>
      <c r="H3308" t="s">
        <v>132</v>
      </c>
      <c r="I3308" t="s">
        <v>1</v>
      </c>
      <c r="J3308" t="s">
        <v>5298</v>
      </c>
      <c r="K3308" t="s">
        <v>51</v>
      </c>
      <c r="L3308" t="s">
        <v>1744</v>
      </c>
      <c r="M3308" t="s">
        <v>134</v>
      </c>
      <c r="N3308" t="s">
        <v>135</v>
      </c>
      <c r="O3308"/>
      <c r="P3308"/>
      <c r="Q3308" t="s">
        <v>168</v>
      </c>
      <c r="R3308"/>
      <c r="S3308"/>
      <c r="T3308" t="s">
        <v>169</v>
      </c>
      <c r="U3308" t="s">
        <v>137</v>
      </c>
      <c r="V3308" t="s">
        <v>165</v>
      </c>
      <c r="W3308"/>
      <c r="X3308" t="s">
        <v>122</v>
      </c>
      <c r="Y3308"/>
      <c r="Z3308"/>
      <c r="AA3308" t="s">
        <v>1579</v>
      </c>
      <c r="AB3308" t="s">
        <v>1</v>
      </c>
      <c r="AC3308" t="s">
        <v>138</v>
      </c>
      <c r="AD3308" t="s">
        <v>130</v>
      </c>
      <c r="AE3308" s="97"/>
    </row>
    <row r="3309" spans="1:31" ht="14.4" customHeight="1" x14ac:dyDescent="0.3">
      <c r="A3309" t="s">
        <v>5900</v>
      </c>
      <c r="B3309" t="s">
        <v>1757</v>
      </c>
      <c r="C3309"/>
      <c r="D3309"/>
      <c r="E3309"/>
      <c r="F3309"/>
      <c r="G3309" t="s">
        <v>5838</v>
      </c>
      <c r="H3309" t="s">
        <v>132</v>
      </c>
      <c r="I3309" t="s">
        <v>1</v>
      </c>
      <c r="J3309" t="s">
        <v>5298</v>
      </c>
      <c r="K3309" t="s">
        <v>51</v>
      </c>
      <c r="L3309" t="s">
        <v>1758</v>
      </c>
      <c r="M3309" t="s">
        <v>134</v>
      </c>
      <c r="N3309" t="s">
        <v>135</v>
      </c>
      <c r="O3309"/>
      <c r="P3309"/>
      <c r="Q3309" t="s">
        <v>168</v>
      </c>
      <c r="R3309"/>
      <c r="S3309"/>
      <c r="T3309" t="s">
        <v>169</v>
      </c>
      <c r="U3309" t="s">
        <v>137</v>
      </c>
      <c r="V3309" t="s">
        <v>165</v>
      </c>
      <c r="W3309"/>
      <c r="X3309" t="s">
        <v>122</v>
      </c>
      <c r="Y3309"/>
      <c r="Z3309"/>
      <c r="AA3309" t="s">
        <v>1579</v>
      </c>
      <c r="AB3309" t="s">
        <v>1</v>
      </c>
      <c r="AC3309" t="s">
        <v>138</v>
      </c>
      <c r="AD3309" t="s">
        <v>130</v>
      </c>
      <c r="AE3309" s="97"/>
    </row>
    <row r="3310" spans="1:31" ht="14.4" customHeight="1" x14ac:dyDescent="0.3">
      <c r="A3310" t="s">
        <v>5901</v>
      </c>
      <c r="B3310" t="s">
        <v>1760</v>
      </c>
      <c r="C3310"/>
      <c r="D3310"/>
      <c r="E3310"/>
      <c r="F3310"/>
      <c r="G3310" t="s">
        <v>5838</v>
      </c>
      <c r="H3310" t="s">
        <v>132</v>
      </c>
      <c r="I3310" t="s">
        <v>1</v>
      </c>
      <c r="J3310" t="s">
        <v>5298</v>
      </c>
      <c r="K3310" t="s">
        <v>51</v>
      </c>
      <c r="L3310" t="s">
        <v>1761</v>
      </c>
      <c r="M3310" t="s">
        <v>134</v>
      </c>
      <c r="N3310" t="s">
        <v>135</v>
      </c>
      <c r="O3310"/>
      <c r="P3310"/>
      <c r="Q3310" t="s">
        <v>168</v>
      </c>
      <c r="R3310"/>
      <c r="S3310"/>
      <c r="T3310" t="s">
        <v>169</v>
      </c>
      <c r="U3310" t="s">
        <v>137</v>
      </c>
      <c r="V3310" t="s">
        <v>165</v>
      </c>
      <c r="W3310"/>
      <c r="X3310" t="s">
        <v>122</v>
      </c>
      <c r="Y3310"/>
      <c r="Z3310"/>
      <c r="AA3310" t="s">
        <v>1579</v>
      </c>
      <c r="AB3310" t="s">
        <v>1</v>
      </c>
      <c r="AC3310" t="s">
        <v>138</v>
      </c>
      <c r="AD3310" t="s">
        <v>130</v>
      </c>
      <c r="AE3310" s="97"/>
    </row>
    <row r="3311" spans="1:31" ht="14.4" customHeight="1" x14ac:dyDescent="0.3">
      <c r="A3311" t="s">
        <v>5902</v>
      </c>
      <c r="B3311" t="s">
        <v>1792</v>
      </c>
      <c r="C3311"/>
      <c r="D3311"/>
      <c r="E3311"/>
      <c r="F3311"/>
      <c r="G3311" t="s">
        <v>5903</v>
      </c>
      <c r="H3311" t="s">
        <v>132</v>
      </c>
      <c r="I3311" t="s">
        <v>1</v>
      </c>
      <c r="J3311" t="s">
        <v>5298</v>
      </c>
      <c r="K3311" t="s">
        <v>51</v>
      </c>
      <c r="L3311" t="s">
        <v>1794</v>
      </c>
      <c r="M3311" t="s">
        <v>134</v>
      </c>
      <c r="N3311" t="s">
        <v>135</v>
      </c>
      <c r="O3311"/>
      <c r="P3311"/>
      <c r="Q3311" t="s">
        <v>1765</v>
      </c>
      <c r="R3311"/>
      <c r="S3311"/>
      <c r="T3311"/>
      <c r="U3311" t="s">
        <v>137</v>
      </c>
      <c r="V3311" t="s">
        <v>890</v>
      </c>
      <c r="W3311"/>
      <c r="X3311" t="s">
        <v>59</v>
      </c>
      <c r="Y3311"/>
      <c r="Z3311"/>
      <c r="AA3311" t="s">
        <v>5904</v>
      </c>
      <c r="AB3311" t="s">
        <v>1</v>
      </c>
      <c r="AC3311" t="s">
        <v>138</v>
      </c>
      <c r="AD3311" t="s">
        <v>128</v>
      </c>
      <c r="AE3311" s="97"/>
    </row>
    <row r="3312" spans="1:31" ht="14.4" customHeight="1" x14ac:dyDescent="0.3">
      <c r="A3312" t="s">
        <v>5905</v>
      </c>
      <c r="B3312" t="s">
        <v>1797</v>
      </c>
      <c r="C3312"/>
      <c r="D3312"/>
      <c r="E3312"/>
      <c r="F3312"/>
      <c r="G3312" t="s">
        <v>5903</v>
      </c>
      <c r="H3312" t="s">
        <v>132</v>
      </c>
      <c r="I3312" t="s">
        <v>1</v>
      </c>
      <c r="J3312" t="s">
        <v>5298</v>
      </c>
      <c r="K3312" t="s">
        <v>51</v>
      </c>
      <c r="L3312" t="s">
        <v>1798</v>
      </c>
      <c r="M3312" t="s">
        <v>134</v>
      </c>
      <c r="N3312" t="s">
        <v>135</v>
      </c>
      <c r="O3312"/>
      <c r="P3312"/>
      <c r="Q3312" t="s">
        <v>1765</v>
      </c>
      <c r="R3312"/>
      <c r="S3312"/>
      <c r="T3312"/>
      <c r="U3312" t="s">
        <v>137</v>
      </c>
      <c r="V3312" t="s">
        <v>897</v>
      </c>
      <c r="W3312"/>
      <c r="X3312" t="s">
        <v>64</v>
      </c>
      <c r="Y3312"/>
      <c r="Z3312"/>
      <c r="AA3312" t="s">
        <v>5904</v>
      </c>
      <c r="AB3312" t="s">
        <v>1</v>
      </c>
      <c r="AC3312" t="s">
        <v>138</v>
      </c>
      <c r="AD3312" t="s">
        <v>128</v>
      </c>
      <c r="AE3312" s="97"/>
    </row>
    <row r="3313" spans="1:31" ht="14.4" customHeight="1" x14ac:dyDescent="0.3">
      <c r="A3313" t="s">
        <v>5906</v>
      </c>
      <c r="B3313" t="s">
        <v>1800</v>
      </c>
      <c r="C3313"/>
      <c r="D3313"/>
      <c r="E3313"/>
      <c r="F3313"/>
      <c r="G3313" t="s">
        <v>5903</v>
      </c>
      <c r="H3313" t="s">
        <v>132</v>
      </c>
      <c r="I3313" t="s">
        <v>1</v>
      </c>
      <c r="J3313" t="s">
        <v>5298</v>
      </c>
      <c r="K3313" t="s">
        <v>51</v>
      </c>
      <c r="L3313" t="s">
        <v>1801</v>
      </c>
      <c r="M3313" t="s">
        <v>134</v>
      </c>
      <c r="N3313" t="s">
        <v>135</v>
      </c>
      <c r="O3313"/>
      <c r="P3313"/>
      <c r="Q3313" t="s">
        <v>1765</v>
      </c>
      <c r="R3313"/>
      <c r="S3313"/>
      <c r="T3313"/>
      <c r="U3313" t="s">
        <v>137</v>
      </c>
      <c r="V3313" t="s">
        <v>904</v>
      </c>
      <c r="W3313"/>
      <c r="X3313" t="s">
        <v>79</v>
      </c>
      <c r="Y3313"/>
      <c r="Z3313"/>
      <c r="AA3313" t="s">
        <v>5904</v>
      </c>
      <c r="AB3313" t="s">
        <v>1</v>
      </c>
      <c r="AC3313" t="s">
        <v>138</v>
      </c>
      <c r="AD3313" t="s">
        <v>129</v>
      </c>
      <c r="AE3313" s="97"/>
    </row>
    <row r="3314" spans="1:31" ht="14.4" customHeight="1" x14ac:dyDescent="0.3">
      <c r="A3314" t="s">
        <v>5907</v>
      </c>
      <c r="B3314" t="s">
        <v>1803</v>
      </c>
      <c r="C3314"/>
      <c r="D3314"/>
      <c r="E3314"/>
      <c r="F3314"/>
      <c r="G3314" t="s">
        <v>5903</v>
      </c>
      <c r="H3314" t="s">
        <v>132</v>
      </c>
      <c r="I3314" t="s">
        <v>1</v>
      </c>
      <c r="J3314" t="s">
        <v>5298</v>
      </c>
      <c r="K3314" t="s">
        <v>51</v>
      </c>
      <c r="L3314" t="s">
        <v>1804</v>
      </c>
      <c r="M3314" t="s">
        <v>134</v>
      </c>
      <c r="N3314" t="s">
        <v>135</v>
      </c>
      <c r="O3314"/>
      <c r="P3314"/>
      <c r="Q3314" t="s">
        <v>1765</v>
      </c>
      <c r="R3314"/>
      <c r="S3314"/>
      <c r="T3314"/>
      <c r="U3314" t="s">
        <v>137</v>
      </c>
      <c r="V3314" t="s">
        <v>911</v>
      </c>
      <c r="W3314"/>
      <c r="X3314" t="s">
        <v>83</v>
      </c>
      <c r="Y3314"/>
      <c r="Z3314"/>
      <c r="AA3314" t="s">
        <v>5904</v>
      </c>
      <c r="AB3314" t="s">
        <v>1</v>
      </c>
      <c r="AC3314" t="s">
        <v>138</v>
      </c>
      <c r="AD3314" t="s">
        <v>129</v>
      </c>
      <c r="AE3314" s="97"/>
    </row>
    <row r="3315" spans="1:31" ht="14.4" customHeight="1" x14ac:dyDescent="0.3">
      <c r="A3315" t="s">
        <v>5908</v>
      </c>
      <c r="B3315" t="s">
        <v>1806</v>
      </c>
      <c r="C3315"/>
      <c r="D3315"/>
      <c r="E3315"/>
      <c r="F3315"/>
      <c r="G3315" t="s">
        <v>5903</v>
      </c>
      <c r="H3315" t="s">
        <v>132</v>
      </c>
      <c r="I3315" t="s">
        <v>1</v>
      </c>
      <c r="J3315" t="s">
        <v>5298</v>
      </c>
      <c r="K3315" t="s">
        <v>51</v>
      </c>
      <c r="L3315" t="s">
        <v>1807</v>
      </c>
      <c r="M3315" t="s">
        <v>134</v>
      </c>
      <c r="N3315" t="s">
        <v>135</v>
      </c>
      <c r="O3315"/>
      <c r="P3315"/>
      <c r="Q3315" t="s">
        <v>1765</v>
      </c>
      <c r="R3315"/>
      <c r="S3315"/>
      <c r="T3315"/>
      <c r="U3315" t="s">
        <v>137</v>
      </c>
      <c r="V3315" t="s">
        <v>918</v>
      </c>
      <c r="W3315"/>
      <c r="X3315" t="s">
        <v>92</v>
      </c>
      <c r="Y3315"/>
      <c r="Z3315"/>
      <c r="AA3315" t="s">
        <v>5904</v>
      </c>
      <c r="AB3315" t="s">
        <v>1</v>
      </c>
      <c r="AC3315" t="s">
        <v>138</v>
      </c>
      <c r="AD3315" t="s">
        <v>129</v>
      </c>
      <c r="AE3315" s="97"/>
    </row>
    <row r="3316" spans="1:31" ht="14.4" customHeight="1" x14ac:dyDescent="0.3">
      <c r="A3316" t="s">
        <v>5909</v>
      </c>
      <c r="B3316" t="s">
        <v>1809</v>
      </c>
      <c r="C3316"/>
      <c r="D3316"/>
      <c r="E3316"/>
      <c r="F3316"/>
      <c r="G3316" t="s">
        <v>5903</v>
      </c>
      <c r="H3316" t="s">
        <v>132</v>
      </c>
      <c r="I3316" t="s">
        <v>1</v>
      </c>
      <c r="J3316" t="s">
        <v>5298</v>
      </c>
      <c r="K3316" t="s">
        <v>51</v>
      </c>
      <c r="L3316" t="s">
        <v>1810</v>
      </c>
      <c r="M3316" t="s">
        <v>134</v>
      </c>
      <c r="N3316" t="s">
        <v>135</v>
      </c>
      <c r="O3316"/>
      <c r="P3316"/>
      <c r="Q3316" t="s">
        <v>1765</v>
      </c>
      <c r="R3316"/>
      <c r="S3316"/>
      <c r="T3316"/>
      <c r="U3316" t="s">
        <v>137</v>
      </c>
      <c r="V3316" t="s">
        <v>925</v>
      </c>
      <c r="W3316"/>
      <c r="X3316" t="s">
        <v>101</v>
      </c>
      <c r="Y3316"/>
      <c r="Z3316"/>
      <c r="AA3316" t="s">
        <v>5904</v>
      </c>
      <c r="AB3316" t="s">
        <v>1</v>
      </c>
      <c r="AC3316" t="s">
        <v>138</v>
      </c>
      <c r="AD3316" t="s">
        <v>129</v>
      </c>
      <c r="AE3316" s="97"/>
    </row>
    <row r="3317" spans="1:31" ht="14.4" customHeight="1" x14ac:dyDescent="0.3">
      <c r="A3317" t="s">
        <v>5910</v>
      </c>
      <c r="B3317" t="s">
        <v>1812</v>
      </c>
      <c r="C3317"/>
      <c r="D3317"/>
      <c r="E3317"/>
      <c r="F3317"/>
      <c r="G3317" t="s">
        <v>5903</v>
      </c>
      <c r="H3317" t="s">
        <v>132</v>
      </c>
      <c r="I3317" t="s">
        <v>1</v>
      </c>
      <c r="J3317" t="s">
        <v>5298</v>
      </c>
      <c r="K3317" t="s">
        <v>51</v>
      </c>
      <c r="L3317" t="s">
        <v>1813</v>
      </c>
      <c r="M3317" t="s">
        <v>134</v>
      </c>
      <c r="N3317" t="s">
        <v>135</v>
      </c>
      <c r="O3317"/>
      <c r="P3317"/>
      <c r="Q3317" t="s">
        <v>1765</v>
      </c>
      <c r="R3317"/>
      <c r="S3317"/>
      <c r="T3317"/>
      <c r="U3317" t="s">
        <v>137</v>
      </c>
      <c r="V3317" t="s">
        <v>932</v>
      </c>
      <c r="W3317"/>
      <c r="X3317" t="s">
        <v>115</v>
      </c>
      <c r="Y3317"/>
      <c r="Z3317"/>
      <c r="AA3317" t="s">
        <v>5904</v>
      </c>
      <c r="AB3317" t="s">
        <v>1</v>
      </c>
      <c r="AC3317" t="s">
        <v>138</v>
      </c>
      <c r="AD3317" t="s">
        <v>130</v>
      </c>
      <c r="AE3317" s="97"/>
    </row>
    <row r="3318" spans="1:31" ht="14.4" customHeight="1" x14ac:dyDescent="0.3">
      <c r="A3318" t="s">
        <v>5911</v>
      </c>
      <c r="B3318" t="s">
        <v>1815</v>
      </c>
      <c r="C3318"/>
      <c r="D3318"/>
      <c r="E3318"/>
      <c r="F3318"/>
      <c r="G3318" t="s">
        <v>5903</v>
      </c>
      <c r="H3318" t="s">
        <v>132</v>
      </c>
      <c r="I3318" t="s">
        <v>1</v>
      </c>
      <c r="J3318" t="s">
        <v>5298</v>
      </c>
      <c r="K3318" t="s">
        <v>51</v>
      </c>
      <c r="L3318" t="s">
        <v>1816</v>
      </c>
      <c r="M3318" t="s">
        <v>134</v>
      </c>
      <c r="N3318" t="s">
        <v>135</v>
      </c>
      <c r="O3318"/>
      <c r="P3318"/>
      <c r="Q3318" t="s">
        <v>1765</v>
      </c>
      <c r="R3318"/>
      <c r="S3318"/>
      <c r="T3318"/>
      <c r="U3318" t="s">
        <v>137</v>
      </c>
      <c r="V3318" t="s">
        <v>352</v>
      </c>
      <c r="W3318"/>
      <c r="X3318" t="s">
        <v>56</v>
      </c>
      <c r="Y3318"/>
      <c r="Z3318"/>
      <c r="AA3318" t="s">
        <v>5904</v>
      </c>
      <c r="AB3318" t="s">
        <v>1</v>
      </c>
      <c r="AC3318" t="s">
        <v>138</v>
      </c>
      <c r="AD3318" t="s">
        <v>128</v>
      </c>
      <c r="AE3318" s="97"/>
    </row>
    <row r="3319" spans="1:31" ht="14.4" customHeight="1" x14ac:dyDescent="0.3">
      <c r="A3319" t="s">
        <v>5912</v>
      </c>
      <c r="B3319" t="s">
        <v>1818</v>
      </c>
      <c r="C3319"/>
      <c r="D3319"/>
      <c r="E3319"/>
      <c r="F3319"/>
      <c r="G3319" t="s">
        <v>5903</v>
      </c>
      <c r="H3319" t="s">
        <v>132</v>
      </c>
      <c r="I3319" t="s">
        <v>1</v>
      </c>
      <c r="J3319" t="s">
        <v>5298</v>
      </c>
      <c r="K3319" t="s">
        <v>51</v>
      </c>
      <c r="L3319" t="s">
        <v>1819</v>
      </c>
      <c r="M3319" t="s">
        <v>134</v>
      </c>
      <c r="N3319" t="s">
        <v>135</v>
      </c>
      <c r="O3319"/>
      <c r="P3319"/>
      <c r="Q3319" t="s">
        <v>1765</v>
      </c>
      <c r="R3319"/>
      <c r="S3319"/>
      <c r="T3319"/>
      <c r="U3319" t="s">
        <v>137</v>
      </c>
      <c r="V3319" t="s">
        <v>324</v>
      </c>
      <c r="W3319"/>
      <c r="X3319" t="s">
        <v>60</v>
      </c>
      <c r="Y3319"/>
      <c r="Z3319"/>
      <c r="AA3319" t="s">
        <v>5904</v>
      </c>
      <c r="AB3319" t="s">
        <v>1</v>
      </c>
      <c r="AC3319" t="s">
        <v>138</v>
      </c>
      <c r="AD3319" t="s">
        <v>128</v>
      </c>
      <c r="AE3319" s="97"/>
    </row>
    <row r="3320" spans="1:31" ht="14.4" customHeight="1" x14ac:dyDescent="0.3">
      <c r="A3320" t="s">
        <v>5913</v>
      </c>
      <c r="B3320" t="s">
        <v>1821</v>
      </c>
      <c r="C3320"/>
      <c r="D3320"/>
      <c r="E3320"/>
      <c r="F3320"/>
      <c r="G3320" t="s">
        <v>5903</v>
      </c>
      <c r="H3320" t="s">
        <v>132</v>
      </c>
      <c r="I3320" t="s">
        <v>1</v>
      </c>
      <c r="J3320" t="s">
        <v>5298</v>
      </c>
      <c r="K3320" t="s">
        <v>51</v>
      </c>
      <c r="L3320" t="s">
        <v>1822</v>
      </c>
      <c r="M3320" t="s">
        <v>134</v>
      </c>
      <c r="N3320" t="s">
        <v>135</v>
      </c>
      <c r="O3320"/>
      <c r="P3320"/>
      <c r="Q3320" t="s">
        <v>1765</v>
      </c>
      <c r="R3320"/>
      <c r="S3320"/>
      <c r="T3320"/>
      <c r="U3320" t="s">
        <v>137</v>
      </c>
      <c r="V3320" t="s">
        <v>328</v>
      </c>
      <c r="W3320"/>
      <c r="X3320" t="s">
        <v>65</v>
      </c>
      <c r="Y3320"/>
      <c r="Z3320"/>
      <c r="AA3320" t="s">
        <v>5904</v>
      </c>
      <c r="AB3320" t="s">
        <v>1</v>
      </c>
      <c r="AC3320" t="s">
        <v>138</v>
      </c>
      <c r="AD3320" t="s">
        <v>128</v>
      </c>
      <c r="AE3320" s="97"/>
    </row>
    <row r="3321" spans="1:31" ht="14.4" customHeight="1" x14ac:dyDescent="0.3">
      <c r="A3321" t="s">
        <v>5914</v>
      </c>
      <c r="B3321" t="s">
        <v>1824</v>
      </c>
      <c r="C3321"/>
      <c r="D3321"/>
      <c r="E3321"/>
      <c r="F3321"/>
      <c r="G3321" t="s">
        <v>5903</v>
      </c>
      <c r="H3321" t="s">
        <v>132</v>
      </c>
      <c r="I3321" t="s">
        <v>1</v>
      </c>
      <c r="J3321" t="s">
        <v>5298</v>
      </c>
      <c r="K3321" t="s">
        <v>51</v>
      </c>
      <c r="L3321" t="s">
        <v>1825</v>
      </c>
      <c r="M3321" t="s">
        <v>134</v>
      </c>
      <c r="N3321" t="s">
        <v>135</v>
      </c>
      <c r="O3321"/>
      <c r="P3321"/>
      <c r="Q3321" t="s">
        <v>1765</v>
      </c>
      <c r="R3321"/>
      <c r="S3321"/>
      <c r="T3321"/>
      <c r="U3321" t="s">
        <v>137</v>
      </c>
      <c r="V3321" t="s">
        <v>332</v>
      </c>
      <c r="W3321"/>
      <c r="X3321" t="s">
        <v>80</v>
      </c>
      <c r="Y3321"/>
      <c r="Z3321"/>
      <c r="AA3321" t="s">
        <v>5904</v>
      </c>
      <c r="AB3321" t="s">
        <v>1</v>
      </c>
      <c r="AC3321" t="s">
        <v>138</v>
      </c>
      <c r="AD3321" t="s">
        <v>129</v>
      </c>
      <c r="AE3321" s="97"/>
    </row>
    <row r="3322" spans="1:31" ht="14.4" customHeight="1" x14ac:dyDescent="0.3">
      <c r="A3322" t="s">
        <v>5915</v>
      </c>
      <c r="B3322" t="s">
        <v>1827</v>
      </c>
      <c r="C3322"/>
      <c r="D3322"/>
      <c r="E3322"/>
      <c r="F3322"/>
      <c r="G3322" t="s">
        <v>5903</v>
      </c>
      <c r="H3322" t="s">
        <v>132</v>
      </c>
      <c r="I3322" t="s">
        <v>1</v>
      </c>
      <c r="J3322" t="s">
        <v>5298</v>
      </c>
      <c r="K3322" t="s">
        <v>51</v>
      </c>
      <c r="L3322" t="s">
        <v>1828</v>
      </c>
      <c r="M3322" t="s">
        <v>134</v>
      </c>
      <c r="N3322" t="s">
        <v>135</v>
      </c>
      <c r="O3322"/>
      <c r="P3322"/>
      <c r="Q3322" t="s">
        <v>1765</v>
      </c>
      <c r="R3322"/>
      <c r="S3322"/>
      <c r="T3322"/>
      <c r="U3322" t="s">
        <v>137</v>
      </c>
      <c r="V3322" t="s">
        <v>336</v>
      </c>
      <c r="W3322"/>
      <c r="X3322" t="s">
        <v>84</v>
      </c>
      <c r="Y3322"/>
      <c r="Z3322"/>
      <c r="AA3322" t="s">
        <v>5904</v>
      </c>
      <c r="AB3322" t="s">
        <v>1</v>
      </c>
      <c r="AC3322" t="s">
        <v>138</v>
      </c>
      <c r="AD3322" t="s">
        <v>129</v>
      </c>
      <c r="AE3322" s="97"/>
    </row>
    <row r="3323" spans="1:31" ht="14.4" customHeight="1" x14ac:dyDescent="0.3">
      <c r="A3323" t="s">
        <v>5916</v>
      </c>
      <c r="B3323" t="s">
        <v>1830</v>
      </c>
      <c r="C3323"/>
      <c r="D3323"/>
      <c r="E3323"/>
      <c r="F3323"/>
      <c r="G3323" t="s">
        <v>5903</v>
      </c>
      <c r="H3323" t="s">
        <v>132</v>
      </c>
      <c r="I3323" t="s">
        <v>1</v>
      </c>
      <c r="J3323" t="s">
        <v>5298</v>
      </c>
      <c r="K3323" t="s">
        <v>51</v>
      </c>
      <c r="L3323" t="s">
        <v>1831</v>
      </c>
      <c r="M3323" t="s">
        <v>134</v>
      </c>
      <c r="N3323" t="s">
        <v>135</v>
      </c>
      <c r="O3323"/>
      <c r="P3323"/>
      <c r="Q3323" t="s">
        <v>1765</v>
      </c>
      <c r="R3323"/>
      <c r="S3323"/>
      <c r="T3323"/>
      <c r="U3323" t="s">
        <v>137</v>
      </c>
      <c r="V3323" t="s">
        <v>340</v>
      </c>
      <c r="W3323"/>
      <c r="X3323" t="s">
        <v>93</v>
      </c>
      <c r="Y3323"/>
      <c r="Z3323"/>
      <c r="AA3323" t="s">
        <v>5904</v>
      </c>
      <c r="AB3323" t="s">
        <v>1</v>
      </c>
      <c r="AC3323" t="s">
        <v>138</v>
      </c>
      <c r="AD3323" t="s">
        <v>129</v>
      </c>
      <c r="AE3323" s="97"/>
    </row>
    <row r="3324" spans="1:31" ht="14.4" customHeight="1" x14ac:dyDescent="0.3">
      <c r="A3324" t="s">
        <v>5917</v>
      </c>
      <c r="B3324" t="s">
        <v>1833</v>
      </c>
      <c r="C3324"/>
      <c r="D3324"/>
      <c r="E3324"/>
      <c r="F3324"/>
      <c r="G3324" t="s">
        <v>5903</v>
      </c>
      <c r="H3324" t="s">
        <v>132</v>
      </c>
      <c r="I3324" t="s">
        <v>1</v>
      </c>
      <c r="J3324" t="s">
        <v>5298</v>
      </c>
      <c r="K3324" t="s">
        <v>51</v>
      </c>
      <c r="L3324" t="s">
        <v>1834</v>
      </c>
      <c r="M3324" t="s">
        <v>134</v>
      </c>
      <c r="N3324" t="s">
        <v>135</v>
      </c>
      <c r="O3324"/>
      <c r="P3324"/>
      <c r="Q3324" t="s">
        <v>1765</v>
      </c>
      <c r="R3324"/>
      <c r="S3324"/>
      <c r="T3324"/>
      <c r="U3324" t="s">
        <v>137</v>
      </c>
      <c r="V3324" t="s">
        <v>344</v>
      </c>
      <c r="W3324"/>
      <c r="X3324" t="s">
        <v>102</v>
      </c>
      <c r="Y3324"/>
      <c r="Z3324"/>
      <c r="AA3324" t="s">
        <v>5904</v>
      </c>
      <c r="AB3324" t="s">
        <v>1</v>
      </c>
      <c r="AC3324" t="s">
        <v>138</v>
      </c>
      <c r="AD3324" t="s">
        <v>129</v>
      </c>
      <c r="AE3324" s="97"/>
    </row>
    <row r="3325" spans="1:31" ht="14.4" customHeight="1" x14ac:dyDescent="0.3">
      <c r="A3325" t="s">
        <v>5918</v>
      </c>
      <c r="B3325" t="s">
        <v>1836</v>
      </c>
      <c r="C3325"/>
      <c r="D3325"/>
      <c r="E3325"/>
      <c r="F3325"/>
      <c r="G3325" t="s">
        <v>5903</v>
      </c>
      <c r="H3325" t="s">
        <v>132</v>
      </c>
      <c r="I3325" t="s">
        <v>1</v>
      </c>
      <c r="J3325" t="s">
        <v>5298</v>
      </c>
      <c r="K3325" t="s">
        <v>51</v>
      </c>
      <c r="L3325" t="s">
        <v>1837</v>
      </c>
      <c r="M3325" t="s">
        <v>134</v>
      </c>
      <c r="N3325" t="s">
        <v>135</v>
      </c>
      <c r="O3325"/>
      <c r="P3325"/>
      <c r="Q3325" t="s">
        <v>1765</v>
      </c>
      <c r="R3325"/>
      <c r="S3325"/>
      <c r="T3325"/>
      <c r="U3325" t="s">
        <v>137</v>
      </c>
      <c r="V3325" t="s">
        <v>348</v>
      </c>
      <c r="W3325"/>
      <c r="X3325" t="s">
        <v>116</v>
      </c>
      <c r="Y3325"/>
      <c r="Z3325"/>
      <c r="AA3325" t="s">
        <v>5904</v>
      </c>
      <c r="AB3325" t="s">
        <v>1</v>
      </c>
      <c r="AC3325" t="s">
        <v>138</v>
      </c>
      <c r="AD3325" t="s">
        <v>130</v>
      </c>
      <c r="AE3325" s="97"/>
    </row>
    <row r="3326" spans="1:31" ht="14.4" customHeight="1" x14ac:dyDescent="0.3">
      <c r="A3326" t="s">
        <v>5919</v>
      </c>
      <c r="B3326" t="s">
        <v>1839</v>
      </c>
      <c r="C3326"/>
      <c r="D3326"/>
      <c r="E3326"/>
      <c r="F3326"/>
      <c r="G3326" t="s">
        <v>5903</v>
      </c>
      <c r="H3326" t="s">
        <v>132</v>
      </c>
      <c r="I3326" t="s">
        <v>1</v>
      </c>
      <c r="J3326" t="s">
        <v>5298</v>
      </c>
      <c r="K3326" t="s">
        <v>51</v>
      </c>
      <c r="L3326" t="s">
        <v>1840</v>
      </c>
      <c r="M3326" t="s">
        <v>134</v>
      </c>
      <c r="N3326" t="s">
        <v>135</v>
      </c>
      <c r="O3326"/>
      <c r="P3326"/>
      <c r="Q3326" t="s">
        <v>1765</v>
      </c>
      <c r="R3326"/>
      <c r="S3326"/>
      <c r="T3326"/>
      <c r="U3326" t="s">
        <v>137</v>
      </c>
      <c r="V3326" t="s">
        <v>352</v>
      </c>
      <c r="W3326"/>
      <c r="X3326" t="s">
        <v>56</v>
      </c>
      <c r="Y3326"/>
      <c r="Z3326"/>
      <c r="AA3326" t="s">
        <v>5904</v>
      </c>
      <c r="AB3326" t="s">
        <v>1</v>
      </c>
      <c r="AC3326" t="s">
        <v>138</v>
      </c>
      <c r="AD3326" t="s">
        <v>128</v>
      </c>
      <c r="AE3326" s="97"/>
    </row>
    <row r="3327" spans="1:31" ht="14.4" customHeight="1" x14ac:dyDescent="0.3">
      <c r="A3327" t="s">
        <v>5920</v>
      </c>
      <c r="B3327" t="s">
        <v>1842</v>
      </c>
      <c r="C3327"/>
      <c r="D3327"/>
      <c r="E3327"/>
      <c r="F3327"/>
      <c r="G3327" t="s">
        <v>5903</v>
      </c>
      <c r="H3327" t="s">
        <v>132</v>
      </c>
      <c r="I3327" t="s">
        <v>1</v>
      </c>
      <c r="J3327" t="s">
        <v>5298</v>
      </c>
      <c r="K3327" t="s">
        <v>51</v>
      </c>
      <c r="L3327" t="s">
        <v>1843</v>
      </c>
      <c r="M3327" t="s">
        <v>134</v>
      </c>
      <c r="N3327" t="s">
        <v>135</v>
      </c>
      <c r="O3327"/>
      <c r="P3327"/>
      <c r="Q3327" t="s">
        <v>1765</v>
      </c>
      <c r="R3327"/>
      <c r="S3327"/>
      <c r="T3327"/>
      <c r="U3327" t="s">
        <v>137</v>
      </c>
      <c r="V3327" t="s">
        <v>147</v>
      </c>
      <c r="W3327"/>
      <c r="X3327" t="s">
        <v>70</v>
      </c>
      <c r="Y3327"/>
      <c r="Z3327"/>
      <c r="AA3327" t="s">
        <v>5904</v>
      </c>
      <c r="AB3327" t="s">
        <v>1</v>
      </c>
      <c r="AC3327" t="s">
        <v>138</v>
      </c>
      <c r="AD3327" t="s">
        <v>128</v>
      </c>
      <c r="AE3327" s="97"/>
    </row>
    <row r="3328" spans="1:31" ht="14.4" customHeight="1" x14ac:dyDescent="0.3">
      <c r="A3328" t="s">
        <v>5921</v>
      </c>
      <c r="B3328" t="s">
        <v>1845</v>
      </c>
      <c r="C3328"/>
      <c r="D3328"/>
      <c r="E3328"/>
      <c r="F3328"/>
      <c r="G3328" t="s">
        <v>5903</v>
      </c>
      <c r="H3328" t="s">
        <v>132</v>
      </c>
      <c r="I3328" t="s">
        <v>1</v>
      </c>
      <c r="J3328" t="s">
        <v>5298</v>
      </c>
      <c r="K3328" t="s">
        <v>51</v>
      </c>
      <c r="L3328" t="s">
        <v>1843</v>
      </c>
      <c r="M3328" t="s">
        <v>134</v>
      </c>
      <c r="N3328" t="s">
        <v>135</v>
      </c>
      <c r="O3328"/>
      <c r="P3328"/>
      <c r="Q3328" t="s">
        <v>1765</v>
      </c>
      <c r="R3328"/>
      <c r="S3328"/>
      <c r="T3328"/>
      <c r="U3328" t="s">
        <v>137</v>
      </c>
      <c r="V3328" t="s">
        <v>150</v>
      </c>
      <c r="W3328"/>
      <c r="X3328" t="s">
        <v>76</v>
      </c>
      <c r="Y3328"/>
      <c r="Z3328"/>
      <c r="AA3328" t="s">
        <v>5904</v>
      </c>
      <c r="AB3328" t="s">
        <v>1</v>
      </c>
      <c r="AC3328" t="s">
        <v>138</v>
      </c>
      <c r="AD3328" t="s">
        <v>128</v>
      </c>
      <c r="AE3328" s="97"/>
    </row>
    <row r="3329" spans="1:31" ht="14.4" customHeight="1" x14ac:dyDescent="0.3">
      <c r="A3329" t="s">
        <v>5922</v>
      </c>
      <c r="B3329" t="s">
        <v>1847</v>
      </c>
      <c r="C3329"/>
      <c r="D3329"/>
      <c r="E3329"/>
      <c r="F3329"/>
      <c r="G3329" t="s">
        <v>5903</v>
      </c>
      <c r="H3329" t="s">
        <v>132</v>
      </c>
      <c r="I3329" t="s">
        <v>1</v>
      </c>
      <c r="J3329" t="s">
        <v>5298</v>
      </c>
      <c r="K3329" t="s">
        <v>51</v>
      </c>
      <c r="L3329" t="s">
        <v>1843</v>
      </c>
      <c r="M3329" t="s">
        <v>134</v>
      </c>
      <c r="N3329" t="s">
        <v>135</v>
      </c>
      <c r="O3329"/>
      <c r="P3329"/>
      <c r="Q3329" t="s">
        <v>1765</v>
      </c>
      <c r="R3329"/>
      <c r="S3329"/>
      <c r="T3329"/>
      <c r="U3329" t="s">
        <v>137</v>
      </c>
      <c r="V3329" t="s">
        <v>153</v>
      </c>
      <c r="W3329"/>
      <c r="X3329" t="s">
        <v>88</v>
      </c>
      <c r="Y3329"/>
      <c r="Z3329"/>
      <c r="AA3329" t="s">
        <v>5904</v>
      </c>
      <c r="AB3329" t="s">
        <v>1</v>
      </c>
      <c r="AC3329" t="s">
        <v>138</v>
      </c>
      <c r="AD3329" t="s">
        <v>129</v>
      </c>
      <c r="AE3329" s="97"/>
    </row>
    <row r="3330" spans="1:31" ht="14.4" customHeight="1" x14ac:dyDescent="0.3">
      <c r="A3330" t="s">
        <v>5923</v>
      </c>
      <c r="B3330" t="s">
        <v>1849</v>
      </c>
      <c r="C3330"/>
      <c r="D3330"/>
      <c r="E3330"/>
      <c r="F3330"/>
      <c r="G3330" t="s">
        <v>5903</v>
      </c>
      <c r="H3330" t="s">
        <v>132</v>
      </c>
      <c r="I3330" t="s">
        <v>1</v>
      </c>
      <c r="J3330" t="s">
        <v>5298</v>
      </c>
      <c r="K3330" t="s">
        <v>51</v>
      </c>
      <c r="L3330" t="s">
        <v>1843</v>
      </c>
      <c r="M3330" t="s">
        <v>134</v>
      </c>
      <c r="N3330" t="s">
        <v>135</v>
      </c>
      <c r="O3330"/>
      <c r="P3330"/>
      <c r="Q3330" t="s">
        <v>1765</v>
      </c>
      <c r="R3330"/>
      <c r="S3330"/>
      <c r="T3330"/>
      <c r="U3330" t="s">
        <v>137</v>
      </c>
      <c r="V3330" t="s">
        <v>156</v>
      </c>
      <c r="W3330"/>
      <c r="X3330" t="s">
        <v>97</v>
      </c>
      <c r="Y3330"/>
      <c r="Z3330"/>
      <c r="AA3330" t="s">
        <v>5904</v>
      </c>
      <c r="AB3330" t="s">
        <v>1</v>
      </c>
      <c r="AC3330" t="s">
        <v>138</v>
      </c>
      <c r="AD3330" t="s">
        <v>129</v>
      </c>
      <c r="AE3330" s="97"/>
    </row>
    <row r="3331" spans="1:31" ht="14.4" customHeight="1" x14ac:dyDescent="0.3">
      <c r="A3331" t="s">
        <v>5924</v>
      </c>
      <c r="B3331" t="s">
        <v>1851</v>
      </c>
      <c r="C3331"/>
      <c r="D3331"/>
      <c r="E3331"/>
      <c r="F3331"/>
      <c r="G3331" t="s">
        <v>5903</v>
      </c>
      <c r="H3331" t="s">
        <v>132</v>
      </c>
      <c r="I3331" t="s">
        <v>1</v>
      </c>
      <c r="J3331" t="s">
        <v>5298</v>
      </c>
      <c r="K3331" t="s">
        <v>51</v>
      </c>
      <c r="L3331" t="s">
        <v>1843</v>
      </c>
      <c r="M3331" t="s">
        <v>134</v>
      </c>
      <c r="N3331" t="s">
        <v>135</v>
      </c>
      <c r="O3331"/>
      <c r="P3331"/>
      <c r="Q3331" t="s">
        <v>1765</v>
      </c>
      <c r="R3331"/>
      <c r="S3331"/>
      <c r="T3331"/>
      <c r="U3331" t="s">
        <v>137</v>
      </c>
      <c r="V3331" t="s">
        <v>159</v>
      </c>
      <c r="W3331"/>
      <c r="X3331" t="s">
        <v>106</v>
      </c>
      <c r="Y3331"/>
      <c r="Z3331"/>
      <c r="AA3331" t="s">
        <v>5904</v>
      </c>
      <c r="AB3331" t="s">
        <v>1</v>
      </c>
      <c r="AC3331" t="s">
        <v>138</v>
      </c>
      <c r="AD3331" t="s">
        <v>129</v>
      </c>
      <c r="AE3331" s="97"/>
    </row>
    <row r="3332" spans="1:31" ht="14.4" customHeight="1" x14ac:dyDescent="0.3">
      <c r="A3332" t="s">
        <v>5925</v>
      </c>
      <c r="B3332" t="s">
        <v>1853</v>
      </c>
      <c r="C3332"/>
      <c r="D3332"/>
      <c r="E3332"/>
      <c r="F3332"/>
      <c r="G3332" t="s">
        <v>5903</v>
      </c>
      <c r="H3332" t="s">
        <v>132</v>
      </c>
      <c r="I3332" t="s">
        <v>1</v>
      </c>
      <c r="J3332" t="s">
        <v>5298</v>
      </c>
      <c r="K3332" t="s">
        <v>51</v>
      </c>
      <c r="L3332" t="s">
        <v>1843</v>
      </c>
      <c r="M3332" t="s">
        <v>134</v>
      </c>
      <c r="N3332" t="s">
        <v>135</v>
      </c>
      <c r="O3332"/>
      <c r="P3332"/>
      <c r="Q3332" t="s">
        <v>1765</v>
      </c>
      <c r="R3332"/>
      <c r="S3332"/>
      <c r="T3332"/>
      <c r="U3332" t="s">
        <v>137</v>
      </c>
      <c r="V3332" t="s">
        <v>162</v>
      </c>
      <c r="W3332"/>
      <c r="X3332" t="s">
        <v>113</v>
      </c>
      <c r="Y3332"/>
      <c r="Z3332"/>
      <c r="AA3332" t="s">
        <v>5904</v>
      </c>
      <c r="AB3332" t="s">
        <v>1</v>
      </c>
      <c r="AC3332" t="s">
        <v>138</v>
      </c>
      <c r="AD3332" t="s">
        <v>129</v>
      </c>
      <c r="AE3332" s="97"/>
    </row>
    <row r="3333" spans="1:31" ht="14.4" customHeight="1" x14ac:dyDescent="0.3">
      <c r="A3333" t="s">
        <v>5926</v>
      </c>
      <c r="B3333" t="s">
        <v>1855</v>
      </c>
      <c r="C3333"/>
      <c r="D3333"/>
      <c r="E3333"/>
      <c r="F3333"/>
      <c r="G3333" t="s">
        <v>5903</v>
      </c>
      <c r="H3333" t="s">
        <v>132</v>
      </c>
      <c r="I3333" t="s">
        <v>1</v>
      </c>
      <c r="J3333" t="s">
        <v>5298</v>
      </c>
      <c r="K3333" t="s">
        <v>51</v>
      </c>
      <c r="L3333" t="s">
        <v>1843</v>
      </c>
      <c r="M3333" t="s">
        <v>134</v>
      </c>
      <c r="N3333" t="s">
        <v>135</v>
      </c>
      <c r="O3333"/>
      <c r="P3333"/>
      <c r="Q3333" t="s">
        <v>1765</v>
      </c>
      <c r="R3333"/>
      <c r="S3333"/>
      <c r="T3333"/>
      <c r="U3333" t="s">
        <v>137</v>
      </c>
      <c r="V3333" t="s">
        <v>165</v>
      </c>
      <c r="W3333"/>
      <c r="X3333" t="s">
        <v>122</v>
      </c>
      <c r="Y3333"/>
      <c r="Z3333"/>
      <c r="AA3333" t="s">
        <v>5904</v>
      </c>
      <c r="AB3333" t="s">
        <v>1</v>
      </c>
      <c r="AC3333" t="s">
        <v>138</v>
      </c>
      <c r="AD3333" t="s">
        <v>130</v>
      </c>
      <c r="AE3333" s="97"/>
    </row>
    <row r="3334" spans="1:31" ht="14.4" customHeight="1" x14ac:dyDescent="0.3">
      <c r="A3334" t="s">
        <v>5927</v>
      </c>
      <c r="B3334" t="s">
        <v>1857</v>
      </c>
      <c r="C3334"/>
      <c r="D3334"/>
      <c r="E3334"/>
      <c r="F3334"/>
      <c r="G3334" t="s">
        <v>5903</v>
      </c>
      <c r="H3334" t="s">
        <v>132</v>
      </c>
      <c r="I3334" t="s">
        <v>1</v>
      </c>
      <c r="J3334" t="s">
        <v>5298</v>
      </c>
      <c r="K3334" t="s">
        <v>51</v>
      </c>
      <c r="L3334" t="s">
        <v>1858</v>
      </c>
      <c r="M3334" t="s">
        <v>134</v>
      </c>
      <c r="N3334" t="s">
        <v>135</v>
      </c>
      <c r="O3334"/>
      <c r="P3334"/>
      <c r="Q3334" t="s">
        <v>1765</v>
      </c>
      <c r="R3334"/>
      <c r="S3334"/>
      <c r="T3334"/>
      <c r="U3334" t="s">
        <v>137</v>
      </c>
      <c r="V3334" t="s">
        <v>296</v>
      </c>
      <c r="W3334"/>
      <c r="X3334" t="s">
        <v>63</v>
      </c>
      <c r="Y3334"/>
      <c r="Z3334"/>
      <c r="AA3334" t="s">
        <v>5904</v>
      </c>
      <c r="AB3334" t="s">
        <v>1</v>
      </c>
      <c r="AC3334" t="s">
        <v>138</v>
      </c>
      <c r="AD3334" t="s">
        <v>128</v>
      </c>
      <c r="AE3334" s="97"/>
    </row>
    <row r="3335" spans="1:31" ht="14.4" customHeight="1" x14ac:dyDescent="0.3">
      <c r="A3335" t="s">
        <v>5928</v>
      </c>
      <c r="B3335" t="s">
        <v>1860</v>
      </c>
      <c r="C3335"/>
      <c r="D3335"/>
      <c r="E3335"/>
      <c r="F3335"/>
      <c r="G3335" t="s">
        <v>5903</v>
      </c>
      <c r="H3335" t="s">
        <v>132</v>
      </c>
      <c r="I3335" t="s">
        <v>1</v>
      </c>
      <c r="J3335" t="s">
        <v>5298</v>
      </c>
      <c r="K3335" t="s">
        <v>51</v>
      </c>
      <c r="L3335" t="s">
        <v>1861</v>
      </c>
      <c r="M3335" t="s">
        <v>134</v>
      </c>
      <c r="N3335" t="s">
        <v>135</v>
      </c>
      <c r="O3335"/>
      <c r="P3335"/>
      <c r="Q3335" t="s">
        <v>1765</v>
      </c>
      <c r="R3335"/>
      <c r="S3335"/>
      <c r="T3335"/>
      <c r="U3335" t="s">
        <v>137</v>
      </c>
      <c r="V3335" t="s">
        <v>300</v>
      </c>
      <c r="W3335"/>
      <c r="X3335" t="s">
        <v>72</v>
      </c>
      <c r="Y3335"/>
      <c r="Z3335"/>
      <c r="AA3335" t="s">
        <v>5904</v>
      </c>
      <c r="AB3335" t="s">
        <v>1</v>
      </c>
      <c r="AC3335" t="s">
        <v>138</v>
      </c>
      <c r="AD3335" t="s">
        <v>128</v>
      </c>
      <c r="AE3335" s="97"/>
    </row>
    <row r="3336" spans="1:31" ht="14.4" customHeight="1" x14ac:dyDescent="0.3">
      <c r="A3336" t="s">
        <v>5929</v>
      </c>
      <c r="B3336" t="s">
        <v>1863</v>
      </c>
      <c r="C3336"/>
      <c r="D3336"/>
      <c r="E3336"/>
      <c r="F3336"/>
      <c r="G3336" t="s">
        <v>5903</v>
      </c>
      <c r="H3336" t="s">
        <v>132</v>
      </c>
      <c r="I3336" t="s">
        <v>1</v>
      </c>
      <c r="J3336" t="s">
        <v>5298</v>
      </c>
      <c r="K3336" t="s">
        <v>51</v>
      </c>
      <c r="L3336" t="s">
        <v>1864</v>
      </c>
      <c r="M3336" t="s">
        <v>134</v>
      </c>
      <c r="N3336" t="s">
        <v>135</v>
      </c>
      <c r="O3336"/>
      <c r="P3336"/>
      <c r="Q3336" t="s">
        <v>1765</v>
      </c>
      <c r="R3336"/>
      <c r="S3336"/>
      <c r="T3336"/>
      <c r="U3336" t="s">
        <v>137</v>
      </c>
      <c r="V3336" t="s">
        <v>304</v>
      </c>
      <c r="W3336"/>
      <c r="X3336" t="s">
        <v>81</v>
      </c>
      <c r="Y3336"/>
      <c r="Z3336"/>
      <c r="AA3336" t="s">
        <v>5904</v>
      </c>
      <c r="AB3336" t="s">
        <v>1</v>
      </c>
      <c r="AC3336" t="s">
        <v>138</v>
      </c>
      <c r="AD3336" t="s">
        <v>129</v>
      </c>
      <c r="AE3336" s="97"/>
    </row>
    <row r="3337" spans="1:31" ht="14.4" customHeight="1" x14ac:dyDescent="0.3">
      <c r="A3337" t="s">
        <v>5930</v>
      </c>
      <c r="B3337" t="s">
        <v>1866</v>
      </c>
      <c r="C3337"/>
      <c r="D3337"/>
      <c r="E3337"/>
      <c r="F3337"/>
      <c r="G3337" t="s">
        <v>5903</v>
      </c>
      <c r="H3337" t="s">
        <v>132</v>
      </c>
      <c r="I3337" t="s">
        <v>1</v>
      </c>
      <c r="J3337" t="s">
        <v>5298</v>
      </c>
      <c r="K3337" t="s">
        <v>51</v>
      </c>
      <c r="L3337" t="s">
        <v>1867</v>
      </c>
      <c r="M3337" t="s">
        <v>134</v>
      </c>
      <c r="N3337" t="s">
        <v>135</v>
      </c>
      <c r="O3337"/>
      <c r="P3337"/>
      <c r="Q3337" t="s">
        <v>1765</v>
      </c>
      <c r="R3337"/>
      <c r="S3337"/>
      <c r="T3337"/>
      <c r="U3337" t="s">
        <v>137</v>
      </c>
      <c r="V3337" t="s">
        <v>308</v>
      </c>
      <c r="W3337"/>
      <c r="X3337" t="s">
        <v>90</v>
      </c>
      <c r="Y3337"/>
      <c r="Z3337"/>
      <c r="AA3337" t="s">
        <v>5904</v>
      </c>
      <c r="AB3337" t="s">
        <v>1</v>
      </c>
      <c r="AC3337" t="s">
        <v>138</v>
      </c>
      <c r="AD3337" t="s">
        <v>129</v>
      </c>
      <c r="AE3337" s="97"/>
    </row>
    <row r="3338" spans="1:31" ht="14.4" customHeight="1" x14ac:dyDescent="0.3">
      <c r="A3338" t="s">
        <v>5931</v>
      </c>
      <c r="B3338" t="s">
        <v>1869</v>
      </c>
      <c r="C3338"/>
      <c r="D3338"/>
      <c r="E3338"/>
      <c r="F3338"/>
      <c r="G3338" t="s">
        <v>5903</v>
      </c>
      <c r="H3338" t="s">
        <v>132</v>
      </c>
      <c r="I3338" t="s">
        <v>1</v>
      </c>
      <c r="J3338" t="s">
        <v>5298</v>
      </c>
      <c r="K3338" t="s">
        <v>51</v>
      </c>
      <c r="L3338" t="s">
        <v>1870</v>
      </c>
      <c r="M3338" t="s">
        <v>134</v>
      </c>
      <c r="N3338" t="s">
        <v>135</v>
      </c>
      <c r="O3338"/>
      <c r="P3338"/>
      <c r="Q3338" t="s">
        <v>1765</v>
      </c>
      <c r="R3338"/>
      <c r="S3338"/>
      <c r="T3338"/>
      <c r="U3338" t="s">
        <v>137</v>
      </c>
      <c r="V3338" t="s">
        <v>312</v>
      </c>
      <c r="W3338"/>
      <c r="X3338" t="s">
        <v>99</v>
      </c>
      <c r="Y3338"/>
      <c r="Z3338"/>
      <c r="AA3338" t="s">
        <v>5904</v>
      </c>
      <c r="AB3338" t="s">
        <v>1</v>
      </c>
      <c r="AC3338" t="s">
        <v>138</v>
      </c>
      <c r="AD3338" t="s">
        <v>129</v>
      </c>
      <c r="AE3338" s="97"/>
    </row>
    <row r="3339" spans="1:31" ht="14.4" customHeight="1" x14ac:dyDescent="0.3">
      <c r="A3339" t="s">
        <v>5932</v>
      </c>
      <c r="B3339" t="s">
        <v>1872</v>
      </c>
      <c r="C3339"/>
      <c r="D3339"/>
      <c r="E3339"/>
      <c r="F3339"/>
      <c r="G3339" t="s">
        <v>5903</v>
      </c>
      <c r="H3339" t="s">
        <v>132</v>
      </c>
      <c r="I3339" t="s">
        <v>1</v>
      </c>
      <c r="J3339" t="s">
        <v>5298</v>
      </c>
      <c r="K3339" t="s">
        <v>51</v>
      </c>
      <c r="L3339" t="s">
        <v>1873</v>
      </c>
      <c r="M3339" t="s">
        <v>134</v>
      </c>
      <c r="N3339" t="s">
        <v>135</v>
      </c>
      <c r="O3339"/>
      <c r="P3339"/>
      <c r="Q3339" t="s">
        <v>1765</v>
      </c>
      <c r="R3339"/>
      <c r="S3339"/>
      <c r="T3339"/>
      <c r="U3339" t="s">
        <v>137</v>
      </c>
      <c r="V3339" t="s">
        <v>316</v>
      </c>
      <c r="W3339"/>
      <c r="X3339" t="s">
        <v>108</v>
      </c>
      <c r="Y3339"/>
      <c r="Z3339"/>
      <c r="AA3339" t="s">
        <v>5904</v>
      </c>
      <c r="AB3339" t="s">
        <v>1</v>
      </c>
      <c r="AC3339" t="s">
        <v>138</v>
      </c>
      <c r="AD3339" t="s">
        <v>129</v>
      </c>
      <c r="AE3339" s="97"/>
    </row>
    <row r="3340" spans="1:31" ht="14.4" customHeight="1" x14ac:dyDescent="0.3">
      <c r="A3340" t="s">
        <v>5933</v>
      </c>
      <c r="B3340" t="s">
        <v>1875</v>
      </c>
      <c r="C3340"/>
      <c r="D3340"/>
      <c r="E3340"/>
      <c r="F3340"/>
      <c r="G3340" t="s">
        <v>5903</v>
      </c>
      <c r="H3340" t="s">
        <v>132</v>
      </c>
      <c r="I3340" t="s">
        <v>1</v>
      </c>
      <c r="J3340" t="s">
        <v>5298</v>
      </c>
      <c r="K3340" t="s">
        <v>51</v>
      </c>
      <c r="L3340" t="s">
        <v>1876</v>
      </c>
      <c r="M3340" t="s">
        <v>134</v>
      </c>
      <c r="N3340" t="s">
        <v>135</v>
      </c>
      <c r="O3340"/>
      <c r="P3340"/>
      <c r="Q3340" t="s">
        <v>1765</v>
      </c>
      <c r="R3340"/>
      <c r="S3340"/>
      <c r="T3340"/>
      <c r="U3340" t="s">
        <v>137</v>
      </c>
      <c r="V3340" t="s">
        <v>320</v>
      </c>
      <c r="W3340"/>
      <c r="X3340" t="s">
        <v>117</v>
      </c>
      <c r="Y3340"/>
      <c r="Z3340"/>
      <c r="AA3340" t="s">
        <v>5904</v>
      </c>
      <c r="AB3340" t="s">
        <v>1</v>
      </c>
      <c r="AC3340" t="s">
        <v>138</v>
      </c>
      <c r="AD3340" t="s">
        <v>130</v>
      </c>
      <c r="AE3340" s="97"/>
    </row>
    <row r="3341" spans="1:31" ht="14.4" customHeight="1" x14ac:dyDescent="0.3">
      <c r="A3341" t="s">
        <v>5934</v>
      </c>
      <c r="B3341" t="s">
        <v>1878</v>
      </c>
      <c r="C3341"/>
      <c r="D3341"/>
      <c r="E3341"/>
      <c r="F3341"/>
      <c r="G3341" t="s">
        <v>5903</v>
      </c>
      <c r="H3341" t="s">
        <v>132</v>
      </c>
      <c r="I3341" t="s">
        <v>1</v>
      </c>
      <c r="J3341" t="s">
        <v>5298</v>
      </c>
      <c r="K3341" t="s">
        <v>51</v>
      </c>
      <c r="L3341" t="s">
        <v>1879</v>
      </c>
      <c r="M3341" t="s">
        <v>134</v>
      </c>
      <c r="N3341" t="s">
        <v>135</v>
      </c>
      <c r="O3341"/>
      <c r="P3341"/>
      <c r="Q3341" t="s">
        <v>1765</v>
      </c>
      <c r="R3341"/>
      <c r="S3341"/>
      <c r="T3341"/>
      <c r="U3341" t="s">
        <v>137</v>
      </c>
      <c r="V3341" t="s">
        <v>1239</v>
      </c>
      <c r="W3341"/>
      <c r="X3341" t="s">
        <v>127</v>
      </c>
      <c r="Y3341"/>
      <c r="Z3341"/>
      <c r="AA3341" t="s">
        <v>5904</v>
      </c>
      <c r="AB3341" t="s">
        <v>1</v>
      </c>
      <c r="AC3341" t="s">
        <v>138</v>
      </c>
      <c r="AD3341" t="s">
        <v>131</v>
      </c>
      <c r="AE3341" s="97"/>
    </row>
    <row r="3342" spans="1:31" ht="14.4" customHeight="1" x14ac:dyDescent="0.3">
      <c r="A3342" t="s">
        <v>5935</v>
      </c>
      <c r="B3342" t="s">
        <v>1881</v>
      </c>
      <c r="C3342"/>
      <c r="D3342"/>
      <c r="E3342"/>
      <c r="F3342"/>
      <c r="G3342" t="s">
        <v>5903</v>
      </c>
      <c r="H3342" t="s">
        <v>132</v>
      </c>
      <c r="I3342" t="s">
        <v>1</v>
      </c>
      <c r="J3342" t="s">
        <v>5298</v>
      </c>
      <c r="K3342" t="s">
        <v>51</v>
      </c>
      <c r="L3342" t="s">
        <v>1882</v>
      </c>
      <c r="M3342" t="s">
        <v>134</v>
      </c>
      <c r="N3342" t="s">
        <v>135</v>
      </c>
      <c r="O3342"/>
      <c r="P3342"/>
      <c r="Q3342" t="s">
        <v>1765</v>
      </c>
      <c r="R3342"/>
      <c r="S3342"/>
      <c r="T3342"/>
      <c r="U3342" t="s">
        <v>137</v>
      </c>
      <c r="V3342" t="s">
        <v>1249</v>
      </c>
      <c r="W3342"/>
      <c r="X3342" t="s">
        <v>61</v>
      </c>
      <c r="Y3342"/>
      <c r="Z3342"/>
      <c r="AA3342" t="s">
        <v>5904</v>
      </c>
      <c r="AB3342" t="s">
        <v>1</v>
      </c>
      <c r="AC3342" t="s">
        <v>138</v>
      </c>
      <c r="AD3342" t="s">
        <v>128</v>
      </c>
      <c r="AE3342" s="97"/>
    </row>
    <row r="3343" spans="1:31" ht="14.4" customHeight="1" x14ac:dyDescent="0.3">
      <c r="A3343" t="s">
        <v>5937</v>
      </c>
      <c r="B3343" t="s">
        <v>1770</v>
      </c>
      <c r="C3343"/>
      <c r="D3343"/>
      <c r="E3343"/>
      <c r="F3343"/>
      <c r="G3343" t="s">
        <v>5936</v>
      </c>
      <c r="H3343" t="s">
        <v>132</v>
      </c>
      <c r="I3343" t="s">
        <v>1</v>
      </c>
      <c r="J3343" t="s">
        <v>5298</v>
      </c>
      <c r="K3343" t="s">
        <v>51</v>
      </c>
      <c r="L3343" t="s">
        <v>1771</v>
      </c>
      <c r="M3343" t="s">
        <v>134</v>
      </c>
      <c r="N3343" t="s">
        <v>135</v>
      </c>
      <c r="O3343"/>
      <c r="P3343"/>
      <c r="Q3343" t="s">
        <v>1765</v>
      </c>
      <c r="R3343"/>
      <c r="S3343"/>
      <c r="T3343"/>
      <c r="U3343" t="s">
        <v>137</v>
      </c>
      <c r="V3343" t="s">
        <v>147</v>
      </c>
      <c r="W3343"/>
      <c r="X3343" t="s">
        <v>70</v>
      </c>
      <c r="Y3343"/>
      <c r="Z3343"/>
      <c r="AA3343" t="s">
        <v>1768</v>
      </c>
      <c r="AB3343" t="s">
        <v>1</v>
      </c>
      <c r="AC3343" t="s">
        <v>138</v>
      </c>
      <c r="AD3343" t="s">
        <v>128</v>
      </c>
      <c r="AE3343" s="97"/>
    </row>
    <row r="3344" spans="1:31" ht="14.4" customHeight="1" x14ac:dyDescent="0.3">
      <c r="A3344" t="s">
        <v>5938</v>
      </c>
      <c r="B3344" t="s">
        <v>1773</v>
      </c>
      <c r="C3344"/>
      <c r="D3344"/>
      <c r="E3344"/>
      <c r="F3344"/>
      <c r="G3344" t="s">
        <v>5936</v>
      </c>
      <c r="H3344" t="s">
        <v>132</v>
      </c>
      <c r="I3344" t="s">
        <v>1</v>
      </c>
      <c r="J3344" t="s">
        <v>5298</v>
      </c>
      <c r="K3344" t="s">
        <v>51</v>
      </c>
      <c r="L3344" t="s">
        <v>1774</v>
      </c>
      <c r="M3344" t="s">
        <v>134</v>
      </c>
      <c r="N3344" t="s">
        <v>135</v>
      </c>
      <c r="O3344"/>
      <c r="P3344"/>
      <c r="Q3344" t="s">
        <v>1765</v>
      </c>
      <c r="R3344"/>
      <c r="S3344"/>
      <c r="T3344"/>
      <c r="U3344" t="s">
        <v>137</v>
      </c>
      <c r="V3344" t="s">
        <v>150</v>
      </c>
      <c r="W3344"/>
      <c r="X3344" t="s">
        <v>76</v>
      </c>
      <c r="Y3344"/>
      <c r="Z3344"/>
      <c r="AA3344" t="s">
        <v>1768</v>
      </c>
      <c r="AB3344" t="s">
        <v>1</v>
      </c>
      <c r="AC3344" t="s">
        <v>138</v>
      </c>
      <c r="AD3344" t="s">
        <v>128</v>
      </c>
      <c r="AE3344" s="97"/>
    </row>
    <row r="3345" spans="1:31" ht="14.4" customHeight="1" x14ac:dyDescent="0.3">
      <c r="A3345" t="s">
        <v>5939</v>
      </c>
      <c r="B3345" t="s">
        <v>1776</v>
      </c>
      <c r="C3345"/>
      <c r="D3345"/>
      <c r="E3345"/>
      <c r="F3345"/>
      <c r="G3345" t="s">
        <v>5936</v>
      </c>
      <c r="H3345" t="s">
        <v>132</v>
      </c>
      <c r="I3345" t="s">
        <v>1</v>
      </c>
      <c r="J3345" t="s">
        <v>5298</v>
      </c>
      <c r="K3345" t="s">
        <v>51</v>
      </c>
      <c r="L3345" t="s">
        <v>1777</v>
      </c>
      <c r="M3345" t="s">
        <v>134</v>
      </c>
      <c r="N3345" t="s">
        <v>135</v>
      </c>
      <c r="O3345"/>
      <c r="P3345"/>
      <c r="Q3345" t="s">
        <v>1765</v>
      </c>
      <c r="R3345"/>
      <c r="S3345"/>
      <c r="T3345"/>
      <c r="U3345" t="s">
        <v>137</v>
      </c>
      <c r="V3345" t="s">
        <v>153</v>
      </c>
      <c r="W3345"/>
      <c r="X3345" t="s">
        <v>88</v>
      </c>
      <c r="Y3345"/>
      <c r="Z3345"/>
      <c r="AA3345" t="s">
        <v>1768</v>
      </c>
      <c r="AB3345" t="s">
        <v>1</v>
      </c>
      <c r="AC3345" t="s">
        <v>138</v>
      </c>
      <c r="AD3345" t="s">
        <v>129</v>
      </c>
      <c r="AE3345" s="97"/>
    </row>
    <row r="3346" spans="1:31" ht="14.4" customHeight="1" x14ac:dyDescent="0.3">
      <c r="A3346" t="s">
        <v>5940</v>
      </c>
      <c r="B3346" t="s">
        <v>1779</v>
      </c>
      <c r="C3346"/>
      <c r="D3346"/>
      <c r="E3346"/>
      <c r="F3346"/>
      <c r="G3346" t="s">
        <v>5936</v>
      </c>
      <c r="H3346" t="s">
        <v>132</v>
      </c>
      <c r="I3346" t="s">
        <v>1</v>
      </c>
      <c r="J3346" t="s">
        <v>5298</v>
      </c>
      <c r="K3346" t="s">
        <v>51</v>
      </c>
      <c r="L3346" t="s">
        <v>1780</v>
      </c>
      <c r="M3346" t="s">
        <v>134</v>
      </c>
      <c r="N3346" t="s">
        <v>135</v>
      </c>
      <c r="O3346"/>
      <c r="P3346"/>
      <c r="Q3346" t="s">
        <v>1765</v>
      </c>
      <c r="R3346"/>
      <c r="S3346"/>
      <c r="T3346"/>
      <c r="U3346" t="s">
        <v>137</v>
      </c>
      <c r="V3346" t="s">
        <v>156</v>
      </c>
      <c r="W3346"/>
      <c r="X3346" t="s">
        <v>97</v>
      </c>
      <c r="Y3346"/>
      <c r="Z3346"/>
      <c r="AA3346" t="s">
        <v>1768</v>
      </c>
      <c r="AB3346" t="s">
        <v>1</v>
      </c>
      <c r="AC3346" t="s">
        <v>138</v>
      </c>
      <c r="AD3346" t="s">
        <v>129</v>
      </c>
      <c r="AE3346" s="97"/>
    </row>
    <row r="3347" spans="1:31" ht="14.4" customHeight="1" x14ac:dyDescent="0.3">
      <c r="A3347" t="s">
        <v>5941</v>
      </c>
      <c r="B3347" t="s">
        <v>1782</v>
      </c>
      <c r="C3347"/>
      <c r="D3347"/>
      <c r="E3347"/>
      <c r="F3347"/>
      <c r="G3347" t="s">
        <v>5936</v>
      </c>
      <c r="H3347" t="s">
        <v>132</v>
      </c>
      <c r="I3347" t="s">
        <v>1</v>
      </c>
      <c r="J3347" t="s">
        <v>5298</v>
      </c>
      <c r="K3347" t="s">
        <v>51</v>
      </c>
      <c r="L3347" t="s">
        <v>1783</v>
      </c>
      <c r="M3347" t="s">
        <v>134</v>
      </c>
      <c r="N3347" t="s">
        <v>135</v>
      </c>
      <c r="O3347"/>
      <c r="P3347"/>
      <c r="Q3347" t="s">
        <v>1765</v>
      </c>
      <c r="R3347"/>
      <c r="S3347"/>
      <c r="T3347"/>
      <c r="U3347" t="s">
        <v>137</v>
      </c>
      <c r="V3347" t="s">
        <v>159</v>
      </c>
      <c r="W3347"/>
      <c r="X3347" t="s">
        <v>106</v>
      </c>
      <c r="Y3347"/>
      <c r="Z3347"/>
      <c r="AA3347" t="s">
        <v>1768</v>
      </c>
      <c r="AB3347" t="s">
        <v>1</v>
      </c>
      <c r="AC3347" t="s">
        <v>138</v>
      </c>
      <c r="AD3347" t="s">
        <v>129</v>
      </c>
      <c r="AE3347" s="97"/>
    </row>
    <row r="3348" spans="1:31" ht="14.4" customHeight="1" x14ac:dyDescent="0.3">
      <c r="A3348" t="s">
        <v>5942</v>
      </c>
      <c r="B3348" t="s">
        <v>1785</v>
      </c>
      <c r="C3348"/>
      <c r="D3348"/>
      <c r="E3348"/>
      <c r="F3348"/>
      <c r="G3348" t="s">
        <v>5936</v>
      </c>
      <c r="H3348" t="s">
        <v>132</v>
      </c>
      <c r="I3348" t="s">
        <v>1</v>
      </c>
      <c r="J3348" t="s">
        <v>5298</v>
      </c>
      <c r="K3348" t="s">
        <v>51</v>
      </c>
      <c r="L3348" t="s">
        <v>1786</v>
      </c>
      <c r="M3348" t="s">
        <v>134</v>
      </c>
      <c r="N3348" t="s">
        <v>135</v>
      </c>
      <c r="O3348"/>
      <c r="P3348"/>
      <c r="Q3348" t="s">
        <v>1765</v>
      </c>
      <c r="R3348"/>
      <c r="S3348"/>
      <c r="T3348"/>
      <c r="U3348" t="s">
        <v>137</v>
      </c>
      <c r="V3348" t="s">
        <v>162</v>
      </c>
      <c r="W3348"/>
      <c r="X3348" t="s">
        <v>113</v>
      </c>
      <c r="Y3348"/>
      <c r="Z3348"/>
      <c r="AA3348" t="s">
        <v>1768</v>
      </c>
      <c r="AB3348" t="s">
        <v>1</v>
      </c>
      <c r="AC3348" t="s">
        <v>138</v>
      </c>
      <c r="AD3348" t="s">
        <v>129</v>
      </c>
      <c r="AE3348" s="97"/>
    </row>
    <row r="3349" spans="1:31" ht="14.4" customHeight="1" x14ac:dyDescent="0.3">
      <c r="A3349" t="s">
        <v>5943</v>
      </c>
      <c r="B3349" t="s">
        <v>1788</v>
      </c>
      <c r="C3349"/>
      <c r="D3349"/>
      <c r="E3349"/>
      <c r="F3349"/>
      <c r="G3349" t="s">
        <v>5936</v>
      </c>
      <c r="H3349" t="s">
        <v>132</v>
      </c>
      <c r="I3349" t="s">
        <v>1</v>
      </c>
      <c r="J3349" t="s">
        <v>5298</v>
      </c>
      <c r="K3349" t="s">
        <v>51</v>
      </c>
      <c r="L3349" t="s">
        <v>1789</v>
      </c>
      <c r="M3349" t="s">
        <v>134</v>
      </c>
      <c r="N3349" t="s">
        <v>135</v>
      </c>
      <c r="O3349"/>
      <c r="P3349"/>
      <c r="Q3349" t="s">
        <v>1765</v>
      </c>
      <c r="R3349"/>
      <c r="S3349"/>
      <c r="T3349"/>
      <c r="U3349" t="s">
        <v>137</v>
      </c>
      <c r="V3349" t="s">
        <v>165</v>
      </c>
      <c r="W3349"/>
      <c r="X3349" t="s">
        <v>122</v>
      </c>
      <c r="Y3349"/>
      <c r="Z3349"/>
      <c r="AA3349" t="s">
        <v>1768</v>
      </c>
      <c r="AB3349" t="s">
        <v>1</v>
      </c>
      <c r="AC3349" t="s">
        <v>138</v>
      </c>
      <c r="AD3349" t="s">
        <v>130</v>
      </c>
      <c r="AE3349" s="97"/>
    </row>
    <row r="3350" spans="1:31" ht="14.4" customHeight="1" x14ac:dyDescent="0.3">
      <c r="A3350" t="s">
        <v>6928</v>
      </c>
      <c r="B3350" t="s">
        <v>6776</v>
      </c>
      <c r="C3350"/>
      <c r="D3350"/>
      <c r="E3350"/>
      <c r="F3350"/>
      <c r="G3350" t="s">
        <v>5944</v>
      </c>
      <c r="H3350" t="s">
        <v>132</v>
      </c>
      <c r="I3350" t="s">
        <v>2</v>
      </c>
      <c r="J3350" t="s">
        <v>5298</v>
      </c>
      <c r="K3350" t="s">
        <v>52</v>
      </c>
      <c r="L3350" t="s">
        <v>6777</v>
      </c>
      <c r="M3350" t="s">
        <v>134</v>
      </c>
      <c r="N3350" t="s">
        <v>135</v>
      </c>
      <c r="O3350"/>
      <c r="P3350"/>
      <c r="Q3350" t="s">
        <v>168</v>
      </c>
      <c r="R3350"/>
      <c r="S3350" t="s">
        <v>168</v>
      </c>
      <c r="T3350"/>
      <c r="U3350" t="s">
        <v>137</v>
      </c>
      <c r="V3350" t="s">
        <v>147</v>
      </c>
      <c r="W3350"/>
      <c r="X3350" t="s">
        <v>70</v>
      </c>
      <c r="Y3350"/>
      <c r="Z3350"/>
      <c r="AA3350" t="s">
        <v>2163</v>
      </c>
      <c r="AB3350" t="s">
        <v>2</v>
      </c>
      <c r="AC3350" t="s">
        <v>138</v>
      </c>
      <c r="AD3350" t="s">
        <v>128</v>
      </c>
      <c r="AE3350" s="97"/>
    </row>
    <row r="3351" spans="1:31" ht="14.4" customHeight="1" x14ac:dyDescent="0.3">
      <c r="A3351" t="s">
        <v>6929</v>
      </c>
      <c r="B3351" t="s">
        <v>6779</v>
      </c>
      <c r="C3351"/>
      <c r="D3351"/>
      <c r="E3351"/>
      <c r="F3351"/>
      <c r="G3351" t="s">
        <v>5944</v>
      </c>
      <c r="H3351" t="s">
        <v>132</v>
      </c>
      <c r="I3351" t="s">
        <v>2</v>
      </c>
      <c r="J3351" t="s">
        <v>5298</v>
      </c>
      <c r="K3351" t="s">
        <v>52</v>
      </c>
      <c r="L3351" t="s">
        <v>6780</v>
      </c>
      <c r="M3351" t="s">
        <v>134</v>
      </c>
      <c r="N3351" t="s">
        <v>135</v>
      </c>
      <c r="O3351"/>
      <c r="P3351"/>
      <c r="Q3351" t="s">
        <v>168</v>
      </c>
      <c r="R3351"/>
      <c r="S3351" t="s">
        <v>168</v>
      </c>
      <c r="T3351"/>
      <c r="U3351" t="s">
        <v>137</v>
      </c>
      <c r="V3351" t="s">
        <v>150</v>
      </c>
      <c r="W3351"/>
      <c r="X3351" t="s">
        <v>76</v>
      </c>
      <c r="Y3351"/>
      <c r="Z3351"/>
      <c r="AA3351" t="s">
        <v>2163</v>
      </c>
      <c r="AB3351" t="s">
        <v>2</v>
      </c>
      <c r="AC3351" t="s">
        <v>138</v>
      </c>
      <c r="AD3351" t="s">
        <v>128</v>
      </c>
      <c r="AE3351" s="97"/>
    </row>
    <row r="3352" spans="1:31" ht="14.4" customHeight="1" x14ac:dyDescent="0.3">
      <c r="A3352" t="s">
        <v>6930</v>
      </c>
      <c r="B3352" t="s">
        <v>6782</v>
      </c>
      <c r="C3352"/>
      <c r="D3352"/>
      <c r="E3352"/>
      <c r="F3352"/>
      <c r="G3352" t="s">
        <v>5944</v>
      </c>
      <c r="H3352" t="s">
        <v>132</v>
      </c>
      <c r="I3352" t="s">
        <v>2</v>
      </c>
      <c r="J3352" t="s">
        <v>5298</v>
      </c>
      <c r="K3352" t="s">
        <v>52</v>
      </c>
      <c r="L3352" t="s">
        <v>6783</v>
      </c>
      <c r="M3352" t="s">
        <v>134</v>
      </c>
      <c r="N3352" t="s">
        <v>135</v>
      </c>
      <c r="O3352"/>
      <c r="P3352"/>
      <c r="Q3352" t="s">
        <v>168</v>
      </c>
      <c r="R3352"/>
      <c r="S3352" t="s">
        <v>168</v>
      </c>
      <c r="T3352"/>
      <c r="U3352" t="s">
        <v>137</v>
      </c>
      <c r="V3352" t="s">
        <v>153</v>
      </c>
      <c r="W3352"/>
      <c r="X3352" t="s">
        <v>88</v>
      </c>
      <c r="Y3352"/>
      <c r="Z3352"/>
      <c r="AA3352" t="s">
        <v>2163</v>
      </c>
      <c r="AB3352" t="s">
        <v>2</v>
      </c>
      <c r="AC3352" t="s">
        <v>138</v>
      </c>
      <c r="AD3352" t="s">
        <v>129</v>
      </c>
      <c r="AE3352" s="97"/>
    </row>
    <row r="3353" spans="1:31" ht="14.4" customHeight="1" x14ac:dyDescent="0.3">
      <c r="A3353" t="s">
        <v>6931</v>
      </c>
      <c r="B3353" t="s">
        <v>6785</v>
      </c>
      <c r="C3353"/>
      <c r="D3353"/>
      <c r="E3353"/>
      <c r="F3353"/>
      <c r="G3353" t="s">
        <v>5944</v>
      </c>
      <c r="H3353" t="s">
        <v>132</v>
      </c>
      <c r="I3353" t="s">
        <v>2</v>
      </c>
      <c r="J3353" t="s">
        <v>5298</v>
      </c>
      <c r="K3353" t="s">
        <v>52</v>
      </c>
      <c r="L3353" t="s">
        <v>6786</v>
      </c>
      <c r="M3353" t="s">
        <v>134</v>
      </c>
      <c r="N3353" t="s">
        <v>135</v>
      </c>
      <c r="O3353"/>
      <c r="P3353"/>
      <c r="Q3353" t="s">
        <v>168</v>
      </c>
      <c r="R3353"/>
      <c r="S3353" t="s">
        <v>168</v>
      </c>
      <c r="T3353"/>
      <c r="U3353" t="s">
        <v>137</v>
      </c>
      <c r="V3353" t="s">
        <v>156</v>
      </c>
      <c r="W3353"/>
      <c r="X3353" t="s">
        <v>97</v>
      </c>
      <c r="Y3353"/>
      <c r="Z3353"/>
      <c r="AA3353" t="s">
        <v>2163</v>
      </c>
      <c r="AB3353" t="s">
        <v>2</v>
      </c>
      <c r="AC3353" t="s">
        <v>138</v>
      </c>
      <c r="AD3353" t="s">
        <v>129</v>
      </c>
      <c r="AE3353" s="97"/>
    </row>
    <row r="3354" spans="1:31" ht="14.4" customHeight="1" x14ac:dyDescent="0.3">
      <c r="A3354" t="s">
        <v>6932</v>
      </c>
      <c r="B3354" t="s">
        <v>6788</v>
      </c>
      <c r="C3354"/>
      <c r="D3354"/>
      <c r="E3354"/>
      <c r="F3354"/>
      <c r="G3354" t="s">
        <v>5944</v>
      </c>
      <c r="H3354" t="s">
        <v>132</v>
      </c>
      <c r="I3354" t="s">
        <v>2</v>
      </c>
      <c r="J3354" t="s">
        <v>5298</v>
      </c>
      <c r="K3354" t="s">
        <v>52</v>
      </c>
      <c r="L3354" t="s">
        <v>6789</v>
      </c>
      <c r="M3354" t="s">
        <v>134</v>
      </c>
      <c r="N3354" t="s">
        <v>135</v>
      </c>
      <c r="O3354"/>
      <c r="P3354"/>
      <c r="Q3354" t="s">
        <v>168</v>
      </c>
      <c r="R3354"/>
      <c r="S3354" t="s">
        <v>168</v>
      </c>
      <c r="T3354"/>
      <c r="U3354" t="s">
        <v>137</v>
      </c>
      <c r="V3354" t="s">
        <v>159</v>
      </c>
      <c r="W3354"/>
      <c r="X3354" t="s">
        <v>106</v>
      </c>
      <c r="Y3354"/>
      <c r="Z3354"/>
      <c r="AA3354" t="s">
        <v>2163</v>
      </c>
      <c r="AB3354" t="s">
        <v>2</v>
      </c>
      <c r="AC3354" t="s">
        <v>138</v>
      </c>
      <c r="AD3354" t="s">
        <v>129</v>
      </c>
      <c r="AE3354" s="97"/>
    </row>
    <row r="3355" spans="1:31" ht="14.4" customHeight="1" x14ac:dyDescent="0.3">
      <c r="A3355" t="s">
        <v>6933</v>
      </c>
      <c r="B3355" t="s">
        <v>6791</v>
      </c>
      <c r="C3355"/>
      <c r="D3355"/>
      <c r="E3355"/>
      <c r="F3355"/>
      <c r="G3355" t="s">
        <v>5944</v>
      </c>
      <c r="H3355" t="s">
        <v>132</v>
      </c>
      <c r="I3355" t="s">
        <v>2</v>
      </c>
      <c r="J3355" t="s">
        <v>5298</v>
      </c>
      <c r="K3355" t="s">
        <v>52</v>
      </c>
      <c r="L3355" t="s">
        <v>6792</v>
      </c>
      <c r="M3355" t="s">
        <v>134</v>
      </c>
      <c r="N3355" t="s">
        <v>135</v>
      </c>
      <c r="O3355"/>
      <c r="P3355"/>
      <c r="Q3355" t="s">
        <v>168</v>
      </c>
      <c r="R3355"/>
      <c r="S3355" t="s">
        <v>168</v>
      </c>
      <c r="T3355"/>
      <c r="U3355" t="s">
        <v>137</v>
      </c>
      <c r="V3355" t="s">
        <v>162</v>
      </c>
      <c r="W3355"/>
      <c r="X3355" t="s">
        <v>113</v>
      </c>
      <c r="Y3355"/>
      <c r="Z3355"/>
      <c r="AA3355" t="s">
        <v>2163</v>
      </c>
      <c r="AB3355" t="s">
        <v>2</v>
      </c>
      <c r="AC3355" t="s">
        <v>138</v>
      </c>
      <c r="AD3355" t="s">
        <v>129</v>
      </c>
      <c r="AE3355" s="97"/>
    </row>
    <row r="3356" spans="1:31" ht="14.4" customHeight="1" x14ac:dyDescent="0.3">
      <c r="A3356" t="s">
        <v>6934</v>
      </c>
      <c r="B3356" t="s">
        <v>6794</v>
      </c>
      <c r="C3356"/>
      <c r="D3356"/>
      <c r="E3356"/>
      <c r="F3356"/>
      <c r="G3356" t="s">
        <v>5944</v>
      </c>
      <c r="H3356" t="s">
        <v>132</v>
      </c>
      <c r="I3356" t="s">
        <v>2</v>
      </c>
      <c r="J3356" t="s">
        <v>5298</v>
      </c>
      <c r="K3356" t="s">
        <v>52</v>
      </c>
      <c r="L3356" t="s">
        <v>6795</v>
      </c>
      <c r="M3356" t="s">
        <v>134</v>
      </c>
      <c r="N3356" t="s">
        <v>135</v>
      </c>
      <c r="O3356"/>
      <c r="P3356"/>
      <c r="Q3356" t="s">
        <v>168</v>
      </c>
      <c r="R3356"/>
      <c r="S3356" t="s">
        <v>168</v>
      </c>
      <c r="T3356"/>
      <c r="U3356" t="s">
        <v>137</v>
      </c>
      <c r="V3356" t="s">
        <v>165</v>
      </c>
      <c r="W3356"/>
      <c r="X3356" t="s">
        <v>122</v>
      </c>
      <c r="Y3356"/>
      <c r="Z3356"/>
      <c r="AA3356" t="s">
        <v>2163</v>
      </c>
      <c r="AB3356" t="s">
        <v>2</v>
      </c>
      <c r="AC3356" t="s">
        <v>138</v>
      </c>
      <c r="AD3356" t="s">
        <v>130</v>
      </c>
      <c r="AE3356" s="97"/>
    </row>
    <row r="3357" spans="1:31" ht="14.4" customHeight="1" x14ac:dyDescent="0.3">
      <c r="A3357" t="s">
        <v>6935</v>
      </c>
      <c r="B3357" t="s">
        <v>6797</v>
      </c>
      <c r="C3357"/>
      <c r="D3357"/>
      <c r="E3357"/>
      <c r="F3357"/>
      <c r="G3357" t="s">
        <v>5944</v>
      </c>
      <c r="H3357" t="s">
        <v>132</v>
      </c>
      <c r="I3357" t="s">
        <v>2</v>
      </c>
      <c r="J3357" t="s">
        <v>5298</v>
      </c>
      <c r="K3357" t="s">
        <v>52</v>
      </c>
      <c r="L3357" t="s">
        <v>2273</v>
      </c>
      <c r="M3357" t="s">
        <v>134</v>
      </c>
      <c r="N3357" t="s">
        <v>135</v>
      </c>
      <c r="O3357"/>
      <c r="P3357"/>
      <c r="Q3357" t="s">
        <v>168</v>
      </c>
      <c r="R3357"/>
      <c r="S3357" t="s">
        <v>168</v>
      </c>
      <c r="T3357"/>
      <c r="U3357" t="s">
        <v>137</v>
      </c>
      <c r="V3357" t="s">
        <v>352</v>
      </c>
      <c r="W3357"/>
      <c r="X3357" t="s">
        <v>56</v>
      </c>
      <c r="Y3357"/>
      <c r="Z3357"/>
      <c r="AA3357" t="s">
        <v>2163</v>
      </c>
      <c r="AB3357" t="s">
        <v>2</v>
      </c>
      <c r="AC3357" t="s">
        <v>138</v>
      </c>
      <c r="AD3357" t="s">
        <v>128</v>
      </c>
      <c r="AE3357" s="97"/>
    </row>
    <row r="3358" spans="1:31" ht="14.4" customHeight="1" x14ac:dyDescent="0.3">
      <c r="A3358" t="s">
        <v>6936</v>
      </c>
      <c r="B3358" t="s">
        <v>6799</v>
      </c>
      <c r="C3358"/>
      <c r="D3358"/>
      <c r="E3358"/>
      <c r="F3358"/>
      <c r="G3358" t="s">
        <v>5944</v>
      </c>
      <c r="H3358" t="s">
        <v>132</v>
      </c>
      <c r="I3358" t="s">
        <v>2</v>
      </c>
      <c r="J3358" t="s">
        <v>5298</v>
      </c>
      <c r="K3358" t="s">
        <v>52</v>
      </c>
      <c r="L3358" t="s">
        <v>6800</v>
      </c>
      <c r="M3358" t="s">
        <v>134</v>
      </c>
      <c r="N3358" t="s">
        <v>135</v>
      </c>
      <c r="O3358"/>
      <c r="P3358"/>
      <c r="Q3358" t="s">
        <v>168</v>
      </c>
      <c r="R3358"/>
      <c r="S3358" t="s">
        <v>168</v>
      </c>
      <c r="T3358"/>
      <c r="U3358" t="s">
        <v>137</v>
      </c>
      <c r="V3358" t="s">
        <v>147</v>
      </c>
      <c r="W3358"/>
      <c r="X3358" t="s">
        <v>70</v>
      </c>
      <c r="Y3358"/>
      <c r="Z3358"/>
      <c r="AA3358" t="s">
        <v>2163</v>
      </c>
      <c r="AB3358" t="s">
        <v>2</v>
      </c>
      <c r="AC3358" t="s">
        <v>138</v>
      </c>
      <c r="AD3358" t="s">
        <v>128</v>
      </c>
      <c r="AE3358" s="97"/>
    </row>
    <row r="3359" spans="1:31" ht="14.4" customHeight="1" x14ac:dyDescent="0.3">
      <c r="A3359" t="s">
        <v>6937</v>
      </c>
      <c r="B3359" t="s">
        <v>6802</v>
      </c>
      <c r="C3359"/>
      <c r="D3359"/>
      <c r="E3359"/>
      <c r="F3359"/>
      <c r="G3359" t="s">
        <v>5944</v>
      </c>
      <c r="H3359" t="s">
        <v>132</v>
      </c>
      <c r="I3359" t="s">
        <v>2</v>
      </c>
      <c r="J3359" t="s">
        <v>5298</v>
      </c>
      <c r="K3359" t="s">
        <v>52</v>
      </c>
      <c r="L3359" t="s">
        <v>6800</v>
      </c>
      <c r="M3359" t="s">
        <v>134</v>
      </c>
      <c r="N3359" t="s">
        <v>135</v>
      </c>
      <c r="O3359"/>
      <c r="P3359"/>
      <c r="Q3359" t="s">
        <v>168</v>
      </c>
      <c r="R3359"/>
      <c r="S3359" t="s">
        <v>168</v>
      </c>
      <c r="T3359"/>
      <c r="U3359" t="s">
        <v>137</v>
      </c>
      <c r="V3359" t="s">
        <v>147</v>
      </c>
      <c r="W3359"/>
      <c r="X3359" t="s">
        <v>70</v>
      </c>
      <c r="Y3359"/>
      <c r="Z3359"/>
      <c r="AA3359" t="s">
        <v>2163</v>
      </c>
      <c r="AB3359" t="s">
        <v>2</v>
      </c>
      <c r="AC3359" t="s">
        <v>138</v>
      </c>
      <c r="AD3359" t="s">
        <v>128</v>
      </c>
      <c r="AE3359" s="97"/>
    </row>
    <row r="3360" spans="1:31" ht="14.4" customHeight="1" x14ac:dyDescent="0.3">
      <c r="A3360" t="s">
        <v>6938</v>
      </c>
      <c r="B3360" t="s">
        <v>6804</v>
      </c>
      <c r="C3360"/>
      <c r="D3360"/>
      <c r="E3360"/>
      <c r="F3360"/>
      <c r="G3360" t="s">
        <v>5944</v>
      </c>
      <c r="H3360" t="s">
        <v>132</v>
      </c>
      <c r="I3360" t="s">
        <v>2</v>
      </c>
      <c r="J3360" t="s">
        <v>5298</v>
      </c>
      <c r="K3360" t="s">
        <v>52</v>
      </c>
      <c r="L3360" t="s">
        <v>6800</v>
      </c>
      <c r="M3360" t="s">
        <v>134</v>
      </c>
      <c r="N3360" t="s">
        <v>135</v>
      </c>
      <c r="O3360"/>
      <c r="P3360"/>
      <c r="Q3360" t="s">
        <v>168</v>
      </c>
      <c r="R3360"/>
      <c r="S3360" t="s">
        <v>168</v>
      </c>
      <c r="T3360"/>
      <c r="U3360" t="s">
        <v>137</v>
      </c>
      <c r="V3360" t="s">
        <v>147</v>
      </c>
      <c r="W3360"/>
      <c r="X3360" t="s">
        <v>70</v>
      </c>
      <c r="Y3360"/>
      <c r="Z3360"/>
      <c r="AA3360" t="s">
        <v>2163</v>
      </c>
      <c r="AB3360" t="s">
        <v>2</v>
      </c>
      <c r="AC3360" t="s">
        <v>138</v>
      </c>
      <c r="AD3360" t="s">
        <v>128</v>
      </c>
      <c r="AE3360" s="97"/>
    </row>
    <row r="3361" spans="1:31" ht="14.4" customHeight="1" x14ac:dyDescent="0.3">
      <c r="A3361" t="s">
        <v>6939</v>
      </c>
      <c r="B3361" t="s">
        <v>6806</v>
      </c>
      <c r="C3361"/>
      <c r="D3361"/>
      <c r="E3361"/>
      <c r="F3361"/>
      <c r="G3361" t="s">
        <v>5944</v>
      </c>
      <c r="H3361" t="s">
        <v>132</v>
      </c>
      <c r="I3361" t="s">
        <v>2</v>
      </c>
      <c r="J3361" t="s">
        <v>5298</v>
      </c>
      <c r="K3361" t="s">
        <v>52</v>
      </c>
      <c r="L3361" t="s">
        <v>6807</v>
      </c>
      <c r="M3361" t="s">
        <v>134</v>
      </c>
      <c r="N3361" t="s">
        <v>135</v>
      </c>
      <c r="O3361"/>
      <c r="P3361"/>
      <c r="Q3361" t="s">
        <v>168</v>
      </c>
      <c r="R3361"/>
      <c r="S3361" t="s">
        <v>168</v>
      </c>
      <c r="T3361"/>
      <c r="U3361" t="s">
        <v>137</v>
      </c>
      <c r="V3361" t="s">
        <v>150</v>
      </c>
      <c r="W3361"/>
      <c r="X3361" t="s">
        <v>76</v>
      </c>
      <c r="Y3361"/>
      <c r="Z3361"/>
      <c r="AA3361" t="s">
        <v>2163</v>
      </c>
      <c r="AB3361" t="s">
        <v>2</v>
      </c>
      <c r="AC3361" t="s">
        <v>138</v>
      </c>
      <c r="AD3361" t="s">
        <v>128</v>
      </c>
      <c r="AE3361" s="97"/>
    </row>
    <row r="3362" spans="1:31" ht="14.4" customHeight="1" x14ac:dyDescent="0.3">
      <c r="A3362" t="s">
        <v>6940</v>
      </c>
      <c r="B3362" t="s">
        <v>6809</v>
      </c>
      <c r="C3362"/>
      <c r="D3362"/>
      <c r="E3362"/>
      <c r="F3362"/>
      <c r="G3362" t="s">
        <v>5944</v>
      </c>
      <c r="H3362" t="s">
        <v>132</v>
      </c>
      <c r="I3362" t="s">
        <v>2</v>
      </c>
      <c r="J3362" t="s">
        <v>5298</v>
      </c>
      <c r="K3362" t="s">
        <v>52</v>
      </c>
      <c r="L3362" t="s">
        <v>6807</v>
      </c>
      <c r="M3362" t="s">
        <v>134</v>
      </c>
      <c r="N3362" t="s">
        <v>135</v>
      </c>
      <c r="O3362"/>
      <c r="P3362"/>
      <c r="Q3362" t="s">
        <v>168</v>
      </c>
      <c r="R3362"/>
      <c r="S3362" t="s">
        <v>168</v>
      </c>
      <c r="T3362"/>
      <c r="U3362" t="s">
        <v>137</v>
      </c>
      <c r="V3362" t="s">
        <v>150</v>
      </c>
      <c r="W3362"/>
      <c r="X3362" t="s">
        <v>76</v>
      </c>
      <c r="Y3362"/>
      <c r="Z3362"/>
      <c r="AA3362" t="s">
        <v>2163</v>
      </c>
      <c r="AB3362" t="s">
        <v>2</v>
      </c>
      <c r="AC3362" t="s">
        <v>138</v>
      </c>
      <c r="AD3362" t="s">
        <v>128</v>
      </c>
      <c r="AE3362" s="97"/>
    </row>
    <row r="3363" spans="1:31" ht="14.4" customHeight="1" x14ac:dyDescent="0.3">
      <c r="A3363" t="s">
        <v>6941</v>
      </c>
      <c r="B3363" t="s">
        <v>6811</v>
      </c>
      <c r="C3363"/>
      <c r="D3363"/>
      <c r="E3363"/>
      <c r="F3363"/>
      <c r="G3363" t="s">
        <v>5944</v>
      </c>
      <c r="H3363" t="s">
        <v>132</v>
      </c>
      <c r="I3363" t="s">
        <v>2</v>
      </c>
      <c r="J3363" t="s">
        <v>5298</v>
      </c>
      <c r="K3363" t="s">
        <v>52</v>
      </c>
      <c r="L3363" t="s">
        <v>6807</v>
      </c>
      <c r="M3363" t="s">
        <v>134</v>
      </c>
      <c r="N3363" t="s">
        <v>135</v>
      </c>
      <c r="O3363"/>
      <c r="P3363"/>
      <c r="Q3363" t="s">
        <v>168</v>
      </c>
      <c r="R3363"/>
      <c r="S3363" t="s">
        <v>168</v>
      </c>
      <c r="T3363"/>
      <c r="U3363" t="s">
        <v>137</v>
      </c>
      <c r="V3363" t="s">
        <v>150</v>
      </c>
      <c r="W3363"/>
      <c r="X3363" t="s">
        <v>76</v>
      </c>
      <c r="Y3363"/>
      <c r="Z3363"/>
      <c r="AA3363" t="s">
        <v>2163</v>
      </c>
      <c r="AB3363" t="s">
        <v>2</v>
      </c>
      <c r="AC3363" t="s">
        <v>138</v>
      </c>
      <c r="AD3363" t="s">
        <v>128</v>
      </c>
      <c r="AE3363" s="97"/>
    </row>
    <row r="3364" spans="1:31" ht="14.4" customHeight="1" x14ac:dyDescent="0.3">
      <c r="A3364" t="s">
        <v>6942</v>
      </c>
      <c r="B3364" t="s">
        <v>6813</v>
      </c>
      <c r="C3364"/>
      <c r="D3364"/>
      <c r="E3364"/>
      <c r="F3364"/>
      <c r="G3364" t="s">
        <v>5944</v>
      </c>
      <c r="H3364" t="s">
        <v>132</v>
      </c>
      <c r="I3364" t="s">
        <v>2</v>
      </c>
      <c r="J3364" t="s">
        <v>5298</v>
      </c>
      <c r="K3364" t="s">
        <v>52</v>
      </c>
      <c r="L3364" t="s">
        <v>6814</v>
      </c>
      <c r="M3364" t="s">
        <v>134</v>
      </c>
      <c r="N3364" t="s">
        <v>135</v>
      </c>
      <c r="O3364"/>
      <c r="P3364"/>
      <c r="Q3364" t="s">
        <v>168</v>
      </c>
      <c r="R3364"/>
      <c r="S3364" t="s">
        <v>168</v>
      </c>
      <c r="T3364"/>
      <c r="U3364" t="s">
        <v>137</v>
      </c>
      <c r="V3364" t="s">
        <v>153</v>
      </c>
      <c r="W3364"/>
      <c r="X3364" t="s">
        <v>88</v>
      </c>
      <c r="Y3364"/>
      <c r="Z3364"/>
      <c r="AA3364" t="s">
        <v>2163</v>
      </c>
      <c r="AB3364" t="s">
        <v>2</v>
      </c>
      <c r="AC3364" t="s">
        <v>138</v>
      </c>
      <c r="AD3364" t="s">
        <v>129</v>
      </c>
      <c r="AE3364" s="97"/>
    </row>
    <row r="3365" spans="1:31" ht="14.4" customHeight="1" x14ac:dyDescent="0.3">
      <c r="A3365" t="s">
        <v>6943</v>
      </c>
      <c r="B3365" t="s">
        <v>6816</v>
      </c>
      <c r="C3365"/>
      <c r="D3365"/>
      <c r="E3365"/>
      <c r="F3365"/>
      <c r="G3365" t="s">
        <v>5944</v>
      </c>
      <c r="H3365" t="s">
        <v>132</v>
      </c>
      <c r="I3365" t="s">
        <v>2</v>
      </c>
      <c r="J3365" t="s">
        <v>5298</v>
      </c>
      <c r="K3365" t="s">
        <v>52</v>
      </c>
      <c r="L3365" t="s">
        <v>6814</v>
      </c>
      <c r="M3365" t="s">
        <v>134</v>
      </c>
      <c r="N3365" t="s">
        <v>135</v>
      </c>
      <c r="O3365"/>
      <c r="P3365"/>
      <c r="Q3365" t="s">
        <v>168</v>
      </c>
      <c r="R3365"/>
      <c r="S3365" t="s">
        <v>168</v>
      </c>
      <c r="T3365"/>
      <c r="U3365" t="s">
        <v>137</v>
      </c>
      <c r="V3365" t="s">
        <v>153</v>
      </c>
      <c r="W3365"/>
      <c r="X3365" t="s">
        <v>88</v>
      </c>
      <c r="Y3365"/>
      <c r="Z3365"/>
      <c r="AA3365" t="s">
        <v>2163</v>
      </c>
      <c r="AB3365" t="s">
        <v>2</v>
      </c>
      <c r="AC3365" t="s">
        <v>138</v>
      </c>
      <c r="AD3365" t="s">
        <v>129</v>
      </c>
      <c r="AE3365" s="97"/>
    </row>
    <row r="3366" spans="1:31" ht="14.4" customHeight="1" x14ac:dyDescent="0.3">
      <c r="A3366" t="s">
        <v>6944</v>
      </c>
      <c r="B3366" t="s">
        <v>6818</v>
      </c>
      <c r="C3366"/>
      <c r="D3366"/>
      <c r="E3366"/>
      <c r="F3366"/>
      <c r="G3366" t="s">
        <v>5944</v>
      </c>
      <c r="H3366" t="s">
        <v>132</v>
      </c>
      <c r="I3366" t="s">
        <v>2</v>
      </c>
      <c r="J3366" t="s">
        <v>5298</v>
      </c>
      <c r="K3366" t="s">
        <v>52</v>
      </c>
      <c r="L3366" t="s">
        <v>6814</v>
      </c>
      <c r="M3366" t="s">
        <v>134</v>
      </c>
      <c r="N3366" t="s">
        <v>135</v>
      </c>
      <c r="O3366"/>
      <c r="P3366"/>
      <c r="Q3366" t="s">
        <v>168</v>
      </c>
      <c r="R3366"/>
      <c r="S3366" t="s">
        <v>168</v>
      </c>
      <c r="T3366"/>
      <c r="U3366" t="s">
        <v>137</v>
      </c>
      <c r="V3366" t="s">
        <v>153</v>
      </c>
      <c r="W3366"/>
      <c r="X3366" t="s">
        <v>88</v>
      </c>
      <c r="Y3366"/>
      <c r="Z3366"/>
      <c r="AA3366" t="s">
        <v>2163</v>
      </c>
      <c r="AB3366" t="s">
        <v>2</v>
      </c>
      <c r="AC3366" t="s">
        <v>138</v>
      </c>
      <c r="AD3366" t="s">
        <v>129</v>
      </c>
      <c r="AE3366" s="97"/>
    </row>
    <row r="3367" spans="1:31" ht="14.4" customHeight="1" x14ac:dyDescent="0.3">
      <c r="A3367" t="s">
        <v>6945</v>
      </c>
      <c r="B3367" t="s">
        <v>6820</v>
      </c>
      <c r="C3367"/>
      <c r="D3367"/>
      <c r="E3367"/>
      <c r="F3367"/>
      <c r="G3367" t="s">
        <v>5944</v>
      </c>
      <c r="H3367" t="s">
        <v>132</v>
      </c>
      <c r="I3367" t="s">
        <v>2</v>
      </c>
      <c r="J3367" t="s">
        <v>5298</v>
      </c>
      <c r="K3367" t="s">
        <v>52</v>
      </c>
      <c r="L3367" t="s">
        <v>6821</v>
      </c>
      <c r="M3367" t="s">
        <v>134</v>
      </c>
      <c r="N3367" t="s">
        <v>135</v>
      </c>
      <c r="O3367"/>
      <c r="P3367"/>
      <c r="Q3367" t="s">
        <v>168</v>
      </c>
      <c r="R3367"/>
      <c r="S3367" t="s">
        <v>168</v>
      </c>
      <c r="T3367"/>
      <c r="U3367" t="s">
        <v>137</v>
      </c>
      <c r="V3367" t="s">
        <v>156</v>
      </c>
      <c r="W3367"/>
      <c r="X3367" t="s">
        <v>97</v>
      </c>
      <c r="Y3367"/>
      <c r="Z3367"/>
      <c r="AA3367" t="s">
        <v>2163</v>
      </c>
      <c r="AB3367" t="s">
        <v>2</v>
      </c>
      <c r="AC3367" t="s">
        <v>138</v>
      </c>
      <c r="AD3367" t="s">
        <v>129</v>
      </c>
      <c r="AE3367" s="97"/>
    </row>
    <row r="3368" spans="1:31" ht="14.4" customHeight="1" x14ac:dyDescent="0.3">
      <c r="A3368" t="s">
        <v>6946</v>
      </c>
      <c r="B3368" t="s">
        <v>6823</v>
      </c>
      <c r="C3368"/>
      <c r="D3368"/>
      <c r="E3368"/>
      <c r="F3368"/>
      <c r="G3368" t="s">
        <v>5944</v>
      </c>
      <c r="H3368" t="s">
        <v>132</v>
      </c>
      <c r="I3368" t="s">
        <v>2</v>
      </c>
      <c r="J3368" t="s">
        <v>5298</v>
      </c>
      <c r="K3368" t="s">
        <v>52</v>
      </c>
      <c r="L3368" t="s">
        <v>6821</v>
      </c>
      <c r="M3368" t="s">
        <v>134</v>
      </c>
      <c r="N3368" t="s">
        <v>135</v>
      </c>
      <c r="O3368"/>
      <c r="P3368"/>
      <c r="Q3368" t="s">
        <v>168</v>
      </c>
      <c r="R3368"/>
      <c r="S3368" t="s">
        <v>168</v>
      </c>
      <c r="T3368"/>
      <c r="U3368" t="s">
        <v>137</v>
      </c>
      <c r="V3368" t="s">
        <v>156</v>
      </c>
      <c r="W3368"/>
      <c r="X3368" t="s">
        <v>97</v>
      </c>
      <c r="Y3368"/>
      <c r="Z3368"/>
      <c r="AA3368" t="s">
        <v>2163</v>
      </c>
      <c r="AB3368" t="s">
        <v>2</v>
      </c>
      <c r="AC3368" t="s">
        <v>138</v>
      </c>
      <c r="AD3368" t="s">
        <v>129</v>
      </c>
      <c r="AE3368" s="97"/>
    </row>
    <row r="3369" spans="1:31" ht="14.4" customHeight="1" x14ac:dyDescent="0.3">
      <c r="A3369" t="s">
        <v>6947</v>
      </c>
      <c r="B3369" t="s">
        <v>6825</v>
      </c>
      <c r="C3369"/>
      <c r="D3369"/>
      <c r="E3369"/>
      <c r="F3369"/>
      <c r="G3369" t="s">
        <v>5944</v>
      </c>
      <c r="H3369" t="s">
        <v>132</v>
      </c>
      <c r="I3369" t="s">
        <v>2</v>
      </c>
      <c r="J3369" t="s">
        <v>5298</v>
      </c>
      <c r="K3369" t="s">
        <v>52</v>
      </c>
      <c r="L3369" t="s">
        <v>6821</v>
      </c>
      <c r="M3369" t="s">
        <v>134</v>
      </c>
      <c r="N3369" t="s">
        <v>135</v>
      </c>
      <c r="O3369"/>
      <c r="P3369"/>
      <c r="Q3369" t="s">
        <v>168</v>
      </c>
      <c r="R3369"/>
      <c r="S3369" t="s">
        <v>168</v>
      </c>
      <c r="T3369"/>
      <c r="U3369" t="s">
        <v>137</v>
      </c>
      <c r="V3369" t="s">
        <v>156</v>
      </c>
      <c r="W3369"/>
      <c r="X3369" t="s">
        <v>97</v>
      </c>
      <c r="Y3369"/>
      <c r="Z3369"/>
      <c r="AA3369" t="s">
        <v>2163</v>
      </c>
      <c r="AB3369" t="s">
        <v>2</v>
      </c>
      <c r="AC3369" t="s">
        <v>138</v>
      </c>
      <c r="AD3369" t="s">
        <v>129</v>
      </c>
      <c r="AE3369" s="97"/>
    </row>
    <row r="3370" spans="1:31" ht="14.4" customHeight="1" x14ac:dyDescent="0.3">
      <c r="A3370" t="s">
        <v>6948</v>
      </c>
      <c r="B3370" t="s">
        <v>6827</v>
      </c>
      <c r="C3370"/>
      <c r="D3370"/>
      <c r="E3370"/>
      <c r="F3370"/>
      <c r="G3370" t="s">
        <v>5944</v>
      </c>
      <c r="H3370" t="s">
        <v>132</v>
      </c>
      <c r="I3370" t="s">
        <v>2</v>
      </c>
      <c r="J3370" t="s">
        <v>5298</v>
      </c>
      <c r="K3370" t="s">
        <v>52</v>
      </c>
      <c r="L3370" t="s">
        <v>6828</v>
      </c>
      <c r="M3370" t="s">
        <v>134</v>
      </c>
      <c r="N3370" t="s">
        <v>135</v>
      </c>
      <c r="O3370"/>
      <c r="P3370"/>
      <c r="Q3370" t="s">
        <v>168</v>
      </c>
      <c r="R3370"/>
      <c r="S3370" t="s">
        <v>168</v>
      </c>
      <c r="T3370"/>
      <c r="U3370" t="s">
        <v>137</v>
      </c>
      <c r="V3370" t="s">
        <v>159</v>
      </c>
      <c r="W3370"/>
      <c r="X3370" t="s">
        <v>106</v>
      </c>
      <c r="Y3370"/>
      <c r="Z3370"/>
      <c r="AA3370" t="s">
        <v>2163</v>
      </c>
      <c r="AB3370" t="s">
        <v>2</v>
      </c>
      <c r="AC3370" t="s">
        <v>138</v>
      </c>
      <c r="AD3370" t="s">
        <v>129</v>
      </c>
      <c r="AE3370" s="97"/>
    </row>
    <row r="3371" spans="1:31" ht="14.4" customHeight="1" x14ac:dyDescent="0.3">
      <c r="A3371" t="s">
        <v>6949</v>
      </c>
      <c r="B3371" t="s">
        <v>6830</v>
      </c>
      <c r="C3371"/>
      <c r="D3371"/>
      <c r="E3371"/>
      <c r="F3371"/>
      <c r="G3371" t="s">
        <v>5944</v>
      </c>
      <c r="H3371" t="s">
        <v>132</v>
      </c>
      <c r="I3371" t="s">
        <v>2</v>
      </c>
      <c r="J3371" t="s">
        <v>5298</v>
      </c>
      <c r="K3371" t="s">
        <v>52</v>
      </c>
      <c r="L3371" t="s">
        <v>6828</v>
      </c>
      <c r="M3371" t="s">
        <v>134</v>
      </c>
      <c r="N3371" t="s">
        <v>135</v>
      </c>
      <c r="O3371"/>
      <c r="P3371"/>
      <c r="Q3371" t="s">
        <v>168</v>
      </c>
      <c r="R3371"/>
      <c r="S3371" t="s">
        <v>168</v>
      </c>
      <c r="T3371"/>
      <c r="U3371" t="s">
        <v>137</v>
      </c>
      <c r="V3371" t="s">
        <v>159</v>
      </c>
      <c r="W3371"/>
      <c r="X3371" t="s">
        <v>106</v>
      </c>
      <c r="Y3371"/>
      <c r="Z3371"/>
      <c r="AA3371" t="s">
        <v>2163</v>
      </c>
      <c r="AB3371" t="s">
        <v>2</v>
      </c>
      <c r="AC3371" t="s">
        <v>138</v>
      </c>
      <c r="AD3371" t="s">
        <v>129</v>
      </c>
      <c r="AE3371" s="97"/>
    </row>
    <row r="3372" spans="1:31" ht="14.4" customHeight="1" x14ac:dyDescent="0.3">
      <c r="A3372" t="s">
        <v>6950</v>
      </c>
      <c r="B3372" t="s">
        <v>6832</v>
      </c>
      <c r="C3372"/>
      <c r="D3372"/>
      <c r="E3372"/>
      <c r="F3372"/>
      <c r="G3372" t="s">
        <v>5944</v>
      </c>
      <c r="H3372" t="s">
        <v>132</v>
      </c>
      <c r="I3372" t="s">
        <v>2</v>
      </c>
      <c r="J3372" t="s">
        <v>5298</v>
      </c>
      <c r="K3372" t="s">
        <v>52</v>
      </c>
      <c r="L3372" t="s">
        <v>6828</v>
      </c>
      <c r="M3372" t="s">
        <v>134</v>
      </c>
      <c r="N3372" t="s">
        <v>135</v>
      </c>
      <c r="O3372"/>
      <c r="P3372"/>
      <c r="Q3372" t="s">
        <v>168</v>
      </c>
      <c r="R3372"/>
      <c r="S3372" t="s">
        <v>168</v>
      </c>
      <c r="T3372"/>
      <c r="U3372" t="s">
        <v>137</v>
      </c>
      <c r="V3372" t="s">
        <v>159</v>
      </c>
      <c r="W3372"/>
      <c r="X3372" t="s">
        <v>106</v>
      </c>
      <c r="Y3372"/>
      <c r="Z3372"/>
      <c r="AA3372" t="s">
        <v>2163</v>
      </c>
      <c r="AB3372" t="s">
        <v>2</v>
      </c>
      <c r="AC3372" t="s">
        <v>138</v>
      </c>
      <c r="AD3372" t="s">
        <v>129</v>
      </c>
      <c r="AE3372" s="97"/>
    </row>
    <row r="3373" spans="1:31" ht="14.4" customHeight="1" x14ac:dyDescent="0.3">
      <c r="A3373" t="s">
        <v>6951</v>
      </c>
      <c r="B3373" t="s">
        <v>6834</v>
      </c>
      <c r="C3373"/>
      <c r="D3373"/>
      <c r="E3373"/>
      <c r="F3373"/>
      <c r="G3373" t="s">
        <v>5944</v>
      </c>
      <c r="H3373" t="s">
        <v>132</v>
      </c>
      <c r="I3373" t="s">
        <v>2</v>
      </c>
      <c r="J3373" t="s">
        <v>5298</v>
      </c>
      <c r="K3373" t="s">
        <v>52</v>
      </c>
      <c r="L3373" t="s">
        <v>6835</v>
      </c>
      <c r="M3373" t="s">
        <v>134</v>
      </c>
      <c r="N3373" t="s">
        <v>135</v>
      </c>
      <c r="O3373"/>
      <c r="P3373"/>
      <c r="Q3373" t="s">
        <v>168</v>
      </c>
      <c r="R3373"/>
      <c r="S3373" t="s">
        <v>168</v>
      </c>
      <c r="T3373"/>
      <c r="U3373" t="s">
        <v>137</v>
      </c>
      <c r="V3373" t="s">
        <v>162</v>
      </c>
      <c r="W3373"/>
      <c r="X3373" t="s">
        <v>113</v>
      </c>
      <c r="Y3373"/>
      <c r="Z3373"/>
      <c r="AA3373" t="s">
        <v>2163</v>
      </c>
      <c r="AB3373" t="s">
        <v>2</v>
      </c>
      <c r="AC3373" t="s">
        <v>138</v>
      </c>
      <c r="AD3373" t="s">
        <v>129</v>
      </c>
      <c r="AE3373" s="97"/>
    </row>
    <row r="3374" spans="1:31" ht="14.4" customHeight="1" x14ac:dyDescent="0.3">
      <c r="A3374" t="s">
        <v>6952</v>
      </c>
      <c r="B3374" t="s">
        <v>6837</v>
      </c>
      <c r="C3374"/>
      <c r="D3374"/>
      <c r="E3374"/>
      <c r="F3374"/>
      <c r="G3374" t="s">
        <v>5944</v>
      </c>
      <c r="H3374" t="s">
        <v>132</v>
      </c>
      <c r="I3374" t="s">
        <v>2</v>
      </c>
      <c r="J3374" t="s">
        <v>5298</v>
      </c>
      <c r="K3374" t="s">
        <v>52</v>
      </c>
      <c r="L3374" t="s">
        <v>6835</v>
      </c>
      <c r="M3374" t="s">
        <v>134</v>
      </c>
      <c r="N3374" t="s">
        <v>135</v>
      </c>
      <c r="O3374"/>
      <c r="P3374"/>
      <c r="Q3374" t="s">
        <v>168</v>
      </c>
      <c r="R3374"/>
      <c r="S3374" t="s">
        <v>168</v>
      </c>
      <c r="T3374"/>
      <c r="U3374" t="s">
        <v>137</v>
      </c>
      <c r="V3374" t="s">
        <v>162</v>
      </c>
      <c r="W3374"/>
      <c r="X3374" t="s">
        <v>113</v>
      </c>
      <c r="Y3374"/>
      <c r="Z3374"/>
      <c r="AA3374" t="s">
        <v>2163</v>
      </c>
      <c r="AB3374" t="s">
        <v>2</v>
      </c>
      <c r="AC3374" t="s">
        <v>138</v>
      </c>
      <c r="AD3374" t="s">
        <v>129</v>
      </c>
      <c r="AE3374" s="97"/>
    </row>
    <row r="3375" spans="1:31" ht="14.4" customHeight="1" x14ac:dyDescent="0.3">
      <c r="A3375" t="s">
        <v>6953</v>
      </c>
      <c r="B3375" t="s">
        <v>6839</v>
      </c>
      <c r="C3375"/>
      <c r="D3375"/>
      <c r="E3375"/>
      <c r="F3375"/>
      <c r="G3375" t="s">
        <v>5944</v>
      </c>
      <c r="H3375" t="s">
        <v>132</v>
      </c>
      <c r="I3375" t="s">
        <v>2</v>
      </c>
      <c r="J3375" t="s">
        <v>5298</v>
      </c>
      <c r="K3375" t="s">
        <v>52</v>
      </c>
      <c r="L3375" t="s">
        <v>6835</v>
      </c>
      <c r="M3375" t="s">
        <v>134</v>
      </c>
      <c r="N3375" t="s">
        <v>135</v>
      </c>
      <c r="O3375"/>
      <c r="P3375"/>
      <c r="Q3375" t="s">
        <v>168</v>
      </c>
      <c r="R3375"/>
      <c r="S3375" t="s">
        <v>168</v>
      </c>
      <c r="T3375"/>
      <c r="U3375" t="s">
        <v>137</v>
      </c>
      <c r="V3375" t="s">
        <v>162</v>
      </c>
      <c r="W3375"/>
      <c r="X3375" t="s">
        <v>113</v>
      </c>
      <c r="Y3375"/>
      <c r="Z3375"/>
      <c r="AA3375" t="s">
        <v>2163</v>
      </c>
      <c r="AB3375" t="s">
        <v>2</v>
      </c>
      <c r="AC3375" t="s">
        <v>138</v>
      </c>
      <c r="AD3375" t="s">
        <v>129</v>
      </c>
      <c r="AE3375" s="97"/>
    </row>
    <row r="3376" spans="1:31" ht="14.4" customHeight="1" x14ac:dyDescent="0.3">
      <c r="A3376" t="s">
        <v>6954</v>
      </c>
      <c r="B3376" t="s">
        <v>6841</v>
      </c>
      <c r="C3376"/>
      <c r="D3376"/>
      <c r="E3376"/>
      <c r="F3376"/>
      <c r="G3376" t="s">
        <v>5944</v>
      </c>
      <c r="H3376" t="s">
        <v>132</v>
      </c>
      <c r="I3376" t="s">
        <v>2</v>
      </c>
      <c r="J3376" t="s">
        <v>5298</v>
      </c>
      <c r="K3376" t="s">
        <v>52</v>
      </c>
      <c r="L3376" t="s">
        <v>6842</v>
      </c>
      <c r="M3376" t="s">
        <v>134</v>
      </c>
      <c r="N3376" t="s">
        <v>135</v>
      </c>
      <c r="O3376"/>
      <c r="P3376"/>
      <c r="Q3376" t="s">
        <v>168</v>
      </c>
      <c r="R3376"/>
      <c r="S3376" t="s">
        <v>168</v>
      </c>
      <c r="T3376"/>
      <c r="U3376" t="s">
        <v>137</v>
      </c>
      <c r="V3376" t="s">
        <v>165</v>
      </c>
      <c r="W3376"/>
      <c r="X3376" t="s">
        <v>122</v>
      </c>
      <c r="Y3376"/>
      <c r="Z3376"/>
      <c r="AA3376" t="s">
        <v>2163</v>
      </c>
      <c r="AB3376" t="s">
        <v>2</v>
      </c>
      <c r="AC3376" t="s">
        <v>138</v>
      </c>
      <c r="AD3376" t="s">
        <v>130</v>
      </c>
      <c r="AE3376" s="97"/>
    </row>
    <row r="3377" spans="1:31" ht="14.4" customHeight="1" x14ac:dyDescent="0.3">
      <c r="A3377" t="s">
        <v>6955</v>
      </c>
      <c r="B3377" t="s">
        <v>6844</v>
      </c>
      <c r="C3377"/>
      <c r="D3377"/>
      <c r="E3377"/>
      <c r="F3377"/>
      <c r="G3377" t="s">
        <v>5944</v>
      </c>
      <c r="H3377" t="s">
        <v>132</v>
      </c>
      <c r="I3377" t="s">
        <v>2</v>
      </c>
      <c r="J3377" t="s">
        <v>5298</v>
      </c>
      <c r="K3377" t="s">
        <v>52</v>
      </c>
      <c r="L3377" t="s">
        <v>6842</v>
      </c>
      <c r="M3377" t="s">
        <v>134</v>
      </c>
      <c r="N3377" t="s">
        <v>135</v>
      </c>
      <c r="O3377"/>
      <c r="P3377"/>
      <c r="Q3377" t="s">
        <v>168</v>
      </c>
      <c r="R3377"/>
      <c r="S3377" t="s">
        <v>168</v>
      </c>
      <c r="T3377"/>
      <c r="U3377" t="s">
        <v>137</v>
      </c>
      <c r="V3377" t="s">
        <v>165</v>
      </c>
      <c r="W3377"/>
      <c r="X3377" t="s">
        <v>122</v>
      </c>
      <c r="Y3377"/>
      <c r="Z3377"/>
      <c r="AA3377" t="s">
        <v>2163</v>
      </c>
      <c r="AB3377" t="s">
        <v>2</v>
      </c>
      <c r="AC3377" t="s">
        <v>138</v>
      </c>
      <c r="AD3377" t="s">
        <v>130</v>
      </c>
      <c r="AE3377" s="97"/>
    </row>
    <row r="3378" spans="1:31" ht="14.4" customHeight="1" x14ac:dyDescent="0.3">
      <c r="A3378" t="s">
        <v>6956</v>
      </c>
      <c r="B3378" t="s">
        <v>6846</v>
      </c>
      <c r="C3378"/>
      <c r="D3378"/>
      <c r="E3378"/>
      <c r="F3378"/>
      <c r="G3378" t="s">
        <v>5944</v>
      </c>
      <c r="H3378" t="s">
        <v>132</v>
      </c>
      <c r="I3378" t="s">
        <v>2</v>
      </c>
      <c r="J3378" t="s">
        <v>5298</v>
      </c>
      <c r="K3378" t="s">
        <v>52</v>
      </c>
      <c r="L3378" t="s">
        <v>6842</v>
      </c>
      <c r="M3378" t="s">
        <v>134</v>
      </c>
      <c r="N3378" t="s">
        <v>135</v>
      </c>
      <c r="O3378"/>
      <c r="P3378"/>
      <c r="Q3378" t="s">
        <v>168</v>
      </c>
      <c r="R3378"/>
      <c r="S3378" t="s">
        <v>168</v>
      </c>
      <c r="T3378"/>
      <c r="U3378" t="s">
        <v>137</v>
      </c>
      <c r="V3378" t="s">
        <v>165</v>
      </c>
      <c r="W3378"/>
      <c r="X3378" t="s">
        <v>122</v>
      </c>
      <c r="Y3378"/>
      <c r="Z3378"/>
      <c r="AA3378" t="s">
        <v>2163</v>
      </c>
      <c r="AB3378" t="s">
        <v>2</v>
      </c>
      <c r="AC3378" t="s">
        <v>138</v>
      </c>
      <c r="AD3378" t="s">
        <v>130</v>
      </c>
      <c r="AE3378" s="97"/>
    </row>
    <row r="3379" spans="1:31" ht="14.4" customHeight="1" x14ac:dyDescent="0.3">
      <c r="A3379" t="s">
        <v>6957</v>
      </c>
      <c r="B3379" t="s">
        <v>6848</v>
      </c>
      <c r="C3379"/>
      <c r="D3379"/>
      <c r="E3379"/>
      <c r="F3379"/>
      <c r="G3379" t="s">
        <v>5944</v>
      </c>
      <c r="H3379" t="s">
        <v>132</v>
      </c>
      <c r="I3379" t="s">
        <v>2</v>
      </c>
      <c r="J3379" t="s">
        <v>5298</v>
      </c>
      <c r="K3379" t="s">
        <v>52</v>
      </c>
      <c r="L3379" t="s">
        <v>6849</v>
      </c>
      <c r="M3379" t="s">
        <v>134</v>
      </c>
      <c r="N3379" t="s">
        <v>135</v>
      </c>
      <c r="O3379"/>
      <c r="P3379"/>
      <c r="Q3379" t="s">
        <v>168</v>
      </c>
      <c r="R3379"/>
      <c r="S3379" t="s">
        <v>168</v>
      </c>
      <c r="T3379"/>
      <c r="U3379" t="s">
        <v>137</v>
      </c>
      <c r="V3379" t="s">
        <v>324</v>
      </c>
      <c r="W3379"/>
      <c r="X3379" t="s">
        <v>60</v>
      </c>
      <c r="Y3379"/>
      <c r="Z3379"/>
      <c r="AA3379" t="s">
        <v>2163</v>
      </c>
      <c r="AB3379" t="s">
        <v>2</v>
      </c>
      <c r="AC3379" t="s">
        <v>138</v>
      </c>
      <c r="AD3379" t="s">
        <v>128</v>
      </c>
      <c r="AE3379" s="97"/>
    </row>
    <row r="3380" spans="1:31" ht="14.4" customHeight="1" x14ac:dyDescent="0.3">
      <c r="A3380" t="s">
        <v>6958</v>
      </c>
      <c r="B3380" t="s">
        <v>6851</v>
      </c>
      <c r="C3380"/>
      <c r="D3380"/>
      <c r="E3380"/>
      <c r="F3380"/>
      <c r="G3380" t="s">
        <v>5944</v>
      </c>
      <c r="H3380" t="s">
        <v>132</v>
      </c>
      <c r="I3380" t="s">
        <v>2</v>
      </c>
      <c r="J3380" t="s">
        <v>5298</v>
      </c>
      <c r="K3380" t="s">
        <v>52</v>
      </c>
      <c r="L3380" t="s">
        <v>6849</v>
      </c>
      <c r="M3380" t="s">
        <v>134</v>
      </c>
      <c r="N3380" t="s">
        <v>135</v>
      </c>
      <c r="O3380"/>
      <c r="P3380"/>
      <c r="Q3380" t="s">
        <v>168</v>
      </c>
      <c r="R3380"/>
      <c r="S3380" t="s">
        <v>168</v>
      </c>
      <c r="T3380"/>
      <c r="U3380" t="s">
        <v>137</v>
      </c>
      <c r="V3380" t="s">
        <v>324</v>
      </c>
      <c r="W3380"/>
      <c r="X3380" t="s">
        <v>60</v>
      </c>
      <c r="Y3380"/>
      <c r="Z3380"/>
      <c r="AA3380" t="s">
        <v>2163</v>
      </c>
      <c r="AB3380" t="s">
        <v>2</v>
      </c>
      <c r="AC3380" t="s">
        <v>138</v>
      </c>
      <c r="AD3380" t="s">
        <v>128</v>
      </c>
      <c r="AE3380" s="97"/>
    </row>
    <row r="3381" spans="1:31" ht="14.4" customHeight="1" x14ac:dyDescent="0.3">
      <c r="A3381" t="s">
        <v>6959</v>
      </c>
      <c r="B3381" t="s">
        <v>6853</v>
      </c>
      <c r="C3381"/>
      <c r="D3381"/>
      <c r="E3381"/>
      <c r="F3381"/>
      <c r="G3381" t="s">
        <v>5944</v>
      </c>
      <c r="H3381" t="s">
        <v>132</v>
      </c>
      <c r="I3381" t="s">
        <v>2</v>
      </c>
      <c r="J3381" t="s">
        <v>5298</v>
      </c>
      <c r="K3381" t="s">
        <v>52</v>
      </c>
      <c r="L3381" t="s">
        <v>6854</v>
      </c>
      <c r="M3381" t="s">
        <v>134</v>
      </c>
      <c r="N3381" t="s">
        <v>135</v>
      </c>
      <c r="O3381"/>
      <c r="P3381"/>
      <c r="Q3381" t="s">
        <v>168</v>
      </c>
      <c r="R3381"/>
      <c r="S3381" t="s">
        <v>168</v>
      </c>
      <c r="T3381"/>
      <c r="U3381" t="s">
        <v>137</v>
      </c>
      <c r="V3381" t="s">
        <v>328</v>
      </c>
      <c r="W3381"/>
      <c r="X3381" t="s">
        <v>65</v>
      </c>
      <c r="Y3381"/>
      <c r="Z3381"/>
      <c r="AA3381" t="s">
        <v>2163</v>
      </c>
      <c r="AB3381" t="s">
        <v>2</v>
      </c>
      <c r="AC3381" t="s">
        <v>138</v>
      </c>
      <c r="AD3381" t="s">
        <v>128</v>
      </c>
      <c r="AE3381" s="97"/>
    </row>
    <row r="3382" spans="1:31" ht="14.4" customHeight="1" x14ac:dyDescent="0.3">
      <c r="A3382" t="s">
        <v>6960</v>
      </c>
      <c r="B3382" t="s">
        <v>6856</v>
      </c>
      <c r="C3382"/>
      <c r="D3382"/>
      <c r="E3382"/>
      <c r="F3382"/>
      <c r="G3382" t="s">
        <v>5944</v>
      </c>
      <c r="H3382" t="s">
        <v>132</v>
      </c>
      <c r="I3382" t="s">
        <v>2</v>
      </c>
      <c r="J3382" t="s">
        <v>5298</v>
      </c>
      <c r="K3382" t="s">
        <v>52</v>
      </c>
      <c r="L3382" t="s">
        <v>6854</v>
      </c>
      <c r="M3382" t="s">
        <v>134</v>
      </c>
      <c r="N3382" t="s">
        <v>135</v>
      </c>
      <c r="O3382"/>
      <c r="P3382"/>
      <c r="Q3382" t="s">
        <v>168</v>
      </c>
      <c r="R3382"/>
      <c r="S3382" t="s">
        <v>168</v>
      </c>
      <c r="T3382"/>
      <c r="U3382" t="s">
        <v>137</v>
      </c>
      <c r="V3382" t="s">
        <v>328</v>
      </c>
      <c r="W3382"/>
      <c r="X3382" t="s">
        <v>65</v>
      </c>
      <c r="Y3382"/>
      <c r="Z3382"/>
      <c r="AA3382" t="s">
        <v>2163</v>
      </c>
      <c r="AB3382" t="s">
        <v>2</v>
      </c>
      <c r="AC3382" t="s">
        <v>138</v>
      </c>
      <c r="AD3382" t="s">
        <v>128</v>
      </c>
      <c r="AE3382" s="97"/>
    </row>
    <row r="3383" spans="1:31" ht="14.4" customHeight="1" x14ac:dyDescent="0.3">
      <c r="A3383" t="s">
        <v>6961</v>
      </c>
      <c r="B3383" t="s">
        <v>6858</v>
      </c>
      <c r="C3383"/>
      <c r="D3383"/>
      <c r="E3383"/>
      <c r="F3383"/>
      <c r="G3383" t="s">
        <v>5944</v>
      </c>
      <c r="H3383" t="s">
        <v>132</v>
      </c>
      <c r="I3383" t="s">
        <v>2</v>
      </c>
      <c r="J3383" t="s">
        <v>5298</v>
      </c>
      <c r="K3383" t="s">
        <v>52</v>
      </c>
      <c r="L3383" t="s">
        <v>6859</v>
      </c>
      <c r="M3383" t="s">
        <v>134</v>
      </c>
      <c r="N3383" t="s">
        <v>135</v>
      </c>
      <c r="O3383"/>
      <c r="P3383"/>
      <c r="Q3383" t="s">
        <v>168</v>
      </c>
      <c r="R3383"/>
      <c r="S3383" t="s">
        <v>168</v>
      </c>
      <c r="T3383"/>
      <c r="U3383" t="s">
        <v>137</v>
      </c>
      <c r="V3383" t="s">
        <v>332</v>
      </c>
      <c r="W3383"/>
      <c r="X3383" t="s">
        <v>80</v>
      </c>
      <c r="Y3383"/>
      <c r="Z3383"/>
      <c r="AA3383" t="s">
        <v>2163</v>
      </c>
      <c r="AB3383" t="s">
        <v>2</v>
      </c>
      <c r="AC3383" t="s">
        <v>138</v>
      </c>
      <c r="AD3383" t="s">
        <v>129</v>
      </c>
      <c r="AE3383" s="97"/>
    </row>
    <row r="3384" spans="1:31" ht="14.4" customHeight="1" x14ac:dyDescent="0.3">
      <c r="A3384" t="s">
        <v>6962</v>
      </c>
      <c r="B3384" t="s">
        <v>6861</v>
      </c>
      <c r="C3384"/>
      <c r="D3384"/>
      <c r="E3384"/>
      <c r="F3384"/>
      <c r="G3384" t="s">
        <v>5944</v>
      </c>
      <c r="H3384" t="s">
        <v>132</v>
      </c>
      <c r="I3384" t="s">
        <v>2</v>
      </c>
      <c r="J3384" t="s">
        <v>5298</v>
      </c>
      <c r="K3384" t="s">
        <v>52</v>
      </c>
      <c r="L3384" t="s">
        <v>6859</v>
      </c>
      <c r="M3384" t="s">
        <v>134</v>
      </c>
      <c r="N3384" t="s">
        <v>135</v>
      </c>
      <c r="O3384"/>
      <c r="P3384"/>
      <c r="Q3384" t="s">
        <v>168</v>
      </c>
      <c r="R3384"/>
      <c r="S3384" t="s">
        <v>168</v>
      </c>
      <c r="T3384"/>
      <c r="U3384" t="s">
        <v>137</v>
      </c>
      <c r="V3384" t="s">
        <v>332</v>
      </c>
      <c r="W3384"/>
      <c r="X3384" t="s">
        <v>80</v>
      </c>
      <c r="Y3384"/>
      <c r="Z3384"/>
      <c r="AA3384" t="s">
        <v>2163</v>
      </c>
      <c r="AB3384" t="s">
        <v>2</v>
      </c>
      <c r="AC3384" t="s">
        <v>138</v>
      </c>
      <c r="AD3384" t="s">
        <v>129</v>
      </c>
      <c r="AE3384" s="97"/>
    </row>
    <row r="3385" spans="1:31" ht="14.4" customHeight="1" x14ac:dyDescent="0.3">
      <c r="A3385" t="s">
        <v>6963</v>
      </c>
      <c r="B3385" t="s">
        <v>6863</v>
      </c>
      <c r="C3385"/>
      <c r="D3385"/>
      <c r="E3385"/>
      <c r="F3385"/>
      <c r="G3385" t="s">
        <v>5944</v>
      </c>
      <c r="H3385" t="s">
        <v>132</v>
      </c>
      <c r="I3385" t="s">
        <v>2</v>
      </c>
      <c r="J3385" t="s">
        <v>5298</v>
      </c>
      <c r="K3385" t="s">
        <v>52</v>
      </c>
      <c r="L3385" t="s">
        <v>6864</v>
      </c>
      <c r="M3385" t="s">
        <v>134</v>
      </c>
      <c r="N3385" t="s">
        <v>135</v>
      </c>
      <c r="O3385"/>
      <c r="P3385"/>
      <c r="Q3385" t="s">
        <v>168</v>
      </c>
      <c r="R3385"/>
      <c r="S3385" t="s">
        <v>168</v>
      </c>
      <c r="T3385"/>
      <c r="U3385" t="s">
        <v>137</v>
      </c>
      <c r="V3385" t="s">
        <v>336</v>
      </c>
      <c r="W3385"/>
      <c r="X3385" t="s">
        <v>84</v>
      </c>
      <c r="Y3385"/>
      <c r="Z3385"/>
      <c r="AA3385" t="s">
        <v>2163</v>
      </c>
      <c r="AB3385" t="s">
        <v>2</v>
      </c>
      <c r="AC3385" t="s">
        <v>138</v>
      </c>
      <c r="AD3385" t="s">
        <v>129</v>
      </c>
      <c r="AE3385" s="97"/>
    </row>
    <row r="3386" spans="1:31" ht="14.4" customHeight="1" x14ac:dyDescent="0.3">
      <c r="A3386" t="s">
        <v>6964</v>
      </c>
      <c r="B3386" t="s">
        <v>6866</v>
      </c>
      <c r="C3386"/>
      <c r="D3386"/>
      <c r="E3386"/>
      <c r="F3386"/>
      <c r="G3386" t="s">
        <v>5944</v>
      </c>
      <c r="H3386" t="s">
        <v>132</v>
      </c>
      <c r="I3386" t="s">
        <v>2</v>
      </c>
      <c r="J3386" t="s">
        <v>5298</v>
      </c>
      <c r="K3386" t="s">
        <v>52</v>
      </c>
      <c r="L3386" t="s">
        <v>6864</v>
      </c>
      <c r="M3386" t="s">
        <v>134</v>
      </c>
      <c r="N3386" t="s">
        <v>135</v>
      </c>
      <c r="O3386"/>
      <c r="P3386"/>
      <c r="Q3386" t="s">
        <v>168</v>
      </c>
      <c r="R3386"/>
      <c r="S3386" t="s">
        <v>168</v>
      </c>
      <c r="T3386"/>
      <c r="U3386" t="s">
        <v>137</v>
      </c>
      <c r="V3386" t="s">
        <v>336</v>
      </c>
      <c r="W3386"/>
      <c r="X3386" t="s">
        <v>84</v>
      </c>
      <c r="Y3386"/>
      <c r="Z3386"/>
      <c r="AA3386" t="s">
        <v>2163</v>
      </c>
      <c r="AB3386" t="s">
        <v>2</v>
      </c>
      <c r="AC3386" t="s">
        <v>138</v>
      </c>
      <c r="AD3386" t="s">
        <v>129</v>
      </c>
      <c r="AE3386" s="97"/>
    </row>
    <row r="3387" spans="1:31" ht="14.4" customHeight="1" x14ac:dyDescent="0.3">
      <c r="A3387" t="s">
        <v>6965</v>
      </c>
      <c r="B3387" t="s">
        <v>6868</v>
      </c>
      <c r="C3387"/>
      <c r="D3387"/>
      <c r="E3387"/>
      <c r="F3387"/>
      <c r="G3387" t="s">
        <v>5944</v>
      </c>
      <c r="H3387" t="s">
        <v>132</v>
      </c>
      <c r="I3387" t="s">
        <v>2</v>
      </c>
      <c r="J3387" t="s">
        <v>5298</v>
      </c>
      <c r="K3387" t="s">
        <v>52</v>
      </c>
      <c r="L3387" t="s">
        <v>6869</v>
      </c>
      <c r="M3387" t="s">
        <v>134</v>
      </c>
      <c r="N3387" t="s">
        <v>135</v>
      </c>
      <c r="O3387"/>
      <c r="P3387"/>
      <c r="Q3387" t="s">
        <v>168</v>
      </c>
      <c r="R3387"/>
      <c r="S3387" t="s">
        <v>168</v>
      </c>
      <c r="T3387"/>
      <c r="U3387" t="s">
        <v>137</v>
      </c>
      <c r="V3387" t="s">
        <v>340</v>
      </c>
      <c r="W3387"/>
      <c r="X3387" t="s">
        <v>93</v>
      </c>
      <c r="Y3387"/>
      <c r="Z3387"/>
      <c r="AA3387" t="s">
        <v>2163</v>
      </c>
      <c r="AB3387" t="s">
        <v>2</v>
      </c>
      <c r="AC3387" t="s">
        <v>138</v>
      </c>
      <c r="AD3387" t="s">
        <v>129</v>
      </c>
      <c r="AE3387" s="97"/>
    </row>
    <row r="3388" spans="1:31" ht="14.4" customHeight="1" x14ac:dyDescent="0.3">
      <c r="A3388" t="s">
        <v>6966</v>
      </c>
      <c r="B3388" t="s">
        <v>6871</v>
      </c>
      <c r="C3388"/>
      <c r="D3388"/>
      <c r="E3388"/>
      <c r="F3388"/>
      <c r="G3388" t="s">
        <v>5944</v>
      </c>
      <c r="H3388" t="s">
        <v>132</v>
      </c>
      <c r="I3388" t="s">
        <v>2</v>
      </c>
      <c r="J3388" t="s">
        <v>5298</v>
      </c>
      <c r="K3388" t="s">
        <v>52</v>
      </c>
      <c r="L3388" t="s">
        <v>6869</v>
      </c>
      <c r="M3388" t="s">
        <v>134</v>
      </c>
      <c r="N3388" t="s">
        <v>135</v>
      </c>
      <c r="O3388"/>
      <c r="P3388"/>
      <c r="Q3388" t="s">
        <v>168</v>
      </c>
      <c r="R3388"/>
      <c r="S3388" t="s">
        <v>168</v>
      </c>
      <c r="T3388"/>
      <c r="U3388" t="s">
        <v>137</v>
      </c>
      <c r="V3388" t="s">
        <v>340</v>
      </c>
      <c r="W3388"/>
      <c r="X3388" t="s">
        <v>93</v>
      </c>
      <c r="Y3388"/>
      <c r="Z3388"/>
      <c r="AA3388" t="s">
        <v>2163</v>
      </c>
      <c r="AB3388" t="s">
        <v>2</v>
      </c>
      <c r="AC3388" t="s">
        <v>138</v>
      </c>
      <c r="AD3388" t="s">
        <v>129</v>
      </c>
      <c r="AE3388" s="97"/>
    </row>
    <row r="3389" spans="1:31" ht="14.4" customHeight="1" x14ac:dyDescent="0.3">
      <c r="A3389" t="s">
        <v>6967</v>
      </c>
      <c r="B3389" t="s">
        <v>6873</v>
      </c>
      <c r="C3389"/>
      <c r="D3389"/>
      <c r="E3389"/>
      <c r="F3389"/>
      <c r="G3389" t="s">
        <v>5944</v>
      </c>
      <c r="H3389" t="s">
        <v>132</v>
      </c>
      <c r="I3389" t="s">
        <v>2</v>
      </c>
      <c r="J3389" t="s">
        <v>5298</v>
      </c>
      <c r="K3389" t="s">
        <v>52</v>
      </c>
      <c r="L3389" t="s">
        <v>6874</v>
      </c>
      <c r="M3389" t="s">
        <v>134</v>
      </c>
      <c r="N3389" t="s">
        <v>135</v>
      </c>
      <c r="O3389"/>
      <c r="P3389"/>
      <c r="Q3389" t="s">
        <v>168</v>
      </c>
      <c r="R3389"/>
      <c r="S3389" t="s">
        <v>168</v>
      </c>
      <c r="T3389"/>
      <c r="U3389" t="s">
        <v>137</v>
      </c>
      <c r="V3389" t="s">
        <v>344</v>
      </c>
      <c r="W3389"/>
      <c r="X3389" t="s">
        <v>102</v>
      </c>
      <c r="Y3389"/>
      <c r="Z3389"/>
      <c r="AA3389" t="s">
        <v>2163</v>
      </c>
      <c r="AB3389" t="s">
        <v>2</v>
      </c>
      <c r="AC3389" t="s">
        <v>138</v>
      </c>
      <c r="AD3389" t="s">
        <v>129</v>
      </c>
      <c r="AE3389" s="97"/>
    </row>
    <row r="3390" spans="1:31" ht="14.4" customHeight="1" x14ac:dyDescent="0.3">
      <c r="A3390" t="s">
        <v>6968</v>
      </c>
      <c r="B3390" t="s">
        <v>6876</v>
      </c>
      <c r="C3390"/>
      <c r="D3390"/>
      <c r="E3390"/>
      <c r="F3390"/>
      <c r="G3390" t="s">
        <v>5944</v>
      </c>
      <c r="H3390" t="s">
        <v>132</v>
      </c>
      <c r="I3390" t="s">
        <v>2</v>
      </c>
      <c r="J3390" t="s">
        <v>5298</v>
      </c>
      <c r="K3390" t="s">
        <v>52</v>
      </c>
      <c r="L3390" t="s">
        <v>6874</v>
      </c>
      <c r="M3390" t="s">
        <v>134</v>
      </c>
      <c r="N3390" t="s">
        <v>135</v>
      </c>
      <c r="O3390"/>
      <c r="P3390"/>
      <c r="Q3390" t="s">
        <v>168</v>
      </c>
      <c r="R3390"/>
      <c r="S3390" t="s">
        <v>168</v>
      </c>
      <c r="T3390"/>
      <c r="U3390" t="s">
        <v>137</v>
      </c>
      <c r="V3390" t="s">
        <v>344</v>
      </c>
      <c r="W3390"/>
      <c r="X3390" t="s">
        <v>102</v>
      </c>
      <c r="Y3390"/>
      <c r="Z3390"/>
      <c r="AA3390" t="s">
        <v>2163</v>
      </c>
      <c r="AB3390" t="s">
        <v>2</v>
      </c>
      <c r="AC3390" t="s">
        <v>138</v>
      </c>
      <c r="AD3390" t="s">
        <v>129</v>
      </c>
      <c r="AE3390" s="97"/>
    </row>
    <row r="3391" spans="1:31" ht="14.4" customHeight="1" x14ac:dyDescent="0.3">
      <c r="A3391" t="s">
        <v>6969</v>
      </c>
      <c r="B3391" t="s">
        <v>6878</v>
      </c>
      <c r="C3391"/>
      <c r="D3391"/>
      <c r="E3391"/>
      <c r="F3391"/>
      <c r="G3391" t="s">
        <v>5944</v>
      </c>
      <c r="H3391" t="s">
        <v>132</v>
      </c>
      <c r="I3391" t="s">
        <v>2</v>
      </c>
      <c r="J3391" t="s">
        <v>5298</v>
      </c>
      <c r="K3391" t="s">
        <v>52</v>
      </c>
      <c r="L3391" t="s">
        <v>6879</v>
      </c>
      <c r="M3391" t="s">
        <v>134</v>
      </c>
      <c r="N3391" t="s">
        <v>135</v>
      </c>
      <c r="O3391"/>
      <c r="P3391"/>
      <c r="Q3391" t="s">
        <v>168</v>
      </c>
      <c r="R3391"/>
      <c r="S3391" t="s">
        <v>168</v>
      </c>
      <c r="T3391"/>
      <c r="U3391" t="s">
        <v>137</v>
      </c>
      <c r="V3391" t="s">
        <v>348</v>
      </c>
      <c r="W3391"/>
      <c r="X3391" t="s">
        <v>116</v>
      </c>
      <c r="Y3391"/>
      <c r="Z3391"/>
      <c r="AA3391" t="s">
        <v>2163</v>
      </c>
      <c r="AB3391" t="s">
        <v>2</v>
      </c>
      <c r="AC3391" t="s">
        <v>138</v>
      </c>
      <c r="AD3391" t="s">
        <v>130</v>
      </c>
      <c r="AE3391" s="97"/>
    </row>
    <row r="3392" spans="1:31" ht="14.4" customHeight="1" x14ac:dyDescent="0.3">
      <c r="A3392" t="s">
        <v>6970</v>
      </c>
      <c r="B3392" t="s">
        <v>6881</v>
      </c>
      <c r="C3392"/>
      <c r="D3392"/>
      <c r="E3392"/>
      <c r="F3392"/>
      <c r="G3392" t="s">
        <v>5944</v>
      </c>
      <c r="H3392" t="s">
        <v>132</v>
      </c>
      <c r="I3392" t="s">
        <v>2</v>
      </c>
      <c r="J3392" t="s">
        <v>5298</v>
      </c>
      <c r="K3392" t="s">
        <v>52</v>
      </c>
      <c r="L3392" t="s">
        <v>6879</v>
      </c>
      <c r="M3392" t="s">
        <v>134</v>
      </c>
      <c r="N3392" t="s">
        <v>135</v>
      </c>
      <c r="O3392"/>
      <c r="P3392"/>
      <c r="Q3392" t="s">
        <v>168</v>
      </c>
      <c r="R3392"/>
      <c r="S3392" t="s">
        <v>168</v>
      </c>
      <c r="T3392"/>
      <c r="U3392" t="s">
        <v>137</v>
      </c>
      <c r="V3392" t="s">
        <v>348</v>
      </c>
      <c r="W3392"/>
      <c r="X3392" t="s">
        <v>116</v>
      </c>
      <c r="Y3392"/>
      <c r="Z3392"/>
      <c r="AA3392" t="s">
        <v>2163</v>
      </c>
      <c r="AB3392" t="s">
        <v>2</v>
      </c>
      <c r="AC3392" t="s">
        <v>138</v>
      </c>
      <c r="AD3392" t="s">
        <v>130</v>
      </c>
      <c r="AE3392" s="97"/>
    </row>
    <row r="3393" spans="1:31" ht="14.4" customHeight="1" x14ac:dyDescent="0.3">
      <c r="A3393" t="s">
        <v>6971</v>
      </c>
      <c r="B3393" t="s">
        <v>6883</v>
      </c>
      <c r="C3393"/>
      <c r="D3393"/>
      <c r="E3393"/>
      <c r="F3393"/>
      <c r="G3393" t="s">
        <v>5944</v>
      </c>
      <c r="H3393" t="s">
        <v>132</v>
      </c>
      <c r="I3393" t="s">
        <v>2</v>
      </c>
      <c r="J3393" t="s">
        <v>5298</v>
      </c>
      <c r="K3393" t="s">
        <v>52</v>
      </c>
      <c r="L3393" t="s">
        <v>6884</v>
      </c>
      <c r="M3393" t="s">
        <v>134</v>
      </c>
      <c r="N3393" t="s">
        <v>135</v>
      </c>
      <c r="O3393"/>
      <c r="P3393"/>
      <c r="Q3393" t="s">
        <v>168</v>
      </c>
      <c r="R3393"/>
      <c r="S3393" t="s">
        <v>168</v>
      </c>
      <c r="T3393"/>
      <c r="U3393" t="s">
        <v>137</v>
      </c>
      <c r="V3393" t="s">
        <v>352</v>
      </c>
      <c r="W3393"/>
      <c r="X3393" t="s">
        <v>56</v>
      </c>
      <c r="Y3393"/>
      <c r="Z3393"/>
      <c r="AA3393" t="s">
        <v>2163</v>
      </c>
      <c r="AB3393" t="s">
        <v>2</v>
      </c>
      <c r="AC3393" t="s">
        <v>138</v>
      </c>
      <c r="AD3393" t="s">
        <v>128</v>
      </c>
      <c r="AE3393" s="97"/>
    </row>
    <row r="3394" spans="1:31" ht="14.4" customHeight="1" x14ac:dyDescent="0.3">
      <c r="A3394" t="s">
        <v>6972</v>
      </c>
      <c r="B3394" t="s">
        <v>6886</v>
      </c>
      <c r="C3394"/>
      <c r="D3394"/>
      <c r="E3394"/>
      <c r="F3394"/>
      <c r="G3394" t="s">
        <v>5944</v>
      </c>
      <c r="H3394" t="s">
        <v>132</v>
      </c>
      <c r="I3394" t="s">
        <v>2</v>
      </c>
      <c r="J3394" t="s">
        <v>5298</v>
      </c>
      <c r="K3394" t="s">
        <v>52</v>
      </c>
      <c r="L3394" t="s">
        <v>6884</v>
      </c>
      <c r="M3394" t="s">
        <v>134</v>
      </c>
      <c r="N3394" t="s">
        <v>135</v>
      </c>
      <c r="O3394"/>
      <c r="P3394"/>
      <c r="Q3394" t="s">
        <v>168</v>
      </c>
      <c r="R3394"/>
      <c r="S3394" t="s">
        <v>168</v>
      </c>
      <c r="T3394"/>
      <c r="U3394" t="s">
        <v>137</v>
      </c>
      <c r="V3394" t="s">
        <v>352</v>
      </c>
      <c r="W3394"/>
      <c r="X3394" t="s">
        <v>56</v>
      </c>
      <c r="Y3394"/>
      <c r="Z3394"/>
      <c r="AA3394" t="s">
        <v>2163</v>
      </c>
      <c r="AB3394" t="s">
        <v>2</v>
      </c>
      <c r="AC3394" t="s">
        <v>138</v>
      </c>
      <c r="AD3394" t="s">
        <v>128</v>
      </c>
      <c r="AE3394" s="97"/>
    </row>
    <row r="3395" spans="1:31" ht="14.4" customHeight="1" x14ac:dyDescent="0.3">
      <c r="A3395" t="s">
        <v>6973</v>
      </c>
      <c r="B3395" t="s">
        <v>6888</v>
      </c>
      <c r="C3395"/>
      <c r="D3395"/>
      <c r="E3395"/>
      <c r="F3395"/>
      <c r="G3395" t="s">
        <v>5944</v>
      </c>
      <c r="H3395" t="s">
        <v>132</v>
      </c>
      <c r="I3395" t="s">
        <v>2</v>
      </c>
      <c r="J3395" t="s">
        <v>5298</v>
      </c>
      <c r="K3395" t="s">
        <v>52</v>
      </c>
      <c r="L3395" t="s">
        <v>3182</v>
      </c>
      <c r="M3395" t="s">
        <v>134</v>
      </c>
      <c r="N3395" t="s">
        <v>135</v>
      </c>
      <c r="O3395"/>
      <c r="P3395"/>
      <c r="Q3395" t="s">
        <v>168</v>
      </c>
      <c r="R3395"/>
      <c r="S3395" t="s">
        <v>168</v>
      </c>
      <c r="T3395"/>
      <c r="U3395" t="s">
        <v>137</v>
      </c>
      <c r="V3395" t="s">
        <v>352</v>
      </c>
      <c r="W3395"/>
      <c r="X3395" t="s">
        <v>56</v>
      </c>
      <c r="Y3395"/>
      <c r="Z3395"/>
      <c r="AA3395" t="s">
        <v>2163</v>
      </c>
      <c r="AB3395" t="s">
        <v>2</v>
      </c>
      <c r="AC3395" t="s">
        <v>138</v>
      </c>
      <c r="AD3395" t="s">
        <v>128</v>
      </c>
      <c r="AE3395" s="97"/>
    </row>
    <row r="3396" spans="1:31" ht="14.4" customHeight="1" x14ac:dyDescent="0.3">
      <c r="A3396" t="s">
        <v>6974</v>
      </c>
      <c r="B3396" t="s">
        <v>6890</v>
      </c>
      <c r="C3396"/>
      <c r="D3396"/>
      <c r="E3396"/>
      <c r="F3396"/>
      <c r="G3396" t="s">
        <v>5944</v>
      </c>
      <c r="H3396" t="s">
        <v>132</v>
      </c>
      <c r="I3396" t="s">
        <v>2</v>
      </c>
      <c r="J3396" t="s">
        <v>5298</v>
      </c>
      <c r="K3396" t="s">
        <v>52</v>
      </c>
      <c r="L3396" t="s">
        <v>3182</v>
      </c>
      <c r="M3396" t="s">
        <v>134</v>
      </c>
      <c r="N3396" t="s">
        <v>135</v>
      </c>
      <c r="O3396"/>
      <c r="P3396"/>
      <c r="Q3396" t="s">
        <v>168</v>
      </c>
      <c r="R3396"/>
      <c r="S3396" t="s">
        <v>168</v>
      </c>
      <c r="T3396"/>
      <c r="U3396" t="s">
        <v>137</v>
      </c>
      <c r="V3396" t="s">
        <v>352</v>
      </c>
      <c r="W3396"/>
      <c r="X3396" t="s">
        <v>56</v>
      </c>
      <c r="Y3396"/>
      <c r="Z3396"/>
      <c r="AA3396" t="s">
        <v>2163</v>
      </c>
      <c r="AB3396" t="s">
        <v>2</v>
      </c>
      <c r="AC3396" t="s">
        <v>138</v>
      </c>
      <c r="AD3396" t="s">
        <v>128</v>
      </c>
      <c r="AE3396" s="97"/>
    </row>
    <row r="3397" spans="1:31" ht="14.4" customHeight="1" x14ac:dyDescent="0.3">
      <c r="A3397" t="s">
        <v>6975</v>
      </c>
      <c r="B3397" t="s">
        <v>6892</v>
      </c>
      <c r="C3397"/>
      <c r="D3397"/>
      <c r="E3397"/>
      <c r="F3397"/>
      <c r="G3397" t="s">
        <v>5944</v>
      </c>
      <c r="H3397" t="s">
        <v>132</v>
      </c>
      <c r="I3397" t="s">
        <v>2</v>
      </c>
      <c r="J3397" t="s">
        <v>5298</v>
      </c>
      <c r="K3397" t="s">
        <v>52</v>
      </c>
      <c r="L3397" t="s">
        <v>6893</v>
      </c>
      <c r="M3397" t="s">
        <v>134</v>
      </c>
      <c r="N3397" t="s">
        <v>135</v>
      </c>
      <c r="O3397"/>
      <c r="P3397"/>
      <c r="Q3397" t="s">
        <v>168</v>
      </c>
      <c r="R3397"/>
      <c r="S3397" t="s">
        <v>168</v>
      </c>
      <c r="T3397"/>
      <c r="U3397" t="s">
        <v>137</v>
      </c>
      <c r="V3397" t="s">
        <v>1279</v>
      </c>
      <c r="W3397"/>
      <c r="X3397" t="s">
        <v>71</v>
      </c>
      <c r="Y3397"/>
      <c r="Z3397"/>
      <c r="AA3397" t="s">
        <v>2163</v>
      </c>
      <c r="AB3397" t="s">
        <v>2</v>
      </c>
      <c r="AC3397" t="s">
        <v>138</v>
      </c>
      <c r="AD3397" t="s">
        <v>128</v>
      </c>
      <c r="AE3397" s="97"/>
    </row>
    <row r="3398" spans="1:31" ht="14.4" customHeight="1" x14ac:dyDescent="0.3">
      <c r="A3398" t="s">
        <v>6976</v>
      </c>
      <c r="B3398" t="s">
        <v>6895</v>
      </c>
      <c r="C3398"/>
      <c r="D3398"/>
      <c r="E3398"/>
      <c r="F3398"/>
      <c r="G3398" t="s">
        <v>5944</v>
      </c>
      <c r="H3398" t="s">
        <v>132</v>
      </c>
      <c r="I3398" t="s">
        <v>2</v>
      </c>
      <c r="J3398" t="s">
        <v>5298</v>
      </c>
      <c r="K3398" t="s">
        <v>52</v>
      </c>
      <c r="L3398" t="s">
        <v>6896</v>
      </c>
      <c r="M3398" t="s">
        <v>134</v>
      </c>
      <c r="N3398" t="s">
        <v>135</v>
      </c>
      <c r="O3398"/>
      <c r="P3398"/>
      <c r="Q3398" t="s">
        <v>168</v>
      </c>
      <c r="R3398"/>
      <c r="S3398" t="s">
        <v>168</v>
      </c>
      <c r="T3398"/>
      <c r="U3398" t="s">
        <v>137</v>
      </c>
      <c r="V3398" t="s">
        <v>1283</v>
      </c>
      <c r="W3398"/>
      <c r="X3398" t="s">
        <v>78</v>
      </c>
      <c r="Y3398"/>
      <c r="Z3398"/>
      <c r="AA3398" t="s">
        <v>2163</v>
      </c>
      <c r="AB3398" t="s">
        <v>2</v>
      </c>
      <c r="AC3398" t="s">
        <v>138</v>
      </c>
      <c r="AD3398" t="s">
        <v>128</v>
      </c>
      <c r="AE3398" s="97"/>
    </row>
    <row r="3399" spans="1:31" ht="14.4" customHeight="1" x14ac:dyDescent="0.3">
      <c r="A3399" t="s">
        <v>6977</v>
      </c>
      <c r="B3399" t="s">
        <v>6898</v>
      </c>
      <c r="C3399"/>
      <c r="D3399"/>
      <c r="E3399"/>
      <c r="F3399"/>
      <c r="G3399" t="s">
        <v>5944</v>
      </c>
      <c r="H3399" t="s">
        <v>132</v>
      </c>
      <c r="I3399" t="s">
        <v>2</v>
      </c>
      <c r="J3399" t="s">
        <v>5298</v>
      </c>
      <c r="K3399" t="s">
        <v>52</v>
      </c>
      <c r="L3399" t="s">
        <v>6899</v>
      </c>
      <c r="M3399" t="s">
        <v>134</v>
      </c>
      <c r="N3399" t="s">
        <v>135</v>
      </c>
      <c r="O3399"/>
      <c r="P3399"/>
      <c r="Q3399" t="s">
        <v>168</v>
      </c>
      <c r="R3399"/>
      <c r="S3399" t="s">
        <v>168</v>
      </c>
      <c r="T3399"/>
      <c r="U3399" t="s">
        <v>137</v>
      </c>
      <c r="V3399" t="s">
        <v>1287</v>
      </c>
      <c r="W3399"/>
      <c r="X3399" t="s">
        <v>89</v>
      </c>
      <c r="Y3399"/>
      <c r="Z3399"/>
      <c r="AA3399" t="s">
        <v>2163</v>
      </c>
      <c r="AB3399" t="s">
        <v>2</v>
      </c>
      <c r="AC3399" t="s">
        <v>138</v>
      </c>
      <c r="AD3399" t="s">
        <v>129</v>
      </c>
      <c r="AE3399" s="97"/>
    </row>
    <row r="3400" spans="1:31" ht="14.4" customHeight="1" x14ac:dyDescent="0.3">
      <c r="A3400" t="s">
        <v>6978</v>
      </c>
      <c r="B3400" t="s">
        <v>6901</v>
      </c>
      <c r="C3400"/>
      <c r="D3400"/>
      <c r="E3400"/>
      <c r="F3400"/>
      <c r="G3400" t="s">
        <v>5944</v>
      </c>
      <c r="H3400" t="s">
        <v>132</v>
      </c>
      <c r="I3400" t="s">
        <v>2</v>
      </c>
      <c r="J3400" t="s">
        <v>5298</v>
      </c>
      <c r="K3400" t="s">
        <v>52</v>
      </c>
      <c r="L3400" t="s">
        <v>6902</v>
      </c>
      <c r="M3400" t="s">
        <v>134</v>
      </c>
      <c r="N3400" t="s">
        <v>135</v>
      </c>
      <c r="O3400"/>
      <c r="P3400"/>
      <c r="Q3400" t="s">
        <v>168</v>
      </c>
      <c r="R3400"/>
      <c r="S3400" t="s">
        <v>168</v>
      </c>
      <c r="T3400"/>
      <c r="U3400" t="s">
        <v>137</v>
      </c>
      <c r="V3400" t="s">
        <v>1291</v>
      </c>
      <c r="W3400"/>
      <c r="X3400" t="s">
        <v>98</v>
      </c>
      <c r="Y3400"/>
      <c r="Z3400"/>
      <c r="AA3400" t="s">
        <v>2163</v>
      </c>
      <c r="AB3400" t="s">
        <v>2</v>
      </c>
      <c r="AC3400" t="s">
        <v>138</v>
      </c>
      <c r="AD3400" t="s">
        <v>129</v>
      </c>
      <c r="AE3400" s="97"/>
    </row>
    <row r="3401" spans="1:31" ht="14.4" customHeight="1" x14ac:dyDescent="0.3">
      <c r="A3401" t="s">
        <v>6979</v>
      </c>
      <c r="B3401" t="s">
        <v>6904</v>
      </c>
      <c r="C3401"/>
      <c r="D3401"/>
      <c r="E3401"/>
      <c r="F3401"/>
      <c r="G3401" t="s">
        <v>5944</v>
      </c>
      <c r="H3401" t="s">
        <v>132</v>
      </c>
      <c r="I3401" t="s">
        <v>2</v>
      </c>
      <c r="J3401" t="s">
        <v>5298</v>
      </c>
      <c r="K3401" t="s">
        <v>52</v>
      </c>
      <c r="L3401" t="s">
        <v>6905</v>
      </c>
      <c r="M3401" t="s">
        <v>134</v>
      </c>
      <c r="N3401" t="s">
        <v>135</v>
      </c>
      <c r="O3401"/>
      <c r="P3401"/>
      <c r="Q3401" t="s">
        <v>168</v>
      </c>
      <c r="R3401"/>
      <c r="S3401" t="s">
        <v>168</v>
      </c>
      <c r="T3401"/>
      <c r="U3401" t="s">
        <v>137</v>
      </c>
      <c r="V3401" t="s">
        <v>1295</v>
      </c>
      <c r="W3401"/>
      <c r="X3401" t="s">
        <v>107</v>
      </c>
      <c r="Y3401"/>
      <c r="Z3401"/>
      <c r="AA3401" t="s">
        <v>2163</v>
      </c>
      <c r="AB3401" t="s">
        <v>2</v>
      </c>
      <c r="AC3401" t="s">
        <v>138</v>
      </c>
      <c r="AD3401" t="s">
        <v>129</v>
      </c>
      <c r="AE3401" s="97"/>
    </row>
    <row r="3402" spans="1:31" ht="14.4" customHeight="1" x14ac:dyDescent="0.3">
      <c r="A3402" t="s">
        <v>6980</v>
      </c>
      <c r="B3402" t="s">
        <v>6907</v>
      </c>
      <c r="C3402"/>
      <c r="D3402"/>
      <c r="E3402"/>
      <c r="F3402"/>
      <c r="G3402" t="s">
        <v>5944</v>
      </c>
      <c r="H3402" t="s">
        <v>132</v>
      </c>
      <c r="I3402" t="s">
        <v>2</v>
      </c>
      <c r="J3402" t="s">
        <v>5298</v>
      </c>
      <c r="K3402" t="s">
        <v>52</v>
      </c>
      <c r="L3402" t="s">
        <v>6908</v>
      </c>
      <c r="M3402" t="s">
        <v>134</v>
      </c>
      <c r="N3402" t="s">
        <v>135</v>
      </c>
      <c r="O3402"/>
      <c r="P3402"/>
      <c r="Q3402" t="s">
        <v>168</v>
      </c>
      <c r="R3402"/>
      <c r="S3402" t="s">
        <v>168</v>
      </c>
      <c r="T3402"/>
      <c r="U3402" t="s">
        <v>137</v>
      </c>
      <c r="V3402" t="s">
        <v>1299</v>
      </c>
      <c r="W3402"/>
      <c r="X3402" t="s">
        <v>114</v>
      </c>
      <c r="Y3402"/>
      <c r="Z3402"/>
      <c r="AA3402" t="s">
        <v>2163</v>
      </c>
      <c r="AB3402" t="s">
        <v>2</v>
      </c>
      <c r="AC3402" t="s">
        <v>138</v>
      </c>
      <c r="AD3402" t="s">
        <v>129</v>
      </c>
      <c r="AE3402" s="97"/>
    </row>
    <row r="3403" spans="1:31" ht="14.4" customHeight="1" x14ac:dyDescent="0.3">
      <c r="A3403" t="s">
        <v>6981</v>
      </c>
      <c r="B3403" t="s">
        <v>6910</v>
      </c>
      <c r="C3403"/>
      <c r="D3403"/>
      <c r="E3403"/>
      <c r="F3403"/>
      <c r="G3403" t="s">
        <v>5944</v>
      </c>
      <c r="H3403" t="s">
        <v>132</v>
      </c>
      <c r="I3403" t="s">
        <v>2</v>
      </c>
      <c r="J3403" t="s">
        <v>5298</v>
      </c>
      <c r="K3403" t="s">
        <v>52</v>
      </c>
      <c r="L3403" t="s">
        <v>6911</v>
      </c>
      <c r="M3403" t="s">
        <v>134</v>
      </c>
      <c r="N3403" t="s">
        <v>135</v>
      </c>
      <c r="O3403"/>
      <c r="P3403"/>
      <c r="Q3403" t="s">
        <v>168</v>
      </c>
      <c r="R3403"/>
      <c r="S3403" t="s">
        <v>168</v>
      </c>
      <c r="T3403"/>
      <c r="U3403" t="s">
        <v>137</v>
      </c>
      <c r="V3403" t="s">
        <v>1303</v>
      </c>
      <c r="W3403"/>
      <c r="X3403" t="s">
        <v>123</v>
      </c>
      <c r="Y3403"/>
      <c r="Z3403"/>
      <c r="AA3403" t="s">
        <v>2163</v>
      </c>
      <c r="AB3403" t="s">
        <v>2</v>
      </c>
      <c r="AC3403" t="s">
        <v>138</v>
      </c>
      <c r="AD3403" t="s">
        <v>130</v>
      </c>
      <c r="AE3403" s="97"/>
    </row>
    <row r="3404" spans="1:31" ht="14.4" customHeight="1" x14ac:dyDescent="0.3">
      <c r="A3404" t="s">
        <v>6982</v>
      </c>
      <c r="B3404" t="s">
        <v>6913</v>
      </c>
      <c r="C3404"/>
      <c r="D3404"/>
      <c r="E3404"/>
      <c r="F3404"/>
      <c r="G3404" t="s">
        <v>5944</v>
      </c>
      <c r="H3404" t="s">
        <v>132</v>
      </c>
      <c r="I3404" t="s">
        <v>2</v>
      </c>
      <c r="J3404" t="s">
        <v>5298</v>
      </c>
      <c r="K3404" t="s">
        <v>52</v>
      </c>
      <c r="L3404" t="s">
        <v>6893</v>
      </c>
      <c r="M3404" t="s">
        <v>134</v>
      </c>
      <c r="N3404" t="s">
        <v>135</v>
      </c>
      <c r="O3404"/>
      <c r="P3404"/>
      <c r="Q3404" t="s">
        <v>168</v>
      </c>
      <c r="R3404"/>
      <c r="S3404" t="s">
        <v>168</v>
      </c>
      <c r="T3404"/>
      <c r="U3404" t="s">
        <v>137</v>
      </c>
      <c r="V3404" t="s">
        <v>1279</v>
      </c>
      <c r="W3404"/>
      <c r="X3404" t="s">
        <v>71</v>
      </c>
      <c r="Y3404"/>
      <c r="Z3404"/>
      <c r="AA3404" t="s">
        <v>2163</v>
      </c>
      <c r="AB3404" t="s">
        <v>2</v>
      </c>
      <c r="AC3404" t="s">
        <v>138</v>
      </c>
      <c r="AD3404" t="s">
        <v>128</v>
      </c>
      <c r="AE3404" s="97"/>
    </row>
    <row r="3405" spans="1:31" ht="14.4" customHeight="1" x14ac:dyDescent="0.3">
      <c r="A3405" t="s">
        <v>6983</v>
      </c>
      <c r="B3405" t="s">
        <v>6915</v>
      </c>
      <c r="C3405"/>
      <c r="D3405"/>
      <c r="E3405"/>
      <c r="F3405"/>
      <c r="G3405" t="s">
        <v>5944</v>
      </c>
      <c r="H3405" t="s">
        <v>132</v>
      </c>
      <c r="I3405" t="s">
        <v>2</v>
      </c>
      <c r="J3405" t="s">
        <v>5298</v>
      </c>
      <c r="K3405" t="s">
        <v>52</v>
      </c>
      <c r="L3405" t="s">
        <v>6896</v>
      </c>
      <c r="M3405" t="s">
        <v>134</v>
      </c>
      <c r="N3405" t="s">
        <v>135</v>
      </c>
      <c r="O3405"/>
      <c r="P3405"/>
      <c r="Q3405" t="s">
        <v>168</v>
      </c>
      <c r="R3405"/>
      <c r="S3405" t="s">
        <v>168</v>
      </c>
      <c r="T3405"/>
      <c r="U3405" t="s">
        <v>137</v>
      </c>
      <c r="V3405" t="s">
        <v>1283</v>
      </c>
      <c r="W3405"/>
      <c r="X3405" t="s">
        <v>78</v>
      </c>
      <c r="Y3405"/>
      <c r="Z3405"/>
      <c r="AA3405" t="s">
        <v>2163</v>
      </c>
      <c r="AB3405" t="s">
        <v>2</v>
      </c>
      <c r="AC3405" t="s">
        <v>138</v>
      </c>
      <c r="AD3405" t="s">
        <v>128</v>
      </c>
      <c r="AE3405" s="97"/>
    </row>
    <row r="3406" spans="1:31" ht="14.4" customHeight="1" x14ac:dyDescent="0.3">
      <c r="A3406" t="s">
        <v>6984</v>
      </c>
      <c r="B3406" t="s">
        <v>6917</v>
      </c>
      <c r="C3406"/>
      <c r="D3406"/>
      <c r="E3406"/>
      <c r="F3406"/>
      <c r="G3406" t="s">
        <v>5944</v>
      </c>
      <c r="H3406" t="s">
        <v>132</v>
      </c>
      <c r="I3406" t="s">
        <v>2</v>
      </c>
      <c r="J3406" t="s">
        <v>5298</v>
      </c>
      <c r="K3406" t="s">
        <v>52</v>
      </c>
      <c r="L3406" t="s">
        <v>6899</v>
      </c>
      <c r="M3406" t="s">
        <v>134</v>
      </c>
      <c r="N3406" t="s">
        <v>135</v>
      </c>
      <c r="O3406"/>
      <c r="P3406"/>
      <c r="Q3406" t="s">
        <v>168</v>
      </c>
      <c r="R3406"/>
      <c r="S3406" t="s">
        <v>168</v>
      </c>
      <c r="T3406"/>
      <c r="U3406" t="s">
        <v>137</v>
      </c>
      <c r="V3406" t="s">
        <v>1287</v>
      </c>
      <c r="W3406"/>
      <c r="X3406" t="s">
        <v>89</v>
      </c>
      <c r="Y3406"/>
      <c r="Z3406"/>
      <c r="AA3406" t="s">
        <v>2163</v>
      </c>
      <c r="AB3406" t="s">
        <v>2</v>
      </c>
      <c r="AC3406" t="s">
        <v>138</v>
      </c>
      <c r="AD3406" t="s">
        <v>129</v>
      </c>
      <c r="AE3406" s="97"/>
    </row>
    <row r="3407" spans="1:31" ht="14.4" customHeight="1" x14ac:dyDescent="0.3">
      <c r="A3407" t="s">
        <v>6985</v>
      </c>
      <c r="B3407" t="s">
        <v>6919</v>
      </c>
      <c r="C3407"/>
      <c r="D3407"/>
      <c r="E3407"/>
      <c r="F3407"/>
      <c r="G3407" t="s">
        <v>5944</v>
      </c>
      <c r="H3407" t="s">
        <v>132</v>
      </c>
      <c r="I3407" t="s">
        <v>2</v>
      </c>
      <c r="J3407" t="s">
        <v>5298</v>
      </c>
      <c r="K3407" t="s">
        <v>52</v>
      </c>
      <c r="L3407" t="s">
        <v>6902</v>
      </c>
      <c r="M3407" t="s">
        <v>134</v>
      </c>
      <c r="N3407" t="s">
        <v>135</v>
      </c>
      <c r="O3407"/>
      <c r="P3407"/>
      <c r="Q3407" t="s">
        <v>168</v>
      </c>
      <c r="R3407"/>
      <c r="S3407" t="s">
        <v>168</v>
      </c>
      <c r="T3407"/>
      <c r="U3407" t="s">
        <v>137</v>
      </c>
      <c r="V3407" t="s">
        <v>1291</v>
      </c>
      <c r="W3407"/>
      <c r="X3407" t="s">
        <v>98</v>
      </c>
      <c r="Y3407"/>
      <c r="Z3407"/>
      <c r="AA3407" t="s">
        <v>2163</v>
      </c>
      <c r="AB3407" t="s">
        <v>2</v>
      </c>
      <c r="AC3407" t="s">
        <v>138</v>
      </c>
      <c r="AD3407" t="s">
        <v>129</v>
      </c>
      <c r="AE3407" s="97"/>
    </row>
    <row r="3408" spans="1:31" ht="14.4" customHeight="1" x14ac:dyDescent="0.3">
      <c r="A3408" t="s">
        <v>6986</v>
      </c>
      <c r="B3408" t="s">
        <v>6921</v>
      </c>
      <c r="C3408"/>
      <c r="D3408"/>
      <c r="E3408"/>
      <c r="F3408"/>
      <c r="G3408" t="s">
        <v>5944</v>
      </c>
      <c r="H3408" t="s">
        <v>132</v>
      </c>
      <c r="I3408" t="s">
        <v>2</v>
      </c>
      <c r="J3408" t="s">
        <v>5298</v>
      </c>
      <c r="K3408" t="s">
        <v>52</v>
      </c>
      <c r="L3408" t="s">
        <v>6905</v>
      </c>
      <c r="M3408" t="s">
        <v>134</v>
      </c>
      <c r="N3408" t="s">
        <v>135</v>
      </c>
      <c r="O3408"/>
      <c r="P3408"/>
      <c r="Q3408" t="s">
        <v>168</v>
      </c>
      <c r="R3408"/>
      <c r="S3408" t="s">
        <v>168</v>
      </c>
      <c r="T3408"/>
      <c r="U3408" t="s">
        <v>137</v>
      </c>
      <c r="V3408" t="s">
        <v>1295</v>
      </c>
      <c r="W3408"/>
      <c r="X3408" t="s">
        <v>107</v>
      </c>
      <c r="Y3408"/>
      <c r="Z3408"/>
      <c r="AA3408" t="s">
        <v>2163</v>
      </c>
      <c r="AB3408" t="s">
        <v>2</v>
      </c>
      <c r="AC3408" t="s">
        <v>138</v>
      </c>
      <c r="AD3408" t="s">
        <v>129</v>
      </c>
      <c r="AE3408" s="97"/>
    </row>
    <row r="3409" spans="1:31" ht="14.4" customHeight="1" x14ac:dyDescent="0.3">
      <c r="A3409" t="s">
        <v>6987</v>
      </c>
      <c r="B3409" t="s">
        <v>6923</v>
      </c>
      <c r="C3409"/>
      <c r="D3409"/>
      <c r="E3409"/>
      <c r="F3409"/>
      <c r="G3409" t="s">
        <v>5944</v>
      </c>
      <c r="H3409" t="s">
        <v>132</v>
      </c>
      <c r="I3409" t="s">
        <v>2</v>
      </c>
      <c r="J3409" t="s">
        <v>5298</v>
      </c>
      <c r="K3409" t="s">
        <v>52</v>
      </c>
      <c r="L3409" t="s">
        <v>6908</v>
      </c>
      <c r="M3409" t="s">
        <v>134</v>
      </c>
      <c r="N3409" t="s">
        <v>135</v>
      </c>
      <c r="O3409"/>
      <c r="P3409"/>
      <c r="Q3409" t="s">
        <v>168</v>
      </c>
      <c r="R3409"/>
      <c r="S3409" t="s">
        <v>168</v>
      </c>
      <c r="T3409"/>
      <c r="U3409" t="s">
        <v>137</v>
      </c>
      <c r="V3409" t="s">
        <v>1299</v>
      </c>
      <c r="W3409"/>
      <c r="X3409" t="s">
        <v>114</v>
      </c>
      <c r="Y3409"/>
      <c r="Z3409"/>
      <c r="AA3409" t="s">
        <v>2163</v>
      </c>
      <c r="AB3409" t="s">
        <v>2</v>
      </c>
      <c r="AC3409" t="s">
        <v>138</v>
      </c>
      <c r="AD3409" t="s">
        <v>129</v>
      </c>
      <c r="AE3409" s="97"/>
    </row>
    <row r="3410" spans="1:31" ht="14.4" customHeight="1" x14ac:dyDescent="0.3">
      <c r="A3410" t="s">
        <v>6988</v>
      </c>
      <c r="B3410" t="s">
        <v>6925</v>
      </c>
      <c r="C3410"/>
      <c r="D3410"/>
      <c r="E3410"/>
      <c r="F3410"/>
      <c r="G3410" t="s">
        <v>5944</v>
      </c>
      <c r="H3410" t="s">
        <v>132</v>
      </c>
      <c r="I3410" t="s">
        <v>2</v>
      </c>
      <c r="J3410" t="s">
        <v>5298</v>
      </c>
      <c r="K3410" t="s">
        <v>52</v>
      </c>
      <c r="L3410" t="s">
        <v>6911</v>
      </c>
      <c r="M3410" t="s">
        <v>134</v>
      </c>
      <c r="N3410" t="s">
        <v>135</v>
      </c>
      <c r="O3410"/>
      <c r="P3410"/>
      <c r="Q3410" t="s">
        <v>168</v>
      </c>
      <c r="R3410"/>
      <c r="S3410" t="s">
        <v>168</v>
      </c>
      <c r="T3410"/>
      <c r="U3410" t="s">
        <v>137</v>
      </c>
      <c r="V3410" t="s">
        <v>1303</v>
      </c>
      <c r="W3410"/>
      <c r="X3410" t="s">
        <v>123</v>
      </c>
      <c r="Y3410"/>
      <c r="Z3410"/>
      <c r="AA3410" t="s">
        <v>2163</v>
      </c>
      <c r="AB3410" t="s">
        <v>2</v>
      </c>
      <c r="AC3410" t="s">
        <v>138</v>
      </c>
      <c r="AD3410" t="s">
        <v>130</v>
      </c>
      <c r="AE3410" s="97"/>
    </row>
    <row r="3411" spans="1:31" ht="14.4" customHeight="1" x14ac:dyDescent="0.3">
      <c r="A3411" t="s">
        <v>5945</v>
      </c>
      <c r="B3411" t="s">
        <v>2167</v>
      </c>
      <c r="C3411"/>
      <c r="D3411"/>
      <c r="E3411"/>
      <c r="F3411"/>
      <c r="G3411" t="s">
        <v>5944</v>
      </c>
      <c r="H3411" t="s">
        <v>132</v>
      </c>
      <c r="I3411" t="s">
        <v>2</v>
      </c>
      <c r="J3411" t="s">
        <v>5298</v>
      </c>
      <c r="K3411" t="s">
        <v>52</v>
      </c>
      <c r="L3411" t="s">
        <v>2168</v>
      </c>
      <c r="M3411" t="s">
        <v>134</v>
      </c>
      <c r="N3411" t="s">
        <v>135</v>
      </c>
      <c r="O3411"/>
      <c r="P3411"/>
      <c r="Q3411" t="s">
        <v>168</v>
      </c>
      <c r="R3411"/>
      <c r="S3411"/>
      <c r="T3411" t="s">
        <v>2165</v>
      </c>
      <c r="U3411" t="s">
        <v>137</v>
      </c>
      <c r="V3411" t="s">
        <v>358</v>
      </c>
      <c r="W3411"/>
      <c r="X3411" t="s">
        <v>124</v>
      </c>
      <c r="Y3411"/>
      <c r="Z3411"/>
      <c r="AA3411" t="s">
        <v>2163</v>
      </c>
      <c r="AB3411" t="s">
        <v>2</v>
      </c>
      <c r="AC3411" t="s">
        <v>138</v>
      </c>
      <c r="AD3411" t="s">
        <v>130</v>
      </c>
      <c r="AE3411" s="97"/>
    </row>
    <row r="3412" spans="1:31" ht="14.4" customHeight="1" x14ac:dyDescent="0.3">
      <c r="A3412" t="s">
        <v>5946</v>
      </c>
      <c r="B3412" t="s">
        <v>2170</v>
      </c>
      <c r="C3412"/>
      <c r="D3412"/>
      <c r="E3412"/>
      <c r="F3412"/>
      <c r="G3412" t="s">
        <v>5944</v>
      </c>
      <c r="H3412" t="s">
        <v>132</v>
      </c>
      <c r="I3412" t="s">
        <v>2</v>
      </c>
      <c r="J3412" t="s">
        <v>5298</v>
      </c>
      <c r="K3412" t="s">
        <v>52</v>
      </c>
      <c r="L3412" t="s">
        <v>2171</v>
      </c>
      <c r="M3412" t="s">
        <v>134</v>
      </c>
      <c r="N3412" t="s">
        <v>135</v>
      </c>
      <c r="O3412"/>
      <c r="P3412"/>
      <c r="Q3412" t="s">
        <v>168</v>
      </c>
      <c r="R3412"/>
      <c r="S3412"/>
      <c r="T3412" t="s">
        <v>2165</v>
      </c>
      <c r="U3412" t="s">
        <v>137</v>
      </c>
      <c r="V3412" t="s">
        <v>358</v>
      </c>
      <c r="W3412"/>
      <c r="X3412" t="s">
        <v>124</v>
      </c>
      <c r="Y3412"/>
      <c r="Z3412"/>
      <c r="AA3412" t="s">
        <v>2163</v>
      </c>
      <c r="AB3412" t="s">
        <v>2</v>
      </c>
      <c r="AC3412" t="s">
        <v>138</v>
      </c>
      <c r="AD3412" t="s">
        <v>130</v>
      </c>
      <c r="AE3412" s="97"/>
    </row>
    <row r="3413" spans="1:31" ht="14.4" customHeight="1" x14ac:dyDescent="0.3">
      <c r="A3413" t="s">
        <v>5947</v>
      </c>
      <c r="B3413" t="s">
        <v>2173</v>
      </c>
      <c r="C3413"/>
      <c r="D3413"/>
      <c r="E3413"/>
      <c r="F3413"/>
      <c r="G3413" t="s">
        <v>5944</v>
      </c>
      <c r="H3413" t="s">
        <v>132</v>
      </c>
      <c r="I3413" t="s">
        <v>2</v>
      </c>
      <c r="J3413" t="s">
        <v>5298</v>
      </c>
      <c r="K3413" t="s">
        <v>52</v>
      </c>
      <c r="L3413" t="s">
        <v>2174</v>
      </c>
      <c r="M3413" t="s">
        <v>134</v>
      </c>
      <c r="N3413" t="s">
        <v>135</v>
      </c>
      <c r="O3413"/>
      <c r="P3413"/>
      <c r="Q3413" t="s">
        <v>168</v>
      </c>
      <c r="R3413"/>
      <c r="S3413"/>
      <c r="T3413" t="s">
        <v>2165</v>
      </c>
      <c r="U3413" t="s">
        <v>137</v>
      </c>
      <c r="V3413" t="s">
        <v>358</v>
      </c>
      <c r="W3413"/>
      <c r="X3413" t="s">
        <v>124</v>
      </c>
      <c r="Y3413"/>
      <c r="Z3413"/>
      <c r="AA3413" t="s">
        <v>2163</v>
      </c>
      <c r="AB3413" t="s">
        <v>2</v>
      </c>
      <c r="AC3413" t="s">
        <v>138</v>
      </c>
      <c r="AD3413" t="s">
        <v>130</v>
      </c>
      <c r="AE3413" s="97"/>
    </row>
    <row r="3414" spans="1:31" ht="14.4" customHeight="1" x14ac:dyDescent="0.3">
      <c r="A3414" t="s">
        <v>5948</v>
      </c>
      <c r="B3414" t="s">
        <v>2176</v>
      </c>
      <c r="C3414"/>
      <c r="D3414"/>
      <c r="E3414"/>
      <c r="F3414"/>
      <c r="G3414" t="s">
        <v>5944</v>
      </c>
      <c r="H3414" t="s">
        <v>132</v>
      </c>
      <c r="I3414" t="s">
        <v>2</v>
      </c>
      <c r="J3414" t="s">
        <v>5298</v>
      </c>
      <c r="K3414" t="s">
        <v>52</v>
      </c>
      <c r="L3414" t="s">
        <v>2177</v>
      </c>
      <c r="M3414" t="s">
        <v>134</v>
      </c>
      <c r="N3414" t="s">
        <v>135</v>
      </c>
      <c r="O3414"/>
      <c r="P3414"/>
      <c r="Q3414" t="s">
        <v>168</v>
      </c>
      <c r="R3414"/>
      <c r="S3414"/>
      <c r="T3414" t="s">
        <v>2165</v>
      </c>
      <c r="U3414" t="s">
        <v>137</v>
      </c>
      <c r="V3414" t="s">
        <v>358</v>
      </c>
      <c r="W3414"/>
      <c r="X3414" t="s">
        <v>124</v>
      </c>
      <c r="Y3414"/>
      <c r="Z3414"/>
      <c r="AA3414" t="s">
        <v>2163</v>
      </c>
      <c r="AB3414" t="s">
        <v>2</v>
      </c>
      <c r="AC3414" t="s">
        <v>138</v>
      </c>
      <c r="AD3414" t="s">
        <v>130</v>
      </c>
      <c r="AE3414" s="97"/>
    </row>
    <row r="3415" spans="1:31" ht="14.4" customHeight="1" x14ac:dyDescent="0.3">
      <c r="A3415" t="s">
        <v>5949</v>
      </c>
      <c r="B3415" t="s">
        <v>2179</v>
      </c>
      <c r="C3415"/>
      <c r="D3415"/>
      <c r="E3415"/>
      <c r="F3415"/>
      <c r="G3415" t="s">
        <v>5944</v>
      </c>
      <c r="H3415" t="s">
        <v>132</v>
      </c>
      <c r="I3415" t="s">
        <v>2</v>
      </c>
      <c r="J3415" t="s">
        <v>5298</v>
      </c>
      <c r="K3415" t="s">
        <v>52</v>
      </c>
      <c r="L3415" t="s">
        <v>2180</v>
      </c>
      <c r="M3415" t="s">
        <v>134</v>
      </c>
      <c r="N3415" t="s">
        <v>135</v>
      </c>
      <c r="O3415"/>
      <c r="P3415"/>
      <c r="Q3415" t="s">
        <v>168</v>
      </c>
      <c r="R3415"/>
      <c r="S3415"/>
      <c r="T3415" t="s">
        <v>2165</v>
      </c>
      <c r="U3415" t="s">
        <v>137</v>
      </c>
      <c r="V3415" t="s">
        <v>358</v>
      </c>
      <c r="W3415"/>
      <c r="X3415" t="s">
        <v>124</v>
      </c>
      <c r="Y3415"/>
      <c r="Z3415"/>
      <c r="AA3415" t="s">
        <v>2163</v>
      </c>
      <c r="AB3415" t="s">
        <v>2</v>
      </c>
      <c r="AC3415" t="s">
        <v>138</v>
      </c>
      <c r="AD3415" t="s">
        <v>130</v>
      </c>
      <c r="AE3415" s="97"/>
    </row>
    <row r="3416" spans="1:31" ht="14.4" customHeight="1" x14ac:dyDescent="0.3">
      <c r="A3416" t="s">
        <v>5950</v>
      </c>
      <c r="B3416" t="s">
        <v>2182</v>
      </c>
      <c r="C3416"/>
      <c r="D3416"/>
      <c r="E3416"/>
      <c r="F3416"/>
      <c r="G3416" t="s">
        <v>5944</v>
      </c>
      <c r="H3416" t="s">
        <v>132</v>
      </c>
      <c r="I3416" t="s">
        <v>2</v>
      </c>
      <c r="J3416" t="s">
        <v>5298</v>
      </c>
      <c r="K3416" t="s">
        <v>52</v>
      </c>
      <c r="L3416" t="s">
        <v>2183</v>
      </c>
      <c r="M3416" t="s">
        <v>134</v>
      </c>
      <c r="N3416" t="s">
        <v>135</v>
      </c>
      <c r="O3416"/>
      <c r="P3416"/>
      <c r="Q3416" t="s">
        <v>168</v>
      </c>
      <c r="R3416"/>
      <c r="S3416"/>
      <c r="T3416" t="s">
        <v>2165</v>
      </c>
      <c r="U3416" t="s">
        <v>137</v>
      </c>
      <c r="V3416" t="s">
        <v>358</v>
      </c>
      <c r="W3416"/>
      <c r="X3416" t="s">
        <v>124</v>
      </c>
      <c r="Y3416"/>
      <c r="Z3416"/>
      <c r="AA3416" t="s">
        <v>2163</v>
      </c>
      <c r="AB3416" t="s">
        <v>2</v>
      </c>
      <c r="AC3416" t="s">
        <v>138</v>
      </c>
      <c r="AD3416" t="s">
        <v>130</v>
      </c>
      <c r="AE3416" s="97"/>
    </row>
    <row r="3417" spans="1:31" ht="14.4" customHeight="1" x14ac:dyDescent="0.3">
      <c r="A3417" t="s">
        <v>5951</v>
      </c>
      <c r="B3417" t="s">
        <v>2185</v>
      </c>
      <c r="C3417"/>
      <c r="D3417"/>
      <c r="E3417"/>
      <c r="F3417"/>
      <c r="G3417" t="s">
        <v>5944</v>
      </c>
      <c r="H3417" t="s">
        <v>132</v>
      </c>
      <c r="I3417" t="s">
        <v>2</v>
      </c>
      <c r="J3417" t="s">
        <v>5298</v>
      </c>
      <c r="K3417" t="s">
        <v>52</v>
      </c>
      <c r="L3417" t="s">
        <v>2186</v>
      </c>
      <c r="M3417" t="s">
        <v>134</v>
      </c>
      <c r="N3417" t="s">
        <v>135</v>
      </c>
      <c r="O3417"/>
      <c r="P3417"/>
      <c r="Q3417" t="s">
        <v>168</v>
      </c>
      <c r="R3417"/>
      <c r="S3417"/>
      <c r="T3417" t="s">
        <v>2165</v>
      </c>
      <c r="U3417" t="s">
        <v>137</v>
      </c>
      <c r="V3417" t="s">
        <v>358</v>
      </c>
      <c r="W3417"/>
      <c r="X3417" t="s">
        <v>124</v>
      </c>
      <c r="Y3417"/>
      <c r="Z3417"/>
      <c r="AA3417" t="s">
        <v>2163</v>
      </c>
      <c r="AB3417" t="s">
        <v>2</v>
      </c>
      <c r="AC3417" t="s">
        <v>138</v>
      </c>
      <c r="AD3417" t="s">
        <v>130</v>
      </c>
      <c r="AE3417" s="97"/>
    </row>
    <row r="3418" spans="1:31" ht="14.4" customHeight="1" x14ac:dyDescent="0.3">
      <c r="A3418" t="s">
        <v>5952</v>
      </c>
      <c r="B3418" t="s">
        <v>2188</v>
      </c>
      <c r="C3418"/>
      <c r="D3418"/>
      <c r="E3418"/>
      <c r="F3418"/>
      <c r="G3418" t="s">
        <v>5944</v>
      </c>
      <c r="H3418" t="s">
        <v>132</v>
      </c>
      <c r="I3418" t="s">
        <v>2</v>
      </c>
      <c r="J3418" t="s">
        <v>5298</v>
      </c>
      <c r="K3418" t="s">
        <v>52</v>
      </c>
      <c r="L3418" t="s">
        <v>2189</v>
      </c>
      <c r="M3418" t="s">
        <v>134</v>
      </c>
      <c r="N3418" t="s">
        <v>135</v>
      </c>
      <c r="O3418"/>
      <c r="P3418"/>
      <c r="Q3418" t="s">
        <v>168</v>
      </c>
      <c r="R3418"/>
      <c r="S3418"/>
      <c r="T3418" t="s">
        <v>2165</v>
      </c>
      <c r="U3418" t="s">
        <v>137</v>
      </c>
      <c r="V3418" t="s">
        <v>358</v>
      </c>
      <c r="W3418"/>
      <c r="X3418" t="s">
        <v>124</v>
      </c>
      <c r="Y3418"/>
      <c r="Z3418"/>
      <c r="AA3418" t="s">
        <v>2163</v>
      </c>
      <c r="AB3418" t="s">
        <v>2</v>
      </c>
      <c r="AC3418" t="s">
        <v>138</v>
      </c>
      <c r="AD3418" t="s">
        <v>130</v>
      </c>
      <c r="AE3418" s="97"/>
    </row>
    <row r="3419" spans="1:31" ht="14.4" customHeight="1" x14ac:dyDescent="0.3">
      <c r="A3419" t="s">
        <v>5953</v>
      </c>
      <c r="B3419" t="s">
        <v>2191</v>
      </c>
      <c r="C3419"/>
      <c r="D3419"/>
      <c r="E3419"/>
      <c r="F3419"/>
      <c r="G3419" t="s">
        <v>5944</v>
      </c>
      <c r="H3419" t="s">
        <v>132</v>
      </c>
      <c r="I3419" t="s">
        <v>2</v>
      </c>
      <c r="J3419" t="s">
        <v>5298</v>
      </c>
      <c r="K3419" t="s">
        <v>52</v>
      </c>
      <c r="L3419" t="s">
        <v>2192</v>
      </c>
      <c r="M3419" t="s">
        <v>134</v>
      </c>
      <c r="N3419" t="s">
        <v>135</v>
      </c>
      <c r="O3419"/>
      <c r="P3419"/>
      <c r="Q3419" t="s">
        <v>168</v>
      </c>
      <c r="R3419"/>
      <c r="S3419"/>
      <c r="T3419" t="s">
        <v>2165</v>
      </c>
      <c r="U3419" t="s">
        <v>137</v>
      </c>
      <c r="V3419" t="s">
        <v>358</v>
      </c>
      <c r="W3419"/>
      <c r="X3419" t="s">
        <v>124</v>
      </c>
      <c r="Y3419"/>
      <c r="Z3419"/>
      <c r="AA3419" t="s">
        <v>2163</v>
      </c>
      <c r="AB3419" t="s">
        <v>2</v>
      </c>
      <c r="AC3419" t="s">
        <v>138</v>
      </c>
      <c r="AD3419" t="s">
        <v>130</v>
      </c>
      <c r="AE3419" s="97"/>
    </row>
    <row r="3420" spans="1:31" ht="14.4" customHeight="1" x14ac:dyDescent="0.3">
      <c r="A3420" t="s">
        <v>5954</v>
      </c>
      <c r="B3420" t="s">
        <v>2194</v>
      </c>
      <c r="C3420"/>
      <c r="D3420"/>
      <c r="E3420"/>
      <c r="F3420"/>
      <c r="G3420" t="s">
        <v>5944</v>
      </c>
      <c r="H3420" t="s">
        <v>132</v>
      </c>
      <c r="I3420" t="s">
        <v>2</v>
      </c>
      <c r="J3420" t="s">
        <v>5298</v>
      </c>
      <c r="K3420" t="s">
        <v>52</v>
      </c>
      <c r="L3420" t="s">
        <v>2195</v>
      </c>
      <c r="M3420" t="s">
        <v>134</v>
      </c>
      <c r="N3420" t="s">
        <v>135</v>
      </c>
      <c r="O3420"/>
      <c r="P3420"/>
      <c r="Q3420" t="s">
        <v>168</v>
      </c>
      <c r="R3420"/>
      <c r="S3420"/>
      <c r="T3420" t="s">
        <v>2165</v>
      </c>
      <c r="U3420" t="s">
        <v>137</v>
      </c>
      <c r="V3420" t="s">
        <v>358</v>
      </c>
      <c r="W3420"/>
      <c r="X3420" t="s">
        <v>124</v>
      </c>
      <c r="Y3420"/>
      <c r="Z3420"/>
      <c r="AA3420" t="s">
        <v>2163</v>
      </c>
      <c r="AB3420" t="s">
        <v>2</v>
      </c>
      <c r="AC3420" t="s">
        <v>138</v>
      </c>
      <c r="AD3420" t="s">
        <v>130</v>
      </c>
      <c r="AE3420" s="97"/>
    </row>
    <row r="3421" spans="1:31" ht="14.4" customHeight="1" x14ac:dyDescent="0.3">
      <c r="A3421" t="s">
        <v>5955</v>
      </c>
      <c r="B3421" t="s">
        <v>2201</v>
      </c>
      <c r="C3421"/>
      <c r="D3421"/>
      <c r="E3421"/>
      <c r="F3421"/>
      <c r="G3421" t="s">
        <v>5944</v>
      </c>
      <c r="H3421" t="s">
        <v>132</v>
      </c>
      <c r="I3421" t="s">
        <v>2</v>
      </c>
      <c r="J3421" t="s">
        <v>5298</v>
      </c>
      <c r="K3421" t="s">
        <v>52</v>
      </c>
      <c r="L3421" t="s">
        <v>2202</v>
      </c>
      <c r="M3421" t="s">
        <v>134</v>
      </c>
      <c r="N3421" t="s">
        <v>135</v>
      </c>
      <c r="O3421"/>
      <c r="P3421"/>
      <c r="Q3421" t="s">
        <v>168</v>
      </c>
      <c r="R3421"/>
      <c r="S3421"/>
      <c r="T3421" t="s">
        <v>2165</v>
      </c>
      <c r="U3421" t="s">
        <v>137</v>
      </c>
      <c r="V3421" t="s">
        <v>362</v>
      </c>
      <c r="W3421"/>
      <c r="X3421" t="s">
        <v>58</v>
      </c>
      <c r="Y3421"/>
      <c r="Z3421"/>
      <c r="AA3421" t="s">
        <v>2163</v>
      </c>
      <c r="AB3421" t="s">
        <v>2</v>
      </c>
      <c r="AC3421" t="s">
        <v>138</v>
      </c>
      <c r="AD3421" t="s">
        <v>128</v>
      </c>
      <c r="AE3421" s="97"/>
    </row>
    <row r="3422" spans="1:31" ht="14.4" customHeight="1" x14ac:dyDescent="0.3">
      <c r="A3422" t="s">
        <v>5956</v>
      </c>
      <c r="B3422" t="s">
        <v>2204</v>
      </c>
      <c r="C3422"/>
      <c r="D3422"/>
      <c r="E3422"/>
      <c r="F3422"/>
      <c r="G3422" t="s">
        <v>5944</v>
      </c>
      <c r="H3422" t="s">
        <v>132</v>
      </c>
      <c r="I3422" t="s">
        <v>2</v>
      </c>
      <c r="J3422" t="s">
        <v>5298</v>
      </c>
      <c r="K3422" t="s">
        <v>52</v>
      </c>
      <c r="L3422" t="s">
        <v>2205</v>
      </c>
      <c r="M3422" t="s">
        <v>134</v>
      </c>
      <c r="N3422" t="s">
        <v>135</v>
      </c>
      <c r="O3422"/>
      <c r="P3422"/>
      <c r="Q3422" t="s">
        <v>168</v>
      </c>
      <c r="R3422"/>
      <c r="S3422"/>
      <c r="T3422" t="s">
        <v>2165</v>
      </c>
      <c r="U3422" t="s">
        <v>137</v>
      </c>
      <c r="V3422" t="s">
        <v>371</v>
      </c>
      <c r="W3422"/>
      <c r="X3422" t="s">
        <v>57</v>
      </c>
      <c r="Y3422"/>
      <c r="Z3422"/>
      <c r="AA3422" t="s">
        <v>2163</v>
      </c>
      <c r="AB3422" t="s">
        <v>2</v>
      </c>
      <c r="AC3422" t="s">
        <v>138</v>
      </c>
      <c r="AD3422" t="s">
        <v>128</v>
      </c>
      <c r="AE3422" s="97"/>
    </row>
    <row r="3423" spans="1:31" ht="14.4" customHeight="1" x14ac:dyDescent="0.3">
      <c r="A3423" t="s">
        <v>5957</v>
      </c>
      <c r="B3423" t="s">
        <v>2207</v>
      </c>
      <c r="C3423"/>
      <c r="D3423"/>
      <c r="E3423"/>
      <c r="F3423"/>
      <c r="G3423" t="s">
        <v>5944</v>
      </c>
      <c r="H3423" t="s">
        <v>132</v>
      </c>
      <c r="I3423" t="s">
        <v>2</v>
      </c>
      <c r="J3423" t="s">
        <v>5298</v>
      </c>
      <c r="K3423" t="s">
        <v>52</v>
      </c>
      <c r="L3423" t="s">
        <v>2208</v>
      </c>
      <c r="M3423" t="s">
        <v>134</v>
      </c>
      <c r="N3423" t="s">
        <v>135</v>
      </c>
      <c r="O3423"/>
      <c r="P3423"/>
      <c r="Q3423" t="s">
        <v>168</v>
      </c>
      <c r="R3423"/>
      <c r="S3423"/>
      <c r="T3423" t="s">
        <v>2165</v>
      </c>
      <c r="U3423" t="s">
        <v>137</v>
      </c>
      <c r="V3423" t="s">
        <v>403</v>
      </c>
      <c r="W3423"/>
      <c r="X3423" t="s">
        <v>68</v>
      </c>
      <c r="Y3423"/>
      <c r="Z3423"/>
      <c r="AA3423" t="s">
        <v>2163</v>
      </c>
      <c r="AB3423" t="s">
        <v>2</v>
      </c>
      <c r="AC3423" t="s">
        <v>138</v>
      </c>
      <c r="AD3423" t="s">
        <v>128</v>
      </c>
      <c r="AE3423" s="97"/>
    </row>
    <row r="3424" spans="1:31" ht="14.4" customHeight="1" x14ac:dyDescent="0.3">
      <c r="A3424" t="s">
        <v>5958</v>
      </c>
      <c r="B3424" t="s">
        <v>2210</v>
      </c>
      <c r="C3424"/>
      <c r="D3424"/>
      <c r="E3424"/>
      <c r="F3424"/>
      <c r="G3424" t="s">
        <v>5944</v>
      </c>
      <c r="H3424" t="s">
        <v>132</v>
      </c>
      <c r="I3424" t="s">
        <v>2</v>
      </c>
      <c r="J3424" t="s">
        <v>5298</v>
      </c>
      <c r="K3424" t="s">
        <v>52</v>
      </c>
      <c r="L3424" t="s">
        <v>2211</v>
      </c>
      <c r="M3424" t="s">
        <v>134</v>
      </c>
      <c r="N3424" t="s">
        <v>135</v>
      </c>
      <c r="O3424"/>
      <c r="P3424"/>
      <c r="Q3424" t="s">
        <v>168</v>
      </c>
      <c r="R3424"/>
      <c r="S3424"/>
      <c r="T3424" t="s">
        <v>2165</v>
      </c>
      <c r="U3424" t="s">
        <v>137</v>
      </c>
      <c r="V3424" t="s">
        <v>407</v>
      </c>
      <c r="W3424"/>
      <c r="X3424" t="s">
        <v>77</v>
      </c>
      <c r="Y3424"/>
      <c r="Z3424"/>
      <c r="AA3424" t="s">
        <v>2163</v>
      </c>
      <c r="AB3424" t="s">
        <v>2</v>
      </c>
      <c r="AC3424" t="s">
        <v>138</v>
      </c>
      <c r="AD3424" t="s">
        <v>128</v>
      </c>
      <c r="AE3424" s="97"/>
    </row>
    <row r="3425" spans="1:31" ht="14.4" customHeight="1" x14ac:dyDescent="0.3">
      <c r="A3425" t="s">
        <v>5959</v>
      </c>
      <c r="B3425" t="s">
        <v>2213</v>
      </c>
      <c r="C3425"/>
      <c r="D3425"/>
      <c r="E3425"/>
      <c r="F3425"/>
      <c r="G3425" t="s">
        <v>5944</v>
      </c>
      <c r="H3425" t="s">
        <v>132</v>
      </c>
      <c r="I3425" t="s">
        <v>2</v>
      </c>
      <c r="J3425" t="s">
        <v>5298</v>
      </c>
      <c r="K3425" t="s">
        <v>52</v>
      </c>
      <c r="L3425" t="s">
        <v>2214</v>
      </c>
      <c r="M3425" t="s">
        <v>134</v>
      </c>
      <c r="N3425" t="s">
        <v>135</v>
      </c>
      <c r="O3425"/>
      <c r="P3425"/>
      <c r="Q3425" t="s">
        <v>168</v>
      </c>
      <c r="R3425"/>
      <c r="S3425"/>
      <c r="T3425" t="s">
        <v>2165</v>
      </c>
      <c r="U3425" t="s">
        <v>137</v>
      </c>
      <c r="V3425" t="s">
        <v>411</v>
      </c>
      <c r="W3425"/>
      <c r="X3425" t="s">
        <v>87</v>
      </c>
      <c r="Y3425"/>
      <c r="Z3425"/>
      <c r="AA3425" t="s">
        <v>2163</v>
      </c>
      <c r="AB3425" t="s">
        <v>2</v>
      </c>
      <c r="AC3425" t="s">
        <v>138</v>
      </c>
      <c r="AD3425" t="s">
        <v>129</v>
      </c>
      <c r="AE3425" s="97"/>
    </row>
    <row r="3426" spans="1:31" ht="14.4" customHeight="1" x14ac:dyDescent="0.3">
      <c r="A3426" t="s">
        <v>5960</v>
      </c>
      <c r="B3426" t="s">
        <v>2216</v>
      </c>
      <c r="C3426"/>
      <c r="D3426"/>
      <c r="E3426"/>
      <c r="F3426"/>
      <c r="G3426" t="s">
        <v>5944</v>
      </c>
      <c r="H3426" t="s">
        <v>132</v>
      </c>
      <c r="I3426" t="s">
        <v>2</v>
      </c>
      <c r="J3426" t="s">
        <v>5298</v>
      </c>
      <c r="K3426" t="s">
        <v>52</v>
      </c>
      <c r="L3426" t="s">
        <v>2217</v>
      </c>
      <c r="M3426" t="s">
        <v>134</v>
      </c>
      <c r="N3426" t="s">
        <v>135</v>
      </c>
      <c r="O3426"/>
      <c r="P3426"/>
      <c r="Q3426" t="s">
        <v>168</v>
      </c>
      <c r="R3426"/>
      <c r="S3426"/>
      <c r="T3426" t="s">
        <v>2165</v>
      </c>
      <c r="U3426" t="s">
        <v>137</v>
      </c>
      <c r="V3426" t="s">
        <v>415</v>
      </c>
      <c r="W3426"/>
      <c r="X3426" t="s">
        <v>96</v>
      </c>
      <c r="Y3426"/>
      <c r="Z3426"/>
      <c r="AA3426" t="s">
        <v>2163</v>
      </c>
      <c r="AB3426" t="s">
        <v>2</v>
      </c>
      <c r="AC3426" t="s">
        <v>138</v>
      </c>
      <c r="AD3426" t="s">
        <v>129</v>
      </c>
      <c r="AE3426" s="97"/>
    </row>
    <row r="3427" spans="1:31" ht="14.4" customHeight="1" x14ac:dyDescent="0.3">
      <c r="A3427" t="s">
        <v>5961</v>
      </c>
      <c r="B3427" t="s">
        <v>2219</v>
      </c>
      <c r="C3427"/>
      <c r="D3427"/>
      <c r="E3427"/>
      <c r="F3427"/>
      <c r="G3427" t="s">
        <v>5944</v>
      </c>
      <c r="H3427" t="s">
        <v>132</v>
      </c>
      <c r="I3427" t="s">
        <v>2</v>
      </c>
      <c r="J3427" t="s">
        <v>5298</v>
      </c>
      <c r="K3427" t="s">
        <v>52</v>
      </c>
      <c r="L3427" t="s">
        <v>2220</v>
      </c>
      <c r="M3427" t="s">
        <v>134</v>
      </c>
      <c r="N3427" t="s">
        <v>135</v>
      </c>
      <c r="O3427"/>
      <c r="P3427"/>
      <c r="Q3427" t="s">
        <v>168</v>
      </c>
      <c r="R3427"/>
      <c r="S3427"/>
      <c r="T3427" t="s">
        <v>2165</v>
      </c>
      <c r="U3427" t="s">
        <v>137</v>
      </c>
      <c r="V3427" t="s">
        <v>419</v>
      </c>
      <c r="W3427"/>
      <c r="X3427" t="s">
        <v>105</v>
      </c>
      <c r="Y3427"/>
      <c r="Z3427"/>
      <c r="AA3427" t="s">
        <v>2163</v>
      </c>
      <c r="AB3427" t="s">
        <v>2</v>
      </c>
      <c r="AC3427" t="s">
        <v>138</v>
      </c>
      <c r="AD3427" t="s">
        <v>129</v>
      </c>
      <c r="AE3427" s="97"/>
    </row>
    <row r="3428" spans="1:31" ht="14.4" customHeight="1" x14ac:dyDescent="0.3">
      <c r="A3428" t="s">
        <v>5962</v>
      </c>
      <c r="B3428" t="s">
        <v>2222</v>
      </c>
      <c r="C3428"/>
      <c r="D3428"/>
      <c r="E3428"/>
      <c r="F3428"/>
      <c r="G3428" t="s">
        <v>5944</v>
      </c>
      <c r="H3428" t="s">
        <v>132</v>
      </c>
      <c r="I3428" t="s">
        <v>2</v>
      </c>
      <c r="J3428" t="s">
        <v>5298</v>
      </c>
      <c r="K3428" t="s">
        <v>52</v>
      </c>
      <c r="L3428" t="s">
        <v>2223</v>
      </c>
      <c r="M3428" t="s">
        <v>134</v>
      </c>
      <c r="N3428" t="s">
        <v>135</v>
      </c>
      <c r="O3428"/>
      <c r="P3428"/>
      <c r="Q3428" t="s">
        <v>168</v>
      </c>
      <c r="R3428"/>
      <c r="S3428"/>
      <c r="T3428" t="s">
        <v>2165</v>
      </c>
      <c r="U3428" t="s">
        <v>137</v>
      </c>
      <c r="V3428" t="s">
        <v>423</v>
      </c>
      <c r="W3428"/>
      <c r="X3428" t="s">
        <v>112</v>
      </c>
      <c r="Y3428"/>
      <c r="Z3428"/>
      <c r="AA3428" t="s">
        <v>2163</v>
      </c>
      <c r="AB3428" t="s">
        <v>2</v>
      </c>
      <c r="AC3428" t="s">
        <v>138</v>
      </c>
      <c r="AD3428" t="s">
        <v>129</v>
      </c>
      <c r="AE3428" s="97"/>
    </row>
    <row r="3429" spans="1:31" ht="14.4" customHeight="1" x14ac:dyDescent="0.3">
      <c r="A3429" t="s">
        <v>5963</v>
      </c>
      <c r="B3429" t="s">
        <v>2225</v>
      </c>
      <c r="C3429"/>
      <c r="D3429"/>
      <c r="E3429"/>
      <c r="F3429"/>
      <c r="G3429" t="s">
        <v>5944</v>
      </c>
      <c r="H3429" t="s">
        <v>132</v>
      </c>
      <c r="I3429" t="s">
        <v>2</v>
      </c>
      <c r="J3429" t="s">
        <v>5298</v>
      </c>
      <c r="K3429" t="s">
        <v>52</v>
      </c>
      <c r="L3429" t="s">
        <v>2226</v>
      </c>
      <c r="M3429" t="s">
        <v>134</v>
      </c>
      <c r="N3429" t="s">
        <v>135</v>
      </c>
      <c r="O3429"/>
      <c r="P3429"/>
      <c r="Q3429" t="s">
        <v>168</v>
      </c>
      <c r="R3429"/>
      <c r="S3429"/>
      <c r="T3429" t="s">
        <v>2165</v>
      </c>
      <c r="U3429" t="s">
        <v>137</v>
      </c>
      <c r="V3429" t="s">
        <v>427</v>
      </c>
      <c r="W3429"/>
      <c r="X3429" t="s">
        <v>121</v>
      </c>
      <c r="Y3429"/>
      <c r="Z3429"/>
      <c r="AA3429" t="s">
        <v>2163</v>
      </c>
      <c r="AB3429" t="s">
        <v>2</v>
      </c>
      <c r="AC3429" t="s">
        <v>138</v>
      </c>
      <c r="AD3429" t="s">
        <v>130</v>
      </c>
      <c r="AE3429" s="97"/>
    </row>
    <row r="3430" spans="1:31" ht="14.4" customHeight="1" x14ac:dyDescent="0.3">
      <c r="A3430" t="s">
        <v>5964</v>
      </c>
      <c r="B3430" t="s">
        <v>2228</v>
      </c>
      <c r="C3430"/>
      <c r="D3430"/>
      <c r="E3430"/>
      <c r="F3430"/>
      <c r="G3430" t="s">
        <v>5944</v>
      </c>
      <c r="H3430" t="s">
        <v>132</v>
      </c>
      <c r="I3430" t="s">
        <v>2</v>
      </c>
      <c r="J3430" t="s">
        <v>5298</v>
      </c>
      <c r="K3430" t="s">
        <v>52</v>
      </c>
      <c r="L3430" t="s">
        <v>2229</v>
      </c>
      <c r="M3430" t="s">
        <v>134</v>
      </c>
      <c r="N3430" t="s">
        <v>135</v>
      </c>
      <c r="O3430"/>
      <c r="P3430"/>
      <c r="Q3430" t="s">
        <v>168</v>
      </c>
      <c r="R3430"/>
      <c r="S3430"/>
      <c r="T3430" t="s">
        <v>2165</v>
      </c>
      <c r="U3430" t="s">
        <v>137</v>
      </c>
      <c r="V3430" t="s">
        <v>147</v>
      </c>
      <c r="W3430"/>
      <c r="X3430" t="s">
        <v>70</v>
      </c>
      <c r="Y3430"/>
      <c r="Z3430"/>
      <c r="AA3430" t="s">
        <v>2163</v>
      </c>
      <c r="AB3430" t="s">
        <v>2</v>
      </c>
      <c r="AC3430" t="s">
        <v>138</v>
      </c>
      <c r="AD3430" t="s">
        <v>128</v>
      </c>
      <c r="AE3430" s="97"/>
    </row>
    <row r="3431" spans="1:31" ht="14.4" customHeight="1" x14ac:dyDescent="0.3">
      <c r="A3431" t="s">
        <v>5965</v>
      </c>
      <c r="B3431" t="s">
        <v>2231</v>
      </c>
      <c r="C3431"/>
      <c r="D3431"/>
      <c r="E3431"/>
      <c r="F3431"/>
      <c r="G3431" t="s">
        <v>5944</v>
      </c>
      <c r="H3431" t="s">
        <v>132</v>
      </c>
      <c r="I3431" t="s">
        <v>2</v>
      </c>
      <c r="J3431" t="s">
        <v>5298</v>
      </c>
      <c r="K3431" t="s">
        <v>52</v>
      </c>
      <c r="L3431" t="s">
        <v>2229</v>
      </c>
      <c r="M3431" t="s">
        <v>134</v>
      </c>
      <c r="N3431" t="s">
        <v>135</v>
      </c>
      <c r="O3431"/>
      <c r="P3431"/>
      <c r="Q3431" t="s">
        <v>168</v>
      </c>
      <c r="R3431"/>
      <c r="S3431"/>
      <c r="T3431" t="s">
        <v>2165</v>
      </c>
      <c r="U3431" t="s">
        <v>137</v>
      </c>
      <c r="V3431" t="s">
        <v>147</v>
      </c>
      <c r="W3431"/>
      <c r="X3431" t="s">
        <v>70</v>
      </c>
      <c r="Y3431"/>
      <c r="Z3431"/>
      <c r="AA3431" t="s">
        <v>2163</v>
      </c>
      <c r="AB3431" t="s">
        <v>2</v>
      </c>
      <c r="AC3431" t="s">
        <v>138</v>
      </c>
      <c r="AD3431" t="s">
        <v>128</v>
      </c>
      <c r="AE3431" s="97"/>
    </row>
    <row r="3432" spans="1:31" ht="14.4" customHeight="1" x14ac:dyDescent="0.3">
      <c r="A3432" t="s">
        <v>5966</v>
      </c>
      <c r="B3432" t="s">
        <v>2233</v>
      </c>
      <c r="C3432"/>
      <c r="D3432"/>
      <c r="E3432"/>
      <c r="F3432"/>
      <c r="G3432" t="s">
        <v>5944</v>
      </c>
      <c r="H3432" t="s">
        <v>132</v>
      </c>
      <c r="I3432" t="s">
        <v>2</v>
      </c>
      <c r="J3432" t="s">
        <v>5298</v>
      </c>
      <c r="K3432" t="s">
        <v>52</v>
      </c>
      <c r="L3432" t="s">
        <v>2234</v>
      </c>
      <c r="M3432" t="s">
        <v>134</v>
      </c>
      <c r="N3432" t="s">
        <v>135</v>
      </c>
      <c r="O3432"/>
      <c r="P3432"/>
      <c r="Q3432" t="s">
        <v>168</v>
      </c>
      <c r="R3432"/>
      <c r="S3432"/>
      <c r="T3432" t="s">
        <v>2165</v>
      </c>
      <c r="U3432" t="s">
        <v>137</v>
      </c>
      <c r="V3432" t="s">
        <v>150</v>
      </c>
      <c r="W3432"/>
      <c r="X3432" t="s">
        <v>76</v>
      </c>
      <c r="Y3432"/>
      <c r="Z3432"/>
      <c r="AA3432" t="s">
        <v>2163</v>
      </c>
      <c r="AB3432" t="s">
        <v>2</v>
      </c>
      <c r="AC3432" t="s">
        <v>138</v>
      </c>
      <c r="AD3432" t="s">
        <v>128</v>
      </c>
      <c r="AE3432" s="97"/>
    </row>
    <row r="3433" spans="1:31" ht="14.4" customHeight="1" x14ac:dyDescent="0.3">
      <c r="A3433" t="s">
        <v>5967</v>
      </c>
      <c r="B3433" t="s">
        <v>2236</v>
      </c>
      <c r="C3433"/>
      <c r="D3433"/>
      <c r="E3433"/>
      <c r="F3433"/>
      <c r="G3433" t="s">
        <v>5944</v>
      </c>
      <c r="H3433" t="s">
        <v>132</v>
      </c>
      <c r="I3433" t="s">
        <v>2</v>
      </c>
      <c r="J3433" t="s">
        <v>5298</v>
      </c>
      <c r="K3433" t="s">
        <v>52</v>
      </c>
      <c r="L3433" t="s">
        <v>2234</v>
      </c>
      <c r="M3433" t="s">
        <v>134</v>
      </c>
      <c r="N3433" t="s">
        <v>135</v>
      </c>
      <c r="O3433"/>
      <c r="P3433"/>
      <c r="Q3433" t="s">
        <v>168</v>
      </c>
      <c r="R3433"/>
      <c r="S3433"/>
      <c r="T3433" t="s">
        <v>2165</v>
      </c>
      <c r="U3433" t="s">
        <v>137</v>
      </c>
      <c r="V3433" t="s">
        <v>150</v>
      </c>
      <c r="W3433"/>
      <c r="X3433" t="s">
        <v>76</v>
      </c>
      <c r="Y3433"/>
      <c r="Z3433"/>
      <c r="AA3433" t="s">
        <v>2163</v>
      </c>
      <c r="AB3433" t="s">
        <v>2</v>
      </c>
      <c r="AC3433" t="s">
        <v>138</v>
      </c>
      <c r="AD3433" t="s">
        <v>128</v>
      </c>
      <c r="AE3433" s="97"/>
    </row>
    <row r="3434" spans="1:31" ht="14.4" customHeight="1" x14ac:dyDescent="0.3">
      <c r="A3434" t="s">
        <v>5968</v>
      </c>
      <c r="B3434" t="s">
        <v>2238</v>
      </c>
      <c r="C3434"/>
      <c r="D3434"/>
      <c r="E3434"/>
      <c r="F3434"/>
      <c r="G3434" t="s">
        <v>5944</v>
      </c>
      <c r="H3434" t="s">
        <v>132</v>
      </c>
      <c r="I3434" t="s">
        <v>2</v>
      </c>
      <c r="J3434" t="s">
        <v>5298</v>
      </c>
      <c r="K3434" t="s">
        <v>52</v>
      </c>
      <c r="L3434" t="s">
        <v>2239</v>
      </c>
      <c r="M3434" t="s">
        <v>134</v>
      </c>
      <c r="N3434" t="s">
        <v>135</v>
      </c>
      <c r="O3434"/>
      <c r="P3434"/>
      <c r="Q3434" t="s">
        <v>168</v>
      </c>
      <c r="R3434"/>
      <c r="S3434"/>
      <c r="T3434" t="s">
        <v>2165</v>
      </c>
      <c r="U3434" t="s">
        <v>137</v>
      </c>
      <c r="V3434" t="s">
        <v>153</v>
      </c>
      <c r="W3434"/>
      <c r="X3434" t="s">
        <v>88</v>
      </c>
      <c r="Y3434"/>
      <c r="Z3434"/>
      <c r="AA3434" t="s">
        <v>2163</v>
      </c>
      <c r="AB3434" t="s">
        <v>2</v>
      </c>
      <c r="AC3434" t="s">
        <v>138</v>
      </c>
      <c r="AD3434" t="s">
        <v>129</v>
      </c>
      <c r="AE3434" s="97"/>
    </row>
    <row r="3435" spans="1:31" ht="14.4" customHeight="1" x14ac:dyDescent="0.3">
      <c r="A3435" t="s">
        <v>5969</v>
      </c>
      <c r="B3435" t="s">
        <v>2241</v>
      </c>
      <c r="C3435"/>
      <c r="D3435"/>
      <c r="E3435"/>
      <c r="F3435"/>
      <c r="G3435" t="s">
        <v>5944</v>
      </c>
      <c r="H3435" t="s">
        <v>132</v>
      </c>
      <c r="I3435" t="s">
        <v>2</v>
      </c>
      <c r="J3435" t="s">
        <v>5298</v>
      </c>
      <c r="K3435" t="s">
        <v>52</v>
      </c>
      <c r="L3435" t="s">
        <v>2239</v>
      </c>
      <c r="M3435" t="s">
        <v>134</v>
      </c>
      <c r="N3435" t="s">
        <v>135</v>
      </c>
      <c r="O3435"/>
      <c r="P3435"/>
      <c r="Q3435" t="s">
        <v>168</v>
      </c>
      <c r="R3435"/>
      <c r="S3435"/>
      <c r="T3435" t="s">
        <v>2165</v>
      </c>
      <c r="U3435" t="s">
        <v>137</v>
      </c>
      <c r="V3435" t="s">
        <v>153</v>
      </c>
      <c r="W3435"/>
      <c r="X3435" t="s">
        <v>88</v>
      </c>
      <c r="Y3435"/>
      <c r="Z3435"/>
      <c r="AA3435" t="s">
        <v>2163</v>
      </c>
      <c r="AB3435" t="s">
        <v>2</v>
      </c>
      <c r="AC3435" t="s">
        <v>138</v>
      </c>
      <c r="AD3435" t="s">
        <v>129</v>
      </c>
      <c r="AE3435" s="97"/>
    </row>
    <row r="3436" spans="1:31" ht="14.4" customHeight="1" x14ac:dyDescent="0.3">
      <c r="A3436" t="s">
        <v>5970</v>
      </c>
      <c r="B3436" t="s">
        <v>2243</v>
      </c>
      <c r="C3436"/>
      <c r="D3436"/>
      <c r="E3436"/>
      <c r="F3436"/>
      <c r="G3436" t="s">
        <v>5944</v>
      </c>
      <c r="H3436" t="s">
        <v>132</v>
      </c>
      <c r="I3436" t="s">
        <v>2</v>
      </c>
      <c r="J3436" t="s">
        <v>5298</v>
      </c>
      <c r="K3436" t="s">
        <v>52</v>
      </c>
      <c r="L3436" t="s">
        <v>2244</v>
      </c>
      <c r="M3436" t="s">
        <v>134</v>
      </c>
      <c r="N3436" t="s">
        <v>135</v>
      </c>
      <c r="O3436"/>
      <c r="P3436"/>
      <c r="Q3436" t="s">
        <v>168</v>
      </c>
      <c r="R3436"/>
      <c r="S3436"/>
      <c r="T3436" t="s">
        <v>2165</v>
      </c>
      <c r="U3436" t="s">
        <v>137</v>
      </c>
      <c r="V3436" t="s">
        <v>156</v>
      </c>
      <c r="W3436"/>
      <c r="X3436" t="s">
        <v>97</v>
      </c>
      <c r="Y3436"/>
      <c r="Z3436"/>
      <c r="AA3436" t="s">
        <v>2163</v>
      </c>
      <c r="AB3436" t="s">
        <v>2</v>
      </c>
      <c r="AC3436" t="s">
        <v>138</v>
      </c>
      <c r="AD3436" t="s">
        <v>129</v>
      </c>
      <c r="AE3436" s="97"/>
    </row>
    <row r="3437" spans="1:31" ht="14.4" customHeight="1" x14ac:dyDescent="0.3">
      <c r="A3437" t="s">
        <v>5971</v>
      </c>
      <c r="B3437" t="s">
        <v>2246</v>
      </c>
      <c r="C3437"/>
      <c r="D3437"/>
      <c r="E3437"/>
      <c r="F3437"/>
      <c r="G3437" t="s">
        <v>5944</v>
      </c>
      <c r="H3437" t="s">
        <v>132</v>
      </c>
      <c r="I3437" t="s">
        <v>2</v>
      </c>
      <c r="J3437" t="s">
        <v>5298</v>
      </c>
      <c r="K3437" t="s">
        <v>52</v>
      </c>
      <c r="L3437" t="s">
        <v>2244</v>
      </c>
      <c r="M3437" t="s">
        <v>134</v>
      </c>
      <c r="N3437" t="s">
        <v>135</v>
      </c>
      <c r="O3437"/>
      <c r="P3437"/>
      <c r="Q3437" t="s">
        <v>168</v>
      </c>
      <c r="R3437"/>
      <c r="S3437"/>
      <c r="T3437" t="s">
        <v>2165</v>
      </c>
      <c r="U3437" t="s">
        <v>137</v>
      </c>
      <c r="V3437" t="s">
        <v>156</v>
      </c>
      <c r="W3437"/>
      <c r="X3437" t="s">
        <v>97</v>
      </c>
      <c r="Y3437"/>
      <c r="Z3437"/>
      <c r="AA3437" t="s">
        <v>2163</v>
      </c>
      <c r="AB3437" t="s">
        <v>2</v>
      </c>
      <c r="AC3437" t="s">
        <v>138</v>
      </c>
      <c r="AD3437" t="s">
        <v>129</v>
      </c>
      <c r="AE3437" s="97"/>
    </row>
    <row r="3438" spans="1:31" ht="14.4" customHeight="1" x14ac:dyDescent="0.3">
      <c r="A3438" t="s">
        <v>5972</v>
      </c>
      <c r="B3438" t="s">
        <v>2248</v>
      </c>
      <c r="C3438"/>
      <c r="D3438"/>
      <c r="E3438"/>
      <c r="F3438"/>
      <c r="G3438" t="s">
        <v>5944</v>
      </c>
      <c r="H3438" t="s">
        <v>132</v>
      </c>
      <c r="I3438" t="s">
        <v>2</v>
      </c>
      <c r="J3438" t="s">
        <v>5298</v>
      </c>
      <c r="K3438" t="s">
        <v>52</v>
      </c>
      <c r="L3438" t="s">
        <v>2249</v>
      </c>
      <c r="M3438" t="s">
        <v>134</v>
      </c>
      <c r="N3438" t="s">
        <v>135</v>
      </c>
      <c r="O3438"/>
      <c r="P3438"/>
      <c r="Q3438" t="s">
        <v>168</v>
      </c>
      <c r="R3438"/>
      <c r="S3438"/>
      <c r="T3438" t="s">
        <v>2165</v>
      </c>
      <c r="U3438" t="s">
        <v>137</v>
      </c>
      <c r="V3438" t="s">
        <v>159</v>
      </c>
      <c r="W3438"/>
      <c r="X3438" t="s">
        <v>106</v>
      </c>
      <c r="Y3438"/>
      <c r="Z3438"/>
      <c r="AA3438" t="s">
        <v>2163</v>
      </c>
      <c r="AB3438" t="s">
        <v>2</v>
      </c>
      <c r="AC3438" t="s">
        <v>138</v>
      </c>
      <c r="AD3438" t="s">
        <v>129</v>
      </c>
      <c r="AE3438" s="97"/>
    </row>
    <row r="3439" spans="1:31" ht="14.4" customHeight="1" x14ac:dyDescent="0.3">
      <c r="A3439" t="s">
        <v>5973</v>
      </c>
      <c r="B3439" t="s">
        <v>2251</v>
      </c>
      <c r="C3439"/>
      <c r="D3439"/>
      <c r="E3439"/>
      <c r="F3439"/>
      <c r="G3439" t="s">
        <v>5944</v>
      </c>
      <c r="H3439" t="s">
        <v>132</v>
      </c>
      <c r="I3439" t="s">
        <v>2</v>
      </c>
      <c r="J3439" t="s">
        <v>5298</v>
      </c>
      <c r="K3439" t="s">
        <v>52</v>
      </c>
      <c r="L3439" t="s">
        <v>2249</v>
      </c>
      <c r="M3439" t="s">
        <v>134</v>
      </c>
      <c r="N3439" t="s">
        <v>135</v>
      </c>
      <c r="O3439"/>
      <c r="P3439"/>
      <c r="Q3439" t="s">
        <v>168</v>
      </c>
      <c r="R3439"/>
      <c r="S3439"/>
      <c r="T3439" t="s">
        <v>2165</v>
      </c>
      <c r="U3439" t="s">
        <v>137</v>
      </c>
      <c r="V3439" t="s">
        <v>159</v>
      </c>
      <c r="W3439"/>
      <c r="X3439" t="s">
        <v>106</v>
      </c>
      <c r="Y3439"/>
      <c r="Z3439"/>
      <c r="AA3439" t="s">
        <v>2163</v>
      </c>
      <c r="AB3439" t="s">
        <v>2</v>
      </c>
      <c r="AC3439" t="s">
        <v>138</v>
      </c>
      <c r="AD3439" t="s">
        <v>129</v>
      </c>
      <c r="AE3439" s="97"/>
    </row>
    <row r="3440" spans="1:31" ht="14.4" customHeight="1" x14ac:dyDescent="0.3">
      <c r="A3440" t="s">
        <v>5974</v>
      </c>
      <c r="B3440" t="s">
        <v>2253</v>
      </c>
      <c r="C3440"/>
      <c r="D3440"/>
      <c r="E3440"/>
      <c r="F3440"/>
      <c r="G3440" t="s">
        <v>5944</v>
      </c>
      <c r="H3440" t="s">
        <v>132</v>
      </c>
      <c r="I3440" t="s">
        <v>2</v>
      </c>
      <c r="J3440" t="s">
        <v>5298</v>
      </c>
      <c r="K3440" t="s">
        <v>52</v>
      </c>
      <c r="L3440" t="s">
        <v>2254</v>
      </c>
      <c r="M3440" t="s">
        <v>134</v>
      </c>
      <c r="N3440" t="s">
        <v>135</v>
      </c>
      <c r="O3440"/>
      <c r="P3440"/>
      <c r="Q3440" t="s">
        <v>168</v>
      </c>
      <c r="R3440"/>
      <c r="S3440"/>
      <c r="T3440" t="s">
        <v>2165</v>
      </c>
      <c r="U3440" t="s">
        <v>137</v>
      </c>
      <c r="V3440" t="s">
        <v>162</v>
      </c>
      <c r="W3440"/>
      <c r="X3440" t="s">
        <v>113</v>
      </c>
      <c r="Y3440"/>
      <c r="Z3440"/>
      <c r="AA3440" t="s">
        <v>2163</v>
      </c>
      <c r="AB3440" t="s">
        <v>2</v>
      </c>
      <c r="AC3440" t="s">
        <v>138</v>
      </c>
      <c r="AD3440" t="s">
        <v>129</v>
      </c>
      <c r="AE3440" s="97"/>
    </row>
    <row r="3441" spans="1:31" ht="14.4" customHeight="1" x14ac:dyDescent="0.3">
      <c r="A3441" t="s">
        <v>5975</v>
      </c>
      <c r="B3441" t="s">
        <v>2256</v>
      </c>
      <c r="C3441"/>
      <c r="D3441"/>
      <c r="E3441"/>
      <c r="F3441"/>
      <c r="G3441" t="s">
        <v>5944</v>
      </c>
      <c r="H3441" t="s">
        <v>132</v>
      </c>
      <c r="I3441" t="s">
        <v>2</v>
      </c>
      <c r="J3441" t="s">
        <v>5298</v>
      </c>
      <c r="K3441" t="s">
        <v>52</v>
      </c>
      <c r="L3441" t="s">
        <v>2254</v>
      </c>
      <c r="M3441" t="s">
        <v>134</v>
      </c>
      <c r="N3441" t="s">
        <v>135</v>
      </c>
      <c r="O3441"/>
      <c r="P3441"/>
      <c r="Q3441" t="s">
        <v>168</v>
      </c>
      <c r="R3441"/>
      <c r="S3441"/>
      <c r="T3441" t="s">
        <v>2165</v>
      </c>
      <c r="U3441" t="s">
        <v>137</v>
      </c>
      <c r="V3441" t="s">
        <v>162</v>
      </c>
      <c r="W3441"/>
      <c r="X3441" t="s">
        <v>113</v>
      </c>
      <c r="Y3441"/>
      <c r="Z3441"/>
      <c r="AA3441" t="s">
        <v>2163</v>
      </c>
      <c r="AB3441" t="s">
        <v>2</v>
      </c>
      <c r="AC3441" t="s">
        <v>138</v>
      </c>
      <c r="AD3441" t="s">
        <v>129</v>
      </c>
      <c r="AE3441" s="97"/>
    </row>
    <row r="3442" spans="1:31" ht="14.4" customHeight="1" x14ac:dyDescent="0.3">
      <c r="A3442" t="s">
        <v>5976</v>
      </c>
      <c r="B3442" t="s">
        <v>2258</v>
      </c>
      <c r="C3442"/>
      <c r="D3442"/>
      <c r="E3442"/>
      <c r="F3442"/>
      <c r="G3442" t="s">
        <v>5944</v>
      </c>
      <c r="H3442" t="s">
        <v>132</v>
      </c>
      <c r="I3442" t="s">
        <v>2</v>
      </c>
      <c r="J3442" t="s">
        <v>5298</v>
      </c>
      <c r="K3442" t="s">
        <v>52</v>
      </c>
      <c r="L3442" t="s">
        <v>2259</v>
      </c>
      <c r="M3442" t="s">
        <v>134</v>
      </c>
      <c r="N3442" t="s">
        <v>135</v>
      </c>
      <c r="O3442"/>
      <c r="P3442"/>
      <c r="Q3442" t="s">
        <v>168</v>
      </c>
      <c r="R3442"/>
      <c r="S3442"/>
      <c r="T3442" t="s">
        <v>2165</v>
      </c>
      <c r="U3442" t="s">
        <v>137</v>
      </c>
      <c r="V3442" t="s">
        <v>165</v>
      </c>
      <c r="W3442"/>
      <c r="X3442" t="s">
        <v>122</v>
      </c>
      <c r="Y3442"/>
      <c r="Z3442"/>
      <c r="AA3442" t="s">
        <v>2163</v>
      </c>
      <c r="AB3442" t="s">
        <v>2</v>
      </c>
      <c r="AC3442" t="s">
        <v>138</v>
      </c>
      <c r="AD3442" t="s">
        <v>130</v>
      </c>
      <c r="AE3442" s="97"/>
    </row>
    <row r="3443" spans="1:31" ht="14.4" customHeight="1" x14ac:dyDescent="0.3">
      <c r="A3443" t="s">
        <v>5977</v>
      </c>
      <c r="B3443" t="s">
        <v>2261</v>
      </c>
      <c r="C3443"/>
      <c r="D3443"/>
      <c r="E3443"/>
      <c r="F3443"/>
      <c r="G3443" t="s">
        <v>5944</v>
      </c>
      <c r="H3443" t="s">
        <v>132</v>
      </c>
      <c r="I3443" t="s">
        <v>2</v>
      </c>
      <c r="J3443" t="s">
        <v>5298</v>
      </c>
      <c r="K3443" t="s">
        <v>52</v>
      </c>
      <c r="L3443" t="s">
        <v>2259</v>
      </c>
      <c r="M3443" t="s">
        <v>134</v>
      </c>
      <c r="N3443" t="s">
        <v>135</v>
      </c>
      <c r="O3443"/>
      <c r="P3443"/>
      <c r="Q3443" t="s">
        <v>168</v>
      </c>
      <c r="R3443"/>
      <c r="S3443"/>
      <c r="T3443" t="s">
        <v>2165</v>
      </c>
      <c r="U3443" t="s">
        <v>137</v>
      </c>
      <c r="V3443" t="s">
        <v>165</v>
      </c>
      <c r="W3443"/>
      <c r="X3443" t="s">
        <v>122</v>
      </c>
      <c r="Y3443"/>
      <c r="Z3443"/>
      <c r="AA3443" t="s">
        <v>2163</v>
      </c>
      <c r="AB3443" t="s">
        <v>2</v>
      </c>
      <c r="AC3443" t="s">
        <v>138</v>
      </c>
      <c r="AD3443" t="s">
        <v>130</v>
      </c>
      <c r="AE3443" s="97"/>
    </row>
    <row r="3444" spans="1:31" ht="14.4" customHeight="1" x14ac:dyDescent="0.3">
      <c r="A3444" t="s">
        <v>5978</v>
      </c>
      <c r="B3444" t="s">
        <v>2263</v>
      </c>
      <c r="C3444"/>
      <c r="D3444"/>
      <c r="E3444"/>
      <c r="F3444"/>
      <c r="G3444" t="s">
        <v>5944</v>
      </c>
      <c r="H3444" t="s">
        <v>132</v>
      </c>
      <c r="I3444" t="s">
        <v>2</v>
      </c>
      <c r="J3444" t="s">
        <v>5298</v>
      </c>
      <c r="K3444" t="s">
        <v>52</v>
      </c>
      <c r="L3444" t="s">
        <v>2264</v>
      </c>
      <c r="M3444" t="s">
        <v>134</v>
      </c>
      <c r="N3444" t="s">
        <v>135</v>
      </c>
      <c r="O3444"/>
      <c r="P3444"/>
      <c r="Q3444" t="s">
        <v>168</v>
      </c>
      <c r="R3444"/>
      <c r="S3444"/>
      <c r="T3444" t="s">
        <v>2165</v>
      </c>
      <c r="U3444" t="s">
        <v>137</v>
      </c>
      <c r="V3444" t="s">
        <v>352</v>
      </c>
      <c r="W3444"/>
      <c r="X3444" t="s">
        <v>56</v>
      </c>
      <c r="Y3444"/>
      <c r="Z3444"/>
      <c r="AA3444" t="s">
        <v>2163</v>
      </c>
      <c r="AB3444" t="s">
        <v>2</v>
      </c>
      <c r="AC3444" t="s">
        <v>138</v>
      </c>
      <c r="AD3444" t="s">
        <v>128</v>
      </c>
      <c r="AE3444" s="97"/>
    </row>
    <row r="3445" spans="1:31" ht="14.4" customHeight="1" x14ac:dyDescent="0.3">
      <c r="A3445" t="s">
        <v>5979</v>
      </c>
      <c r="B3445" t="s">
        <v>2266</v>
      </c>
      <c r="C3445"/>
      <c r="D3445"/>
      <c r="E3445"/>
      <c r="F3445"/>
      <c r="G3445" t="s">
        <v>5944</v>
      </c>
      <c r="H3445" t="s">
        <v>132</v>
      </c>
      <c r="I3445" t="s">
        <v>2</v>
      </c>
      <c r="J3445" t="s">
        <v>5298</v>
      </c>
      <c r="K3445" t="s">
        <v>52</v>
      </c>
      <c r="L3445" t="s">
        <v>2264</v>
      </c>
      <c r="M3445" t="s">
        <v>134</v>
      </c>
      <c r="N3445" t="s">
        <v>135</v>
      </c>
      <c r="O3445"/>
      <c r="P3445"/>
      <c r="Q3445" t="s">
        <v>168</v>
      </c>
      <c r="R3445"/>
      <c r="S3445"/>
      <c r="T3445" t="s">
        <v>2165</v>
      </c>
      <c r="U3445" t="s">
        <v>137</v>
      </c>
      <c r="V3445" t="s">
        <v>352</v>
      </c>
      <c r="W3445"/>
      <c r="X3445" t="s">
        <v>56</v>
      </c>
      <c r="Y3445"/>
      <c r="Z3445"/>
      <c r="AA3445" t="s">
        <v>2163</v>
      </c>
      <c r="AB3445" t="s">
        <v>2</v>
      </c>
      <c r="AC3445" t="s">
        <v>138</v>
      </c>
      <c r="AD3445" t="s">
        <v>128</v>
      </c>
      <c r="AE3445" s="97"/>
    </row>
    <row r="3446" spans="1:31" ht="14.4" customHeight="1" x14ac:dyDescent="0.3">
      <c r="A3446" t="s">
        <v>5980</v>
      </c>
      <c r="B3446" t="s">
        <v>2268</v>
      </c>
      <c r="C3446"/>
      <c r="D3446"/>
      <c r="E3446"/>
      <c r="F3446"/>
      <c r="G3446" t="s">
        <v>5944</v>
      </c>
      <c r="H3446" t="s">
        <v>132</v>
      </c>
      <c r="I3446" t="s">
        <v>2</v>
      </c>
      <c r="J3446" t="s">
        <v>5298</v>
      </c>
      <c r="K3446" t="s">
        <v>52</v>
      </c>
      <c r="L3446" t="s">
        <v>2264</v>
      </c>
      <c r="M3446" t="s">
        <v>134</v>
      </c>
      <c r="N3446" t="s">
        <v>135</v>
      </c>
      <c r="O3446"/>
      <c r="P3446"/>
      <c r="Q3446" t="s">
        <v>168</v>
      </c>
      <c r="R3446"/>
      <c r="S3446"/>
      <c r="T3446" t="s">
        <v>2165</v>
      </c>
      <c r="U3446" t="s">
        <v>137</v>
      </c>
      <c r="V3446" t="s">
        <v>352</v>
      </c>
      <c r="W3446"/>
      <c r="X3446" t="s">
        <v>56</v>
      </c>
      <c r="Y3446"/>
      <c r="Z3446"/>
      <c r="AA3446" t="s">
        <v>2163</v>
      </c>
      <c r="AB3446" t="s">
        <v>2</v>
      </c>
      <c r="AC3446" t="s">
        <v>138</v>
      </c>
      <c r="AD3446" t="s">
        <v>128</v>
      </c>
      <c r="AE3446" s="97"/>
    </row>
    <row r="3447" spans="1:31" ht="14.4" customHeight="1" x14ac:dyDescent="0.3">
      <c r="A3447" t="s">
        <v>5981</v>
      </c>
      <c r="B3447" t="s">
        <v>2270</v>
      </c>
      <c r="C3447"/>
      <c r="D3447"/>
      <c r="E3447"/>
      <c r="F3447"/>
      <c r="G3447" t="s">
        <v>5944</v>
      </c>
      <c r="H3447" t="s">
        <v>132</v>
      </c>
      <c r="I3447" t="s">
        <v>2</v>
      </c>
      <c r="J3447" t="s">
        <v>5298</v>
      </c>
      <c r="K3447" t="s">
        <v>52</v>
      </c>
      <c r="L3447" t="s">
        <v>2264</v>
      </c>
      <c r="M3447" t="s">
        <v>134</v>
      </c>
      <c r="N3447" t="s">
        <v>135</v>
      </c>
      <c r="O3447"/>
      <c r="P3447"/>
      <c r="Q3447" t="s">
        <v>168</v>
      </c>
      <c r="R3447"/>
      <c r="S3447"/>
      <c r="T3447" t="s">
        <v>2165</v>
      </c>
      <c r="U3447" t="s">
        <v>137</v>
      </c>
      <c r="V3447" t="s">
        <v>352</v>
      </c>
      <c r="W3447"/>
      <c r="X3447" t="s">
        <v>56</v>
      </c>
      <c r="Y3447"/>
      <c r="Z3447"/>
      <c r="AA3447" t="s">
        <v>2163</v>
      </c>
      <c r="AB3447" t="s">
        <v>2</v>
      </c>
      <c r="AC3447" t="s">
        <v>138</v>
      </c>
      <c r="AD3447" t="s">
        <v>128</v>
      </c>
      <c r="AE3447" s="97"/>
    </row>
    <row r="3448" spans="1:31" ht="14.4" customHeight="1" x14ac:dyDescent="0.3">
      <c r="A3448" t="s">
        <v>5982</v>
      </c>
      <c r="B3448" t="s">
        <v>2272</v>
      </c>
      <c r="C3448"/>
      <c r="D3448"/>
      <c r="E3448"/>
      <c r="F3448"/>
      <c r="G3448" t="s">
        <v>5944</v>
      </c>
      <c r="H3448" t="s">
        <v>132</v>
      </c>
      <c r="I3448" t="s">
        <v>2</v>
      </c>
      <c r="J3448" t="s">
        <v>5298</v>
      </c>
      <c r="K3448" t="s">
        <v>52</v>
      </c>
      <c r="L3448" t="s">
        <v>2273</v>
      </c>
      <c r="M3448" t="s">
        <v>134</v>
      </c>
      <c r="N3448" t="s">
        <v>135</v>
      </c>
      <c r="O3448"/>
      <c r="P3448"/>
      <c r="Q3448" t="s">
        <v>168</v>
      </c>
      <c r="R3448"/>
      <c r="S3448"/>
      <c r="T3448" t="s">
        <v>2165</v>
      </c>
      <c r="U3448" t="s">
        <v>137</v>
      </c>
      <c r="V3448" t="s">
        <v>352</v>
      </c>
      <c r="W3448"/>
      <c r="X3448" t="s">
        <v>56</v>
      </c>
      <c r="Y3448"/>
      <c r="Z3448"/>
      <c r="AA3448" t="s">
        <v>2163</v>
      </c>
      <c r="AB3448" t="s">
        <v>2</v>
      </c>
      <c r="AC3448" t="s">
        <v>138</v>
      </c>
      <c r="AD3448" t="s">
        <v>128</v>
      </c>
      <c r="AE3448" s="97"/>
    </row>
    <row r="3449" spans="1:31" ht="14.4" customHeight="1" x14ac:dyDescent="0.3">
      <c r="A3449" t="s">
        <v>5983</v>
      </c>
      <c r="B3449" t="s">
        <v>2275</v>
      </c>
      <c r="C3449"/>
      <c r="D3449"/>
      <c r="E3449"/>
      <c r="F3449"/>
      <c r="G3449" t="s">
        <v>5944</v>
      </c>
      <c r="H3449" t="s">
        <v>132</v>
      </c>
      <c r="I3449" t="s">
        <v>2</v>
      </c>
      <c r="J3449" t="s">
        <v>5298</v>
      </c>
      <c r="K3449" t="s">
        <v>52</v>
      </c>
      <c r="L3449" t="s">
        <v>2273</v>
      </c>
      <c r="M3449" t="s">
        <v>134</v>
      </c>
      <c r="N3449" t="s">
        <v>135</v>
      </c>
      <c r="O3449"/>
      <c r="P3449"/>
      <c r="Q3449" t="s">
        <v>168</v>
      </c>
      <c r="R3449"/>
      <c r="S3449"/>
      <c r="T3449" t="s">
        <v>2165</v>
      </c>
      <c r="U3449" t="s">
        <v>137</v>
      </c>
      <c r="V3449" t="s">
        <v>352</v>
      </c>
      <c r="W3449"/>
      <c r="X3449" t="s">
        <v>56</v>
      </c>
      <c r="Y3449"/>
      <c r="Z3449"/>
      <c r="AA3449" t="s">
        <v>2163</v>
      </c>
      <c r="AB3449" t="s">
        <v>2</v>
      </c>
      <c r="AC3449" t="s">
        <v>138</v>
      </c>
      <c r="AD3449" t="s">
        <v>128</v>
      </c>
      <c r="AE3449" s="97"/>
    </row>
    <row r="3450" spans="1:31" ht="14.4" customHeight="1" x14ac:dyDescent="0.3">
      <c r="A3450" t="s">
        <v>5984</v>
      </c>
      <c r="B3450" t="s">
        <v>2277</v>
      </c>
      <c r="C3450"/>
      <c r="D3450"/>
      <c r="E3450"/>
      <c r="F3450"/>
      <c r="G3450" t="s">
        <v>5944</v>
      </c>
      <c r="H3450" t="s">
        <v>132</v>
      </c>
      <c r="I3450" t="s">
        <v>2</v>
      </c>
      <c r="J3450" t="s">
        <v>5298</v>
      </c>
      <c r="K3450" t="s">
        <v>52</v>
      </c>
      <c r="L3450" t="s">
        <v>2278</v>
      </c>
      <c r="M3450" t="s">
        <v>134</v>
      </c>
      <c r="N3450" t="s">
        <v>135</v>
      </c>
      <c r="O3450"/>
      <c r="P3450"/>
      <c r="Q3450" t="s">
        <v>168</v>
      </c>
      <c r="R3450"/>
      <c r="S3450"/>
      <c r="T3450" t="s">
        <v>2165</v>
      </c>
      <c r="U3450" t="s">
        <v>137</v>
      </c>
      <c r="V3450" t="s">
        <v>147</v>
      </c>
      <c r="W3450"/>
      <c r="X3450" t="s">
        <v>70</v>
      </c>
      <c r="Y3450"/>
      <c r="Z3450"/>
      <c r="AA3450" t="s">
        <v>2163</v>
      </c>
      <c r="AB3450" t="s">
        <v>2</v>
      </c>
      <c r="AC3450" t="s">
        <v>138</v>
      </c>
      <c r="AD3450" t="s">
        <v>128</v>
      </c>
      <c r="AE3450" s="97"/>
    </row>
    <row r="3451" spans="1:31" ht="14.4" customHeight="1" x14ac:dyDescent="0.3">
      <c r="A3451" t="s">
        <v>5985</v>
      </c>
      <c r="B3451" t="s">
        <v>2280</v>
      </c>
      <c r="C3451"/>
      <c r="D3451"/>
      <c r="E3451"/>
      <c r="F3451"/>
      <c r="G3451" t="s">
        <v>5944</v>
      </c>
      <c r="H3451" t="s">
        <v>132</v>
      </c>
      <c r="I3451" t="s">
        <v>2</v>
      </c>
      <c r="J3451" t="s">
        <v>5298</v>
      </c>
      <c r="K3451" t="s">
        <v>52</v>
      </c>
      <c r="L3451" t="s">
        <v>2281</v>
      </c>
      <c r="M3451" t="s">
        <v>134</v>
      </c>
      <c r="N3451" t="s">
        <v>135</v>
      </c>
      <c r="O3451"/>
      <c r="P3451"/>
      <c r="Q3451" t="s">
        <v>168</v>
      </c>
      <c r="R3451"/>
      <c r="S3451"/>
      <c r="T3451" t="s">
        <v>2165</v>
      </c>
      <c r="U3451" t="s">
        <v>137</v>
      </c>
      <c r="V3451" t="s">
        <v>150</v>
      </c>
      <c r="W3451"/>
      <c r="X3451" t="s">
        <v>76</v>
      </c>
      <c r="Y3451"/>
      <c r="Z3451"/>
      <c r="AA3451" t="s">
        <v>2163</v>
      </c>
      <c r="AB3451" t="s">
        <v>2</v>
      </c>
      <c r="AC3451" t="s">
        <v>138</v>
      </c>
      <c r="AD3451" t="s">
        <v>128</v>
      </c>
      <c r="AE3451" s="97"/>
    </row>
    <row r="3452" spans="1:31" ht="14.4" customHeight="1" x14ac:dyDescent="0.3">
      <c r="A3452" t="s">
        <v>5986</v>
      </c>
      <c r="B3452" t="s">
        <v>2283</v>
      </c>
      <c r="C3452"/>
      <c r="D3452"/>
      <c r="E3452"/>
      <c r="F3452"/>
      <c r="G3452" t="s">
        <v>5944</v>
      </c>
      <c r="H3452" t="s">
        <v>132</v>
      </c>
      <c r="I3452" t="s">
        <v>2</v>
      </c>
      <c r="J3452" t="s">
        <v>5298</v>
      </c>
      <c r="K3452" t="s">
        <v>52</v>
      </c>
      <c r="L3452" t="s">
        <v>2284</v>
      </c>
      <c r="M3452" t="s">
        <v>134</v>
      </c>
      <c r="N3452" t="s">
        <v>135</v>
      </c>
      <c r="O3452"/>
      <c r="P3452"/>
      <c r="Q3452" t="s">
        <v>168</v>
      </c>
      <c r="R3452"/>
      <c r="S3452"/>
      <c r="T3452" t="s">
        <v>2165</v>
      </c>
      <c r="U3452" t="s">
        <v>137</v>
      </c>
      <c r="V3452" t="s">
        <v>153</v>
      </c>
      <c r="W3452"/>
      <c r="X3452" t="s">
        <v>88</v>
      </c>
      <c r="Y3452"/>
      <c r="Z3452"/>
      <c r="AA3452" t="s">
        <v>2163</v>
      </c>
      <c r="AB3452" t="s">
        <v>2</v>
      </c>
      <c r="AC3452" t="s">
        <v>138</v>
      </c>
      <c r="AD3452" t="s">
        <v>129</v>
      </c>
      <c r="AE3452" s="97"/>
    </row>
    <row r="3453" spans="1:31" ht="14.4" customHeight="1" x14ac:dyDescent="0.3">
      <c r="A3453" t="s">
        <v>5987</v>
      </c>
      <c r="B3453" t="s">
        <v>2286</v>
      </c>
      <c r="C3453"/>
      <c r="D3453"/>
      <c r="E3453"/>
      <c r="F3453"/>
      <c r="G3453" t="s">
        <v>5944</v>
      </c>
      <c r="H3453" t="s">
        <v>132</v>
      </c>
      <c r="I3453" t="s">
        <v>2</v>
      </c>
      <c r="J3453" t="s">
        <v>5298</v>
      </c>
      <c r="K3453" t="s">
        <v>52</v>
      </c>
      <c r="L3453" t="s">
        <v>2287</v>
      </c>
      <c r="M3453" t="s">
        <v>134</v>
      </c>
      <c r="N3453" t="s">
        <v>135</v>
      </c>
      <c r="O3453"/>
      <c r="P3453"/>
      <c r="Q3453" t="s">
        <v>168</v>
      </c>
      <c r="R3453"/>
      <c r="S3453"/>
      <c r="T3453" t="s">
        <v>2165</v>
      </c>
      <c r="U3453" t="s">
        <v>137</v>
      </c>
      <c r="V3453" t="s">
        <v>156</v>
      </c>
      <c r="W3453"/>
      <c r="X3453" t="s">
        <v>97</v>
      </c>
      <c r="Y3453"/>
      <c r="Z3453"/>
      <c r="AA3453" t="s">
        <v>2163</v>
      </c>
      <c r="AB3453" t="s">
        <v>2</v>
      </c>
      <c r="AC3453" t="s">
        <v>138</v>
      </c>
      <c r="AD3453" t="s">
        <v>129</v>
      </c>
      <c r="AE3453" s="97"/>
    </row>
    <row r="3454" spans="1:31" ht="14.4" customHeight="1" x14ac:dyDescent="0.3">
      <c r="A3454" t="s">
        <v>5988</v>
      </c>
      <c r="B3454" t="s">
        <v>2289</v>
      </c>
      <c r="C3454"/>
      <c r="D3454"/>
      <c r="E3454"/>
      <c r="F3454"/>
      <c r="G3454" t="s">
        <v>5944</v>
      </c>
      <c r="H3454" t="s">
        <v>132</v>
      </c>
      <c r="I3454" t="s">
        <v>2</v>
      </c>
      <c r="J3454" t="s">
        <v>5298</v>
      </c>
      <c r="K3454" t="s">
        <v>52</v>
      </c>
      <c r="L3454" t="s">
        <v>2290</v>
      </c>
      <c r="M3454" t="s">
        <v>134</v>
      </c>
      <c r="N3454" t="s">
        <v>135</v>
      </c>
      <c r="O3454"/>
      <c r="P3454"/>
      <c r="Q3454" t="s">
        <v>168</v>
      </c>
      <c r="R3454"/>
      <c r="S3454"/>
      <c r="T3454" t="s">
        <v>2165</v>
      </c>
      <c r="U3454" t="s">
        <v>137</v>
      </c>
      <c r="V3454" t="s">
        <v>159</v>
      </c>
      <c r="W3454"/>
      <c r="X3454" t="s">
        <v>106</v>
      </c>
      <c r="Y3454"/>
      <c r="Z3454"/>
      <c r="AA3454" t="s">
        <v>2163</v>
      </c>
      <c r="AB3454" t="s">
        <v>2</v>
      </c>
      <c r="AC3454" t="s">
        <v>138</v>
      </c>
      <c r="AD3454" t="s">
        <v>129</v>
      </c>
      <c r="AE3454" s="97"/>
    </row>
    <row r="3455" spans="1:31" ht="14.4" customHeight="1" x14ac:dyDescent="0.3">
      <c r="A3455" t="s">
        <v>5989</v>
      </c>
      <c r="B3455" t="s">
        <v>2292</v>
      </c>
      <c r="C3455"/>
      <c r="D3455"/>
      <c r="E3455"/>
      <c r="F3455"/>
      <c r="G3455" t="s">
        <v>5944</v>
      </c>
      <c r="H3455" t="s">
        <v>132</v>
      </c>
      <c r="I3455" t="s">
        <v>2</v>
      </c>
      <c r="J3455" t="s">
        <v>5298</v>
      </c>
      <c r="K3455" t="s">
        <v>52</v>
      </c>
      <c r="L3455" t="s">
        <v>2293</v>
      </c>
      <c r="M3455" t="s">
        <v>134</v>
      </c>
      <c r="N3455" t="s">
        <v>135</v>
      </c>
      <c r="O3455"/>
      <c r="P3455"/>
      <c r="Q3455" t="s">
        <v>168</v>
      </c>
      <c r="R3455"/>
      <c r="S3455"/>
      <c r="T3455" t="s">
        <v>2165</v>
      </c>
      <c r="U3455" t="s">
        <v>137</v>
      </c>
      <c r="V3455" t="s">
        <v>162</v>
      </c>
      <c r="W3455"/>
      <c r="X3455" t="s">
        <v>113</v>
      </c>
      <c r="Y3455"/>
      <c r="Z3455"/>
      <c r="AA3455" t="s">
        <v>2163</v>
      </c>
      <c r="AB3455" t="s">
        <v>2</v>
      </c>
      <c r="AC3455" t="s">
        <v>138</v>
      </c>
      <c r="AD3455" t="s">
        <v>129</v>
      </c>
      <c r="AE3455" s="97"/>
    </row>
    <row r="3456" spans="1:31" ht="14.4" customHeight="1" x14ac:dyDescent="0.3">
      <c r="A3456" t="s">
        <v>5990</v>
      </c>
      <c r="B3456" t="s">
        <v>2295</v>
      </c>
      <c r="C3456"/>
      <c r="D3456"/>
      <c r="E3456"/>
      <c r="F3456"/>
      <c r="G3456" t="s">
        <v>5944</v>
      </c>
      <c r="H3456" t="s">
        <v>132</v>
      </c>
      <c r="I3456" t="s">
        <v>2</v>
      </c>
      <c r="J3456" t="s">
        <v>5298</v>
      </c>
      <c r="K3456" t="s">
        <v>52</v>
      </c>
      <c r="L3456" t="s">
        <v>2296</v>
      </c>
      <c r="M3456" t="s">
        <v>134</v>
      </c>
      <c r="N3456" t="s">
        <v>135</v>
      </c>
      <c r="O3456"/>
      <c r="P3456"/>
      <c r="Q3456" t="s">
        <v>168</v>
      </c>
      <c r="R3456"/>
      <c r="S3456"/>
      <c r="T3456" t="s">
        <v>2165</v>
      </c>
      <c r="U3456" t="s">
        <v>137</v>
      </c>
      <c r="V3456" t="s">
        <v>165</v>
      </c>
      <c r="W3456"/>
      <c r="X3456" t="s">
        <v>122</v>
      </c>
      <c r="Y3456"/>
      <c r="Z3456"/>
      <c r="AA3456" t="s">
        <v>2163</v>
      </c>
      <c r="AB3456" t="s">
        <v>2</v>
      </c>
      <c r="AC3456" t="s">
        <v>138</v>
      </c>
      <c r="AD3456" t="s">
        <v>130</v>
      </c>
      <c r="AE3456" s="97"/>
    </row>
    <row r="3457" spans="1:31" ht="14.4" customHeight="1" x14ac:dyDescent="0.3">
      <c r="A3457" t="s">
        <v>5991</v>
      </c>
      <c r="B3457" t="s">
        <v>2298</v>
      </c>
      <c r="C3457"/>
      <c r="D3457"/>
      <c r="E3457"/>
      <c r="F3457"/>
      <c r="G3457" t="s">
        <v>5944</v>
      </c>
      <c r="H3457" t="s">
        <v>132</v>
      </c>
      <c r="I3457" t="s">
        <v>2</v>
      </c>
      <c r="J3457" t="s">
        <v>5298</v>
      </c>
      <c r="K3457" t="s">
        <v>52</v>
      </c>
      <c r="L3457" t="s">
        <v>2299</v>
      </c>
      <c r="M3457" t="s">
        <v>134</v>
      </c>
      <c r="N3457" t="s">
        <v>135</v>
      </c>
      <c r="O3457"/>
      <c r="P3457"/>
      <c r="Q3457" t="s">
        <v>168</v>
      </c>
      <c r="R3457"/>
      <c r="S3457"/>
      <c r="T3457" t="s">
        <v>2165</v>
      </c>
      <c r="U3457" t="s">
        <v>137</v>
      </c>
      <c r="V3457" t="s">
        <v>147</v>
      </c>
      <c r="W3457"/>
      <c r="X3457" t="s">
        <v>70</v>
      </c>
      <c r="Y3457"/>
      <c r="Z3457"/>
      <c r="AA3457" t="s">
        <v>2163</v>
      </c>
      <c r="AB3457" t="s">
        <v>2</v>
      </c>
      <c r="AC3457" t="s">
        <v>138</v>
      </c>
      <c r="AD3457" t="s">
        <v>128</v>
      </c>
      <c r="AE3457" s="97"/>
    </row>
    <row r="3458" spans="1:31" ht="14.4" customHeight="1" x14ac:dyDescent="0.3">
      <c r="A3458" t="s">
        <v>5992</v>
      </c>
      <c r="B3458" t="s">
        <v>2301</v>
      </c>
      <c r="C3458"/>
      <c r="D3458"/>
      <c r="E3458"/>
      <c r="F3458"/>
      <c r="G3458" t="s">
        <v>5944</v>
      </c>
      <c r="H3458" t="s">
        <v>132</v>
      </c>
      <c r="I3458" t="s">
        <v>2</v>
      </c>
      <c r="J3458" t="s">
        <v>5298</v>
      </c>
      <c r="K3458" t="s">
        <v>52</v>
      </c>
      <c r="L3458" t="s">
        <v>2299</v>
      </c>
      <c r="M3458" t="s">
        <v>134</v>
      </c>
      <c r="N3458" t="s">
        <v>135</v>
      </c>
      <c r="O3458"/>
      <c r="P3458"/>
      <c r="Q3458" t="s">
        <v>168</v>
      </c>
      <c r="R3458"/>
      <c r="S3458"/>
      <c r="T3458" t="s">
        <v>2165</v>
      </c>
      <c r="U3458" t="s">
        <v>137</v>
      </c>
      <c r="V3458" t="s">
        <v>147</v>
      </c>
      <c r="W3458"/>
      <c r="X3458" t="s">
        <v>70</v>
      </c>
      <c r="Y3458"/>
      <c r="Z3458"/>
      <c r="AA3458" t="s">
        <v>2163</v>
      </c>
      <c r="AB3458" t="s">
        <v>2</v>
      </c>
      <c r="AC3458" t="s">
        <v>138</v>
      </c>
      <c r="AD3458" t="s">
        <v>128</v>
      </c>
      <c r="AE3458" s="97"/>
    </row>
    <row r="3459" spans="1:31" ht="14.4" customHeight="1" x14ac:dyDescent="0.3">
      <c r="A3459" t="s">
        <v>5993</v>
      </c>
      <c r="B3459" t="s">
        <v>2303</v>
      </c>
      <c r="C3459"/>
      <c r="D3459"/>
      <c r="E3459"/>
      <c r="F3459"/>
      <c r="G3459" t="s">
        <v>5944</v>
      </c>
      <c r="H3459" t="s">
        <v>132</v>
      </c>
      <c r="I3459" t="s">
        <v>2</v>
      </c>
      <c r="J3459" t="s">
        <v>5298</v>
      </c>
      <c r="K3459" t="s">
        <v>52</v>
      </c>
      <c r="L3459" t="s">
        <v>2304</v>
      </c>
      <c r="M3459" t="s">
        <v>134</v>
      </c>
      <c r="N3459" t="s">
        <v>135</v>
      </c>
      <c r="O3459"/>
      <c r="P3459"/>
      <c r="Q3459" t="s">
        <v>168</v>
      </c>
      <c r="R3459"/>
      <c r="S3459"/>
      <c r="T3459" t="s">
        <v>2165</v>
      </c>
      <c r="U3459" t="s">
        <v>137</v>
      </c>
      <c r="V3459" t="s">
        <v>150</v>
      </c>
      <c r="W3459"/>
      <c r="X3459" t="s">
        <v>76</v>
      </c>
      <c r="Y3459"/>
      <c r="Z3459"/>
      <c r="AA3459" t="s">
        <v>2163</v>
      </c>
      <c r="AB3459" t="s">
        <v>2</v>
      </c>
      <c r="AC3459" t="s">
        <v>138</v>
      </c>
      <c r="AD3459" t="s">
        <v>128</v>
      </c>
      <c r="AE3459" s="97"/>
    </row>
    <row r="3460" spans="1:31" ht="14.4" customHeight="1" x14ac:dyDescent="0.3">
      <c r="A3460" t="s">
        <v>5994</v>
      </c>
      <c r="B3460" t="s">
        <v>2306</v>
      </c>
      <c r="C3460"/>
      <c r="D3460"/>
      <c r="E3460"/>
      <c r="F3460"/>
      <c r="G3460" t="s">
        <v>5944</v>
      </c>
      <c r="H3460" t="s">
        <v>132</v>
      </c>
      <c r="I3460" t="s">
        <v>2</v>
      </c>
      <c r="J3460" t="s">
        <v>5298</v>
      </c>
      <c r="K3460" t="s">
        <v>52</v>
      </c>
      <c r="L3460" t="s">
        <v>2304</v>
      </c>
      <c r="M3460" t="s">
        <v>134</v>
      </c>
      <c r="N3460" t="s">
        <v>135</v>
      </c>
      <c r="O3460"/>
      <c r="P3460"/>
      <c r="Q3460" t="s">
        <v>168</v>
      </c>
      <c r="R3460"/>
      <c r="S3460"/>
      <c r="T3460" t="s">
        <v>2165</v>
      </c>
      <c r="U3460" t="s">
        <v>137</v>
      </c>
      <c r="V3460" t="s">
        <v>150</v>
      </c>
      <c r="W3460"/>
      <c r="X3460" t="s">
        <v>76</v>
      </c>
      <c r="Y3460"/>
      <c r="Z3460"/>
      <c r="AA3460" t="s">
        <v>2163</v>
      </c>
      <c r="AB3460" t="s">
        <v>2</v>
      </c>
      <c r="AC3460" t="s">
        <v>138</v>
      </c>
      <c r="AD3460" t="s">
        <v>128</v>
      </c>
      <c r="AE3460" s="97"/>
    </row>
    <row r="3461" spans="1:31" ht="14.4" customHeight="1" x14ac:dyDescent="0.3">
      <c r="A3461" t="s">
        <v>5995</v>
      </c>
      <c r="B3461" t="s">
        <v>2308</v>
      </c>
      <c r="C3461"/>
      <c r="D3461"/>
      <c r="E3461"/>
      <c r="F3461"/>
      <c r="G3461" t="s">
        <v>5944</v>
      </c>
      <c r="H3461" t="s">
        <v>132</v>
      </c>
      <c r="I3461" t="s">
        <v>2</v>
      </c>
      <c r="J3461" t="s">
        <v>5298</v>
      </c>
      <c r="K3461" t="s">
        <v>52</v>
      </c>
      <c r="L3461" t="s">
        <v>2309</v>
      </c>
      <c r="M3461" t="s">
        <v>134</v>
      </c>
      <c r="N3461" t="s">
        <v>135</v>
      </c>
      <c r="O3461"/>
      <c r="P3461"/>
      <c r="Q3461" t="s">
        <v>168</v>
      </c>
      <c r="R3461"/>
      <c r="S3461"/>
      <c r="T3461" t="s">
        <v>2165</v>
      </c>
      <c r="U3461" t="s">
        <v>137</v>
      </c>
      <c r="V3461" t="s">
        <v>153</v>
      </c>
      <c r="W3461"/>
      <c r="X3461" t="s">
        <v>88</v>
      </c>
      <c r="Y3461"/>
      <c r="Z3461"/>
      <c r="AA3461" t="s">
        <v>2163</v>
      </c>
      <c r="AB3461" t="s">
        <v>2</v>
      </c>
      <c r="AC3461" t="s">
        <v>138</v>
      </c>
      <c r="AD3461" t="s">
        <v>129</v>
      </c>
      <c r="AE3461" s="97"/>
    </row>
    <row r="3462" spans="1:31" ht="14.4" customHeight="1" x14ac:dyDescent="0.3">
      <c r="A3462" t="s">
        <v>5996</v>
      </c>
      <c r="B3462" t="s">
        <v>2311</v>
      </c>
      <c r="C3462"/>
      <c r="D3462"/>
      <c r="E3462"/>
      <c r="F3462"/>
      <c r="G3462" t="s">
        <v>5944</v>
      </c>
      <c r="H3462" t="s">
        <v>132</v>
      </c>
      <c r="I3462" t="s">
        <v>2</v>
      </c>
      <c r="J3462" t="s">
        <v>5298</v>
      </c>
      <c r="K3462" t="s">
        <v>52</v>
      </c>
      <c r="L3462" t="s">
        <v>2309</v>
      </c>
      <c r="M3462" t="s">
        <v>134</v>
      </c>
      <c r="N3462" t="s">
        <v>135</v>
      </c>
      <c r="O3462"/>
      <c r="P3462"/>
      <c r="Q3462" t="s">
        <v>168</v>
      </c>
      <c r="R3462"/>
      <c r="S3462"/>
      <c r="T3462" t="s">
        <v>2165</v>
      </c>
      <c r="U3462" t="s">
        <v>137</v>
      </c>
      <c r="V3462" t="s">
        <v>153</v>
      </c>
      <c r="W3462"/>
      <c r="X3462" t="s">
        <v>88</v>
      </c>
      <c r="Y3462"/>
      <c r="Z3462"/>
      <c r="AA3462" t="s">
        <v>2163</v>
      </c>
      <c r="AB3462" t="s">
        <v>2</v>
      </c>
      <c r="AC3462" t="s">
        <v>138</v>
      </c>
      <c r="AD3462" t="s">
        <v>129</v>
      </c>
      <c r="AE3462" s="97"/>
    </row>
    <row r="3463" spans="1:31" ht="14.4" customHeight="1" x14ac:dyDescent="0.3">
      <c r="A3463" t="s">
        <v>5997</v>
      </c>
      <c r="B3463" t="s">
        <v>2313</v>
      </c>
      <c r="C3463"/>
      <c r="D3463"/>
      <c r="E3463"/>
      <c r="F3463"/>
      <c r="G3463" t="s">
        <v>5944</v>
      </c>
      <c r="H3463" t="s">
        <v>132</v>
      </c>
      <c r="I3463" t="s">
        <v>2</v>
      </c>
      <c r="J3463" t="s">
        <v>5298</v>
      </c>
      <c r="K3463" t="s">
        <v>52</v>
      </c>
      <c r="L3463" t="s">
        <v>2314</v>
      </c>
      <c r="M3463" t="s">
        <v>134</v>
      </c>
      <c r="N3463" t="s">
        <v>135</v>
      </c>
      <c r="O3463"/>
      <c r="P3463"/>
      <c r="Q3463" t="s">
        <v>168</v>
      </c>
      <c r="R3463"/>
      <c r="S3463"/>
      <c r="T3463" t="s">
        <v>2165</v>
      </c>
      <c r="U3463" t="s">
        <v>137</v>
      </c>
      <c r="V3463" t="s">
        <v>156</v>
      </c>
      <c r="W3463"/>
      <c r="X3463" t="s">
        <v>97</v>
      </c>
      <c r="Y3463"/>
      <c r="Z3463"/>
      <c r="AA3463" t="s">
        <v>2163</v>
      </c>
      <c r="AB3463" t="s">
        <v>2</v>
      </c>
      <c r="AC3463" t="s">
        <v>138</v>
      </c>
      <c r="AD3463" t="s">
        <v>129</v>
      </c>
      <c r="AE3463" s="97"/>
    </row>
    <row r="3464" spans="1:31" ht="14.4" customHeight="1" x14ac:dyDescent="0.3">
      <c r="A3464" t="s">
        <v>5998</v>
      </c>
      <c r="B3464" t="s">
        <v>2316</v>
      </c>
      <c r="C3464"/>
      <c r="D3464"/>
      <c r="E3464"/>
      <c r="F3464"/>
      <c r="G3464" t="s">
        <v>5944</v>
      </c>
      <c r="H3464" t="s">
        <v>132</v>
      </c>
      <c r="I3464" t="s">
        <v>2</v>
      </c>
      <c r="J3464" t="s">
        <v>5298</v>
      </c>
      <c r="K3464" t="s">
        <v>52</v>
      </c>
      <c r="L3464" t="s">
        <v>2314</v>
      </c>
      <c r="M3464" t="s">
        <v>134</v>
      </c>
      <c r="N3464" t="s">
        <v>135</v>
      </c>
      <c r="O3464"/>
      <c r="P3464"/>
      <c r="Q3464" t="s">
        <v>168</v>
      </c>
      <c r="R3464"/>
      <c r="S3464"/>
      <c r="T3464" t="s">
        <v>2165</v>
      </c>
      <c r="U3464" t="s">
        <v>137</v>
      </c>
      <c r="V3464" t="s">
        <v>156</v>
      </c>
      <c r="W3464"/>
      <c r="X3464" t="s">
        <v>97</v>
      </c>
      <c r="Y3464"/>
      <c r="Z3464"/>
      <c r="AA3464" t="s">
        <v>2163</v>
      </c>
      <c r="AB3464" t="s">
        <v>2</v>
      </c>
      <c r="AC3464" t="s">
        <v>138</v>
      </c>
      <c r="AD3464" t="s">
        <v>129</v>
      </c>
      <c r="AE3464" s="97"/>
    </row>
    <row r="3465" spans="1:31" ht="14.4" customHeight="1" x14ac:dyDescent="0.3">
      <c r="A3465" t="s">
        <v>5999</v>
      </c>
      <c r="B3465" t="s">
        <v>2318</v>
      </c>
      <c r="C3465"/>
      <c r="D3465"/>
      <c r="E3465"/>
      <c r="F3465"/>
      <c r="G3465" t="s">
        <v>5944</v>
      </c>
      <c r="H3465" t="s">
        <v>132</v>
      </c>
      <c r="I3465" t="s">
        <v>2</v>
      </c>
      <c r="J3465" t="s">
        <v>5298</v>
      </c>
      <c r="K3465" t="s">
        <v>52</v>
      </c>
      <c r="L3465" t="s">
        <v>2319</v>
      </c>
      <c r="M3465" t="s">
        <v>134</v>
      </c>
      <c r="N3465" t="s">
        <v>135</v>
      </c>
      <c r="O3465"/>
      <c r="P3465"/>
      <c r="Q3465" t="s">
        <v>168</v>
      </c>
      <c r="R3465"/>
      <c r="S3465"/>
      <c r="T3465" t="s">
        <v>2165</v>
      </c>
      <c r="U3465" t="s">
        <v>137</v>
      </c>
      <c r="V3465" t="s">
        <v>159</v>
      </c>
      <c r="W3465"/>
      <c r="X3465" t="s">
        <v>106</v>
      </c>
      <c r="Y3465"/>
      <c r="Z3465"/>
      <c r="AA3465" t="s">
        <v>2163</v>
      </c>
      <c r="AB3465" t="s">
        <v>2</v>
      </c>
      <c r="AC3465" t="s">
        <v>138</v>
      </c>
      <c r="AD3465" t="s">
        <v>129</v>
      </c>
      <c r="AE3465" s="97"/>
    </row>
    <row r="3466" spans="1:31" ht="14.4" customHeight="1" x14ac:dyDescent="0.3">
      <c r="A3466" t="s">
        <v>6000</v>
      </c>
      <c r="B3466" t="s">
        <v>2321</v>
      </c>
      <c r="C3466"/>
      <c r="D3466"/>
      <c r="E3466"/>
      <c r="F3466"/>
      <c r="G3466" t="s">
        <v>5944</v>
      </c>
      <c r="H3466" t="s">
        <v>132</v>
      </c>
      <c r="I3466" t="s">
        <v>2</v>
      </c>
      <c r="J3466" t="s">
        <v>5298</v>
      </c>
      <c r="K3466" t="s">
        <v>52</v>
      </c>
      <c r="L3466" t="s">
        <v>2319</v>
      </c>
      <c r="M3466" t="s">
        <v>134</v>
      </c>
      <c r="N3466" t="s">
        <v>135</v>
      </c>
      <c r="O3466"/>
      <c r="P3466"/>
      <c r="Q3466" t="s">
        <v>168</v>
      </c>
      <c r="R3466"/>
      <c r="S3466"/>
      <c r="T3466" t="s">
        <v>2165</v>
      </c>
      <c r="U3466" t="s">
        <v>137</v>
      </c>
      <c r="V3466" t="s">
        <v>159</v>
      </c>
      <c r="W3466"/>
      <c r="X3466" t="s">
        <v>106</v>
      </c>
      <c r="Y3466"/>
      <c r="Z3466"/>
      <c r="AA3466" t="s">
        <v>2163</v>
      </c>
      <c r="AB3466" t="s">
        <v>2</v>
      </c>
      <c r="AC3466" t="s">
        <v>138</v>
      </c>
      <c r="AD3466" t="s">
        <v>129</v>
      </c>
      <c r="AE3466" s="97"/>
    </row>
    <row r="3467" spans="1:31" ht="14.4" customHeight="1" x14ac:dyDescent="0.3">
      <c r="A3467" t="s">
        <v>6001</v>
      </c>
      <c r="B3467" t="s">
        <v>2323</v>
      </c>
      <c r="C3467"/>
      <c r="D3467"/>
      <c r="E3467"/>
      <c r="F3467"/>
      <c r="G3467" t="s">
        <v>5944</v>
      </c>
      <c r="H3467" t="s">
        <v>132</v>
      </c>
      <c r="I3467" t="s">
        <v>2</v>
      </c>
      <c r="J3467" t="s">
        <v>5298</v>
      </c>
      <c r="K3467" t="s">
        <v>52</v>
      </c>
      <c r="L3467" t="s">
        <v>2324</v>
      </c>
      <c r="M3467" t="s">
        <v>134</v>
      </c>
      <c r="N3467" t="s">
        <v>135</v>
      </c>
      <c r="O3467"/>
      <c r="P3467"/>
      <c r="Q3467" t="s">
        <v>168</v>
      </c>
      <c r="R3467"/>
      <c r="S3467"/>
      <c r="T3467" t="s">
        <v>2165</v>
      </c>
      <c r="U3467" t="s">
        <v>137</v>
      </c>
      <c r="V3467" t="s">
        <v>162</v>
      </c>
      <c r="W3467"/>
      <c r="X3467" t="s">
        <v>113</v>
      </c>
      <c r="Y3467"/>
      <c r="Z3467"/>
      <c r="AA3467" t="s">
        <v>2163</v>
      </c>
      <c r="AB3467" t="s">
        <v>2</v>
      </c>
      <c r="AC3467" t="s">
        <v>138</v>
      </c>
      <c r="AD3467" t="s">
        <v>129</v>
      </c>
      <c r="AE3467" s="97"/>
    </row>
    <row r="3468" spans="1:31" ht="14.4" customHeight="1" x14ac:dyDescent="0.3">
      <c r="A3468" t="s">
        <v>6002</v>
      </c>
      <c r="B3468" t="s">
        <v>2326</v>
      </c>
      <c r="C3468"/>
      <c r="D3468"/>
      <c r="E3468"/>
      <c r="F3468"/>
      <c r="G3468" t="s">
        <v>5944</v>
      </c>
      <c r="H3468" t="s">
        <v>132</v>
      </c>
      <c r="I3468" t="s">
        <v>2</v>
      </c>
      <c r="J3468" t="s">
        <v>5298</v>
      </c>
      <c r="K3468" t="s">
        <v>52</v>
      </c>
      <c r="L3468" t="s">
        <v>2324</v>
      </c>
      <c r="M3468" t="s">
        <v>134</v>
      </c>
      <c r="N3468" t="s">
        <v>135</v>
      </c>
      <c r="O3468"/>
      <c r="P3468"/>
      <c r="Q3468" t="s">
        <v>168</v>
      </c>
      <c r="R3468"/>
      <c r="S3468"/>
      <c r="T3468" t="s">
        <v>2165</v>
      </c>
      <c r="U3468" t="s">
        <v>137</v>
      </c>
      <c r="V3468" t="s">
        <v>162</v>
      </c>
      <c r="W3468"/>
      <c r="X3468" t="s">
        <v>113</v>
      </c>
      <c r="Y3468"/>
      <c r="Z3468"/>
      <c r="AA3468" t="s">
        <v>2163</v>
      </c>
      <c r="AB3468" t="s">
        <v>2</v>
      </c>
      <c r="AC3468" t="s">
        <v>138</v>
      </c>
      <c r="AD3468" t="s">
        <v>129</v>
      </c>
      <c r="AE3468" s="97"/>
    </row>
    <row r="3469" spans="1:31" ht="14.4" customHeight="1" x14ac:dyDescent="0.3">
      <c r="A3469" t="s">
        <v>6003</v>
      </c>
      <c r="B3469" t="s">
        <v>2328</v>
      </c>
      <c r="C3469"/>
      <c r="D3469"/>
      <c r="E3469"/>
      <c r="F3469"/>
      <c r="G3469" t="s">
        <v>5944</v>
      </c>
      <c r="H3469" t="s">
        <v>132</v>
      </c>
      <c r="I3469" t="s">
        <v>2</v>
      </c>
      <c r="J3469" t="s">
        <v>5298</v>
      </c>
      <c r="K3469" t="s">
        <v>52</v>
      </c>
      <c r="L3469" t="s">
        <v>2329</v>
      </c>
      <c r="M3469" t="s">
        <v>134</v>
      </c>
      <c r="N3469" t="s">
        <v>135</v>
      </c>
      <c r="O3469"/>
      <c r="P3469"/>
      <c r="Q3469" t="s">
        <v>168</v>
      </c>
      <c r="R3469"/>
      <c r="S3469"/>
      <c r="T3469" t="s">
        <v>2165</v>
      </c>
      <c r="U3469" t="s">
        <v>137</v>
      </c>
      <c r="V3469" t="s">
        <v>165</v>
      </c>
      <c r="W3469"/>
      <c r="X3469" t="s">
        <v>122</v>
      </c>
      <c r="Y3469"/>
      <c r="Z3469"/>
      <c r="AA3469" t="s">
        <v>2163</v>
      </c>
      <c r="AB3469" t="s">
        <v>2</v>
      </c>
      <c r="AC3469" t="s">
        <v>138</v>
      </c>
      <c r="AD3469" t="s">
        <v>130</v>
      </c>
      <c r="AE3469" s="97"/>
    </row>
    <row r="3470" spans="1:31" ht="14.4" customHeight="1" x14ac:dyDescent="0.3">
      <c r="A3470" t="s">
        <v>6004</v>
      </c>
      <c r="B3470" t="s">
        <v>2331</v>
      </c>
      <c r="C3470"/>
      <c r="D3470"/>
      <c r="E3470"/>
      <c r="F3470"/>
      <c r="G3470" t="s">
        <v>5944</v>
      </c>
      <c r="H3470" t="s">
        <v>132</v>
      </c>
      <c r="I3470" t="s">
        <v>2</v>
      </c>
      <c r="J3470" t="s">
        <v>5298</v>
      </c>
      <c r="K3470" t="s">
        <v>52</v>
      </c>
      <c r="L3470" t="s">
        <v>2329</v>
      </c>
      <c r="M3470" t="s">
        <v>134</v>
      </c>
      <c r="N3470" t="s">
        <v>135</v>
      </c>
      <c r="O3470"/>
      <c r="P3470"/>
      <c r="Q3470" t="s">
        <v>168</v>
      </c>
      <c r="R3470"/>
      <c r="S3470"/>
      <c r="T3470" t="s">
        <v>2165</v>
      </c>
      <c r="U3470" t="s">
        <v>137</v>
      </c>
      <c r="V3470" t="s">
        <v>165</v>
      </c>
      <c r="W3470"/>
      <c r="X3470" t="s">
        <v>122</v>
      </c>
      <c r="Y3470"/>
      <c r="Z3470"/>
      <c r="AA3470" t="s">
        <v>2163</v>
      </c>
      <c r="AB3470" t="s">
        <v>2</v>
      </c>
      <c r="AC3470" t="s">
        <v>138</v>
      </c>
      <c r="AD3470" t="s">
        <v>130</v>
      </c>
      <c r="AE3470" s="97"/>
    </row>
    <row r="3471" spans="1:31" ht="14.4" customHeight="1" x14ac:dyDescent="0.3">
      <c r="A3471" t="s">
        <v>6005</v>
      </c>
      <c r="B3471" t="s">
        <v>2333</v>
      </c>
      <c r="C3471"/>
      <c r="D3471"/>
      <c r="E3471"/>
      <c r="F3471"/>
      <c r="G3471" t="s">
        <v>5944</v>
      </c>
      <c r="H3471" t="s">
        <v>132</v>
      </c>
      <c r="I3471" t="s">
        <v>2</v>
      </c>
      <c r="J3471" t="s">
        <v>5298</v>
      </c>
      <c r="K3471" t="s">
        <v>52</v>
      </c>
      <c r="L3471" t="s">
        <v>2334</v>
      </c>
      <c r="M3471" t="s">
        <v>134</v>
      </c>
      <c r="N3471" t="s">
        <v>135</v>
      </c>
      <c r="O3471"/>
      <c r="P3471"/>
      <c r="Q3471" t="s">
        <v>168</v>
      </c>
      <c r="R3471"/>
      <c r="S3471"/>
      <c r="T3471" t="s">
        <v>2165</v>
      </c>
      <c r="U3471" t="s">
        <v>137</v>
      </c>
      <c r="V3471" t="s">
        <v>890</v>
      </c>
      <c r="W3471"/>
      <c r="X3471" t="s">
        <v>59</v>
      </c>
      <c r="Y3471"/>
      <c r="Z3471"/>
      <c r="AA3471" t="s">
        <v>2163</v>
      </c>
      <c r="AB3471" t="s">
        <v>2</v>
      </c>
      <c r="AC3471" t="s">
        <v>138</v>
      </c>
      <c r="AD3471" t="s">
        <v>128</v>
      </c>
      <c r="AE3471" s="97"/>
    </row>
    <row r="3472" spans="1:31" ht="14.4" customHeight="1" x14ac:dyDescent="0.3">
      <c r="A3472" t="s">
        <v>6006</v>
      </c>
      <c r="B3472" t="s">
        <v>2336</v>
      </c>
      <c r="C3472"/>
      <c r="D3472"/>
      <c r="E3472"/>
      <c r="F3472"/>
      <c r="G3472" t="s">
        <v>5944</v>
      </c>
      <c r="H3472" t="s">
        <v>132</v>
      </c>
      <c r="I3472" t="s">
        <v>2</v>
      </c>
      <c r="J3472" t="s">
        <v>5298</v>
      </c>
      <c r="K3472" t="s">
        <v>52</v>
      </c>
      <c r="L3472" t="s">
        <v>1348</v>
      </c>
      <c r="M3472" t="s">
        <v>134</v>
      </c>
      <c r="N3472" t="s">
        <v>135</v>
      </c>
      <c r="O3472"/>
      <c r="P3472"/>
      <c r="Q3472" t="s">
        <v>168</v>
      </c>
      <c r="R3472"/>
      <c r="S3472"/>
      <c r="T3472" t="s">
        <v>2165</v>
      </c>
      <c r="U3472" t="s">
        <v>137</v>
      </c>
      <c r="V3472" t="s">
        <v>296</v>
      </c>
      <c r="W3472"/>
      <c r="X3472" t="s">
        <v>63</v>
      </c>
      <c r="Y3472"/>
      <c r="Z3472"/>
      <c r="AA3472" t="s">
        <v>2163</v>
      </c>
      <c r="AB3472" t="s">
        <v>2</v>
      </c>
      <c r="AC3472" t="s">
        <v>138</v>
      </c>
      <c r="AD3472" t="s">
        <v>128</v>
      </c>
      <c r="AE3472" s="97"/>
    </row>
    <row r="3473" spans="1:31" ht="14.4" customHeight="1" x14ac:dyDescent="0.3">
      <c r="A3473" t="s">
        <v>6007</v>
      </c>
      <c r="B3473" t="s">
        <v>2338</v>
      </c>
      <c r="C3473"/>
      <c r="D3473"/>
      <c r="E3473"/>
      <c r="F3473"/>
      <c r="G3473" t="s">
        <v>5944</v>
      </c>
      <c r="H3473" t="s">
        <v>132</v>
      </c>
      <c r="I3473" t="s">
        <v>2</v>
      </c>
      <c r="J3473" t="s">
        <v>5298</v>
      </c>
      <c r="K3473" t="s">
        <v>52</v>
      </c>
      <c r="L3473" t="s">
        <v>1348</v>
      </c>
      <c r="M3473" t="s">
        <v>134</v>
      </c>
      <c r="N3473" t="s">
        <v>135</v>
      </c>
      <c r="O3473"/>
      <c r="P3473"/>
      <c r="Q3473" t="s">
        <v>168</v>
      </c>
      <c r="R3473"/>
      <c r="S3473"/>
      <c r="T3473" t="s">
        <v>2165</v>
      </c>
      <c r="U3473" t="s">
        <v>137</v>
      </c>
      <c r="V3473" t="s">
        <v>296</v>
      </c>
      <c r="W3473"/>
      <c r="X3473" t="s">
        <v>63</v>
      </c>
      <c r="Y3473"/>
      <c r="Z3473"/>
      <c r="AA3473" t="s">
        <v>2163</v>
      </c>
      <c r="AB3473" t="s">
        <v>2</v>
      </c>
      <c r="AC3473" t="s">
        <v>138</v>
      </c>
      <c r="AD3473" t="s">
        <v>128</v>
      </c>
      <c r="AE3473" s="97"/>
    </row>
    <row r="3474" spans="1:31" ht="14.4" customHeight="1" x14ac:dyDescent="0.3">
      <c r="A3474" t="s">
        <v>6008</v>
      </c>
      <c r="B3474" t="s">
        <v>2340</v>
      </c>
      <c r="C3474"/>
      <c r="D3474"/>
      <c r="E3474"/>
      <c r="F3474"/>
      <c r="G3474" t="s">
        <v>5944</v>
      </c>
      <c r="H3474" t="s">
        <v>132</v>
      </c>
      <c r="I3474" t="s">
        <v>2</v>
      </c>
      <c r="J3474" t="s">
        <v>5298</v>
      </c>
      <c r="K3474" t="s">
        <v>52</v>
      </c>
      <c r="L3474" t="s">
        <v>1348</v>
      </c>
      <c r="M3474" t="s">
        <v>134</v>
      </c>
      <c r="N3474" t="s">
        <v>135</v>
      </c>
      <c r="O3474"/>
      <c r="P3474"/>
      <c r="Q3474" t="s">
        <v>168</v>
      </c>
      <c r="R3474"/>
      <c r="S3474"/>
      <c r="T3474" t="s">
        <v>2165</v>
      </c>
      <c r="U3474" t="s">
        <v>137</v>
      </c>
      <c r="V3474" t="s">
        <v>296</v>
      </c>
      <c r="W3474"/>
      <c r="X3474" t="s">
        <v>63</v>
      </c>
      <c r="Y3474"/>
      <c r="Z3474"/>
      <c r="AA3474" t="s">
        <v>2163</v>
      </c>
      <c r="AB3474" t="s">
        <v>2</v>
      </c>
      <c r="AC3474" t="s">
        <v>138</v>
      </c>
      <c r="AD3474" t="s">
        <v>128</v>
      </c>
      <c r="AE3474" s="97"/>
    </row>
    <row r="3475" spans="1:31" ht="14.4" customHeight="1" x14ac:dyDescent="0.3">
      <c r="A3475" t="s">
        <v>6009</v>
      </c>
      <c r="B3475" t="s">
        <v>2342</v>
      </c>
      <c r="C3475"/>
      <c r="D3475"/>
      <c r="E3475"/>
      <c r="F3475"/>
      <c r="G3475" t="s">
        <v>5944</v>
      </c>
      <c r="H3475" t="s">
        <v>132</v>
      </c>
      <c r="I3475" t="s">
        <v>2</v>
      </c>
      <c r="J3475" t="s">
        <v>5298</v>
      </c>
      <c r="K3475" t="s">
        <v>52</v>
      </c>
      <c r="L3475" t="s">
        <v>1348</v>
      </c>
      <c r="M3475" t="s">
        <v>134</v>
      </c>
      <c r="N3475" t="s">
        <v>135</v>
      </c>
      <c r="O3475"/>
      <c r="P3475"/>
      <c r="Q3475" t="s">
        <v>168</v>
      </c>
      <c r="R3475"/>
      <c r="S3475"/>
      <c r="T3475" t="s">
        <v>2165</v>
      </c>
      <c r="U3475" t="s">
        <v>137</v>
      </c>
      <c r="V3475" t="s">
        <v>296</v>
      </c>
      <c r="W3475"/>
      <c r="X3475" t="s">
        <v>63</v>
      </c>
      <c r="Y3475"/>
      <c r="Z3475"/>
      <c r="AA3475" t="s">
        <v>2163</v>
      </c>
      <c r="AB3475" t="s">
        <v>2</v>
      </c>
      <c r="AC3475" t="s">
        <v>138</v>
      </c>
      <c r="AD3475" t="s">
        <v>128</v>
      </c>
      <c r="AE3475" s="97"/>
    </row>
    <row r="3476" spans="1:31" ht="14.4" customHeight="1" x14ac:dyDescent="0.3">
      <c r="A3476" t="s">
        <v>6010</v>
      </c>
      <c r="B3476" t="s">
        <v>2344</v>
      </c>
      <c r="C3476"/>
      <c r="D3476"/>
      <c r="E3476"/>
      <c r="F3476"/>
      <c r="G3476" t="s">
        <v>5944</v>
      </c>
      <c r="H3476" t="s">
        <v>132</v>
      </c>
      <c r="I3476" t="s">
        <v>2</v>
      </c>
      <c r="J3476" t="s">
        <v>5298</v>
      </c>
      <c r="K3476" t="s">
        <v>52</v>
      </c>
      <c r="L3476" t="s">
        <v>1348</v>
      </c>
      <c r="M3476" t="s">
        <v>134</v>
      </c>
      <c r="N3476" t="s">
        <v>135</v>
      </c>
      <c r="O3476"/>
      <c r="P3476"/>
      <c r="Q3476" t="s">
        <v>168</v>
      </c>
      <c r="R3476"/>
      <c r="S3476"/>
      <c r="T3476" t="s">
        <v>2165</v>
      </c>
      <c r="U3476" t="s">
        <v>137</v>
      </c>
      <c r="V3476" t="s">
        <v>296</v>
      </c>
      <c r="W3476"/>
      <c r="X3476" t="s">
        <v>63</v>
      </c>
      <c r="Y3476"/>
      <c r="Z3476"/>
      <c r="AA3476" t="s">
        <v>2163</v>
      </c>
      <c r="AB3476" t="s">
        <v>2</v>
      </c>
      <c r="AC3476" t="s">
        <v>138</v>
      </c>
      <c r="AD3476" t="s">
        <v>128</v>
      </c>
      <c r="AE3476" s="97"/>
    </row>
    <row r="3477" spans="1:31" ht="14.4" customHeight="1" x14ac:dyDescent="0.3">
      <c r="A3477" t="s">
        <v>6011</v>
      </c>
      <c r="B3477" t="s">
        <v>2346</v>
      </c>
      <c r="C3477"/>
      <c r="D3477"/>
      <c r="E3477"/>
      <c r="F3477"/>
      <c r="G3477" t="s">
        <v>5944</v>
      </c>
      <c r="H3477" t="s">
        <v>132</v>
      </c>
      <c r="I3477" t="s">
        <v>2</v>
      </c>
      <c r="J3477" t="s">
        <v>5298</v>
      </c>
      <c r="K3477" t="s">
        <v>52</v>
      </c>
      <c r="L3477" t="s">
        <v>2347</v>
      </c>
      <c r="M3477" t="s">
        <v>134</v>
      </c>
      <c r="N3477" t="s">
        <v>135</v>
      </c>
      <c r="O3477"/>
      <c r="P3477"/>
      <c r="Q3477" t="s">
        <v>168</v>
      </c>
      <c r="R3477"/>
      <c r="S3477"/>
      <c r="T3477" t="s">
        <v>2165</v>
      </c>
      <c r="U3477" t="s">
        <v>137</v>
      </c>
      <c r="V3477" t="s">
        <v>897</v>
      </c>
      <c r="W3477"/>
      <c r="X3477" t="s">
        <v>64</v>
      </c>
      <c r="Y3477"/>
      <c r="Z3477"/>
      <c r="AA3477" t="s">
        <v>2163</v>
      </c>
      <c r="AB3477" t="s">
        <v>2</v>
      </c>
      <c r="AC3477" t="s">
        <v>138</v>
      </c>
      <c r="AD3477" t="s">
        <v>128</v>
      </c>
      <c r="AE3477" s="97"/>
    </row>
    <row r="3478" spans="1:31" ht="14.4" customHeight="1" x14ac:dyDescent="0.3">
      <c r="A3478" t="s">
        <v>6012</v>
      </c>
      <c r="B3478" t="s">
        <v>2349</v>
      </c>
      <c r="C3478"/>
      <c r="D3478"/>
      <c r="E3478"/>
      <c r="F3478"/>
      <c r="G3478" t="s">
        <v>5944</v>
      </c>
      <c r="H3478" t="s">
        <v>132</v>
      </c>
      <c r="I3478" t="s">
        <v>2</v>
      </c>
      <c r="J3478" t="s">
        <v>5298</v>
      </c>
      <c r="K3478" t="s">
        <v>52</v>
      </c>
      <c r="L3478" t="s">
        <v>1371</v>
      </c>
      <c r="M3478" t="s">
        <v>134</v>
      </c>
      <c r="N3478" t="s">
        <v>135</v>
      </c>
      <c r="O3478"/>
      <c r="P3478"/>
      <c r="Q3478" t="s">
        <v>168</v>
      </c>
      <c r="R3478"/>
      <c r="S3478"/>
      <c r="T3478" t="s">
        <v>2165</v>
      </c>
      <c r="U3478" t="s">
        <v>137</v>
      </c>
      <c r="V3478" t="s">
        <v>300</v>
      </c>
      <c r="W3478"/>
      <c r="X3478" t="s">
        <v>72</v>
      </c>
      <c r="Y3478"/>
      <c r="Z3478"/>
      <c r="AA3478" t="s">
        <v>2163</v>
      </c>
      <c r="AB3478" t="s">
        <v>2</v>
      </c>
      <c r="AC3478" t="s">
        <v>138</v>
      </c>
      <c r="AD3478" t="s">
        <v>128</v>
      </c>
      <c r="AE3478" s="97"/>
    </row>
    <row r="3479" spans="1:31" ht="14.4" customHeight="1" x14ac:dyDescent="0.3">
      <c r="A3479" t="s">
        <v>6013</v>
      </c>
      <c r="B3479" t="s">
        <v>2351</v>
      </c>
      <c r="C3479"/>
      <c r="D3479"/>
      <c r="E3479"/>
      <c r="F3479"/>
      <c r="G3479" t="s">
        <v>5944</v>
      </c>
      <c r="H3479" t="s">
        <v>132</v>
      </c>
      <c r="I3479" t="s">
        <v>2</v>
      </c>
      <c r="J3479" t="s">
        <v>5298</v>
      </c>
      <c r="K3479" t="s">
        <v>52</v>
      </c>
      <c r="L3479" t="s">
        <v>1371</v>
      </c>
      <c r="M3479" t="s">
        <v>134</v>
      </c>
      <c r="N3479" t="s">
        <v>135</v>
      </c>
      <c r="O3479"/>
      <c r="P3479"/>
      <c r="Q3479" t="s">
        <v>168</v>
      </c>
      <c r="R3479"/>
      <c r="S3479"/>
      <c r="T3479" t="s">
        <v>2165</v>
      </c>
      <c r="U3479" t="s">
        <v>137</v>
      </c>
      <c r="V3479" t="s">
        <v>300</v>
      </c>
      <c r="W3479"/>
      <c r="X3479" t="s">
        <v>72</v>
      </c>
      <c r="Y3479"/>
      <c r="Z3479"/>
      <c r="AA3479" t="s">
        <v>2163</v>
      </c>
      <c r="AB3479" t="s">
        <v>2</v>
      </c>
      <c r="AC3479" t="s">
        <v>138</v>
      </c>
      <c r="AD3479" t="s">
        <v>128</v>
      </c>
      <c r="AE3479" s="97"/>
    </row>
    <row r="3480" spans="1:31" ht="14.4" customHeight="1" x14ac:dyDescent="0.3">
      <c r="A3480" t="s">
        <v>6014</v>
      </c>
      <c r="B3480" t="s">
        <v>2353</v>
      </c>
      <c r="C3480"/>
      <c r="D3480"/>
      <c r="E3480"/>
      <c r="F3480"/>
      <c r="G3480" t="s">
        <v>5944</v>
      </c>
      <c r="H3480" t="s">
        <v>132</v>
      </c>
      <c r="I3480" t="s">
        <v>2</v>
      </c>
      <c r="J3480" t="s">
        <v>5298</v>
      </c>
      <c r="K3480" t="s">
        <v>52</v>
      </c>
      <c r="L3480" t="s">
        <v>1371</v>
      </c>
      <c r="M3480" t="s">
        <v>134</v>
      </c>
      <c r="N3480" t="s">
        <v>135</v>
      </c>
      <c r="O3480"/>
      <c r="P3480"/>
      <c r="Q3480" t="s">
        <v>168</v>
      </c>
      <c r="R3480"/>
      <c r="S3480"/>
      <c r="T3480" t="s">
        <v>2165</v>
      </c>
      <c r="U3480" t="s">
        <v>137</v>
      </c>
      <c r="V3480" t="s">
        <v>300</v>
      </c>
      <c r="W3480"/>
      <c r="X3480" t="s">
        <v>72</v>
      </c>
      <c r="Y3480"/>
      <c r="Z3480"/>
      <c r="AA3480" t="s">
        <v>2163</v>
      </c>
      <c r="AB3480" t="s">
        <v>2</v>
      </c>
      <c r="AC3480" t="s">
        <v>138</v>
      </c>
      <c r="AD3480" t="s">
        <v>128</v>
      </c>
      <c r="AE3480" s="97"/>
    </row>
    <row r="3481" spans="1:31" ht="14.4" customHeight="1" x14ac:dyDescent="0.3">
      <c r="A3481" t="s">
        <v>6015</v>
      </c>
      <c r="B3481" t="s">
        <v>2355</v>
      </c>
      <c r="C3481"/>
      <c r="D3481"/>
      <c r="E3481"/>
      <c r="F3481"/>
      <c r="G3481" t="s">
        <v>5944</v>
      </c>
      <c r="H3481" t="s">
        <v>132</v>
      </c>
      <c r="I3481" t="s">
        <v>2</v>
      </c>
      <c r="J3481" t="s">
        <v>5298</v>
      </c>
      <c r="K3481" t="s">
        <v>52</v>
      </c>
      <c r="L3481" t="s">
        <v>1371</v>
      </c>
      <c r="M3481" t="s">
        <v>134</v>
      </c>
      <c r="N3481" t="s">
        <v>135</v>
      </c>
      <c r="O3481"/>
      <c r="P3481"/>
      <c r="Q3481" t="s">
        <v>168</v>
      </c>
      <c r="R3481"/>
      <c r="S3481"/>
      <c r="T3481" t="s">
        <v>2165</v>
      </c>
      <c r="U3481" t="s">
        <v>137</v>
      </c>
      <c r="V3481" t="s">
        <v>300</v>
      </c>
      <c r="W3481"/>
      <c r="X3481" t="s">
        <v>72</v>
      </c>
      <c r="Y3481"/>
      <c r="Z3481"/>
      <c r="AA3481" t="s">
        <v>2163</v>
      </c>
      <c r="AB3481" t="s">
        <v>2</v>
      </c>
      <c r="AC3481" t="s">
        <v>138</v>
      </c>
      <c r="AD3481" t="s">
        <v>128</v>
      </c>
      <c r="AE3481" s="97"/>
    </row>
    <row r="3482" spans="1:31" ht="14.4" customHeight="1" x14ac:dyDescent="0.3">
      <c r="A3482" t="s">
        <v>6016</v>
      </c>
      <c r="B3482" t="s">
        <v>2357</v>
      </c>
      <c r="C3482"/>
      <c r="D3482"/>
      <c r="E3482"/>
      <c r="F3482"/>
      <c r="G3482" t="s">
        <v>5944</v>
      </c>
      <c r="H3482" t="s">
        <v>132</v>
      </c>
      <c r="I3482" t="s">
        <v>2</v>
      </c>
      <c r="J3482" t="s">
        <v>5298</v>
      </c>
      <c r="K3482" t="s">
        <v>52</v>
      </c>
      <c r="L3482" t="s">
        <v>1371</v>
      </c>
      <c r="M3482" t="s">
        <v>134</v>
      </c>
      <c r="N3482" t="s">
        <v>135</v>
      </c>
      <c r="O3482"/>
      <c r="P3482"/>
      <c r="Q3482" t="s">
        <v>168</v>
      </c>
      <c r="R3482"/>
      <c r="S3482"/>
      <c r="T3482" t="s">
        <v>2165</v>
      </c>
      <c r="U3482" t="s">
        <v>137</v>
      </c>
      <c r="V3482" t="s">
        <v>300</v>
      </c>
      <c r="W3482"/>
      <c r="X3482" t="s">
        <v>72</v>
      </c>
      <c r="Y3482"/>
      <c r="Z3482"/>
      <c r="AA3482" t="s">
        <v>2163</v>
      </c>
      <c r="AB3482" t="s">
        <v>2</v>
      </c>
      <c r="AC3482" t="s">
        <v>138</v>
      </c>
      <c r="AD3482" t="s">
        <v>128</v>
      </c>
      <c r="AE3482" s="97"/>
    </row>
    <row r="3483" spans="1:31" ht="14.4" customHeight="1" x14ac:dyDescent="0.3">
      <c r="A3483" t="s">
        <v>6017</v>
      </c>
      <c r="B3483" t="s">
        <v>2359</v>
      </c>
      <c r="C3483"/>
      <c r="D3483"/>
      <c r="E3483"/>
      <c r="F3483"/>
      <c r="G3483" t="s">
        <v>5944</v>
      </c>
      <c r="H3483" t="s">
        <v>132</v>
      </c>
      <c r="I3483" t="s">
        <v>2</v>
      </c>
      <c r="J3483" t="s">
        <v>5298</v>
      </c>
      <c r="K3483" t="s">
        <v>52</v>
      </c>
      <c r="L3483" t="s">
        <v>2360</v>
      </c>
      <c r="M3483" t="s">
        <v>134</v>
      </c>
      <c r="N3483" t="s">
        <v>135</v>
      </c>
      <c r="O3483"/>
      <c r="P3483"/>
      <c r="Q3483" t="s">
        <v>168</v>
      </c>
      <c r="R3483"/>
      <c r="S3483"/>
      <c r="T3483" t="s">
        <v>2165</v>
      </c>
      <c r="U3483" t="s">
        <v>137</v>
      </c>
      <c r="V3483" t="s">
        <v>904</v>
      </c>
      <c r="W3483"/>
      <c r="X3483" t="s">
        <v>79</v>
      </c>
      <c r="Y3483"/>
      <c r="Z3483"/>
      <c r="AA3483" t="s">
        <v>2163</v>
      </c>
      <c r="AB3483" t="s">
        <v>2</v>
      </c>
      <c r="AC3483" t="s">
        <v>138</v>
      </c>
      <c r="AD3483" t="s">
        <v>129</v>
      </c>
      <c r="AE3483" s="97"/>
    </row>
    <row r="3484" spans="1:31" ht="14.4" customHeight="1" x14ac:dyDescent="0.3">
      <c r="A3484" t="s">
        <v>6018</v>
      </c>
      <c r="B3484" t="s">
        <v>2362</v>
      </c>
      <c r="C3484"/>
      <c r="D3484"/>
      <c r="E3484"/>
      <c r="F3484"/>
      <c r="G3484" t="s">
        <v>5944</v>
      </c>
      <c r="H3484" t="s">
        <v>132</v>
      </c>
      <c r="I3484" t="s">
        <v>2</v>
      </c>
      <c r="J3484" t="s">
        <v>5298</v>
      </c>
      <c r="K3484" t="s">
        <v>52</v>
      </c>
      <c r="L3484" t="s">
        <v>1394</v>
      </c>
      <c r="M3484" t="s">
        <v>134</v>
      </c>
      <c r="N3484" t="s">
        <v>135</v>
      </c>
      <c r="O3484"/>
      <c r="P3484"/>
      <c r="Q3484" t="s">
        <v>168</v>
      </c>
      <c r="R3484"/>
      <c r="S3484"/>
      <c r="T3484" t="s">
        <v>2165</v>
      </c>
      <c r="U3484" t="s">
        <v>137</v>
      </c>
      <c r="V3484" t="s">
        <v>304</v>
      </c>
      <c r="W3484"/>
      <c r="X3484" t="s">
        <v>81</v>
      </c>
      <c r="Y3484"/>
      <c r="Z3484"/>
      <c r="AA3484" t="s">
        <v>2163</v>
      </c>
      <c r="AB3484" t="s">
        <v>2</v>
      </c>
      <c r="AC3484" t="s">
        <v>138</v>
      </c>
      <c r="AD3484" t="s">
        <v>129</v>
      </c>
      <c r="AE3484" s="97"/>
    </row>
    <row r="3485" spans="1:31" ht="14.4" customHeight="1" x14ac:dyDescent="0.3">
      <c r="A3485" t="s">
        <v>6019</v>
      </c>
      <c r="B3485" t="s">
        <v>2364</v>
      </c>
      <c r="C3485"/>
      <c r="D3485"/>
      <c r="E3485"/>
      <c r="F3485"/>
      <c r="G3485" t="s">
        <v>5944</v>
      </c>
      <c r="H3485" t="s">
        <v>132</v>
      </c>
      <c r="I3485" t="s">
        <v>2</v>
      </c>
      <c r="J3485" t="s">
        <v>5298</v>
      </c>
      <c r="K3485" t="s">
        <v>52</v>
      </c>
      <c r="L3485" t="s">
        <v>1394</v>
      </c>
      <c r="M3485" t="s">
        <v>134</v>
      </c>
      <c r="N3485" t="s">
        <v>135</v>
      </c>
      <c r="O3485"/>
      <c r="P3485"/>
      <c r="Q3485" t="s">
        <v>168</v>
      </c>
      <c r="R3485"/>
      <c r="S3485"/>
      <c r="T3485" t="s">
        <v>2165</v>
      </c>
      <c r="U3485" t="s">
        <v>137</v>
      </c>
      <c r="V3485" t="s">
        <v>304</v>
      </c>
      <c r="W3485"/>
      <c r="X3485" t="s">
        <v>81</v>
      </c>
      <c r="Y3485"/>
      <c r="Z3485"/>
      <c r="AA3485" t="s">
        <v>2163</v>
      </c>
      <c r="AB3485" t="s">
        <v>2</v>
      </c>
      <c r="AC3485" t="s">
        <v>138</v>
      </c>
      <c r="AD3485" t="s">
        <v>129</v>
      </c>
      <c r="AE3485" s="97"/>
    </row>
    <row r="3486" spans="1:31" ht="14.4" customHeight="1" x14ac:dyDescent="0.3">
      <c r="A3486" t="s">
        <v>6020</v>
      </c>
      <c r="B3486" t="s">
        <v>2366</v>
      </c>
      <c r="C3486"/>
      <c r="D3486"/>
      <c r="E3486"/>
      <c r="F3486"/>
      <c r="G3486" t="s">
        <v>5944</v>
      </c>
      <c r="H3486" t="s">
        <v>132</v>
      </c>
      <c r="I3486" t="s">
        <v>2</v>
      </c>
      <c r="J3486" t="s">
        <v>5298</v>
      </c>
      <c r="K3486" t="s">
        <v>52</v>
      </c>
      <c r="L3486" t="s">
        <v>1394</v>
      </c>
      <c r="M3486" t="s">
        <v>134</v>
      </c>
      <c r="N3486" t="s">
        <v>135</v>
      </c>
      <c r="O3486"/>
      <c r="P3486"/>
      <c r="Q3486" t="s">
        <v>168</v>
      </c>
      <c r="R3486"/>
      <c r="S3486"/>
      <c r="T3486" t="s">
        <v>2165</v>
      </c>
      <c r="U3486" t="s">
        <v>137</v>
      </c>
      <c r="V3486" t="s">
        <v>304</v>
      </c>
      <c r="W3486"/>
      <c r="X3486" t="s">
        <v>81</v>
      </c>
      <c r="Y3486"/>
      <c r="Z3486"/>
      <c r="AA3486" t="s">
        <v>2163</v>
      </c>
      <c r="AB3486" t="s">
        <v>2</v>
      </c>
      <c r="AC3486" t="s">
        <v>138</v>
      </c>
      <c r="AD3486" t="s">
        <v>129</v>
      </c>
      <c r="AE3486" s="97"/>
    </row>
    <row r="3487" spans="1:31" ht="14.4" customHeight="1" x14ac:dyDescent="0.3">
      <c r="A3487" t="s">
        <v>6021</v>
      </c>
      <c r="B3487" t="s">
        <v>2368</v>
      </c>
      <c r="C3487"/>
      <c r="D3487"/>
      <c r="E3487"/>
      <c r="F3487"/>
      <c r="G3487" t="s">
        <v>5944</v>
      </c>
      <c r="H3487" t="s">
        <v>132</v>
      </c>
      <c r="I3487" t="s">
        <v>2</v>
      </c>
      <c r="J3487" t="s">
        <v>5298</v>
      </c>
      <c r="K3487" t="s">
        <v>52</v>
      </c>
      <c r="L3487" t="s">
        <v>1394</v>
      </c>
      <c r="M3487" t="s">
        <v>134</v>
      </c>
      <c r="N3487" t="s">
        <v>135</v>
      </c>
      <c r="O3487"/>
      <c r="P3487"/>
      <c r="Q3487" t="s">
        <v>168</v>
      </c>
      <c r="R3487"/>
      <c r="S3487"/>
      <c r="T3487" t="s">
        <v>2165</v>
      </c>
      <c r="U3487" t="s">
        <v>137</v>
      </c>
      <c r="V3487" t="s">
        <v>304</v>
      </c>
      <c r="W3487"/>
      <c r="X3487" t="s">
        <v>81</v>
      </c>
      <c r="Y3487"/>
      <c r="Z3487"/>
      <c r="AA3487" t="s">
        <v>2163</v>
      </c>
      <c r="AB3487" t="s">
        <v>2</v>
      </c>
      <c r="AC3487" t="s">
        <v>138</v>
      </c>
      <c r="AD3487" t="s">
        <v>129</v>
      </c>
      <c r="AE3487" s="97"/>
    </row>
    <row r="3488" spans="1:31" ht="14.4" customHeight="1" x14ac:dyDescent="0.3">
      <c r="A3488" t="s">
        <v>6022</v>
      </c>
      <c r="B3488" t="s">
        <v>2370</v>
      </c>
      <c r="C3488"/>
      <c r="D3488"/>
      <c r="E3488"/>
      <c r="F3488"/>
      <c r="G3488" t="s">
        <v>5944</v>
      </c>
      <c r="H3488" t="s">
        <v>132</v>
      </c>
      <c r="I3488" t="s">
        <v>2</v>
      </c>
      <c r="J3488" t="s">
        <v>5298</v>
      </c>
      <c r="K3488" t="s">
        <v>52</v>
      </c>
      <c r="L3488" t="s">
        <v>1394</v>
      </c>
      <c r="M3488" t="s">
        <v>134</v>
      </c>
      <c r="N3488" t="s">
        <v>135</v>
      </c>
      <c r="O3488"/>
      <c r="P3488"/>
      <c r="Q3488" t="s">
        <v>168</v>
      </c>
      <c r="R3488"/>
      <c r="S3488"/>
      <c r="T3488" t="s">
        <v>2165</v>
      </c>
      <c r="U3488" t="s">
        <v>137</v>
      </c>
      <c r="V3488" t="s">
        <v>304</v>
      </c>
      <c r="W3488"/>
      <c r="X3488" t="s">
        <v>81</v>
      </c>
      <c r="Y3488"/>
      <c r="Z3488"/>
      <c r="AA3488" t="s">
        <v>2163</v>
      </c>
      <c r="AB3488" t="s">
        <v>2</v>
      </c>
      <c r="AC3488" t="s">
        <v>138</v>
      </c>
      <c r="AD3488" t="s">
        <v>129</v>
      </c>
      <c r="AE3488" s="97"/>
    </row>
    <row r="3489" spans="1:31" ht="14.4" customHeight="1" x14ac:dyDescent="0.3">
      <c r="A3489" t="s">
        <v>6023</v>
      </c>
      <c r="B3489" t="s">
        <v>2372</v>
      </c>
      <c r="C3489"/>
      <c r="D3489"/>
      <c r="E3489"/>
      <c r="F3489"/>
      <c r="G3489" t="s">
        <v>5944</v>
      </c>
      <c r="H3489" t="s">
        <v>132</v>
      </c>
      <c r="I3489" t="s">
        <v>2</v>
      </c>
      <c r="J3489" t="s">
        <v>5298</v>
      </c>
      <c r="K3489" t="s">
        <v>52</v>
      </c>
      <c r="L3489" t="s">
        <v>2373</v>
      </c>
      <c r="M3489" t="s">
        <v>134</v>
      </c>
      <c r="N3489" t="s">
        <v>135</v>
      </c>
      <c r="O3489"/>
      <c r="P3489"/>
      <c r="Q3489" t="s">
        <v>168</v>
      </c>
      <c r="R3489"/>
      <c r="S3489"/>
      <c r="T3489" t="s">
        <v>2165</v>
      </c>
      <c r="U3489" t="s">
        <v>137</v>
      </c>
      <c r="V3489" t="s">
        <v>911</v>
      </c>
      <c r="W3489"/>
      <c r="X3489" t="s">
        <v>83</v>
      </c>
      <c r="Y3489"/>
      <c r="Z3489"/>
      <c r="AA3489" t="s">
        <v>2163</v>
      </c>
      <c r="AB3489" t="s">
        <v>2</v>
      </c>
      <c r="AC3489" t="s">
        <v>138</v>
      </c>
      <c r="AD3489" t="s">
        <v>129</v>
      </c>
      <c r="AE3489" s="97"/>
    </row>
    <row r="3490" spans="1:31" ht="14.4" customHeight="1" x14ac:dyDescent="0.3">
      <c r="A3490" t="s">
        <v>6024</v>
      </c>
      <c r="B3490" t="s">
        <v>2375</v>
      </c>
      <c r="C3490"/>
      <c r="D3490"/>
      <c r="E3490"/>
      <c r="F3490"/>
      <c r="G3490" t="s">
        <v>5944</v>
      </c>
      <c r="H3490" t="s">
        <v>132</v>
      </c>
      <c r="I3490" t="s">
        <v>2</v>
      </c>
      <c r="J3490" t="s">
        <v>5298</v>
      </c>
      <c r="K3490" t="s">
        <v>52</v>
      </c>
      <c r="L3490" t="s">
        <v>1417</v>
      </c>
      <c r="M3490" t="s">
        <v>134</v>
      </c>
      <c r="N3490" t="s">
        <v>135</v>
      </c>
      <c r="O3490"/>
      <c r="P3490"/>
      <c r="Q3490" t="s">
        <v>168</v>
      </c>
      <c r="R3490"/>
      <c r="S3490"/>
      <c r="T3490" t="s">
        <v>2165</v>
      </c>
      <c r="U3490" t="s">
        <v>137</v>
      </c>
      <c r="V3490" t="s">
        <v>308</v>
      </c>
      <c r="W3490"/>
      <c r="X3490" t="s">
        <v>90</v>
      </c>
      <c r="Y3490"/>
      <c r="Z3490"/>
      <c r="AA3490" t="s">
        <v>2163</v>
      </c>
      <c r="AB3490" t="s">
        <v>2</v>
      </c>
      <c r="AC3490" t="s">
        <v>138</v>
      </c>
      <c r="AD3490" t="s">
        <v>129</v>
      </c>
      <c r="AE3490" s="97"/>
    </row>
    <row r="3491" spans="1:31" ht="14.4" customHeight="1" x14ac:dyDescent="0.3">
      <c r="A3491" t="s">
        <v>6025</v>
      </c>
      <c r="B3491" t="s">
        <v>2377</v>
      </c>
      <c r="C3491"/>
      <c r="D3491"/>
      <c r="E3491"/>
      <c r="F3491"/>
      <c r="G3491" t="s">
        <v>5944</v>
      </c>
      <c r="H3491" t="s">
        <v>132</v>
      </c>
      <c r="I3491" t="s">
        <v>2</v>
      </c>
      <c r="J3491" t="s">
        <v>5298</v>
      </c>
      <c r="K3491" t="s">
        <v>52</v>
      </c>
      <c r="L3491" t="s">
        <v>1417</v>
      </c>
      <c r="M3491" t="s">
        <v>134</v>
      </c>
      <c r="N3491" t="s">
        <v>135</v>
      </c>
      <c r="O3491"/>
      <c r="P3491"/>
      <c r="Q3491" t="s">
        <v>168</v>
      </c>
      <c r="R3491"/>
      <c r="S3491"/>
      <c r="T3491" t="s">
        <v>2165</v>
      </c>
      <c r="U3491" t="s">
        <v>137</v>
      </c>
      <c r="V3491" t="s">
        <v>308</v>
      </c>
      <c r="W3491"/>
      <c r="X3491" t="s">
        <v>90</v>
      </c>
      <c r="Y3491"/>
      <c r="Z3491"/>
      <c r="AA3491" t="s">
        <v>2163</v>
      </c>
      <c r="AB3491" t="s">
        <v>2</v>
      </c>
      <c r="AC3491" t="s">
        <v>138</v>
      </c>
      <c r="AD3491" t="s">
        <v>129</v>
      </c>
      <c r="AE3491" s="97"/>
    </row>
    <row r="3492" spans="1:31" ht="14.4" customHeight="1" x14ac:dyDescent="0.3">
      <c r="A3492" t="s">
        <v>6026</v>
      </c>
      <c r="B3492" t="s">
        <v>2379</v>
      </c>
      <c r="C3492"/>
      <c r="D3492"/>
      <c r="E3492"/>
      <c r="F3492"/>
      <c r="G3492" t="s">
        <v>5944</v>
      </c>
      <c r="H3492" t="s">
        <v>132</v>
      </c>
      <c r="I3492" t="s">
        <v>2</v>
      </c>
      <c r="J3492" t="s">
        <v>5298</v>
      </c>
      <c r="K3492" t="s">
        <v>52</v>
      </c>
      <c r="L3492" t="s">
        <v>1417</v>
      </c>
      <c r="M3492" t="s">
        <v>134</v>
      </c>
      <c r="N3492" t="s">
        <v>135</v>
      </c>
      <c r="O3492"/>
      <c r="P3492"/>
      <c r="Q3492" t="s">
        <v>168</v>
      </c>
      <c r="R3492"/>
      <c r="S3492"/>
      <c r="T3492" t="s">
        <v>2165</v>
      </c>
      <c r="U3492" t="s">
        <v>137</v>
      </c>
      <c r="V3492" t="s">
        <v>308</v>
      </c>
      <c r="W3492"/>
      <c r="X3492" t="s">
        <v>90</v>
      </c>
      <c r="Y3492"/>
      <c r="Z3492"/>
      <c r="AA3492" t="s">
        <v>2163</v>
      </c>
      <c r="AB3492" t="s">
        <v>2</v>
      </c>
      <c r="AC3492" t="s">
        <v>138</v>
      </c>
      <c r="AD3492" t="s">
        <v>129</v>
      </c>
      <c r="AE3492" s="97"/>
    </row>
    <row r="3493" spans="1:31" ht="14.4" customHeight="1" x14ac:dyDescent="0.3">
      <c r="A3493" t="s">
        <v>6027</v>
      </c>
      <c r="B3493" t="s">
        <v>2381</v>
      </c>
      <c r="C3493"/>
      <c r="D3493"/>
      <c r="E3493"/>
      <c r="F3493"/>
      <c r="G3493" t="s">
        <v>5944</v>
      </c>
      <c r="H3493" t="s">
        <v>132</v>
      </c>
      <c r="I3493" t="s">
        <v>2</v>
      </c>
      <c r="J3493" t="s">
        <v>5298</v>
      </c>
      <c r="K3493" t="s">
        <v>52</v>
      </c>
      <c r="L3493" t="s">
        <v>1417</v>
      </c>
      <c r="M3493" t="s">
        <v>134</v>
      </c>
      <c r="N3493" t="s">
        <v>135</v>
      </c>
      <c r="O3493"/>
      <c r="P3493"/>
      <c r="Q3493" t="s">
        <v>168</v>
      </c>
      <c r="R3493"/>
      <c r="S3493"/>
      <c r="T3493" t="s">
        <v>2165</v>
      </c>
      <c r="U3493" t="s">
        <v>137</v>
      </c>
      <c r="V3493" t="s">
        <v>308</v>
      </c>
      <c r="W3493"/>
      <c r="X3493" t="s">
        <v>90</v>
      </c>
      <c r="Y3493"/>
      <c r="Z3493"/>
      <c r="AA3493" t="s">
        <v>2163</v>
      </c>
      <c r="AB3493" t="s">
        <v>2</v>
      </c>
      <c r="AC3493" t="s">
        <v>138</v>
      </c>
      <c r="AD3493" t="s">
        <v>129</v>
      </c>
      <c r="AE3493" s="97"/>
    </row>
    <row r="3494" spans="1:31" ht="14.4" customHeight="1" x14ac:dyDescent="0.3">
      <c r="A3494" t="s">
        <v>6028</v>
      </c>
      <c r="B3494" t="s">
        <v>2383</v>
      </c>
      <c r="C3494"/>
      <c r="D3494"/>
      <c r="E3494"/>
      <c r="F3494"/>
      <c r="G3494" t="s">
        <v>5944</v>
      </c>
      <c r="H3494" t="s">
        <v>132</v>
      </c>
      <c r="I3494" t="s">
        <v>2</v>
      </c>
      <c r="J3494" t="s">
        <v>5298</v>
      </c>
      <c r="K3494" t="s">
        <v>52</v>
      </c>
      <c r="L3494" t="s">
        <v>1417</v>
      </c>
      <c r="M3494" t="s">
        <v>134</v>
      </c>
      <c r="N3494" t="s">
        <v>135</v>
      </c>
      <c r="O3494"/>
      <c r="P3494"/>
      <c r="Q3494" t="s">
        <v>168</v>
      </c>
      <c r="R3494"/>
      <c r="S3494"/>
      <c r="T3494" t="s">
        <v>2165</v>
      </c>
      <c r="U3494" t="s">
        <v>137</v>
      </c>
      <c r="V3494" t="s">
        <v>308</v>
      </c>
      <c r="W3494"/>
      <c r="X3494" t="s">
        <v>90</v>
      </c>
      <c r="Y3494"/>
      <c r="Z3494"/>
      <c r="AA3494" t="s">
        <v>2163</v>
      </c>
      <c r="AB3494" t="s">
        <v>2</v>
      </c>
      <c r="AC3494" t="s">
        <v>138</v>
      </c>
      <c r="AD3494" t="s">
        <v>129</v>
      </c>
      <c r="AE3494" s="97"/>
    </row>
    <row r="3495" spans="1:31" ht="14.4" customHeight="1" x14ac:dyDescent="0.3">
      <c r="A3495" t="s">
        <v>6029</v>
      </c>
      <c r="B3495" t="s">
        <v>2385</v>
      </c>
      <c r="C3495"/>
      <c r="D3495"/>
      <c r="E3495"/>
      <c r="F3495"/>
      <c r="G3495" t="s">
        <v>5944</v>
      </c>
      <c r="H3495" t="s">
        <v>132</v>
      </c>
      <c r="I3495" t="s">
        <v>2</v>
      </c>
      <c r="J3495" t="s">
        <v>5298</v>
      </c>
      <c r="K3495" t="s">
        <v>52</v>
      </c>
      <c r="L3495" t="s">
        <v>2386</v>
      </c>
      <c r="M3495" t="s">
        <v>134</v>
      </c>
      <c r="N3495" t="s">
        <v>135</v>
      </c>
      <c r="O3495"/>
      <c r="P3495"/>
      <c r="Q3495" t="s">
        <v>168</v>
      </c>
      <c r="R3495"/>
      <c r="S3495"/>
      <c r="T3495" t="s">
        <v>2165</v>
      </c>
      <c r="U3495" t="s">
        <v>137</v>
      </c>
      <c r="V3495" t="s">
        <v>918</v>
      </c>
      <c r="W3495"/>
      <c r="X3495" t="s">
        <v>92</v>
      </c>
      <c r="Y3495"/>
      <c r="Z3495"/>
      <c r="AA3495" t="s">
        <v>2163</v>
      </c>
      <c r="AB3495" t="s">
        <v>2</v>
      </c>
      <c r="AC3495" t="s">
        <v>138</v>
      </c>
      <c r="AD3495" t="s">
        <v>129</v>
      </c>
      <c r="AE3495" s="97"/>
    </row>
    <row r="3496" spans="1:31" ht="14.4" customHeight="1" x14ac:dyDescent="0.3">
      <c r="A3496" t="s">
        <v>6030</v>
      </c>
      <c r="B3496" t="s">
        <v>2388</v>
      </c>
      <c r="C3496"/>
      <c r="D3496"/>
      <c r="E3496"/>
      <c r="F3496"/>
      <c r="G3496" t="s">
        <v>5944</v>
      </c>
      <c r="H3496" t="s">
        <v>132</v>
      </c>
      <c r="I3496" t="s">
        <v>2</v>
      </c>
      <c r="J3496" t="s">
        <v>5298</v>
      </c>
      <c r="K3496" t="s">
        <v>52</v>
      </c>
      <c r="L3496" t="s">
        <v>1440</v>
      </c>
      <c r="M3496" t="s">
        <v>134</v>
      </c>
      <c r="N3496" t="s">
        <v>135</v>
      </c>
      <c r="O3496"/>
      <c r="P3496"/>
      <c r="Q3496" t="s">
        <v>168</v>
      </c>
      <c r="R3496"/>
      <c r="S3496"/>
      <c r="T3496" t="s">
        <v>2165</v>
      </c>
      <c r="U3496" t="s">
        <v>137</v>
      </c>
      <c r="V3496" t="s">
        <v>312</v>
      </c>
      <c r="W3496"/>
      <c r="X3496" t="s">
        <v>99</v>
      </c>
      <c r="Y3496"/>
      <c r="Z3496"/>
      <c r="AA3496" t="s">
        <v>2163</v>
      </c>
      <c r="AB3496" t="s">
        <v>2</v>
      </c>
      <c r="AC3496" t="s">
        <v>138</v>
      </c>
      <c r="AD3496" t="s">
        <v>129</v>
      </c>
      <c r="AE3496" s="97"/>
    </row>
    <row r="3497" spans="1:31" ht="14.4" customHeight="1" x14ac:dyDescent="0.3">
      <c r="A3497" t="s">
        <v>6031</v>
      </c>
      <c r="B3497" t="s">
        <v>2390</v>
      </c>
      <c r="C3497"/>
      <c r="D3497"/>
      <c r="E3497"/>
      <c r="F3497"/>
      <c r="G3497" t="s">
        <v>5944</v>
      </c>
      <c r="H3497" t="s">
        <v>132</v>
      </c>
      <c r="I3497" t="s">
        <v>2</v>
      </c>
      <c r="J3497" t="s">
        <v>5298</v>
      </c>
      <c r="K3497" t="s">
        <v>52</v>
      </c>
      <c r="L3497" t="s">
        <v>1440</v>
      </c>
      <c r="M3497" t="s">
        <v>134</v>
      </c>
      <c r="N3497" t="s">
        <v>135</v>
      </c>
      <c r="O3497"/>
      <c r="P3497"/>
      <c r="Q3497" t="s">
        <v>168</v>
      </c>
      <c r="R3497"/>
      <c r="S3497"/>
      <c r="T3497" t="s">
        <v>2165</v>
      </c>
      <c r="U3497" t="s">
        <v>137</v>
      </c>
      <c r="V3497" t="s">
        <v>312</v>
      </c>
      <c r="W3497"/>
      <c r="X3497" t="s">
        <v>99</v>
      </c>
      <c r="Y3497"/>
      <c r="Z3497"/>
      <c r="AA3497" t="s">
        <v>2163</v>
      </c>
      <c r="AB3497" t="s">
        <v>2</v>
      </c>
      <c r="AC3497" t="s">
        <v>138</v>
      </c>
      <c r="AD3497" t="s">
        <v>129</v>
      </c>
      <c r="AE3497" s="97"/>
    </row>
    <row r="3498" spans="1:31" ht="14.4" customHeight="1" x14ac:dyDescent="0.3">
      <c r="A3498" t="s">
        <v>6032</v>
      </c>
      <c r="B3498" t="s">
        <v>2392</v>
      </c>
      <c r="C3498"/>
      <c r="D3498"/>
      <c r="E3498"/>
      <c r="F3498"/>
      <c r="G3498" t="s">
        <v>5944</v>
      </c>
      <c r="H3498" t="s">
        <v>132</v>
      </c>
      <c r="I3498" t="s">
        <v>2</v>
      </c>
      <c r="J3498" t="s">
        <v>5298</v>
      </c>
      <c r="K3498" t="s">
        <v>52</v>
      </c>
      <c r="L3498" t="s">
        <v>1440</v>
      </c>
      <c r="M3498" t="s">
        <v>134</v>
      </c>
      <c r="N3498" t="s">
        <v>135</v>
      </c>
      <c r="O3498"/>
      <c r="P3498"/>
      <c r="Q3498" t="s">
        <v>168</v>
      </c>
      <c r="R3498"/>
      <c r="S3498"/>
      <c r="T3498" t="s">
        <v>2165</v>
      </c>
      <c r="U3498" t="s">
        <v>137</v>
      </c>
      <c r="V3498" t="s">
        <v>312</v>
      </c>
      <c r="W3498"/>
      <c r="X3498" t="s">
        <v>99</v>
      </c>
      <c r="Y3498"/>
      <c r="Z3498"/>
      <c r="AA3498" t="s">
        <v>2163</v>
      </c>
      <c r="AB3498" t="s">
        <v>2</v>
      </c>
      <c r="AC3498" t="s">
        <v>138</v>
      </c>
      <c r="AD3498" t="s">
        <v>129</v>
      </c>
      <c r="AE3498" s="97"/>
    </row>
    <row r="3499" spans="1:31" ht="14.4" customHeight="1" x14ac:dyDescent="0.3">
      <c r="A3499" t="s">
        <v>6033</v>
      </c>
      <c r="B3499" t="s">
        <v>2394</v>
      </c>
      <c r="C3499"/>
      <c r="D3499"/>
      <c r="E3499"/>
      <c r="F3499"/>
      <c r="G3499" t="s">
        <v>5944</v>
      </c>
      <c r="H3499" t="s">
        <v>132</v>
      </c>
      <c r="I3499" t="s">
        <v>2</v>
      </c>
      <c r="J3499" t="s">
        <v>5298</v>
      </c>
      <c r="K3499" t="s">
        <v>52</v>
      </c>
      <c r="L3499" t="s">
        <v>1440</v>
      </c>
      <c r="M3499" t="s">
        <v>134</v>
      </c>
      <c r="N3499" t="s">
        <v>135</v>
      </c>
      <c r="O3499"/>
      <c r="P3499"/>
      <c r="Q3499" t="s">
        <v>168</v>
      </c>
      <c r="R3499"/>
      <c r="S3499"/>
      <c r="T3499" t="s">
        <v>2165</v>
      </c>
      <c r="U3499" t="s">
        <v>137</v>
      </c>
      <c r="V3499" t="s">
        <v>312</v>
      </c>
      <c r="W3499"/>
      <c r="X3499" t="s">
        <v>99</v>
      </c>
      <c r="Y3499"/>
      <c r="Z3499"/>
      <c r="AA3499" t="s">
        <v>2163</v>
      </c>
      <c r="AB3499" t="s">
        <v>2</v>
      </c>
      <c r="AC3499" t="s">
        <v>138</v>
      </c>
      <c r="AD3499" t="s">
        <v>129</v>
      </c>
      <c r="AE3499" s="97"/>
    </row>
    <row r="3500" spans="1:31" ht="14.4" customHeight="1" x14ac:dyDescent="0.3">
      <c r="A3500" t="s">
        <v>6034</v>
      </c>
      <c r="B3500" t="s">
        <v>2396</v>
      </c>
      <c r="C3500"/>
      <c r="D3500"/>
      <c r="E3500"/>
      <c r="F3500"/>
      <c r="G3500" t="s">
        <v>5944</v>
      </c>
      <c r="H3500" t="s">
        <v>132</v>
      </c>
      <c r="I3500" t="s">
        <v>2</v>
      </c>
      <c r="J3500" t="s">
        <v>5298</v>
      </c>
      <c r="K3500" t="s">
        <v>52</v>
      </c>
      <c r="L3500" t="s">
        <v>1440</v>
      </c>
      <c r="M3500" t="s">
        <v>134</v>
      </c>
      <c r="N3500" t="s">
        <v>135</v>
      </c>
      <c r="O3500"/>
      <c r="P3500"/>
      <c r="Q3500" t="s">
        <v>168</v>
      </c>
      <c r="R3500"/>
      <c r="S3500"/>
      <c r="T3500" t="s">
        <v>2165</v>
      </c>
      <c r="U3500" t="s">
        <v>137</v>
      </c>
      <c r="V3500" t="s">
        <v>312</v>
      </c>
      <c r="W3500"/>
      <c r="X3500" t="s">
        <v>99</v>
      </c>
      <c r="Y3500"/>
      <c r="Z3500"/>
      <c r="AA3500" t="s">
        <v>2163</v>
      </c>
      <c r="AB3500" t="s">
        <v>2</v>
      </c>
      <c r="AC3500" t="s">
        <v>138</v>
      </c>
      <c r="AD3500" t="s">
        <v>129</v>
      </c>
      <c r="AE3500" s="97"/>
    </row>
    <row r="3501" spans="1:31" ht="14.4" customHeight="1" x14ac:dyDescent="0.3">
      <c r="A3501" t="s">
        <v>6035</v>
      </c>
      <c r="B3501" t="s">
        <v>2398</v>
      </c>
      <c r="C3501"/>
      <c r="D3501"/>
      <c r="E3501"/>
      <c r="F3501"/>
      <c r="G3501" t="s">
        <v>5944</v>
      </c>
      <c r="H3501" t="s">
        <v>132</v>
      </c>
      <c r="I3501" t="s">
        <v>2</v>
      </c>
      <c r="J3501" t="s">
        <v>5298</v>
      </c>
      <c r="K3501" t="s">
        <v>52</v>
      </c>
      <c r="L3501" t="s">
        <v>2399</v>
      </c>
      <c r="M3501" t="s">
        <v>134</v>
      </c>
      <c r="N3501" t="s">
        <v>135</v>
      </c>
      <c r="O3501"/>
      <c r="P3501"/>
      <c r="Q3501" t="s">
        <v>168</v>
      </c>
      <c r="R3501"/>
      <c r="S3501"/>
      <c r="T3501" t="s">
        <v>2165</v>
      </c>
      <c r="U3501" t="s">
        <v>137</v>
      </c>
      <c r="V3501" t="s">
        <v>925</v>
      </c>
      <c r="W3501"/>
      <c r="X3501" t="s">
        <v>101</v>
      </c>
      <c r="Y3501"/>
      <c r="Z3501"/>
      <c r="AA3501" t="s">
        <v>2163</v>
      </c>
      <c r="AB3501" t="s">
        <v>2</v>
      </c>
      <c r="AC3501" t="s">
        <v>138</v>
      </c>
      <c r="AD3501" t="s">
        <v>129</v>
      </c>
      <c r="AE3501" s="97"/>
    </row>
    <row r="3502" spans="1:31" ht="14.4" customHeight="1" x14ac:dyDescent="0.3">
      <c r="A3502" t="s">
        <v>6036</v>
      </c>
      <c r="B3502" t="s">
        <v>2401</v>
      </c>
      <c r="C3502"/>
      <c r="D3502"/>
      <c r="E3502"/>
      <c r="F3502"/>
      <c r="G3502" t="s">
        <v>5944</v>
      </c>
      <c r="H3502" t="s">
        <v>132</v>
      </c>
      <c r="I3502" t="s">
        <v>2</v>
      </c>
      <c r="J3502" t="s">
        <v>5298</v>
      </c>
      <c r="K3502" t="s">
        <v>52</v>
      </c>
      <c r="L3502" t="s">
        <v>1463</v>
      </c>
      <c r="M3502" t="s">
        <v>134</v>
      </c>
      <c r="N3502" t="s">
        <v>135</v>
      </c>
      <c r="O3502"/>
      <c r="P3502"/>
      <c r="Q3502" t="s">
        <v>168</v>
      </c>
      <c r="R3502"/>
      <c r="S3502"/>
      <c r="T3502" t="s">
        <v>2165</v>
      </c>
      <c r="U3502" t="s">
        <v>137</v>
      </c>
      <c r="V3502" t="s">
        <v>316</v>
      </c>
      <c r="W3502"/>
      <c r="X3502" t="s">
        <v>108</v>
      </c>
      <c r="Y3502"/>
      <c r="Z3502"/>
      <c r="AA3502" t="s">
        <v>2163</v>
      </c>
      <c r="AB3502" t="s">
        <v>2</v>
      </c>
      <c r="AC3502" t="s">
        <v>138</v>
      </c>
      <c r="AD3502" t="s">
        <v>129</v>
      </c>
      <c r="AE3502" s="97"/>
    </row>
    <row r="3503" spans="1:31" ht="14.4" customHeight="1" x14ac:dyDescent="0.3">
      <c r="A3503" t="s">
        <v>6037</v>
      </c>
      <c r="B3503" t="s">
        <v>2403</v>
      </c>
      <c r="C3503"/>
      <c r="D3503"/>
      <c r="E3503"/>
      <c r="F3503"/>
      <c r="G3503" t="s">
        <v>5944</v>
      </c>
      <c r="H3503" t="s">
        <v>132</v>
      </c>
      <c r="I3503" t="s">
        <v>2</v>
      </c>
      <c r="J3503" t="s">
        <v>5298</v>
      </c>
      <c r="K3503" t="s">
        <v>52</v>
      </c>
      <c r="L3503" t="s">
        <v>1463</v>
      </c>
      <c r="M3503" t="s">
        <v>134</v>
      </c>
      <c r="N3503" t="s">
        <v>135</v>
      </c>
      <c r="O3503"/>
      <c r="P3503"/>
      <c r="Q3503" t="s">
        <v>168</v>
      </c>
      <c r="R3503"/>
      <c r="S3503"/>
      <c r="T3503" t="s">
        <v>2165</v>
      </c>
      <c r="U3503" t="s">
        <v>137</v>
      </c>
      <c r="V3503" t="s">
        <v>316</v>
      </c>
      <c r="W3503"/>
      <c r="X3503" t="s">
        <v>108</v>
      </c>
      <c r="Y3503"/>
      <c r="Z3503"/>
      <c r="AA3503" t="s">
        <v>2163</v>
      </c>
      <c r="AB3503" t="s">
        <v>2</v>
      </c>
      <c r="AC3503" t="s">
        <v>138</v>
      </c>
      <c r="AD3503" t="s">
        <v>129</v>
      </c>
      <c r="AE3503" s="97"/>
    </row>
    <row r="3504" spans="1:31" ht="14.4" customHeight="1" x14ac:dyDescent="0.3">
      <c r="A3504" t="s">
        <v>6038</v>
      </c>
      <c r="B3504" t="s">
        <v>2405</v>
      </c>
      <c r="C3504"/>
      <c r="D3504"/>
      <c r="E3504"/>
      <c r="F3504"/>
      <c r="G3504" t="s">
        <v>5944</v>
      </c>
      <c r="H3504" t="s">
        <v>132</v>
      </c>
      <c r="I3504" t="s">
        <v>2</v>
      </c>
      <c r="J3504" t="s">
        <v>5298</v>
      </c>
      <c r="K3504" t="s">
        <v>52</v>
      </c>
      <c r="L3504" t="s">
        <v>1463</v>
      </c>
      <c r="M3504" t="s">
        <v>134</v>
      </c>
      <c r="N3504" t="s">
        <v>135</v>
      </c>
      <c r="O3504"/>
      <c r="P3504"/>
      <c r="Q3504" t="s">
        <v>168</v>
      </c>
      <c r="R3504"/>
      <c r="S3504"/>
      <c r="T3504" t="s">
        <v>2165</v>
      </c>
      <c r="U3504" t="s">
        <v>137</v>
      </c>
      <c r="V3504" t="s">
        <v>316</v>
      </c>
      <c r="W3504"/>
      <c r="X3504" t="s">
        <v>108</v>
      </c>
      <c r="Y3504"/>
      <c r="Z3504"/>
      <c r="AA3504" t="s">
        <v>2163</v>
      </c>
      <c r="AB3504" t="s">
        <v>2</v>
      </c>
      <c r="AC3504" t="s">
        <v>138</v>
      </c>
      <c r="AD3504" t="s">
        <v>129</v>
      </c>
      <c r="AE3504" s="97"/>
    </row>
    <row r="3505" spans="1:31" ht="14.4" customHeight="1" x14ac:dyDescent="0.3">
      <c r="A3505" t="s">
        <v>6039</v>
      </c>
      <c r="B3505" t="s">
        <v>2407</v>
      </c>
      <c r="C3505"/>
      <c r="D3505"/>
      <c r="E3505"/>
      <c r="F3505"/>
      <c r="G3505" t="s">
        <v>5944</v>
      </c>
      <c r="H3505" t="s">
        <v>132</v>
      </c>
      <c r="I3505" t="s">
        <v>2</v>
      </c>
      <c r="J3505" t="s">
        <v>5298</v>
      </c>
      <c r="K3505" t="s">
        <v>52</v>
      </c>
      <c r="L3505" t="s">
        <v>1463</v>
      </c>
      <c r="M3505" t="s">
        <v>134</v>
      </c>
      <c r="N3505" t="s">
        <v>135</v>
      </c>
      <c r="O3505"/>
      <c r="P3505"/>
      <c r="Q3505" t="s">
        <v>168</v>
      </c>
      <c r="R3505"/>
      <c r="S3505"/>
      <c r="T3505" t="s">
        <v>2165</v>
      </c>
      <c r="U3505" t="s">
        <v>137</v>
      </c>
      <c r="V3505" t="s">
        <v>316</v>
      </c>
      <c r="W3505"/>
      <c r="X3505" t="s">
        <v>108</v>
      </c>
      <c r="Y3505"/>
      <c r="Z3505"/>
      <c r="AA3505" t="s">
        <v>2163</v>
      </c>
      <c r="AB3505" t="s">
        <v>2</v>
      </c>
      <c r="AC3505" t="s">
        <v>138</v>
      </c>
      <c r="AD3505" t="s">
        <v>129</v>
      </c>
      <c r="AE3505" s="97"/>
    </row>
    <row r="3506" spans="1:31" ht="14.4" customHeight="1" x14ac:dyDescent="0.3">
      <c r="A3506" t="s">
        <v>6040</v>
      </c>
      <c r="B3506" t="s">
        <v>2409</v>
      </c>
      <c r="C3506"/>
      <c r="D3506"/>
      <c r="E3506"/>
      <c r="F3506"/>
      <c r="G3506" t="s">
        <v>5944</v>
      </c>
      <c r="H3506" t="s">
        <v>132</v>
      </c>
      <c r="I3506" t="s">
        <v>2</v>
      </c>
      <c r="J3506" t="s">
        <v>5298</v>
      </c>
      <c r="K3506" t="s">
        <v>52</v>
      </c>
      <c r="L3506" t="s">
        <v>1463</v>
      </c>
      <c r="M3506" t="s">
        <v>134</v>
      </c>
      <c r="N3506" t="s">
        <v>135</v>
      </c>
      <c r="O3506"/>
      <c r="P3506"/>
      <c r="Q3506" t="s">
        <v>168</v>
      </c>
      <c r="R3506"/>
      <c r="S3506"/>
      <c r="T3506" t="s">
        <v>2165</v>
      </c>
      <c r="U3506" t="s">
        <v>137</v>
      </c>
      <c r="V3506" t="s">
        <v>316</v>
      </c>
      <c r="W3506"/>
      <c r="X3506" t="s">
        <v>108</v>
      </c>
      <c r="Y3506"/>
      <c r="Z3506"/>
      <c r="AA3506" t="s">
        <v>2163</v>
      </c>
      <c r="AB3506" t="s">
        <v>2</v>
      </c>
      <c r="AC3506" t="s">
        <v>138</v>
      </c>
      <c r="AD3506" t="s">
        <v>129</v>
      </c>
      <c r="AE3506" s="97"/>
    </row>
    <row r="3507" spans="1:31" ht="14.4" customHeight="1" x14ac:dyDescent="0.3">
      <c r="A3507" t="s">
        <v>6041</v>
      </c>
      <c r="B3507" t="s">
        <v>2411</v>
      </c>
      <c r="C3507"/>
      <c r="D3507"/>
      <c r="E3507"/>
      <c r="F3507"/>
      <c r="G3507" t="s">
        <v>5944</v>
      </c>
      <c r="H3507" t="s">
        <v>132</v>
      </c>
      <c r="I3507" t="s">
        <v>2</v>
      </c>
      <c r="J3507" t="s">
        <v>5298</v>
      </c>
      <c r="K3507" t="s">
        <v>52</v>
      </c>
      <c r="L3507" t="s">
        <v>2412</v>
      </c>
      <c r="M3507" t="s">
        <v>134</v>
      </c>
      <c r="N3507" t="s">
        <v>135</v>
      </c>
      <c r="O3507"/>
      <c r="P3507"/>
      <c r="Q3507" t="s">
        <v>168</v>
      </c>
      <c r="R3507"/>
      <c r="S3507"/>
      <c r="T3507" t="s">
        <v>2165</v>
      </c>
      <c r="U3507" t="s">
        <v>137</v>
      </c>
      <c r="V3507" t="s">
        <v>932</v>
      </c>
      <c r="W3507"/>
      <c r="X3507" t="s">
        <v>115</v>
      </c>
      <c r="Y3507"/>
      <c r="Z3507"/>
      <c r="AA3507" t="s">
        <v>2163</v>
      </c>
      <c r="AB3507" t="s">
        <v>2</v>
      </c>
      <c r="AC3507" t="s">
        <v>138</v>
      </c>
      <c r="AD3507" t="s">
        <v>130</v>
      </c>
      <c r="AE3507" s="97"/>
    </row>
    <row r="3508" spans="1:31" ht="14.4" customHeight="1" x14ac:dyDescent="0.3">
      <c r="A3508" t="s">
        <v>6042</v>
      </c>
      <c r="B3508" t="s">
        <v>2414</v>
      </c>
      <c r="C3508"/>
      <c r="D3508"/>
      <c r="E3508"/>
      <c r="F3508"/>
      <c r="G3508" t="s">
        <v>5944</v>
      </c>
      <c r="H3508" t="s">
        <v>132</v>
      </c>
      <c r="I3508" t="s">
        <v>2</v>
      </c>
      <c r="J3508" t="s">
        <v>5298</v>
      </c>
      <c r="K3508" t="s">
        <v>52</v>
      </c>
      <c r="L3508" t="s">
        <v>1486</v>
      </c>
      <c r="M3508" t="s">
        <v>134</v>
      </c>
      <c r="N3508" t="s">
        <v>135</v>
      </c>
      <c r="O3508"/>
      <c r="P3508"/>
      <c r="Q3508" t="s">
        <v>168</v>
      </c>
      <c r="R3508"/>
      <c r="S3508"/>
      <c r="T3508" t="s">
        <v>2165</v>
      </c>
      <c r="U3508" t="s">
        <v>137</v>
      </c>
      <c r="V3508" t="s">
        <v>320</v>
      </c>
      <c r="W3508"/>
      <c r="X3508" t="s">
        <v>117</v>
      </c>
      <c r="Y3508"/>
      <c r="Z3508"/>
      <c r="AA3508" t="s">
        <v>2163</v>
      </c>
      <c r="AB3508" t="s">
        <v>2</v>
      </c>
      <c r="AC3508" t="s">
        <v>138</v>
      </c>
      <c r="AD3508" t="s">
        <v>130</v>
      </c>
      <c r="AE3508" s="97"/>
    </row>
    <row r="3509" spans="1:31" ht="14.4" customHeight="1" x14ac:dyDescent="0.3">
      <c r="A3509" t="s">
        <v>6043</v>
      </c>
      <c r="B3509" t="s">
        <v>2416</v>
      </c>
      <c r="C3509"/>
      <c r="D3509"/>
      <c r="E3509"/>
      <c r="F3509"/>
      <c r="G3509" t="s">
        <v>5944</v>
      </c>
      <c r="H3509" t="s">
        <v>132</v>
      </c>
      <c r="I3509" t="s">
        <v>2</v>
      </c>
      <c r="J3509" t="s">
        <v>5298</v>
      </c>
      <c r="K3509" t="s">
        <v>52</v>
      </c>
      <c r="L3509" t="s">
        <v>1486</v>
      </c>
      <c r="M3509" t="s">
        <v>134</v>
      </c>
      <c r="N3509" t="s">
        <v>135</v>
      </c>
      <c r="O3509"/>
      <c r="P3509"/>
      <c r="Q3509" t="s">
        <v>168</v>
      </c>
      <c r="R3509"/>
      <c r="S3509"/>
      <c r="T3509" t="s">
        <v>2165</v>
      </c>
      <c r="U3509" t="s">
        <v>137</v>
      </c>
      <c r="V3509" t="s">
        <v>320</v>
      </c>
      <c r="W3509"/>
      <c r="X3509" t="s">
        <v>117</v>
      </c>
      <c r="Y3509"/>
      <c r="Z3509"/>
      <c r="AA3509" t="s">
        <v>2163</v>
      </c>
      <c r="AB3509" t="s">
        <v>2</v>
      </c>
      <c r="AC3509" t="s">
        <v>138</v>
      </c>
      <c r="AD3509" t="s">
        <v>130</v>
      </c>
      <c r="AE3509" s="97"/>
    </row>
    <row r="3510" spans="1:31" ht="14.4" customHeight="1" x14ac:dyDescent="0.3">
      <c r="A3510" t="s">
        <v>6044</v>
      </c>
      <c r="B3510" t="s">
        <v>2418</v>
      </c>
      <c r="C3510"/>
      <c r="D3510"/>
      <c r="E3510"/>
      <c r="F3510"/>
      <c r="G3510" t="s">
        <v>5944</v>
      </c>
      <c r="H3510" t="s">
        <v>132</v>
      </c>
      <c r="I3510" t="s">
        <v>2</v>
      </c>
      <c r="J3510" t="s">
        <v>5298</v>
      </c>
      <c r="K3510" t="s">
        <v>52</v>
      </c>
      <c r="L3510" t="s">
        <v>1486</v>
      </c>
      <c r="M3510" t="s">
        <v>134</v>
      </c>
      <c r="N3510" t="s">
        <v>135</v>
      </c>
      <c r="O3510"/>
      <c r="P3510"/>
      <c r="Q3510" t="s">
        <v>168</v>
      </c>
      <c r="R3510"/>
      <c r="S3510"/>
      <c r="T3510" t="s">
        <v>2165</v>
      </c>
      <c r="U3510" t="s">
        <v>137</v>
      </c>
      <c r="V3510" t="s">
        <v>320</v>
      </c>
      <c r="W3510"/>
      <c r="X3510" t="s">
        <v>117</v>
      </c>
      <c r="Y3510"/>
      <c r="Z3510"/>
      <c r="AA3510" t="s">
        <v>2163</v>
      </c>
      <c r="AB3510" t="s">
        <v>2</v>
      </c>
      <c r="AC3510" t="s">
        <v>138</v>
      </c>
      <c r="AD3510" t="s">
        <v>130</v>
      </c>
      <c r="AE3510" s="97"/>
    </row>
    <row r="3511" spans="1:31" ht="14.4" customHeight="1" x14ac:dyDescent="0.3">
      <c r="A3511" t="s">
        <v>6045</v>
      </c>
      <c r="B3511" t="s">
        <v>2420</v>
      </c>
      <c r="C3511"/>
      <c r="D3511"/>
      <c r="E3511"/>
      <c r="F3511"/>
      <c r="G3511" t="s">
        <v>5944</v>
      </c>
      <c r="H3511" t="s">
        <v>132</v>
      </c>
      <c r="I3511" t="s">
        <v>2</v>
      </c>
      <c r="J3511" t="s">
        <v>5298</v>
      </c>
      <c r="K3511" t="s">
        <v>52</v>
      </c>
      <c r="L3511" t="s">
        <v>1486</v>
      </c>
      <c r="M3511" t="s">
        <v>134</v>
      </c>
      <c r="N3511" t="s">
        <v>135</v>
      </c>
      <c r="O3511"/>
      <c r="P3511"/>
      <c r="Q3511" t="s">
        <v>168</v>
      </c>
      <c r="R3511"/>
      <c r="S3511"/>
      <c r="T3511" t="s">
        <v>2165</v>
      </c>
      <c r="U3511" t="s">
        <v>137</v>
      </c>
      <c r="V3511" t="s">
        <v>320</v>
      </c>
      <c r="W3511"/>
      <c r="X3511" t="s">
        <v>117</v>
      </c>
      <c r="Y3511"/>
      <c r="Z3511"/>
      <c r="AA3511" t="s">
        <v>2163</v>
      </c>
      <c r="AB3511" t="s">
        <v>2</v>
      </c>
      <c r="AC3511" t="s">
        <v>138</v>
      </c>
      <c r="AD3511" t="s">
        <v>130</v>
      </c>
      <c r="AE3511" s="97"/>
    </row>
    <row r="3512" spans="1:31" ht="14.4" customHeight="1" x14ac:dyDescent="0.3">
      <c r="A3512" t="s">
        <v>6046</v>
      </c>
      <c r="B3512" t="s">
        <v>2422</v>
      </c>
      <c r="C3512"/>
      <c r="D3512"/>
      <c r="E3512"/>
      <c r="F3512"/>
      <c r="G3512" t="s">
        <v>5944</v>
      </c>
      <c r="H3512" t="s">
        <v>132</v>
      </c>
      <c r="I3512" t="s">
        <v>2</v>
      </c>
      <c r="J3512" t="s">
        <v>5298</v>
      </c>
      <c r="K3512" t="s">
        <v>52</v>
      </c>
      <c r="L3512" t="s">
        <v>1486</v>
      </c>
      <c r="M3512" t="s">
        <v>134</v>
      </c>
      <c r="N3512" t="s">
        <v>135</v>
      </c>
      <c r="O3512"/>
      <c r="P3512"/>
      <c r="Q3512" t="s">
        <v>168</v>
      </c>
      <c r="R3512"/>
      <c r="S3512"/>
      <c r="T3512" t="s">
        <v>2165</v>
      </c>
      <c r="U3512" t="s">
        <v>137</v>
      </c>
      <c r="V3512" t="s">
        <v>320</v>
      </c>
      <c r="W3512"/>
      <c r="X3512" t="s">
        <v>117</v>
      </c>
      <c r="Y3512"/>
      <c r="Z3512"/>
      <c r="AA3512" t="s">
        <v>2163</v>
      </c>
      <c r="AB3512" t="s">
        <v>2</v>
      </c>
      <c r="AC3512" t="s">
        <v>138</v>
      </c>
      <c r="AD3512" t="s">
        <v>130</v>
      </c>
      <c r="AE3512" s="97"/>
    </row>
    <row r="3513" spans="1:31" ht="14.4" customHeight="1" x14ac:dyDescent="0.3">
      <c r="A3513" t="s">
        <v>6047</v>
      </c>
      <c r="B3513" t="s">
        <v>2424</v>
      </c>
      <c r="C3513"/>
      <c r="D3513"/>
      <c r="E3513"/>
      <c r="F3513"/>
      <c r="G3513" t="s">
        <v>5944</v>
      </c>
      <c r="H3513" t="s">
        <v>132</v>
      </c>
      <c r="I3513" t="s">
        <v>2</v>
      </c>
      <c r="J3513" t="s">
        <v>5298</v>
      </c>
      <c r="K3513" t="s">
        <v>52</v>
      </c>
      <c r="L3513" t="s">
        <v>2425</v>
      </c>
      <c r="M3513" t="s">
        <v>134</v>
      </c>
      <c r="N3513" t="s">
        <v>135</v>
      </c>
      <c r="O3513"/>
      <c r="P3513"/>
      <c r="Q3513" t="s">
        <v>168</v>
      </c>
      <c r="R3513"/>
      <c r="S3513"/>
      <c r="T3513" t="s">
        <v>2165</v>
      </c>
      <c r="U3513" t="s">
        <v>137</v>
      </c>
      <c r="V3513" t="s">
        <v>147</v>
      </c>
      <c r="W3513"/>
      <c r="X3513" t="s">
        <v>70</v>
      </c>
      <c r="Y3513"/>
      <c r="Z3513"/>
      <c r="AA3513" t="s">
        <v>2163</v>
      </c>
      <c r="AB3513" t="s">
        <v>2</v>
      </c>
      <c r="AC3513" t="s">
        <v>138</v>
      </c>
      <c r="AD3513" t="s">
        <v>128</v>
      </c>
      <c r="AE3513" s="97"/>
    </row>
    <row r="3514" spans="1:31" ht="14.4" customHeight="1" x14ac:dyDescent="0.3">
      <c r="A3514" t="s">
        <v>6048</v>
      </c>
      <c r="B3514" t="s">
        <v>2427</v>
      </c>
      <c r="C3514"/>
      <c r="D3514"/>
      <c r="E3514"/>
      <c r="F3514"/>
      <c r="G3514" t="s">
        <v>5944</v>
      </c>
      <c r="H3514" t="s">
        <v>132</v>
      </c>
      <c r="I3514" t="s">
        <v>2</v>
      </c>
      <c r="J3514" t="s">
        <v>5298</v>
      </c>
      <c r="K3514" t="s">
        <v>52</v>
      </c>
      <c r="L3514" t="s">
        <v>2428</v>
      </c>
      <c r="M3514" t="s">
        <v>134</v>
      </c>
      <c r="N3514" t="s">
        <v>135</v>
      </c>
      <c r="O3514"/>
      <c r="P3514"/>
      <c r="Q3514" t="s">
        <v>168</v>
      </c>
      <c r="R3514"/>
      <c r="S3514"/>
      <c r="T3514" t="s">
        <v>2165</v>
      </c>
      <c r="U3514" t="s">
        <v>137</v>
      </c>
      <c r="V3514" t="s">
        <v>147</v>
      </c>
      <c r="W3514"/>
      <c r="X3514" t="s">
        <v>70</v>
      </c>
      <c r="Y3514"/>
      <c r="Z3514"/>
      <c r="AA3514" t="s">
        <v>2163</v>
      </c>
      <c r="AB3514" t="s">
        <v>2</v>
      </c>
      <c r="AC3514" t="s">
        <v>138</v>
      </c>
      <c r="AD3514" t="s">
        <v>128</v>
      </c>
      <c r="AE3514" s="97"/>
    </row>
    <row r="3515" spans="1:31" ht="14.4" customHeight="1" x14ac:dyDescent="0.3">
      <c r="A3515" t="s">
        <v>6049</v>
      </c>
      <c r="B3515" t="s">
        <v>2430</v>
      </c>
      <c r="C3515"/>
      <c r="D3515"/>
      <c r="E3515"/>
      <c r="F3515"/>
      <c r="G3515" t="s">
        <v>5944</v>
      </c>
      <c r="H3515" t="s">
        <v>132</v>
      </c>
      <c r="I3515" t="s">
        <v>2</v>
      </c>
      <c r="J3515" t="s">
        <v>5298</v>
      </c>
      <c r="K3515" t="s">
        <v>52</v>
      </c>
      <c r="L3515" t="s">
        <v>2431</v>
      </c>
      <c r="M3515" t="s">
        <v>134</v>
      </c>
      <c r="N3515" t="s">
        <v>135</v>
      </c>
      <c r="O3515"/>
      <c r="P3515"/>
      <c r="Q3515" t="s">
        <v>168</v>
      </c>
      <c r="R3515"/>
      <c r="S3515"/>
      <c r="T3515" t="s">
        <v>2165</v>
      </c>
      <c r="U3515" t="s">
        <v>137</v>
      </c>
      <c r="V3515" t="s">
        <v>147</v>
      </c>
      <c r="W3515"/>
      <c r="X3515" t="s">
        <v>70</v>
      </c>
      <c r="Y3515"/>
      <c r="Z3515"/>
      <c r="AA3515" t="s">
        <v>2163</v>
      </c>
      <c r="AB3515" t="s">
        <v>2</v>
      </c>
      <c r="AC3515" t="s">
        <v>138</v>
      </c>
      <c r="AD3515" t="s">
        <v>128</v>
      </c>
      <c r="AE3515" s="97"/>
    </row>
    <row r="3516" spans="1:31" ht="14.4" customHeight="1" x14ac:dyDescent="0.3">
      <c r="A3516" t="s">
        <v>6050</v>
      </c>
      <c r="B3516" t="s">
        <v>2433</v>
      </c>
      <c r="C3516"/>
      <c r="D3516"/>
      <c r="E3516"/>
      <c r="F3516"/>
      <c r="G3516" t="s">
        <v>5944</v>
      </c>
      <c r="H3516" t="s">
        <v>132</v>
      </c>
      <c r="I3516" t="s">
        <v>2</v>
      </c>
      <c r="J3516" t="s">
        <v>5298</v>
      </c>
      <c r="K3516" t="s">
        <v>52</v>
      </c>
      <c r="L3516" t="s">
        <v>2434</v>
      </c>
      <c r="M3516" t="s">
        <v>134</v>
      </c>
      <c r="N3516" t="s">
        <v>135</v>
      </c>
      <c r="O3516"/>
      <c r="P3516"/>
      <c r="Q3516" t="s">
        <v>168</v>
      </c>
      <c r="R3516"/>
      <c r="S3516"/>
      <c r="T3516" t="s">
        <v>2165</v>
      </c>
      <c r="U3516" t="s">
        <v>137</v>
      </c>
      <c r="V3516" t="s">
        <v>147</v>
      </c>
      <c r="W3516"/>
      <c r="X3516" t="s">
        <v>70</v>
      </c>
      <c r="Y3516"/>
      <c r="Z3516"/>
      <c r="AA3516" t="s">
        <v>2163</v>
      </c>
      <c r="AB3516" t="s">
        <v>2</v>
      </c>
      <c r="AC3516" t="s">
        <v>138</v>
      </c>
      <c r="AD3516" t="s">
        <v>128</v>
      </c>
      <c r="AE3516" s="97"/>
    </row>
    <row r="3517" spans="1:31" ht="14.4" customHeight="1" x14ac:dyDescent="0.3">
      <c r="A3517" t="s">
        <v>6051</v>
      </c>
      <c r="B3517" t="s">
        <v>2436</v>
      </c>
      <c r="C3517"/>
      <c r="D3517"/>
      <c r="E3517"/>
      <c r="F3517"/>
      <c r="G3517" t="s">
        <v>5944</v>
      </c>
      <c r="H3517" t="s">
        <v>132</v>
      </c>
      <c r="I3517" t="s">
        <v>2</v>
      </c>
      <c r="J3517" t="s">
        <v>5298</v>
      </c>
      <c r="K3517" t="s">
        <v>52</v>
      </c>
      <c r="L3517" t="s">
        <v>2437</v>
      </c>
      <c r="M3517" t="s">
        <v>134</v>
      </c>
      <c r="N3517" t="s">
        <v>135</v>
      </c>
      <c r="O3517"/>
      <c r="P3517"/>
      <c r="Q3517" t="s">
        <v>168</v>
      </c>
      <c r="R3517"/>
      <c r="S3517"/>
      <c r="T3517" t="s">
        <v>2165</v>
      </c>
      <c r="U3517" t="s">
        <v>137</v>
      </c>
      <c r="V3517" t="s">
        <v>150</v>
      </c>
      <c r="W3517"/>
      <c r="X3517" t="s">
        <v>76</v>
      </c>
      <c r="Y3517"/>
      <c r="Z3517"/>
      <c r="AA3517" t="s">
        <v>2163</v>
      </c>
      <c r="AB3517" t="s">
        <v>2</v>
      </c>
      <c r="AC3517" t="s">
        <v>138</v>
      </c>
      <c r="AD3517" t="s">
        <v>128</v>
      </c>
      <c r="AE3517" s="97"/>
    </row>
    <row r="3518" spans="1:31" ht="14.4" customHeight="1" x14ac:dyDescent="0.3">
      <c r="A3518" t="s">
        <v>6052</v>
      </c>
      <c r="B3518" t="s">
        <v>2439</v>
      </c>
      <c r="C3518"/>
      <c r="D3518"/>
      <c r="E3518"/>
      <c r="F3518"/>
      <c r="G3518" t="s">
        <v>5944</v>
      </c>
      <c r="H3518" t="s">
        <v>132</v>
      </c>
      <c r="I3518" t="s">
        <v>2</v>
      </c>
      <c r="J3518" t="s">
        <v>5298</v>
      </c>
      <c r="K3518" t="s">
        <v>52</v>
      </c>
      <c r="L3518" t="s">
        <v>2440</v>
      </c>
      <c r="M3518" t="s">
        <v>134</v>
      </c>
      <c r="N3518" t="s">
        <v>135</v>
      </c>
      <c r="O3518"/>
      <c r="P3518"/>
      <c r="Q3518" t="s">
        <v>168</v>
      </c>
      <c r="R3518"/>
      <c r="S3518"/>
      <c r="T3518" t="s">
        <v>2165</v>
      </c>
      <c r="U3518" t="s">
        <v>137</v>
      </c>
      <c r="V3518" t="s">
        <v>150</v>
      </c>
      <c r="W3518"/>
      <c r="X3518" t="s">
        <v>76</v>
      </c>
      <c r="Y3518"/>
      <c r="Z3518"/>
      <c r="AA3518" t="s">
        <v>2163</v>
      </c>
      <c r="AB3518" t="s">
        <v>2</v>
      </c>
      <c r="AC3518" t="s">
        <v>138</v>
      </c>
      <c r="AD3518" t="s">
        <v>128</v>
      </c>
      <c r="AE3518" s="97"/>
    </row>
    <row r="3519" spans="1:31" ht="14.4" customHeight="1" x14ac:dyDescent="0.3">
      <c r="A3519" t="s">
        <v>6053</v>
      </c>
      <c r="B3519" t="s">
        <v>2442</v>
      </c>
      <c r="C3519"/>
      <c r="D3519"/>
      <c r="E3519"/>
      <c r="F3519"/>
      <c r="G3519" t="s">
        <v>5944</v>
      </c>
      <c r="H3519" t="s">
        <v>132</v>
      </c>
      <c r="I3519" t="s">
        <v>2</v>
      </c>
      <c r="J3519" t="s">
        <v>5298</v>
      </c>
      <c r="K3519" t="s">
        <v>52</v>
      </c>
      <c r="L3519" t="s">
        <v>2443</v>
      </c>
      <c r="M3519" t="s">
        <v>134</v>
      </c>
      <c r="N3519" t="s">
        <v>135</v>
      </c>
      <c r="O3519"/>
      <c r="P3519"/>
      <c r="Q3519" t="s">
        <v>168</v>
      </c>
      <c r="R3519"/>
      <c r="S3519"/>
      <c r="T3519" t="s">
        <v>2165</v>
      </c>
      <c r="U3519" t="s">
        <v>137</v>
      </c>
      <c r="V3519" t="s">
        <v>150</v>
      </c>
      <c r="W3519"/>
      <c r="X3519" t="s">
        <v>76</v>
      </c>
      <c r="Y3519"/>
      <c r="Z3519"/>
      <c r="AA3519" t="s">
        <v>2163</v>
      </c>
      <c r="AB3519" t="s">
        <v>2</v>
      </c>
      <c r="AC3519" t="s">
        <v>138</v>
      </c>
      <c r="AD3519" t="s">
        <v>128</v>
      </c>
      <c r="AE3519" s="97"/>
    </row>
    <row r="3520" spans="1:31" ht="14.4" customHeight="1" x14ac:dyDescent="0.3">
      <c r="A3520" t="s">
        <v>6054</v>
      </c>
      <c r="B3520" t="s">
        <v>2445</v>
      </c>
      <c r="C3520"/>
      <c r="D3520"/>
      <c r="E3520"/>
      <c r="F3520"/>
      <c r="G3520" t="s">
        <v>5944</v>
      </c>
      <c r="H3520" t="s">
        <v>132</v>
      </c>
      <c r="I3520" t="s">
        <v>2</v>
      </c>
      <c r="J3520" t="s">
        <v>5298</v>
      </c>
      <c r="K3520" t="s">
        <v>52</v>
      </c>
      <c r="L3520" t="s">
        <v>2446</v>
      </c>
      <c r="M3520" t="s">
        <v>134</v>
      </c>
      <c r="N3520" t="s">
        <v>135</v>
      </c>
      <c r="O3520"/>
      <c r="P3520"/>
      <c r="Q3520" t="s">
        <v>168</v>
      </c>
      <c r="R3520"/>
      <c r="S3520"/>
      <c r="T3520" t="s">
        <v>2165</v>
      </c>
      <c r="U3520" t="s">
        <v>137</v>
      </c>
      <c r="V3520" t="s">
        <v>150</v>
      </c>
      <c r="W3520"/>
      <c r="X3520" t="s">
        <v>76</v>
      </c>
      <c r="Y3520"/>
      <c r="Z3520"/>
      <c r="AA3520" t="s">
        <v>2163</v>
      </c>
      <c r="AB3520" t="s">
        <v>2</v>
      </c>
      <c r="AC3520" t="s">
        <v>138</v>
      </c>
      <c r="AD3520" t="s">
        <v>128</v>
      </c>
      <c r="AE3520" s="97"/>
    </row>
    <row r="3521" spans="1:31" ht="14.4" customHeight="1" x14ac:dyDescent="0.3">
      <c r="A3521" t="s">
        <v>6055</v>
      </c>
      <c r="B3521" t="s">
        <v>2448</v>
      </c>
      <c r="C3521"/>
      <c r="D3521"/>
      <c r="E3521"/>
      <c r="F3521"/>
      <c r="G3521" t="s">
        <v>5944</v>
      </c>
      <c r="H3521" t="s">
        <v>132</v>
      </c>
      <c r="I3521" t="s">
        <v>2</v>
      </c>
      <c r="J3521" t="s">
        <v>5298</v>
      </c>
      <c r="K3521" t="s">
        <v>52</v>
      </c>
      <c r="L3521" t="s">
        <v>2449</v>
      </c>
      <c r="M3521" t="s">
        <v>134</v>
      </c>
      <c r="N3521" t="s">
        <v>135</v>
      </c>
      <c r="O3521"/>
      <c r="P3521"/>
      <c r="Q3521" t="s">
        <v>168</v>
      </c>
      <c r="R3521"/>
      <c r="S3521"/>
      <c r="T3521" t="s">
        <v>2165</v>
      </c>
      <c r="U3521" t="s">
        <v>137</v>
      </c>
      <c r="V3521" t="s">
        <v>153</v>
      </c>
      <c r="W3521"/>
      <c r="X3521" t="s">
        <v>88</v>
      </c>
      <c r="Y3521"/>
      <c r="Z3521"/>
      <c r="AA3521" t="s">
        <v>2163</v>
      </c>
      <c r="AB3521" t="s">
        <v>2</v>
      </c>
      <c r="AC3521" t="s">
        <v>138</v>
      </c>
      <c r="AD3521" t="s">
        <v>129</v>
      </c>
      <c r="AE3521" s="97"/>
    </row>
    <row r="3522" spans="1:31" ht="14.4" customHeight="1" x14ac:dyDescent="0.3">
      <c r="A3522" t="s">
        <v>6056</v>
      </c>
      <c r="B3522" t="s">
        <v>2451</v>
      </c>
      <c r="C3522"/>
      <c r="D3522"/>
      <c r="E3522"/>
      <c r="F3522"/>
      <c r="G3522" t="s">
        <v>5944</v>
      </c>
      <c r="H3522" t="s">
        <v>132</v>
      </c>
      <c r="I3522" t="s">
        <v>2</v>
      </c>
      <c r="J3522" t="s">
        <v>5298</v>
      </c>
      <c r="K3522" t="s">
        <v>52</v>
      </c>
      <c r="L3522" t="s">
        <v>2452</v>
      </c>
      <c r="M3522" t="s">
        <v>134</v>
      </c>
      <c r="N3522" t="s">
        <v>135</v>
      </c>
      <c r="O3522"/>
      <c r="P3522"/>
      <c r="Q3522" t="s">
        <v>168</v>
      </c>
      <c r="R3522"/>
      <c r="S3522"/>
      <c r="T3522" t="s">
        <v>2165</v>
      </c>
      <c r="U3522" t="s">
        <v>137</v>
      </c>
      <c r="V3522" t="s">
        <v>153</v>
      </c>
      <c r="W3522"/>
      <c r="X3522" t="s">
        <v>88</v>
      </c>
      <c r="Y3522"/>
      <c r="Z3522"/>
      <c r="AA3522" t="s">
        <v>2163</v>
      </c>
      <c r="AB3522" t="s">
        <v>2</v>
      </c>
      <c r="AC3522" t="s">
        <v>138</v>
      </c>
      <c r="AD3522" t="s">
        <v>129</v>
      </c>
      <c r="AE3522" s="97"/>
    </row>
    <row r="3523" spans="1:31" ht="14.4" customHeight="1" x14ac:dyDescent="0.3">
      <c r="A3523" t="s">
        <v>6057</v>
      </c>
      <c r="B3523" t="s">
        <v>2454</v>
      </c>
      <c r="C3523"/>
      <c r="D3523"/>
      <c r="E3523"/>
      <c r="F3523"/>
      <c r="G3523" t="s">
        <v>5944</v>
      </c>
      <c r="H3523" t="s">
        <v>132</v>
      </c>
      <c r="I3523" t="s">
        <v>2</v>
      </c>
      <c r="J3523" t="s">
        <v>5298</v>
      </c>
      <c r="K3523" t="s">
        <v>52</v>
      </c>
      <c r="L3523" t="s">
        <v>2455</v>
      </c>
      <c r="M3523" t="s">
        <v>134</v>
      </c>
      <c r="N3523" t="s">
        <v>135</v>
      </c>
      <c r="O3523"/>
      <c r="P3523"/>
      <c r="Q3523" t="s">
        <v>168</v>
      </c>
      <c r="R3523"/>
      <c r="S3523"/>
      <c r="T3523" t="s">
        <v>2165</v>
      </c>
      <c r="U3523" t="s">
        <v>137</v>
      </c>
      <c r="V3523" t="s">
        <v>153</v>
      </c>
      <c r="W3523"/>
      <c r="X3523" t="s">
        <v>88</v>
      </c>
      <c r="Y3523"/>
      <c r="Z3523"/>
      <c r="AA3523" t="s">
        <v>2163</v>
      </c>
      <c r="AB3523" t="s">
        <v>2</v>
      </c>
      <c r="AC3523" t="s">
        <v>138</v>
      </c>
      <c r="AD3523" t="s">
        <v>129</v>
      </c>
      <c r="AE3523" s="97"/>
    </row>
    <row r="3524" spans="1:31" ht="14.4" customHeight="1" x14ac:dyDescent="0.3">
      <c r="A3524" t="s">
        <v>6058</v>
      </c>
      <c r="B3524" t="s">
        <v>2457</v>
      </c>
      <c r="C3524"/>
      <c r="D3524"/>
      <c r="E3524"/>
      <c r="F3524"/>
      <c r="G3524" t="s">
        <v>5944</v>
      </c>
      <c r="H3524" t="s">
        <v>132</v>
      </c>
      <c r="I3524" t="s">
        <v>2</v>
      </c>
      <c r="J3524" t="s">
        <v>5298</v>
      </c>
      <c r="K3524" t="s">
        <v>52</v>
      </c>
      <c r="L3524" t="s">
        <v>2458</v>
      </c>
      <c r="M3524" t="s">
        <v>134</v>
      </c>
      <c r="N3524" t="s">
        <v>135</v>
      </c>
      <c r="O3524"/>
      <c r="P3524"/>
      <c r="Q3524" t="s">
        <v>168</v>
      </c>
      <c r="R3524"/>
      <c r="S3524"/>
      <c r="T3524" t="s">
        <v>2165</v>
      </c>
      <c r="U3524" t="s">
        <v>137</v>
      </c>
      <c r="V3524" t="s">
        <v>153</v>
      </c>
      <c r="W3524"/>
      <c r="X3524" t="s">
        <v>88</v>
      </c>
      <c r="Y3524"/>
      <c r="Z3524"/>
      <c r="AA3524" t="s">
        <v>2163</v>
      </c>
      <c r="AB3524" t="s">
        <v>2</v>
      </c>
      <c r="AC3524" t="s">
        <v>138</v>
      </c>
      <c r="AD3524" t="s">
        <v>129</v>
      </c>
      <c r="AE3524" s="97"/>
    </row>
    <row r="3525" spans="1:31" ht="14.4" customHeight="1" x14ac:dyDescent="0.3">
      <c r="A3525" t="s">
        <v>6059</v>
      </c>
      <c r="B3525" t="s">
        <v>2460</v>
      </c>
      <c r="C3525"/>
      <c r="D3525"/>
      <c r="E3525"/>
      <c r="F3525"/>
      <c r="G3525" t="s">
        <v>5944</v>
      </c>
      <c r="H3525" t="s">
        <v>132</v>
      </c>
      <c r="I3525" t="s">
        <v>2</v>
      </c>
      <c r="J3525" t="s">
        <v>5298</v>
      </c>
      <c r="K3525" t="s">
        <v>52</v>
      </c>
      <c r="L3525" t="s">
        <v>2461</v>
      </c>
      <c r="M3525" t="s">
        <v>134</v>
      </c>
      <c r="N3525" t="s">
        <v>135</v>
      </c>
      <c r="O3525"/>
      <c r="P3525"/>
      <c r="Q3525" t="s">
        <v>168</v>
      </c>
      <c r="R3525"/>
      <c r="S3525"/>
      <c r="T3525" t="s">
        <v>2165</v>
      </c>
      <c r="U3525" t="s">
        <v>137</v>
      </c>
      <c r="V3525" t="s">
        <v>156</v>
      </c>
      <c r="W3525"/>
      <c r="X3525" t="s">
        <v>97</v>
      </c>
      <c r="Y3525"/>
      <c r="Z3525"/>
      <c r="AA3525" t="s">
        <v>2163</v>
      </c>
      <c r="AB3525" t="s">
        <v>2</v>
      </c>
      <c r="AC3525" t="s">
        <v>138</v>
      </c>
      <c r="AD3525" t="s">
        <v>129</v>
      </c>
      <c r="AE3525" s="97"/>
    </row>
    <row r="3526" spans="1:31" ht="14.4" customHeight="1" x14ac:dyDescent="0.3">
      <c r="A3526" t="s">
        <v>6060</v>
      </c>
      <c r="B3526" t="s">
        <v>2463</v>
      </c>
      <c r="C3526"/>
      <c r="D3526"/>
      <c r="E3526"/>
      <c r="F3526"/>
      <c r="G3526" t="s">
        <v>5944</v>
      </c>
      <c r="H3526" t="s">
        <v>132</v>
      </c>
      <c r="I3526" t="s">
        <v>2</v>
      </c>
      <c r="J3526" t="s">
        <v>5298</v>
      </c>
      <c r="K3526" t="s">
        <v>52</v>
      </c>
      <c r="L3526" t="s">
        <v>2464</v>
      </c>
      <c r="M3526" t="s">
        <v>134</v>
      </c>
      <c r="N3526" t="s">
        <v>135</v>
      </c>
      <c r="O3526"/>
      <c r="P3526"/>
      <c r="Q3526" t="s">
        <v>168</v>
      </c>
      <c r="R3526"/>
      <c r="S3526"/>
      <c r="T3526" t="s">
        <v>2165</v>
      </c>
      <c r="U3526" t="s">
        <v>137</v>
      </c>
      <c r="V3526" t="s">
        <v>156</v>
      </c>
      <c r="W3526"/>
      <c r="X3526" t="s">
        <v>97</v>
      </c>
      <c r="Y3526"/>
      <c r="Z3526"/>
      <c r="AA3526" t="s">
        <v>2163</v>
      </c>
      <c r="AB3526" t="s">
        <v>2</v>
      </c>
      <c r="AC3526" t="s">
        <v>138</v>
      </c>
      <c r="AD3526" t="s">
        <v>129</v>
      </c>
      <c r="AE3526" s="97"/>
    </row>
    <row r="3527" spans="1:31" ht="14.4" customHeight="1" x14ac:dyDescent="0.3">
      <c r="A3527" t="s">
        <v>6061</v>
      </c>
      <c r="B3527" t="s">
        <v>2466</v>
      </c>
      <c r="C3527"/>
      <c r="D3527"/>
      <c r="E3527"/>
      <c r="F3527"/>
      <c r="G3527" t="s">
        <v>5944</v>
      </c>
      <c r="H3527" t="s">
        <v>132</v>
      </c>
      <c r="I3527" t="s">
        <v>2</v>
      </c>
      <c r="J3527" t="s">
        <v>5298</v>
      </c>
      <c r="K3527" t="s">
        <v>52</v>
      </c>
      <c r="L3527" t="s">
        <v>2467</v>
      </c>
      <c r="M3527" t="s">
        <v>134</v>
      </c>
      <c r="N3527" t="s">
        <v>135</v>
      </c>
      <c r="O3527"/>
      <c r="P3527"/>
      <c r="Q3527" t="s">
        <v>168</v>
      </c>
      <c r="R3527"/>
      <c r="S3527"/>
      <c r="T3527" t="s">
        <v>2165</v>
      </c>
      <c r="U3527" t="s">
        <v>137</v>
      </c>
      <c r="V3527" t="s">
        <v>156</v>
      </c>
      <c r="W3527"/>
      <c r="X3527" t="s">
        <v>97</v>
      </c>
      <c r="Y3527"/>
      <c r="Z3527"/>
      <c r="AA3527" t="s">
        <v>2163</v>
      </c>
      <c r="AB3527" t="s">
        <v>2</v>
      </c>
      <c r="AC3527" t="s">
        <v>138</v>
      </c>
      <c r="AD3527" t="s">
        <v>129</v>
      </c>
      <c r="AE3527" s="97"/>
    </row>
    <row r="3528" spans="1:31" ht="14.4" customHeight="1" x14ac:dyDescent="0.3">
      <c r="A3528" t="s">
        <v>6062</v>
      </c>
      <c r="B3528" t="s">
        <v>2469</v>
      </c>
      <c r="C3528"/>
      <c r="D3528"/>
      <c r="E3528"/>
      <c r="F3528"/>
      <c r="G3528" t="s">
        <v>5944</v>
      </c>
      <c r="H3528" t="s">
        <v>132</v>
      </c>
      <c r="I3528" t="s">
        <v>2</v>
      </c>
      <c r="J3528" t="s">
        <v>5298</v>
      </c>
      <c r="K3528" t="s">
        <v>52</v>
      </c>
      <c r="L3528" t="s">
        <v>2470</v>
      </c>
      <c r="M3528" t="s">
        <v>134</v>
      </c>
      <c r="N3528" t="s">
        <v>135</v>
      </c>
      <c r="O3528"/>
      <c r="P3528"/>
      <c r="Q3528" t="s">
        <v>168</v>
      </c>
      <c r="R3528"/>
      <c r="S3528"/>
      <c r="T3528" t="s">
        <v>2165</v>
      </c>
      <c r="U3528" t="s">
        <v>137</v>
      </c>
      <c r="V3528" t="s">
        <v>156</v>
      </c>
      <c r="W3528"/>
      <c r="X3528" t="s">
        <v>97</v>
      </c>
      <c r="Y3528"/>
      <c r="Z3528"/>
      <c r="AA3528" t="s">
        <v>2163</v>
      </c>
      <c r="AB3528" t="s">
        <v>2</v>
      </c>
      <c r="AC3528" t="s">
        <v>138</v>
      </c>
      <c r="AD3528" t="s">
        <v>129</v>
      </c>
      <c r="AE3528" s="97"/>
    </row>
    <row r="3529" spans="1:31" ht="14.4" customHeight="1" x14ac:dyDescent="0.3">
      <c r="A3529" t="s">
        <v>6063</v>
      </c>
      <c r="B3529" t="s">
        <v>2472</v>
      </c>
      <c r="C3529"/>
      <c r="D3529"/>
      <c r="E3529"/>
      <c r="F3529"/>
      <c r="G3529" t="s">
        <v>5944</v>
      </c>
      <c r="H3529" t="s">
        <v>132</v>
      </c>
      <c r="I3529" t="s">
        <v>2</v>
      </c>
      <c r="J3529" t="s">
        <v>5298</v>
      </c>
      <c r="K3529" t="s">
        <v>52</v>
      </c>
      <c r="L3529" t="s">
        <v>2473</v>
      </c>
      <c r="M3529" t="s">
        <v>134</v>
      </c>
      <c r="N3529" t="s">
        <v>135</v>
      </c>
      <c r="O3529"/>
      <c r="P3529"/>
      <c r="Q3529" t="s">
        <v>168</v>
      </c>
      <c r="R3529"/>
      <c r="S3529"/>
      <c r="T3529" t="s">
        <v>2165</v>
      </c>
      <c r="U3529" t="s">
        <v>137</v>
      </c>
      <c r="V3529" t="s">
        <v>159</v>
      </c>
      <c r="W3529"/>
      <c r="X3529" t="s">
        <v>106</v>
      </c>
      <c r="Y3529"/>
      <c r="Z3529"/>
      <c r="AA3529" t="s">
        <v>2163</v>
      </c>
      <c r="AB3529" t="s">
        <v>2</v>
      </c>
      <c r="AC3529" t="s">
        <v>138</v>
      </c>
      <c r="AD3529" t="s">
        <v>129</v>
      </c>
      <c r="AE3529" s="97"/>
    </row>
    <row r="3530" spans="1:31" ht="14.4" customHeight="1" x14ac:dyDescent="0.3">
      <c r="A3530" t="s">
        <v>6064</v>
      </c>
      <c r="B3530" t="s">
        <v>2475</v>
      </c>
      <c r="C3530"/>
      <c r="D3530"/>
      <c r="E3530"/>
      <c r="F3530"/>
      <c r="G3530" t="s">
        <v>5944</v>
      </c>
      <c r="H3530" t="s">
        <v>132</v>
      </c>
      <c r="I3530" t="s">
        <v>2</v>
      </c>
      <c r="J3530" t="s">
        <v>5298</v>
      </c>
      <c r="K3530" t="s">
        <v>52</v>
      </c>
      <c r="L3530" t="s">
        <v>2476</v>
      </c>
      <c r="M3530" t="s">
        <v>134</v>
      </c>
      <c r="N3530" t="s">
        <v>135</v>
      </c>
      <c r="O3530"/>
      <c r="P3530"/>
      <c r="Q3530" t="s">
        <v>168</v>
      </c>
      <c r="R3530"/>
      <c r="S3530"/>
      <c r="T3530" t="s">
        <v>2165</v>
      </c>
      <c r="U3530" t="s">
        <v>137</v>
      </c>
      <c r="V3530" t="s">
        <v>159</v>
      </c>
      <c r="W3530"/>
      <c r="X3530" t="s">
        <v>106</v>
      </c>
      <c r="Y3530"/>
      <c r="Z3530"/>
      <c r="AA3530" t="s">
        <v>2163</v>
      </c>
      <c r="AB3530" t="s">
        <v>2</v>
      </c>
      <c r="AC3530" t="s">
        <v>138</v>
      </c>
      <c r="AD3530" t="s">
        <v>129</v>
      </c>
      <c r="AE3530" s="97"/>
    </row>
    <row r="3531" spans="1:31" ht="14.4" customHeight="1" x14ac:dyDescent="0.3">
      <c r="A3531" t="s">
        <v>6065</v>
      </c>
      <c r="B3531" t="s">
        <v>2478</v>
      </c>
      <c r="C3531"/>
      <c r="D3531"/>
      <c r="E3531"/>
      <c r="F3531"/>
      <c r="G3531" t="s">
        <v>5944</v>
      </c>
      <c r="H3531" t="s">
        <v>132</v>
      </c>
      <c r="I3531" t="s">
        <v>2</v>
      </c>
      <c r="J3531" t="s">
        <v>5298</v>
      </c>
      <c r="K3531" t="s">
        <v>52</v>
      </c>
      <c r="L3531" t="s">
        <v>2479</v>
      </c>
      <c r="M3531" t="s">
        <v>134</v>
      </c>
      <c r="N3531" t="s">
        <v>135</v>
      </c>
      <c r="O3531"/>
      <c r="P3531"/>
      <c r="Q3531" t="s">
        <v>168</v>
      </c>
      <c r="R3531"/>
      <c r="S3531"/>
      <c r="T3531" t="s">
        <v>2165</v>
      </c>
      <c r="U3531" t="s">
        <v>137</v>
      </c>
      <c r="V3531" t="s">
        <v>159</v>
      </c>
      <c r="W3531"/>
      <c r="X3531" t="s">
        <v>106</v>
      </c>
      <c r="Y3531"/>
      <c r="Z3531"/>
      <c r="AA3531" t="s">
        <v>2163</v>
      </c>
      <c r="AB3531" t="s">
        <v>2</v>
      </c>
      <c r="AC3531" t="s">
        <v>138</v>
      </c>
      <c r="AD3531" t="s">
        <v>129</v>
      </c>
      <c r="AE3531" s="97"/>
    </row>
    <row r="3532" spans="1:31" ht="14.4" customHeight="1" x14ac:dyDescent="0.3">
      <c r="A3532" t="s">
        <v>6066</v>
      </c>
      <c r="B3532" t="s">
        <v>2481</v>
      </c>
      <c r="C3532"/>
      <c r="D3532"/>
      <c r="E3532"/>
      <c r="F3532"/>
      <c r="G3532" t="s">
        <v>5944</v>
      </c>
      <c r="H3532" t="s">
        <v>132</v>
      </c>
      <c r="I3532" t="s">
        <v>2</v>
      </c>
      <c r="J3532" t="s">
        <v>5298</v>
      </c>
      <c r="K3532" t="s">
        <v>52</v>
      </c>
      <c r="L3532" t="s">
        <v>2482</v>
      </c>
      <c r="M3532" t="s">
        <v>134</v>
      </c>
      <c r="N3532" t="s">
        <v>135</v>
      </c>
      <c r="O3532"/>
      <c r="P3532"/>
      <c r="Q3532" t="s">
        <v>168</v>
      </c>
      <c r="R3532"/>
      <c r="S3532"/>
      <c r="T3532" t="s">
        <v>2165</v>
      </c>
      <c r="U3532" t="s">
        <v>137</v>
      </c>
      <c r="V3532" t="s">
        <v>159</v>
      </c>
      <c r="W3532"/>
      <c r="X3532" t="s">
        <v>106</v>
      </c>
      <c r="Y3532"/>
      <c r="Z3532"/>
      <c r="AA3532" t="s">
        <v>2163</v>
      </c>
      <c r="AB3532" t="s">
        <v>2</v>
      </c>
      <c r="AC3532" t="s">
        <v>138</v>
      </c>
      <c r="AD3532" t="s">
        <v>129</v>
      </c>
      <c r="AE3532" s="97"/>
    </row>
    <row r="3533" spans="1:31" ht="14.4" customHeight="1" x14ac:dyDescent="0.3">
      <c r="A3533" t="s">
        <v>6067</v>
      </c>
      <c r="B3533" t="s">
        <v>2484</v>
      </c>
      <c r="C3533"/>
      <c r="D3533"/>
      <c r="E3533"/>
      <c r="F3533"/>
      <c r="G3533" t="s">
        <v>5944</v>
      </c>
      <c r="H3533" t="s">
        <v>132</v>
      </c>
      <c r="I3533" t="s">
        <v>2</v>
      </c>
      <c r="J3533" t="s">
        <v>5298</v>
      </c>
      <c r="K3533" t="s">
        <v>52</v>
      </c>
      <c r="L3533" t="s">
        <v>2485</v>
      </c>
      <c r="M3533" t="s">
        <v>134</v>
      </c>
      <c r="N3533" t="s">
        <v>135</v>
      </c>
      <c r="O3533"/>
      <c r="P3533"/>
      <c r="Q3533" t="s">
        <v>168</v>
      </c>
      <c r="R3533"/>
      <c r="S3533"/>
      <c r="T3533" t="s">
        <v>2165</v>
      </c>
      <c r="U3533" t="s">
        <v>137</v>
      </c>
      <c r="V3533" t="s">
        <v>162</v>
      </c>
      <c r="W3533"/>
      <c r="X3533" t="s">
        <v>113</v>
      </c>
      <c r="Y3533"/>
      <c r="Z3533"/>
      <c r="AA3533" t="s">
        <v>2163</v>
      </c>
      <c r="AB3533" t="s">
        <v>2</v>
      </c>
      <c r="AC3533" t="s">
        <v>138</v>
      </c>
      <c r="AD3533" t="s">
        <v>129</v>
      </c>
      <c r="AE3533" s="97"/>
    </row>
    <row r="3534" spans="1:31" ht="14.4" customHeight="1" x14ac:dyDescent="0.3">
      <c r="A3534" t="s">
        <v>6068</v>
      </c>
      <c r="B3534" t="s">
        <v>2487</v>
      </c>
      <c r="C3534"/>
      <c r="D3534"/>
      <c r="E3534"/>
      <c r="F3534"/>
      <c r="G3534" t="s">
        <v>5944</v>
      </c>
      <c r="H3534" t="s">
        <v>132</v>
      </c>
      <c r="I3534" t="s">
        <v>2</v>
      </c>
      <c r="J3534" t="s">
        <v>5298</v>
      </c>
      <c r="K3534" t="s">
        <v>52</v>
      </c>
      <c r="L3534" t="s">
        <v>2488</v>
      </c>
      <c r="M3534" t="s">
        <v>134</v>
      </c>
      <c r="N3534" t="s">
        <v>135</v>
      </c>
      <c r="O3534"/>
      <c r="P3534"/>
      <c r="Q3534" t="s">
        <v>168</v>
      </c>
      <c r="R3534"/>
      <c r="S3534"/>
      <c r="T3534" t="s">
        <v>2165</v>
      </c>
      <c r="U3534" t="s">
        <v>137</v>
      </c>
      <c r="V3534" t="s">
        <v>162</v>
      </c>
      <c r="W3534"/>
      <c r="X3534" t="s">
        <v>113</v>
      </c>
      <c r="Y3534"/>
      <c r="Z3534"/>
      <c r="AA3534" t="s">
        <v>2163</v>
      </c>
      <c r="AB3534" t="s">
        <v>2</v>
      </c>
      <c r="AC3534" t="s">
        <v>138</v>
      </c>
      <c r="AD3534" t="s">
        <v>129</v>
      </c>
      <c r="AE3534" s="97"/>
    </row>
    <row r="3535" spans="1:31" ht="14.4" customHeight="1" x14ac:dyDescent="0.3">
      <c r="A3535" t="s">
        <v>6069</v>
      </c>
      <c r="B3535" t="s">
        <v>2490</v>
      </c>
      <c r="C3535"/>
      <c r="D3535"/>
      <c r="E3535"/>
      <c r="F3535"/>
      <c r="G3535" t="s">
        <v>5944</v>
      </c>
      <c r="H3535" t="s">
        <v>132</v>
      </c>
      <c r="I3535" t="s">
        <v>2</v>
      </c>
      <c r="J3535" t="s">
        <v>5298</v>
      </c>
      <c r="K3535" t="s">
        <v>52</v>
      </c>
      <c r="L3535" t="s">
        <v>2491</v>
      </c>
      <c r="M3535" t="s">
        <v>134</v>
      </c>
      <c r="N3535" t="s">
        <v>135</v>
      </c>
      <c r="O3535"/>
      <c r="P3535"/>
      <c r="Q3535" t="s">
        <v>168</v>
      </c>
      <c r="R3535"/>
      <c r="S3535"/>
      <c r="T3535" t="s">
        <v>2165</v>
      </c>
      <c r="U3535" t="s">
        <v>137</v>
      </c>
      <c r="V3535" t="s">
        <v>162</v>
      </c>
      <c r="W3535"/>
      <c r="X3535" t="s">
        <v>113</v>
      </c>
      <c r="Y3535"/>
      <c r="Z3535"/>
      <c r="AA3535" t="s">
        <v>2163</v>
      </c>
      <c r="AB3535" t="s">
        <v>2</v>
      </c>
      <c r="AC3535" t="s">
        <v>138</v>
      </c>
      <c r="AD3535" t="s">
        <v>129</v>
      </c>
      <c r="AE3535" s="97"/>
    </row>
    <row r="3536" spans="1:31" ht="14.4" customHeight="1" x14ac:dyDescent="0.3">
      <c r="A3536" t="s">
        <v>6070</v>
      </c>
      <c r="B3536" t="s">
        <v>2493</v>
      </c>
      <c r="C3536"/>
      <c r="D3536"/>
      <c r="E3536"/>
      <c r="F3536"/>
      <c r="G3536" t="s">
        <v>5944</v>
      </c>
      <c r="H3536" t="s">
        <v>132</v>
      </c>
      <c r="I3536" t="s">
        <v>2</v>
      </c>
      <c r="J3536" t="s">
        <v>5298</v>
      </c>
      <c r="K3536" t="s">
        <v>52</v>
      </c>
      <c r="L3536" t="s">
        <v>2494</v>
      </c>
      <c r="M3536" t="s">
        <v>134</v>
      </c>
      <c r="N3536" t="s">
        <v>135</v>
      </c>
      <c r="O3536"/>
      <c r="P3536"/>
      <c r="Q3536" t="s">
        <v>168</v>
      </c>
      <c r="R3536"/>
      <c r="S3536"/>
      <c r="T3536" t="s">
        <v>2165</v>
      </c>
      <c r="U3536" t="s">
        <v>137</v>
      </c>
      <c r="V3536" t="s">
        <v>162</v>
      </c>
      <c r="W3536"/>
      <c r="X3536" t="s">
        <v>113</v>
      </c>
      <c r="Y3536"/>
      <c r="Z3536"/>
      <c r="AA3536" t="s">
        <v>2163</v>
      </c>
      <c r="AB3536" t="s">
        <v>2</v>
      </c>
      <c r="AC3536" t="s">
        <v>138</v>
      </c>
      <c r="AD3536" t="s">
        <v>129</v>
      </c>
      <c r="AE3536" s="97"/>
    </row>
    <row r="3537" spans="1:31" ht="14.4" customHeight="1" x14ac:dyDescent="0.3">
      <c r="A3537" t="s">
        <v>6071</v>
      </c>
      <c r="B3537" t="s">
        <v>2496</v>
      </c>
      <c r="C3537"/>
      <c r="D3537"/>
      <c r="E3537"/>
      <c r="F3537"/>
      <c r="G3537" t="s">
        <v>5944</v>
      </c>
      <c r="H3537" t="s">
        <v>132</v>
      </c>
      <c r="I3537" t="s">
        <v>2</v>
      </c>
      <c r="J3537" t="s">
        <v>5298</v>
      </c>
      <c r="K3537" t="s">
        <v>52</v>
      </c>
      <c r="L3537" t="s">
        <v>2497</v>
      </c>
      <c r="M3537" t="s">
        <v>134</v>
      </c>
      <c r="N3537" t="s">
        <v>135</v>
      </c>
      <c r="O3537"/>
      <c r="P3537"/>
      <c r="Q3537" t="s">
        <v>168</v>
      </c>
      <c r="R3537"/>
      <c r="S3537"/>
      <c r="T3537" t="s">
        <v>2165</v>
      </c>
      <c r="U3537" t="s">
        <v>137</v>
      </c>
      <c r="V3537" t="s">
        <v>165</v>
      </c>
      <c r="W3537"/>
      <c r="X3537" t="s">
        <v>122</v>
      </c>
      <c r="Y3537"/>
      <c r="Z3537"/>
      <c r="AA3537" t="s">
        <v>2163</v>
      </c>
      <c r="AB3537" t="s">
        <v>2</v>
      </c>
      <c r="AC3537" t="s">
        <v>138</v>
      </c>
      <c r="AD3537" t="s">
        <v>130</v>
      </c>
      <c r="AE3537" s="97"/>
    </row>
    <row r="3538" spans="1:31" ht="14.4" customHeight="1" x14ac:dyDescent="0.3">
      <c r="A3538" t="s">
        <v>6072</v>
      </c>
      <c r="B3538" t="s">
        <v>2499</v>
      </c>
      <c r="C3538"/>
      <c r="D3538"/>
      <c r="E3538"/>
      <c r="F3538"/>
      <c r="G3538" t="s">
        <v>5944</v>
      </c>
      <c r="H3538" t="s">
        <v>132</v>
      </c>
      <c r="I3538" t="s">
        <v>2</v>
      </c>
      <c r="J3538" t="s">
        <v>5298</v>
      </c>
      <c r="K3538" t="s">
        <v>52</v>
      </c>
      <c r="L3538" t="s">
        <v>2500</v>
      </c>
      <c r="M3538" t="s">
        <v>134</v>
      </c>
      <c r="N3538" t="s">
        <v>135</v>
      </c>
      <c r="O3538"/>
      <c r="P3538"/>
      <c r="Q3538" t="s">
        <v>168</v>
      </c>
      <c r="R3538"/>
      <c r="S3538"/>
      <c r="T3538" t="s">
        <v>2165</v>
      </c>
      <c r="U3538" t="s">
        <v>137</v>
      </c>
      <c r="V3538" t="s">
        <v>165</v>
      </c>
      <c r="W3538"/>
      <c r="X3538" t="s">
        <v>122</v>
      </c>
      <c r="Y3538"/>
      <c r="Z3538"/>
      <c r="AA3538" t="s">
        <v>2163</v>
      </c>
      <c r="AB3538" t="s">
        <v>2</v>
      </c>
      <c r="AC3538" t="s">
        <v>138</v>
      </c>
      <c r="AD3538" t="s">
        <v>130</v>
      </c>
      <c r="AE3538" s="97"/>
    </row>
    <row r="3539" spans="1:31" ht="14.4" customHeight="1" x14ac:dyDescent="0.3">
      <c r="A3539" t="s">
        <v>6073</v>
      </c>
      <c r="B3539" t="s">
        <v>2502</v>
      </c>
      <c r="C3539"/>
      <c r="D3539"/>
      <c r="E3539"/>
      <c r="F3539"/>
      <c r="G3539" t="s">
        <v>5944</v>
      </c>
      <c r="H3539" t="s">
        <v>132</v>
      </c>
      <c r="I3539" t="s">
        <v>2</v>
      </c>
      <c r="J3539" t="s">
        <v>5298</v>
      </c>
      <c r="K3539" t="s">
        <v>52</v>
      </c>
      <c r="L3539" t="s">
        <v>2503</v>
      </c>
      <c r="M3539" t="s">
        <v>134</v>
      </c>
      <c r="N3539" t="s">
        <v>135</v>
      </c>
      <c r="O3539"/>
      <c r="P3539"/>
      <c r="Q3539" t="s">
        <v>168</v>
      </c>
      <c r="R3539"/>
      <c r="S3539"/>
      <c r="T3539" t="s">
        <v>2165</v>
      </c>
      <c r="U3539" t="s">
        <v>137</v>
      </c>
      <c r="V3539" t="s">
        <v>165</v>
      </c>
      <c r="W3539"/>
      <c r="X3539" t="s">
        <v>122</v>
      </c>
      <c r="Y3539"/>
      <c r="Z3539"/>
      <c r="AA3539" t="s">
        <v>2163</v>
      </c>
      <c r="AB3539" t="s">
        <v>2</v>
      </c>
      <c r="AC3539" t="s">
        <v>138</v>
      </c>
      <c r="AD3539" t="s">
        <v>130</v>
      </c>
      <c r="AE3539" s="97"/>
    </row>
    <row r="3540" spans="1:31" ht="14.4" customHeight="1" x14ac:dyDescent="0.3">
      <c r="A3540" t="s">
        <v>6074</v>
      </c>
      <c r="B3540" t="s">
        <v>2505</v>
      </c>
      <c r="C3540"/>
      <c r="D3540"/>
      <c r="E3540"/>
      <c r="F3540"/>
      <c r="G3540" t="s">
        <v>5944</v>
      </c>
      <c r="H3540" t="s">
        <v>132</v>
      </c>
      <c r="I3540" t="s">
        <v>2</v>
      </c>
      <c r="J3540" t="s">
        <v>5298</v>
      </c>
      <c r="K3540" t="s">
        <v>52</v>
      </c>
      <c r="L3540" t="s">
        <v>2506</v>
      </c>
      <c r="M3540" t="s">
        <v>134</v>
      </c>
      <c r="N3540" t="s">
        <v>135</v>
      </c>
      <c r="O3540"/>
      <c r="P3540"/>
      <c r="Q3540" t="s">
        <v>168</v>
      </c>
      <c r="R3540"/>
      <c r="S3540"/>
      <c r="T3540" t="s">
        <v>2165</v>
      </c>
      <c r="U3540" t="s">
        <v>137</v>
      </c>
      <c r="V3540" t="s">
        <v>165</v>
      </c>
      <c r="W3540"/>
      <c r="X3540" t="s">
        <v>122</v>
      </c>
      <c r="Y3540"/>
      <c r="Z3540"/>
      <c r="AA3540" t="s">
        <v>2163</v>
      </c>
      <c r="AB3540" t="s">
        <v>2</v>
      </c>
      <c r="AC3540" t="s">
        <v>138</v>
      </c>
      <c r="AD3540" t="s">
        <v>130</v>
      </c>
      <c r="AE3540" s="97"/>
    </row>
    <row r="3541" spans="1:31" ht="14.4" customHeight="1" x14ac:dyDescent="0.3">
      <c r="A3541" t="s">
        <v>6075</v>
      </c>
      <c r="B3541" t="s">
        <v>2508</v>
      </c>
      <c r="C3541"/>
      <c r="D3541"/>
      <c r="E3541"/>
      <c r="F3541"/>
      <c r="G3541" t="s">
        <v>5944</v>
      </c>
      <c r="H3541" t="s">
        <v>132</v>
      </c>
      <c r="I3541" t="s">
        <v>2</v>
      </c>
      <c r="J3541" t="s">
        <v>5298</v>
      </c>
      <c r="K3541" t="s">
        <v>52</v>
      </c>
      <c r="L3541" t="s">
        <v>2509</v>
      </c>
      <c r="M3541" t="s">
        <v>134</v>
      </c>
      <c r="N3541" t="s">
        <v>135</v>
      </c>
      <c r="O3541"/>
      <c r="P3541"/>
      <c r="Q3541" t="s">
        <v>168</v>
      </c>
      <c r="R3541"/>
      <c r="S3541"/>
      <c r="T3541" t="s">
        <v>2165</v>
      </c>
      <c r="U3541" t="s">
        <v>137</v>
      </c>
      <c r="V3541" t="s">
        <v>147</v>
      </c>
      <c r="W3541"/>
      <c r="X3541" t="s">
        <v>70</v>
      </c>
      <c r="Y3541"/>
      <c r="Z3541"/>
      <c r="AA3541" t="s">
        <v>2163</v>
      </c>
      <c r="AB3541" t="s">
        <v>2</v>
      </c>
      <c r="AC3541" t="s">
        <v>138</v>
      </c>
      <c r="AD3541" t="s">
        <v>128</v>
      </c>
      <c r="AE3541" s="97"/>
    </row>
    <row r="3542" spans="1:31" ht="14.4" customHeight="1" x14ac:dyDescent="0.3">
      <c r="A3542" t="s">
        <v>6076</v>
      </c>
      <c r="B3542" t="s">
        <v>2511</v>
      </c>
      <c r="C3542"/>
      <c r="D3542"/>
      <c r="E3542"/>
      <c r="F3542"/>
      <c r="G3542" t="s">
        <v>5944</v>
      </c>
      <c r="H3542" t="s">
        <v>132</v>
      </c>
      <c r="I3542" t="s">
        <v>2</v>
      </c>
      <c r="J3542" t="s">
        <v>5298</v>
      </c>
      <c r="K3542" t="s">
        <v>52</v>
      </c>
      <c r="L3542" t="s">
        <v>2509</v>
      </c>
      <c r="M3542" t="s">
        <v>134</v>
      </c>
      <c r="N3542" t="s">
        <v>135</v>
      </c>
      <c r="O3542"/>
      <c r="P3542"/>
      <c r="Q3542" t="s">
        <v>168</v>
      </c>
      <c r="R3542"/>
      <c r="S3542"/>
      <c r="T3542" t="s">
        <v>2165</v>
      </c>
      <c r="U3542" t="s">
        <v>137</v>
      </c>
      <c r="V3542" t="s">
        <v>147</v>
      </c>
      <c r="W3542"/>
      <c r="X3542" t="s">
        <v>70</v>
      </c>
      <c r="Y3542"/>
      <c r="Z3542"/>
      <c r="AA3542" t="s">
        <v>2163</v>
      </c>
      <c r="AB3542" t="s">
        <v>2</v>
      </c>
      <c r="AC3542" t="s">
        <v>138</v>
      </c>
      <c r="AD3542" t="s">
        <v>128</v>
      </c>
      <c r="AE3542" s="97"/>
    </row>
    <row r="3543" spans="1:31" ht="14.4" customHeight="1" x14ac:dyDescent="0.3">
      <c r="A3543" t="s">
        <v>6077</v>
      </c>
      <c r="B3543" t="s">
        <v>2513</v>
      </c>
      <c r="C3543"/>
      <c r="D3543"/>
      <c r="E3543"/>
      <c r="F3543"/>
      <c r="G3543" t="s">
        <v>5944</v>
      </c>
      <c r="H3543" t="s">
        <v>132</v>
      </c>
      <c r="I3543" t="s">
        <v>2</v>
      </c>
      <c r="J3543" t="s">
        <v>5298</v>
      </c>
      <c r="K3543" t="s">
        <v>52</v>
      </c>
      <c r="L3543" t="s">
        <v>2509</v>
      </c>
      <c r="M3543" t="s">
        <v>134</v>
      </c>
      <c r="N3543" t="s">
        <v>135</v>
      </c>
      <c r="O3543"/>
      <c r="P3543"/>
      <c r="Q3543" t="s">
        <v>168</v>
      </c>
      <c r="R3543"/>
      <c r="S3543"/>
      <c r="T3543" t="s">
        <v>2165</v>
      </c>
      <c r="U3543" t="s">
        <v>137</v>
      </c>
      <c r="V3543" t="s">
        <v>147</v>
      </c>
      <c r="W3543" s="9">
        <v>46204.549928819448</v>
      </c>
      <c r="X3543" t="s">
        <v>70</v>
      </c>
      <c r="Y3543"/>
      <c r="Z3543"/>
      <c r="AA3543" t="s">
        <v>2163</v>
      </c>
      <c r="AB3543" t="s">
        <v>2</v>
      </c>
      <c r="AC3543" t="s">
        <v>24</v>
      </c>
      <c r="AD3543" t="s">
        <v>128</v>
      </c>
      <c r="AE3543" s="97"/>
    </row>
    <row r="3544" spans="1:31" ht="14.4" customHeight="1" x14ac:dyDescent="0.3">
      <c r="A3544" t="s">
        <v>6078</v>
      </c>
      <c r="B3544" t="s">
        <v>2515</v>
      </c>
      <c r="C3544"/>
      <c r="D3544"/>
      <c r="E3544"/>
      <c r="F3544"/>
      <c r="G3544" t="s">
        <v>5944</v>
      </c>
      <c r="H3544" t="s">
        <v>132</v>
      </c>
      <c r="I3544" t="s">
        <v>2</v>
      </c>
      <c r="J3544" t="s">
        <v>5298</v>
      </c>
      <c r="K3544" t="s">
        <v>52</v>
      </c>
      <c r="L3544" t="s">
        <v>2516</v>
      </c>
      <c r="M3544" t="s">
        <v>134</v>
      </c>
      <c r="N3544" t="s">
        <v>135</v>
      </c>
      <c r="O3544"/>
      <c r="P3544"/>
      <c r="Q3544" t="s">
        <v>168</v>
      </c>
      <c r="R3544"/>
      <c r="S3544"/>
      <c r="T3544" t="s">
        <v>2165</v>
      </c>
      <c r="U3544" t="s">
        <v>137</v>
      </c>
      <c r="V3544" t="s">
        <v>147</v>
      </c>
      <c r="W3544"/>
      <c r="X3544" t="s">
        <v>70</v>
      </c>
      <c r="Y3544"/>
      <c r="Z3544"/>
      <c r="AA3544" t="s">
        <v>2163</v>
      </c>
      <c r="AB3544" t="s">
        <v>2</v>
      </c>
      <c r="AC3544" t="s">
        <v>138</v>
      </c>
      <c r="AD3544" t="s">
        <v>128</v>
      </c>
      <c r="AE3544" s="97"/>
    </row>
    <row r="3545" spans="1:31" ht="14.4" customHeight="1" x14ac:dyDescent="0.3">
      <c r="A3545" t="s">
        <v>6079</v>
      </c>
      <c r="B3545" t="s">
        <v>2518</v>
      </c>
      <c r="C3545"/>
      <c r="D3545"/>
      <c r="E3545"/>
      <c r="F3545"/>
      <c r="G3545" t="s">
        <v>5944</v>
      </c>
      <c r="H3545" t="s">
        <v>132</v>
      </c>
      <c r="I3545" t="s">
        <v>2</v>
      </c>
      <c r="J3545" t="s">
        <v>5298</v>
      </c>
      <c r="K3545" t="s">
        <v>52</v>
      </c>
      <c r="L3545" t="s">
        <v>2519</v>
      </c>
      <c r="M3545" t="s">
        <v>134</v>
      </c>
      <c r="N3545" t="s">
        <v>135</v>
      </c>
      <c r="O3545"/>
      <c r="P3545"/>
      <c r="Q3545" t="s">
        <v>168</v>
      </c>
      <c r="R3545"/>
      <c r="S3545"/>
      <c r="T3545" t="s">
        <v>2165</v>
      </c>
      <c r="U3545" t="s">
        <v>137</v>
      </c>
      <c r="V3545" t="s">
        <v>150</v>
      </c>
      <c r="W3545"/>
      <c r="X3545" t="s">
        <v>76</v>
      </c>
      <c r="Y3545"/>
      <c r="Z3545"/>
      <c r="AA3545" t="s">
        <v>2163</v>
      </c>
      <c r="AB3545" t="s">
        <v>2</v>
      </c>
      <c r="AC3545" t="s">
        <v>138</v>
      </c>
      <c r="AD3545" t="s">
        <v>128</v>
      </c>
      <c r="AE3545" s="97"/>
    </row>
    <row r="3546" spans="1:31" ht="14.4" customHeight="1" x14ac:dyDescent="0.3">
      <c r="A3546" t="s">
        <v>6080</v>
      </c>
      <c r="B3546" t="s">
        <v>2521</v>
      </c>
      <c r="C3546"/>
      <c r="D3546"/>
      <c r="E3546"/>
      <c r="F3546"/>
      <c r="G3546" t="s">
        <v>5944</v>
      </c>
      <c r="H3546" t="s">
        <v>132</v>
      </c>
      <c r="I3546" t="s">
        <v>2</v>
      </c>
      <c r="J3546" t="s">
        <v>5298</v>
      </c>
      <c r="K3546" t="s">
        <v>52</v>
      </c>
      <c r="L3546" t="s">
        <v>2519</v>
      </c>
      <c r="M3546" t="s">
        <v>134</v>
      </c>
      <c r="N3546" t="s">
        <v>135</v>
      </c>
      <c r="O3546"/>
      <c r="P3546"/>
      <c r="Q3546" t="s">
        <v>168</v>
      </c>
      <c r="R3546"/>
      <c r="S3546"/>
      <c r="T3546" t="s">
        <v>2165</v>
      </c>
      <c r="U3546" t="s">
        <v>137</v>
      </c>
      <c r="V3546" t="s">
        <v>150</v>
      </c>
      <c r="W3546"/>
      <c r="X3546" t="s">
        <v>76</v>
      </c>
      <c r="Y3546"/>
      <c r="Z3546"/>
      <c r="AA3546" t="s">
        <v>2163</v>
      </c>
      <c r="AB3546" t="s">
        <v>2</v>
      </c>
      <c r="AC3546" t="s">
        <v>138</v>
      </c>
      <c r="AD3546" t="s">
        <v>128</v>
      </c>
      <c r="AE3546" s="97"/>
    </row>
    <row r="3547" spans="1:31" ht="14.4" customHeight="1" x14ac:dyDescent="0.3">
      <c r="A3547" t="s">
        <v>6081</v>
      </c>
      <c r="B3547" t="s">
        <v>2523</v>
      </c>
      <c r="C3547"/>
      <c r="D3547"/>
      <c r="E3547"/>
      <c r="F3547"/>
      <c r="G3547" t="s">
        <v>5944</v>
      </c>
      <c r="H3547" t="s">
        <v>132</v>
      </c>
      <c r="I3547" t="s">
        <v>2</v>
      </c>
      <c r="J3547" t="s">
        <v>5298</v>
      </c>
      <c r="K3547" t="s">
        <v>52</v>
      </c>
      <c r="L3547" t="s">
        <v>2519</v>
      </c>
      <c r="M3547" t="s">
        <v>134</v>
      </c>
      <c r="N3547" t="s">
        <v>135</v>
      </c>
      <c r="O3547"/>
      <c r="P3547"/>
      <c r="Q3547" t="s">
        <v>168</v>
      </c>
      <c r="R3547"/>
      <c r="S3547"/>
      <c r="T3547" t="s">
        <v>2165</v>
      </c>
      <c r="U3547" t="s">
        <v>137</v>
      </c>
      <c r="V3547" t="s">
        <v>150</v>
      </c>
      <c r="W3547" s="9">
        <v>46204.550786111111</v>
      </c>
      <c r="X3547" t="s">
        <v>76</v>
      </c>
      <c r="Y3547"/>
      <c r="Z3547"/>
      <c r="AA3547" t="s">
        <v>2163</v>
      </c>
      <c r="AB3547" t="s">
        <v>2</v>
      </c>
      <c r="AC3547" t="s">
        <v>24</v>
      </c>
      <c r="AD3547" t="s">
        <v>128</v>
      </c>
      <c r="AE3547" s="97"/>
    </row>
    <row r="3548" spans="1:31" ht="14.4" customHeight="1" x14ac:dyDescent="0.3">
      <c r="A3548" t="s">
        <v>6082</v>
      </c>
      <c r="B3548" t="s">
        <v>2525</v>
      </c>
      <c r="C3548"/>
      <c r="D3548"/>
      <c r="E3548"/>
      <c r="F3548"/>
      <c r="G3548" t="s">
        <v>5944</v>
      </c>
      <c r="H3548" t="s">
        <v>132</v>
      </c>
      <c r="I3548" t="s">
        <v>2</v>
      </c>
      <c r="J3548" t="s">
        <v>5298</v>
      </c>
      <c r="K3548" t="s">
        <v>52</v>
      </c>
      <c r="L3548" t="s">
        <v>2526</v>
      </c>
      <c r="M3548" t="s">
        <v>134</v>
      </c>
      <c r="N3548" t="s">
        <v>135</v>
      </c>
      <c r="O3548"/>
      <c r="P3548"/>
      <c r="Q3548" t="s">
        <v>168</v>
      </c>
      <c r="R3548"/>
      <c r="S3548"/>
      <c r="T3548" t="s">
        <v>2165</v>
      </c>
      <c r="U3548" t="s">
        <v>137</v>
      </c>
      <c r="V3548" t="s">
        <v>150</v>
      </c>
      <c r="W3548"/>
      <c r="X3548" t="s">
        <v>76</v>
      </c>
      <c r="Y3548"/>
      <c r="Z3548"/>
      <c r="AA3548" t="s">
        <v>2163</v>
      </c>
      <c r="AB3548" t="s">
        <v>2</v>
      </c>
      <c r="AC3548" t="s">
        <v>138</v>
      </c>
      <c r="AD3548" t="s">
        <v>128</v>
      </c>
      <c r="AE3548" s="97"/>
    </row>
    <row r="3549" spans="1:31" ht="14.4" customHeight="1" x14ac:dyDescent="0.3">
      <c r="A3549" t="s">
        <v>6083</v>
      </c>
      <c r="B3549" t="s">
        <v>2528</v>
      </c>
      <c r="C3549"/>
      <c r="D3549"/>
      <c r="E3549"/>
      <c r="F3549"/>
      <c r="G3549" t="s">
        <v>5944</v>
      </c>
      <c r="H3549" t="s">
        <v>132</v>
      </c>
      <c r="I3549" t="s">
        <v>2</v>
      </c>
      <c r="J3549" t="s">
        <v>5298</v>
      </c>
      <c r="K3549" t="s">
        <v>52</v>
      </c>
      <c r="L3549" t="s">
        <v>2529</v>
      </c>
      <c r="M3549" t="s">
        <v>134</v>
      </c>
      <c r="N3549" t="s">
        <v>135</v>
      </c>
      <c r="O3549"/>
      <c r="P3549"/>
      <c r="Q3549" t="s">
        <v>168</v>
      </c>
      <c r="R3549"/>
      <c r="S3549"/>
      <c r="T3549" t="s">
        <v>2165</v>
      </c>
      <c r="U3549" t="s">
        <v>137</v>
      </c>
      <c r="V3549" t="s">
        <v>153</v>
      </c>
      <c r="W3549"/>
      <c r="X3549" t="s">
        <v>88</v>
      </c>
      <c r="Y3549"/>
      <c r="Z3549"/>
      <c r="AA3549" t="s">
        <v>2163</v>
      </c>
      <c r="AB3549" t="s">
        <v>2</v>
      </c>
      <c r="AC3549" t="s">
        <v>138</v>
      </c>
      <c r="AD3549" t="s">
        <v>129</v>
      </c>
      <c r="AE3549" s="97"/>
    </row>
    <row r="3550" spans="1:31" ht="14.4" customHeight="1" x14ac:dyDescent="0.3">
      <c r="A3550" t="s">
        <v>6084</v>
      </c>
      <c r="B3550" t="s">
        <v>2531</v>
      </c>
      <c r="C3550"/>
      <c r="D3550"/>
      <c r="E3550"/>
      <c r="F3550"/>
      <c r="G3550" t="s">
        <v>5944</v>
      </c>
      <c r="H3550" t="s">
        <v>132</v>
      </c>
      <c r="I3550" t="s">
        <v>2</v>
      </c>
      <c r="J3550" t="s">
        <v>5298</v>
      </c>
      <c r="K3550" t="s">
        <v>52</v>
      </c>
      <c r="L3550" t="s">
        <v>2529</v>
      </c>
      <c r="M3550" t="s">
        <v>134</v>
      </c>
      <c r="N3550" t="s">
        <v>135</v>
      </c>
      <c r="O3550"/>
      <c r="P3550"/>
      <c r="Q3550" t="s">
        <v>168</v>
      </c>
      <c r="R3550"/>
      <c r="S3550"/>
      <c r="T3550" t="s">
        <v>2165</v>
      </c>
      <c r="U3550" t="s">
        <v>137</v>
      </c>
      <c r="V3550" t="s">
        <v>153</v>
      </c>
      <c r="W3550"/>
      <c r="X3550" t="s">
        <v>88</v>
      </c>
      <c r="Y3550"/>
      <c r="Z3550"/>
      <c r="AA3550" t="s">
        <v>2163</v>
      </c>
      <c r="AB3550" t="s">
        <v>2</v>
      </c>
      <c r="AC3550" t="s">
        <v>138</v>
      </c>
      <c r="AD3550" t="s">
        <v>129</v>
      </c>
      <c r="AE3550" s="97"/>
    </row>
    <row r="3551" spans="1:31" ht="14.4" customHeight="1" x14ac:dyDescent="0.3">
      <c r="A3551" t="s">
        <v>6085</v>
      </c>
      <c r="B3551" t="s">
        <v>2533</v>
      </c>
      <c r="C3551"/>
      <c r="D3551"/>
      <c r="E3551"/>
      <c r="F3551"/>
      <c r="G3551" t="s">
        <v>5944</v>
      </c>
      <c r="H3551" t="s">
        <v>132</v>
      </c>
      <c r="I3551" t="s">
        <v>2</v>
      </c>
      <c r="J3551" t="s">
        <v>5298</v>
      </c>
      <c r="K3551" t="s">
        <v>52</v>
      </c>
      <c r="L3551" t="s">
        <v>2529</v>
      </c>
      <c r="M3551" t="s">
        <v>134</v>
      </c>
      <c r="N3551" t="s">
        <v>135</v>
      </c>
      <c r="O3551"/>
      <c r="P3551"/>
      <c r="Q3551" t="s">
        <v>168</v>
      </c>
      <c r="R3551"/>
      <c r="S3551"/>
      <c r="T3551" t="s">
        <v>2165</v>
      </c>
      <c r="U3551" t="s">
        <v>137</v>
      </c>
      <c r="V3551" t="s">
        <v>153</v>
      </c>
      <c r="W3551" s="9">
        <v>46204.551267476854</v>
      </c>
      <c r="X3551" t="s">
        <v>88</v>
      </c>
      <c r="Y3551"/>
      <c r="Z3551"/>
      <c r="AA3551" t="s">
        <v>2163</v>
      </c>
      <c r="AB3551" t="s">
        <v>2</v>
      </c>
      <c r="AC3551" t="s">
        <v>24</v>
      </c>
      <c r="AD3551" t="s">
        <v>129</v>
      </c>
      <c r="AE3551" s="97"/>
    </row>
    <row r="3552" spans="1:31" ht="14.4" customHeight="1" x14ac:dyDescent="0.3">
      <c r="A3552" t="s">
        <v>6086</v>
      </c>
      <c r="B3552" t="s">
        <v>2535</v>
      </c>
      <c r="C3552"/>
      <c r="D3552"/>
      <c r="E3552"/>
      <c r="F3552"/>
      <c r="G3552" t="s">
        <v>5944</v>
      </c>
      <c r="H3552" t="s">
        <v>132</v>
      </c>
      <c r="I3552" t="s">
        <v>2</v>
      </c>
      <c r="J3552" t="s">
        <v>5298</v>
      </c>
      <c r="K3552" t="s">
        <v>52</v>
      </c>
      <c r="L3552" t="s">
        <v>2536</v>
      </c>
      <c r="M3552" t="s">
        <v>134</v>
      </c>
      <c r="N3552" t="s">
        <v>135</v>
      </c>
      <c r="O3552"/>
      <c r="P3552"/>
      <c r="Q3552" t="s">
        <v>168</v>
      </c>
      <c r="R3552"/>
      <c r="S3552"/>
      <c r="T3552" t="s">
        <v>2165</v>
      </c>
      <c r="U3552" t="s">
        <v>137</v>
      </c>
      <c r="V3552" t="s">
        <v>153</v>
      </c>
      <c r="W3552"/>
      <c r="X3552" t="s">
        <v>88</v>
      </c>
      <c r="Y3552"/>
      <c r="Z3552"/>
      <c r="AA3552" t="s">
        <v>2163</v>
      </c>
      <c r="AB3552" t="s">
        <v>2</v>
      </c>
      <c r="AC3552" t="s">
        <v>138</v>
      </c>
      <c r="AD3552" t="s">
        <v>129</v>
      </c>
      <c r="AE3552" s="97"/>
    </row>
    <row r="3553" spans="1:31" ht="14.4" customHeight="1" x14ac:dyDescent="0.3">
      <c r="A3553" t="s">
        <v>6087</v>
      </c>
      <c r="B3553" t="s">
        <v>2538</v>
      </c>
      <c r="C3553"/>
      <c r="D3553"/>
      <c r="E3553"/>
      <c r="F3553"/>
      <c r="G3553" t="s">
        <v>5944</v>
      </c>
      <c r="H3553" t="s">
        <v>132</v>
      </c>
      <c r="I3553" t="s">
        <v>2</v>
      </c>
      <c r="J3553" t="s">
        <v>5298</v>
      </c>
      <c r="K3553" t="s">
        <v>52</v>
      </c>
      <c r="L3553" t="s">
        <v>2539</v>
      </c>
      <c r="M3553" t="s">
        <v>134</v>
      </c>
      <c r="N3553" t="s">
        <v>135</v>
      </c>
      <c r="O3553"/>
      <c r="P3553"/>
      <c r="Q3553" t="s">
        <v>168</v>
      </c>
      <c r="R3553"/>
      <c r="S3553"/>
      <c r="T3553" t="s">
        <v>2165</v>
      </c>
      <c r="U3553" t="s">
        <v>137</v>
      </c>
      <c r="V3553" t="s">
        <v>156</v>
      </c>
      <c r="W3553"/>
      <c r="X3553" t="s">
        <v>97</v>
      </c>
      <c r="Y3553"/>
      <c r="Z3553"/>
      <c r="AA3553" t="s">
        <v>2163</v>
      </c>
      <c r="AB3553" t="s">
        <v>2</v>
      </c>
      <c r="AC3553" t="s">
        <v>138</v>
      </c>
      <c r="AD3553" t="s">
        <v>129</v>
      </c>
      <c r="AE3553" s="97"/>
    </row>
    <row r="3554" spans="1:31" ht="14.4" customHeight="1" x14ac:dyDescent="0.3">
      <c r="A3554" t="s">
        <v>6088</v>
      </c>
      <c r="B3554" t="s">
        <v>2541</v>
      </c>
      <c r="C3554"/>
      <c r="D3554"/>
      <c r="E3554"/>
      <c r="F3554"/>
      <c r="G3554" t="s">
        <v>5944</v>
      </c>
      <c r="H3554" t="s">
        <v>132</v>
      </c>
      <c r="I3554" t="s">
        <v>2</v>
      </c>
      <c r="J3554" t="s">
        <v>5298</v>
      </c>
      <c r="K3554" t="s">
        <v>52</v>
      </c>
      <c r="L3554" t="s">
        <v>2539</v>
      </c>
      <c r="M3554" t="s">
        <v>134</v>
      </c>
      <c r="N3554" t="s">
        <v>135</v>
      </c>
      <c r="O3554"/>
      <c r="P3554"/>
      <c r="Q3554" t="s">
        <v>168</v>
      </c>
      <c r="R3554"/>
      <c r="S3554"/>
      <c r="T3554" t="s">
        <v>2165</v>
      </c>
      <c r="U3554" t="s">
        <v>137</v>
      </c>
      <c r="V3554" t="s">
        <v>156</v>
      </c>
      <c r="W3554"/>
      <c r="X3554" t="s">
        <v>97</v>
      </c>
      <c r="Y3554"/>
      <c r="Z3554"/>
      <c r="AA3554" t="s">
        <v>2163</v>
      </c>
      <c r="AB3554" t="s">
        <v>2</v>
      </c>
      <c r="AC3554" t="s">
        <v>138</v>
      </c>
      <c r="AD3554" t="s">
        <v>129</v>
      </c>
      <c r="AE3554" s="97"/>
    </row>
    <row r="3555" spans="1:31" ht="14.4" customHeight="1" x14ac:dyDescent="0.3">
      <c r="A3555" t="s">
        <v>6089</v>
      </c>
      <c r="B3555" t="s">
        <v>2543</v>
      </c>
      <c r="C3555"/>
      <c r="D3555"/>
      <c r="E3555"/>
      <c r="F3555"/>
      <c r="G3555" t="s">
        <v>5944</v>
      </c>
      <c r="H3555" t="s">
        <v>132</v>
      </c>
      <c r="I3555" t="s">
        <v>2</v>
      </c>
      <c r="J3555" t="s">
        <v>5298</v>
      </c>
      <c r="K3555" t="s">
        <v>52</v>
      </c>
      <c r="L3555" t="s">
        <v>2539</v>
      </c>
      <c r="M3555" t="s">
        <v>134</v>
      </c>
      <c r="N3555" t="s">
        <v>135</v>
      </c>
      <c r="O3555"/>
      <c r="P3555"/>
      <c r="Q3555" t="s">
        <v>168</v>
      </c>
      <c r="R3555"/>
      <c r="S3555"/>
      <c r="T3555" t="s">
        <v>2165</v>
      </c>
      <c r="U3555" t="s">
        <v>137</v>
      </c>
      <c r="V3555" t="s">
        <v>156</v>
      </c>
      <c r="W3555" s="9">
        <v>46204.551833796293</v>
      </c>
      <c r="X3555" t="s">
        <v>97</v>
      </c>
      <c r="Y3555"/>
      <c r="Z3555"/>
      <c r="AA3555" t="s">
        <v>2163</v>
      </c>
      <c r="AB3555" t="s">
        <v>2</v>
      </c>
      <c r="AC3555" t="s">
        <v>24</v>
      </c>
      <c r="AD3555" t="s">
        <v>129</v>
      </c>
      <c r="AE3555" s="97"/>
    </row>
    <row r="3556" spans="1:31" ht="14.4" customHeight="1" x14ac:dyDescent="0.3">
      <c r="A3556" t="s">
        <v>6090</v>
      </c>
      <c r="B3556" t="s">
        <v>2545</v>
      </c>
      <c r="C3556"/>
      <c r="D3556"/>
      <c r="E3556"/>
      <c r="F3556"/>
      <c r="G3556" t="s">
        <v>5944</v>
      </c>
      <c r="H3556" t="s">
        <v>132</v>
      </c>
      <c r="I3556" t="s">
        <v>2</v>
      </c>
      <c r="J3556" t="s">
        <v>5298</v>
      </c>
      <c r="K3556" t="s">
        <v>52</v>
      </c>
      <c r="L3556" t="s">
        <v>2546</v>
      </c>
      <c r="M3556" t="s">
        <v>134</v>
      </c>
      <c r="N3556" t="s">
        <v>135</v>
      </c>
      <c r="O3556"/>
      <c r="P3556"/>
      <c r="Q3556" t="s">
        <v>168</v>
      </c>
      <c r="R3556"/>
      <c r="S3556"/>
      <c r="T3556" t="s">
        <v>2165</v>
      </c>
      <c r="U3556" t="s">
        <v>137</v>
      </c>
      <c r="V3556" t="s">
        <v>156</v>
      </c>
      <c r="W3556"/>
      <c r="X3556" t="s">
        <v>97</v>
      </c>
      <c r="Y3556"/>
      <c r="Z3556"/>
      <c r="AA3556" t="s">
        <v>2163</v>
      </c>
      <c r="AB3556" t="s">
        <v>2</v>
      </c>
      <c r="AC3556" t="s">
        <v>138</v>
      </c>
      <c r="AD3556" t="s">
        <v>129</v>
      </c>
      <c r="AE3556" s="97"/>
    </row>
    <row r="3557" spans="1:31" ht="14.4" customHeight="1" x14ac:dyDescent="0.3">
      <c r="A3557" t="s">
        <v>6091</v>
      </c>
      <c r="B3557" t="s">
        <v>2548</v>
      </c>
      <c r="C3557"/>
      <c r="D3557"/>
      <c r="E3557"/>
      <c r="F3557"/>
      <c r="G3557" t="s">
        <v>5944</v>
      </c>
      <c r="H3557" t="s">
        <v>132</v>
      </c>
      <c r="I3557" t="s">
        <v>2</v>
      </c>
      <c r="J3557" t="s">
        <v>5298</v>
      </c>
      <c r="K3557" t="s">
        <v>52</v>
      </c>
      <c r="L3557" t="s">
        <v>2549</v>
      </c>
      <c r="M3557" t="s">
        <v>134</v>
      </c>
      <c r="N3557" t="s">
        <v>135</v>
      </c>
      <c r="O3557"/>
      <c r="P3557"/>
      <c r="Q3557" t="s">
        <v>168</v>
      </c>
      <c r="R3557"/>
      <c r="S3557"/>
      <c r="T3557" t="s">
        <v>2165</v>
      </c>
      <c r="U3557" t="s">
        <v>137</v>
      </c>
      <c r="V3557" t="s">
        <v>159</v>
      </c>
      <c r="W3557"/>
      <c r="X3557" t="s">
        <v>106</v>
      </c>
      <c r="Y3557"/>
      <c r="Z3557"/>
      <c r="AA3557" t="s">
        <v>2163</v>
      </c>
      <c r="AB3557" t="s">
        <v>2</v>
      </c>
      <c r="AC3557" t="s">
        <v>138</v>
      </c>
      <c r="AD3557" t="s">
        <v>129</v>
      </c>
      <c r="AE3557" s="97"/>
    </row>
    <row r="3558" spans="1:31" ht="14.4" customHeight="1" x14ac:dyDescent="0.3">
      <c r="A3558" t="s">
        <v>6092</v>
      </c>
      <c r="B3558" t="s">
        <v>2551</v>
      </c>
      <c r="C3558"/>
      <c r="D3558"/>
      <c r="E3558"/>
      <c r="F3558"/>
      <c r="G3558" t="s">
        <v>5944</v>
      </c>
      <c r="H3558" t="s">
        <v>132</v>
      </c>
      <c r="I3558" t="s">
        <v>2</v>
      </c>
      <c r="J3558" t="s">
        <v>5298</v>
      </c>
      <c r="K3558" t="s">
        <v>52</v>
      </c>
      <c r="L3558" t="s">
        <v>2549</v>
      </c>
      <c r="M3558" t="s">
        <v>134</v>
      </c>
      <c r="N3558" t="s">
        <v>135</v>
      </c>
      <c r="O3558"/>
      <c r="P3558"/>
      <c r="Q3558" t="s">
        <v>168</v>
      </c>
      <c r="R3558"/>
      <c r="S3558"/>
      <c r="T3558" t="s">
        <v>2165</v>
      </c>
      <c r="U3558" t="s">
        <v>137</v>
      </c>
      <c r="V3558" t="s">
        <v>159</v>
      </c>
      <c r="W3558"/>
      <c r="X3558" t="s">
        <v>106</v>
      </c>
      <c r="Y3558"/>
      <c r="Z3558"/>
      <c r="AA3558" t="s">
        <v>2163</v>
      </c>
      <c r="AB3558" t="s">
        <v>2</v>
      </c>
      <c r="AC3558" t="s">
        <v>138</v>
      </c>
      <c r="AD3558" t="s">
        <v>129</v>
      </c>
      <c r="AE3558" s="97"/>
    </row>
    <row r="3559" spans="1:31" ht="14.4" customHeight="1" x14ac:dyDescent="0.3">
      <c r="A3559" t="s">
        <v>6093</v>
      </c>
      <c r="B3559" t="s">
        <v>2553</v>
      </c>
      <c r="C3559"/>
      <c r="D3559"/>
      <c r="E3559"/>
      <c r="F3559"/>
      <c r="G3559" t="s">
        <v>5944</v>
      </c>
      <c r="H3559" t="s">
        <v>132</v>
      </c>
      <c r="I3559" t="s">
        <v>2</v>
      </c>
      <c r="J3559" t="s">
        <v>5298</v>
      </c>
      <c r="K3559" t="s">
        <v>52</v>
      </c>
      <c r="L3559" t="s">
        <v>2549</v>
      </c>
      <c r="M3559" t="s">
        <v>134</v>
      </c>
      <c r="N3559" t="s">
        <v>135</v>
      </c>
      <c r="O3559"/>
      <c r="P3559"/>
      <c r="Q3559" t="s">
        <v>168</v>
      </c>
      <c r="R3559"/>
      <c r="S3559"/>
      <c r="T3559" t="s">
        <v>2165</v>
      </c>
      <c r="U3559" t="s">
        <v>137</v>
      </c>
      <c r="V3559" t="s">
        <v>159</v>
      </c>
      <c r="W3559" s="9">
        <v>46204.552899189817</v>
      </c>
      <c r="X3559" t="s">
        <v>106</v>
      </c>
      <c r="Y3559"/>
      <c r="Z3559"/>
      <c r="AA3559" t="s">
        <v>2163</v>
      </c>
      <c r="AB3559" t="s">
        <v>2</v>
      </c>
      <c r="AC3559" t="s">
        <v>24</v>
      </c>
      <c r="AD3559" t="s">
        <v>129</v>
      </c>
      <c r="AE3559" s="97"/>
    </row>
    <row r="3560" spans="1:31" ht="14.4" customHeight="1" x14ac:dyDescent="0.3">
      <c r="A3560" t="s">
        <v>6094</v>
      </c>
      <c r="B3560" t="s">
        <v>2555</v>
      </c>
      <c r="C3560"/>
      <c r="D3560"/>
      <c r="E3560"/>
      <c r="F3560"/>
      <c r="G3560" t="s">
        <v>5944</v>
      </c>
      <c r="H3560" t="s">
        <v>132</v>
      </c>
      <c r="I3560" t="s">
        <v>2</v>
      </c>
      <c r="J3560" t="s">
        <v>5298</v>
      </c>
      <c r="K3560" t="s">
        <v>52</v>
      </c>
      <c r="L3560" t="s">
        <v>2556</v>
      </c>
      <c r="M3560" t="s">
        <v>134</v>
      </c>
      <c r="N3560" t="s">
        <v>135</v>
      </c>
      <c r="O3560"/>
      <c r="P3560"/>
      <c r="Q3560" t="s">
        <v>168</v>
      </c>
      <c r="R3560"/>
      <c r="S3560"/>
      <c r="T3560" t="s">
        <v>2165</v>
      </c>
      <c r="U3560" t="s">
        <v>137</v>
      </c>
      <c r="V3560" t="s">
        <v>159</v>
      </c>
      <c r="W3560"/>
      <c r="X3560" t="s">
        <v>106</v>
      </c>
      <c r="Y3560"/>
      <c r="Z3560"/>
      <c r="AA3560" t="s">
        <v>2163</v>
      </c>
      <c r="AB3560" t="s">
        <v>2</v>
      </c>
      <c r="AC3560" t="s">
        <v>138</v>
      </c>
      <c r="AD3560" t="s">
        <v>129</v>
      </c>
      <c r="AE3560" s="97"/>
    </row>
    <row r="3561" spans="1:31" ht="14.4" customHeight="1" x14ac:dyDescent="0.3">
      <c r="A3561" t="s">
        <v>6095</v>
      </c>
      <c r="B3561" t="s">
        <v>2558</v>
      </c>
      <c r="C3561"/>
      <c r="D3561"/>
      <c r="E3561"/>
      <c r="F3561"/>
      <c r="G3561" t="s">
        <v>5944</v>
      </c>
      <c r="H3561" t="s">
        <v>132</v>
      </c>
      <c r="I3561" t="s">
        <v>2</v>
      </c>
      <c r="J3561" t="s">
        <v>5298</v>
      </c>
      <c r="K3561" t="s">
        <v>52</v>
      </c>
      <c r="L3561" t="s">
        <v>2559</v>
      </c>
      <c r="M3561" t="s">
        <v>134</v>
      </c>
      <c r="N3561" t="s">
        <v>135</v>
      </c>
      <c r="O3561"/>
      <c r="P3561"/>
      <c r="Q3561" t="s">
        <v>168</v>
      </c>
      <c r="R3561"/>
      <c r="S3561"/>
      <c r="T3561" t="s">
        <v>2165</v>
      </c>
      <c r="U3561" t="s">
        <v>137</v>
      </c>
      <c r="V3561" t="s">
        <v>162</v>
      </c>
      <c r="W3561"/>
      <c r="X3561" t="s">
        <v>113</v>
      </c>
      <c r="Y3561"/>
      <c r="Z3561"/>
      <c r="AA3561" t="s">
        <v>2163</v>
      </c>
      <c r="AB3561" t="s">
        <v>2</v>
      </c>
      <c r="AC3561" t="s">
        <v>138</v>
      </c>
      <c r="AD3561" t="s">
        <v>129</v>
      </c>
      <c r="AE3561" s="97"/>
    </row>
    <row r="3562" spans="1:31" ht="14.4" customHeight="1" x14ac:dyDescent="0.3">
      <c r="A3562" t="s">
        <v>6096</v>
      </c>
      <c r="B3562" t="s">
        <v>2561</v>
      </c>
      <c r="C3562"/>
      <c r="D3562"/>
      <c r="E3562"/>
      <c r="F3562"/>
      <c r="G3562" t="s">
        <v>5944</v>
      </c>
      <c r="H3562" t="s">
        <v>132</v>
      </c>
      <c r="I3562" t="s">
        <v>2</v>
      </c>
      <c r="J3562" t="s">
        <v>5298</v>
      </c>
      <c r="K3562" t="s">
        <v>52</v>
      </c>
      <c r="L3562" t="s">
        <v>2559</v>
      </c>
      <c r="M3562" t="s">
        <v>134</v>
      </c>
      <c r="N3562" t="s">
        <v>135</v>
      </c>
      <c r="O3562"/>
      <c r="P3562"/>
      <c r="Q3562" t="s">
        <v>168</v>
      </c>
      <c r="R3562"/>
      <c r="S3562"/>
      <c r="T3562" t="s">
        <v>2165</v>
      </c>
      <c r="U3562" t="s">
        <v>137</v>
      </c>
      <c r="V3562" t="s">
        <v>162</v>
      </c>
      <c r="W3562"/>
      <c r="X3562" t="s">
        <v>113</v>
      </c>
      <c r="Y3562"/>
      <c r="Z3562"/>
      <c r="AA3562" t="s">
        <v>2163</v>
      </c>
      <c r="AB3562" t="s">
        <v>2</v>
      </c>
      <c r="AC3562" t="s">
        <v>138</v>
      </c>
      <c r="AD3562" t="s">
        <v>129</v>
      </c>
      <c r="AE3562" s="97"/>
    </row>
    <row r="3563" spans="1:31" ht="14.4" customHeight="1" x14ac:dyDescent="0.3">
      <c r="A3563" t="s">
        <v>6097</v>
      </c>
      <c r="B3563" t="s">
        <v>2563</v>
      </c>
      <c r="C3563"/>
      <c r="D3563"/>
      <c r="E3563"/>
      <c r="F3563"/>
      <c r="G3563" t="s">
        <v>5944</v>
      </c>
      <c r="H3563" t="s">
        <v>132</v>
      </c>
      <c r="I3563" t="s">
        <v>2</v>
      </c>
      <c r="J3563" t="s">
        <v>5298</v>
      </c>
      <c r="K3563" t="s">
        <v>52</v>
      </c>
      <c r="L3563" t="s">
        <v>2559</v>
      </c>
      <c r="M3563" t="s">
        <v>134</v>
      </c>
      <c r="N3563" t="s">
        <v>135</v>
      </c>
      <c r="O3563"/>
      <c r="P3563"/>
      <c r="Q3563" t="s">
        <v>168</v>
      </c>
      <c r="R3563"/>
      <c r="S3563"/>
      <c r="T3563" t="s">
        <v>2165</v>
      </c>
      <c r="U3563" t="s">
        <v>137</v>
      </c>
      <c r="V3563" t="s">
        <v>162</v>
      </c>
      <c r="W3563"/>
      <c r="X3563" t="s">
        <v>113</v>
      </c>
      <c r="Y3563"/>
      <c r="Z3563"/>
      <c r="AA3563" t="s">
        <v>2163</v>
      </c>
      <c r="AB3563" t="s">
        <v>2</v>
      </c>
      <c r="AC3563" t="s">
        <v>138</v>
      </c>
      <c r="AD3563" t="s">
        <v>129</v>
      </c>
      <c r="AE3563" s="97"/>
    </row>
    <row r="3564" spans="1:31" ht="14.4" customHeight="1" x14ac:dyDescent="0.3">
      <c r="A3564" t="s">
        <v>6098</v>
      </c>
      <c r="B3564" t="s">
        <v>2565</v>
      </c>
      <c r="C3564"/>
      <c r="D3564"/>
      <c r="E3564"/>
      <c r="F3564"/>
      <c r="G3564" t="s">
        <v>5944</v>
      </c>
      <c r="H3564" t="s">
        <v>132</v>
      </c>
      <c r="I3564" t="s">
        <v>2</v>
      </c>
      <c r="J3564" t="s">
        <v>5298</v>
      </c>
      <c r="K3564" t="s">
        <v>52</v>
      </c>
      <c r="L3564" t="s">
        <v>2566</v>
      </c>
      <c r="M3564" t="s">
        <v>134</v>
      </c>
      <c r="N3564" t="s">
        <v>135</v>
      </c>
      <c r="O3564"/>
      <c r="P3564"/>
      <c r="Q3564" t="s">
        <v>168</v>
      </c>
      <c r="R3564"/>
      <c r="S3564"/>
      <c r="T3564" t="s">
        <v>2165</v>
      </c>
      <c r="U3564" t="s">
        <v>137</v>
      </c>
      <c r="V3564" t="s">
        <v>162</v>
      </c>
      <c r="W3564"/>
      <c r="X3564" t="s">
        <v>113</v>
      </c>
      <c r="Y3564"/>
      <c r="Z3564"/>
      <c r="AA3564" t="s">
        <v>2163</v>
      </c>
      <c r="AB3564" t="s">
        <v>2</v>
      </c>
      <c r="AC3564" t="s">
        <v>138</v>
      </c>
      <c r="AD3564" t="s">
        <v>129</v>
      </c>
      <c r="AE3564" s="97"/>
    </row>
    <row r="3565" spans="1:31" ht="14.4" customHeight="1" x14ac:dyDescent="0.3">
      <c r="A3565" t="s">
        <v>6099</v>
      </c>
      <c r="B3565" t="s">
        <v>2568</v>
      </c>
      <c r="C3565"/>
      <c r="D3565"/>
      <c r="E3565"/>
      <c r="F3565"/>
      <c r="G3565" t="s">
        <v>5944</v>
      </c>
      <c r="H3565" t="s">
        <v>132</v>
      </c>
      <c r="I3565" t="s">
        <v>2</v>
      </c>
      <c r="J3565" t="s">
        <v>5298</v>
      </c>
      <c r="K3565" t="s">
        <v>52</v>
      </c>
      <c r="L3565" t="s">
        <v>2569</v>
      </c>
      <c r="M3565" t="s">
        <v>134</v>
      </c>
      <c r="N3565" t="s">
        <v>135</v>
      </c>
      <c r="O3565"/>
      <c r="P3565"/>
      <c r="Q3565" t="s">
        <v>168</v>
      </c>
      <c r="R3565"/>
      <c r="S3565"/>
      <c r="T3565" t="s">
        <v>2165</v>
      </c>
      <c r="U3565" t="s">
        <v>137</v>
      </c>
      <c r="V3565" t="s">
        <v>165</v>
      </c>
      <c r="W3565"/>
      <c r="X3565" t="s">
        <v>122</v>
      </c>
      <c r="Y3565"/>
      <c r="Z3565"/>
      <c r="AA3565" t="s">
        <v>2163</v>
      </c>
      <c r="AB3565" t="s">
        <v>2</v>
      </c>
      <c r="AC3565" t="s">
        <v>138</v>
      </c>
      <c r="AD3565" t="s">
        <v>130</v>
      </c>
      <c r="AE3565" s="97"/>
    </row>
    <row r="3566" spans="1:31" ht="14.4" customHeight="1" x14ac:dyDescent="0.3">
      <c r="A3566" t="s">
        <v>6100</v>
      </c>
      <c r="B3566" t="s">
        <v>2571</v>
      </c>
      <c r="C3566"/>
      <c r="D3566"/>
      <c r="E3566"/>
      <c r="F3566"/>
      <c r="G3566" t="s">
        <v>5944</v>
      </c>
      <c r="H3566" t="s">
        <v>132</v>
      </c>
      <c r="I3566" t="s">
        <v>2</v>
      </c>
      <c r="J3566" t="s">
        <v>5298</v>
      </c>
      <c r="K3566" t="s">
        <v>52</v>
      </c>
      <c r="L3566" t="s">
        <v>2569</v>
      </c>
      <c r="M3566" t="s">
        <v>134</v>
      </c>
      <c r="N3566" t="s">
        <v>135</v>
      </c>
      <c r="O3566"/>
      <c r="P3566"/>
      <c r="Q3566" t="s">
        <v>168</v>
      </c>
      <c r="R3566"/>
      <c r="S3566"/>
      <c r="T3566" t="s">
        <v>2165</v>
      </c>
      <c r="U3566" t="s">
        <v>137</v>
      </c>
      <c r="V3566" t="s">
        <v>165</v>
      </c>
      <c r="W3566"/>
      <c r="X3566" t="s">
        <v>122</v>
      </c>
      <c r="Y3566"/>
      <c r="Z3566"/>
      <c r="AA3566" t="s">
        <v>2163</v>
      </c>
      <c r="AB3566" t="s">
        <v>2</v>
      </c>
      <c r="AC3566" t="s">
        <v>138</v>
      </c>
      <c r="AD3566" t="s">
        <v>130</v>
      </c>
      <c r="AE3566" s="97"/>
    </row>
    <row r="3567" spans="1:31" ht="14.4" customHeight="1" x14ac:dyDescent="0.3">
      <c r="A3567" t="s">
        <v>6101</v>
      </c>
      <c r="B3567" t="s">
        <v>2573</v>
      </c>
      <c r="C3567"/>
      <c r="D3567"/>
      <c r="E3567"/>
      <c r="F3567"/>
      <c r="G3567" t="s">
        <v>5944</v>
      </c>
      <c r="H3567" t="s">
        <v>132</v>
      </c>
      <c r="I3567" t="s">
        <v>2</v>
      </c>
      <c r="J3567" t="s">
        <v>5298</v>
      </c>
      <c r="K3567" t="s">
        <v>52</v>
      </c>
      <c r="L3567" t="s">
        <v>2569</v>
      </c>
      <c r="M3567" t="s">
        <v>134</v>
      </c>
      <c r="N3567" t="s">
        <v>135</v>
      </c>
      <c r="O3567"/>
      <c r="P3567"/>
      <c r="Q3567" t="s">
        <v>168</v>
      </c>
      <c r="R3567"/>
      <c r="S3567"/>
      <c r="T3567" t="s">
        <v>2165</v>
      </c>
      <c r="U3567" t="s">
        <v>137</v>
      </c>
      <c r="V3567" t="s">
        <v>165</v>
      </c>
      <c r="W3567" s="9">
        <v>46204.553453703702</v>
      </c>
      <c r="X3567" t="s">
        <v>122</v>
      </c>
      <c r="Y3567"/>
      <c r="Z3567"/>
      <c r="AA3567" t="s">
        <v>2163</v>
      </c>
      <c r="AB3567" t="s">
        <v>2</v>
      </c>
      <c r="AC3567" t="s">
        <v>24</v>
      </c>
      <c r="AD3567" t="s">
        <v>130</v>
      </c>
      <c r="AE3567" s="97"/>
    </row>
    <row r="3568" spans="1:31" ht="14.4" customHeight="1" x14ac:dyDescent="0.3">
      <c r="A3568" t="s">
        <v>6102</v>
      </c>
      <c r="B3568" t="s">
        <v>2575</v>
      </c>
      <c r="C3568"/>
      <c r="D3568"/>
      <c r="E3568"/>
      <c r="F3568"/>
      <c r="G3568" t="s">
        <v>5944</v>
      </c>
      <c r="H3568" t="s">
        <v>132</v>
      </c>
      <c r="I3568" t="s">
        <v>2</v>
      </c>
      <c r="J3568" t="s">
        <v>5298</v>
      </c>
      <c r="K3568" t="s">
        <v>52</v>
      </c>
      <c r="L3568" t="s">
        <v>2576</v>
      </c>
      <c r="M3568" t="s">
        <v>134</v>
      </c>
      <c r="N3568" t="s">
        <v>135</v>
      </c>
      <c r="O3568"/>
      <c r="P3568"/>
      <c r="Q3568" t="s">
        <v>168</v>
      </c>
      <c r="R3568"/>
      <c r="S3568"/>
      <c r="T3568" t="s">
        <v>2165</v>
      </c>
      <c r="U3568" t="s">
        <v>137</v>
      </c>
      <c r="V3568" t="s">
        <v>165</v>
      </c>
      <c r="W3568"/>
      <c r="X3568" t="s">
        <v>122</v>
      </c>
      <c r="Y3568"/>
      <c r="Z3568"/>
      <c r="AA3568" t="s">
        <v>2163</v>
      </c>
      <c r="AB3568" t="s">
        <v>2</v>
      </c>
      <c r="AC3568" t="s">
        <v>138</v>
      </c>
      <c r="AD3568" t="s">
        <v>130</v>
      </c>
      <c r="AE3568" s="97"/>
    </row>
    <row r="3569" spans="1:31" ht="14.4" customHeight="1" x14ac:dyDescent="0.3">
      <c r="A3569" t="s">
        <v>6103</v>
      </c>
      <c r="B3569" t="s">
        <v>2578</v>
      </c>
      <c r="C3569"/>
      <c r="D3569"/>
      <c r="E3569"/>
      <c r="F3569"/>
      <c r="G3569" t="s">
        <v>5944</v>
      </c>
      <c r="H3569" t="s">
        <v>132</v>
      </c>
      <c r="I3569" t="s">
        <v>2</v>
      </c>
      <c r="J3569" t="s">
        <v>5298</v>
      </c>
      <c r="K3569" t="s">
        <v>52</v>
      </c>
      <c r="L3569" t="s">
        <v>1509</v>
      </c>
      <c r="M3569" t="s">
        <v>134</v>
      </c>
      <c r="N3569" t="s">
        <v>135</v>
      </c>
      <c r="O3569"/>
      <c r="P3569"/>
      <c r="Q3569" t="s">
        <v>168</v>
      </c>
      <c r="R3569"/>
      <c r="S3569"/>
      <c r="T3569" t="s">
        <v>2165</v>
      </c>
      <c r="U3569" t="s">
        <v>137</v>
      </c>
      <c r="V3569" t="s">
        <v>1279</v>
      </c>
      <c r="W3569"/>
      <c r="X3569" t="s">
        <v>71</v>
      </c>
      <c r="Y3569"/>
      <c r="Z3569"/>
      <c r="AA3569" t="s">
        <v>2163</v>
      </c>
      <c r="AB3569" t="s">
        <v>2</v>
      </c>
      <c r="AC3569" t="s">
        <v>138</v>
      </c>
      <c r="AD3569" t="s">
        <v>128</v>
      </c>
      <c r="AE3569" s="97"/>
    </row>
    <row r="3570" spans="1:31" ht="14.4" customHeight="1" x14ac:dyDescent="0.3">
      <c r="A3570" t="s">
        <v>6104</v>
      </c>
      <c r="B3570" t="s">
        <v>2580</v>
      </c>
      <c r="C3570"/>
      <c r="D3570"/>
      <c r="E3570"/>
      <c r="F3570"/>
      <c r="G3570" t="s">
        <v>5944</v>
      </c>
      <c r="H3570" t="s">
        <v>132</v>
      </c>
      <c r="I3570" t="s">
        <v>2</v>
      </c>
      <c r="J3570" t="s">
        <v>5298</v>
      </c>
      <c r="K3570" t="s">
        <v>52</v>
      </c>
      <c r="L3570" t="s">
        <v>1512</v>
      </c>
      <c r="M3570" t="s">
        <v>134</v>
      </c>
      <c r="N3570" t="s">
        <v>135</v>
      </c>
      <c r="O3570"/>
      <c r="P3570"/>
      <c r="Q3570" t="s">
        <v>168</v>
      </c>
      <c r="R3570"/>
      <c r="S3570"/>
      <c r="T3570" t="s">
        <v>2165</v>
      </c>
      <c r="U3570" t="s">
        <v>137</v>
      </c>
      <c r="V3570" t="s">
        <v>1283</v>
      </c>
      <c r="W3570"/>
      <c r="X3570" t="s">
        <v>78</v>
      </c>
      <c r="Y3570"/>
      <c r="Z3570"/>
      <c r="AA3570" t="s">
        <v>2163</v>
      </c>
      <c r="AB3570" t="s">
        <v>2</v>
      </c>
      <c r="AC3570" t="s">
        <v>138</v>
      </c>
      <c r="AD3570" t="s">
        <v>128</v>
      </c>
      <c r="AE3570" s="97"/>
    </row>
    <row r="3571" spans="1:31" ht="14.4" customHeight="1" x14ac:dyDescent="0.3">
      <c r="A3571" t="s">
        <v>6105</v>
      </c>
      <c r="B3571" t="s">
        <v>2582</v>
      </c>
      <c r="C3571"/>
      <c r="D3571"/>
      <c r="E3571"/>
      <c r="F3571"/>
      <c r="G3571" t="s">
        <v>5944</v>
      </c>
      <c r="H3571" t="s">
        <v>132</v>
      </c>
      <c r="I3571" t="s">
        <v>2</v>
      </c>
      <c r="J3571" t="s">
        <v>5298</v>
      </c>
      <c r="K3571" t="s">
        <v>52</v>
      </c>
      <c r="L3571" t="s">
        <v>1515</v>
      </c>
      <c r="M3571" t="s">
        <v>134</v>
      </c>
      <c r="N3571" t="s">
        <v>135</v>
      </c>
      <c r="O3571"/>
      <c r="P3571"/>
      <c r="Q3571" t="s">
        <v>168</v>
      </c>
      <c r="R3571"/>
      <c r="S3571"/>
      <c r="T3571" t="s">
        <v>2165</v>
      </c>
      <c r="U3571" t="s">
        <v>137</v>
      </c>
      <c r="V3571" t="s">
        <v>1287</v>
      </c>
      <c r="W3571"/>
      <c r="X3571" t="s">
        <v>89</v>
      </c>
      <c r="Y3571"/>
      <c r="Z3571"/>
      <c r="AA3571" t="s">
        <v>2163</v>
      </c>
      <c r="AB3571" t="s">
        <v>2</v>
      </c>
      <c r="AC3571" t="s">
        <v>138</v>
      </c>
      <c r="AD3571" t="s">
        <v>129</v>
      </c>
      <c r="AE3571" s="97"/>
    </row>
    <row r="3572" spans="1:31" ht="14.4" customHeight="1" x14ac:dyDescent="0.3">
      <c r="A3572" t="s">
        <v>6106</v>
      </c>
      <c r="B3572" t="s">
        <v>2584</v>
      </c>
      <c r="C3572"/>
      <c r="D3572"/>
      <c r="E3572"/>
      <c r="F3572"/>
      <c r="G3572" t="s">
        <v>5944</v>
      </c>
      <c r="H3572" t="s">
        <v>132</v>
      </c>
      <c r="I3572" t="s">
        <v>2</v>
      </c>
      <c r="J3572" t="s">
        <v>5298</v>
      </c>
      <c r="K3572" t="s">
        <v>52</v>
      </c>
      <c r="L3572" t="s">
        <v>1518</v>
      </c>
      <c r="M3572" t="s">
        <v>134</v>
      </c>
      <c r="N3572" t="s">
        <v>135</v>
      </c>
      <c r="O3572"/>
      <c r="P3572"/>
      <c r="Q3572" t="s">
        <v>168</v>
      </c>
      <c r="R3572"/>
      <c r="S3572"/>
      <c r="T3572" t="s">
        <v>2165</v>
      </c>
      <c r="U3572" t="s">
        <v>137</v>
      </c>
      <c r="V3572" t="s">
        <v>1291</v>
      </c>
      <c r="W3572"/>
      <c r="X3572" t="s">
        <v>98</v>
      </c>
      <c r="Y3572"/>
      <c r="Z3572"/>
      <c r="AA3572" t="s">
        <v>2163</v>
      </c>
      <c r="AB3572" t="s">
        <v>2</v>
      </c>
      <c r="AC3572" t="s">
        <v>138</v>
      </c>
      <c r="AD3572" t="s">
        <v>129</v>
      </c>
      <c r="AE3572" s="97"/>
    </row>
    <row r="3573" spans="1:31" ht="14.4" customHeight="1" x14ac:dyDescent="0.3">
      <c r="A3573" t="s">
        <v>6107</v>
      </c>
      <c r="B3573" t="s">
        <v>2586</v>
      </c>
      <c r="C3573"/>
      <c r="D3573"/>
      <c r="E3573"/>
      <c r="F3573"/>
      <c r="G3573" t="s">
        <v>5944</v>
      </c>
      <c r="H3573" t="s">
        <v>132</v>
      </c>
      <c r="I3573" t="s">
        <v>2</v>
      </c>
      <c r="J3573" t="s">
        <v>5298</v>
      </c>
      <c r="K3573" t="s">
        <v>52</v>
      </c>
      <c r="L3573" t="s">
        <v>1521</v>
      </c>
      <c r="M3573" t="s">
        <v>134</v>
      </c>
      <c r="N3573" t="s">
        <v>135</v>
      </c>
      <c r="O3573"/>
      <c r="P3573"/>
      <c r="Q3573" t="s">
        <v>168</v>
      </c>
      <c r="R3573"/>
      <c r="S3573"/>
      <c r="T3573" t="s">
        <v>2165</v>
      </c>
      <c r="U3573" t="s">
        <v>137</v>
      </c>
      <c r="V3573" t="s">
        <v>1295</v>
      </c>
      <c r="W3573"/>
      <c r="X3573" t="s">
        <v>107</v>
      </c>
      <c r="Y3573"/>
      <c r="Z3573"/>
      <c r="AA3573" t="s">
        <v>2163</v>
      </c>
      <c r="AB3573" t="s">
        <v>2</v>
      </c>
      <c r="AC3573" t="s">
        <v>138</v>
      </c>
      <c r="AD3573" t="s">
        <v>129</v>
      </c>
      <c r="AE3573" s="97"/>
    </row>
    <row r="3574" spans="1:31" ht="14.4" customHeight="1" x14ac:dyDescent="0.3">
      <c r="A3574" t="s">
        <v>6108</v>
      </c>
      <c r="B3574" t="s">
        <v>2588</v>
      </c>
      <c r="C3574"/>
      <c r="D3574"/>
      <c r="E3574"/>
      <c r="F3574"/>
      <c r="G3574" t="s">
        <v>5944</v>
      </c>
      <c r="H3574" t="s">
        <v>132</v>
      </c>
      <c r="I3574" t="s">
        <v>2</v>
      </c>
      <c r="J3574" t="s">
        <v>5298</v>
      </c>
      <c r="K3574" t="s">
        <v>52</v>
      </c>
      <c r="L3574" t="s">
        <v>1524</v>
      </c>
      <c r="M3574" t="s">
        <v>134</v>
      </c>
      <c r="N3574" t="s">
        <v>135</v>
      </c>
      <c r="O3574"/>
      <c r="P3574"/>
      <c r="Q3574" t="s">
        <v>168</v>
      </c>
      <c r="R3574"/>
      <c r="S3574"/>
      <c r="T3574" t="s">
        <v>2165</v>
      </c>
      <c r="U3574" t="s">
        <v>137</v>
      </c>
      <c r="V3574" t="s">
        <v>1299</v>
      </c>
      <c r="W3574"/>
      <c r="X3574" t="s">
        <v>114</v>
      </c>
      <c r="Y3574"/>
      <c r="Z3574"/>
      <c r="AA3574" t="s">
        <v>2163</v>
      </c>
      <c r="AB3574" t="s">
        <v>2</v>
      </c>
      <c r="AC3574" t="s">
        <v>138</v>
      </c>
      <c r="AD3574" t="s">
        <v>129</v>
      </c>
      <c r="AE3574" s="97"/>
    </row>
    <row r="3575" spans="1:31" ht="14.4" customHeight="1" x14ac:dyDescent="0.3">
      <c r="A3575" t="s">
        <v>6109</v>
      </c>
      <c r="B3575" t="s">
        <v>2590</v>
      </c>
      <c r="C3575"/>
      <c r="D3575"/>
      <c r="E3575"/>
      <c r="F3575"/>
      <c r="G3575" t="s">
        <v>5944</v>
      </c>
      <c r="H3575" t="s">
        <v>132</v>
      </c>
      <c r="I3575" t="s">
        <v>2</v>
      </c>
      <c r="J3575" t="s">
        <v>5298</v>
      </c>
      <c r="K3575" t="s">
        <v>52</v>
      </c>
      <c r="L3575" t="s">
        <v>1527</v>
      </c>
      <c r="M3575" t="s">
        <v>134</v>
      </c>
      <c r="N3575" t="s">
        <v>135</v>
      </c>
      <c r="O3575"/>
      <c r="P3575"/>
      <c r="Q3575" t="s">
        <v>168</v>
      </c>
      <c r="R3575"/>
      <c r="S3575"/>
      <c r="T3575" t="s">
        <v>2165</v>
      </c>
      <c r="U3575" t="s">
        <v>137</v>
      </c>
      <c r="V3575" t="s">
        <v>1303</v>
      </c>
      <c r="W3575"/>
      <c r="X3575" t="s">
        <v>123</v>
      </c>
      <c r="Y3575"/>
      <c r="Z3575"/>
      <c r="AA3575" t="s">
        <v>2163</v>
      </c>
      <c r="AB3575" t="s">
        <v>2</v>
      </c>
      <c r="AC3575" t="s">
        <v>138</v>
      </c>
      <c r="AD3575" t="s">
        <v>130</v>
      </c>
      <c r="AE3575" s="97"/>
    </row>
    <row r="3576" spans="1:31" ht="14.4" customHeight="1" x14ac:dyDescent="0.3">
      <c r="A3576" t="s">
        <v>6110</v>
      </c>
      <c r="B3576" t="s">
        <v>2592</v>
      </c>
      <c r="C3576"/>
      <c r="D3576"/>
      <c r="E3576"/>
      <c r="F3576"/>
      <c r="G3576" t="s">
        <v>5944</v>
      </c>
      <c r="H3576" t="s">
        <v>132</v>
      </c>
      <c r="I3576" t="s">
        <v>2</v>
      </c>
      <c r="J3576" t="s">
        <v>5298</v>
      </c>
      <c r="K3576" t="s">
        <v>52</v>
      </c>
      <c r="L3576" t="s">
        <v>2593</v>
      </c>
      <c r="M3576" t="s">
        <v>134</v>
      </c>
      <c r="N3576" t="s">
        <v>135</v>
      </c>
      <c r="O3576"/>
      <c r="P3576"/>
      <c r="Q3576" t="s">
        <v>168</v>
      </c>
      <c r="R3576"/>
      <c r="S3576"/>
      <c r="T3576" t="s">
        <v>2165</v>
      </c>
      <c r="U3576" t="s">
        <v>137</v>
      </c>
      <c r="V3576" t="s">
        <v>147</v>
      </c>
      <c r="W3576"/>
      <c r="X3576" t="s">
        <v>70</v>
      </c>
      <c r="Y3576"/>
      <c r="Z3576"/>
      <c r="AA3576" t="s">
        <v>2163</v>
      </c>
      <c r="AB3576" t="s">
        <v>2</v>
      </c>
      <c r="AC3576" t="s">
        <v>138</v>
      </c>
      <c r="AD3576" t="s">
        <v>128</v>
      </c>
      <c r="AE3576" s="97"/>
    </row>
    <row r="3577" spans="1:31" ht="14.4" customHeight="1" x14ac:dyDescent="0.3">
      <c r="A3577" t="s">
        <v>6111</v>
      </c>
      <c r="B3577" t="s">
        <v>2595</v>
      </c>
      <c r="C3577"/>
      <c r="D3577"/>
      <c r="E3577"/>
      <c r="F3577"/>
      <c r="G3577" t="s">
        <v>5944</v>
      </c>
      <c r="H3577" t="s">
        <v>132</v>
      </c>
      <c r="I3577" t="s">
        <v>2</v>
      </c>
      <c r="J3577" t="s">
        <v>5298</v>
      </c>
      <c r="K3577" t="s">
        <v>52</v>
      </c>
      <c r="L3577" t="s">
        <v>2593</v>
      </c>
      <c r="M3577" t="s">
        <v>134</v>
      </c>
      <c r="N3577" t="s">
        <v>135</v>
      </c>
      <c r="O3577"/>
      <c r="P3577"/>
      <c r="Q3577" t="s">
        <v>168</v>
      </c>
      <c r="R3577"/>
      <c r="S3577"/>
      <c r="T3577" t="s">
        <v>2165</v>
      </c>
      <c r="U3577" t="s">
        <v>137</v>
      </c>
      <c r="V3577" t="s">
        <v>147</v>
      </c>
      <c r="W3577"/>
      <c r="X3577" t="s">
        <v>70</v>
      </c>
      <c r="Y3577"/>
      <c r="Z3577"/>
      <c r="AA3577" t="s">
        <v>2163</v>
      </c>
      <c r="AB3577" t="s">
        <v>2</v>
      </c>
      <c r="AC3577" t="s">
        <v>138</v>
      </c>
      <c r="AD3577" t="s">
        <v>128</v>
      </c>
      <c r="AE3577" s="97"/>
    </row>
    <row r="3578" spans="1:31" ht="14.4" customHeight="1" x14ac:dyDescent="0.3">
      <c r="A3578" t="s">
        <v>6112</v>
      </c>
      <c r="B3578" t="s">
        <v>2597</v>
      </c>
      <c r="C3578"/>
      <c r="D3578"/>
      <c r="E3578"/>
      <c r="F3578"/>
      <c r="G3578" t="s">
        <v>5944</v>
      </c>
      <c r="H3578" t="s">
        <v>132</v>
      </c>
      <c r="I3578" t="s">
        <v>2</v>
      </c>
      <c r="J3578" t="s">
        <v>5298</v>
      </c>
      <c r="K3578" t="s">
        <v>52</v>
      </c>
      <c r="L3578" t="s">
        <v>2598</v>
      </c>
      <c r="M3578" t="s">
        <v>134</v>
      </c>
      <c r="N3578" t="s">
        <v>135</v>
      </c>
      <c r="O3578"/>
      <c r="P3578"/>
      <c r="Q3578" t="s">
        <v>168</v>
      </c>
      <c r="R3578"/>
      <c r="S3578"/>
      <c r="T3578" t="s">
        <v>2165</v>
      </c>
      <c r="U3578" t="s">
        <v>137</v>
      </c>
      <c r="V3578" t="s">
        <v>150</v>
      </c>
      <c r="W3578"/>
      <c r="X3578" t="s">
        <v>76</v>
      </c>
      <c r="Y3578"/>
      <c r="Z3578"/>
      <c r="AA3578" t="s">
        <v>2163</v>
      </c>
      <c r="AB3578" t="s">
        <v>2</v>
      </c>
      <c r="AC3578" t="s">
        <v>138</v>
      </c>
      <c r="AD3578" t="s">
        <v>128</v>
      </c>
      <c r="AE3578" s="97"/>
    </row>
    <row r="3579" spans="1:31" ht="14.4" customHeight="1" x14ac:dyDescent="0.3">
      <c r="A3579" t="s">
        <v>6113</v>
      </c>
      <c r="B3579" t="s">
        <v>2600</v>
      </c>
      <c r="C3579"/>
      <c r="D3579"/>
      <c r="E3579"/>
      <c r="F3579"/>
      <c r="G3579" t="s">
        <v>5944</v>
      </c>
      <c r="H3579" t="s">
        <v>132</v>
      </c>
      <c r="I3579" t="s">
        <v>2</v>
      </c>
      <c r="J3579" t="s">
        <v>5298</v>
      </c>
      <c r="K3579" t="s">
        <v>52</v>
      </c>
      <c r="L3579" t="s">
        <v>2598</v>
      </c>
      <c r="M3579" t="s">
        <v>134</v>
      </c>
      <c r="N3579" t="s">
        <v>135</v>
      </c>
      <c r="O3579"/>
      <c r="P3579"/>
      <c r="Q3579" t="s">
        <v>168</v>
      </c>
      <c r="R3579"/>
      <c r="S3579"/>
      <c r="T3579" t="s">
        <v>2165</v>
      </c>
      <c r="U3579" t="s">
        <v>137</v>
      </c>
      <c r="V3579" t="s">
        <v>150</v>
      </c>
      <c r="W3579"/>
      <c r="X3579" t="s">
        <v>76</v>
      </c>
      <c r="Y3579"/>
      <c r="Z3579"/>
      <c r="AA3579" t="s">
        <v>2163</v>
      </c>
      <c r="AB3579" t="s">
        <v>2</v>
      </c>
      <c r="AC3579" t="s">
        <v>138</v>
      </c>
      <c r="AD3579" t="s">
        <v>128</v>
      </c>
      <c r="AE3579" s="97"/>
    </row>
    <row r="3580" spans="1:31" ht="14.4" customHeight="1" x14ac:dyDescent="0.3">
      <c r="A3580" t="s">
        <v>6114</v>
      </c>
      <c r="B3580" t="s">
        <v>2602</v>
      </c>
      <c r="C3580"/>
      <c r="D3580"/>
      <c r="E3580"/>
      <c r="F3580"/>
      <c r="G3580" t="s">
        <v>5944</v>
      </c>
      <c r="H3580" t="s">
        <v>132</v>
      </c>
      <c r="I3580" t="s">
        <v>2</v>
      </c>
      <c r="J3580" t="s">
        <v>5298</v>
      </c>
      <c r="K3580" t="s">
        <v>52</v>
      </c>
      <c r="L3580" t="s">
        <v>2603</v>
      </c>
      <c r="M3580" t="s">
        <v>134</v>
      </c>
      <c r="N3580" t="s">
        <v>135</v>
      </c>
      <c r="O3580"/>
      <c r="P3580"/>
      <c r="Q3580" t="s">
        <v>168</v>
      </c>
      <c r="R3580"/>
      <c r="S3580"/>
      <c r="T3580" t="s">
        <v>2165</v>
      </c>
      <c r="U3580" t="s">
        <v>137</v>
      </c>
      <c r="V3580" t="s">
        <v>153</v>
      </c>
      <c r="W3580"/>
      <c r="X3580" t="s">
        <v>88</v>
      </c>
      <c r="Y3580"/>
      <c r="Z3580"/>
      <c r="AA3580" t="s">
        <v>2163</v>
      </c>
      <c r="AB3580" t="s">
        <v>2</v>
      </c>
      <c r="AC3580" t="s">
        <v>138</v>
      </c>
      <c r="AD3580" t="s">
        <v>129</v>
      </c>
      <c r="AE3580" s="97"/>
    </row>
    <row r="3581" spans="1:31" ht="14.4" customHeight="1" x14ac:dyDescent="0.3">
      <c r="A3581" t="s">
        <v>6115</v>
      </c>
      <c r="B3581" t="s">
        <v>2605</v>
      </c>
      <c r="C3581"/>
      <c r="D3581"/>
      <c r="E3581"/>
      <c r="F3581"/>
      <c r="G3581" t="s">
        <v>5944</v>
      </c>
      <c r="H3581" t="s">
        <v>132</v>
      </c>
      <c r="I3581" t="s">
        <v>2</v>
      </c>
      <c r="J3581" t="s">
        <v>5298</v>
      </c>
      <c r="K3581" t="s">
        <v>52</v>
      </c>
      <c r="L3581" t="s">
        <v>2603</v>
      </c>
      <c r="M3581" t="s">
        <v>134</v>
      </c>
      <c r="N3581" t="s">
        <v>135</v>
      </c>
      <c r="O3581"/>
      <c r="P3581"/>
      <c r="Q3581" t="s">
        <v>168</v>
      </c>
      <c r="R3581"/>
      <c r="S3581"/>
      <c r="T3581" t="s">
        <v>2165</v>
      </c>
      <c r="U3581" t="s">
        <v>137</v>
      </c>
      <c r="V3581" t="s">
        <v>153</v>
      </c>
      <c r="W3581"/>
      <c r="X3581" t="s">
        <v>88</v>
      </c>
      <c r="Y3581"/>
      <c r="Z3581"/>
      <c r="AA3581" t="s">
        <v>2163</v>
      </c>
      <c r="AB3581" t="s">
        <v>2</v>
      </c>
      <c r="AC3581" t="s">
        <v>138</v>
      </c>
      <c r="AD3581" t="s">
        <v>129</v>
      </c>
      <c r="AE3581" s="97"/>
    </row>
    <row r="3582" spans="1:31" ht="14.4" customHeight="1" x14ac:dyDescent="0.3">
      <c r="A3582" t="s">
        <v>6116</v>
      </c>
      <c r="B3582" t="s">
        <v>2607</v>
      </c>
      <c r="C3582"/>
      <c r="D3582"/>
      <c r="E3582"/>
      <c r="F3582"/>
      <c r="G3582" t="s">
        <v>5944</v>
      </c>
      <c r="H3582" t="s">
        <v>132</v>
      </c>
      <c r="I3582" t="s">
        <v>2</v>
      </c>
      <c r="J3582" t="s">
        <v>5298</v>
      </c>
      <c r="K3582" t="s">
        <v>52</v>
      </c>
      <c r="L3582" t="s">
        <v>2608</v>
      </c>
      <c r="M3582" t="s">
        <v>134</v>
      </c>
      <c r="N3582" t="s">
        <v>135</v>
      </c>
      <c r="O3582"/>
      <c r="P3582"/>
      <c r="Q3582" t="s">
        <v>168</v>
      </c>
      <c r="R3582"/>
      <c r="S3582"/>
      <c r="T3582" t="s">
        <v>2165</v>
      </c>
      <c r="U3582" t="s">
        <v>137</v>
      </c>
      <c r="V3582" t="s">
        <v>156</v>
      </c>
      <c r="W3582"/>
      <c r="X3582" t="s">
        <v>97</v>
      </c>
      <c r="Y3582"/>
      <c r="Z3582"/>
      <c r="AA3582" t="s">
        <v>2163</v>
      </c>
      <c r="AB3582" t="s">
        <v>2</v>
      </c>
      <c r="AC3582" t="s">
        <v>138</v>
      </c>
      <c r="AD3582" t="s">
        <v>129</v>
      </c>
      <c r="AE3582" s="97"/>
    </row>
    <row r="3583" spans="1:31" ht="14.4" customHeight="1" x14ac:dyDescent="0.3">
      <c r="A3583" t="s">
        <v>6117</v>
      </c>
      <c r="B3583" t="s">
        <v>2610</v>
      </c>
      <c r="C3583"/>
      <c r="D3583"/>
      <c r="E3583"/>
      <c r="F3583"/>
      <c r="G3583" t="s">
        <v>5944</v>
      </c>
      <c r="H3583" t="s">
        <v>132</v>
      </c>
      <c r="I3583" t="s">
        <v>2</v>
      </c>
      <c r="J3583" t="s">
        <v>5298</v>
      </c>
      <c r="K3583" t="s">
        <v>52</v>
      </c>
      <c r="L3583" t="s">
        <v>2608</v>
      </c>
      <c r="M3583" t="s">
        <v>134</v>
      </c>
      <c r="N3583" t="s">
        <v>135</v>
      </c>
      <c r="O3583"/>
      <c r="P3583"/>
      <c r="Q3583" t="s">
        <v>168</v>
      </c>
      <c r="R3583"/>
      <c r="S3583"/>
      <c r="T3583" t="s">
        <v>2165</v>
      </c>
      <c r="U3583" t="s">
        <v>137</v>
      </c>
      <c r="V3583" t="s">
        <v>156</v>
      </c>
      <c r="W3583"/>
      <c r="X3583" t="s">
        <v>97</v>
      </c>
      <c r="Y3583"/>
      <c r="Z3583"/>
      <c r="AA3583" t="s">
        <v>2163</v>
      </c>
      <c r="AB3583" t="s">
        <v>2</v>
      </c>
      <c r="AC3583" t="s">
        <v>138</v>
      </c>
      <c r="AD3583" t="s">
        <v>129</v>
      </c>
      <c r="AE3583" s="97"/>
    </row>
    <row r="3584" spans="1:31" ht="14.4" customHeight="1" x14ac:dyDescent="0.3">
      <c r="A3584" t="s">
        <v>6118</v>
      </c>
      <c r="B3584" t="s">
        <v>2612</v>
      </c>
      <c r="C3584"/>
      <c r="D3584"/>
      <c r="E3584"/>
      <c r="F3584"/>
      <c r="G3584" t="s">
        <v>5944</v>
      </c>
      <c r="H3584" t="s">
        <v>132</v>
      </c>
      <c r="I3584" t="s">
        <v>2</v>
      </c>
      <c r="J3584" t="s">
        <v>5298</v>
      </c>
      <c r="K3584" t="s">
        <v>52</v>
      </c>
      <c r="L3584" t="s">
        <v>2613</v>
      </c>
      <c r="M3584" t="s">
        <v>134</v>
      </c>
      <c r="N3584" t="s">
        <v>135</v>
      </c>
      <c r="O3584"/>
      <c r="P3584"/>
      <c r="Q3584" t="s">
        <v>168</v>
      </c>
      <c r="R3584"/>
      <c r="S3584"/>
      <c r="T3584" t="s">
        <v>2165</v>
      </c>
      <c r="U3584" t="s">
        <v>137</v>
      </c>
      <c r="V3584" t="s">
        <v>159</v>
      </c>
      <c r="W3584"/>
      <c r="X3584" t="s">
        <v>106</v>
      </c>
      <c r="Y3584"/>
      <c r="Z3584"/>
      <c r="AA3584" t="s">
        <v>2163</v>
      </c>
      <c r="AB3584" t="s">
        <v>2</v>
      </c>
      <c r="AC3584" t="s">
        <v>138</v>
      </c>
      <c r="AD3584" t="s">
        <v>129</v>
      </c>
      <c r="AE3584" s="97"/>
    </row>
    <row r="3585" spans="1:31" ht="14.4" customHeight="1" x14ac:dyDescent="0.3">
      <c r="A3585" t="s">
        <v>6119</v>
      </c>
      <c r="B3585" t="s">
        <v>2615</v>
      </c>
      <c r="C3585"/>
      <c r="D3585"/>
      <c r="E3585"/>
      <c r="F3585"/>
      <c r="G3585" t="s">
        <v>5944</v>
      </c>
      <c r="H3585" t="s">
        <v>132</v>
      </c>
      <c r="I3585" t="s">
        <v>2</v>
      </c>
      <c r="J3585" t="s">
        <v>5298</v>
      </c>
      <c r="K3585" t="s">
        <v>52</v>
      </c>
      <c r="L3585" t="s">
        <v>2613</v>
      </c>
      <c r="M3585" t="s">
        <v>134</v>
      </c>
      <c r="N3585" t="s">
        <v>135</v>
      </c>
      <c r="O3585"/>
      <c r="P3585"/>
      <c r="Q3585" t="s">
        <v>168</v>
      </c>
      <c r="R3585"/>
      <c r="S3585"/>
      <c r="T3585" t="s">
        <v>2165</v>
      </c>
      <c r="U3585" t="s">
        <v>137</v>
      </c>
      <c r="V3585" t="s">
        <v>159</v>
      </c>
      <c r="W3585"/>
      <c r="X3585" t="s">
        <v>106</v>
      </c>
      <c r="Y3585"/>
      <c r="Z3585"/>
      <c r="AA3585" t="s">
        <v>2163</v>
      </c>
      <c r="AB3585" t="s">
        <v>2</v>
      </c>
      <c r="AC3585" t="s">
        <v>138</v>
      </c>
      <c r="AD3585" t="s">
        <v>129</v>
      </c>
      <c r="AE3585" s="97"/>
    </row>
    <row r="3586" spans="1:31" ht="14.4" customHeight="1" x14ac:dyDescent="0.3">
      <c r="A3586" t="s">
        <v>6120</v>
      </c>
      <c r="B3586" t="s">
        <v>2617</v>
      </c>
      <c r="C3586"/>
      <c r="D3586"/>
      <c r="E3586"/>
      <c r="F3586"/>
      <c r="G3586" t="s">
        <v>5944</v>
      </c>
      <c r="H3586" t="s">
        <v>132</v>
      </c>
      <c r="I3586" t="s">
        <v>2</v>
      </c>
      <c r="J3586" t="s">
        <v>5298</v>
      </c>
      <c r="K3586" t="s">
        <v>52</v>
      </c>
      <c r="L3586" t="s">
        <v>2618</v>
      </c>
      <c r="M3586" t="s">
        <v>134</v>
      </c>
      <c r="N3586" t="s">
        <v>135</v>
      </c>
      <c r="O3586"/>
      <c r="P3586"/>
      <c r="Q3586" t="s">
        <v>168</v>
      </c>
      <c r="R3586"/>
      <c r="S3586"/>
      <c r="T3586" t="s">
        <v>2165</v>
      </c>
      <c r="U3586" t="s">
        <v>137</v>
      </c>
      <c r="V3586" t="s">
        <v>162</v>
      </c>
      <c r="W3586"/>
      <c r="X3586" t="s">
        <v>113</v>
      </c>
      <c r="Y3586"/>
      <c r="Z3586"/>
      <c r="AA3586" t="s">
        <v>2163</v>
      </c>
      <c r="AB3586" t="s">
        <v>2</v>
      </c>
      <c r="AC3586" t="s">
        <v>138</v>
      </c>
      <c r="AD3586" t="s">
        <v>129</v>
      </c>
      <c r="AE3586" s="97"/>
    </row>
    <row r="3587" spans="1:31" ht="14.4" customHeight="1" x14ac:dyDescent="0.3">
      <c r="A3587" t="s">
        <v>6121</v>
      </c>
      <c r="B3587" t="s">
        <v>2620</v>
      </c>
      <c r="C3587"/>
      <c r="D3587"/>
      <c r="E3587"/>
      <c r="F3587"/>
      <c r="G3587" t="s">
        <v>5944</v>
      </c>
      <c r="H3587" t="s">
        <v>132</v>
      </c>
      <c r="I3587" t="s">
        <v>2</v>
      </c>
      <c r="J3587" t="s">
        <v>5298</v>
      </c>
      <c r="K3587" t="s">
        <v>52</v>
      </c>
      <c r="L3587" t="s">
        <v>2618</v>
      </c>
      <c r="M3587" t="s">
        <v>134</v>
      </c>
      <c r="N3587" t="s">
        <v>135</v>
      </c>
      <c r="O3587"/>
      <c r="P3587"/>
      <c r="Q3587" t="s">
        <v>168</v>
      </c>
      <c r="R3587"/>
      <c r="S3587"/>
      <c r="T3587" t="s">
        <v>2165</v>
      </c>
      <c r="U3587" t="s">
        <v>137</v>
      </c>
      <c r="V3587" t="s">
        <v>162</v>
      </c>
      <c r="W3587"/>
      <c r="X3587" t="s">
        <v>113</v>
      </c>
      <c r="Y3587"/>
      <c r="Z3587"/>
      <c r="AA3587" t="s">
        <v>2163</v>
      </c>
      <c r="AB3587" t="s">
        <v>2</v>
      </c>
      <c r="AC3587" t="s">
        <v>138</v>
      </c>
      <c r="AD3587" t="s">
        <v>129</v>
      </c>
      <c r="AE3587" s="97"/>
    </row>
    <row r="3588" spans="1:31" ht="14.4" customHeight="1" x14ac:dyDescent="0.3">
      <c r="A3588" t="s">
        <v>6122</v>
      </c>
      <c r="B3588" t="s">
        <v>2622</v>
      </c>
      <c r="C3588"/>
      <c r="D3588"/>
      <c r="E3588"/>
      <c r="F3588"/>
      <c r="G3588" t="s">
        <v>5944</v>
      </c>
      <c r="H3588" t="s">
        <v>132</v>
      </c>
      <c r="I3588" t="s">
        <v>2</v>
      </c>
      <c r="J3588" t="s">
        <v>5298</v>
      </c>
      <c r="K3588" t="s">
        <v>52</v>
      </c>
      <c r="L3588" t="s">
        <v>2623</v>
      </c>
      <c r="M3588" t="s">
        <v>134</v>
      </c>
      <c r="N3588" t="s">
        <v>135</v>
      </c>
      <c r="O3588"/>
      <c r="P3588"/>
      <c r="Q3588" t="s">
        <v>168</v>
      </c>
      <c r="R3588"/>
      <c r="S3588"/>
      <c r="T3588" t="s">
        <v>2165</v>
      </c>
      <c r="U3588" t="s">
        <v>137</v>
      </c>
      <c r="V3588" t="s">
        <v>165</v>
      </c>
      <c r="W3588"/>
      <c r="X3588" t="s">
        <v>122</v>
      </c>
      <c r="Y3588"/>
      <c r="Z3588"/>
      <c r="AA3588" t="s">
        <v>2163</v>
      </c>
      <c r="AB3588" t="s">
        <v>2</v>
      </c>
      <c r="AC3588" t="s">
        <v>138</v>
      </c>
      <c r="AD3588" t="s">
        <v>130</v>
      </c>
      <c r="AE3588" s="97"/>
    </row>
    <row r="3589" spans="1:31" ht="14.4" customHeight="1" x14ac:dyDescent="0.3">
      <c r="A3589" t="s">
        <v>6123</v>
      </c>
      <c r="B3589" t="s">
        <v>2625</v>
      </c>
      <c r="C3589"/>
      <c r="D3589"/>
      <c r="E3589"/>
      <c r="F3589"/>
      <c r="G3589" t="s">
        <v>5944</v>
      </c>
      <c r="H3589" t="s">
        <v>132</v>
      </c>
      <c r="I3589" t="s">
        <v>2</v>
      </c>
      <c r="J3589" t="s">
        <v>5298</v>
      </c>
      <c r="K3589" t="s">
        <v>52</v>
      </c>
      <c r="L3589" t="s">
        <v>2623</v>
      </c>
      <c r="M3589" t="s">
        <v>134</v>
      </c>
      <c r="N3589" t="s">
        <v>135</v>
      </c>
      <c r="O3589"/>
      <c r="P3589"/>
      <c r="Q3589" t="s">
        <v>168</v>
      </c>
      <c r="R3589"/>
      <c r="S3589"/>
      <c r="T3589" t="s">
        <v>2165</v>
      </c>
      <c r="U3589" t="s">
        <v>137</v>
      </c>
      <c r="V3589" t="s">
        <v>165</v>
      </c>
      <c r="W3589"/>
      <c r="X3589" t="s">
        <v>122</v>
      </c>
      <c r="Y3589"/>
      <c r="Z3589"/>
      <c r="AA3589" t="s">
        <v>2163</v>
      </c>
      <c r="AB3589" t="s">
        <v>2</v>
      </c>
      <c r="AC3589" t="s">
        <v>138</v>
      </c>
      <c r="AD3589" t="s">
        <v>130</v>
      </c>
      <c r="AE3589" s="97"/>
    </row>
    <row r="3590" spans="1:31" ht="14.4" customHeight="1" x14ac:dyDescent="0.3">
      <c r="A3590" t="s">
        <v>6124</v>
      </c>
      <c r="B3590" t="s">
        <v>2627</v>
      </c>
      <c r="C3590"/>
      <c r="D3590"/>
      <c r="E3590"/>
      <c r="F3590"/>
      <c r="G3590" t="s">
        <v>5944</v>
      </c>
      <c r="H3590" t="s">
        <v>132</v>
      </c>
      <c r="I3590" t="s">
        <v>2</v>
      </c>
      <c r="J3590" t="s">
        <v>5298</v>
      </c>
      <c r="K3590" t="s">
        <v>52</v>
      </c>
      <c r="L3590" t="s">
        <v>2628</v>
      </c>
      <c r="M3590" t="s">
        <v>134</v>
      </c>
      <c r="N3590" t="s">
        <v>135</v>
      </c>
      <c r="O3590"/>
      <c r="P3590"/>
      <c r="Q3590" t="s">
        <v>168</v>
      </c>
      <c r="R3590"/>
      <c r="S3590"/>
      <c r="T3590" t="s">
        <v>2165</v>
      </c>
      <c r="U3590" t="s">
        <v>137</v>
      </c>
      <c r="V3590" t="s">
        <v>150</v>
      </c>
      <c r="W3590"/>
      <c r="X3590" t="s">
        <v>76</v>
      </c>
      <c r="Y3590"/>
      <c r="Z3590"/>
      <c r="AA3590" t="s">
        <v>2163</v>
      </c>
      <c r="AB3590" t="s">
        <v>2</v>
      </c>
      <c r="AC3590" t="s">
        <v>138</v>
      </c>
      <c r="AD3590" t="s">
        <v>128</v>
      </c>
      <c r="AE3590" s="97"/>
    </row>
    <row r="3591" spans="1:31" ht="14.4" customHeight="1" x14ac:dyDescent="0.3">
      <c r="A3591" t="s">
        <v>6125</v>
      </c>
      <c r="B3591" t="s">
        <v>2630</v>
      </c>
      <c r="C3591"/>
      <c r="D3591"/>
      <c r="E3591"/>
      <c r="F3591"/>
      <c r="G3591" t="s">
        <v>5944</v>
      </c>
      <c r="H3591" t="s">
        <v>132</v>
      </c>
      <c r="I3591" t="s">
        <v>2</v>
      </c>
      <c r="J3591" t="s">
        <v>5298</v>
      </c>
      <c r="K3591" t="s">
        <v>52</v>
      </c>
      <c r="L3591" t="s">
        <v>2631</v>
      </c>
      <c r="M3591" t="s">
        <v>134</v>
      </c>
      <c r="N3591" t="s">
        <v>135</v>
      </c>
      <c r="O3591"/>
      <c r="P3591"/>
      <c r="Q3591" t="s">
        <v>168</v>
      </c>
      <c r="R3591"/>
      <c r="S3591"/>
      <c r="T3591" t="s">
        <v>2165</v>
      </c>
      <c r="U3591" t="s">
        <v>137</v>
      </c>
      <c r="V3591" t="s">
        <v>153</v>
      </c>
      <c r="W3591"/>
      <c r="X3591" t="s">
        <v>88</v>
      </c>
      <c r="Y3591"/>
      <c r="Z3591"/>
      <c r="AA3591" t="s">
        <v>2163</v>
      </c>
      <c r="AB3591" t="s">
        <v>2</v>
      </c>
      <c r="AC3591" t="s">
        <v>138</v>
      </c>
      <c r="AD3591" t="s">
        <v>129</v>
      </c>
      <c r="AE3591" s="97"/>
    </row>
    <row r="3592" spans="1:31" ht="14.4" customHeight="1" x14ac:dyDescent="0.3">
      <c r="A3592" t="s">
        <v>6126</v>
      </c>
      <c r="B3592" t="s">
        <v>2633</v>
      </c>
      <c r="C3592"/>
      <c r="D3592"/>
      <c r="E3592"/>
      <c r="F3592"/>
      <c r="G3592" t="s">
        <v>5944</v>
      </c>
      <c r="H3592" t="s">
        <v>132</v>
      </c>
      <c r="I3592" t="s">
        <v>2</v>
      </c>
      <c r="J3592" t="s">
        <v>5298</v>
      </c>
      <c r="K3592" t="s">
        <v>52</v>
      </c>
      <c r="L3592" t="s">
        <v>2634</v>
      </c>
      <c r="M3592" t="s">
        <v>134</v>
      </c>
      <c r="N3592" t="s">
        <v>135</v>
      </c>
      <c r="O3592"/>
      <c r="P3592"/>
      <c r="Q3592" t="s">
        <v>168</v>
      </c>
      <c r="R3592"/>
      <c r="S3592"/>
      <c r="T3592" t="s">
        <v>2165</v>
      </c>
      <c r="U3592" t="s">
        <v>137</v>
      </c>
      <c r="V3592" t="s">
        <v>156</v>
      </c>
      <c r="W3592"/>
      <c r="X3592" t="s">
        <v>97</v>
      </c>
      <c r="Y3592"/>
      <c r="Z3592"/>
      <c r="AA3592" t="s">
        <v>2163</v>
      </c>
      <c r="AB3592" t="s">
        <v>2</v>
      </c>
      <c r="AC3592" t="s">
        <v>138</v>
      </c>
      <c r="AD3592" t="s">
        <v>129</v>
      </c>
      <c r="AE3592" s="97"/>
    </row>
    <row r="3593" spans="1:31" ht="14.4" customHeight="1" x14ac:dyDescent="0.3">
      <c r="A3593" t="s">
        <v>6127</v>
      </c>
      <c r="B3593" t="s">
        <v>2636</v>
      </c>
      <c r="C3593"/>
      <c r="D3593"/>
      <c r="E3593"/>
      <c r="F3593"/>
      <c r="G3593" t="s">
        <v>5944</v>
      </c>
      <c r="H3593" t="s">
        <v>132</v>
      </c>
      <c r="I3593" t="s">
        <v>2</v>
      </c>
      <c r="J3593" t="s">
        <v>5298</v>
      </c>
      <c r="K3593" t="s">
        <v>52</v>
      </c>
      <c r="L3593" t="s">
        <v>2637</v>
      </c>
      <c r="M3593" t="s">
        <v>134</v>
      </c>
      <c r="N3593" t="s">
        <v>135</v>
      </c>
      <c r="O3593"/>
      <c r="P3593"/>
      <c r="Q3593" t="s">
        <v>168</v>
      </c>
      <c r="R3593"/>
      <c r="S3593"/>
      <c r="T3593" t="s">
        <v>2165</v>
      </c>
      <c r="U3593" t="s">
        <v>137</v>
      </c>
      <c r="V3593" t="s">
        <v>159</v>
      </c>
      <c r="W3593"/>
      <c r="X3593" t="s">
        <v>106</v>
      </c>
      <c r="Y3593"/>
      <c r="Z3593"/>
      <c r="AA3593" t="s">
        <v>2163</v>
      </c>
      <c r="AB3593" t="s">
        <v>2</v>
      </c>
      <c r="AC3593" t="s">
        <v>138</v>
      </c>
      <c r="AD3593" t="s">
        <v>129</v>
      </c>
      <c r="AE3593" s="97"/>
    </row>
    <row r="3594" spans="1:31" ht="14.4" customHeight="1" x14ac:dyDescent="0.3">
      <c r="A3594" t="s">
        <v>6128</v>
      </c>
      <c r="B3594" t="s">
        <v>2639</v>
      </c>
      <c r="C3594"/>
      <c r="D3594"/>
      <c r="E3594"/>
      <c r="F3594"/>
      <c r="G3594" t="s">
        <v>5944</v>
      </c>
      <c r="H3594" t="s">
        <v>132</v>
      </c>
      <c r="I3594" t="s">
        <v>2</v>
      </c>
      <c r="J3594" t="s">
        <v>5298</v>
      </c>
      <c r="K3594" t="s">
        <v>52</v>
      </c>
      <c r="L3594" t="s">
        <v>2640</v>
      </c>
      <c r="M3594" t="s">
        <v>134</v>
      </c>
      <c r="N3594" t="s">
        <v>135</v>
      </c>
      <c r="O3594"/>
      <c r="P3594"/>
      <c r="Q3594" t="s">
        <v>168</v>
      </c>
      <c r="R3594"/>
      <c r="S3594"/>
      <c r="T3594" t="s">
        <v>2165</v>
      </c>
      <c r="U3594" t="s">
        <v>137</v>
      </c>
      <c r="V3594" t="s">
        <v>162</v>
      </c>
      <c r="W3594"/>
      <c r="X3594" t="s">
        <v>113</v>
      </c>
      <c r="Y3594"/>
      <c r="Z3594"/>
      <c r="AA3594" t="s">
        <v>2163</v>
      </c>
      <c r="AB3594" t="s">
        <v>2</v>
      </c>
      <c r="AC3594" t="s">
        <v>138</v>
      </c>
      <c r="AD3594" t="s">
        <v>129</v>
      </c>
      <c r="AE3594" s="97"/>
    </row>
    <row r="3595" spans="1:31" ht="14.4" customHeight="1" x14ac:dyDescent="0.3">
      <c r="A3595" t="s">
        <v>6129</v>
      </c>
      <c r="B3595" t="s">
        <v>2642</v>
      </c>
      <c r="C3595"/>
      <c r="D3595"/>
      <c r="E3595"/>
      <c r="F3595"/>
      <c r="G3595" t="s">
        <v>5944</v>
      </c>
      <c r="H3595" t="s">
        <v>132</v>
      </c>
      <c r="I3595" t="s">
        <v>2</v>
      </c>
      <c r="J3595" t="s">
        <v>5298</v>
      </c>
      <c r="K3595" t="s">
        <v>52</v>
      </c>
      <c r="L3595" t="s">
        <v>2643</v>
      </c>
      <c r="M3595" t="s">
        <v>134</v>
      </c>
      <c r="N3595" t="s">
        <v>135</v>
      </c>
      <c r="O3595"/>
      <c r="P3595"/>
      <c r="Q3595" t="s">
        <v>168</v>
      </c>
      <c r="R3595"/>
      <c r="S3595"/>
      <c r="T3595" t="s">
        <v>2165</v>
      </c>
      <c r="U3595" t="s">
        <v>137</v>
      </c>
      <c r="V3595" t="s">
        <v>165</v>
      </c>
      <c r="W3595"/>
      <c r="X3595" t="s">
        <v>122</v>
      </c>
      <c r="Y3595"/>
      <c r="Z3595"/>
      <c r="AA3595" t="s">
        <v>2163</v>
      </c>
      <c r="AB3595" t="s">
        <v>2</v>
      </c>
      <c r="AC3595" t="s">
        <v>138</v>
      </c>
      <c r="AD3595" t="s">
        <v>130</v>
      </c>
      <c r="AE3595" s="97"/>
    </row>
    <row r="3596" spans="1:31" ht="14.4" customHeight="1" x14ac:dyDescent="0.3">
      <c r="A3596" t="s">
        <v>6130</v>
      </c>
      <c r="B3596" t="s">
        <v>2645</v>
      </c>
      <c r="C3596"/>
      <c r="D3596"/>
      <c r="E3596"/>
      <c r="F3596"/>
      <c r="G3596" t="s">
        <v>5944</v>
      </c>
      <c r="H3596" t="s">
        <v>132</v>
      </c>
      <c r="I3596" t="s">
        <v>2</v>
      </c>
      <c r="J3596" t="s">
        <v>5298</v>
      </c>
      <c r="K3596" t="s">
        <v>52</v>
      </c>
      <c r="L3596" t="s">
        <v>2646</v>
      </c>
      <c r="M3596" t="s">
        <v>134</v>
      </c>
      <c r="N3596" t="s">
        <v>135</v>
      </c>
      <c r="O3596"/>
      <c r="P3596"/>
      <c r="Q3596" t="s">
        <v>168</v>
      </c>
      <c r="R3596"/>
      <c r="S3596"/>
      <c r="T3596" t="s">
        <v>2165</v>
      </c>
      <c r="U3596" t="s">
        <v>137</v>
      </c>
      <c r="V3596" t="s">
        <v>890</v>
      </c>
      <c r="W3596"/>
      <c r="X3596" t="s">
        <v>59</v>
      </c>
      <c r="Y3596"/>
      <c r="Z3596"/>
      <c r="AA3596" t="s">
        <v>2163</v>
      </c>
      <c r="AB3596" t="s">
        <v>2</v>
      </c>
      <c r="AC3596" t="s">
        <v>138</v>
      </c>
      <c r="AD3596" t="s">
        <v>128</v>
      </c>
      <c r="AE3596" s="97"/>
    </row>
    <row r="3597" spans="1:31" ht="14.4" customHeight="1" x14ac:dyDescent="0.3">
      <c r="A3597" t="s">
        <v>6131</v>
      </c>
      <c r="B3597" t="s">
        <v>2648</v>
      </c>
      <c r="C3597"/>
      <c r="D3597"/>
      <c r="E3597"/>
      <c r="F3597"/>
      <c r="G3597" t="s">
        <v>5944</v>
      </c>
      <c r="H3597" t="s">
        <v>132</v>
      </c>
      <c r="I3597" t="s">
        <v>2</v>
      </c>
      <c r="J3597" t="s">
        <v>5298</v>
      </c>
      <c r="K3597" t="s">
        <v>52</v>
      </c>
      <c r="L3597" t="s">
        <v>2646</v>
      </c>
      <c r="M3597" t="s">
        <v>134</v>
      </c>
      <c r="N3597" t="s">
        <v>135</v>
      </c>
      <c r="O3597"/>
      <c r="P3597"/>
      <c r="Q3597" t="s">
        <v>168</v>
      </c>
      <c r="R3597"/>
      <c r="S3597"/>
      <c r="T3597" t="s">
        <v>2165</v>
      </c>
      <c r="U3597" t="s">
        <v>137</v>
      </c>
      <c r="V3597" t="s">
        <v>890</v>
      </c>
      <c r="W3597"/>
      <c r="X3597" t="s">
        <v>59</v>
      </c>
      <c r="Y3597"/>
      <c r="Z3597"/>
      <c r="AA3597" t="s">
        <v>2163</v>
      </c>
      <c r="AB3597" t="s">
        <v>2</v>
      </c>
      <c r="AC3597" t="s">
        <v>138</v>
      </c>
      <c r="AD3597" t="s">
        <v>128</v>
      </c>
      <c r="AE3597" s="97"/>
    </row>
    <row r="3598" spans="1:31" ht="14.4" customHeight="1" x14ac:dyDescent="0.3">
      <c r="A3598" t="s">
        <v>6132</v>
      </c>
      <c r="B3598" t="s">
        <v>2650</v>
      </c>
      <c r="C3598"/>
      <c r="D3598"/>
      <c r="E3598"/>
      <c r="F3598"/>
      <c r="G3598" t="s">
        <v>5944</v>
      </c>
      <c r="H3598" t="s">
        <v>132</v>
      </c>
      <c r="I3598" t="s">
        <v>2</v>
      </c>
      <c r="J3598" t="s">
        <v>5298</v>
      </c>
      <c r="K3598" t="s">
        <v>52</v>
      </c>
      <c r="L3598" t="s">
        <v>2646</v>
      </c>
      <c r="M3598" t="s">
        <v>134</v>
      </c>
      <c r="N3598" t="s">
        <v>135</v>
      </c>
      <c r="O3598"/>
      <c r="P3598"/>
      <c r="Q3598" t="s">
        <v>168</v>
      </c>
      <c r="R3598"/>
      <c r="S3598"/>
      <c r="T3598" t="s">
        <v>2165</v>
      </c>
      <c r="U3598" t="s">
        <v>137</v>
      </c>
      <c r="V3598" t="s">
        <v>890</v>
      </c>
      <c r="W3598"/>
      <c r="X3598" t="s">
        <v>59</v>
      </c>
      <c r="Y3598"/>
      <c r="Z3598"/>
      <c r="AA3598" t="s">
        <v>2163</v>
      </c>
      <c r="AB3598" t="s">
        <v>2</v>
      </c>
      <c r="AC3598" t="s">
        <v>138</v>
      </c>
      <c r="AD3598" t="s">
        <v>128</v>
      </c>
      <c r="AE3598" s="97"/>
    </row>
    <row r="3599" spans="1:31" ht="14.4" customHeight="1" x14ac:dyDescent="0.3">
      <c r="A3599" t="s">
        <v>6133</v>
      </c>
      <c r="B3599" t="s">
        <v>2652</v>
      </c>
      <c r="C3599"/>
      <c r="D3599"/>
      <c r="E3599"/>
      <c r="F3599"/>
      <c r="G3599" t="s">
        <v>5944</v>
      </c>
      <c r="H3599" t="s">
        <v>132</v>
      </c>
      <c r="I3599" t="s">
        <v>2</v>
      </c>
      <c r="J3599" t="s">
        <v>5298</v>
      </c>
      <c r="K3599" t="s">
        <v>52</v>
      </c>
      <c r="L3599" t="s">
        <v>2646</v>
      </c>
      <c r="M3599" t="s">
        <v>134</v>
      </c>
      <c r="N3599" t="s">
        <v>135</v>
      </c>
      <c r="O3599"/>
      <c r="P3599"/>
      <c r="Q3599" t="s">
        <v>168</v>
      </c>
      <c r="R3599"/>
      <c r="S3599"/>
      <c r="T3599" t="s">
        <v>2165</v>
      </c>
      <c r="U3599" t="s">
        <v>137</v>
      </c>
      <c r="V3599" t="s">
        <v>890</v>
      </c>
      <c r="W3599"/>
      <c r="X3599" t="s">
        <v>59</v>
      </c>
      <c r="Y3599"/>
      <c r="Z3599"/>
      <c r="AA3599" t="s">
        <v>2163</v>
      </c>
      <c r="AB3599" t="s">
        <v>2</v>
      </c>
      <c r="AC3599" t="s">
        <v>138</v>
      </c>
      <c r="AD3599" t="s">
        <v>128</v>
      </c>
      <c r="AE3599" s="97"/>
    </row>
    <row r="3600" spans="1:31" ht="14.4" customHeight="1" x14ac:dyDescent="0.3">
      <c r="A3600" t="s">
        <v>6134</v>
      </c>
      <c r="B3600" t="s">
        <v>2654</v>
      </c>
      <c r="C3600"/>
      <c r="D3600"/>
      <c r="E3600"/>
      <c r="F3600"/>
      <c r="G3600" t="s">
        <v>5944</v>
      </c>
      <c r="H3600" t="s">
        <v>132</v>
      </c>
      <c r="I3600" t="s">
        <v>2</v>
      </c>
      <c r="J3600" t="s">
        <v>5298</v>
      </c>
      <c r="K3600" t="s">
        <v>52</v>
      </c>
      <c r="L3600" t="s">
        <v>2646</v>
      </c>
      <c r="M3600" t="s">
        <v>134</v>
      </c>
      <c r="N3600" t="s">
        <v>135</v>
      </c>
      <c r="O3600"/>
      <c r="P3600"/>
      <c r="Q3600" t="s">
        <v>168</v>
      </c>
      <c r="R3600"/>
      <c r="S3600"/>
      <c r="T3600" t="s">
        <v>2165</v>
      </c>
      <c r="U3600" t="s">
        <v>137</v>
      </c>
      <c r="V3600" t="s">
        <v>890</v>
      </c>
      <c r="W3600"/>
      <c r="X3600" t="s">
        <v>59</v>
      </c>
      <c r="Y3600"/>
      <c r="Z3600"/>
      <c r="AA3600" t="s">
        <v>2163</v>
      </c>
      <c r="AB3600" t="s">
        <v>2</v>
      </c>
      <c r="AC3600" t="s">
        <v>138</v>
      </c>
      <c r="AD3600" t="s">
        <v>128</v>
      </c>
      <c r="AE3600" s="97"/>
    </row>
    <row r="3601" spans="1:31" ht="14.4" customHeight="1" x14ac:dyDescent="0.3">
      <c r="A3601" t="s">
        <v>6135</v>
      </c>
      <c r="B3601" t="s">
        <v>2656</v>
      </c>
      <c r="C3601"/>
      <c r="D3601"/>
      <c r="E3601"/>
      <c r="F3601"/>
      <c r="G3601" t="s">
        <v>5944</v>
      </c>
      <c r="H3601" t="s">
        <v>132</v>
      </c>
      <c r="I3601" t="s">
        <v>2</v>
      </c>
      <c r="J3601" t="s">
        <v>5298</v>
      </c>
      <c r="K3601" t="s">
        <v>52</v>
      </c>
      <c r="L3601" t="s">
        <v>1638</v>
      </c>
      <c r="M3601" t="s">
        <v>134</v>
      </c>
      <c r="N3601" t="s">
        <v>135</v>
      </c>
      <c r="O3601"/>
      <c r="P3601"/>
      <c r="Q3601" t="s">
        <v>168</v>
      </c>
      <c r="R3601"/>
      <c r="S3601"/>
      <c r="T3601" t="s">
        <v>2165</v>
      </c>
      <c r="U3601" t="s">
        <v>137</v>
      </c>
      <c r="V3601" t="s">
        <v>890</v>
      </c>
      <c r="W3601"/>
      <c r="X3601" t="s">
        <v>59</v>
      </c>
      <c r="Y3601"/>
      <c r="Z3601"/>
      <c r="AA3601" t="s">
        <v>2163</v>
      </c>
      <c r="AB3601" t="s">
        <v>2</v>
      </c>
      <c r="AC3601" t="s">
        <v>138</v>
      </c>
      <c r="AD3601" t="s">
        <v>128</v>
      </c>
      <c r="AE3601" s="97"/>
    </row>
    <row r="3602" spans="1:31" ht="14.4" customHeight="1" x14ac:dyDescent="0.3">
      <c r="A3602" t="s">
        <v>6136</v>
      </c>
      <c r="B3602" t="s">
        <v>2658</v>
      </c>
      <c r="C3602"/>
      <c r="D3602"/>
      <c r="E3602"/>
      <c r="F3602"/>
      <c r="G3602" t="s">
        <v>5944</v>
      </c>
      <c r="H3602" t="s">
        <v>132</v>
      </c>
      <c r="I3602" t="s">
        <v>2</v>
      </c>
      <c r="J3602" t="s">
        <v>5298</v>
      </c>
      <c r="K3602" t="s">
        <v>52</v>
      </c>
      <c r="L3602" t="s">
        <v>1638</v>
      </c>
      <c r="M3602" t="s">
        <v>134</v>
      </c>
      <c r="N3602" t="s">
        <v>135</v>
      </c>
      <c r="O3602"/>
      <c r="P3602"/>
      <c r="Q3602" t="s">
        <v>168</v>
      </c>
      <c r="R3602"/>
      <c r="S3602"/>
      <c r="T3602" t="s">
        <v>2165</v>
      </c>
      <c r="U3602" t="s">
        <v>137</v>
      </c>
      <c r="V3602" t="s">
        <v>890</v>
      </c>
      <c r="W3602"/>
      <c r="X3602" t="s">
        <v>59</v>
      </c>
      <c r="Y3602"/>
      <c r="Z3602"/>
      <c r="AA3602" t="s">
        <v>2163</v>
      </c>
      <c r="AB3602" t="s">
        <v>2</v>
      </c>
      <c r="AC3602" t="s">
        <v>138</v>
      </c>
      <c r="AD3602" t="s">
        <v>128</v>
      </c>
      <c r="AE3602" s="97"/>
    </row>
    <row r="3603" spans="1:31" ht="14.4" customHeight="1" x14ac:dyDescent="0.3">
      <c r="A3603" t="s">
        <v>6137</v>
      </c>
      <c r="B3603" t="s">
        <v>2660</v>
      </c>
      <c r="C3603"/>
      <c r="D3603"/>
      <c r="E3603"/>
      <c r="F3603"/>
      <c r="G3603" t="s">
        <v>5944</v>
      </c>
      <c r="H3603" t="s">
        <v>132</v>
      </c>
      <c r="I3603" t="s">
        <v>2</v>
      </c>
      <c r="J3603" t="s">
        <v>5298</v>
      </c>
      <c r="K3603" t="s">
        <v>52</v>
      </c>
      <c r="L3603" t="s">
        <v>1638</v>
      </c>
      <c r="M3603" t="s">
        <v>134</v>
      </c>
      <c r="N3603" t="s">
        <v>135</v>
      </c>
      <c r="O3603"/>
      <c r="P3603"/>
      <c r="Q3603" t="s">
        <v>168</v>
      </c>
      <c r="R3603"/>
      <c r="S3603"/>
      <c r="T3603" t="s">
        <v>2165</v>
      </c>
      <c r="U3603" t="s">
        <v>137</v>
      </c>
      <c r="V3603" t="s">
        <v>890</v>
      </c>
      <c r="W3603"/>
      <c r="X3603" t="s">
        <v>59</v>
      </c>
      <c r="Y3603"/>
      <c r="Z3603"/>
      <c r="AA3603" t="s">
        <v>2163</v>
      </c>
      <c r="AB3603" t="s">
        <v>2</v>
      </c>
      <c r="AC3603" t="s">
        <v>138</v>
      </c>
      <c r="AD3603" t="s">
        <v>128</v>
      </c>
      <c r="AE3603" s="97"/>
    </row>
    <row r="3604" spans="1:31" ht="14.4" customHeight="1" x14ac:dyDescent="0.3">
      <c r="A3604" t="s">
        <v>6138</v>
      </c>
      <c r="B3604" t="s">
        <v>2662</v>
      </c>
      <c r="C3604"/>
      <c r="D3604"/>
      <c r="E3604"/>
      <c r="F3604"/>
      <c r="G3604" t="s">
        <v>5944</v>
      </c>
      <c r="H3604" t="s">
        <v>132</v>
      </c>
      <c r="I3604" t="s">
        <v>2</v>
      </c>
      <c r="J3604" t="s">
        <v>5298</v>
      </c>
      <c r="K3604" t="s">
        <v>52</v>
      </c>
      <c r="L3604" t="s">
        <v>1638</v>
      </c>
      <c r="M3604" t="s">
        <v>134</v>
      </c>
      <c r="N3604" t="s">
        <v>135</v>
      </c>
      <c r="O3604"/>
      <c r="P3604"/>
      <c r="Q3604" t="s">
        <v>168</v>
      </c>
      <c r="R3604"/>
      <c r="S3604"/>
      <c r="T3604" t="s">
        <v>2165</v>
      </c>
      <c r="U3604" t="s">
        <v>137</v>
      </c>
      <c r="V3604" t="s">
        <v>890</v>
      </c>
      <c r="W3604"/>
      <c r="X3604" t="s">
        <v>59</v>
      </c>
      <c r="Y3604"/>
      <c r="Z3604"/>
      <c r="AA3604" t="s">
        <v>2163</v>
      </c>
      <c r="AB3604" t="s">
        <v>2</v>
      </c>
      <c r="AC3604" t="s">
        <v>138</v>
      </c>
      <c r="AD3604" t="s">
        <v>128</v>
      </c>
      <c r="AE3604" s="97"/>
    </row>
    <row r="3605" spans="1:31" ht="14.4" customHeight="1" x14ac:dyDescent="0.3">
      <c r="A3605" t="s">
        <v>6139</v>
      </c>
      <c r="B3605" t="s">
        <v>2664</v>
      </c>
      <c r="C3605"/>
      <c r="D3605"/>
      <c r="E3605"/>
      <c r="F3605"/>
      <c r="G3605" t="s">
        <v>5944</v>
      </c>
      <c r="H3605" t="s">
        <v>132</v>
      </c>
      <c r="I3605" t="s">
        <v>2</v>
      </c>
      <c r="J3605" t="s">
        <v>5298</v>
      </c>
      <c r="K3605" t="s">
        <v>52</v>
      </c>
      <c r="L3605" t="s">
        <v>1641</v>
      </c>
      <c r="M3605" t="s">
        <v>134</v>
      </c>
      <c r="N3605" t="s">
        <v>135</v>
      </c>
      <c r="O3605"/>
      <c r="P3605"/>
      <c r="Q3605" t="s">
        <v>168</v>
      </c>
      <c r="R3605"/>
      <c r="S3605"/>
      <c r="T3605" t="s">
        <v>2165</v>
      </c>
      <c r="U3605" t="s">
        <v>137</v>
      </c>
      <c r="V3605" t="s">
        <v>890</v>
      </c>
      <c r="W3605"/>
      <c r="X3605" t="s">
        <v>59</v>
      </c>
      <c r="Y3605"/>
      <c r="Z3605"/>
      <c r="AA3605" t="s">
        <v>2163</v>
      </c>
      <c r="AB3605" t="s">
        <v>2</v>
      </c>
      <c r="AC3605" t="s">
        <v>138</v>
      </c>
      <c r="AD3605" t="s">
        <v>128</v>
      </c>
      <c r="AE3605" s="97"/>
    </row>
    <row r="3606" spans="1:31" ht="14.4" customHeight="1" x14ac:dyDescent="0.3">
      <c r="A3606" t="s">
        <v>6140</v>
      </c>
      <c r="B3606" t="s">
        <v>2666</v>
      </c>
      <c r="C3606"/>
      <c r="D3606"/>
      <c r="E3606"/>
      <c r="F3606"/>
      <c r="G3606" t="s">
        <v>5944</v>
      </c>
      <c r="H3606" t="s">
        <v>132</v>
      </c>
      <c r="I3606" t="s">
        <v>2</v>
      </c>
      <c r="J3606" t="s">
        <v>5298</v>
      </c>
      <c r="K3606" t="s">
        <v>52</v>
      </c>
      <c r="L3606" t="s">
        <v>1641</v>
      </c>
      <c r="M3606" t="s">
        <v>134</v>
      </c>
      <c r="N3606" t="s">
        <v>135</v>
      </c>
      <c r="O3606"/>
      <c r="P3606"/>
      <c r="Q3606" t="s">
        <v>168</v>
      </c>
      <c r="R3606"/>
      <c r="S3606"/>
      <c r="T3606" t="s">
        <v>2165</v>
      </c>
      <c r="U3606" t="s">
        <v>137</v>
      </c>
      <c r="V3606" t="s">
        <v>890</v>
      </c>
      <c r="W3606"/>
      <c r="X3606" t="s">
        <v>59</v>
      </c>
      <c r="Y3606"/>
      <c r="Z3606"/>
      <c r="AA3606" t="s">
        <v>2163</v>
      </c>
      <c r="AB3606" t="s">
        <v>2</v>
      </c>
      <c r="AC3606" t="s">
        <v>138</v>
      </c>
      <c r="AD3606" t="s">
        <v>128</v>
      </c>
      <c r="AE3606" s="97"/>
    </row>
    <row r="3607" spans="1:31" ht="14.4" customHeight="1" x14ac:dyDescent="0.3">
      <c r="A3607" t="s">
        <v>6141</v>
      </c>
      <c r="B3607" t="s">
        <v>2668</v>
      </c>
      <c r="C3607"/>
      <c r="D3607"/>
      <c r="E3607"/>
      <c r="F3607"/>
      <c r="G3607" t="s">
        <v>5944</v>
      </c>
      <c r="H3607" t="s">
        <v>132</v>
      </c>
      <c r="I3607" t="s">
        <v>2</v>
      </c>
      <c r="J3607" t="s">
        <v>5298</v>
      </c>
      <c r="K3607" t="s">
        <v>52</v>
      </c>
      <c r="L3607" t="s">
        <v>1638</v>
      </c>
      <c r="M3607" t="s">
        <v>134</v>
      </c>
      <c r="N3607" t="s">
        <v>135</v>
      </c>
      <c r="O3607"/>
      <c r="P3607"/>
      <c r="Q3607" t="s">
        <v>168</v>
      </c>
      <c r="R3607"/>
      <c r="S3607"/>
      <c r="T3607" t="s">
        <v>2165</v>
      </c>
      <c r="U3607" t="s">
        <v>137</v>
      </c>
      <c r="V3607" t="s">
        <v>890</v>
      </c>
      <c r="W3607"/>
      <c r="X3607" t="s">
        <v>59</v>
      </c>
      <c r="Y3607"/>
      <c r="Z3607"/>
      <c r="AA3607" t="s">
        <v>2163</v>
      </c>
      <c r="AB3607" t="s">
        <v>2</v>
      </c>
      <c r="AC3607" t="s">
        <v>138</v>
      </c>
      <c r="AD3607" t="s">
        <v>128</v>
      </c>
      <c r="AE3607" s="97"/>
    </row>
    <row r="3608" spans="1:31" ht="14.4" customHeight="1" x14ac:dyDescent="0.3">
      <c r="A3608" t="s">
        <v>6142</v>
      </c>
      <c r="B3608" t="s">
        <v>2670</v>
      </c>
      <c r="C3608"/>
      <c r="D3608"/>
      <c r="E3608"/>
      <c r="F3608"/>
      <c r="G3608" t="s">
        <v>5944</v>
      </c>
      <c r="H3608" t="s">
        <v>132</v>
      </c>
      <c r="I3608" t="s">
        <v>2</v>
      </c>
      <c r="J3608" t="s">
        <v>5298</v>
      </c>
      <c r="K3608" t="s">
        <v>52</v>
      </c>
      <c r="L3608" t="s">
        <v>1638</v>
      </c>
      <c r="M3608" t="s">
        <v>134</v>
      </c>
      <c r="N3608" t="s">
        <v>135</v>
      </c>
      <c r="O3608"/>
      <c r="P3608"/>
      <c r="Q3608" t="s">
        <v>168</v>
      </c>
      <c r="R3608"/>
      <c r="S3608"/>
      <c r="T3608" t="s">
        <v>2165</v>
      </c>
      <c r="U3608" t="s">
        <v>137</v>
      </c>
      <c r="V3608" t="s">
        <v>890</v>
      </c>
      <c r="W3608"/>
      <c r="X3608" t="s">
        <v>59</v>
      </c>
      <c r="Y3608"/>
      <c r="Z3608"/>
      <c r="AA3608" t="s">
        <v>2163</v>
      </c>
      <c r="AB3608" t="s">
        <v>2</v>
      </c>
      <c r="AC3608" t="s">
        <v>138</v>
      </c>
      <c r="AD3608" t="s">
        <v>128</v>
      </c>
      <c r="AE3608" s="97"/>
    </row>
    <row r="3609" spans="1:31" ht="14.4" customHeight="1" x14ac:dyDescent="0.3">
      <c r="A3609" t="s">
        <v>6143</v>
      </c>
      <c r="B3609" t="s">
        <v>2672</v>
      </c>
      <c r="C3609"/>
      <c r="D3609"/>
      <c r="E3609"/>
      <c r="F3609"/>
      <c r="G3609" t="s">
        <v>5944</v>
      </c>
      <c r="H3609" t="s">
        <v>132</v>
      </c>
      <c r="I3609" t="s">
        <v>2</v>
      </c>
      <c r="J3609" t="s">
        <v>5298</v>
      </c>
      <c r="K3609" t="s">
        <v>52</v>
      </c>
      <c r="L3609" t="s">
        <v>1638</v>
      </c>
      <c r="M3609" t="s">
        <v>134</v>
      </c>
      <c r="N3609" t="s">
        <v>135</v>
      </c>
      <c r="O3609"/>
      <c r="P3609"/>
      <c r="Q3609" t="s">
        <v>168</v>
      </c>
      <c r="R3609"/>
      <c r="S3609"/>
      <c r="T3609" t="s">
        <v>2165</v>
      </c>
      <c r="U3609" t="s">
        <v>137</v>
      </c>
      <c r="V3609" t="s">
        <v>890</v>
      </c>
      <c r="W3609"/>
      <c r="X3609" t="s">
        <v>59</v>
      </c>
      <c r="Y3609"/>
      <c r="Z3609"/>
      <c r="AA3609" t="s">
        <v>2163</v>
      </c>
      <c r="AB3609" t="s">
        <v>2</v>
      </c>
      <c r="AC3609" t="s">
        <v>138</v>
      </c>
      <c r="AD3609" t="s">
        <v>128</v>
      </c>
      <c r="AE3609" s="97"/>
    </row>
    <row r="3610" spans="1:31" ht="14.4" customHeight="1" x14ac:dyDescent="0.3">
      <c r="A3610" t="s">
        <v>6144</v>
      </c>
      <c r="B3610" t="s">
        <v>2682</v>
      </c>
      <c r="C3610"/>
      <c r="D3610"/>
      <c r="E3610"/>
      <c r="F3610"/>
      <c r="G3610" t="s">
        <v>5944</v>
      </c>
      <c r="H3610" t="s">
        <v>132</v>
      </c>
      <c r="I3610" t="s">
        <v>2</v>
      </c>
      <c r="J3610" t="s">
        <v>5298</v>
      </c>
      <c r="K3610" t="s">
        <v>52</v>
      </c>
      <c r="L3610" t="s">
        <v>2683</v>
      </c>
      <c r="M3610" t="s">
        <v>134</v>
      </c>
      <c r="N3610" t="s">
        <v>135</v>
      </c>
      <c r="O3610"/>
      <c r="P3610"/>
      <c r="Q3610" t="s">
        <v>168</v>
      </c>
      <c r="R3610"/>
      <c r="S3610"/>
      <c r="T3610" t="s">
        <v>2165</v>
      </c>
      <c r="U3610" t="s">
        <v>137</v>
      </c>
      <c r="V3610" t="s">
        <v>890</v>
      </c>
      <c r="W3610"/>
      <c r="X3610" t="s">
        <v>59</v>
      </c>
      <c r="Y3610"/>
      <c r="Z3610"/>
      <c r="AA3610" t="s">
        <v>2163</v>
      </c>
      <c r="AB3610" t="s">
        <v>2</v>
      </c>
      <c r="AC3610" t="s">
        <v>138</v>
      </c>
      <c r="AD3610" t="s">
        <v>128</v>
      </c>
      <c r="AE3610" s="97"/>
    </row>
    <row r="3611" spans="1:31" ht="14.4" customHeight="1" x14ac:dyDescent="0.3">
      <c r="A3611" t="s">
        <v>6145</v>
      </c>
      <c r="B3611" t="s">
        <v>2685</v>
      </c>
      <c r="C3611"/>
      <c r="D3611"/>
      <c r="E3611"/>
      <c r="F3611"/>
      <c r="G3611" t="s">
        <v>5944</v>
      </c>
      <c r="H3611" t="s">
        <v>132</v>
      </c>
      <c r="I3611" t="s">
        <v>2</v>
      </c>
      <c r="J3611" t="s">
        <v>5298</v>
      </c>
      <c r="K3611" t="s">
        <v>52</v>
      </c>
      <c r="L3611" t="s">
        <v>2686</v>
      </c>
      <c r="M3611" t="s">
        <v>134</v>
      </c>
      <c r="N3611" t="s">
        <v>135</v>
      </c>
      <c r="O3611"/>
      <c r="P3611"/>
      <c r="Q3611" t="s">
        <v>168</v>
      </c>
      <c r="R3611"/>
      <c r="S3611"/>
      <c r="T3611" t="s">
        <v>2165</v>
      </c>
      <c r="U3611" t="s">
        <v>137</v>
      </c>
      <c r="V3611" t="s">
        <v>890</v>
      </c>
      <c r="W3611"/>
      <c r="X3611" t="s">
        <v>59</v>
      </c>
      <c r="Y3611"/>
      <c r="Z3611"/>
      <c r="AA3611" t="s">
        <v>2163</v>
      </c>
      <c r="AB3611" t="s">
        <v>2</v>
      </c>
      <c r="AC3611" t="s">
        <v>138</v>
      </c>
      <c r="AD3611" t="s">
        <v>128</v>
      </c>
      <c r="AE3611" s="97"/>
    </row>
    <row r="3612" spans="1:31" ht="14.4" customHeight="1" x14ac:dyDescent="0.3">
      <c r="A3612" t="s">
        <v>6146</v>
      </c>
      <c r="B3612" t="s">
        <v>2688</v>
      </c>
      <c r="C3612"/>
      <c r="D3612"/>
      <c r="E3612"/>
      <c r="F3612"/>
      <c r="G3612" t="s">
        <v>5944</v>
      </c>
      <c r="H3612" t="s">
        <v>132</v>
      </c>
      <c r="I3612" t="s">
        <v>2</v>
      </c>
      <c r="J3612" t="s">
        <v>5298</v>
      </c>
      <c r="K3612" t="s">
        <v>52</v>
      </c>
      <c r="L3612" t="s">
        <v>2689</v>
      </c>
      <c r="M3612" t="s">
        <v>134</v>
      </c>
      <c r="N3612" t="s">
        <v>135</v>
      </c>
      <c r="O3612"/>
      <c r="P3612"/>
      <c r="Q3612" t="s">
        <v>168</v>
      </c>
      <c r="R3612"/>
      <c r="S3612"/>
      <c r="T3612" t="s">
        <v>2165</v>
      </c>
      <c r="U3612" t="s">
        <v>137</v>
      </c>
      <c r="V3612" t="s">
        <v>897</v>
      </c>
      <c r="W3612"/>
      <c r="X3612" t="s">
        <v>64</v>
      </c>
      <c r="Y3612"/>
      <c r="Z3612"/>
      <c r="AA3612" t="s">
        <v>2163</v>
      </c>
      <c r="AB3612" t="s">
        <v>2</v>
      </c>
      <c r="AC3612" t="s">
        <v>138</v>
      </c>
      <c r="AD3612" t="s">
        <v>128</v>
      </c>
      <c r="AE3612" s="97"/>
    </row>
    <row r="3613" spans="1:31" ht="14.4" customHeight="1" x14ac:dyDescent="0.3">
      <c r="A3613" t="s">
        <v>6147</v>
      </c>
      <c r="B3613" t="s">
        <v>2691</v>
      </c>
      <c r="C3613"/>
      <c r="D3613"/>
      <c r="E3613"/>
      <c r="F3613"/>
      <c r="G3613" t="s">
        <v>5944</v>
      </c>
      <c r="H3613" t="s">
        <v>132</v>
      </c>
      <c r="I3613" t="s">
        <v>2</v>
      </c>
      <c r="J3613" t="s">
        <v>5298</v>
      </c>
      <c r="K3613" t="s">
        <v>52</v>
      </c>
      <c r="L3613" t="s">
        <v>2689</v>
      </c>
      <c r="M3613" t="s">
        <v>134</v>
      </c>
      <c r="N3613" t="s">
        <v>135</v>
      </c>
      <c r="O3613"/>
      <c r="P3613"/>
      <c r="Q3613" t="s">
        <v>168</v>
      </c>
      <c r="R3613"/>
      <c r="S3613"/>
      <c r="T3613" t="s">
        <v>2165</v>
      </c>
      <c r="U3613" t="s">
        <v>137</v>
      </c>
      <c r="V3613" t="s">
        <v>897</v>
      </c>
      <c r="W3613"/>
      <c r="X3613" t="s">
        <v>64</v>
      </c>
      <c r="Y3613"/>
      <c r="Z3613"/>
      <c r="AA3613" t="s">
        <v>2163</v>
      </c>
      <c r="AB3613" t="s">
        <v>2</v>
      </c>
      <c r="AC3613" t="s">
        <v>138</v>
      </c>
      <c r="AD3613" t="s">
        <v>128</v>
      </c>
      <c r="AE3613" s="97"/>
    </row>
    <row r="3614" spans="1:31" ht="14.4" customHeight="1" x14ac:dyDescent="0.3">
      <c r="A3614" t="s">
        <v>6148</v>
      </c>
      <c r="B3614" t="s">
        <v>2693</v>
      </c>
      <c r="C3614"/>
      <c r="D3614"/>
      <c r="E3614"/>
      <c r="F3614"/>
      <c r="G3614" t="s">
        <v>5944</v>
      </c>
      <c r="H3614" t="s">
        <v>132</v>
      </c>
      <c r="I3614" t="s">
        <v>2</v>
      </c>
      <c r="J3614" t="s">
        <v>5298</v>
      </c>
      <c r="K3614" t="s">
        <v>52</v>
      </c>
      <c r="L3614" t="s">
        <v>2689</v>
      </c>
      <c r="M3614" t="s">
        <v>134</v>
      </c>
      <c r="N3614" t="s">
        <v>135</v>
      </c>
      <c r="O3614"/>
      <c r="P3614"/>
      <c r="Q3614" t="s">
        <v>168</v>
      </c>
      <c r="R3614"/>
      <c r="S3614"/>
      <c r="T3614" t="s">
        <v>2165</v>
      </c>
      <c r="U3614" t="s">
        <v>137</v>
      </c>
      <c r="V3614" t="s">
        <v>897</v>
      </c>
      <c r="W3614"/>
      <c r="X3614" t="s">
        <v>64</v>
      </c>
      <c r="Y3614"/>
      <c r="Z3614"/>
      <c r="AA3614" t="s">
        <v>2163</v>
      </c>
      <c r="AB3614" t="s">
        <v>2</v>
      </c>
      <c r="AC3614" t="s">
        <v>138</v>
      </c>
      <c r="AD3614" t="s">
        <v>128</v>
      </c>
      <c r="AE3614" s="97"/>
    </row>
    <row r="3615" spans="1:31" ht="14.4" customHeight="1" x14ac:dyDescent="0.3">
      <c r="A3615" t="s">
        <v>6149</v>
      </c>
      <c r="B3615" t="s">
        <v>2695</v>
      </c>
      <c r="C3615"/>
      <c r="D3615"/>
      <c r="E3615"/>
      <c r="F3615"/>
      <c r="G3615" t="s">
        <v>5944</v>
      </c>
      <c r="H3615" t="s">
        <v>132</v>
      </c>
      <c r="I3615" t="s">
        <v>2</v>
      </c>
      <c r="J3615" t="s">
        <v>5298</v>
      </c>
      <c r="K3615" t="s">
        <v>52</v>
      </c>
      <c r="L3615" t="s">
        <v>2689</v>
      </c>
      <c r="M3615" t="s">
        <v>134</v>
      </c>
      <c r="N3615" t="s">
        <v>135</v>
      </c>
      <c r="O3615"/>
      <c r="P3615"/>
      <c r="Q3615" t="s">
        <v>168</v>
      </c>
      <c r="R3615"/>
      <c r="S3615"/>
      <c r="T3615" t="s">
        <v>2165</v>
      </c>
      <c r="U3615" t="s">
        <v>137</v>
      </c>
      <c r="V3615" t="s">
        <v>897</v>
      </c>
      <c r="W3615"/>
      <c r="X3615" t="s">
        <v>64</v>
      </c>
      <c r="Y3615"/>
      <c r="Z3615"/>
      <c r="AA3615" t="s">
        <v>2163</v>
      </c>
      <c r="AB3615" t="s">
        <v>2</v>
      </c>
      <c r="AC3615" t="s">
        <v>138</v>
      </c>
      <c r="AD3615" t="s">
        <v>128</v>
      </c>
      <c r="AE3615" s="97"/>
    </row>
    <row r="3616" spans="1:31" ht="14.4" customHeight="1" x14ac:dyDescent="0.3">
      <c r="A3616" t="s">
        <v>6150</v>
      </c>
      <c r="B3616" t="s">
        <v>2697</v>
      </c>
      <c r="C3616"/>
      <c r="D3616"/>
      <c r="E3616"/>
      <c r="F3616"/>
      <c r="G3616" t="s">
        <v>5944</v>
      </c>
      <c r="H3616" t="s">
        <v>132</v>
      </c>
      <c r="I3616" t="s">
        <v>2</v>
      </c>
      <c r="J3616" t="s">
        <v>5298</v>
      </c>
      <c r="K3616" t="s">
        <v>52</v>
      </c>
      <c r="L3616" t="s">
        <v>2689</v>
      </c>
      <c r="M3616" t="s">
        <v>134</v>
      </c>
      <c r="N3616" t="s">
        <v>135</v>
      </c>
      <c r="O3616"/>
      <c r="P3616"/>
      <c r="Q3616" t="s">
        <v>168</v>
      </c>
      <c r="R3616"/>
      <c r="S3616"/>
      <c r="T3616" t="s">
        <v>2165</v>
      </c>
      <c r="U3616" t="s">
        <v>137</v>
      </c>
      <c r="V3616" t="s">
        <v>897</v>
      </c>
      <c r="W3616"/>
      <c r="X3616" t="s">
        <v>64</v>
      </c>
      <c r="Y3616"/>
      <c r="Z3616"/>
      <c r="AA3616" t="s">
        <v>2163</v>
      </c>
      <c r="AB3616" t="s">
        <v>2</v>
      </c>
      <c r="AC3616" t="s">
        <v>138</v>
      </c>
      <c r="AD3616" t="s">
        <v>128</v>
      </c>
      <c r="AE3616" s="97"/>
    </row>
    <row r="3617" spans="1:31" ht="14.4" customHeight="1" x14ac:dyDescent="0.3">
      <c r="A3617" t="s">
        <v>6151</v>
      </c>
      <c r="B3617" t="s">
        <v>2699</v>
      </c>
      <c r="C3617"/>
      <c r="D3617"/>
      <c r="E3617"/>
      <c r="F3617"/>
      <c r="G3617" t="s">
        <v>5944</v>
      </c>
      <c r="H3617" t="s">
        <v>132</v>
      </c>
      <c r="I3617" t="s">
        <v>2</v>
      </c>
      <c r="J3617" t="s">
        <v>5298</v>
      </c>
      <c r="K3617" t="s">
        <v>52</v>
      </c>
      <c r="L3617" t="s">
        <v>1658</v>
      </c>
      <c r="M3617" t="s">
        <v>134</v>
      </c>
      <c r="N3617" t="s">
        <v>135</v>
      </c>
      <c r="O3617"/>
      <c r="P3617"/>
      <c r="Q3617" t="s">
        <v>168</v>
      </c>
      <c r="R3617"/>
      <c r="S3617"/>
      <c r="T3617" t="s">
        <v>2165</v>
      </c>
      <c r="U3617" t="s">
        <v>137</v>
      </c>
      <c r="V3617" t="s">
        <v>897</v>
      </c>
      <c r="W3617"/>
      <c r="X3617" t="s">
        <v>64</v>
      </c>
      <c r="Y3617"/>
      <c r="Z3617"/>
      <c r="AA3617" t="s">
        <v>2163</v>
      </c>
      <c r="AB3617" t="s">
        <v>2</v>
      </c>
      <c r="AC3617" t="s">
        <v>138</v>
      </c>
      <c r="AD3617" t="s">
        <v>128</v>
      </c>
      <c r="AE3617" s="97"/>
    </row>
    <row r="3618" spans="1:31" ht="14.4" customHeight="1" x14ac:dyDescent="0.3">
      <c r="A3618" t="s">
        <v>6152</v>
      </c>
      <c r="B3618" t="s">
        <v>2701</v>
      </c>
      <c r="C3618"/>
      <c r="D3618"/>
      <c r="E3618"/>
      <c r="F3618"/>
      <c r="G3618" t="s">
        <v>5944</v>
      </c>
      <c r="H3618" t="s">
        <v>132</v>
      </c>
      <c r="I3618" t="s">
        <v>2</v>
      </c>
      <c r="J3618" t="s">
        <v>5298</v>
      </c>
      <c r="K3618" t="s">
        <v>52</v>
      </c>
      <c r="L3618" t="s">
        <v>1658</v>
      </c>
      <c r="M3618" t="s">
        <v>134</v>
      </c>
      <c r="N3618" t="s">
        <v>135</v>
      </c>
      <c r="O3618"/>
      <c r="P3618"/>
      <c r="Q3618" t="s">
        <v>168</v>
      </c>
      <c r="R3618"/>
      <c r="S3618"/>
      <c r="T3618" t="s">
        <v>2165</v>
      </c>
      <c r="U3618" t="s">
        <v>137</v>
      </c>
      <c r="V3618" t="s">
        <v>897</v>
      </c>
      <c r="W3618"/>
      <c r="X3618" t="s">
        <v>64</v>
      </c>
      <c r="Y3618"/>
      <c r="Z3618"/>
      <c r="AA3618" t="s">
        <v>2163</v>
      </c>
      <c r="AB3618" t="s">
        <v>2</v>
      </c>
      <c r="AC3618" t="s">
        <v>138</v>
      </c>
      <c r="AD3618" t="s">
        <v>128</v>
      </c>
      <c r="AE3618" s="97"/>
    </row>
    <row r="3619" spans="1:31" ht="14.4" customHeight="1" x14ac:dyDescent="0.3">
      <c r="A3619" t="s">
        <v>6153</v>
      </c>
      <c r="B3619" t="s">
        <v>2703</v>
      </c>
      <c r="C3619"/>
      <c r="D3619"/>
      <c r="E3619"/>
      <c r="F3619"/>
      <c r="G3619" t="s">
        <v>5944</v>
      </c>
      <c r="H3619" t="s">
        <v>132</v>
      </c>
      <c r="I3619" t="s">
        <v>2</v>
      </c>
      <c r="J3619" t="s">
        <v>5298</v>
      </c>
      <c r="K3619" t="s">
        <v>52</v>
      </c>
      <c r="L3619" t="s">
        <v>1658</v>
      </c>
      <c r="M3619" t="s">
        <v>134</v>
      </c>
      <c r="N3619" t="s">
        <v>135</v>
      </c>
      <c r="O3619"/>
      <c r="P3619"/>
      <c r="Q3619" t="s">
        <v>168</v>
      </c>
      <c r="R3619"/>
      <c r="S3619"/>
      <c r="T3619" t="s">
        <v>2165</v>
      </c>
      <c r="U3619" t="s">
        <v>137</v>
      </c>
      <c r="V3619" t="s">
        <v>897</v>
      </c>
      <c r="W3619"/>
      <c r="X3619" t="s">
        <v>64</v>
      </c>
      <c r="Y3619"/>
      <c r="Z3619"/>
      <c r="AA3619" t="s">
        <v>2163</v>
      </c>
      <c r="AB3619" t="s">
        <v>2</v>
      </c>
      <c r="AC3619" t="s">
        <v>138</v>
      </c>
      <c r="AD3619" t="s">
        <v>128</v>
      </c>
      <c r="AE3619" s="97"/>
    </row>
    <row r="3620" spans="1:31" ht="14.4" customHeight="1" x14ac:dyDescent="0.3">
      <c r="A3620" t="s">
        <v>6154</v>
      </c>
      <c r="B3620" t="s">
        <v>2705</v>
      </c>
      <c r="C3620"/>
      <c r="D3620"/>
      <c r="E3620"/>
      <c r="F3620"/>
      <c r="G3620" t="s">
        <v>5944</v>
      </c>
      <c r="H3620" t="s">
        <v>132</v>
      </c>
      <c r="I3620" t="s">
        <v>2</v>
      </c>
      <c r="J3620" t="s">
        <v>5298</v>
      </c>
      <c r="K3620" t="s">
        <v>52</v>
      </c>
      <c r="L3620" t="s">
        <v>1658</v>
      </c>
      <c r="M3620" t="s">
        <v>134</v>
      </c>
      <c r="N3620" t="s">
        <v>135</v>
      </c>
      <c r="O3620"/>
      <c r="P3620"/>
      <c r="Q3620" t="s">
        <v>168</v>
      </c>
      <c r="R3620"/>
      <c r="S3620"/>
      <c r="T3620" t="s">
        <v>2165</v>
      </c>
      <c r="U3620" t="s">
        <v>137</v>
      </c>
      <c r="V3620" t="s">
        <v>897</v>
      </c>
      <c r="W3620"/>
      <c r="X3620" t="s">
        <v>64</v>
      </c>
      <c r="Y3620"/>
      <c r="Z3620"/>
      <c r="AA3620" t="s">
        <v>2163</v>
      </c>
      <c r="AB3620" t="s">
        <v>2</v>
      </c>
      <c r="AC3620" t="s">
        <v>138</v>
      </c>
      <c r="AD3620" t="s">
        <v>128</v>
      </c>
      <c r="AE3620" s="97"/>
    </row>
    <row r="3621" spans="1:31" ht="14.4" customHeight="1" x14ac:dyDescent="0.3">
      <c r="A3621" t="s">
        <v>6155</v>
      </c>
      <c r="B3621" t="s">
        <v>2707</v>
      </c>
      <c r="C3621"/>
      <c r="D3621"/>
      <c r="E3621"/>
      <c r="F3621"/>
      <c r="G3621" t="s">
        <v>5944</v>
      </c>
      <c r="H3621" t="s">
        <v>132</v>
      </c>
      <c r="I3621" t="s">
        <v>2</v>
      </c>
      <c r="J3621" t="s">
        <v>5298</v>
      </c>
      <c r="K3621" t="s">
        <v>52</v>
      </c>
      <c r="L3621" t="s">
        <v>1661</v>
      </c>
      <c r="M3621" t="s">
        <v>134</v>
      </c>
      <c r="N3621" t="s">
        <v>135</v>
      </c>
      <c r="O3621"/>
      <c r="P3621"/>
      <c r="Q3621" t="s">
        <v>168</v>
      </c>
      <c r="R3621"/>
      <c r="S3621"/>
      <c r="T3621" t="s">
        <v>2165</v>
      </c>
      <c r="U3621" t="s">
        <v>137</v>
      </c>
      <c r="V3621" t="s">
        <v>897</v>
      </c>
      <c r="W3621"/>
      <c r="X3621" t="s">
        <v>64</v>
      </c>
      <c r="Y3621"/>
      <c r="Z3621"/>
      <c r="AA3621" t="s">
        <v>2163</v>
      </c>
      <c r="AB3621" t="s">
        <v>2</v>
      </c>
      <c r="AC3621" t="s">
        <v>138</v>
      </c>
      <c r="AD3621" t="s">
        <v>128</v>
      </c>
      <c r="AE3621" s="97"/>
    </row>
    <row r="3622" spans="1:31" ht="14.4" customHeight="1" x14ac:dyDescent="0.3">
      <c r="A3622" t="s">
        <v>6156</v>
      </c>
      <c r="B3622" t="s">
        <v>2709</v>
      </c>
      <c r="C3622"/>
      <c r="D3622"/>
      <c r="E3622"/>
      <c r="F3622"/>
      <c r="G3622" t="s">
        <v>5944</v>
      </c>
      <c r="H3622" t="s">
        <v>132</v>
      </c>
      <c r="I3622" t="s">
        <v>2</v>
      </c>
      <c r="J3622" t="s">
        <v>5298</v>
      </c>
      <c r="K3622" t="s">
        <v>52</v>
      </c>
      <c r="L3622" t="s">
        <v>1661</v>
      </c>
      <c r="M3622" t="s">
        <v>134</v>
      </c>
      <c r="N3622" t="s">
        <v>135</v>
      </c>
      <c r="O3622"/>
      <c r="P3622"/>
      <c r="Q3622" t="s">
        <v>168</v>
      </c>
      <c r="R3622"/>
      <c r="S3622"/>
      <c r="T3622" t="s">
        <v>2165</v>
      </c>
      <c r="U3622" t="s">
        <v>137</v>
      </c>
      <c r="V3622" t="s">
        <v>897</v>
      </c>
      <c r="W3622"/>
      <c r="X3622" t="s">
        <v>64</v>
      </c>
      <c r="Y3622"/>
      <c r="Z3622"/>
      <c r="AA3622" t="s">
        <v>2163</v>
      </c>
      <c r="AB3622" t="s">
        <v>2</v>
      </c>
      <c r="AC3622" t="s">
        <v>138</v>
      </c>
      <c r="AD3622" t="s">
        <v>128</v>
      </c>
      <c r="AE3622" s="97"/>
    </row>
    <row r="3623" spans="1:31" ht="14.4" customHeight="1" x14ac:dyDescent="0.3">
      <c r="A3623" t="s">
        <v>6157</v>
      </c>
      <c r="B3623" t="s">
        <v>2711</v>
      </c>
      <c r="C3623"/>
      <c r="D3623"/>
      <c r="E3623"/>
      <c r="F3623"/>
      <c r="G3623" t="s">
        <v>5944</v>
      </c>
      <c r="H3623" t="s">
        <v>132</v>
      </c>
      <c r="I3623" t="s">
        <v>2</v>
      </c>
      <c r="J3623" t="s">
        <v>5298</v>
      </c>
      <c r="K3623" t="s">
        <v>52</v>
      </c>
      <c r="L3623" t="s">
        <v>1658</v>
      </c>
      <c r="M3623" t="s">
        <v>134</v>
      </c>
      <c r="N3623" t="s">
        <v>135</v>
      </c>
      <c r="O3623"/>
      <c r="P3623"/>
      <c r="Q3623" t="s">
        <v>168</v>
      </c>
      <c r="R3623"/>
      <c r="S3623"/>
      <c r="T3623" t="s">
        <v>2165</v>
      </c>
      <c r="U3623" t="s">
        <v>137</v>
      </c>
      <c r="V3623" t="s">
        <v>897</v>
      </c>
      <c r="W3623"/>
      <c r="X3623" t="s">
        <v>64</v>
      </c>
      <c r="Y3623"/>
      <c r="Z3623"/>
      <c r="AA3623" t="s">
        <v>2163</v>
      </c>
      <c r="AB3623" t="s">
        <v>2</v>
      </c>
      <c r="AC3623" t="s">
        <v>138</v>
      </c>
      <c r="AD3623" t="s">
        <v>128</v>
      </c>
      <c r="AE3623" s="97"/>
    </row>
    <row r="3624" spans="1:31" ht="14.4" customHeight="1" x14ac:dyDescent="0.3">
      <c r="A3624" t="s">
        <v>6158</v>
      </c>
      <c r="B3624" t="s">
        <v>2713</v>
      </c>
      <c r="C3624"/>
      <c r="D3624"/>
      <c r="E3624"/>
      <c r="F3624"/>
      <c r="G3624" t="s">
        <v>5944</v>
      </c>
      <c r="H3624" t="s">
        <v>132</v>
      </c>
      <c r="I3624" t="s">
        <v>2</v>
      </c>
      <c r="J3624" t="s">
        <v>5298</v>
      </c>
      <c r="K3624" t="s">
        <v>52</v>
      </c>
      <c r="L3624" t="s">
        <v>1658</v>
      </c>
      <c r="M3624" t="s">
        <v>134</v>
      </c>
      <c r="N3624" t="s">
        <v>135</v>
      </c>
      <c r="O3624"/>
      <c r="P3624"/>
      <c r="Q3624" t="s">
        <v>168</v>
      </c>
      <c r="R3624"/>
      <c r="S3624"/>
      <c r="T3624" t="s">
        <v>2165</v>
      </c>
      <c r="U3624" t="s">
        <v>137</v>
      </c>
      <c r="V3624" t="s">
        <v>897</v>
      </c>
      <c r="W3624"/>
      <c r="X3624" t="s">
        <v>64</v>
      </c>
      <c r="Y3624"/>
      <c r="Z3624"/>
      <c r="AA3624" t="s">
        <v>2163</v>
      </c>
      <c r="AB3624" t="s">
        <v>2</v>
      </c>
      <c r="AC3624" t="s">
        <v>138</v>
      </c>
      <c r="AD3624" t="s">
        <v>128</v>
      </c>
      <c r="AE3624" s="97"/>
    </row>
    <row r="3625" spans="1:31" ht="14.4" customHeight="1" x14ac:dyDescent="0.3">
      <c r="A3625" t="s">
        <v>6159</v>
      </c>
      <c r="B3625" t="s">
        <v>2715</v>
      </c>
      <c r="C3625"/>
      <c r="D3625"/>
      <c r="E3625"/>
      <c r="F3625"/>
      <c r="G3625" t="s">
        <v>5944</v>
      </c>
      <c r="H3625" t="s">
        <v>132</v>
      </c>
      <c r="I3625" t="s">
        <v>2</v>
      </c>
      <c r="J3625" t="s">
        <v>5298</v>
      </c>
      <c r="K3625" t="s">
        <v>52</v>
      </c>
      <c r="L3625" t="s">
        <v>1658</v>
      </c>
      <c r="M3625" t="s">
        <v>134</v>
      </c>
      <c r="N3625" t="s">
        <v>135</v>
      </c>
      <c r="O3625"/>
      <c r="P3625"/>
      <c r="Q3625" t="s">
        <v>168</v>
      </c>
      <c r="R3625"/>
      <c r="S3625"/>
      <c r="T3625" t="s">
        <v>2165</v>
      </c>
      <c r="U3625" t="s">
        <v>137</v>
      </c>
      <c r="V3625" t="s">
        <v>897</v>
      </c>
      <c r="W3625"/>
      <c r="X3625" t="s">
        <v>64</v>
      </c>
      <c r="Y3625"/>
      <c r="Z3625"/>
      <c r="AA3625" t="s">
        <v>2163</v>
      </c>
      <c r="AB3625" t="s">
        <v>2</v>
      </c>
      <c r="AC3625" t="s">
        <v>138</v>
      </c>
      <c r="AD3625" t="s">
        <v>128</v>
      </c>
      <c r="AE3625" s="97"/>
    </row>
    <row r="3626" spans="1:31" ht="14.4" customHeight="1" x14ac:dyDescent="0.3">
      <c r="A3626" t="s">
        <v>6160</v>
      </c>
      <c r="B3626" t="s">
        <v>2725</v>
      </c>
      <c r="C3626"/>
      <c r="D3626"/>
      <c r="E3626"/>
      <c r="F3626"/>
      <c r="G3626" t="s">
        <v>5944</v>
      </c>
      <c r="H3626" t="s">
        <v>132</v>
      </c>
      <c r="I3626" t="s">
        <v>2</v>
      </c>
      <c r="J3626" t="s">
        <v>5298</v>
      </c>
      <c r="K3626" t="s">
        <v>52</v>
      </c>
      <c r="L3626" t="s">
        <v>2726</v>
      </c>
      <c r="M3626" t="s">
        <v>134</v>
      </c>
      <c r="N3626" t="s">
        <v>135</v>
      </c>
      <c r="O3626"/>
      <c r="P3626"/>
      <c r="Q3626" t="s">
        <v>168</v>
      </c>
      <c r="R3626"/>
      <c r="S3626"/>
      <c r="T3626" t="s">
        <v>2165</v>
      </c>
      <c r="U3626" t="s">
        <v>137</v>
      </c>
      <c r="V3626" t="s">
        <v>897</v>
      </c>
      <c r="W3626"/>
      <c r="X3626" t="s">
        <v>64</v>
      </c>
      <c r="Y3626"/>
      <c r="Z3626"/>
      <c r="AA3626" t="s">
        <v>2163</v>
      </c>
      <c r="AB3626" t="s">
        <v>2</v>
      </c>
      <c r="AC3626" t="s">
        <v>138</v>
      </c>
      <c r="AD3626" t="s">
        <v>128</v>
      </c>
      <c r="AE3626" s="97"/>
    </row>
    <row r="3627" spans="1:31" ht="14.4" customHeight="1" x14ac:dyDescent="0.3">
      <c r="A3627" t="s">
        <v>6161</v>
      </c>
      <c r="B3627" t="s">
        <v>2728</v>
      </c>
      <c r="C3627"/>
      <c r="D3627"/>
      <c r="E3627"/>
      <c r="F3627"/>
      <c r="G3627" t="s">
        <v>5944</v>
      </c>
      <c r="H3627" t="s">
        <v>132</v>
      </c>
      <c r="I3627" t="s">
        <v>2</v>
      </c>
      <c r="J3627" t="s">
        <v>5298</v>
      </c>
      <c r="K3627" t="s">
        <v>52</v>
      </c>
      <c r="L3627" t="s">
        <v>2729</v>
      </c>
      <c r="M3627" t="s">
        <v>134</v>
      </c>
      <c r="N3627" t="s">
        <v>135</v>
      </c>
      <c r="O3627"/>
      <c r="P3627"/>
      <c r="Q3627" t="s">
        <v>168</v>
      </c>
      <c r="R3627"/>
      <c r="S3627"/>
      <c r="T3627" t="s">
        <v>2165</v>
      </c>
      <c r="U3627" t="s">
        <v>137</v>
      </c>
      <c r="V3627" t="s">
        <v>897</v>
      </c>
      <c r="W3627"/>
      <c r="X3627" t="s">
        <v>64</v>
      </c>
      <c r="Y3627"/>
      <c r="Z3627"/>
      <c r="AA3627" t="s">
        <v>2163</v>
      </c>
      <c r="AB3627" t="s">
        <v>2</v>
      </c>
      <c r="AC3627" t="s">
        <v>138</v>
      </c>
      <c r="AD3627" t="s">
        <v>128</v>
      </c>
      <c r="AE3627" s="97"/>
    </row>
    <row r="3628" spans="1:31" ht="14.4" customHeight="1" x14ac:dyDescent="0.3">
      <c r="A3628" t="s">
        <v>6162</v>
      </c>
      <c r="B3628" t="s">
        <v>2731</v>
      </c>
      <c r="C3628"/>
      <c r="D3628"/>
      <c r="E3628"/>
      <c r="F3628"/>
      <c r="G3628" t="s">
        <v>5944</v>
      </c>
      <c r="H3628" t="s">
        <v>132</v>
      </c>
      <c r="I3628" t="s">
        <v>2</v>
      </c>
      <c r="J3628" t="s">
        <v>5298</v>
      </c>
      <c r="K3628" t="s">
        <v>52</v>
      </c>
      <c r="L3628" t="s">
        <v>2732</v>
      </c>
      <c r="M3628" t="s">
        <v>134</v>
      </c>
      <c r="N3628" t="s">
        <v>135</v>
      </c>
      <c r="O3628"/>
      <c r="P3628"/>
      <c r="Q3628" t="s">
        <v>168</v>
      </c>
      <c r="R3628"/>
      <c r="S3628"/>
      <c r="T3628" t="s">
        <v>2165</v>
      </c>
      <c r="U3628" t="s">
        <v>137</v>
      </c>
      <c r="V3628" t="s">
        <v>904</v>
      </c>
      <c r="W3628"/>
      <c r="X3628" t="s">
        <v>79</v>
      </c>
      <c r="Y3628"/>
      <c r="Z3628"/>
      <c r="AA3628" t="s">
        <v>2163</v>
      </c>
      <c r="AB3628" t="s">
        <v>2</v>
      </c>
      <c r="AC3628" t="s">
        <v>138</v>
      </c>
      <c r="AD3628" t="s">
        <v>129</v>
      </c>
      <c r="AE3628" s="97"/>
    </row>
    <row r="3629" spans="1:31" ht="14.4" customHeight="1" x14ac:dyDescent="0.3">
      <c r="A3629" t="s">
        <v>6163</v>
      </c>
      <c r="B3629" t="s">
        <v>2734</v>
      </c>
      <c r="C3629"/>
      <c r="D3629"/>
      <c r="E3629"/>
      <c r="F3629"/>
      <c r="G3629" t="s">
        <v>5944</v>
      </c>
      <c r="H3629" t="s">
        <v>132</v>
      </c>
      <c r="I3629" t="s">
        <v>2</v>
      </c>
      <c r="J3629" t="s">
        <v>5298</v>
      </c>
      <c r="K3629" t="s">
        <v>52</v>
      </c>
      <c r="L3629" t="s">
        <v>2732</v>
      </c>
      <c r="M3629" t="s">
        <v>134</v>
      </c>
      <c r="N3629" t="s">
        <v>135</v>
      </c>
      <c r="O3629"/>
      <c r="P3629"/>
      <c r="Q3629" t="s">
        <v>168</v>
      </c>
      <c r="R3629"/>
      <c r="S3629"/>
      <c r="T3629" t="s">
        <v>2165</v>
      </c>
      <c r="U3629" t="s">
        <v>137</v>
      </c>
      <c r="V3629" t="s">
        <v>904</v>
      </c>
      <c r="W3629"/>
      <c r="X3629" t="s">
        <v>79</v>
      </c>
      <c r="Y3629"/>
      <c r="Z3629"/>
      <c r="AA3629" t="s">
        <v>2163</v>
      </c>
      <c r="AB3629" t="s">
        <v>2</v>
      </c>
      <c r="AC3629" t="s">
        <v>138</v>
      </c>
      <c r="AD3629" t="s">
        <v>129</v>
      </c>
      <c r="AE3629" s="97"/>
    </row>
    <row r="3630" spans="1:31" ht="14.4" customHeight="1" x14ac:dyDescent="0.3">
      <c r="A3630" t="s">
        <v>6164</v>
      </c>
      <c r="B3630" t="s">
        <v>2736</v>
      </c>
      <c r="C3630"/>
      <c r="D3630"/>
      <c r="E3630"/>
      <c r="F3630"/>
      <c r="G3630" t="s">
        <v>5944</v>
      </c>
      <c r="H3630" t="s">
        <v>132</v>
      </c>
      <c r="I3630" t="s">
        <v>2</v>
      </c>
      <c r="J3630" t="s">
        <v>5298</v>
      </c>
      <c r="K3630" t="s">
        <v>52</v>
      </c>
      <c r="L3630" t="s">
        <v>2732</v>
      </c>
      <c r="M3630" t="s">
        <v>134</v>
      </c>
      <c r="N3630" t="s">
        <v>135</v>
      </c>
      <c r="O3630"/>
      <c r="P3630"/>
      <c r="Q3630" t="s">
        <v>168</v>
      </c>
      <c r="R3630"/>
      <c r="S3630"/>
      <c r="T3630" t="s">
        <v>2165</v>
      </c>
      <c r="U3630" t="s">
        <v>137</v>
      </c>
      <c r="V3630" t="s">
        <v>904</v>
      </c>
      <c r="W3630"/>
      <c r="X3630" t="s">
        <v>79</v>
      </c>
      <c r="Y3630"/>
      <c r="Z3630"/>
      <c r="AA3630" t="s">
        <v>2163</v>
      </c>
      <c r="AB3630" t="s">
        <v>2</v>
      </c>
      <c r="AC3630" t="s">
        <v>138</v>
      </c>
      <c r="AD3630" t="s">
        <v>129</v>
      </c>
      <c r="AE3630" s="97"/>
    </row>
    <row r="3631" spans="1:31" ht="14.4" customHeight="1" x14ac:dyDescent="0.3">
      <c r="A3631" t="s">
        <v>6165</v>
      </c>
      <c r="B3631" t="s">
        <v>2738</v>
      </c>
      <c r="C3631"/>
      <c r="D3631"/>
      <c r="E3631"/>
      <c r="F3631"/>
      <c r="G3631" t="s">
        <v>5944</v>
      </c>
      <c r="H3631" t="s">
        <v>132</v>
      </c>
      <c r="I3631" t="s">
        <v>2</v>
      </c>
      <c r="J3631" t="s">
        <v>5298</v>
      </c>
      <c r="K3631" t="s">
        <v>52</v>
      </c>
      <c r="L3631" t="s">
        <v>2732</v>
      </c>
      <c r="M3631" t="s">
        <v>134</v>
      </c>
      <c r="N3631" t="s">
        <v>135</v>
      </c>
      <c r="O3631"/>
      <c r="P3631"/>
      <c r="Q3631" t="s">
        <v>168</v>
      </c>
      <c r="R3631"/>
      <c r="S3631"/>
      <c r="T3631" t="s">
        <v>2165</v>
      </c>
      <c r="U3631" t="s">
        <v>137</v>
      </c>
      <c r="V3631" t="s">
        <v>904</v>
      </c>
      <c r="W3631"/>
      <c r="X3631" t="s">
        <v>79</v>
      </c>
      <c r="Y3631"/>
      <c r="Z3631"/>
      <c r="AA3631" t="s">
        <v>2163</v>
      </c>
      <c r="AB3631" t="s">
        <v>2</v>
      </c>
      <c r="AC3631" t="s">
        <v>138</v>
      </c>
      <c r="AD3631" t="s">
        <v>129</v>
      </c>
      <c r="AE3631" s="97"/>
    </row>
    <row r="3632" spans="1:31" ht="14.4" customHeight="1" x14ac:dyDescent="0.3">
      <c r="A3632" t="s">
        <v>6166</v>
      </c>
      <c r="B3632" t="s">
        <v>2740</v>
      </c>
      <c r="C3632"/>
      <c r="D3632"/>
      <c r="E3632"/>
      <c r="F3632"/>
      <c r="G3632" t="s">
        <v>5944</v>
      </c>
      <c r="H3632" t="s">
        <v>132</v>
      </c>
      <c r="I3632" t="s">
        <v>2</v>
      </c>
      <c r="J3632" t="s">
        <v>5298</v>
      </c>
      <c r="K3632" t="s">
        <v>52</v>
      </c>
      <c r="L3632" t="s">
        <v>2732</v>
      </c>
      <c r="M3632" t="s">
        <v>134</v>
      </c>
      <c r="N3632" t="s">
        <v>135</v>
      </c>
      <c r="O3632"/>
      <c r="P3632"/>
      <c r="Q3632" t="s">
        <v>168</v>
      </c>
      <c r="R3632"/>
      <c r="S3632"/>
      <c r="T3632" t="s">
        <v>2165</v>
      </c>
      <c r="U3632" t="s">
        <v>137</v>
      </c>
      <c r="V3632" t="s">
        <v>904</v>
      </c>
      <c r="W3632"/>
      <c r="X3632" t="s">
        <v>79</v>
      </c>
      <c r="Y3632"/>
      <c r="Z3632"/>
      <c r="AA3632" t="s">
        <v>2163</v>
      </c>
      <c r="AB3632" t="s">
        <v>2</v>
      </c>
      <c r="AC3632" t="s">
        <v>138</v>
      </c>
      <c r="AD3632" t="s">
        <v>129</v>
      </c>
      <c r="AE3632" s="97"/>
    </row>
    <row r="3633" spans="1:31" ht="14.4" customHeight="1" x14ac:dyDescent="0.3">
      <c r="A3633" t="s">
        <v>6167</v>
      </c>
      <c r="B3633" t="s">
        <v>2742</v>
      </c>
      <c r="C3633"/>
      <c r="D3633"/>
      <c r="E3633"/>
      <c r="F3633"/>
      <c r="G3633" t="s">
        <v>5944</v>
      </c>
      <c r="H3633" t="s">
        <v>132</v>
      </c>
      <c r="I3633" t="s">
        <v>2</v>
      </c>
      <c r="J3633" t="s">
        <v>5298</v>
      </c>
      <c r="K3633" t="s">
        <v>52</v>
      </c>
      <c r="L3633" t="s">
        <v>1678</v>
      </c>
      <c r="M3633" t="s">
        <v>134</v>
      </c>
      <c r="N3633" t="s">
        <v>135</v>
      </c>
      <c r="O3633"/>
      <c r="P3633"/>
      <c r="Q3633" t="s">
        <v>168</v>
      </c>
      <c r="R3633"/>
      <c r="S3633"/>
      <c r="T3633" t="s">
        <v>2165</v>
      </c>
      <c r="U3633" t="s">
        <v>137</v>
      </c>
      <c r="V3633" t="s">
        <v>904</v>
      </c>
      <c r="W3633"/>
      <c r="X3633" t="s">
        <v>79</v>
      </c>
      <c r="Y3633"/>
      <c r="Z3633"/>
      <c r="AA3633" t="s">
        <v>2163</v>
      </c>
      <c r="AB3633" t="s">
        <v>2</v>
      </c>
      <c r="AC3633" t="s">
        <v>138</v>
      </c>
      <c r="AD3633" t="s">
        <v>129</v>
      </c>
      <c r="AE3633" s="97"/>
    </row>
    <row r="3634" spans="1:31" ht="14.4" customHeight="1" x14ac:dyDescent="0.3">
      <c r="A3634" t="s">
        <v>6168</v>
      </c>
      <c r="B3634" t="s">
        <v>2744</v>
      </c>
      <c r="C3634"/>
      <c r="D3634"/>
      <c r="E3634"/>
      <c r="F3634"/>
      <c r="G3634" t="s">
        <v>5944</v>
      </c>
      <c r="H3634" t="s">
        <v>132</v>
      </c>
      <c r="I3634" t="s">
        <v>2</v>
      </c>
      <c r="J3634" t="s">
        <v>5298</v>
      </c>
      <c r="K3634" t="s">
        <v>52</v>
      </c>
      <c r="L3634" t="s">
        <v>1678</v>
      </c>
      <c r="M3634" t="s">
        <v>134</v>
      </c>
      <c r="N3634" t="s">
        <v>135</v>
      </c>
      <c r="O3634"/>
      <c r="P3634"/>
      <c r="Q3634" t="s">
        <v>168</v>
      </c>
      <c r="R3634"/>
      <c r="S3634"/>
      <c r="T3634" t="s">
        <v>2165</v>
      </c>
      <c r="U3634" t="s">
        <v>137</v>
      </c>
      <c r="V3634" t="s">
        <v>904</v>
      </c>
      <c r="W3634"/>
      <c r="X3634" t="s">
        <v>79</v>
      </c>
      <c r="Y3634"/>
      <c r="Z3634"/>
      <c r="AA3634" t="s">
        <v>2163</v>
      </c>
      <c r="AB3634" t="s">
        <v>2</v>
      </c>
      <c r="AC3634" t="s">
        <v>138</v>
      </c>
      <c r="AD3634" t="s">
        <v>129</v>
      </c>
      <c r="AE3634" s="97"/>
    </row>
    <row r="3635" spans="1:31" ht="14.4" customHeight="1" x14ac:dyDescent="0.3">
      <c r="A3635" t="s">
        <v>6169</v>
      </c>
      <c r="B3635" t="s">
        <v>2746</v>
      </c>
      <c r="C3635"/>
      <c r="D3635"/>
      <c r="E3635"/>
      <c r="F3635"/>
      <c r="G3635" t="s">
        <v>5944</v>
      </c>
      <c r="H3635" t="s">
        <v>132</v>
      </c>
      <c r="I3635" t="s">
        <v>2</v>
      </c>
      <c r="J3635" t="s">
        <v>5298</v>
      </c>
      <c r="K3635" t="s">
        <v>52</v>
      </c>
      <c r="L3635" t="s">
        <v>1678</v>
      </c>
      <c r="M3635" t="s">
        <v>134</v>
      </c>
      <c r="N3635" t="s">
        <v>135</v>
      </c>
      <c r="O3635"/>
      <c r="P3635"/>
      <c r="Q3635" t="s">
        <v>168</v>
      </c>
      <c r="R3635"/>
      <c r="S3635"/>
      <c r="T3635" t="s">
        <v>2165</v>
      </c>
      <c r="U3635" t="s">
        <v>137</v>
      </c>
      <c r="V3635" t="s">
        <v>904</v>
      </c>
      <c r="W3635"/>
      <c r="X3635" t="s">
        <v>79</v>
      </c>
      <c r="Y3635"/>
      <c r="Z3635"/>
      <c r="AA3635" t="s">
        <v>2163</v>
      </c>
      <c r="AB3635" t="s">
        <v>2</v>
      </c>
      <c r="AC3635" t="s">
        <v>138</v>
      </c>
      <c r="AD3635" t="s">
        <v>129</v>
      </c>
      <c r="AE3635" s="97"/>
    </row>
    <row r="3636" spans="1:31" ht="14.4" customHeight="1" x14ac:dyDescent="0.3">
      <c r="A3636" t="s">
        <v>6170</v>
      </c>
      <c r="B3636" t="s">
        <v>2748</v>
      </c>
      <c r="C3636"/>
      <c r="D3636"/>
      <c r="E3636"/>
      <c r="F3636"/>
      <c r="G3636" t="s">
        <v>5944</v>
      </c>
      <c r="H3636" t="s">
        <v>132</v>
      </c>
      <c r="I3636" t="s">
        <v>2</v>
      </c>
      <c r="J3636" t="s">
        <v>5298</v>
      </c>
      <c r="K3636" t="s">
        <v>52</v>
      </c>
      <c r="L3636" t="s">
        <v>1678</v>
      </c>
      <c r="M3636" t="s">
        <v>134</v>
      </c>
      <c r="N3636" t="s">
        <v>135</v>
      </c>
      <c r="O3636"/>
      <c r="P3636"/>
      <c r="Q3636" t="s">
        <v>168</v>
      </c>
      <c r="R3636"/>
      <c r="S3636"/>
      <c r="T3636" t="s">
        <v>2165</v>
      </c>
      <c r="U3636" t="s">
        <v>137</v>
      </c>
      <c r="V3636" t="s">
        <v>904</v>
      </c>
      <c r="W3636"/>
      <c r="X3636" t="s">
        <v>79</v>
      </c>
      <c r="Y3636"/>
      <c r="Z3636"/>
      <c r="AA3636" t="s">
        <v>2163</v>
      </c>
      <c r="AB3636" t="s">
        <v>2</v>
      </c>
      <c r="AC3636" t="s">
        <v>138</v>
      </c>
      <c r="AD3636" t="s">
        <v>129</v>
      </c>
      <c r="AE3636" s="97"/>
    </row>
    <row r="3637" spans="1:31" ht="14.4" customHeight="1" x14ac:dyDescent="0.3">
      <c r="A3637" t="s">
        <v>6171</v>
      </c>
      <c r="B3637" t="s">
        <v>2750</v>
      </c>
      <c r="C3637"/>
      <c r="D3637"/>
      <c r="E3637"/>
      <c r="F3637"/>
      <c r="G3637" t="s">
        <v>5944</v>
      </c>
      <c r="H3637" t="s">
        <v>132</v>
      </c>
      <c r="I3637" t="s">
        <v>2</v>
      </c>
      <c r="J3637" t="s">
        <v>5298</v>
      </c>
      <c r="K3637" t="s">
        <v>52</v>
      </c>
      <c r="L3637" t="s">
        <v>1681</v>
      </c>
      <c r="M3637" t="s">
        <v>134</v>
      </c>
      <c r="N3637" t="s">
        <v>135</v>
      </c>
      <c r="O3637"/>
      <c r="P3637"/>
      <c r="Q3637" t="s">
        <v>168</v>
      </c>
      <c r="R3637"/>
      <c r="S3637"/>
      <c r="T3637" t="s">
        <v>2165</v>
      </c>
      <c r="U3637" t="s">
        <v>137</v>
      </c>
      <c r="V3637" t="s">
        <v>904</v>
      </c>
      <c r="W3637"/>
      <c r="X3637" t="s">
        <v>79</v>
      </c>
      <c r="Y3637"/>
      <c r="Z3637"/>
      <c r="AA3637" t="s">
        <v>2163</v>
      </c>
      <c r="AB3637" t="s">
        <v>2</v>
      </c>
      <c r="AC3637" t="s">
        <v>138</v>
      </c>
      <c r="AD3637" t="s">
        <v>129</v>
      </c>
      <c r="AE3637" s="97"/>
    </row>
    <row r="3638" spans="1:31" ht="14.4" customHeight="1" x14ac:dyDescent="0.3">
      <c r="A3638" t="s">
        <v>6172</v>
      </c>
      <c r="B3638" t="s">
        <v>2752</v>
      </c>
      <c r="C3638"/>
      <c r="D3638"/>
      <c r="E3638"/>
      <c r="F3638"/>
      <c r="G3638" t="s">
        <v>5944</v>
      </c>
      <c r="H3638" t="s">
        <v>132</v>
      </c>
      <c r="I3638" t="s">
        <v>2</v>
      </c>
      <c r="J3638" t="s">
        <v>5298</v>
      </c>
      <c r="K3638" t="s">
        <v>52</v>
      </c>
      <c r="L3638" t="s">
        <v>1681</v>
      </c>
      <c r="M3638" t="s">
        <v>134</v>
      </c>
      <c r="N3638" t="s">
        <v>135</v>
      </c>
      <c r="O3638"/>
      <c r="P3638"/>
      <c r="Q3638" t="s">
        <v>168</v>
      </c>
      <c r="R3638"/>
      <c r="S3638"/>
      <c r="T3638" t="s">
        <v>2165</v>
      </c>
      <c r="U3638" t="s">
        <v>137</v>
      </c>
      <c r="V3638" t="s">
        <v>904</v>
      </c>
      <c r="W3638"/>
      <c r="X3638" t="s">
        <v>79</v>
      </c>
      <c r="Y3638"/>
      <c r="Z3638"/>
      <c r="AA3638" t="s">
        <v>2163</v>
      </c>
      <c r="AB3638" t="s">
        <v>2</v>
      </c>
      <c r="AC3638" t="s">
        <v>138</v>
      </c>
      <c r="AD3638" t="s">
        <v>129</v>
      </c>
      <c r="AE3638" s="97"/>
    </row>
    <row r="3639" spans="1:31" ht="14.4" customHeight="1" x14ac:dyDescent="0.3">
      <c r="A3639" t="s">
        <v>6173</v>
      </c>
      <c r="B3639" t="s">
        <v>2754</v>
      </c>
      <c r="C3639"/>
      <c r="D3639"/>
      <c r="E3639"/>
      <c r="F3639"/>
      <c r="G3639" t="s">
        <v>5944</v>
      </c>
      <c r="H3639" t="s">
        <v>132</v>
      </c>
      <c r="I3639" t="s">
        <v>2</v>
      </c>
      <c r="J3639" t="s">
        <v>5298</v>
      </c>
      <c r="K3639" t="s">
        <v>52</v>
      </c>
      <c r="L3639" t="s">
        <v>1678</v>
      </c>
      <c r="M3639" t="s">
        <v>134</v>
      </c>
      <c r="N3639" t="s">
        <v>135</v>
      </c>
      <c r="O3639"/>
      <c r="P3639"/>
      <c r="Q3639" t="s">
        <v>168</v>
      </c>
      <c r="R3639"/>
      <c r="S3639"/>
      <c r="T3639" t="s">
        <v>2165</v>
      </c>
      <c r="U3639" t="s">
        <v>137</v>
      </c>
      <c r="V3639" t="s">
        <v>904</v>
      </c>
      <c r="W3639"/>
      <c r="X3639" t="s">
        <v>79</v>
      </c>
      <c r="Y3639"/>
      <c r="Z3639"/>
      <c r="AA3639" t="s">
        <v>2163</v>
      </c>
      <c r="AB3639" t="s">
        <v>2</v>
      </c>
      <c r="AC3639" t="s">
        <v>138</v>
      </c>
      <c r="AD3639" t="s">
        <v>129</v>
      </c>
      <c r="AE3639" s="97"/>
    </row>
    <row r="3640" spans="1:31" ht="14.4" customHeight="1" x14ac:dyDescent="0.3">
      <c r="A3640" t="s">
        <v>6174</v>
      </c>
      <c r="B3640" t="s">
        <v>2756</v>
      </c>
      <c r="C3640"/>
      <c r="D3640"/>
      <c r="E3640"/>
      <c r="F3640"/>
      <c r="G3640" t="s">
        <v>5944</v>
      </c>
      <c r="H3640" t="s">
        <v>132</v>
      </c>
      <c r="I3640" t="s">
        <v>2</v>
      </c>
      <c r="J3640" t="s">
        <v>5298</v>
      </c>
      <c r="K3640" t="s">
        <v>52</v>
      </c>
      <c r="L3640" t="s">
        <v>1678</v>
      </c>
      <c r="M3640" t="s">
        <v>134</v>
      </c>
      <c r="N3640" t="s">
        <v>135</v>
      </c>
      <c r="O3640"/>
      <c r="P3640"/>
      <c r="Q3640" t="s">
        <v>168</v>
      </c>
      <c r="R3640"/>
      <c r="S3640"/>
      <c r="T3640" t="s">
        <v>2165</v>
      </c>
      <c r="U3640" t="s">
        <v>137</v>
      </c>
      <c r="V3640" t="s">
        <v>904</v>
      </c>
      <c r="W3640"/>
      <c r="X3640" t="s">
        <v>79</v>
      </c>
      <c r="Y3640"/>
      <c r="Z3640"/>
      <c r="AA3640" t="s">
        <v>2163</v>
      </c>
      <c r="AB3640" t="s">
        <v>2</v>
      </c>
      <c r="AC3640" t="s">
        <v>138</v>
      </c>
      <c r="AD3640" t="s">
        <v>129</v>
      </c>
      <c r="AE3640" s="97"/>
    </row>
    <row r="3641" spans="1:31" ht="14.4" customHeight="1" x14ac:dyDescent="0.3">
      <c r="A3641" t="s">
        <v>6175</v>
      </c>
      <c r="B3641" t="s">
        <v>2758</v>
      </c>
      <c r="C3641"/>
      <c r="D3641"/>
      <c r="E3641"/>
      <c r="F3641"/>
      <c r="G3641" t="s">
        <v>5944</v>
      </c>
      <c r="H3641" t="s">
        <v>132</v>
      </c>
      <c r="I3641" t="s">
        <v>2</v>
      </c>
      <c r="J3641" t="s">
        <v>5298</v>
      </c>
      <c r="K3641" t="s">
        <v>52</v>
      </c>
      <c r="L3641" t="s">
        <v>1678</v>
      </c>
      <c r="M3641" t="s">
        <v>134</v>
      </c>
      <c r="N3641" t="s">
        <v>135</v>
      </c>
      <c r="O3641"/>
      <c r="P3641"/>
      <c r="Q3641" t="s">
        <v>168</v>
      </c>
      <c r="R3641"/>
      <c r="S3641"/>
      <c r="T3641" t="s">
        <v>2165</v>
      </c>
      <c r="U3641" t="s">
        <v>137</v>
      </c>
      <c r="V3641" t="s">
        <v>904</v>
      </c>
      <c r="W3641"/>
      <c r="X3641" t="s">
        <v>79</v>
      </c>
      <c r="Y3641"/>
      <c r="Z3641"/>
      <c r="AA3641" t="s">
        <v>2163</v>
      </c>
      <c r="AB3641" t="s">
        <v>2</v>
      </c>
      <c r="AC3641" t="s">
        <v>138</v>
      </c>
      <c r="AD3641" t="s">
        <v>129</v>
      </c>
      <c r="AE3641" s="97"/>
    </row>
    <row r="3642" spans="1:31" ht="14.4" customHeight="1" x14ac:dyDescent="0.3">
      <c r="A3642" t="s">
        <v>6176</v>
      </c>
      <c r="B3642" t="s">
        <v>2768</v>
      </c>
      <c r="C3642"/>
      <c r="D3642"/>
      <c r="E3642"/>
      <c r="F3642"/>
      <c r="G3642" t="s">
        <v>5944</v>
      </c>
      <c r="H3642" t="s">
        <v>132</v>
      </c>
      <c r="I3642" t="s">
        <v>2</v>
      </c>
      <c r="J3642" t="s">
        <v>5298</v>
      </c>
      <c r="K3642" t="s">
        <v>52</v>
      </c>
      <c r="L3642" t="s">
        <v>2769</v>
      </c>
      <c r="M3642" t="s">
        <v>134</v>
      </c>
      <c r="N3642" t="s">
        <v>135</v>
      </c>
      <c r="O3642"/>
      <c r="P3642"/>
      <c r="Q3642" t="s">
        <v>168</v>
      </c>
      <c r="R3642"/>
      <c r="S3642"/>
      <c r="T3642" t="s">
        <v>2165</v>
      </c>
      <c r="U3642" t="s">
        <v>137</v>
      </c>
      <c r="V3642" t="s">
        <v>904</v>
      </c>
      <c r="W3642"/>
      <c r="X3642" t="s">
        <v>79</v>
      </c>
      <c r="Y3642"/>
      <c r="Z3642"/>
      <c r="AA3642" t="s">
        <v>2163</v>
      </c>
      <c r="AB3642" t="s">
        <v>2</v>
      </c>
      <c r="AC3642" t="s">
        <v>138</v>
      </c>
      <c r="AD3642" t="s">
        <v>129</v>
      </c>
      <c r="AE3642" s="97"/>
    </row>
    <row r="3643" spans="1:31" ht="14.4" customHeight="1" x14ac:dyDescent="0.3">
      <c r="A3643" t="s">
        <v>6177</v>
      </c>
      <c r="B3643" t="s">
        <v>2771</v>
      </c>
      <c r="C3643"/>
      <c r="D3643"/>
      <c r="E3643"/>
      <c r="F3643"/>
      <c r="G3643" t="s">
        <v>5944</v>
      </c>
      <c r="H3643" t="s">
        <v>132</v>
      </c>
      <c r="I3643" t="s">
        <v>2</v>
      </c>
      <c r="J3643" t="s">
        <v>5298</v>
      </c>
      <c r="K3643" t="s">
        <v>52</v>
      </c>
      <c r="L3643" t="s">
        <v>2772</v>
      </c>
      <c r="M3643" t="s">
        <v>134</v>
      </c>
      <c r="N3643" t="s">
        <v>135</v>
      </c>
      <c r="O3643"/>
      <c r="P3643"/>
      <c r="Q3643" t="s">
        <v>168</v>
      </c>
      <c r="R3643"/>
      <c r="S3643"/>
      <c r="T3643" t="s">
        <v>2165</v>
      </c>
      <c r="U3643" t="s">
        <v>137</v>
      </c>
      <c r="V3643" t="s">
        <v>904</v>
      </c>
      <c r="W3643"/>
      <c r="X3643" t="s">
        <v>79</v>
      </c>
      <c r="Y3643"/>
      <c r="Z3643"/>
      <c r="AA3643" t="s">
        <v>2163</v>
      </c>
      <c r="AB3643" t="s">
        <v>2</v>
      </c>
      <c r="AC3643" t="s">
        <v>138</v>
      </c>
      <c r="AD3643" t="s">
        <v>129</v>
      </c>
      <c r="AE3643" s="97"/>
    </row>
    <row r="3644" spans="1:31" ht="14.4" customHeight="1" x14ac:dyDescent="0.3">
      <c r="A3644" t="s">
        <v>6178</v>
      </c>
      <c r="B3644" t="s">
        <v>2774</v>
      </c>
      <c r="C3644"/>
      <c r="D3644"/>
      <c r="E3644"/>
      <c r="F3644"/>
      <c r="G3644" t="s">
        <v>5944</v>
      </c>
      <c r="H3644" t="s">
        <v>132</v>
      </c>
      <c r="I3644" t="s">
        <v>2</v>
      </c>
      <c r="J3644" t="s">
        <v>5298</v>
      </c>
      <c r="K3644" t="s">
        <v>52</v>
      </c>
      <c r="L3644" t="s">
        <v>2775</v>
      </c>
      <c r="M3644" t="s">
        <v>134</v>
      </c>
      <c r="N3644" t="s">
        <v>135</v>
      </c>
      <c r="O3644"/>
      <c r="P3644"/>
      <c r="Q3644" t="s">
        <v>168</v>
      </c>
      <c r="R3644"/>
      <c r="S3644"/>
      <c r="T3644" t="s">
        <v>2165</v>
      </c>
      <c r="U3644" t="s">
        <v>137</v>
      </c>
      <c r="V3644" t="s">
        <v>911</v>
      </c>
      <c r="W3644"/>
      <c r="X3644" t="s">
        <v>83</v>
      </c>
      <c r="Y3644"/>
      <c r="Z3644"/>
      <c r="AA3644" t="s">
        <v>2163</v>
      </c>
      <c r="AB3644" t="s">
        <v>2</v>
      </c>
      <c r="AC3644" t="s">
        <v>138</v>
      </c>
      <c r="AD3644" t="s">
        <v>129</v>
      </c>
      <c r="AE3644" s="97"/>
    </row>
    <row r="3645" spans="1:31" ht="14.4" customHeight="1" x14ac:dyDescent="0.3">
      <c r="A3645" t="s">
        <v>6179</v>
      </c>
      <c r="B3645" t="s">
        <v>2777</v>
      </c>
      <c r="C3645"/>
      <c r="D3645"/>
      <c r="E3645"/>
      <c r="F3645"/>
      <c r="G3645" t="s">
        <v>5944</v>
      </c>
      <c r="H3645" t="s">
        <v>132</v>
      </c>
      <c r="I3645" t="s">
        <v>2</v>
      </c>
      <c r="J3645" t="s">
        <v>5298</v>
      </c>
      <c r="K3645" t="s">
        <v>52</v>
      </c>
      <c r="L3645" t="s">
        <v>2775</v>
      </c>
      <c r="M3645" t="s">
        <v>134</v>
      </c>
      <c r="N3645" t="s">
        <v>135</v>
      </c>
      <c r="O3645"/>
      <c r="P3645"/>
      <c r="Q3645" t="s">
        <v>168</v>
      </c>
      <c r="R3645"/>
      <c r="S3645"/>
      <c r="T3645" t="s">
        <v>2165</v>
      </c>
      <c r="U3645" t="s">
        <v>137</v>
      </c>
      <c r="V3645" t="s">
        <v>911</v>
      </c>
      <c r="W3645"/>
      <c r="X3645" t="s">
        <v>83</v>
      </c>
      <c r="Y3645"/>
      <c r="Z3645"/>
      <c r="AA3645" t="s">
        <v>2163</v>
      </c>
      <c r="AB3645" t="s">
        <v>2</v>
      </c>
      <c r="AC3645" t="s">
        <v>138</v>
      </c>
      <c r="AD3645" t="s">
        <v>129</v>
      </c>
      <c r="AE3645" s="97"/>
    </row>
    <row r="3646" spans="1:31" ht="14.4" customHeight="1" x14ac:dyDescent="0.3">
      <c r="A3646" t="s">
        <v>6180</v>
      </c>
      <c r="B3646" t="s">
        <v>2779</v>
      </c>
      <c r="C3646"/>
      <c r="D3646"/>
      <c r="E3646"/>
      <c r="F3646"/>
      <c r="G3646" t="s">
        <v>5944</v>
      </c>
      <c r="H3646" t="s">
        <v>132</v>
      </c>
      <c r="I3646" t="s">
        <v>2</v>
      </c>
      <c r="J3646" t="s">
        <v>5298</v>
      </c>
      <c r="K3646" t="s">
        <v>52</v>
      </c>
      <c r="L3646" t="s">
        <v>2775</v>
      </c>
      <c r="M3646" t="s">
        <v>134</v>
      </c>
      <c r="N3646" t="s">
        <v>135</v>
      </c>
      <c r="O3646"/>
      <c r="P3646"/>
      <c r="Q3646" t="s">
        <v>168</v>
      </c>
      <c r="R3646"/>
      <c r="S3646"/>
      <c r="T3646" t="s">
        <v>2165</v>
      </c>
      <c r="U3646" t="s">
        <v>137</v>
      </c>
      <c r="V3646" t="s">
        <v>911</v>
      </c>
      <c r="W3646"/>
      <c r="X3646" t="s">
        <v>83</v>
      </c>
      <c r="Y3646"/>
      <c r="Z3646"/>
      <c r="AA3646" t="s">
        <v>2163</v>
      </c>
      <c r="AB3646" t="s">
        <v>2</v>
      </c>
      <c r="AC3646" t="s">
        <v>138</v>
      </c>
      <c r="AD3646" t="s">
        <v>129</v>
      </c>
      <c r="AE3646" s="97"/>
    </row>
    <row r="3647" spans="1:31" ht="14.4" customHeight="1" x14ac:dyDescent="0.3">
      <c r="A3647" t="s">
        <v>6181</v>
      </c>
      <c r="B3647" t="s">
        <v>2781</v>
      </c>
      <c r="C3647"/>
      <c r="D3647"/>
      <c r="E3647"/>
      <c r="F3647"/>
      <c r="G3647" t="s">
        <v>5944</v>
      </c>
      <c r="H3647" t="s">
        <v>132</v>
      </c>
      <c r="I3647" t="s">
        <v>2</v>
      </c>
      <c r="J3647" t="s">
        <v>5298</v>
      </c>
      <c r="K3647" t="s">
        <v>52</v>
      </c>
      <c r="L3647" t="s">
        <v>2775</v>
      </c>
      <c r="M3647" t="s">
        <v>134</v>
      </c>
      <c r="N3647" t="s">
        <v>135</v>
      </c>
      <c r="O3647"/>
      <c r="P3647"/>
      <c r="Q3647" t="s">
        <v>168</v>
      </c>
      <c r="R3647"/>
      <c r="S3647"/>
      <c r="T3647" t="s">
        <v>2165</v>
      </c>
      <c r="U3647" t="s">
        <v>137</v>
      </c>
      <c r="V3647" t="s">
        <v>911</v>
      </c>
      <c r="W3647"/>
      <c r="X3647" t="s">
        <v>83</v>
      </c>
      <c r="Y3647"/>
      <c r="Z3647"/>
      <c r="AA3647" t="s">
        <v>2163</v>
      </c>
      <c r="AB3647" t="s">
        <v>2</v>
      </c>
      <c r="AC3647" t="s">
        <v>138</v>
      </c>
      <c r="AD3647" t="s">
        <v>129</v>
      </c>
      <c r="AE3647" s="97"/>
    </row>
    <row r="3648" spans="1:31" ht="14.4" customHeight="1" x14ac:dyDescent="0.3">
      <c r="A3648" t="s">
        <v>6182</v>
      </c>
      <c r="B3648" t="s">
        <v>2783</v>
      </c>
      <c r="C3648"/>
      <c r="D3648"/>
      <c r="E3648"/>
      <c r="F3648"/>
      <c r="G3648" t="s">
        <v>5944</v>
      </c>
      <c r="H3648" t="s">
        <v>132</v>
      </c>
      <c r="I3648" t="s">
        <v>2</v>
      </c>
      <c r="J3648" t="s">
        <v>5298</v>
      </c>
      <c r="K3648" t="s">
        <v>52</v>
      </c>
      <c r="L3648" t="s">
        <v>2775</v>
      </c>
      <c r="M3648" t="s">
        <v>134</v>
      </c>
      <c r="N3648" t="s">
        <v>135</v>
      </c>
      <c r="O3648"/>
      <c r="P3648"/>
      <c r="Q3648" t="s">
        <v>168</v>
      </c>
      <c r="R3648"/>
      <c r="S3648"/>
      <c r="T3648" t="s">
        <v>2165</v>
      </c>
      <c r="U3648" t="s">
        <v>137</v>
      </c>
      <c r="V3648" t="s">
        <v>911</v>
      </c>
      <c r="W3648"/>
      <c r="X3648" t="s">
        <v>83</v>
      </c>
      <c r="Y3648"/>
      <c r="Z3648"/>
      <c r="AA3648" t="s">
        <v>2163</v>
      </c>
      <c r="AB3648" t="s">
        <v>2</v>
      </c>
      <c r="AC3648" t="s">
        <v>138</v>
      </c>
      <c r="AD3648" t="s">
        <v>129</v>
      </c>
      <c r="AE3648" s="97"/>
    </row>
    <row r="3649" spans="1:31" ht="14.4" customHeight="1" x14ac:dyDescent="0.3">
      <c r="A3649" t="s">
        <v>6183</v>
      </c>
      <c r="B3649" t="s">
        <v>2785</v>
      </c>
      <c r="C3649"/>
      <c r="D3649"/>
      <c r="E3649"/>
      <c r="F3649"/>
      <c r="G3649" t="s">
        <v>5944</v>
      </c>
      <c r="H3649" t="s">
        <v>132</v>
      </c>
      <c r="I3649" t="s">
        <v>2</v>
      </c>
      <c r="J3649" t="s">
        <v>5298</v>
      </c>
      <c r="K3649" t="s">
        <v>52</v>
      </c>
      <c r="L3649" t="s">
        <v>1698</v>
      </c>
      <c r="M3649" t="s">
        <v>134</v>
      </c>
      <c r="N3649" t="s">
        <v>135</v>
      </c>
      <c r="O3649"/>
      <c r="P3649"/>
      <c r="Q3649" t="s">
        <v>168</v>
      </c>
      <c r="R3649"/>
      <c r="S3649"/>
      <c r="T3649" t="s">
        <v>2165</v>
      </c>
      <c r="U3649" t="s">
        <v>137</v>
      </c>
      <c r="V3649" t="s">
        <v>911</v>
      </c>
      <c r="W3649"/>
      <c r="X3649" t="s">
        <v>83</v>
      </c>
      <c r="Y3649"/>
      <c r="Z3649"/>
      <c r="AA3649" t="s">
        <v>2163</v>
      </c>
      <c r="AB3649" t="s">
        <v>2</v>
      </c>
      <c r="AC3649" t="s">
        <v>138</v>
      </c>
      <c r="AD3649" t="s">
        <v>129</v>
      </c>
      <c r="AE3649" s="97"/>
    </row>
    <row r="3650" spans="1:31" ht="14.4" customHeight="1" x14ac:dyDescent="0.3">
      <c r="A3650" t="s">
        <v>6184</v>
      </c>
      <c r="B3650" t="s">
        <v>2787</v>
      </c>
      <c r="C3650"/>
      <c r="D3650"/>
      <c r="E3650"/>
      <c r="F3650"/>
      <c r="G3650" t="s">
        <v>5944</v>
      </c>
      <c r="H3650" t="s">
        <v>132</v>
      </c>
      <c r="I3650" t="s">
        <v>2</v>
      </c>
      <c r="J3650" t="s">
        <v>5298</v>
      </c>
      <c r="K3650" t="s">
        <v>52</v>
      </c>
      <c r="L3650" t="s">
        <v>1698</v>
      </c>
      <c r="M3650" t="s">
        <v>134</v>
      </c>
      <c r="N3650" t="s">
        <v>135</v>
      </c>
      <c r="O3650"/>
      <c r="P3650"/>
      <c r="Q3650" t="s">
        <v>168</v>
      </c>
      <c r="R3650"/>
      <c r="S3650"/>
      <c r="T3650" t="s">
        <v>2165</v>
      </c>
      <c r="U3650" t="s">
        <v>137</v>
      </c>
      <c r="V3650" t="s">
        <v>911</v>
      </c>
      <c r="W3650"/>
      <c r="X3650" t="s">
        <v>83</v>
      </c>
      <c r="Y3650"/>
      <c r="Z3650"/>
      <c r="AA3650" t="s">
        <v>2163</v>
      </c>
      <c r="AB3650" t="s">
        <v>2</v>
      </c>
      <c r="AC3650" t="s">
        <v>138</v>
      </c>
      <c r="AD3650" t="s">
        <v>129</v>
      </c>
      <c r="AE3650" s="97"/>
    </row>
    <row r="3651" spans="1:31" ht="14.4" customHeight="1" x14ac:dyDescent="0.3">
      <c r="A3651" t="s">
        <v>6185</v>
      </c>
      <c r="B3651" t="s">
        <v>2789</v>
      </c>
      <c r="C3651"/>
      <c r="D3651"/>
      <c r="E3651"/>
      <c r="F3651"/>
      <c r="G3651" t="s">
        <v>5944</v>
      </c>
      <c r="H3651" t="s">
        <v>132</v>
      </c>
      <c r="I3651" t="s">
        <v>2</v>
      </c>
      <c r="J3651" t="s">
        <v>5298</v>
      </c>
      <c r="K3651" t="s">
        <v>52</v>
      </c>
      <c r="L3651" t="s">
        <v>1698</v>
      </c>
      <c r="M3651" t="s">
        <v>134</v>
      </c>
      <c r="N3651" t="s">
        <v>135</v>
      </c>
      <c r="O3651"/>
      <c r="P3651"/>
      <c r="Q3651" t="s">
        <v>168</v>
      </c>
      <c r="R3651"/>
      <c r="S3651"/>
      <c r="T3651" t="s">
        <v>2165</v>
      </c>
      <c r="U3651" t="s">
        <v>137</v>
      </c>
      <c r="V3651" t="s">
        <v>911</v>
      </c>
      <c r="W3651"/>
      <c r="X3651" t="s">
        <v>83</v>
      </c>
      <c r="Y3651"/>
      <c r="Z3651"/>
      <c r="AA3651" t="s">
        <v>2163</v>
      </c>
      <c r="AB3651" t="s">
        <v>2</v>
      </c>
      <c r="AC3651" t="s">
        <v>138</v>
      </c>
      <c r="AD3651" t="s">
        <v>129</v>
      </c>
      <c r="AE3651" s="97"/>
    </row>
    <row r="3652" spans="1:31" ht="14.4" customHeight="1" x14ac:dyDescent="0.3">
      <c r="A3652" t="s">
        <v>6186</v>
      </c>
      <c r="B3652" t="s">
        <v>2791</v>
      </c>
      <c r="C3652"/>
      <c r="D3652"/>
      <c r="E3652"/>
      <c r="F3652"/>
      <c r="G3652" t="s">
        <v>5944</v>
      </c>
      <c r="H3652" t="s">
        <v>132</v>
      </c>
      <c r="I3652" t="s">
        <v>2</v>
      </c>
      <c r="J3652" t="s">
        <v>5298</v>
      </c>
      <c r="K3652" t="s">
        <v>52</v>
      </c>
      <c r="L3652" t="s">
        <v>1698</v>
      </c>
      <c r="M3652" t="s">
        <v>134</v>
      </c>
      <c r="N3652" t="s">
        <v>135</v>
      </c>
      <c r="O3652"/>
      <c r="P3652"/>
      <c r="Q3652" t="s">
        <v>168</v>
      </c>
      <c r="R3652"/>
      <c r="S3652"/>
      <c r="T3652" t="s">
        <v>2165</v>
      </c>
      <c r="U3652" t="s">
        <v>137</v>
      </c>
      <c r="V3652" t="s">
        <v>911</v>
      </c>
      <c r="W3652"/>
      <c r="X3652" t="s">
        <v>83</v>
      </c>
      <c r="Y3652"/>
      <c r="Z3652"/>
      <c r="AA3652" t="s">
        <v>2163</v>
      </c>
      <c r="AB3652" t="s">
        <v>2</v>
      </c>
      <c r="AC3652" t="s">
        <v>138</v>
      </c>
      <c r="AD3652" t="s">
        <v>129</v>
      </c>
      <c r="AE3652" s="97"/>
    </row>
    <row r="3653" spans="1:31" ht="14.4" customHeight="1" x14ac:dyDescent="0.3">
      <c r="A3653" t="s">
        <v>6187</v>
      </c>
      <c r="B3653" t="s">
        <v>2793</v>
      </c>
      <c r="C3653"/>
      <c r="D3653"/>
      <c r="E3653"/>
      <c r="F3653"/>
      <c r="G3653" t="s">
        <v>5944</v>
      </c>
      <c r="H3653" t="s">
        <v>132</v>
      </c>
      <c r="I3653" t="s">
        <v>2</v>
      </c>
      <c r="J3653" t="s">
        <v>5298</v>
      </c>
      <c r="K3653" t="s">
        <v>52</v>
      </c>
      <c r="L3653" t="s">
        <v>1701</v>
      </c>
      <c r="M3653" t="s">
        <v>134</v>
      </c>
      <c r="N3653" t="s">
        <v>135</v>
      </c>
      <c r="O3653"/>
      <c r="P3653"/>
      <c r="Q3653" t="s">
        <v>168</v>
      </c>
      <c r="R3653"/>
      <c r="S3653"/>
      <c r="T3653" t="s">
        <v>2165</v>
      </c>
      <c r="U3653" t="s">
        <v>137</v>
      </c>
      <c r="V3653" t="s">
        <v>911</v>
      </c>
      <c r="W3653"/>
      <c r="X3653" t="s">
        <v>83</v>
      </c>
      <c r="Y3653"/>
      <c r="Z3653"/>
      <c r="AA3653" t="s">
        <v>2163</v>
      </c>
      <c r="AB3653" t="s">
        <v>2</v>
      </c>
      <c r="AC3653" t="s">
        <v>138</v>
      </c>
      <c r="AD3653" t="s">
        <v>129</v>
      </c>
      <c r="AE3653" s="97"/>
    </row>
    <row r="3654" spans="1:31" ht="14.4" customHeight="1" x14ac:dyDescent="0.3">
      <c r="A3654" t="s">
        <v>6188</v>
      </c>
      <c r="B3654" t="s">
        <v>2795</v>
      </c>
      <c r="C3654"/>
      <c r="D3654"/>
      <c r="E3654"/>
      <c r="F3654"/>
      <c r="G3654" t="s">
        <v>5944</v>
      </c>
      <c r="H3654" t="s">
        <v>132</v>
      </c>
      <c r="I3654" t="s">
        <v>2</v>
      </c>
      <c r="J3654" t="s">
        <v>5298</v>
      </c>
      <c r="K3654" t="s">
        <v>52</v>
      </c>
      <c r="L3654" t="s">
        <v>1701</v>
      </c>
      <c r="M3654" t="s">
        <v>134</v>
      </c>
      <c r="N3654" t="s">
        <v>135</v>
      </c>
      <c r="O3654"/>
      <c r="P3654"/>
      <c r="Q3654" t="s">
        <v>168</v>
      </c>
      <c r="R3654"/>
      <c r="S3654"/>
      <c r="T3654" t="s">
        <v>2165</v>
      </c>
      <c r="U3654" t="s">
        <v>137</v>
      </c>
      <c r="V3654" t="s">
        <v>911</v>
      </c>
      <c r="W3654"/>
      <c r="X3654" t="s">
        <v>83</v>
      </c>
      <c r="Y3654"/>
      <c r="Z3654"/>
      <c r="AA3654" t="s">
        <v>2163</v>
      </c>
      <c r="AB3654" t="s">
        <v>2</v>
      </c>
      <c r="AC3654" t="s">
        <v>138</v>
      </c>
      <c r="AD3654" t="s">
        <v>129</v>
      </c>
      <c r="AE3654" s="97"/>
    </row>
    <row r="3655" spans="1:31" ht="14.4" customHeight="1" x14ac:dyDescent="0.3">
      <c r="A3655" t="s">
        <v>6189</v>
      </c>
      <c r="B3655" t="s">
        <v>2797</v>
      </c>
      <c r="C3655"/>
      <c r="D3655"/>
      <c r="E3655"/>
      <c r="F3655"/>
      <c r="G3655" t="s">
        <v>5944</v>
      </c>
      <c r="H3655" t="s">
        <v>132</v>
      </c>
      <c r="I3655" t="s">
        <v>2</v>
      </c>
      <c r="J3655" t="s">
        <v>5298</v>
      </c>
      <c r="K3655" t="s">
        <v>52</v>
      </c>
      <c r="L3655" t="s">
        <v>1698</v>
      </c>
      <c r="M3655" t="s">
        <v>134</v>
      </c>
      <c r="N3655" t="s">
        <v>135</v>
      </c>
      <c r="O3655"/>
      <c r="P3655"/>
      <c r="Q3655" t="s">
        <v>168</v>
      </c>
      <c r="R3655"/>
      <c r="S3655"/>
      <c r="T3655" t="s">
        <v>2165</v>
      </c>
      <c r="U3655" t="s">
        <v>137</v>
      </c>
      <c r="V3655" t="s">
        <v>911</v>
      </c>
      <c r="W3655"/>
      <c r="X3655" t="s">
        <v>83</v>
      </c>
      <c r="Y3655"/>
      <c r="Z3655"/>
      <c r="AA3655" t="s">
        <v>2163</v>
      </c>
      <c r="AB3655" t="s">
        <v>2</v>
      </c>
      <c r="AC3655" t="s">
        <v>138</v>
      </c>
      <c r="AD3655" t="s">
        <v>129</v>
      </c>
      <c r="AE3655" s="97"/>
    </row>
    <row r="3656" spans="1:31" ht="14.4" customHeight="1" x14ac:dyDescent="0.3">
      <c r="A3656" t="s">
        <v>6190</v>
      </c>
      <c r="B3656" t="s">
        <v>2799</v>
      </c>
      <c r="C3656"/>
      <c r="D3656"/>
      <c r="E3656"/>
      <c r="F3656"/>
      <c r="G3656" t="s">
        <v>5944</v>
      </c>
      <c r="H3656" t="s">
        <v>132</v>
      </c>
      <c r="I3656" t="s">
        <v>2</v>
      </c>
      <c r="J3656" t="s">
        <v>5298</v>
      </c>
      <c r="K3656" t="s">
        <v>52</v>
      </c>
      <c r="L3656" t="s">
        <v>1698</v>
      </c>
      <c r="M3656" t="s">
        <v>134</v>
      </c>
      <c r="N3656" t="s">
        <v>135</v>
      </c>
      <c r="O3656"/>
      <c r="P3656"/>
      <c r="Q3656" t="s">
        <v>168</v>
      </c>
      <c r="R3656"/>
      <c r="S3656"/>
      <c r="T3656" t="s">
        <v>2165</v>
      </c>
      <c r="U3656" t="s">
        <v>137</v>
      </c>
      <c r="V3656" t="s">
        <v>911</v>
      </c>
      <c r="W3656"/>
      <c r="X3656" t="s">
        <v>83</v>
      </c>
      <c r="Y3656"/>
      <c r="Z3656"/>
      <c r="AA3656" t="s">
        <v>2163</v>
      </c>
      <c r="AB3656" t="s">
        <v>2</v>
      </c>
      <c r="AC3656" t="s">
        <v>138</v>
      </c>
      <c r="AD3656" t="s">
        <v>129</v>
      </c>
      <c r="AE3656" s="97"/>
    </row>
    <row r="3657" spans="1:31" ht="14.4" customHeight="1" x14ac:dyDescent="0.3">
      <c r="A3657" t="s">
        <v>6191</v>
      </c>
      <c r="B3657" t="s">
        <v>2801</v>
      </c>
      <c r="C3657"/>
      <c r="D3657"/>
      <c r="E3657"/>
      <c r="F3657"/>
      <c r="G3657" t="s">
        <v>5944</v>
      </c>
      <c r="H3657" t="s">
        <v>132</v>
      </c>
      <c r="I3657" t="s">
        <v>2</v>
      </c>
      <c r="J3657" t="s">
        <v>5298</v>
      </c>
      <c r="K3657" t="s">
        <v>52</v>
      </c>
      <c r="L3657" t="s">
        <v>1698</v>
      </c>
      <c r="M3657" t="s">
        <v>134</v>
      </c>
      <c r="N3657" t="s">
        <v>135</v>
      </c>
      <c r="O3657"/>
      <c r="P3657"/>
      <c r="Q3657" t="s">
        <v>168</v>
      </c>
      <c r="R3657"/>
      <c r="S3657"/>
      <c r="T3657" t="s">
        <v>2165</v>
      </c>
      <c r="U3657" t="s">
        <v>137</v>
      </c>
      <c r="V3657" t="s">
        <v>911</v>
      </c>
      <c r="W3657"/>
      <c r="X3657" t="s">
        <v>83</v>
      </c>
      <c r="Y3657"/>
      <c r="Z3657"/>
      <c r="AA3657" t="s">
        <v>2163</v>
      </c>
      <c r="AB3657" t="s">
        <v>2</v>
      </c>
      <c r="AC3657" t="s">
        <v>138</v>
      </c>
      <c r="AD3657" t="s">
        <v>129</v>
      </c>
      <c r="AE3657" s="97"/>
    </row>
    <row r="3658" spans="1:31" ht="14.4" customHeight="1" x14ac:dyDescent="0.3">
      <c r="A3658" t="s">
        <v>6192</v>
      </c>
      <c r="B3658" t="s">
        <v>2811</v>
      </c>
      <c r="C3658"/>
      <c r="D3658"/>
      <c r="E3658"/>
      <c r="F3658"/>
      <c r="G3658" t="s">
        <v>5944</v>
      </c>
      <c r="H3658" t="s">
        <v>132</v>
      </c>
      <c r="I3658" t="s">
        <v>2</v>
      </c>
      <c r="J3658" t="s">
        <v>5298</v>
      </c>
      <c r="K3658" t="s">
        <v>52</v>
      </c>
      <c r="L3658" t="s">
        <v>2812</v>
      </c>
      <c r="M3658" t="s">
        <v>134</v>
      </c>
      <c r="N3658" t="s">
        <v>135</v>
      </c>
      <c r="O3658"/>
      <c r="P3658"/>
      <c r="Q3658" t="s">
        <v>168</v>
      </c>
      <c r="R3658"/>
      <c r="S3658"/>
      <c r="T3658" t="s">
        <v>2165</v>
      </c>
      <c r="U3658" t="s">
        <v>137</v>
      </c>
      <c r="V3658" t="s">
        <v>911</v>
      </c>
      <c r="W3658"/>
      <c r="X3658" t="s">
        <v>83</v>
      </c>
      <c r="Y3658"/>
      <c r="Z3658"/>
      <c r="AA3658" t="s">
        <v>2163</v>
      </c>
      <c r="AB3658" t="s">
        <v>2</v>
      </c>
      <c r="AC3658" t="s">
        <v>138</v>
      </c>
      <c r="AD3658" t="s">
        <v>129</v>
      </c>
      <c r="AE3658" s="97"/>
    </row>
    <row r="3659" spans="1:31" ht="14.4" customHeight="1" x14ac:dyDescent="0.3">
      <c r="A3659" t="s">
        <v>6193</v>
      </c>
      <c r="B3659" t="s">
        <v>2814</v>
      </c>
      <c r="C3659"/>
      <c r="D3659"/>
      <c r="E3659"/>
      <c r="F3659"/>
      <c r="G3659" t="s">
        <v>5944</v>
      </c>
      <c r="H3659" t="s">
        <v>132</v>
      </c>
      <c r="I3659" t="s">
        <v>2</v>
      </c>
      <c r="J3659" t="s">
        <v>5298</v>
      </c>
      <c r="K3659" t="s">
        <v>52</v>
      </c>
      <c r="L3659" t="s">
        <v>2815</v>
      </c>
      <c r="M3659" t="s">
        <v>134</v>
      </c>
      <c r="N3659" t="s">
        <v>135</v>
      </c>
      <c r="O3659"/>
      <c r="P3659"/>
      <c r="Q3659" t="s">
        <v>168</v>
      </c>
      <c r="R3659"/>
      <c r="S3659"/>
      <c r="T3659" t="s">
        <v>2165</v>
      </c>
      <c r="U3659" t="s">
        <v>137</v>
      </c>
      <c r="V3659" t="s">
        <v>911</v>
      </c>
      <c r="W3659"/>
      <c r="X3659" t="s">
        <v>83</v>
      </c>
      <c r="Y3659"/>
      <c r="Z3659"/>
      <c r="AA3659" t="s">
        <v>2163</v>
      </c>
      <c r="AB3659" t="s">
        <v>2</v>
      </c>
      <c r="AC3659" t="s">
        <v>138</v>
      </c>
      <c r="AD3659" t="s">
        <v>129</v>
      </c>
      <c r="AE3659" s="97"/>
    </row>
    <row r="3660" spans="1:31" ht="14.4" customHeight="1" x14ac:dyDescent="0.3">
      <c r="A3660" t="s">
        <v>6194</v>
      </c>
      <c r="B3660" t="s">
        <v>2817</v>
      </c>
      <c r="C3660"/>
      <c r="D3660"/>
      <c r="E3660"/>
      <c r="F3660"/>
      <c r="G3660" t="s">
        <v>5944</v>
      </c>
      <c r="H3660" t="s">
        <v>132</v>
      </c>
      <c r="I3660" t="s">
        <v>2</v>
      </c>
      <c r="J3660" t="s">
        <v>5298</v>
      </c>
      <c r="K3660" t="s">
        <v>52</v>
      </c>
      <c r="L3660" t="s">
        <v>2818</v>
      </c>
      <c r="M3660" t="s">
        <v>134</v>
      </c>
      <c r="N3660" t="s">
        <v>135</v>
      </c>
      <c r="O3660"/>
      <c r="P3660"/>
      <c r="Q3660" t="s">
        <v>168</v>
      </c>
      <c r="R3660"/>
      <c r="S3660"/>
      <c r="T3660" t="s">
        <v>2165</v>
      </c>
      <c r="U3660" t="s">
        <v>137</v>
      </c>
      <c r="V3660" t="s">
        <v>918</v>
      </c>
      <c r="W3660"/>
      <c r="X3660" t="s">
        <v>92</v>
      </c>
      <c r="Y3660"/>
      <c r="Z3660"/>
      <c r="AA3660" t="s">
        <v>2163</v>
      </c>
      <c r="AB3660" t="s">
        <v>2</v>
      </c>
      <c r="AC3660" t="s">
        <v>138</v>
      </c>
      <c r="AD3660" t="s">
        <v>129</v>
      </c>
      <c r="AE3660" s="97"/>
    </row>
    <row r="3661" spans="1:31" ht="14.4" customHeight="1" x14ac:dyDescent="0.3">
      <c r="A3661" t="s">
        <v>6195</v>
      </c>
      <c r="B3661" t="s">
        <v>2820</v>
      </c>
      <c r="C3661"/>
      <c r="D3661"/>
      <c r="E3661"/>
      <c r="F3661"/>
      <c r="G3661" t="s">
        <v>5944</v>
      </c>
      <c r="H3661" t="s">
        <v>132</v>
      </c>
      <c r="I3661" t="s">
        <v>2</v>
      </c>
      <c r="J3661" t="s">
        <v>5298</v>
      </c>
      <c r="K3661" t="s">
        <v>52</v>
      </c>
      <c r="L3661" t="s">
        <v>2818</v>
      </c>
      <c r="M3661" t="s">
        <v>134</v>
      </c>
      <c r="N3661" t="s">
        <v>135</v>
      </c>
      <c r="O3661"/>
      <c r="P3661"/>
      <c r="Q3661" t="s">
        <v>168</v>
      </c>
      <c r="R3661"/>
      <c r="S3661"/>
      <c r="T3661" t="s">
        <v>2165</v>
      </c>
      <c r="U3661" t="s">
        <v>137</v>
      </c>
      <c r="V3661" t="s">
        <v>918</v>
      </c>
      <c r="W3661"/>
      <c r="X3661" t="s">
        <v>92</v>
      </c>
      <c r="Y3661"/>
      <c r="Z3661"/>
      <c r="AA3661" t="s">
        <v>2163</v>
      </c>
      <c r="AB3661" t="s">
        <v>2</v>
      </c>
      <c r="AC3661" t="s">
        <v>138</v>
      </c>
      <c r="AD3661" t="s">
        <v>129</v>
      </c>
      <c r="AE3661" s="97"/>
    </row>
    <row r="3662" spans="1:31" ht="14.4" customHeight="1" x14ac:dyDescent="0.3">
      <c r="A3662" t="s">
        <v>6196</v>
      </c>
      <c r="B3662" t="s">
        <v>2822</v>
      </c>
      <c r="C3662"/>
      <c r="D3662"/>
      <c r="E3662"/>
      <c r="F3662"/>
      <c r="G3662" t="s">
        <v>5944</v>
      </c>
      <c r="H3662" t="s">
        <v>132</v>
      </c>
      <c r="I3662" t="s">
        <v>2</v>
      </c>
      <c r="J3662" t="s">
        <v>5298</v>
      </c>
      <c r="K3662" t="s">
        <v>52</v>
      </c>
      <c r="L3662" t="s">
        <v>2818</v>
      </c>
      <c r="M3662" t="s">
        <v>134</v>
      </c>
      <c r="N3662" t="s">
        <v>135</v>
      </c>
      <c r="O3662"/>
      <c r="P3662"/>
      <c r="Q3662" t="s">
        <v>168</v>
      </c>
      <c r="R3662"/>
      <c r="S3662"/>
      <c r="T3662" t="s">
        <v>2165</v>
      </c>
      <c r="U3662" t="s">
        <v>137</v>
      </c>
      <c r="V3662" t="s">
        <v>918</v>
      </c>
      <c r="W3662"/>
      <c r="X3662" t="s">
        <v>92</v>
      </c>
      <c r="Y3662"/>
      <c r="Z3662"/>
      <c r="AA3662" t="s">
        <v>2163</v>
      </c>
      <c r="AB3662" t="s">
        <v>2</v>
      </c>
      <c r="AC3662" t="s">
        <v>138</v>
      </c>
      <c r="AD3662" t="s">
        <v>129</v>
      </c>
      <c r="AE3662" s="97"/>
    </row>
    <row r="3663" spans="1:31" ht="14.4" customHeight="1" x14ac:dyDescent="0.3">
      <c r="A3663" t="s">
        <v>6197</v>
      </c>
      <c r="B3663" t="s">
        <v>2824</v>
      </c>
      <c r="C3663"/>
      <c r="D3663"/>
      <c r="E3663"/>
      <c r="F3663"/>
      <c r="G3663" t="s">
        <v>5944</v>
      </c>
      <c r="H3663" t="s">
        <v>132</v>
      </c>
      <c r="I3663" t="s">
        <v>2</v>
      </c>
      <c r="J3663" t="s">
        <v>5298</v>
      </c>
      <c r="K3663" t="s">
        <v>52</v>
      </c>
      <c r="L3663" t="s">
        <v>2818</v>
      </c>
      <c r="M3663" t="s">
        <v>134</v>
      </c>
      <c r="N3663" t="s">
        <v>135</v>
      </c>
      <c r="O3663"/>
      <c r="P3663"/>
      <c r="Q3663" t="s">
        <v>168</v>
      </c>
      <c r="R3663"/>
      <c r="S3663"/>
      <c r="T3663" t="s">
        <v>2165</v>
      </c>
      <c r="U3663" t="s">
        <v>137</v>
      </c>
      <c r="V3663" t="s">
        <v>918</v>
      </c>
      <c r="W3663"/>
      <c r="X3663" t="s">
        <v>92</v>
      </c>
      <c r="Y3663"/>
      <c r="Z3663"/>
      <c r="AA3663" t="s">
        <v>2163</v>
      </c>
      <c r="AB3663" t="s">
        <v>2</v>
      </c>
      <c r="AC3663" t="s">
        <v>138</v>
      </c>
      <c r="AD3663" t="s">
        <v>129</v>
      </c>
      <c r="AE3663" s="97"/>
    </row>
    <row r="3664" spans="1:31" ht="14.4" customHeight="1" x14ac:dyDescent="0.3">
      <c r="A3664" t="s">
        <v>6198</v>
      </c>
      <c r="B3664" t="s">
        <v>2826</v>
      </c>
      <c r="C3664"/>
      <c r="D3664"/>
      <c r="E3664"/>
      <c r="F3664"/>
      <c r="G3664" t="s">
        <v>5944</v>
      </c>
      <c r="H3664" t="s">
        <v>132</v>
      </c>
      <c r="I3664" t="s">
        <v>2</v>
      </c>
      <c r="J3664" t="s">
        <v>5298</v>
      </c>
      <c r="K3664" t="s">
        <v>52</v>
      </c>
      <c r="L3664" t="s">
        <v>2827</v>
      </c>
      <c r="M3664" t="s">
        <v>134</v>
      </c>
      <c r="N3664" t="s">
        <v>135</v>
      </c>
      <c r="O3664"/>
      <c r="P3664"/>
      <c r="Q3664" t="s">
        <v>168</v>
      </c>
      <c r="R3664"/>
      <c r="S3664"/>
      <c r="T3664" t="s">
        <v>2165</v>
      </c>
      <c r="U3664" t="s">
        <v>137</v>
      </c>
      <c r="V3664" t="s">
        <v>918</v>
      </c>
      <c r="W3664"/>
      <c r="X3664" t="s">
        <v>92</v>
      </c>
      <c r="Y3664"/>
      <c r="Z3664"/>
      <c r="AA3664" t="s">
        <v>2163</v>
      </c>
      <c r="AB3664" t="s">
        <v>2</v>
      </c>
      <c r="AC3664" t="s">
        <v>138</v>
      </c>
      <c r="AD3664" t="s">
        <v>129</v>
      </c>
      <c r="AE3664" s="97"/>
    </row>
    <row r="3665" spans="1:31" ht="14.4" customHeight="1" x14ac:dyDescent="0.3">
      <c r="A3665" t="s">
        <v>6199</v>
      </c>
      <c r="B3665" t="s">
        <v>2829</v>
      </c>
      <c r="C3665"/>
      <c r="D3665"/>
      <c r="E3665"/>
      <c r="F3665"/>
      <c r="G3665" t="s">
        <v>5944</v>
      </c>
      <c r="H3665" t="s">
        <v>132</v>
      </c>
      <c r="I3665" t="s">
        <v>2</v>
      </c>
      <c r="J3665" t="s">
        <v>5298</v>
      </c>
      <c r="K3665" t="s">
        <v>52</v>
      </c>
      <c r="L3665" t="s">
        <v>1718</v>
      </c>
      <c r="M3665" t="s">
        <v>134</v>
      </c>
      <c r="N3665" t="s">
        <v>135</v>
      </c>
      <c r="O3665"/>
      <c r="P3665"/>
      <c r="Q3665" t="s">
        <v>168</v>
      </c>
      <c r="R3665"/>
      <c r="S3665"/>
      <c r="T3665" t="s">
        <v>2165</v>
      </c>
      <c r="U3665" t="s">
        <v>137</v>
      </c>
      <c r="V3665" t="s">
        <v>918</v>
      </c>
      <c r="W3665"/>
      <c r="X3665" t="s">
        <v>92</v>
      </c>
      <c r="Y3665"/>
      <c r="Z3665"/>
      <c r="AA3665" t="s">
        <v>2163</v>
      </c>
      <c r="AB3665" t="s">
        <v>2</v>
      </c>
      <c r="AC3665" t="s">
        <v>138</v>
      </c>
      <c r="AD3665" t="s">
        <v>129</v>
      </c>
      <c r="AE3665" s="97"/>
    </row>
    <row r="3666" spans="1:31" ht="14.4" customHeight="1" x14ac:dyDescent="0.3">
      <c r="A3666" t="s">
        <v>6200</v>
      </c>
      <c r="B3666" t="s">
        <v>2831</v>
      </c>
      <c r="C3666"/>
      <c r="D3666"/>
      <c r="E3666"/>
      <c r="F3666"/>
      <c r="G3666" t="s">
        <v>5944</v>
      </c>
      <c r="H3666" t="s">
        <v>132</v>
      </c>
      <c r="I3666" t="s">
        <v>2</v>
      </c>
      <c r="J3666" t="s">
        <v>5298</v>
      </c>
      <c r="K3666" t="s">
        <v>52</v>
      </c>
      <c r="L3666" t="s">
        <v>1718</v>
      </c>
      <c r="M3666" t="s">
        <v>134</v>
      </c>
      <c r="N3666" t="s">
        <v>135</v>
      </c>
      <c r="O3666"/>
      <c r="P3666"/>
      <c r="Q3666" t="s">
        <v>168</v>
      </c>
      <c r="R3666"/>
      <c r="S3666"/>
      <c r="T3666" t="s">
        <v>2165</v>
      </c>
      <c r="U3666" t="s">
        <v>137</v>
      </c>
      <c r="V3666" t="s">
        <v>918</v>
      </c>
      <c r="W3666"/>
      <c r="X3666" t="s">
        <v>92</v>
      </c>
      <c r="Y3666"/>
      <c r="Z3666"/>
      <c r="AA3666" t="s">
        <v>2163</v>
      </c>
      <c r="AB3666" t="s">
        <v>2</v>
      </c>
      <c r="AC3666" t="s">
        <v>138</v>
      </c>
      <c r="AD3666" t="s">
        <v>129</v>
      </c>
      <c r="AE3666" s="97"/>
    </row>
    <row r="3667" spans="1:31" ht="14.4" customHeight="1" x14ac:dyDescent="0.3">
      <c r="A3667" t="s">
        <v>6201</v>
      </c>
      <c r="B3667" t="s">
        <v>2833</v>
      </c>
      <c r="C3667"/>
      <c r="D3667"/>
      <c r="E3667"/>
      <c r="F3667"/>
      <c r="G3667" t="s">
        <v>5944</v>
      </c>
      <c r="H3667" t="s">
        <v>132</v>
      </c>
      <c r="I3667" t="s">
        <v>2</v>
      </c>
      <c r="J3667" t="s">
        <v>5298</v>
      </c>
      <c r="K3667" t="s">
        <v>52</v>
      </c>
      <c r="L3667" t="s">
        <v>1718</v>
      </c>
      <c r="M3667" t="s">
        <v>134</v>
      </c>
      <c r="N3667" t="s">
        <v>135</v>
      </c>
      <c r="O3667"/>
      <c r="P3667"/>
      <c r="Q3667" t="s">
        <v>168</v>
      </c>
      <c r="R3667"/>
      <c r="S3667"/>
      <c r="T3667" t="s">
        <v>2165</v>
      </c>
      <c r="U3667" t="s">
        <v>137</v>
      </c>
      <c r="V3667" t="s">
        <v>918</v>
      </c>
      <c r="W3667"/>
      <c r="X3667" t="s">
        <v>92</v>
      </c>
      <c r="Y3667"/>
      <c r="Z3667"/>
      <c r="AA3667" t="s">
        <v>2163</v>
      </c>
      <c r="AB3667" t="s">
        <v>2</v>
      </c>
      <c r="AC3667" t="s">
        <v>138</v>
      </c>
      <c r="AD3667" t="s">
        <v>129</v>
      </c>
      <c r="AE3667" s="97"/>
    </row>
    <row r="3668" spans="1:31" ht="14.4" customHeight="1" x14ac:dyDescent="0.3">
      <c r="A3668" t="s">
        <v>6202</v>
      </c>
      <c r="B3668" t="s">
        <v>2835</v>
      </c>
      <c r="C3668"/>
      <c r="D3668"/>
      <c r="E3668"/>
      <c r="F3668"/>
      <c r="G3668" t="s">
        <v>5944</v>
      </c>
      <c r="H3668" t="s">
        <v>132</v>
      </c>
      <c r="I3668" t="s">
        <v>2</v>
      </c>
      <c r="J3668" t="s">
        <v>5298</v>
      </c>
      <c r="K3668" t="s">
        <v>52</v>
      </c>
      <c r="L3668" t="s">
        <v>1718</v>
      </c>
      <c r="M3668" t="s">
        <v>134</v>
      </c>
      <c r="N3668" t="s">
        <v>135</v>
      </c>
      <c r="O3668"/>
      <c r="P3668"/>
      <c r="Q3668" t="s">
        <v>168</v>
      </c>
      <c r="R3668"/>
      <c r="S3668"/>
      <c r="T3668" t="s">
        <v>2165</v>
      </c>
      <c r="U3668" t="s">
        <v>137</v>
      </c>
      <c r="V3668" t="s">
        <v>918</v>
      </c>
      <c r="W3668"/>
      <c r="X3668" t="s">
        <v>92</v>
      </c>
      <c r="Y3668"/>
      <c r="Z3668"/>
      <c r="AA3668" t="s">
        <v>2163</v>
      </c>
      <c r="AB3668" t="s">
        <v>2</v>
      </c>
      <c r="AC3668" t="s">
        <v>138</v>
      </c>
      <c r="AD3668" t="s">
        <v>129</v>
      </c>
      <c r="AE3668" s="97"/>
    </row>
    <row r="3669" spans="1:31" ht="14.4" customHeight="1" x14ac:dyDescent="0.3">
      <c r="A3669" t="s">
        <v>6203</v>
      </c>
      <c r="B3669" t="s">
        <v>2837</v>
      </c>
      <c r="C3669"/>
      <c r="D3669"/>
      <c r="E3669"/>
      <c r="F3669"/>
      <c r="G3669" t="s">
        <v>5944</v>
      </c>
      <c r="H3669" t="s">
        <v>132</v>
      </c>
      <c r="I3669" t="s">
        <v>2</v>
      </c>
      <c r="J3669" t="s">
        <v>5298</v>
      </c>
      <c r="K3669" t="s">
        <v>52</v>
      </c>
      <c r="L3669" t="s">
        <v>1721</v>
      </c>
      <c r="M3669" t="s">
        <v>134</v>
      </c>
      <c r="N3669" t="s">
        <v>135</v>
      </c>
      <c r="O3669"/>
      <c r="P3669"/>
      <c r="Q3669" t="s">
        <v>168</v>
      </c>
      <c r="R3669"/>
      <c r="S3669"/>
      <c r="T3669" t="s">
        <v>2165</v>
      </c>
      <c r="U3669" t="s">
        <v>137</v>
      </c>
      <c r="V3669" t="s">
        <v>918</v>
      </c>
      <c r="W3669"/>
      <c r="X3669" t="s">
        <v>92</v>
      </c>
      <c r="Y3669"/>
      <c r="Z3669"/>
      <c r="AA3669" t="s">
        <v>2163</v>
      </c>
      <c r="AB3669" t="s">
        <v>2</v>
      </c>
      <c r="AC3669" t="s">
        <v>138</v>
      </c>
      <c r="AD3669" t="s">
        <v>129</v>
      </c>
      <c r="AE3669" s="97"/>
    </row>
    <row r="3670" spans="1:31" ht="14.4" customHeight="1" x14ac:dyDescent="0.3">
      <c r="A3670" t="s">
        <v>6204</v>
      </c>
      <c r="B3670" t="s">
        <v>2839</v>
      </c>
      <c r="C3670"/>
      <c r="D3670"/>
      <c r="E3670"/>
      <c r="F3670"/>
      <c r="G3670" t="s">
        <v>5944</v>
      </c>
      <c r="H3670" t="s">
        <v>132</v>
      </c>
      <c r="I3670" t="s">
        <v>2</v>
      </c>
      <c r="J3670" t="s">
        <v>5298</v>
      </c>
      <c r="K3670" t="s">
        <v>52</v>
      </c>
      <c r="L3670" t="s">
        <v>1721</v>
      </c>
      <c r="M3670" t="s">
        <v>134</v>
      </c>
      <c r="N3670" t="s">
        <v>135</v>
      </c>
      <c r="O3670"/>
      <c r="P3670"/>
      <c r="Q3670" t="s">
        <v>168</v>
      </c>
      <c r="R3670"/>
      <c r="S3670"/>
      <c r="T3670" t="s">
        <v>2165</v>
      </c>
      <c r="U3670" t="s">
        <v>137</v>
      </c>
      <c r="V3670" t="s">
        <v>918</v>
      </c>
      <c r="W3670"/>
      <c r="X3670" t="s">
        <v>92</v>
      </c>
      <c r="Y3670"/>
      <c r="Z3670"/>
      <c r="AA3670" t="s">
        <v>2163</v>
      </c>
      <c r="AB3670" t="s">
        <v>2</v>
      </c>
      <c r="AC3670" t="s">
        <v>138</v>
      </c>
      <c r="AD3670" t="s">
        <v>129</v>
      </c>
      <c r="AE3670" s="97"/>
    </row>
    <row r="3671" spans="1:31" ht="14.4" customHeight="1" x14ac:dyDescent="0.3">
      <c r="A3671" t="s">
        <v>6205</v>
      </c>
      <c r="B3671" t="s">
        <v>2841</v>
      </c>
      <c r="C3671"/>
      <c r="D3671"/>
      <c r="E3671"/>
      <c r="F3671"/>
      <c r="G3671" t="s">
        <v>5944</v>
      </c>
      <c r="H3671" t="s">
        <v>132</v>
      </c>
      <c r="I3671" t="s">
        <v>2</v>
      </c>
      <c r="J3671" t="s">
        <v>5298</v>
      </c>
      <c r="K3671" t="s">
        <v>52</v>
      </c>
      <c r="L3671" t="s">
        <v>1718</v>
      </c>
      <c r="M3671" t="s">
        <v>134</v>
      </c>
      <c r="N3671" t="s">
        <v>135</v>
      </c>
      <c r="O3671"/>
      <c r="P3671"/>
      <c r="Q3671" t="s">
        <v>168</v>
      </c>
      <c r="R3671"/>
      <c r="S3671"/>
      <c r="T3671" t="s">
        <v>2165</v>
      </c>
      <c r="U3671" t="s">
        <v>137</v>
      </c>
      <c r="V3671" t="s">
        <v>918</v>
      </c>
      <c r="W3671"/>
      <c r="X3671" t="s">
        <v>92</v>
      </c>
      <c r="Y3671"/>
      <c r="Z3671"/>
      <c r="AA3671" t="s">
        <v>2163</v>
      </c>
      <c r="AB3671" t="s">
        <v>2</v>
      </c>
      <c r="AC3671" t="s">
        <v>138</v>
      </c>
      <c r="AD3671" t="s">
        <v>129</v>
      </c>
      <c r="AE3671" s="97"/>
    </row>
    <row r="3672" spans="1:31" ht="14.4" customHeight="1" x14ac:dyDescent="0.3">
      <c r="A3672" t="s">
        <v>6206</v>
      </c>
      <c r="B3672" t="s">
        <v>2843</v>
      </c>
      <c r="C3672"/>
      <c r="D3672"/>
      <c r="E3672"/>
      <c r="F3672"/>
      <c r="G3672" t="s">
        <v>5944</v>
      </c>
      <c r="H3672" t="s">
        <v>132</v>
      </c>
      <c r="I3672" t="s">
        <v>2</v>
      </c>
      <c r="J3672" t="s">
        <v>5298</v>
      </c>
      <c r="K3672" t="s">
        <v>52</v>
      </c>
      <c r="L3672" t="s">
        <v>1718</v>
      </c>
      <c r="M3672" t="s">
        <v>134</v>
      </c>
      <c r="N3672" t="s">
        <v>135</v>
      </c>
      <c r="O3672"/>
      <c r="P3672"/>
      <c r="Q3672" t="s">
        <v>168</v>
      </c>
      <c r="R3672"/>
      <c r="S3672"/>
      <c r="T3672" t="s">
        <v>2165</v>
      </c>
      <c r="U3672" t="s">
        <v>137</v>
      </c>
      <c r="V3672" t="s">
        <v>918</v>
      </c>
      <c r="W3672"/>
      <c r="X3672" t="s">
        <v>92</v>
      </c>
      <c r="Y3672"/>
      <c r="Z3672"/>
      <c r="AA3672" t="s">
        <v>2163</v>
      </c>
      <c r="AB3672" t="s">
        <v>2</v>
      </c>
      <c r="AC3672" t="s">
        <v>138</v>
      </c>
      <c r="AD3672" t="s">
        <v>129</v>
      </c>
      <c r="AE3672" s="97"/>
    </row>
    <row r="3673" spans="1:31" ht="14.4" customHeight="1" x14ac:dyDescent="0.3">
      <c r="A3673" t="s">
        <v>6207</v>
      </c>
      <c r="B3673" t="s">
        <v>2845</v>
      </c>
      <c r="C3673"/>
      <c r="D3673"/>
      <c r="E3673"/>
      <c r="F3673"/>
      <c r="G3673" t="s">
        <v>5944</v>
      </c>
      <c r="H3673" t="s">
        <v>132</v>
      </c>
      <c r="I3673" t="s">
        <v>2</v>
      </c>
      <c r="J3673" t="s">
        <v>5298</v>
      </c>
      <c r="K3673" t="s">
        <v>52</v>
      </c>
      <c r="L3673" t="s">
        <v>1718</v>
      </c>
      <c r="M3673" t="s">
        <v>134</v>
      </c>
      <c r="N3673" t="s">
        <v>135</v>
      </c>
      <c r="O3673"/>
      <c r="P3673"/>
      <c r="Q3673" t="s">
        <v>168</v>
      </c>
      <c r="R3673"/>
      <c r="S3673"/>
      <c r="T3673" t="s">
        <v>2165</v>
      </c>
      <c r="U3673" t="s">
        <v>137</v>
      </c>
      <c r="V3673" t="s">
        <v>918</v>
      </c>
      <c r="W3673"/>
      <c r="X3673" t="s">
        <v>92</v>
      </c>
      <c r="Y3673"/>
      <c r="Z3673"/>
      <c r="AA3673" t="s">
        <v>2163</v>
      </c>
      <c r="AB3673" t="s">
        <v>2</v>
      </c>
      <c r="AC3673" t="s">
        <v>138</v>
      </c>
      <c r="AD3673" t="s">
        <v>129</v>
      </c>
      <c r="AE3673" s="97"/>
    </row>
    <row r="3674" spans="1:31" ht="14.4" customHeight="1" x14ac:dyDescent="0.3">
      <c r="A3674" t="s">
        <v>6208</v>
      </c>
      <c r="B3674" t="s">
        <v>2855</v>
      </c>
      <c r="C3674"/>
      <c r="D3674"/>
      <c r="E3674"/>
      <c r="F3674"/>
      <c r="G3674" t="s">
        <v>5944</v>
      </c>
      <c r="H3674" t="s">
        <v>132</v>
      </c>
      <c r="I3674" t="s">
        <v>2</v>
      </c>
      <c r="J3674" t="s">
        <v>5298</v>
      </c>
      <c r="K3674" t="s">
        <v>52</v>
      </c>
      <c r="L3674" t="s">
        <v>2856</v>
      </c>
      <c r="M3674" t="s">
        <v>134</v>
      </c>
      <c r="N3674" t="s">
        <v>135</v>
      </c>
      <c r="O3674"/>
      <c r="P3674"/>
      <c r="Q3674" t="s">
        <v>168</v>
      </c>
      <c r="R3674"/>
      <c r="S3674"/>
      <c r="T3674" t="s">
        <v>2165</v>
      </c>
      <c r="U3674" t="s">
        <v>137</v>
      </c>
      <c r="V3674" t="s">
        <v>918</v>
      </c>
      <c r="W3674"/>
      <c r="X3674" t="s">
        <v>92</v>
      </c>
      <c r="Y3674"/>
      <c r="Z3674"/>
      <c r="AA3674" t="s">
        <v>2163</v>
      </c>
      <c r="AB3674" t="s">
        <v>2</v>
      </c>
      <c r="AC3674" t="s">
        <v>138</v>
      </c>
      <c r="AD3674" t="s">
        <v>129</v>
      </c>
      <c r="AE3674" s="97"/>
    </row>
    <row r="3675" spans="1:31" ht="14.4" customHeight="1" x14ac:dyDescent="0.3">
      <c r="A3675" t="s">
        <v>6209</v>
      </c>
      <c r="B3675" t="s">
        <v>2858</v>
      </c>
      <c r="C3675"/>
      <c r="D3675"/>
      <c r="E3675"/>
      <c r="F3675"/>
      <c r="G3675" t="s">
        <v>5944</v>
      </c>
      <c r="H3675" t="s">
        <v>132</v>
      </c>
      <c r="I3675" t="s">
        <v>2</v>
      </c>
      <c r="J3675" t="s">
        <v>5298</v>
      </c>
      <c r="K3675" t="s">
        <v>52</v>
      </c>
      <c r="L3675" t="s">
        <v>2859</v>
      </c>
      <c r="M3675" t="s">
        <v>134</v>
      </c>
      <c r="N3675" t="s">
        <v>135</v>
      </c>
      <c r="O3675"/>
      <c r="P3675"/>
      <c r="Q3675" t="s">
        <v>168</v>
      </c>
      <c r="R3675"/>
      <c r="S3675"/>
      <c r="T3675" t="s">
        <v>2165</v>
      </c>
      <c r="U3675" t="s">
        <v>137</v>
      </c>
      <c r="V3675" t="s">
        <v>918</v>
      </c>
      <c r="W3675"/>
      <c r="X3675" t="s">
        <v>92</v>
      </c>
      <c r="Y3675"/>
      <c r="Z3675"/>
      <c r="AA3675" t="s">
        <v>2163</v>
      </c>
      <c r="AB3675" t="s">
        <v>2</v>
      </c>
      <c r="AC3675" t="s">
        <v>138</v>
      </c>
      <c r="AD3675" t="s">
        <v>129</v>
      </c>
      <c r="AE3675" s="97"/>
    </row>
    <row r="3676" spans="1:31" ht="14.4" customHeight="1" x14ac:dyDescent="0.3">
      <c r="A3676" t="s">
        <v>6210</v>
      </c>
      <c r="B3676" t="s">
        <v>2861</v>
      </c>
      <c r="C3676"/>
      <c r="D3676"/>
      <c r="E3676"/>
      <c r="F3676"/>
      <c r="G3676" t="s">
        <v>5944</v>
      </c>
      <c r="H3676" t="s">
        <v>132</v>
      </c>
      <c r="I3676" t="s">
        <v>2</v>
      </c>
      <c r="J3676" t="s">
        <v>5298</v>
      </c>
      <c r="K3676" t="s">
        <v>52</v>
      </c>
      <c r="L3676" t="s">
        <v>2862</v>
      </c>
      <c r="M3676" t="s">
        <v>134</v>
      </c>
      <c r="N3676" t="s">
        <v>135</v>
      </c>
      <c r="O3676"/>
      <c r="P3676"/>
      <c r="Q3676" t="s">
        <v>168</v>
      </c>
      <c r="R3676"/>
      <c r="S3676"/>
      <c r="T3676" t="s">
        <v>2165</v>
      </c>
      <c r="U3676" t="s">
        <v>137</v>
      </c>
      <c r="V3676" t="s">
        <v>925</v>
      </c>
      <c r="W3676"/>
      <c r="X3676" t="s">
        <v>101</v>
      </c>
      <c r="Y3676"/>
      <c r="Z3676"/>
      <c r="AA3676" t="s">
        <v>2163</v>
      </c>
      <c r="AB3676" t="s">
        <v>2</v>
      </c>
      <c r="AC3676" t="s">
        <v>138</v>
      </c>
      <c r="AD3676" t="s">
        <v>129</v>
      </c>
      <c r="AE3676" s="97"/>
    </row>
    <row r="3677" spans="1:31" ht="14.4" customHeight="1" x14ac:dyDescent="0.3">
      <c r="A3677" t="s">
        <v>6211</v>
      </c>
      <c r="B3677" t="s">
        <v>2864</v>
      </c>
      <c r="C3677"/>
      <c r="D3677"/>
      <c r="E3677"/>
      <c r="F3677"/>
      <c r="G3677" t="s">
        <v>5944</v>
      </c>
      <c r="H3677" t="s">
        <v>132</v>
      </c>
      <c r="I3677" t="s">
        <v>2</v>
      </c>
      <c r="J3677" t="s">
        <v>5298</v>
      </c>
      <c r="K3677" t="s">
        <v>52</v>
      </c>
      <c r="L3677" t="s">
        <v>2862</v>
      </c>
      <c r="M3677" t="s">
        <v>134</v>
      </c>
      <c r="N3677" t="s">
        <v>135</v>
      </c>
      <c r="O3677"/>
      <c r="P3677"/>
      <c r="Q3677" t="s">
        <v>168</v>
      </c>
      <c r="R3677"/>
      <c r="S3677"/>
      <c r="T3677" t="s">
        <v>2165</v>
      </c>
      <c r="U3677" t="s">
        <v>137</v>
      </c>
      <c r="V3677" t="s">
        <v>925</v>
      </c>
      <c r="W3677"/>
      <c r="X3677" t="s">
        <v>101</v>
      </c>
      <c r="Y3677"/>
      <c r="Z3677"/>
      <c r="AA3677" t="s">
        <v>2163</v>
      </c>
      <c r="AB3677" t="s">
        <v>2</v>
      </c>
      <c r="AC3677" t="s">
        <v>138</v>
      </c>
      <c r="AD3677" t="s">
        <v>129</v>
      </c>
      <c r="AE3677" s="97"/>
    </row>
    <row r="3678" spans="1:31" ht="14.4" customHeight="1" x14ac:dyDescent="0.3">
      <c r="A3678" t="s">
        <v>6212</v>
      </c>
      <c r="B3678" t="s">
        <v>2866</v>
      </c>
      <c r="C3678"/>
      <c r="D3678"/>
      <c r="E3678"/>
      <c r="F3678"/>
      <c r="G3678" t="s">
        <v>5944</v>
      </c>
      <c r="H3678" t="s">
        <v>132</v>
      </c>
      <c r="I3678" t="s">
        <v>2</v>
      </c>
      <c r="J3678" t="s">
        <v>5298</v>
      </c>
      <c r="K3678" t="s">
        <v>52</v>
      </c>
      <c r="L3678" t="s">
        <v>2867</v>
      </c>
      <c r="M3678" t="s">
        <v>134</v>
      </c>
      <c r="N3678" t="s">
        <v>135</v>
      </c>
      <c r="O3678"/>
      <c r="P3678"/>
      <c r="Q3678" t="s">
        <v>168</v>
      </c>
      <c r="R3678"/>
      <c r="S3678"/>
      <c r="T3678" t="s">
        <v>2165</v>
      </c>
      <c r="U3678" t="s">
        <v>137</v>
      </c>
      <c r="V3678" t="s">
        <v>925</v>
      </c>
      <c r="W3678"/>
      <c r="X3678" t="s">
        <v>101</v>
      </c>
      <c r="Y3678"/>
      <c r="Z3678"/>
      <c r="AA3678" t="s">
        <v>2163</v>
      </c>
      <c r="AB3678" t="s">
        <v>2</v>
      </c>
      <c r="AC3678" t="s">
        <v>138</v>
      </c>
      <c r="AD3678" t="s">
        <v>129</v>
      </c>
      <c r="AE3678" s="97"/>
    </row>
    <row r="3679" spans="1:31" ht="14.4" customHeight="1" x14ac:dyDescent="0.3">
      <c r="A3679" t="s">
        <v>6213</v>
      </c>
      <c r="B3679" t="s">
        <v>2869</v>
      </c>
      <c r="C3679"/>
      <c r="D3679"/>
      <c r="E3679"/>
      <c r="F3679"/>
      <c r="G3679" t="s">
        <v>5944</v>
      </c>
      <c r="H3679" t="s">
        <v>132</v>
      </c>
      <c r="I3679" t="s">
        <v>2</v>
      </c>
      <c r="J3679" t="s">
        <v>5298</v>
      </c>
      <c r="K3679" t="s">
        <v>52</v>
      </c>
      <c r="L3679" t="s">
        <v>2862</v>
      </c>
      <c r="M3679" t="s">
        <v>134</v>
      </c>
      <c r="N3679" t="s">
        <v>135</v>
      </c>
      <c r="O3679"/>
      <c r="P3679"/>
      <c r="Q3679" t="s">
        <v>168</v>
      </c>
      <c r="R3679"/>
      <c r="S3679"/>
      <c r="T3679" t="s">
        <v>2165</v>
      </c>
      <c r="U3679" t="s">
        <v>137</v>
      </c>
      <c r="V3679" t="s">
        <v>925</v>
      </c>
      <c r="W3679"/>
      <c r="X3679" t="s">
        <v>101</v>
      </c>
      <c r="Y3679"/>
      <c r="Z3679"/>
      <c r="AA3679" t="s">
        <v>2163</v>
      </c>
      <c r="AB3679" t="s">
        <v>2</v>
      </c>
      <c r="AC3679" t="s">
        <v>138</v>
      </c>
      <c r="AD3679" t="s">
        <v>129</v>
      </c>
      <c r="AE3679" s="97"/>
    </row>
    <row r="3680" spans="1:31" ht="14.4" customHeight="1" x14ac:dyDescent="0.3">
      <c r="A3680" t="s">
        <v>6214</v>
      </c>
      <c r="B3680" t="s">
        <v>2871</v>
      </c>
      <c r="C3680"/>
      <c r="D3680"/>
      <c r="E3680"/>
      <c r="F3680"/>
      <c r="G3680" t="s">
        <v>5944</v>
      </c>
      <c r="H3680" t="s">
        <v>132</v>
      </c>
      <c r="I3680" t="s">
        <v>2</v>
      </c>
      <c r="J3680" t="s">
        <v>5298</v>
      </c>
      <c r="K3680" t="s">
        <v>52</v>
      </c>
      <c r="L3680" t="s">
        <v>2872</v>
      </c>
      <c r="M3680" t="s">
        <v>134</v>
      </c>
      <c r="N3680" t="s">
        <v>135</v>
      </c>
      <c r="O3680"/>
      <c r="P3680"/>
      <c r="Q3680" t="s">
        <v>168</v>
      </c>
      <c r="R3680"/>
      <c r="S3680"/>
      <c r="T3680" t="s">
        <v>2165</v>
      </c>
      <c r="U3680" t="s">
        <v>137</v>
      </c>
      <c r="V3680" t="s">
        <v>925</v>
      </c>
      <c r="W3680"/>
      <c r="X3680" t="s">
        <v>101</v>
      </c>
      <c r="Y3680"/>
      <c r="Z3680"/>
      <c r="AA3680" t="s">
        <v>2163</v>
      </c>
      <c r="AB3680" t="s">
        <v>2</v>
      </c>
      <c r="AC3680" t="s">
        <v>138</v>
      </c>
      <c r="AD3680" t="s">
        <v>129</v>
      </c>
      <c r="AE3680" s="97"/>
    </row>
    <row r="3681" spans="1:31" ht="14.4" customHeight="1" x14ac:dyDescent="0.3">
      <c r="A3681" t="s">
        <v>6215</v>
      </c>
      <c r="B3681" t="s">
        <v>2874</v>
      </c>
      <c r="C3681"/>
      <c r="D3681"/>
      <c r="E3681"/>
      <c r="F3681"/>
      <c r="G3681" t="s">
        <v>5944</v>
      </c>
      <c r="H3681" t="s">
        <v>132</v>
      </c>
      <c r="I3681" t="s">
        <v>2</v>
      </c>
      <c r="J3681" t="s">
        <v>5298</v>
      </c>
      <c r="K3681" t="s">
        <v>52</v>
      </c>
      <c r="L3681" t="s">
        <v>1738</v>
      </c>
      <c r="M3681" t="s">
        <v>134</v>
      </c>
      <c r="N3681" t="s">
        <v>135</v>
      </c>
      <c r="O3681"/>
      <c r="P3681"/>
      <c r="Q3681" t="s">
        <v>168</v>
      </c>
      <c r="R3681"/>
      <c r="S3681"/>
      <c r="T3681" t="s">
        <v>2165</v>
      </c>
      <c r="U3681" t="s">
        <v>137</v>
      </c>
      <c r="V3681" t="s">
        <v>925</v>
      </c>
      <c r="W3681"/>
      <c r="X3681" t="s">
        <v>101</v>
      </c>
      <c r="Y3681"/>
      <c r="Z3681"/>
      <c r="AA3681" t="s">
        <v>2163</v>
      </c>
      <c r="AB3681" t="s">
        <v>2</v>
      </c>
      <c r="AC3681" t="s">
        <v>138</v>
      </c>
      <c r="AD3681" t="s">
        <v>129</v>
      </c>
      <c r="AE3681" s="97"/>
    </row>
    <row r="3682" spans="1:31" ht="14.4" customHeight="1" x14ac:dyDescent="0.3">
      <c r="A3682" t="s">
        <v>6216</v>
      </c>
      <c r="B3682" t="s">
        <v>2876</v>
      </c>
      <c r="C3682"/>
      <c r="D3682"/>
      <c r="E3682"/>
      <c r="F3682"/>
      <c r="G3682" t="s">
        <v>5944</v>
      </c>
      <c r="H3682" t="s">
        <v>132</v>
      </c>
      <c r="I3682" t="s">
        <v>2</v>
      </c>
      <c r="J3682" t="s">
        <v>5298</v>
      </c>
      <c r="K3682" t="s">
        <v>52</v>
      </c>
      <c r="L3682" t="s">
        <v>1738</v>
      </c>
      <c r="M3682" t="s">
        <v>134</v>
      </c>
      <c r="N3682" t="s">
        <v>135</v>
      </c>
      <c r="O3682"/>
      <c r="P3682"/>
      <c r="Q3682" t="s">
        <v>168</v>
      </c>
      <c r="R3682"/>
      <c r="S3682"/>
      <c r="T3682" t="s">
        <v>2165</v>
      </c>
      <c r="U3682" t="s">
        <v>137</v>
      </c>
      <c r="V3682" t="s">
        <v>925</v>
      </c>
      <c r="W3682"/>
      <c r="X3682" t="s">
        <v>101</v>
      </c>
      <c r="Y3682"/>
      <c r="Z3682"/>
      <c r="AA3682" t="s">
        <v>2163</v>
      </c>
      <c r="AB3682" t="s">
        <v>2</v>
      </c>
      <c r="AC3682" t="s">
        <v>138</v>
      </c>
      <c r="AD3682" t="s">
        <v>129</v>
      </c>
      <c r="AE3682" s="97"/>
    </row>
    <row r="3683" spans="1:31" ht="14.4" customHeight="1" x14ac:dyDescent="0.3">
      <c r="A3683" t="s">
        <v>6217</v>
      </c>
      <c r="B3683" t="s">
        <v>2878</v>
      </c>
      <c r="C3683"/>
      <c r="D3683"/>
      <c r="E3683"/>
      <c r="F3683"/>
      <c r="G3683" t="s">
        <v>5944</v>
      </c>
      <c r="H3683" t="s">
        <v>132</v>
      </c>
      <c r="I3683" t="s">
        <v>2</v>
      </c>
      <c r="J3683" t="s">
        <v>5298</v>
      </c>
      <c r="K3683" t="s">
        <v>52</v>
      </c>
      <c r="L3683" t="s">
        <v>1738</v>
      </c>
      <c r="M3683" t="s">
        <v>134</v>
      </c>
      <c r="N3683" t="s">
        <v>135</v>
      </c>
      <c r="O3683"/>
      <c r="P3683"/>
      <c r="Q3683" t="s">
        <v>168</v>
      </c>
      <c r="R3683"/>
      <c r="S3683"/>
      <c r="T3683" t="s">
        <v>2165</v>
      </c>
      <c r="U3683" t="s">
        <v>137</v>
      </c>
      <c r="V3683" t="s">
        <v>925</v>
      </c>
      <c r="W3683"/>
      <c r="X3683" t="s">
        <v>101</v>
      </c>
      <c r="Y3683"/>
      <c r="Z3683"/>
      <c r="AA3683" t="s">
        <v>2163</v>
      </c>
      <c r="AB3683" t="s">
        <v>2</v>
      </c>
      <c r="AC3683" t="s">
        <v>138</v>
      </c>
      <c r="AD3683" t="s">
        <v>129</v>
      </c>
      <c r="AE3683" s="97"/>
    </row>
    <row r="3684" spans="1:31" ht="14.4" customHeight="1" x14ac:dyDescent="0.3">
      <c r="A3684" t="s">
        <v>6218</v>
      </c>
      <c r="B3684" t="s">
        <v>2880</v>
      </c>
      <c r="C3684"/>
      <c r="D3684"/>
      <c r="E3684"/>
      <c r="F3684"/>
      <c r="G3684" t="s">
        <v>5944</v>
      </c>
      <c r="H3684" t="s">
        <v>132</v>
      </c>
      <c r="I3684" t="s">
        <v>2</v>
      </c>
      <c r="J3684" t="s">
        <v>5298</v>
      </c>
      <c r="K3684" t="s">
        <v>52</v>
      </c>
      <c r="L3684" t="s">
        <v>1738</v>
      </c>
      <c r="M3684" t="s">
        <v>134</v>
      </c>
      <c r="N3684" t="s">
        <v>135</v>
      </c>
      <c r="O3684"/>
      <c r="P3684"/>
      <c r="Q3684" t="s">
        <v>168</v>
      </c>
      <c r="R3684"/>
      <c r="S3684"/>
      <c r="T3684" t="s">
        <v>2165</v>
      </c>
      <c r="U3684" t="s">
        <v>137</v>
      </c>
      <c r="V3684" t="s">
        <v>925</v>
      </c>
      <c r="W3684"/>
      <c r="X3684" t="s">
        <v>101</v>
      </c>
      <c r="Y3684"/>
      <c r="Z3684"/>
      <c r="AA3684" t="s">
        <v>2163</v>
      </c>
      <c r="AB3684" t="s">
        <v>2</v>
      </c>
      <c r="AC3684" t="s">
        <v>138</v>
      </c>
      <c r="AD3684" t="s">
        <v>129</v>
      </c>
      <c r="AE3684" s="97"/>
    </row>
    <row r="3685" spans="1:31" ht="14.4" customHeight="1" x14ac:dyDescent="0.3">
      <c r="A3685" t="s">
        <v>6219</v>
      </c>
      <c r="B3685" t="s">
        <v>2882</v>
      </c>
      <c r="C3685"/>
      <c r="D3685"/>
      <c r="E3685"/>
      <c r="F3685"/>
      <c r="G3685" t="s">
        <v>5944</v>
      </c>
      <c r="H3685" t="s">
        <v>132</v>
      </c>
      <c r="I3685" t="s">
        <v>2</v>
      </c>
      <c r="J3685" t="s">
        <v>5298</v>
      </c>
      <c r="K3685" t="s">
        <v>52</v>
      </c>
      <c r="L3685" t="s">
        <v>1741</v>
      </c>
      <c r="M3685" t="s">
        <v>134</v>
      </c>
      <c r="N3685" t="s">
        <v>135</v>
      </c>
      <c r="O3685"/>
      <c r="P3685"/>
      <c r="Q3685" t="s">
        <v>168</v>
      </c>
      <c r="R3685"/>
      <c r="S3685"/>
      <c r="T3685" t="s">
        <v>2165</v>
      </c>
      <c r="U3685" t="s">
        <v>137</v>
      </c>
      <c r="V3685" t="s">
        <v>925</v>
      </c>
      <c r="W3685"/>
      <c r="X3685" t="s">
        <v>101</v>
      </c>
      <c r="Y3685"/>
      <c r="Z3685"/>
      <c r="AA3685" t="s">
        <v>2163</v>
      </c>
      <c r="AB3685" t="s">
        <v>2</v>
      </c>
      <c r="AC3685" t="s">
        <v>138</v>
      </c>
      <c r="AD3685" t="s">
        <v>129</v>
      </c>
      <c r="AE3685" s="97"/>
    </row>
    <row r="3686" spans="1:31" ht="14.4" customHeight="1" x14ac:dyDescent="0.3">
      <c r="A3686" t="s">
        <v>6220</v>
      </c>
      <c r="B3686" t="s">
        <v>2884</v>
      </c>
      <c r="C3686"/>
      <c r="D3686"/>
      <c r="E3686"/>
      <c r="F3686"/>
      <c r="G3686" t="s">
        <v>5944</v>
      </c>
      <c r="H3686" t="s">
        <v>132</v>
      </c>
      <c r="I3686" t="s">
        <v>2</v>
      </c>
      <c r="J3686" t="s">
        <v>5298</v>
      </c>
      <c r="K3686" t="s">
        <v>52</v>
      </c>
      <c r="L3686" t="s">
        <v>1741</v>
      </c>
      <c r="M3686" t="s">
        <v>134</v>
      </c>
      <c r="N3686" t="s">
        <v>135</v>
      </c>
      <c r="O3686"/>
      <c r="P3686"/>
      <c r="Q3686" t="s">
        <v>168</v>
      </c>
      <c r="R3686"/>
      <c r="S3686"/>
      <c r="T3686" t="s">
        <v>2165</v>
      </c>
      <c r="U3686" t="s">
        <v>137</v>
      </c>
      <c r="V3686" t="s">
        <v>925</v>
      </c>
      <c r="W3686"/>
      <c r="X3686" t="s">
        <v>101</v>
      </c>
      <c r="Y3686"/>
      <c r="Z3686"/>
      <c r="AA3686" t="s">
        <v>2163</v>
      </c>
      <c r="AB3686" t="s">
        <v>2</v>
      </c>
      <c r="AC3686" t="s">
        <v>138</v>
      </c>
      <c r="AD3686" t="s">
        <v>129</v>
      </c>
      <c r="AE3686" s="97"/>
    </row>
    <row r="3687" spans="1:31" ht="14.4" customHeight="1" x14ac:dyDescent="0.3">
      <c r="A3687" t="s">
        <v>6221</v>
      </c>
      <c r="B3687" t="s">
        <v>2886</v>
      </c>
      <c r="C3687"/>
      <c r="D3687"/>
      <c r="E3687"/>
      <c r="F3687"/>
      <c r="G3687" t="s">
        <v>5944</v>
      </c>
      <c r="H3687" t="s">
        <v>132</v>
      </c>
      <c r="I3687" t="s">
        <v>2</v>
      </c>
      <c r="J3687" t="s">
        <v>5298</v>
      </c>
      <c r="K3687" t="s">
        <v>52</v>
      </c>
      <c r="L3687" t="s">
        <v>1738</v>
      </c>
      <c r="M3687" t="s">
        <v>134</v>
      </c>
      <c r="N3687" t="s">
        <v>135</v>
      </c>
      <c r="O3687"/>
      <c r="P3687"/>
      <c r="Q3687" t="s">
        <v>168</v>
      </c>
      <c r="R3687"/>
      <c r="S3687"/>
      <c r="T3687" t="s">
        <v>2165</v>
      </c>
      <c r="U3687" t="s">
        <v>137</v>
      </c>
      <c r="V3687" t="s">
        <v>925</v>
      </c>
      <c r="W3687"/>
      <c r="X3687" t="s">
        <v>101</v>
      </c>
      <c r="Y3687"/>
      <c r="Z3687"/>
      <c r="AA3687" t="s">
        <v>2163</v>
      </c>
      <c r="AB3687" t="s">
        <v>2</v>
      </c>
      <c r="AC3687" t="s">
        <v>138</v>
      </c>
      <c r="AD3687" t="s">
        <v>129</v>
      </c>
      <c r="AE3687" s="97"/>
    </row>
    <row r="3688" spans="1:31" ht="14.4" customHeight="1" x14ac:dyDescent="0.3">
      <c r="A3688" t="s">
        <v>6222</v>
      </c>
      <c r="B3688" t="s">
        <v>2888</v>
      </c>
      <c r="C3688"/>
      <c r="D3688"/>
      <c r="E3688"/>
      <c r="F3688"/>
      <c r="G3688" t="s">
        <v>5944</v>
      </c>
      <c r="H3688" t="s">
        <v>132</v>
      </c>
      <c r="I3688" t="s">
        <v>2</v>
      </c>
      <c r="J3688" t="s">
        <v>5298</v>
      </c>
      <c r="K3688" t="s">
        <v>52</v>
      </c>
      <c r="L3688" t="s">
        <v>1738</v>
      </c>
      <c r="M3688" t="s">
        <v>134</v>
      </c>
      <c r="N3688" t="s">
        <v>135</v>
      </c>
      <c r="O3688"/>
      <c r="P3688"/>
      <c r="Q3688" t="s">
        <v>168</v>
      </c>
      <c r="R3688"/>
      <c r="S3688"/>
      <c r="T3688" t="s">
        <v>2165</v>
      </c>
      <c r="U3688" t="s">
        <v>137</v>
      </c>
      <c r="V3688" t="s">
        <v>925</v>
      </c>
      <c r="W3688"/>
      <c r="X3688" t="s">
        <v>101</v>
      </c>
      <c r="Y3688"/>
      <c r="Z3688"/>
      <c r="AA3688" t="s">
        <v>2163</v>
      </c>
      <c r="AB3688" t="s">
        <v>2</v>
      </c>
      <c r="AC3688" t="s">
        <v>138</v>
      </c>
      <c r="AD3688" t="s">
        <v>129</v>
      </c>
      <c r="AE3688" s="97"/>
    </row>
    <row r="3689" spans="1:31" ht="14.4" customHeight="1" x14ac:dyDescent="0.3">
      <c r="A3689" t="s">
        <v>6223</v>
      </c>
      <c r="B3689" t="s">
        <v>2890</v>
      </c>
      <c r="C3689"/>
      <c r="D3689"/>
      <c r="E3689"/>
      <c r="F3689"/>
      <c r="G3689" t="s">
        <v>5944</v>
      </c>
      <c r="H3689" t="s">
        <v>132</v>
      </c>
      <c r="I3689" t="s">
        <v>2</v>
      </c>
      <c r="J3689" t="s">
        <v>5298</v>
      </c>
      <c r="K3689" t="s">
        <v>52</v>
      </c>
      <c r="L3689" t="s">
        <v>1738</v>
      </c>
      <c r="M3689" t="s">
        <v>134</v>
      </c>
      <c r="N3689" t="s">
        <v>135</v>
      </c>
      <c r="O3689"/>
      <c r="P3689"/>
      <c r="Q3689" t="s">
        <v>168</v>
      </c>
      <c r="R3689"/>
      <c r="S3689"/>
      <c r="T3689" t="s">
        <v>2165</v>
      </c>
      <c r="U3689" t="s">
        <v>137</v>
      </c>
      <c r="V3689" t="s">
        <v>925</v>
      </c>
      <c r="W3689"/>
      <c r="X3689" t="s">
        <v>101</v>
      </c>
      <c r="Y3689"/>
      <c r="Z3689"/>
      <c r="AA3689" t="s">
        <v>2163</v>
      </c>
      <c r="AB3689" t="s">
        <v>2</v>
      </c>
      <c r="AC3689" t="s">
        <v>138</v>
      </c>
      <c r="AD3689" t="s">
        <v>129</v>
      </c>
      <c r="AE3689" s="97"/>
    </row>
    <row r="3690" spans="1:31" ht="14.4" customHeight="1" x14ac:dyDescent="0.3">
      <c r="A3690" t="s">
        <v>6224</v>
      </c>
      <c r="B3690" t="s">
        <v>2900</v>
      </c>
      <c r="C3690"/>
      <c r="D3690"/>
      <c r="E3690"/>
      <c r="F3690"/>
      <c r="G3690" t="s">
        <v>5944</v>
      </c>
      <c r="H3690" t="s">
        <v>132</v>
      </c>
      <c r="I3690" t="s">
        <v>2</v>
      </c>
      <c r="J3690" t="s">
        <v>5298</v>
      </c>
      <c r="K3690" t="s">
        <v>52</v>
      </c>
      <c r="L3690" t="s">
        <v>2901</v>
      </c>
      <c r="M3690" t="s">
        <v>134</v>
      </c>
      <c r="N3690" t="s">
        <v>135</v>
      </c>
      <c r="O3690"/>
      <c r="P3690"/>
      <c r="Q3690" t="s">
        <v>168</v>
      </c>
      <c r="R3690"/>
      <c r="S3690"/>
      <c r="T3690" t="s">
        <v>2165</v>
      </c>
      <c r="U3690" t="s">
        <v>137</v>
      </c>
      <c r="V3690" t="s">
        <v>925</v>
      </c>
      <c r="W3690"/>
      <c r="X3690" t="s">
        <v>101</v>
      </c>
      <c r="Y3690"/>
      <c r="Z3690"/>
      <c r="AA3690" t="s">
        <v>2163</v>
      </c>
      <c r="AB3690" t="s">
        <v>2</v>
      </c>
      <c r="AC3690" t="s">
        <v>138</v>
      </c>
      <c r="AD3690" t="s">
        <v>129</v>
      </c>
      <c r="AE3690" s="97"/>
    </row>
    <row r="3691" spans="1:31" ht="14.4" customHeight="1" x14ac:dyDescent="0.3">
      <c r="A3691" t="s">
        <v>6225</v>
      </c>
      <c r="B3691" t="s">
        <v>2903</v>
      </c>
      <c r="C3691"/>
      <c r="D3691"/>
      <c r="E3691"/>
      <c r="F3691"/>
      <c r="G3691" t="s">
        <v>5944</v>
      </c>
      <c r="H3691" t="s">
        <v>132</v>
      </c>
      <c r="I3691" t="s">
        <v>2</v>
      </c>
      <c r="J3691" t="s">
        <v>5298</v>
      </c>
      <c r="K3691" t="s">
        <v>52</v>
      </c>
      <c r="L3691" t="s">
        <v>2904</v>
      </c>
      <c r="M3691" t="s">
        <v>134</v>
      </c>
      <c r="N3691" t="s">
        <v>135</v>
      </c>
      <c r="O3691"/>
      <c r="P3691"/>
      <c r="Q3691" t="s">
        <v>168</v>
      </c>
      <c r="R3691"/>
      <c r="S3691"/>
      <c r="T3691" t="s">
        <v>2165</v>
      </c>
      <c r="U3691" t="s">
        <v>137</v>
      </c>
      <c r="V3691" t="s">
        <v>925</v>
      </c>
      <c r="W3691"/>
      <c r="X3691" t="s">
        <v>101</v>
      </c>
      <c r="Y3691"/>
      <c r="Z3691"/>
      <c r="AA3691" t="s">
        <v>2163</v>
      </c>
      <c r="AB3691" t="s">
        <v>2</v>
      </c>
      <c r="AC3691" t="s">
        <v>138</v>
      </c>
      <c r="AD3691" t="s">
        <v>129</v>
      </c>
      <c r="AE3691" s="97"/>
    </row>
    <row r="3692" spans="1:31" ht="14.4" customHeight="1" x14ac:dyDescent="0.3">
      <c r="A3692" t="s">
        <v>6226</v>
      </c>
      <c r="B3692" t="s">
        <v>2906</v>
      </c>
      <c r="C3692"/>
      <c r="D3692"/>
      <c r="E3692"/>
      <c r="F3692"/>
      <c r="G3692" t="s">
        <v>5944</v>
      </c>
      <c r="H3692" t="s">
        <v>132</v>
      </c>
      <c r="I3692" t="s">
        <v>2</v>
      </c>
      <c r="J3692" t="s">
        <v>5298</v>
      </c>
      <c r="K3692" t="s">
        <v>52</v>
      </c>
      <c r="L3692" t="s">
        <v>2907</v>
      </c>
      <c r="M3692" t="s">
        <v>134</v>
      </c>
      <c r="N3692" t="s">
        <v>135</v>
      </c>
      <c r="O3692"/>
      <c r="P3692"/>
      <c r="Q3692" t="s">
        <v>168</v>
      </c>
      <c r="R3692"/>
      <c r="S3692"/>
      <c r="T3692" t="s">
        <v>2165</v>
      </c>
      <c r="U3692" t="s">
        <v>137</v>
      </c>
      <c r="V3692" t="s">
        <v>932</v>
      </c>
      <c r="W3692"/>
      <c r="X3692" t="s">
        <v>115</v>
      </c>
      <c r="Y3692"/>
      <c r="Z3692"/>
      <c r="AA3692" t="s">
        <v>2163</v>
      </c>
      <c r="AB3692" t="s">
        <v>2</v>
      </c>
      <c r="AC3692" t="s">
        <v>138</v>
      </c>
      <c r="AD3692" t="s">
        <v>130</v>
      </c>
      <c r="AE3692" s="97"/>
    </row>
    <row r="3693" spans="1:31" ht="14.4" customHeight="1" x14ac:dyDescent="0.3">
      <c r="A3693" t="s">
        <v>6227</v>
      </c>
      <c r="B3693" t="s">
        <v>2909</v>
      </c>
      <c r="C3693"/>
      <c r="D3693"/>
      <c r="E3693"/>
      <c r="F3693"/>
      <c r="G3693" t="s">
        <v>5944</v>
      </c>
      <c r="H3693" t="s">
        <v>132</v>
      </c>
      <c r="I3693" t="s">
        <v>2</v>
      </c>
      <c r="J3693" t="s">
        <v>5298</v>
      </c>
      <c r="K3693" t="s">
        <v>52</v>
      </c>
      <c r="L3693" t="s">
        <v>2907</v>
      </c>
      <c r="M3693" t="s">
        <v>134</v>
      </c>
      <c r="N3693" t="s">
        <v>135</v>
      </c>
      <c r="O3693"/>
      <c r="P3693"/>
      <c r="Q3693" t="s">
        <v>168</v>
      </c>
      <c r="R3693"/>
      <c r="S3693"/>
      <c r="T3693" t="s">
        <v>2165</v>
      </c>
      <c r="U3693" t="s">
        <v>137</v>
      </c>
      <c r="V3693" t="s">
        <v>932</v>
      </c>
      <c r="W3693"/>
      <c r="X3693" t="s">
        <v>115</v>
      </c>
      <c r="Y3693"/>
      <c r="Z3693"/>
      <c r="AA3693" t="s">
        <v>2163</v>
      </c>
      <c r="AB3693" t="s">
        <v>2</v>
      </c>
      <c r="AC3693" t="s">
        <v>138</v>
      </c>
      <c r="AD3693" t="s">
        <v>130</v>
      </c>
      <c r="AE3693" s="97"/>
    </row>
    <row r="3694" spans="1:31" ht="14.4" customHeight="1" x14ac:dyDescent="0.3">
      <c r="A3694" t="s">
        <v>6228</v>
      </c>
      <c r="B3694" t="s">
        <v>2911</v>
      </c>
      <c r="C3694"/>
      <c r="D3694"/>
      <c r="E3694"/>
      <c r="F3694"/>
      <c r="G3694" t="s">
        <v>5944</v>
      </c>
      <c r="H3694" t="s">
        <v>132</v>
      </c>
      <c r="I3694" t="s">
        <v>2</v>
      </c>
      <c r="J3694" t="s">
        <v>5298</v>
      </c>
      <c r="K3694" t="s">
        <v>52</v>
      </c>
      <c r="L3694" t="s">
        <v>2912</v>
      </c>
      <c r="M3694" t="s">
        <v>134</v>
      </c>
      <c r="N3694" t="s">
        <v>135</v>
      </c>
      <c r="O3694"/>
      <c r="P3694"/>
      <c r="Q3694" t="s">
        <v>168</v>
      </c>
      <c r="R3694"/>
      <c r="S3694"/>
      <c r="T3694" t="s">
        <v>2165</v>
      </c>
      <c r="U3694" t="s">
        <v>137</v>
      </c>
      <c r="V3694" t="s">
        <v>932</v>
      </c>
      <c r="W3694"/>
      <c r="X3694" t="s">
        <v>115</v>
      </c>
      <c r="Y3694"/>
      <c r="Z3694"/>
      <c r="AA3694" t="s">
        <v>2163</v>
      </c>
      <c r="AB3694" t="s">
        <v>2</v>
      </c>
      <c r="AC3694" t="s">
        <v>138</v>
      </c>
      <c r="AD3694" t="s">
        <v>130</v>
      </c>
      <c r="AE3694" s="97"/>
    </row>
    <row r="3695" spans="1:31" ht="14.4" customHeight="1" x14ac:dyDescent="0.3">
      <c r="A3695" t="s">
        <v>6229</v>
      </c>
      <c r="B3695" t="s">
        <v>2914</v>
      </c>
      <c r="C3695"/>
      <c r="D3695"/>
      <c r="E3695"/>
      <c r="F3695"/>
      <c r="G3695" t="s">
        <v>5944</v>
      </c>
      <c r="H3695" t="s">
        <v>132</v>
      </c>
      <c r="I3695" t="s">
        <v>2</v>
      </c>
      <c r="J3695" t="s">
        <v>5298</v>
      </c>
      <c r="K3695" t="s">
        <v>52</v>
      </c>
      <c r="L3695" t="s">
        <v>2907</v>
      </c>
      <c r="M3695" t="s">
        <v>134</v>
      </c>
      <c r="N3695" t="s">
        <v>135</v>
      </c>
      <c r="O3695"/>
      <c r="P3695"/>
      <c r="Q3695" t="s">
        <v>168</v>
      </c>
      <c r="R3695"/>
      <c r="S3695"/>
      <c r="T3695" t="s">
        <v>2165</v>
      </c>
      <c r="U3695" t="s">
        <v>137</v>
      </c>
      <c r="V3695" t="s">
        <v>932</v>
      </c>
      <c r="W3695"/>
      <c r="X3695" t="s">
        <v>115</v>
      </c>
      <c r="Y3695"/>
      <c r="Z3695"/>
      <c r="AA3695" t="s">
        <v>2163</v>
      </c>
      <c r="AB3695" t="s">
        <v>2</v>
      </c>
      <c r="AC3695" t="s">
        <v>138</v>
      </c>
      <c r="AD3695" t="s">
        <v>130</v>
      </c>
      <c r="AE3695" s="97"/>
    </row>
    <row r="3696" spans="1:31" ht="14.4" customHeight="1" x14ac:dyDescent="0.3">
      <c r="A3696" t="s">
        <v>6230</v>
      </c>
      <c r="B3696" t="s">
        <v>2916</v>
      </c>
      <c r="C3696"/>
      <c r="D3696"/>
      <c r="E3696"/>
      <c r="F3696"/>
      <c r="G3696" t="s">
        <v>5944</v>
      </c>
      <c r="H3696" t="s">
        <v>132</v>
      </c>
      <c r="I3696" t="s">
        <v>2</v>
      </c>
      <c r="J3696" t="s">
        <v>5298</v>
      </c>
      <c r="K3696" t="s">
        <v>52</v>
      </c>
      <c r="L3696" t="s">
        <v>2917</v>
      </c>
      <c r="M3696" t="s">
        <v>134</v>
      </c>
      <c r="N3696" t="s">
        <v>135</v>
      </c>
      <c r="O3696"/>
      <c r="P3696"/>
      <c r="Q3696" t="s">
        <v>168</v>
      </c>
      <c r="R3696"/>
      <c r="S3696"/>
      <c r="T3696" t="s">
        <v>2165</v>
      </c>
      <c r="U3696" t="s">
        <v>137</v>
      </c>
      <c r="V3696" t="s">
        <v>932</v>
      </c>
      <c r="W3696"/>
      <c r="X3696" t="s">
        <v>115</v>
      </c>
      <c r="Y3696"/>
      <c r="Z3696"/>
      <c r="AA3696" t="s">
        <v>2163</v>
      </c>
      <c r="AB3696" t="s">
        <v>2</v>
      </c>
      <c r="AC3696" t="s">
        <v>138</v>
      </c>
      <c r="AD3696" t="s">
        <v>130</v>
      </c>
      <c r="AE3696" s="97"/>
    </row>
    <row r="3697" spans="1:31" ht="14.4" customHeight="1" x14ac:dyDescent="0.3">
      <c r="A3697" t="s">
        <v>6231</v>
      </c>
      <c r="B3697" t="s">
        <v>2919</v>
      </c>
      <c r="C3697"/>
      <c r="D3697"/>
      <c r="E3697"/>
      <c r="F3697"/>
      <c r="G3697" t="s">
        <v>5944</v>
      </c>
      <c r="H3697" t="s">
        <v>132</v>
      </c>
      <c r="I3697" t="s">
        <v>2</v>
      </c>
      <c r="J3697" t="s">
        <v>5298</v>
      </c>
      <c r="K3697" t="s">
        <v>52</v>
      </c>
      <c r="L3697" t="s">
        <v>1758</v>
      </c>
      <c r="M3697" t="s">
        <v>134</v>
      </c>
      <c r="N3697" t="s">
        <v>135</v>
      </c>
      <c r="O3697"/>
      <c r="P3697"/>
      <c r="Q3697" t="s">
        <v>168</v>
      </c>
      <c r="R3697"/>
      <c r="S3697"/>
      <c r="T3697" t="s">
        <v>2165</v>
      </c>
      <c r="U3697" t="s">
        <v>137</v>
      </c>
      <c r="V3697" t="s">
        <v>932</v>
      </c>
      <c r="W3697"/>
      <c r="X3697" t="s">
        <v>115</v>
      </c>
      <c r="Y3697"/>
      <c r="Z3697"/>
      <c r="AA3697" t="s">
        <v>2163</v>
      </c>
      <c r="AB3697" t="s">
        <v>2</v>
      </c>
      <c r="AC3697" t="s">
        <v>138</v>
      </c>
      <c r="AD3697" t="s">
        <v>130</v>
      </c>
      <c r="AE3697" s="97"/>
    </row>
    <row r="3698" spans="1:31" ht="14.4" customHeight="1" x14ac:dyDescent="0.3">
      <c r="A3698" t="s">
        <v>6232</v>
      </c>
      <c r="B3698" t="s">
        <v>2921</v>
      </c>
      <c r="C3698"/>
      <c r="D3698"/>
      <c r="E3698"/>
      <c r="F3698"/>
      <c r="G3698" t="s">
        <v>5944</v>
      </c>
      <c r="H3698" t="s">
        <v>132</v>
      </c>
      <c r="I3698" t="s">
        <v>2</v>
      </c>
      <c r="J3698" t="s">
        <v>5298</v>
      </c>
      <c r="K3698" t="s">
        <v>52</v>
      </c>
      <c r="L3698" t="s">
        <v>1758</v>
      </c>
      <c r="M3698" t="s">
        <v>134</v>
      </c>
      <c r="N3698" t="s">
        <v>135</v>
      </c>
      <c r="O3698"/>
      <c r="P3698"/>
      <c r="Q3698" t="s">
        <v>168</v>
      </c>
      <c r="R3698"/>
      <c r="S3698"/>
      <c r="T3698" t="s">
        <v>2165</v>
      </c>
      <c r="U3698" t="s">
        <v>137</v>
      </c>
      <c r="V3698" t="s">
        <v>932</v>
      </c>
      <c r="W3698"/>
      <c r="X3698" t="s">
        <v>115</v>
      </c>
      <c r="Y3698"/>
      <c r="Z3698"/>
      <c r="AA3698" t="s">
        <v>2163</v>
      </c>
      <c r="AB3698" t="s">
        <v>2</v>
      </c>
      <c r="AC3698" t="s">
        <v>138</v>
      </c>
      <c r="AD3698" t="s">
        <v>130</v>
      </c>
      <c r="AE3698" s="97"/>
    </row>
    <row r="3699" spans="1:31" ht="14.4" customHeight="1" x14ac:dyDescent="0.3">
      <c r="A3699" t="s">
        <v>6233</v>
      </c>
      <c r="B3699" t="s">
        <v>2923</v>
      </c>
      <c r="C3699"/>
      <c r="D3699"/>
      <c r="E3699"/>
      <c r="F3699"/>
      <c r="G3699" t="s">
        <v>5944</v>
      </c>
      <c r="H3699" t="s">
        <v>132</v>
      </c>
      <c r="I3699" t="s">
        <v>2</v>
      </c>
      <c r="J3699" t="s">
        <v>5298</v>
      </c>
      <c r="K3699" t="s">
        <v>52</v>
      </c>
      <c r="L3699" t="s">
        <v>1758</v>
      </c>
      <c r="M3699" t="s">
        <v>134</v>
      </c>
      <c r="N3699" t="s">
        <v>135</v>
      </c>
      <c r="O3699"/>
      <c r="P3699"/>
      <c r="Q3699" t="s">
        <v>168</v>
      </c>
      <c r="R3699"/>
      <c r="S3699"/>
      <c r="T3699" t="s">
        <v>2165</v>
      </c>
      <c r="U3699" t="s">
        <v>137</v>
      </c>
      <c r="V3699" t="s">
        <v>932</v>
      </c>
      <c r="W3699"/>
      <c r="X3699" t="s">
        <v>115</v>
      </c>
      <c r="Y3699"/>
      <c r="Z3699"/>
      <c r="AA3699" t="s">
        <v>2163</v>
      </c>
      <c r="AB3699" t="s">
        <v>2</v>
      </c>
      <c r="AC3699" t="s">
        <v>138</v>
      </c>
      <c r="AD3699" t="s">
        <v>130</v>
      </c>
      <c r="AE3699" s="97"/>
    </row>
    <row r="3700" spans="1:31" ht="14.4" customHeight="1" x14ac:dyDescent="0.3">
      <c r="A3700" t="s">
        <v>6234</v>
      </c>
      <c r="B3700" t="s">
        <v>2925</v>
      </c>
      <c r="C3700"/>
      <c r="D3700"/>
      <c r="E3700"/>
      <c r="F3700"/>
      <c r="G3700" t="s">
        <v>5944</v>
      </c>
      <c r="H3700" t="s">
        <v>132</v>
      </c>
      <c r="I3700" t="s">
        <v>2</v>
      </c>
      <c r="J3700" t="s">
        <v>5298</v>
      </c>
      <c r="K3700" t="s">
        <v>52</v>
      </c>
      <c r="L3700" t="s">
        <v>1758</v>
      </c>
      <c r="M3700" t="s">
        <v>134</v>
      </c>
      <c r="N3700" t="s">
        <v>135</v>
      </c>
      <c r="O3700"/>
      <c r="P3700"/>
      <c r="Q3700" t="s">
        <v>168</v>
      </c>
      <c r="R3700"/>
      <c r="S3700"/>
      <c r="T3700" t="s">
        <v>2165</v>
      </c>
      <c r="U3700" t="s">
        <v>137</v>
      </c>
      <c r="V3700" t="s">
        <v>932</v>
      </c>
      <c r="W3700"/>
      <c r="X3700" t="s">
        <v>115</v>
      </c>
      <c r="Y3700"/>
      <c r="Z3700"/>
      <c r="AA3700" t="s">
        <v>2163</v>
      </c>
      <c r="AB3700" t="s">
        <v>2</v>
      </c>
      <c r="AC3700" t="s">
        <v>138</v>
      </c>
      <c r="AD3700" t="s">
        <v>130</v>
      </c>
      <c r="AE3700" s="97"/>
    </row>
    <row r="3701" spans="1:31" ht="14.4" customHeight="1" x14ac:dyDescent="0.3">
      <c r="A3701" t="s">
        <v>6235</v>
      </c>
      <c r="B3701" t="s">
        <v>2927</v>
      </c>
      <c r="C3701"/>
      <c r="D3701"/>
      <c r="E3701"/>
      <c r="F3701"/>
      <c r="G3701" t="s">
        <v>5944</v>
      </c>
      <c r="H3701" t="s">
        <v>132</v>
      </c>
      <c r="I3701" t="s">
        <v>2</v>
      </c>
      <c r="J3701" t="s">
        <v>5298</v>
      </c>
      <c r="K3701" t="s">
        <v>52</v>
      </c>
      <c r="L3701" t="s">
        <v>1761</v>
      </c>
      <c r="M3701" t="s">
        <v>134</v>
      </c>
      <c r="N3701" t="s">
        <v>135</v>
      </c>
      <c r="O3701"/>
      <c r="P3701"/>
      <c r="Q3701" t="s">
        <v>168</v>
      </c>
      <c r="R3701"/>
      <c r="S3701"/>
      <c r="T3701" t="s">
        <v>2165</v>
      </c>
      <c r="U3701" t="s">
        <v>137</v>
      </c>
      <c r="V3701" t="s">
        <v>932</v>
      </c>
      <c r="W3701"/>
      <c r="X3701" t="s">
        <v>115</v>
      </c>
      <c r="Y3701"/>
      <c r="Z3701"/>
      <c r="AA3701" t="s">
        <v>2163</v>
      </c>
      <c r="AB3701" t="s">
        <v>2</v>
      </c>
      <c r="AC3701" t="s">
        <v>138</v>
      </c>
      <c r="AD3701" t="s">
        <v>130</v>
      </c>
      <c r="AE3701" s="97"/>
    </row>
    <row r="3702" spans="1:31" ht="14.4" customHeight="1" x14ac:dyDescent="0.3">
      <c r="A3702" t="s">
        <v>6236</v>
      </c>
      <c r="B3702" t="s">
        <v>2929</v>
      </c>
      <c r="C3702"/>
      <c r="D3702"/>
      <c r="E3702"/>
      <c r="F3702"/>
      <c r="G3702" t="s">
        <v>5944</v>
      </c>
      <c r="H3702" t="s">
        <v>132</v>
      </c>
      <c r="I3702" t="s">
        <v>2</v>
      </c>
      <c r="J3702" t="s">
        <v>5298</v>
      </c>
      <c r="K3702" t="s">
        <v>52</v>
      </c>
      <c r="L3702" t="s">
        <v>1761</v>
      </c>
      <c r="M3702" t="s">
        <v>134</v>
      </c>
      <c r="N3702" t="s">
        <v>135</v>
      </c>
      <c r="O3702"/>
      <c r="P3702"/>
      <c r="Q3702" t="s">
        <v>168</v>
      </c>
      <c r="R3702"/>
      <c r="S3702"/>
      <c r="T3702" t="s">
        <v>2165</v>
      </c>
      <c r="U3702" t="s">
        <v>137</v>
      </c>
      <c r="V3702" t="s">
        <v>932</v>
      </c>
      <c r="W3702"/>
      <c r="X3702" t="s">
        <v>115</v>
      </c>
      <c r="Y3702"/>
      <c r="Z3702"/>
      <c r="AA3702" t="s">
        <v>2163</v>
      </c>
      <c r="AB3702" t="s">
        <v>2</v>
      </c>
      <c r="AC3702" t="s">
        <v>138</v>
      </c>
      <c r="AD3702" t="s">
        <v>130</v>
      </c>
      <c r="AE3702" s="97"/>
    </row>
    <row r="3703" spans="1:31" ht="14.4" customHeight="1" x14ac:dyDescent="0.3">
      <c r="A3703" t="s">
        <v>6237</v>
      </c>
      <c r="B3703" t="s">
        <v>2931</v>
      </c>
      <c r="C3703"/>
      <c r="D3703"/>
      <c r="E3703"/>
      <c r="F3703"/>
      <c r="G3703" t="s">
        <v>5944</v>
      </c>
      <c r="H3703" t="s">
        <v>132</v>
      </c>
      <c r="I3703" t="s">
        <v>2</v>
      </c>
      <c r="J3703" t="s">
        <v>5298</v>
      </c>
      <c r="K3703" t="s">
        <v>52</v>
      </c>
      <c r="L3703" t="s">
        <v>1758</v>
      </c>
      <c r="M3703" t="s">
        <v>134</v>
      </c>
      <c r="N3703" t="s">
        <v>135</v>
      </c>
      <c r="O3703"/>
      <c r="P3703"/>
      <c r="Q3703" t="s">
        <v>168</v>
      </c>
      <c r="R3703"/>
      <c r="S3703"/>
      <c r="T3703" t="s">
        <v>2165</v>
      </c>
      <c r="U3703" t="s">
        <v>137</v>
      </c>
      <c r="V3703" t="s">
        <v>932</v>
      </c>
      <c r="W3703"/>
      <c r="X3703" t="s">
        <v>115</v>
      </c>
      <c r="Y3703"/>
      <c r="Z3703"/>
      <c r="AA3703" t="s">
        <v>2163</v>
      </c>
      <c r="AB3703" t="s">
        <v>2</v>
      </c>
      <c r="AC3703" t="s">
        <v>138</v>
      </c>
      <c r="AD3703" t="s">
        <v>130</v>
      </c>
      <c r="AE3703" s="97"/>
    </row>
    <row r="3704" spans="1:31" ht="14.4" customHeight="1" x14ac:dyDescent="0.3">
      <c r="A3704" t="s">
        <v>6238</v>
      </c>
      <c r="B3704" t="s">
        <v>2933</v>
      </c>
      <c r="C3704"/>
      <c r="D3704"/>
      <c r="E3704"/>
      <c r="F3704"/>
      <c r="G3704" t="s">
        <v>5944</v>
      </c>
      <c r="H3704" t="s">
        <v>132</v>
      </c>
      <c r="I3704" t="s">
        <v>2</v>
      </c>
      <c r="J3704" t="s">
        <v>5298</v>
      </c>
      <c r="K3704" t="s">
        <v>52</v>
      </c>
      <c r="L3704" t="s">
        <v>1758</v>
      </c>
      <c r="M3704" t="s">
        <v>134</v>
      </c>
      <c r="N3704" t="s">
        <v>135</v>
      </c>
      <c r="O3704"/>
      <c r="P3704"/>
      <c r="Q3704" t="s">
        <v>168</v>
      </c>
      <c r="R3704"/>
      <c r="S3704"/>
      <c r="T3704" t="s">
        <v>2165</v>
      </c>
      <c r="U3704" t="s">
        <v>137</v>
      </c>
      <c r="V3704" t="s">
        <v>932</v>
      </c>
      <c r="W3704"/>
      <c r="X3704" t="s">
        <v>115</v>
      </c>
      <c r="Y3704"/>
      <c r="Z3704"/>
      <c r="AA3704" t="s">
        <v>2163</v>
      </c>
      <c r="AB3704" t="s">
        <v>2</v>
      </c>
      <c r="AC3704" t="s">
        <v>138</v>
      </c>
      <c r="AD3704" t="s">
        <v>130</v>
      </c>
      <c r="AE3704" s="97"/>
    </row>
    <row r="3705" spans="1:31" ht="14.4" customHeight="1" x14ac:dyDescent="0.3">
      <c r="A3705" t="s">
        <v>6239</v>
      </c>
      <c r="B3705" t="s">
        <v>2935</v>
      </c>
      <c r="C3705"/>
      <c r="D3705"/>
      <c r="E3705"/>
      <c r="F3705"/>
      <c r="G3705" t="s">
        <v>5944</v>
      </c>
      <c r="H3705" t="s">
        <v>132</v>
      </c>
      <c r="I3705" t="s">
        <v>2</v>
      </c>
      <c r="J3705" t="s">
        <v>5298</v>
      </c>
      <c r="K3705" t="s">
        <v>52</v>
      </c>
      <c r="L3705" t="s">
        <v>1758</v>
      </c>
      <c r="M3705" t="s">
        <v>134</v>
      </c>
      <c r="N3705" t="s">
        <v>135</v>
      </c>
      <c r="O3705"/>
      <c r="P3705"/>
      <c r="Q3705" t="s">
        <v>168</v>
      </c>
      <c r="R3705"/>
      <c r="S3705"/>
      <c r="T3705" t="s">
        <v>2165</v>
      </c>
      <c r="U3705" t="s">
        <v>137</v>
      </c>
      <c r="V3705" t="s">
        <v>932</v>
      </c>
      <c r="W3705"/>
      <c r="X3705" t="s">
        <v>115</v>
      </c>
      <c r="Y3705"/>
      <c r="Z3705"/>
      <c r="AA3705" t="s">
        <v>2163</v>
      </c>
      <c r="AB3705" t="s">
        <v>2</v>
      </c>
      <c r="AC3705" t="s">
        <v>138</v>
      </c>
      <c r="AD3705" t="s">
        <v>130</v>
      </c>
      <c r="AE3705" s="97"/>
    </row>
    <row r="3706" spans="1:31" ht="14.4" customHeight="1" x14ac:dyDescent="0.3">
      <c r="A3706" t="s">
        <v>6240</v>
      </c>
      <c r="B3706" t="s">
        <v>2945</v>
      </c>
      <c r="C3706"/>
      <c r="D3706"/>
      <c r="E3706"/>
      <c r="F3706"/>
      <c r="G3706" t="s">
        <v>5944</v>
      </c>
      <c r="H3706" t="s">
        <v>132</v>
      </c>
      <c r="I3706" t="s">
        <v>2</v>
      </c>
      <c r="J3706" t="s">
        <v>5298</v>
      </c>
      <c r="K3706" t="s">
        <v>52</v>
      </c>
      <c r="L3706" t="s">
        <v>2946</v>
      </c>
      <c r="M3706" t="s">
        <v>134</v>
      </c>
      <c r="N3706" t="s">
        <v>135</v>
      </c>
      <c r="O3706"/>
      <c r="P3706"/>
      <c r="Q3706" t="s">
        <v>168</v>
      </c>
      <c r="R3706"/>
      <c r="S3706"/>
      <c r="T3706" t="s">
        <v>2165</v>
      </c>
      <c r="U3706" t="s">
        <v>137</v>
      </c>
      <c r="V3706" t="s">
        <v>932</v>
      </c>
      <c r="W3706"/>
      <c r="X3706" t="s">
        <v>115</v>
      </c>
      <c r="Y3706"/>
      <c r="Z3706"/>
      <c r="AA3706" t="s">
        <v>2163</v>
      </c>
      <c r="AB3706" t="s">
        <v>2</v>
      </c>
      <c r="AC3706" t="s">
        <v>138</v>
      </c>
      <c r="AD3706" t="s">
        <v>130</v>
      </c>
      <c r="AE3706" s="97"/>
    </row>
    <row r="3707" spans="1:31" ht="14.4" customHeight="1" x14ac:dyDescent="0.3">
      <c r="A3707" t="s">
        <v>6241</v>
      </c>
      <c r="B3707" t="s">
        <v>2948</v>
      </c>
      <c r="C3707"/>
      <c r="D3707"/>
      <c r="E3707"/>
      <c r="F3707"/>
      <c r="G3707" t="s">
        <v>5944</v>
      </c>
      <c r="H3707" t="s">
        <v>132</v>
      </c>
      <c r="I3707" t="s">
        <v>2</v>
      </c>
      <c r="J3707" t="s">
        <v>5298</v>
      </c>
      <c r="K3707" t="s">
        <v>52</v>
      </c>
      <c r="L3707" t="s">
        <v>2949</v>
      </c>
      <c r="M3707" t="s">
        <v>134</v>
      </c>
      <c r="N3707" t="s">
        <v>135</v>
      </c>
      <c r="O3707"/>
      <c r="P3707"/>
      <c r="Q3707" t="s">
        <v>168</v>
      </c>
      <c r="R3707"/>
      <c r="S3707"/>
      <c r="T3707" t="s">
        <v>2165</v>
      </c>
      <c r="U3707" t="s">
        <v>137</v>
      </c>
      <c r="V3707" t="s">
        <v>932</v>
      </c>
      <c r="W3707"/>
      <c r="X3707" t="s">
        <v>115</v>
      </c>
      <c r="Y3707"/>
      <c r="Z3707"/>
      <c r="AA3707" t="s">
        <v>2163</v>
      </c>
      <c r="AB3707" t="s">
        <v>2</v>
      </c>
      <c r="AC3707" t="s">
        <v>138</v>
      </c>
      <c r="AD3707" t="s">
        <v>130</v>
      </c>
      <c r="AE3707" s="97"/>
    </row>
    <row r="3708" spans="1:31" ht="14.4" customHeight="1" x14ac:dyDescent="0.3">
      <c r="A3708" t="s">
        <v>6242</v>
      </c>
      <c r="B3708" t="s">
        <v>2951</v>
      </c>
      <c r="C3708"/>
      <c r="D3708"/>
      <c r="E3708"/>
      <c r="F3708"/>
      <c r="G3708" t="s">
        <v>5944</v>
      </c>
      <c r="H3708" t="s">
        <v>132</v>
      </c>
      <c r="I3708" t="s">
        <v>2</v>
      </c>
      <c r="J3708" t="s">
        <v>5298</v>
      </c>
      <c r="K3708" t="s">
        <v>52</v>
      </c>
      <c r="L3708" t="s">
        <v>2952</v>
      </c>
      <c r="M3708" t="s">
        <v>134</v>
      </c>
      <c r="N3708" t="s">
        <v>135</v>
      </c>
      <c r="O3708"/>
      <c r="P3708"/>
      <c r="Q3708" t="s">
        <v>168</v>
      </c>
      <c r="R3708"/>
      <c r="S3708"/>
      <c r="T3708" t="s">
        <v>2165</v>
      </c>
      <c r="U3708" t="s">
        <v>137</v>
      </c>
      <c r="V3708" t="s">
        <v>352</v>
      </c>
      <c r="W3708"/>
      <c r="X3708" t="s">
        <v>56</v>
      </c>
      <c r="Y3708"/>
      <c r="Z3708"/>
      <c r="AA3708" t="s">
        <v>2163</v>
      </c>
      <c r="AB3708" t="s">
        <v>2</v>
      </c>
      <c r="AC3708" t="s">
        <v>138</v>
      </c>
      <c r="AD3708" t="s">
        <v>128</v>
      </c>
      <c r="AE3708" s="97"/>
    </row>
    <row r="3709" spans="1:31" ht="14.4" customHeight="1" x14ac:dyDescent="0.3">
      <c r="A3709" t="s">
        <v>6243</v>
      </c>
      <c r="B3709" t="s">
        <v>2954</v>
      </c>
      <c r="C3709"/>
      <c r="D3709"/>
      <c r="E3709"/>
      <c r="F3709"/>
      <c r="G3709" t="s">
        <v>5944</v>
      </c>
      <c r="H3709" t="s">
        <v>132</v>
      </c>
      <c r="I3709" t="s">
        <v>2</v>
      </c>
      <c r="J3709" t="s">
        <v>5298</v>
      </c>
      <c r="K3709" t="s">
        <v>52</v>
      </c>
      <c r="L3709" t="s">
        <v>2955</v>
      </c>
      <c r="M3709" t="s">
        <v>134</v>
      </c>
      <c r="N3709" t="s">
        <v>135</v>
      </c>
      <c r="O3709"/>
      <c r="P3709"/>
      <c r="Q3709" t="s">
        <v>168</v>
      </c>
      <c r="R3709"/>
      <c r="S3709"/>
      <c r="T3709" t="s">
        <v>2165</v>
      </c>
      <c r="U3709" t="s">
        <v>137</v>
      </c>
      <c r="V3709" t="s">
        <v>352</v>
      </c>
      <c r="W3709"/>
      <c r="X3709" t="s">
        <v>56</v>
      </c>
      <c r="Y3709"/>
      <c r="Z3709"/>
      <c r="AA3709" t="s">
        <v>2163</v>
      </c>
      <c r="AB3709" t="s">
        <v>2</v>
      </c>
      <c r="AC3709" t="s">
        <v>138</v>
      </c>
      <c r="AD3709" t="s">
        <v>128</v>
      </c>
      <c r="AE3709" s="97"/>
    </row>
    <row r="3710" spans="1:31" ht="14.4" customHeight="1" x14ac:dyDescent="0.3">
      <c r="A3710" t="s">
        <v>6244</v>
      </c>
      <c r="B3710" t="s">
        <v>2957</v>
      </c>
      <c r="C3710"/>
      <c r="D3710"/>
      <c r="E3710"/>
      <c r="F3710"/>
      <c r="G3710" t="s">
        <v>5944</v>
      </c>
      <c r="H3710" t="s">
        <v>132</v>
      </c>
      <c r="I3710" t="s">
        <v>2</v>
      </c>
      <c r="J3710" t="s">
        <v>5298</v>
      </c>
      <c r="K3710" t="s">
        <v>52</v>
      </c>
      <c r="L3710" t="s">
        <v>2958</v>
      </c>
      <c r="M3710" t="s">
        <v>134</v>
      </c>
      <c r="N3710" t="s">
        <v>135</v>
      </c>
      <c r="O3710"/>
      <c r="P3710"/>
      <c r="Q3710" t="s">
        <v>168</v>
      </c>
      <c r="R3710"/>
      <c r="S3710"/>
      <c r="T3710" t="s">
        <v>2165</v>
      </c>
      <c r="U3710" t="s">
        <v>137</v>
      </c>
      <c r="V3710" t="s">
        <v>352</v>
      </c>
      <c r="W3710"/>
      <c r="X3710" t="s">
        <v>56</v>
      </c>
      <c r="Y3710"/>
      <c r="Z3710"/>
      <c r="AA3710" t="s">
        <v>2163</v>
      </c>
      <c r="AB3710" t="s">
        <v>2</v>
      </c>
      <c r="AC3710" t="s">
        <v>138</v>
      </c>
      <c r="AD3710" t="s">
        <v>128</v>
      </c>
      <c r="AE3710" s="97"/>
    </row>
    <row r="3711" spans="1:31" ht="14.4" customHeight="1" x14ac:dyDescent="0.3">
      <c r="A3711" t="s">
        <v>6245</v>
      </c>
      <c r="B3711" t="s">
        <v>2960</v>
      </c>
      <c r="C3711"/>
      <c r="D3711"/>
      <c r="E3711"/>
      <c r="F3711"/>
      <c r="G3711" t="s">
        <v>5944</v>
      </c>
      <c r="H3711" t="s">
        <v>132</v>
      </c>
      <c r="I3711" t="s">
        <v>2</v>
      </c>
      <c r="J3711" t="s">
        <v>5298</v>
      </c>
      <c r="K3711" t="s">
        <v>52</v>
      </c>
      <c r="L3711" t="s">
        <v>2961</v>
      </c>
      <c r="M3711" t="s">
        <v>134</v>
      </c>
      <c r="N3711" t="s">
        <v>135</v>
      </c>
      <c r="O3711"/>
      <c r="P3711"/>
      <c r="Q3711" t="s">
        <v>168</v>
      </c>
      <c r="R3711"/>
      <c r="S3711"/>
      <c r="T3711" t="s">
        <v>2165</v>
      </c>
      <c r="U3711" t="s">
        <v>137</v>
      </c>
      <c r="V3711" t="s">
        <v>352</v>
      </c>
      <c r="W3711"/>
      <c r="X3711" t="s">
        <v>56</v>
      </c>
      <c r="Y3711"/>
      <c r="Z3711"/>
      <c r="AA3711" t="s">
        <v>2163</v>
      </c>
      <c r="AB3711" t="s">
        <v>2</v>
      </c>
      <c r="AC3711" t="s">
        <v>138</v>
      </c>
      <c r="AD3711" t="s">
        <v>128</v>
      </c>
      <c r="AE3711" s="97"/>
    </row>
    <row r="3712" spans="1:31" ht="14.4" customHeight="1" x14ac:dyDescent="0.3">
      <c r="A3712" t="s">
        <v>6246</v>
      </c>
      <c r="B3712" t="s">
        <v>2963</v>
      </c>
      <c r="C3712"/>
      <c r="D3712"/>
      <c r="E3712"/>
      <c r="F3712"/>
      <c r="G3712" t="s">
        <v>5944</v>
      </c>
      <c r="H3712" t="s">
        <v>132</v>
      </c>
      <c r="I3712" t="s">
        <v>2</v>
      </c>
      <c r="J3712" t="s">
        <v>5298</v>
      </c>
      <c r="K3712" t="s">
        <v>52</v>
      </c>
      <c r="L3712" t="s">
        <v>2964</v>
      </c>
      <c r="M3712" t="s">
        <v>134</v>
      </c>
      <c r="N3712" t="s">
        <v>135</v>
      </c>
      <c r="O3712"/>
      <c r="P3712"/>
      <c r="Q3712" t="s">
        <v>168</v>
      </c>
      <c r="R3712"/>
      <c r="S3712"/>
      <c r="T3712" t="s">
        <v>2165</v>
      </c>
      <c r="U3712" t="s">
        <v>137</v>
      </c>
      <c r="V3712" t="s">
        <v>352</v>
      </c>
      <c r="W3712"/>
      <c r="X3712" t="s">
        <v>56</v>
      </c>
      <c r="Y3712"/>
      <c r="Z3712"/>
      <c r="AA3712" t="s">
        <v>2163</v>
      </c>
      <c r="AB3712" t="s">
        <v>2</v>
      </c>
      <c r="AC3712" t="s">
        <v>138</v>
      </c>
      <c r="AD3712" t="s">
        <v>128</v>
      </c>
      <c r="AE3712" s="97"/>
    </row>
    <row r="3713" spans="1:31" ht="14.4" customHeight="1" x14ac:dyDescent="0.3">
      <c r="A3713" t="s">
        <v>6247</v>
      </c>
      <c r="B3713" t="s">
        <v>2966</v>
      </c>
      <c r="C3713"/>
      <c r="D3713"/>
      <c r="E3713"/>
      <c r="F3713"/>
      <c r="G3713" t="s">
        <v>5944</v>
      </c>
      <c r="H3713" t="s">
        <v>132</v>
      </c>
      <c r="I3713" t="s">
        <v>2</v>
      </c>
      <c r="J3713" t="s">
        <v>5298</v>
      </c>
      <c r="K3713" t="s">
        <v>52</v>
      </c>
      <c r="L3713" t="s">
        <v>2967</v>
      </c>
      <c r="M3713" t="s">
        <v>134</v>
      </c>
      <c r="N3713" t="s">
        <v>135</v>
      </c>
      <c r="O3713"/>
      <c r="P3713"/>
      <c r="Q3713" t="s">
        <v>168</v>
      </c>
      <c r="R3713"/>
      <c r="S3713"/>
      <c r="T3713" t="s">
        <v>2165</v>
      </c>
      <c r="U3713" t="s">
        <v>137</v>
      </c>
      <c r="V3713" t="s">
        <v>352</v>
      </c>
      <c r="W3713"/>
      <c r="X3713" t="s">
        <v>56</v>
      </c>
      <c r="Y3713"/>
      <c r="Z3713"/>
      <c r="AA3713" t="s">
        <v>2163</v>
      </c>
      <c r="AB3713" t="s">
        <v>2</v>
      </c>
      <c r="AC3713" t="s">
        <v>138</v>
      </c>
      <c r="AD3713" t="s">
        <v>128</v>
      </c>
      <c r="AE3713" s="97"/>
    </row>
    <row r="3714" spans="1:31" ht="14.4" customHeight="1" x14ac:dyDescent="0.3">
      <c r="A3714" t="s">
        <v>6248</v>
      </c>
      <c r="B3714" t="s">
        <v>2969</v>
      </c>
      <c r="C3714"/>
      <c r="D3714"/>
      <c r="E3714"/>
      <c r="F3714"/>
      <c r="G3714" t="s">
        <v>5944</v>
      </c>
      <c r="H3714" t="s">
        <v>132</v>
      </c>
      <c r="I3714" t="s">
        <v>2</v>
      </c>
      <c r="J3714" t="s">
        <v>5298</v>
      </c>
      <c r="K3714" t="s">
        <v>52</v>
      </c>
      <c r="L3714" t="s">
        <v>2970</v>
      </c>
      <c r="M3714" t="s">
        <v>134</v>
      </c>
      <c r="N3714" t="s">
        <v>135</v>
      </c>
      <c r="O3714"/>
      <c r="P3714"/>
      <c r="Q3714" t="s">
        <v>168</v>
      </c>
      <c r="R3714"/>
      <c r="S3714"/>
      <c r="T3714" t="s">
        <v>2165</v>
      </c>
      <c r="U3714" t="s">
        <v>137</v>
      </c>
      <c r="V3714" t="s">
        <v>352</v>
      </c>
      <c r="W3714"/>
      <c r="X3714" t="s">
        <v>56</v>
      </c>
      <c r="Y3714"/>
      <c r="Z3714"/>
      <c r="AA3714" t="s">
        <v>2163</v>
      </c>
      <c r="AB3714" t="s">
        <v>2</v>
      </c>
      <c r="AC3714" t="s">
        <v>138</v>
      </c>
      <c r="AD3714" t="s">
        <v>128</v>
      </c>
      <c r="AE3714" s="97"/>
    </row>
    <row r="3715" spans="1:31" ht="14.4" customHeight="1" x14ac:dyDescent="0.3">
      <c r="A3715" t="s">
        <v>6249</v>
      </c>
      <c r="B3715" t="s">
        <v>2978</v>
      </c>
      <c r="C3715"/>
      <c r="D3715"/>
      <c r="E3715"/>
      <c r="F3715"/>
      <c r="G3715" t="s">
        <v>5944</v>
      </c>
      <c r="H3715" t="s">
        <v>132</v>
      </c>
      <c r="I3715" t="s">
        <v>2</v>
      </c>
      <c r="J3715" t="s">
        <v>5298</v>
      </c>
      <c r="K3715" t="s">
        <v>52</v>
      </c>
      <c r="L3715" t="s">
        <v>2979</v>
      </c>
      <c r="M3715" t="s">
        <v>134</v>
      </c>
      <c r="N3715" t="s">
        <v>135</v>
      </c>
      <c r="O3715"/>
      <c r="P3715"/>
      <c r="Q3715" t="s">
        <v>168</v>
      </c>
      <c r="R3715"/>
      <c r="S3715"/>
      <c r="T3715" t="s">
        <v>2165</v>
      </c>
      <c r="U3715" t="s">
        <v>137</v>
      </c>
      <c r="V3715" t="s">
        <v>403</v>
      </c>
      <c r="W3715"/>
      <c r="X3715" t="s">
        <v>68</v>
      </c>
      <c r="Y3715"/>
      <c r="Z3715"/>
      <c r="AA3715" t="s">
        <v>2163</v>
      </c>
      <c r="AB3715" t="s">
        <v>2</v>
      </c>
      <c r="AC3715" t="s">
        <v>138</v>
      </c>
      <c r="AD3715" t="s">
        <v>128</v>
      </c>
      <c r="AE3715" s="97"/>
    </row>
    <row r="3716" spans="1:31" ht="14.4" customHeight="1" x14ac:dyDescent="0.3">
      <c r="A3716" t="s">
        <v>6250</v>
      </c>
      <c r="B3716" t="s">
        <v>2981</v>
      </c>
      <c r="C3716"/>
      <c r="D3716"/>
      <c r="E3716"/>
      <c r="F3716"/>
      <c r="G3716" t="s">
        <v>5944</v>
      </c>
      <c r="H3716" t="s">
        <v>132</v>
      </c>
      <c r="I3716" t="s">
        <v>2</v>
      </c>
      <c r="J3716" t="s">
        <v>5298</v>
      </c>
      <c r="K3716" t="s">
        <v>52</v>
      </c>
      <c r="L3716" t="s">
        <v>2979</v>
      </c>
      <c r="M3716" t="s">
        <v>134</v>
      </c>
      <c r="N3716" t="s">
        <v>135</v>
      </c>
      <c r="O3716"/>
      <c r="P3716"/>
      <c r="Q3716" t="s">
        <v>168</v>
      </c>
      <c r="R3716"/>
      <c r="S3716"/>
      <c r="T3716" t="s">
        <v>2165</v>
      </c>
      <c r="U3716" t="s">
        <v>137</v>
      </c>
      <c r="V3716" t="s">
        <v>403</v>
      </c>
      <c r="W3716"/>
      <c r="X3716" t="s">
        <v>68</v>
      </c>
      <c r="Y3716"/>
      <c r="Z3716"/>
      <c r="AA3716" t="s">
        <v>2163</v>
      </c>
      <c r="AB3716" t="s">
        <v>2</v>
      </c>
      <c r="AC3716" t="s">
        <v>138</v>
      </c>
      <c r="AD3716" t="s">
        <v>128</v>
      </c>
      <c r="AE3716" s="97"/>
    </row>
    <row r="3717" spans="1:31" ht="14.4" customHeight="1" x14ac:dyDescent="0.3">
      <c r="A3717" t="s">
        <v>6251</v>
      </c>
      <c r="B3717" t="s">
        <v>2983</v>
      </c>
      <c r="C3717"/>
      <c r="D3717"/>
      <c r="E3717"/>
      <c r="F3717"/>
      <c r="G3717" t="s">
        <v>5944</v>
      </c>
      <c r="H3717" t="s">
        <v>132</v>
      </c>
      <c r="I3717" t="s">
        <v>2</v>
      </c>
      <c r="J3717" t="s">
        <v>5298</v>
      </c>
      <c r="K3717" t="s">
        <v>52</v>
      </c>
      <c r="L3717" t="s">
        <v>2979</v>
      </c>
      <c r="M3717" t="s">
        <v>134</v>
      </c>
      <c r="N3717" t="s">
        <v>135</v>
      </c>
      <c r="O3717"/>
      <c r="P3717"/>
      <c r="Q3717" t="s">
        <v>168</v>
      </c>
      <c r="R3717"/>
      <c r="S3717"/>
      <c r="T3717" t="s">
        <v>2165</v>
      </c>
      <c r="U3717" t="s">
        <v>137</v>
      </c>
      <c r="V3717" t="s">
        <v>403</v>
      </c>
      <c r="W3717"/>
      <c r="X3717" t="s">
        <v>68</v>
      </c>
      <c r="Y3717"/>
      <c r="Z3717"/>
      <c r="AA3717" t="s">
        <v>2163</v>
      </c>
      <c r="AB3717" t="s">
        <v>2</v>
      </c>
      <c r="AC3717" t="s">
        <v>138</v>
      </c>
      <c r="AD3717" t="s">
        <v>128</v>
      </c>
      <c r="AE3717" s="97"/>
    </row>
    <row r="3718" spans="1:31" ht="14.4" customHeight="1" x14ac:dyDescent="0.3">
      <c r="A3718" t="s">
        <v>6252</v>
      </c>
      <c r="B3718" t="s">
        <v>2985</v>
      </c>
      <c r="C3718"/>
      <c r="D3718"/>
      <c r="E3718"/>
      <c r="F3718"/>
      <c r="G3718" t="s">
        <v>5944</v>
      </c>
      <c r="H3718" t="s">
        <v>132</v>
      </c>
      <c r="I3718" t="s">
        <v>2</v>
      </c>
      <c r="J3718" t="s">
        <v>5298</v>
      </c>
      <c r="K3718" t="s">
        <v>52</v>
      </c>
      <c r="L3718" t="s">
        <v>2979</v>
      </c>
      <c r="M3718" t="s">
        <v>134</v>
      </c>
      <c r="N3718" t="s">
        <v>135</v>
      </c>
      <c r="O3718"/>
      <c r="P3718"/>
      <c r="Q3718" t="s">
        <v>168</v>
      </c>
      <c r="R3718"/>
      <c r="S3718"/>
      <c r="T3718" t="s">
        <v>2165</v>
      </c>
      <c r="U3718" t="s">
        <v>137</v>
      </c>
      <c r="V3718" t="s">
        <v>403</v>
      </c>
      <c r="W3718" s="9">
        <v>46204.554085960648</v>
      </c>
      <c r="X3718" t="s">
        <v>68</v>
      </c>
      <c r="Y3718"/>
      <c r="Z3718"/>
      <c r="AA3718" t="s">
        <v>2163</v>
      </c>
      <c r="AB3718" t="s">
        <v>2</v>
      </c>
      <c r="AC3718" t="s">
        <v>24</v>
      </c>
      <c r="AD3718" t="s">
        <v>128</v>
      </c>
      <c r="AE3718" s="97"/>
    </row>
    <row r="3719" spans="1:31" ht="14.4" customHeight="1" x14ac:dyDescent="0.3">
      <c r="A3719" t="s">
        <v>6253</v>
      </c>
      <c r="B3719" t="s">
        <v>2987</v>
      </c>
      <c r="C3719"/>
      <c r="D3719"/>
      <c r="E3719"/>
      <c r="F3719"/>
      <c r="G3719" t="s">
        <v>5944</v>
      </c>
      <c r="H3719" t="s">
        <v>132</v>
      </c>
      <c r="I3719" t="s">
        <v>2</v>
      </c>
      <c r="J3719" t="s">
        <v>5298</v>
      </c>
      <c r="K3719" t="s">
        <v>52</v>
      </c>
      <c r="L3719" t="s">
        <v>2988</v>
      </c>
      <c r="M3719" t="s">
        <v>134</v>
      </c>
      <c r="N3719" t="s">
        <v>135</v>
      </c>
      <c r="O3719"/>
      <c r="P3719"/>
      <c r="Q3719" t="s">
        <v>168</v>
      </c>
      <c r="R3719"/>
      <c r="S3719"/>
      <c r="T3719" t="s">
        <v>2165</v>
      </c>
      <c r="U3719" t="s">
        <v>137</v>
      </c>
      <c r="V3719" t="s">
        <v>407</v>
      </c>
      <c r="W3719"/>
      <c r="X3719" t="s">
        <v>77</v>
      </c>
      <c r="Y3719"/>
      <c r="Z3719"/>
      <c r="AA3719" t="s">
        <v>2163</v>
      </c>
      <c r="AB3719" t="s">
        <v>2</v>
      </c>
      <c r="AC3719" t="s">
        <v>138</v>
      </c>
      <c r="AD3719" t="s">
        <v>128</v>
      </c>
      <c r="AE3719" s="97"/>
    </row>
    <row r="3720" spans="1:31" ht="14.4" customHeight="1" x14ac:dyDescent="0.3">
      <c r="A3720" t="s">
        <v>6254</v>
      </c>
      <c r="B3720" t="s">
        <v>2990</v>
      </c>
      <c r="C3720"/>
      <c r="D3720"/>
      <c r="E3720"/>
      <c r="F3720"/>
      <c r="G3720" t="s">
        <v>5944</v>
      </c>
      <c r="H3720" t="s">
        <v>132</v>
      </c>
      <c r="I3720" t="s">
        <v>2</v>
      </c>
      <c r="J3720" t="s">
        <v>5298</v>
      </c>
      <c r="K3720" t="s">
        <v>52</v>
      </c>
      <c r="L3720" t="s">
        <v>2988</v>
      </c>
      <c r="M3720" t="s">
        <v>134</v>
      </c>
      <c r="N3720" t="s">
        <v>135</v>
      </c>
      <c r="O3720"/>
      <c r="P3720"/>
      <c r="Q3720" t="s">
        <v>168</v>
      </c>
      <c r="R3720"/>
      <c r="S3720"/>
      <c r="T3720" t="s">
        <v>2165</v>
      </c>
      <c r="U3720" t="s">
        <v>137</v>
      </c>
      <c r="V3720" t="s">
        <v>407</v>
      </c>
      <c r="W3720"/>
      <c r="X3720" t="s">
        <v>77</v>
      </c>
      <c r="Y3720"/>
      <c r="Z3720"/>
      <c r="AA3720" t="s">
        <v>2163</v>
      </c>
      <c r="AB3720" t="s">
        <v>2</v>
      </c>
      <c r="AC3720" t="s">
        <v>138</v>
      </c>
      <c r="AD3720" t="s">
        <v>128</v>
      </c>
      <c r="AE3720" s="97"/>
    </row>
    <row r="3721" spans="1:31" ht="14.4" customHeight="1" x14ac:dyDescent="0.3">
      <c r="A3721" t="s">
        <v>6255</v>
      </c>
      <c r="B3721" t="s">
        <v>2992</v>
      </c>
      <c r="C3721"/>
      <c r="D3721"/>
      <c r="E3721"/>
      <c r="F3721"/>
      <c r="G3721" t="s">
        <v>5944</v>
      </c>
      <c r="H3721" t="s">
        <v>132</v>
      </c>
      <c r="I3721" t="s">
        <v>2</v>
      </c>
      <c r="J3721" t="s">
        <v>5298</v>
      </c>
      <c r="K3721" t="s">
        <v>52</v>
      </c>
      <c r="L3721" t="s">
        <v>2988</v>
      </c>
      <c r="M3721" t="s">
        <v>134</v>
      </c>
      <c r="N3721" t="s">
        <v>135</v>
      </c>
      <c r="O3721"/>
      <c r="P3721"/>
      <c r="Q3721" t="s">
        <v>168</v>
      </c>
      <c r="R3721"/>
      <c r="S3721"/>
      <c r="T3721" t="s">
        <v>2165</v>
      </c>
      <c r="U3721" t="s">
        <v>137</v>
      </c>
      <c r="V3721" t="s">
        <v>407</v>
      </c>
      <c r="W3721"/>
      <c r="X3721" t="s">
        <v>77</v>
      </c>
      <c r="Y3721"/>
      <c r="Z3721"/>
      <c r="AA3721" t="s">
        <v>2163</v>
      </c>
      <c r="AB3721" t="s">
        <v>2</v>
      </c>
      <c r="AC3721" t="s">
        <v>138</v>
      </c>
      <c r="AD3721" t="s">
        <v>128</v>
      </c>
      <c r="AE3721" s="97"/>
    </row>
    <row r="3722" spans="1:31" ht="14.4" customHeight="1" x14ac:dyDescent="0.3">
      <c r="A3722" t="s">
        <v>6256</v>
      </c>
      <c r="B3722" t="s">
        <v>2994</v>
      </c>
      <c r="C3722"/>
      <c r="D3722"/>
      <c r="E3722"/>
      <c r="F3722"/>
      <c r="G3722" t="s">
        <v>5944</v>
      </c>
      <c r="H3722" t="s">
        <v>132</v>
      </c>
      <c r="I3722" t="s">
        <v>2</v>
      </c>
      <c r="J3722" t="s">
        <v>5298</v>
      </c>
      <c r="K3722" t="s">
        <v>52</v>
      </c>
      <c r="L3722" t="s">
        <v>2988</v>
      </c>
      <c r="M3722" t="s">
        <v>134</v>
      </c>
      <c r="N3722" t="s">
        <v>135</v>
      </c>
      <c r="O3722"/>
      <c r="P3722"/>
      <c r="Q3722" t="s">
        <v>168</v>
      </c>
      <c r="R3722"/>
      <c r="S3722"/>
      <c r="T3722" t="s">
        <v>2165</v>
      </c>
      <c r="U3722" t="s">
        <v>137</v>
      </c>
      <c r="V3722" t="s">
        <v>407</v>
      </c>
      <c r="W3722" s="9">
        <v>46204.554426504626</v>
      </c>
      <c r="X3722" t="s">
        <v>77</v>
      </c>
      <c r="Y3722"/>
      <c r="Z3722"/>
      <c r="AA3722" t="s">
        <v>2163</v>
      </c>
      <c r="AB3722" t="s">
        <v>2</v>
      </c>
      <c r="AC3722" t="s">
        <v>24</v>
      </c>
      <c r="AD3722" t="s">
        <v>128</v>
      </c>
      <c r="AE3722" s="97"/>
    </row>
    <row r="3723" spans="1:31" ht="14.4" customHeight="1" x14ac:dyDescent="0.3">
      <c r="A3723" t="s">
        <v>6257</v>
      </c>
      <c r="B3723" t="s">
        <v>2996</v>
      </c>
      <c r="C3723"/>
      <c r="D3723"/>
      <c r="E3723"/>
      <c r="F3723"/>
      <c r="G3723" t="s">
        <v>5944</v>
      </c>
      <c r="H3723" t="s">
        <v>132</v>
      </c>
      <c r="I3723" t="s">
        <v>2</v>
      </c>
      <c r="J3723" t="s">
        <v>5298</v>
      </c>
      <c r="K3723" t="s">
        <v>52</v>
      </c>
      <c r="L3723" t="s">
        <v>2997</v>
      </c>
      <c r="M3723" t="s">
        <v>134</v>
      </c>
      <c r="N3723" t="s">
        <v>135</v>
      </c>
      <c r="O3723"/>
      <c r="P3723"/>
      <c r="Q3723" t="s">
        <v>168</v>
      </c>
      <c r="R3723"/>
      <c r="S3723"/>
      <c r="T3723" t="s">
        <v>2165</v>
      </c>
      <c r="U3723" t="s">
        <v>137</v>
      </c>
      <c r="V3723" t="s">
        <v>411</v>
      </c>
      <c r="W3723"/>
      <c r="X3723" t="s">
        <v>87</v>
      </c>
      <c r="Y3723"/>
      <c r="Z3723"/>
      <c r="AA3723" t="s">
        <v>2163</v>
      </c>
      <c r="AB3723" t="s">
        <v>2</v>
      </c>
      <c r="AC3723" t="s">
        <v>138</v>
      </c>
      <c r="AD3723" t="s">
        <v>129</v>
      </c>
      <c r="AE3723" s="97"/>
    </row>
    <row r="3724" spans="1:31" ht="14.4" customHeight="1" x14ac:dyDescent="0.3">
      <c r="A3724" t="s">
        <v>6258</v>
      </c>
      <c r="B3724" t="s">
        <v>2999</v>
      </c>
      <c r="C3724"/>
      <c r="D3724"/>
      <c r="E3724"/>
      <c r="F3724"/>
      <c r="G3724" t="s">
        <v>5944</v>
      </c>
      <c r="H3724" t="s">
        <v>132</v>
      </c>
      <c r="I3724" t="s">
        <v>2</v>
      </c>
      <c r="J3724" t="s">
        <v>5298</v>
      </c>
      <c r="K3724" t="s">
        <v>52</v>
      </c>
      <c r="L3724" t="s">
        <v>2997</v>
      </c>
      <c r="M3724" t="s">
        <v>134</v>
      </c>
      <c r="N3724" t="s">
        <v>135</v>
      </c>
      <c r="O3724"/>
      <c r="P3724"/>
      <c r="Q3724" t="s">
        <v>168</v>
      </c>
      <c r="R3724"/>
      <c r="S3724"/>
      <c r="T3724" t="s">
        <v>2165</v>
      </c>
      <c r="U3724" t="s">
        <v>137</v>
      </c>
      <c r="V3724" t="s">
        <v>411</v>
      </c>
      <c r="W3724" s="9">
        <v>46204.554766631947</v>
      </c>
      <c r="X3724" t="s">
        <v>87</v>
      </c>
      <c r="Y3724"/>
      <c r="Z3724"/>
      <c r="AA3724" t="s">
        <v>2163</v>
      </c>
      <c r="AB3724" t="s">
        <v>2</v>
      </c>
      <c r="AC3724" t="s">
        <v>24</v>
      </c>
      <c r="AD3724" t="s">
        <v>129</v>
      </c>
      <c r="AE3724" s="97"/>
    </row>
    <row r="3725" spans="1:31" ht="14.4" customHeight="1" x14ac:dyDescent="0.3">
      <c r="A3725" t="s">
        <v>6259</v>
      </c>
      <c r="B3725" t="s">
        <v>3001</v>
      </c>
      <c r="C3725"/>
      <c r="D3725"/>
      <c r="E3725"/>
      <c r="F3725"/>
      <c r="G3725" t="s">
        <v>5944</v>
      </c>
      <c r="H3725" t="s">
        <v>132</v>
      </c>
      <c r="I3725" t="s">
        <v>2</v>
      </c>
      <c r="J3725" t="s">
        <v>5298</v>
      </c>
      <c r="K3725" t="s">
        <v>52</v>
      </c>
      <c r="L3725" t="s">
        <v>2997</v>
      </c>
      <c r="M3725" t="s">
        <v>134</v>
      </c>
      <c r="N3725" t="s">
        <v>135</v>
      </c>
      <c r="O3725"/>
      <c r="P3725"/>
      <c r="Q3725" t="s">
        <v>168</v>
      </c>
      <c r="R3725"/>
      <c r="S3725"/>
      <c r="T3725" t="s">
        <v>2165</v>
      </c>
      <c r="U3725" t="s">
        <v>137</v>
      </c>
      <c r="V3725" t="s">
        <v>411</v>
      </c>
      <c r="W3725"/>
      <c r="X3725" t="s">
        <v>87</v>
      </c>
      <c r="Y3725"/>
      <c r="Z3725"/>
      <c r="AA3725" t="s">
        <v>2163</v>
      </c>
      <c r="AB3725" t="s">
        <v>2</v>
      </c>
      <c r="AC3725" t="s">
        <v>138</v>
      </c>
      <c r="AD3725" t="s">
        <v>129</v>
      </c>
      <c r="AE3725" s="97"/>
    </row>
    <row r="3726" spans="1:31" ht="14.4" customHeight="1" x14ac:dyDescent="0.3">
      <c r="A3726" t="s">
        <v>6260</v>
      </c>
      <c r="B3726" t="s">
        <v>3003</v>
      </c>
      <c r="C3726"/>
      <c r="D3726"/>
      <c r="E3726"/>
      <c r="F3726"/>
      <c r="G3726" t="s">
        <v>5944</v>
      </c>
      <c r="H3726" t="s">
        <v>132</v>
      </c>
      <c r="I3726" t="s">
        <v>2</v>
      </c>
      <c r="J3726" t="s">
        <v>5298</v>
      </c>
      <c r="K3726" t="s">
        <v>52</v>
      </c>
      <c r="L3726" t="s">
        <v>2997</v>
      </c>
      <c r="M3726" t="s">
        <v>134</v>
      </c>
      <c r="N3726" t="s">
        <v>135</v>
      </c>
      <c r="O3726"/>
      <c r="P3726"/>
      <c r="Q3726" t="s">
        <v>168</v>
      </c>
      <c r="R3726"/>
      <c r="S3726"/>
      <c r="T3726" t="s">
        <v>2165</v>
      </c>
      <c r="U3726" t="s">
        <v>137</v>
      </c>
      <c r="V3726" t="s">
        <v>411</v>
      </c>
      <c r="W3726" s="9">
        <v>46204.555115243056</v>
      </c>
      <c r="X3726" t="s">
        <v>87</v>
      </c>
      <c r="Y3726"/>
      <c r="Z3726"/>
      <c r="AA3726" t="s">
        <v>2163</v>
      </c>
      <c r="AB3726" t="s">
        <v>2</v>
      </c>
      <c r="AC3726" t="s">
        <v>24</v>
      </c>
      <c r="AD3726" t="s">
        <v>129</v>
      </c>
      <c r="AE3726" s="97"/>
    </row>
    <row r="3727" spans="1:31" ht="14.4" customHeight="1" x14ac:dyDescent="0.3">
      <c r="A3727" t="s">
        <v>6261</v>
      </c>
      <c r="B3727" t="s">
        <v>3005</v>
      </c>
      <c r="C3727"/>
      <c r="D3727"/>
      <c r="E3727"/>
      <c r="F3727"/>
      <c r="G3727" t="s">
        <v>5944</v>
      </c>
      <c r="H3727" t="s">
        <v>132</v>
      </c>
      <c r="I3727" t="s">
        <v>2</v>
      </c>
      <c r="J3727" t="s">
        <v>5298</v>
      </c>
      <c r="K3727" t="s">
        <v>52</v>
      </c>
      <c r="L3727" t="s">
        <v>3006</v>
      </c>
      <c r="M3727" t="s">
        <v>134</v>
      </c>
      <c r="N3727" t="s">
        <v>135</v>
      </c>
      <c r="O3727"/>
      <c r="P3727"/>
      <c r="Q3727" t="s">
        <v>168</v>
      </c>
      <c r="R3727"/>
      <c r="S3727"/>
      <c r="T3727" t="s">
        <v>2165</v>
      </c>
      <c r="U3727" t="s">
        <v>137</v>
      </c>
      <c r="V3727" t="s">
        <v>415</v>
      </c>
      <c r="W3727"/>
      <c r="X3727" t="s">
        <v>96</v>
      </c>
      <c r="Y3727"/>
      <c r="Z3727"/>
      <c r="AA3727" t="s">
        <v>2163</v>
      </c>
      <c r="AB3727" t="s">
        <v>2</v>
      </c>
      <c r="AC3727" t="s">
        <v>138</v>
      </c>
      <c r="AD3727" t="s">
        <v>129</v>
      </c>
      <c r="AE3727" s="97"/>
    </row>
    <row r="3728" spans="1:31" ht="14.4" customHeight="1" x14ac:dyDescent="0.3">
      <c r="A3728" t="s">
        <v>6262</v>
      </c>
      <c r="B3728" t="s">
        <v>3008</v>
      </c>
      <c r="C3728"/>
      <c r="D3728"/>
      <c r="E3728"/>
      <c r="F3728"/>
      <c r="G3728" t="s">
        <v>5944</v>
      </c>
      <c r="H3728" t="s">
        <v>132</v>
      </c>
      <c r="I3728" t="s">
        <v>2</v>
      </c>
      <c r="J3728" t="s">
        <v>5298</v>
      </c>
      <c r="K3728" t="s">
        <v>52</v>
      </c>
      <c r="L3728" t="s">
        <v>3006</v>
      </c>
      <c r="M3728" t="s">
        <v>134</v>
      </c>
      <c r="N3728" t="s">
        <v>135</v>
      </c>
      <c r="O3728"/>
      <c r="P3728"/>
      <c r="Q3728" t="s">
        <v>168</v>
      </c>
      <c r="R3728"/>
      <c r="S3728"/>
      <c r="T3728" t="s">
        <v>2165</v>
      </c>
      <c r="U3728" t="s">
        <v>137</v>
      </c>
      <c r="V3728" t="s">
        <v>415</v>
      </c>
      <c r="W3728" s="9">
        <v>46204.555429016204</v>
      </c>
      <c r="X3728" t="s">
        <v>96</v>
      </c>
      <c r="Y3728"/>
      <c r="Z3728"/>
      <c r="AA3728" t="s">
        <v>2163</v>
      </c>
      <c r="AB3728" t="s">
        <v>2</v>
      </c>
      <c r="AC3728" t="s">
        <v>24</v>
      </c>
      <c r="AD3728" t="s">
        <v>129</v>
      </c>
      <c r="AE3728" s="97"/>
    </row>
    <row r="3729" spans="1:31" ht="14.4" customHeight="1" x14ac:dyDescent="0.3">
      <c r="A3729" t="s">
        <v>6263</v>
      </c>
      <c r="B3729" t="s">
        <v>3010</v>
      </c>
      <c r="C3729"/>
      <c r="D3729"/>
      <c r="E3729"/>
      <c r="F3729"/>
      <c r="G3729" t="s">
        <v>5944</v>
      </c>
      <c r="H3729" t="s">
        <v>132</v>
      </c>
      <c r="I3729" t="s">
        <v>2</v>
      </c>
      <c r="J3729" t="s">
        <v>5298</v>
      </c>
      <c r="K3729" t="s">
        <v>52</v>
      </c>
      <c r="L3729" t="s">
        <v>3006</v>
      </c>
      <c r="M3729" t="s">
        <v>134</v>
      </c>
      <c r="N3729" t="s">
        <v>135</v>
      </c>
      <c r="O3729"/>
      <c r="P3729"/>
      <c r="Q3729" t="s">
        <v>168</v>
      </c>
      <c r="R3729"/>
      <c r="S3729"/>
      <c r="T3729" t="s">
        <v>2165</v>
      </c>
      <c r="U3729" t="s">
        <v>137</v>
      </c>
      <c r="V3729" t="s">
        <v>415</v>
      </c>
      <c r="W3729"/>
      <c r="X3729" t="s">
        <v>96</v>
      </c>
      <c r="Y3729"/>
      <c r="Z3729"/>
      <c r="AA3729" t="s">
        <v>2163</v>
      </c>
      <c r="AB3729" t="s">
        <v>2</v>
      </c>
      <c r="AC3729" t="s">
        <v>138</v>
      </c>
      <c r="AD3729" t="s">
        <v>129</v>
      </c>
      <c r="AE3729" s="97"/>
    </row>
    <row r="3730" spans="1:31" ht="14.4" customHeight="1" x14ac:dyDescent="0.3">
      <c r="A3730" t="s">
        <v>6264</v>
      </c>
      <c r="B3730" t="s">
        <v>3012</v>
      </c>
      <c r="C3730"/>
      <c r="D3730"/>
      <c r="E3730"/>
      <c r="F3730"/>
      <c r="G3730" t="s">
        <v>5944</v>
      </c>
      <c r="H3730" t="s">
        <v>132</v>
      </c>
      <c r="I3730" t="s">
        <v>2</v>
      </c>
      <c r="J3730" t="s">
        <v>5298</v>
      </c>
      <c r="K3730" t="s">
        <v>52</v>
      </c>
      <c r="L3730" t="s">
        <v>3006</v>
      </c>
      <c r="M3730" t="s">
        <v>134</v>
      </c>
      <c r="N3730" t="s">
        <v>135</v>
      </c>
      <c r="O3730"/>
      <c r="P3730"/>
      <c r="Q3730" t="s">
        <v>168</v>
      </c>
      <c r="R3730"/>
      <c r="S3730"/>
      <c r="T3730" t="s">
        <v>2165</v>
      </c>
      <c r="U3730" t="s">
        <v>137</v>
      </c>
      <c r="V3730" t="s">
        <v>415</v>
      </c>
      <c r="W3730" s="9">
        <v>46204.555968402776</v>
      </c>
      <c r="X3730" t="s">
        <v>96</v>
      </c>
      <c r="Y3730"/>
      <c r="Z3730"/>
      <c r="AA3730" t="s">
        <v>2163</v>
      </c>
      <c r="AB3730" t="s">
        <v>2</v>
      </c>
      <c r="AC3730" t="s">
        <v>24</v>
      </c>
      <c r="AD3730" t="s">
        <v>129</v>
      </c>
      <c r="AE3730" s="97"/>
    </row>
    <row r="3731" spans="1:31" ht="14.4" customHeight="1" x14ac:dyDescent="0.3">
      <c r="A3731" t="s">
        <v>6265</v>
      </c>
      <c r="B3731" t="s">
        <v>3014</v>
      </c>
      <c r="C3731"/>
      <c r="D3731"/>
      <c r="E3731"/>
      <c r="F3731"/>
      <c r="G3731" t="s">
        <v>5944</v>
      </c>
      <c r="H3731" t="s">
        <v>132</v>
      </c>
      <c r="I3731" t="s">
        <v>2</v>
      </c>
      <c r="J3731" t="s">
        <v>5298</v>
      </c>
      <c r="K3731" t="s">
        <v>52</v>
      </c>
      <c r="L3731" t="s">
        <v>3015</v>
      </c>
      <c r="M3731" t="s">
        <v>134</v>
      </c>
      <c r="N3731" t="s">
        <v>135</v>
      </c>
      <c r="O3731"/>
      <c r="P3731"/>
      <c r="Q3731" t="s">
        <v>168</v>
      </c>
      <c r="R3731"/>
      <c r="S3731"/>
      <c r="T3731" t="s">
        <v>2165</v>
      </c>
      <c r="U3731" t="s">
        <v>137</v>
      </c>
      <c r="V3731" t="s">
        <v>419</v>
      </c>
      <c r="W3731"/>
      <c r="X3731" t="s">
        <v>105</v>
      </c>
      <c r="Y3731"/>
      <c r="Z3731"/>
      <c r="AA3731" t="s">
        <v>2163</v>
      </c>
      <c r="AB3731" t="s">
        <v>2</v>
      </c>
      <c r="AC3731" t="s">
        <v>138</v>
      </c>
      <c r="AD3731" t="s">
        <v>129</v>
      </c>
      <c r="AE3731" s="97"/>
    </row>
    <row r="3732" spans="1:31" ht="14.4" customHeight="1" x14ac:dyDescent="0.3">
      <c r="A3732" t="s">
        <v>6266</v>
      </c>
      <c r="B3732" t="s">
        <v>3017</v>
      </c>
      <c r="C3732"/>
      <c r="D3732"/>
      <c r="E3732"/>
      <c r="F3732"/>
      <c r="G3732" t="s">
        <v>5944</v>
      </c>
      <c r="H3732" t="s">
        <v>132</v>
      </c>
      <c r="I3732" t="s">
        <v>2</v>
      </c>
      <c r="J3732" t="s">
        <v>5298</v>
      </c>
      <c r="K3732" t="s">
        <v>52</v>
      </c>
      <c r="L3732" t="s">
        <v>3015</v>
      </c>
      <c r="M3732" t="s">
        <v>134</v>
      </c>
      <c r="N3732" t="s">
        <v>135</v>
      </c>
      <c r="O3732"/>
      <c r="P3732"/>
      <c r="Q3732" t="s">
        <v>168</v>
      </c>
      <c r="R3732"/>
      <c r="S3732"/>
      <c r="T3732" t="s">
        <v>2165</v>
      </c>
      <c r="U3732" t="s">
        <v>137</v>
      </c>
      <c r="V3732" t="s">
        <v>419</v>
      </c>
      <c r="W3732" s="9">
        <v>46204.556436724539</v>
      </c>
      <c r="X3732" t="s">
        <v>105</v>
      </c>
      <c r="Y3732"/>
      <c r="Z3732"/>
      <c r="AA3732" t="s">
        <v>2163</v>
      </c>
      <c r="AB3732" t="s">
        <v>2</v>
      </c>
      <c r="AC3732" t="s">
        <v>24</v>
      </c>
      <c r="AD3732" t="s">
        <v>129</v>
      </c>
      <c r="AE3732" s="97"/>
    </row>
    <row r="3733" spans="1:31" ht="14.4" customHeight="1" x14ac:dyDescent="0.3">
      <c r="A3733" t="s">
        <v>6267</v>
      </c>
      <c r="B3733" t="s">
        <v>3019</v>
      </c>
      <c r="C3733"/>
      <c r="D3733"/>
      <c r="E3733"/>
      <c r="F3733"/>
      <c r="G3733" t="s">
        <v>5944</v>
      </c>
      <c r="H3733" t="s">
        <v>132</v>
      </c>
      <c r="I3733" t="s">
        <v>2</v>
      </c>
      <c r="J3733" t="s">
        <v>5298</v>
      </c>
      <c r="K3733" t="s">
        <v>52</v>
      </c>
      <c r="L3733" t="s">
        <v>3015</v>
      </c>
      <c r="M3733" t="s">
        <v>134</v>
      </c>
      <c r="N3733" t="s">
        <v>135</v>
      </c>
      <c r="O3733"/>
      <c r="P3733"/>
      <c r="Q3733" t="s">
        <v>168</v>
      </c>
      <c r="R3733"/>
      <c r="S3733"/>
      <c r="T3733" t="s">
        <v>2165</v>
      </c>
      <c r="U3733" t="s">
        <v>137</v>
      </c>
      <c r="V3733" t="s">
        <v>419</v>
      </c>
      <c r="W3733"/>
      <c r="X3733" t="s">
        <v>105</v>
      </c>
      <c r="Y3733"/>
      <c r="Z3733"/>
      <c r="AA3733" t="s">
        <v>2163</v>
      </c>
      <c r="AB3733" t="s">
        <v>2</v>
      </c>
      <c r="AC3733" t="s">
        <v>138</v>
      </c>
      <c r="AD3733" t="s">
        <v>129</v>
      </c>
      <c r="AE3733" s="97"/>
    </row>
    <row r="3734" spans="1:31" ht="14.4" customHeight="1" x14ac:dyDescent="0.3">
      <c r="A3734" t="s">
        <v>6268</v>
      </c>
      <c r="B3734" t="s">
        <v>3021</v>
      </c>
      <c r="C3734"/>
      <c r="D3734"/>
      <c r="E3734"/>
      <c r="F3734"/>
      <c r="G3734" t="s">
        <v>5944</v>
      </c>
      <c r="H3734" t="s">
        <v>132</v>
      </c>
      <c r="I3734" t="s">
        <v>2</v>
      </c>
      <c r="J3734" t="s">
        <v>5298</v>
      </c>
      <c r="K3734" t="s">
        <v>52</v>
      </c>
      <c r="L3734" t="s">
        <v>3015</v>
      </c>
      <c r="M3734" t="s">
        <v>134</v>
      </c>
      <c r="N3734" t="s">
        <v>135</v>
      </c>
      <c r="O3734"/>
      <c r="P3734"/>
      <c r="Q3734" t="s">
        <v>168</v>
      </c>
      <c r="R3734"/>
      <c r="S3734"/>
      <c r="T3734" t="s">
        <v>2165</v>
      </c>
      <c r="U3734" t="s">
        <v>137</v>
      </c>
      <c r="V3734" t="s">
        <v>419</v>
      </c>
      <c r="W3734" s="9">
        <v>46204.556794062497</v>
      </c>
      <c r="X3734" t="s">
        <v>105</v>
      </c>
      <c r="Y3734"/>
      <c r="Z3734"/>
      <c r="AA3734" t="s">
        <v>2163</v>
      </c>
      <c r="AB3734" t="s">
        <v>2</v>
      </c>
      <c r="AC3734" t="s">
        <v>24</v>
      </c>
      <c r="AD3734" t="s">
        <v>129</v>
      </c>
      <c r="AE3734" s="97"/>
    </row>
    <row r="3735" spans="1:31" ht="14.4" customHeight="1" x14ac:dyDescent="0.3">
      <c r="A3735" t="s">
        <v>6269</v>
      </c>
      <c r="B3735" t="s">
        <v>3023</v>
      </c>
      <c r="C3735"/>
      <c r="D3735"/>
      <c r="E3735"/>
      <c r="F3735"/>
      <c r="G3735" t="s">
        <v>5944</v>
      </c>
      <c r="H3735" t="s">
        <v>132</v>
      </c>
      <c r="I3735" t="s">
        <v>2</v>
      </c>
      <c r="J3735" t="s">
        <v>5298</v>
      </c>
      <c r="K3735" t="s">
        <v>52</v>
      </c>
      <c r="L3735" t="s">
        <v>3024</v>
      </c>
      <c r="M3735" t="s">
        <v>134</v>
      </c>
      <c r="N3735" t="s">
        <v>135</v>
      </c>
      <c r="O3735"/>
      <c r="P3735"/>
      <c r="Q3735" t="s">
        <v>168</v>
      </c>
      <c r="R3735"/>
      <c r="S3735"/>
      <c r="T3735" t="s">
        <v>2165</v>
      </c>
      <c r="U3735" t="s">
        <v>137</v>
      </c>
      <c r="V3735" t="s">
        <v>423</v>
      </c>
      <c r="W3735"/>
      <c r="X3735" t="s">
        <v>112</v>
      </c>
      <c r="Y3735"/>
      <c r="Z3735"/>
      <c r="AA3735" t="s">
        <v>2163</v>
      </c>
      <c r="AB3735" t="s">
        <v>2</v>
      </c>
      <c r="AC3735" t="s">
        <v>138</v>
      </c>
      <c r="AD3735" t="s">
        <v>129</v>
      </c>
      <c r="AE3735" s="97"/>
    </row>
    <row r="3736" spans="1:31" ht="14.4" customHeight="1" x14ac:dyDescent="0.3">
      <c r="A3736" t="s">
        <v>6270</v>
      </c>
      <c r="B3736" t="s">
        <v>3026</v>
      </c>
      <c r="C3736"/>
      <c r="D3736"/>
      <c r="E3736"/>
      <c r="F3736"/>
      <c r="G3736" t="s">
        <v>5944</v>
      </c>
      <c r="H3736" t="s">
        <v>132</v>
      </c>
      <c r="I3736" t="s">
        <v>2</v>
      </c>
      <c r="J3736" t="s">
        <v>5298</v>
      </c>
      <c r="K3736" t="s">
        <v>52</v>
      </c>
      <c r="L3736" t="s">
        <v>3024</v>
      </c>
      <c r="M3736" t="s">
        <v>134</v>
      </c>
      <c r="N3736" t="s">
        <v>135</v>
      </c>
      <c r="O3736"/>
      <c r="P3736"/>
      <c r="Q3736" t="s">
        <v>168</v>
      </c>
      <c r="R3736"/>
      <c r="S3736"/>
      <c r="T3736" t="s">
        <v>2165</v>
      </c>
      <c r="U3736" t="s">
        <v>137</v>
      </c>
      <c r="V3736" t="s">
        <v>423</v>
      </c>
      <c r="W3736" s="9">
        <v>46204.557171909721</v>
      </c>
      <c r="X3736" t="s">
        <v>112</v>
      </c>
      <c r="Y3736"/>
      <c r="Z3736"/>
      <c r="AA3736" t="s">
        <v>2163</v>
      </c>
      <c r="AB3736" t="s">
        <v>2</v>
      </c>
      <c r="AC3736" t="s">
        <v>24</v>
      </c>
      <c r="AD3736" t="s">
        <v>129</v>
      </c>
      <c r="AE3736" s="97"/>
    </row>
    <row r="3737" spans="1:31" ht="14.4" customHeight="1" x14ac:dyDescent="0.3">
      <c r="A3737" t="s">
        <v>6271</v>
      </c>
      <c r="B3737" t="s">
        <v>3028</v>
      </c>
      <c r="C3737"/>
      <c r="D3737"/>
      <c r="E3737"/>
      <c r="F3737"/>
      <c r="G3737" t="s">
        <v>5944</v>
      </c>
      <c r="H3737" t="s">
        <v>132</v>
      </c>
      <c r="I3737" t="s">
        <v>2</v>
      </c>
      <c r="J3737" t="s">
        <v>5298</v>
      </c>
      <c r="K3737" t="s">
        <v>52</v>
      </c>
      <c r="L3737" t="s">
        <v>3024</v>
      </c>
      <c r="M3737" t="s">
        <v>134</v>
      </c>
      <c r="N3737" t="s">
        <v>135</v>
      </c>
      <c r="O3737"/>
      <c r="P3737"/>
      <c r="Q3737" t="s">
        <v>168</v>
      </c>
      <c r="R3737"/>
      <c r="S3737"/>
      <c r="T3737" t="s">
        <v>2165</v>
      </c>
      <c r="U3737" t="s">
        <v>137</v>
      </c>
      <c r="V3737" t="s">
        <v>423</v>
      </c>
      <c r="W3737"/>
      <c r="X3737" t="s">
        <v>112</v>
      </c>
      <c r="Y3737"/>
      <c r="Z3737"/>
      <c r="AA3737" t="s">
        <v>2163</v>
      </c>
      <c r="AB3737" t="s">
        <v>2</v>
      </c>
      <c r="AC3737" t="s">
        <v>138</v>
      </c>
      <c r="AD3737" t="s">
        <v>129</v>
      </c>
      <c r="AE3737" s="97"/>
    </row>
    <row r="3738" spans="1:31" ht="14.4" customHeight="1" x14ac:dyDescent="0.3">
      <c r="A3738" t="s">
        <v>6272</v>
      </c>
      <c r="B3738" t="s">
        <v>3030</v>
      </c>
      <c r="C3738"/>
      <c r="D3738"/>
      <c r="E3738"/>
      <c r="F3738"/>
      <c r="G3738" t="s">
        <v>5944</v>
      </c>
      <c r="H3738" t="s">
        <v>132</v>
      </c>
      <c r="I3738" t="s">
        <v>2</v>
      </c>
      <c r="J3738" t="s">
        <v>5298</v>
      </c>
      <c r="K3738" t="s">
        <v>52</v>
      </c>
      <c r="L3738" t="s">
        <v>3024</v>
      </c>
      <c r="M3738" t="s">
        <v>134</v>
      </c>
      <c r="N3738" t="s">
        <v>135</v>
      </c>
      <c r="O3738"/>
      <c r="P3738"/>
      <c r="Q3738" t="s">
        <v>168</v>
      </c>
      <c r="R3738"/>
      <c r="S3738"/>
      <c r="T3738" t="s">
        <v>2165</v>
      </c>
      <c r="U3738" t="s">
        <v>137</v>
      </c>
      <c r="V3738" t="s">
        <v>423</v>
      </c>
      <c r="W3738" s="9">
        <v>46204.557506747682</v>
      </c>
      <c r="X3738" t="s">
        <v>112</v>
      </c>
      <c r="Y3738"/>
      <c r="Z3738"/>
      <c r="AA3738" t="s">
        <v>2163</v>
      </c>
      <c r="AB3738" t="s">
        <v>2</v>
      </c>
      <c r="AC3738" t="s">
        <v>24</v>
      </c>
      <c r="AD3738" t="s">
        <v>129</v>
      </c>
      <c r="AE3738" s="97"/>
    </row>
    <row r="3739" spans="1:31" ht="14.4" customHeight="1" x14ac:dyDescent="0.3">
      <c r="A3739" t="s">
        <v>6273</v>
      </c>
      <c r="B3739" t="s">
        <v>3032</v>
      </c>
      <c r="C3739"/>
      <c r="D3739"/>
      <c r="E3739"/>
      <c r="F3739"/>
      <c r="G3739" t="s">
        <v>5944</v>
      </c>
      <c r="H3739" t="s">
        <v>132</v>
      </c>
      <c r="I3739" t="s">
        <v>2</v>
      </c>
      <c r="J3739" t="s">
        <v>5298</v>
      </c>
      <c r="K3739" t="s">
        <v>52</v>
      </c>
      <c r="L3739" t="s">
        <v>3033</v>
      </c>
      <c r="M3739" t="s">
        <v>134</v>
      </c>
      <c r="N3739" t="s">
        <v>135</v>
      </c>
      <c r="O3739"/>
      <c r="P3739"/>
      <c r="Q3739" t="s">
        <v>168</v>
      </c>
      <c r="R3739"/>
      <c r="S3739"/>
      <c r="T3739" t="s">
        <v>2165</v>
      </c>
      <c r="U3739" t="s">
        <v>137</v>
      </c>
      <c r="V3739" t="s">
        <v>427</v>
      </c>
      <c r="W3739"/>
      <c r="X3739" t="s">
        <v>121</v>
      </c>
      <c r="Y3739"/>
      <c r="Z3739"/>
      <c r="AA3739" t="s">
        <v>2163</v>
      </c>
      <c r="AB3739" t="s">
        <v>2</v>
      </c>
      <c r="AC3739" t="s">
        <v>138</v>
      </c>
      <c r="AD3739" t="s">
        <v>130</v>
      </c>
      <c r="AE3739" s="97"/>
    </row>
    <row r="3740" spans="1:31" ht="14.4" customHeight="1" x14ac:dyDescent="0.3">
      <c r="A3740" t="s">
        <v>6274</v>
      </c>
      <c r="B3740" t="s">
        <v>3035</v>
      </c>
      <c r="C3740"/>
      <c r="D3740"/>
      <c r="E3740"/>
      <c r="F3740"/>
      <c r="G3740" t="s">
        <v>5944</v>
      </c>
      <c r="H3740" t="s">
        <v>132</v>
      </c>
      <c r="I3740" t="s">
        <v>2</v>
      </c>
      <c r="J3740" t="s">
        <v>5298</v>
      </c>
      <c r="K3740" t="s">
        <v>52</v>
      </c>
      <c r="L3740" t="s">
        <v>3033</v>
      </c>
      <c r="M3740" t="s">
        <v>134</v>
      </c>
      <c r="N3740" t="s">
        <v>135</v>
      </c>
      <c r="O3740"/>
      <c r="P3740"/>
      <c r="Q3740" t="s">
        <v>168</v>
      </c>
      <c r="R3740"/>
      <c r="S3740"/>
      <c r="T3740" t="s">
        <v>2165</v>
      </c>
      <c r="U3740" t="s">
        <v>137</v>
      </c>
      <c r="V3740" t="s">
        <v>427</v>
      </c>
      <c r="W3740" s="9">
        <v>46204.557795717592</v>
      </c>
      <c r="X3740" t="s">
        <v>121</v>
      </c>
      <c r="Y3740"/>
      <c r="Z3740"/>
      <c r="AA3740" t="s">
        <v>2163</v>
      </c>
      <c r="AB3740" t="s">
        <v>2</v>
      </c>
      <c r="AC3740" t="s">
        <v>24</v>
      </c>
      <c r="AD3740" t="s">
        <v>130</v>
      </c>
      <c r="AE3740" s="97"/>
    </row>
    <row r="3741" spans="1:31" ht="14.4" customHeight="1" x14ac:dyDescent="0.3">
      <c r="A3741" t="s">
        <v>6275</v>
      </c>
      <c r="B3741" t="s">
        <v>3037</v>
      </c>
      <c r="C3741"/>
      <c r="D3741"/>
      <c r="E3741"/>
      <c r="F3741"/>
      <c r="G3741" t="s">
        <v>5944</v>
      </c>
      <c r="H3741" t="s">
        <v>132</v>
      </c>
      <c r="I3741" t="s">
        <v>2</v>
      </c>
      <c r="J3741" t="s">
        <v>5298</v>
      </c>
      <c r="K3741" t="s">
        <v>52</v>
      </c>
      <c r="L3741" t="s">
        <v>3033</v>
      </c>
      <c r="M3741" t="s">
        <v>134</v>
      </c>
      <c r="N3741" t="s">
        <v>135</v>
      </c>
      <c r="O3741"/>
      <c r="P3741"/>
      <c r="Q3741" t="s">
        <v>168</v>
      </c>
      <c r="R3741"/>
      <c r="S3741"/>
      <c r="T3741" t="s">
        <v>2165</v>
      </c>
      <c r="U3741" t="s">
        <v>137</v>
      </c>
      <c r="V3741" t="s">
        <v>427</v>
      </c>
      <c r="W3741"/>
      <c r="X3741" t="s">
        <v>121</v>
      </c>
      <c r="Y3741"/>
      <c r="Z3741"/>
      <c r="AA3741" t="s">
        <v>2163</v>
      </c>
      <c r="AB3741" t="s">
        <v>2</v>
      </c>
      <c r="AC3741" t="s">
        <v>138</v>
      </c>
      <c r="AD3741" t="s">
        <v>130</v>
      </c>
      <c r="AE3741" s="97"/>
    </row>
    <row r="3742" spans="1:31" ht="14.4" customHeight="1" x14ac:dyDescent="0.3">
      <c r="A3742" t="s">
        <v>6276</v>
      </c>
      <c r="B3742" t="s">
        <v>3039</v>
      </c>
      <c r="C3742"/>
      <c r="D3742"/>
      <c r="E3742"/>
      <c r="F3742"/>
      <c r="G3742" t="s">
        <v>5944</v>
      </c>
      <c r="H3742" t="s">
        <v>132</v>
      </c>
      <c r="I3742" t="s">
        <v>2</v>
      </c>
      <c r="J3742" t="s">
        <v>5298</v>
      </c>
      <c r="K3742" t="s">
        <v>52</v>
      </c>
      <c r="L3742" t="s">
        <v>3033</v>
      </c>
      <c r="M3742" t="s">
        <v>134</v>
      </c>
      <c r="N3742" t="s">
        <v>135</v>
      </c>
      <c r="O3742"/>
      <c r="P3742"/>
      <c r="Q3742" t="s">
        <v>168</v>
      </c>
      <c r="R3742"/>
      <c r="S3742"/>
      <c r="T3742" t="s">
        <v>2165</v>
      </c>
      <c r="U3742" t="s">
        <v>137</v>
      </c>
      <c r="V3742" t="s">
        <v>427</v>
      </c>
      <c r="W3742" s="9">
        <v>46204.558110069447</v>
      </c>
      <c r="X3742" t="s">
        <v>121</v>
      </c>
      <c r="Y3742"/>
      <c r="Z3742"/>
      <c r="AA3742" t="s">
        <v>2163</v>
      </c>
      <c r="AB3742" t="s">
        <v>2</v>
      </c>
      <c r="AC3742" t="s">
        <v>24</v>
      </c>
      <c r="AD3742" t="s">
        <v>130</v>
      </c>
      <c r="AE3742" s="97"/>
    </row>
    <row r="3743" spans="1:31" ht="14.4" customHeight="1" x14ac:dyDescent="0.3">
      <c r="A3743" t="s">
        <v>6277</v>
      </c>
      <c r="B3743" t="s">
        <v>3041</v>
      </c>
      <c r="C3743"/>
      <c r="D3743"/>
      <c r="E3743"/>
      <c r="F3743"/>
      <c r="G3743" t="s">
        <v>5944</v>
      </c>
      <c r="H3743" t="s">
        <v>132</v>
      </c>
      <c r="I3743" t="s">
        <v>2</v>
      </c>
      <c r="J3743" t="s">
        <v>5298</v>
      </c>
      <c r="K3743" t="s">
        <v>52</v>
      </c>
      <c r="L3743" t="s">
        <v>3042</v>
      </c>
      <c r="M3743" t="s">
        <v>134</v>
      </c>
      <c r="N3743" t="s">
        <v>135</v>
      </c>
      <c r="O3743"/>
      <c r="P3743"/>
      <c r="Q3743" t="s">
        <v>168</v>
      </c>
      <c r="R3743"/>
      <c r="S3743"/>
      <c r="T3743" t="s">
        <v>2165</v>
      </c>
      <c r="U3743" t="s">
        <v>137</v>
      </c>
      <c r="V3743" t="s">
        <v>296</v>
      </c>
      <c r="W3743"/>
      <c r="X3743" t="s">
        <v>63</v>
      </c>
      <c r="Y3743"/>
      <c r="Z3743"/>
      <c r="AA3743" t="s">
        <v>2163</v>
      </c>
      <c r="AB3743" t="s">
        <v>2</v>
      </c>
      <c r="AC3743" t="s">
        <v>138</v>
      </c>
      <c r="AD3743" t="s">
        <v>128</v>
      </c>
      <c r="AE3743" s="97"/>
    </row>
    <row r="3744" spans="1:31" ht="14.4" customHeight="1" x14ac:dyDescent="0.3">
      <c r="A3744" t="s">
        <v>6278</v>
      </c>
      <c r="B3744" t="s">
        <v>3044</v>
      </c>
      <c r="C3744"/>
      <c r="D3744"/>
      <c r="E3744"/>
      <c r="F3744"/>
      <c r="G3744" t="s">
        <v>5944</v>
      </c>
      <c r="H3744" t="s">
        <v>132</v>
      </c>
      <c r="I3744" t="s">
        <v>2</v>
      </c>
      <c r="J3744" t="s">
        <v>5298</v>
      </c>
      <c r="K3744" t="s">
        <v>52</v>
      </c>
      <c r="L3744" t="s">
        <v>3042</v>
      </c>
      <c r="M3744" t="s">
        <v>134</v>
      </c>
      <c r="N3744" t="s">
        <v>135</v>
      </c>
      <c r="O3744"/>
      <c r="P3744"/>
      <c r="Q3744" t="s">
        <v>168</v>
      </c>
      <c r="R3744"/>
      <c r="S3744"/>
      <c r="T3744" t="s">
        <v>2165</v>
      </c>
      <c r="U3744" t="s">
        <v>137</v>
      </c>
      <c r="V3744" t="s">
        <v>296</v>
      </c>
      <c r="W3744"/>
      <c r="X3744" t="s">
        <v>63</v>
      </c>
      <c r="Y3744"/>
      <c r="Z3744"/>
      <c r="AA3744" t="s">
        <v>2163</v>
      </c>
      <c r="AB3744" t="s">
        <v>2</v>
      </c>
      <c r="AC3744" t="s">
        <v>138</v>
      </c>
      <c r="AD3744" t="s">
        <v>128</v>
      </c>
      <c r="AE3744" s="97"/>
    </row>
    <row r="3745" spans="1:31" ht="14.4" customHeight="1" x14ac:dyDescent="0.3">
      <c r="A3745" t="s">
        <v>6279</v>
      </c>
      <c r="B3745" t="s">
        <v>3046</v>
      </c>
      <c r="C3745"/>
      <c r="D3745"/>
      <c r="E3745"/>
      <c r="F3745"/>
      <c r="G3745" t="s">
        <v>5944</v>
      </c>
      <c r="H3745" t="s">
        <v>132</v>
      </c>
      <c r="I3745" t="s">
        <v>2</v>
      </c>
      <c r="J3745" t="s">
        <v>5298</v>
      </c>
      <c r="K3745" t="s">
        <v>52</v>
      </c>
      <c r="L3745" t="s">
        <v>3042</v>
      </c>
      <c r="M3745" t="s">
        <v>134</v>
      </c>
      <c r="N3745" t="s">
        <v>135</v>
      </c>
      <c r="O3745"/>
      <c r="P3745"/>
      <c r="Q3745" t="s">
        <v>168</v>
      </c>
      <c r="R3745"/>
      <c r="S3745"/>
      <c r="T3745" t="s">
        <v>2165</v>
      </c>
      <c r="U3745" t="s">
        <v>137</v>
      </c>
      <c r="V3745" t="s">
        <v>296</v>
      </c>
      <c r="W3745"/>
      <c r="X3745" t="s">
        <v>63</v>
      </c>
      <c r="Y3745"/>
      <c r="Z3745"/>
      <c r="AA3745" t="s">
        <v>2163</v>
      </c>
      <c r="AB3745" t="s">
        <v>2</v>
      </c>
      <c r="AC3745" t="s">
        <v>138</v>
      </c>
      <c r="AD3745" t="s">
        <v>128</v>
      </c>
      <c r="AE3745" s="97"/>
    </row>
    <row r="3746" spans="1:31" ht="14.4" customHeight="1" x14ac:dyDescent="0.3">
      <c r="A3746" t="s">
        <v>6280</v>
      </c>
      <c r="B3746" t="s">
        <v>3048</v>
      </c>
      <c r="C3746"/>
      <c r="D3746"/>
      <c r="E3746"/>
      <c r="F3746"/>
      <c r="G3746" t="s">
        <v>5944</v>
      </c>
      <c r="H3746" t="s">
        <v>132</v>
      </c>
      <c r="I3746" t="s">
        <v>2</v>
      </c>
      <c r="J3746" t="s">
        <v>5298</v>
      </c>
      <c r="K3746" t="s">
        <v>52</v>
      </c>
      <c r="L3746" t="s">
        <v>3042</v>
      </c>
      <c r="M3746" t="s">
        <v>134</v>
      </c>
      <c r="N3746" t="s">
        <v>135</v>
      </c>
      <c r="O3746"/>
      <c r="P3746"/>
      <c r="Q3746" t="s">
        <v>168</v>
      </c>
      <c r="R3746"/>
      <c r="S3746"/>
      <c r="T3746" t="s">
        <v>2165</v>
      </c>
      <c r="U3746" t="s">
        <v>137</v>
      </c>
      <c r="V3746" t="s">
        <v>296</v>
      </c>
      <c r="W3746"/>
      <c r="X3746" t="s">
        <v>63</v>
      </c>
      <c r="Y3746"/>
      <c r="Z3746"/>
      <c r="AA3746" t="s">
        <v>2163</v>
      </c>
      <c r="AB3746" t="s">
        <v>2</v>
      </c>
      <c r="AC3746" t="s">
        <v>138</v>
      </c>
      <c r="AD3746" t="s">
        <v>128</v>
      </c>
      <c r="AE3746" s="97"/>
    </row>
    <row r="3747" spans="1:31" ht="14.4" customHeight="1" x14ac:dyDescent="0.3">
      <c r="A3747" t="s">
        <v>6281</v>
      </c>
      <c r="B3747" t="s">
        <v>3050</v>
      </c>
      <c r="C3747"/>
      <c r="D3747"/>
      <c r="E3747"/>
      <c r="F3747"/>
      <c r="G3747" t="s">
        <v>5944</v>
      </c>
      <c r="H3747" t="s">
        <v>132</v>
      </c>
      <c r="I3747" t="s">
        <v>2</v>
      </c>
      <c r="J3747" t="s">
        <v>5298</v>
      </c>
      <c r="K3747" t="s">
        <v>52</v>
      </c>
      <c r="L3747" t="s">
        <v>3042</v>
      </c>
      <c r="M3747" t="s">
        <v>134</v>
      </c>
      <c r="N3747" t="s">
        <v>135</v>
      </c>
      <c r="O3747"/>
      <c r="P3747"/>
      <c r="Q3747" t="s">
        <v>168</v>
      </c>
      <c r="R3747"/>
      <c r="S3747"/>
      <c r="T3747" t="s">
        <v>2165</v>
      </c>
      <c r="U3747" t="s">
        <v>137</v>
      </c>
      <c r="V3747" t="s">
        <v>296</v>
      </c>
      <c r="W3747"/>
      <c r="X3747" t="s">
        <v>63</v>
      </c>
      <c r="Y3747"/>
      <c r="Z3747"/>
      <c r="AA3747" t="s">
        <v>2163</v>
      </c>
      <c r="AB3747" t="s">
        <v>2</v>
      </c>
      <c r="AC3747" t="s">
        <v>138</v>
      </c>
      <c r="AD3747" t="s">
        <v>128</v>
      </c>
      <c r="AE3747" s="97"/>
    </row>
    <row r="3748" spans="1:31" ht="14.4" customHeight="1" x14ac:dyDescent="0.3">
      <c r="A3748" t="s">
        <v>6282</v>
      </c>
      <c r="B3748" t="s">
        <v>3052</v>
      </c>
      <c r="C3748"/>
      <c r="D3748"/>
      <c r="E3748"/>
      <c r="F3748"/>
      <c r="G3748" t="s">
        <v>5944</v>
      </c>
      <c r="H3748" t="s">
        <v>132</v>
      </c>
      <c r="I3748" t="s">
        <v>2</v>
      </c>
      <c r="J3748" t="s">
        <v>5298</v>
      </c>
      <c r="K3748" t="s">
        <v>52</v>
      </c>
      <c r="L3748" t="s">
        <v>3042</v>
      </c>
      <c r="M3748" t="s">
        <v>134</v>
      </c>
      <c r="N3748" t="s">
        <v>135</v>
      </c>
      <c r="O3748"/>
      <c r="P3748"/>
      <c r="Q3748" t="s">
        <v>168</v>
      </c>
      <c r="R3748"/>
      <c r="S3748"/>
      <c r="T3748" t="s">
        <v>2165</v>
      </c>
      <c r="U3748" t="s">
        <v>137</v>
      </c>
      <c r="V3748" t="s">
        <v>296</v>
      </c>
      <c r="W3748"/>
      <c r="X3748" t="s">
        <v>63</v>
      </c>
      <c r="Y3748"/>
      <c r="Z3748"/>
      <c r="AA3748" t="s">
        <v>2163</v>
      </c>
      <c r="AB3748" t="s">
        <v>2</v>
      </c>
      <c r="AC3748" t="s">
        <v>138</v>
      </c>
      <c r="AD3748" t="s">
        <v>128</v>
      </c>
      <c r="AE3748" s="97"/>
    </row>
    <row r="3749" spans="1:31" ht="14.4" customHeight="1" x14ac:dyDescent="0.3">
      <c r="A3749" t="s">
        <v>6283</v>
      </c>
      <c r="B3749" t="s">
        <v>3054</v>
      </c>
      <c r="C3749"/>
      <c r="D3749"/>
      <c r="E3749"/>
      <c r="F3749"/>
      <c r="G3749" t="s">
        <v>5944</v>
      </c>
      <c r="H3749" t="s">
        <v>132</v>
      </c>
      <c r="I3749" t="s">
        <v>2</v>
      </c>
      <c r="J3749" t="s">
        <v>5298</v>
      </c>
      <c r="K3749" t="s">
        <v>52</v>
      </c>
      <c r="L3749" t="s">
        <v>3055</v>
      </c>
      <c r="M3749" t="s">
        <v>134</v>
      </c>
      <c r="N3749" t="s">
        <v>135</v>
      </c>
      <c r="O3749"/>
      <c r="P3749"/>
      <c r="Q3749" t="s">
        <v>168</v>
      </c>
      <c r="R3749"/>
      <c r="S3749"/>
      <c r="T3749" t="s">
        <v>2165</v>
      </c>
      <c r="U3749" t="s">
        <v>137</v>
      </c>
      <c r="V3749" t="s">
        <v>300</v>
      </c>
      <c r="W3749"/>
      <c r="X3749" t="s">
        <v>72</v>
      </c>
      <c r="Y3749"/>
      <c r="Z3749"/>
      <c r="AA3749" t="s">
        <v>2163</v>
      </c>
      <c r="AB3749" t="s">
        <v>2</v>
      </c>
      <c r="AC3749" t="s">
        <v>138</v>
      </c>
      <c r="AD3749" t="s">
        <v>128</v>
      </c>
      <c r="AE3749" s="97"/>
    </row>
    <row r="3750" spans="1:31" ht="14.4" customHeight="1" x14ac:dyDescent="0.3">
      <c r="A3750" t="s">
        <v>6284</v>
      </c>
      <c r="B3750" t="s">
        <v>3057</v>
      </c>
      <c r="C3750"/>
      <c r="D3750"/>
      <c r="E3750"/>
      <c r="F3750"/>
      <c r="G3750" t="s">
        <v>5944</v>
      </c>
      <c r="H3750" t="s">
        <v>132</v>
      </c>
      <c r="I3750" t="s">
        <v>2</v>
      </c>
      <c r="J3750" t="s">
        <v>5298</v>
      </c>
      <c r="K3750" t="s">
        <v>52</v>
      </c>
      <c r="L3750" t="s">
        <v>3055</v>
      </c>
      <c r="M3750" t="s">
        <v>134</v>
      </c>
      <c r="N3750" t="s">
        <v>135</v>
      </c>
      <c r="O3750"/>
      <c r="P3750"/>
      <c r="Q3750" t="s">
        <v>168</v>
      </c>
      <c r="R3750"/>
      <c r="S3750"/>
      <c r="T3750" t="s">
        <v>2165</v>
      </c>
      <c r="U3750" t="s">
        <v>137</v>
      </c>
      <c r="V3750" t="s">
        <v>300</v>
      </c>
      <c r="W3750"/>
      <c r="X3750" t="s">
        <v>72</v>
      </c>
      <c r="Y3750"/>
      <c r="Z3750"/>
      <c r="AA3750" t="s">
        <v>2163</v>
      </c>
      <c r="AB3750" t="s">
        <v>2</v>
      </c>
      <c r="AC3750" t="s">
        <v>138</v>
      </c>
      <c r="AD3750" t="s">
        <v>128</v>
      </c>
      <c r="AE3750" s="97"/>
    </row>
    <row r="3751" spans="1:31" ht="14.4" customHeight="1" x14ac:dyDescent="0.3">
      <c r="A3751" t="s">
        <v>6285</v>
      </c>
      <c r="B3751" t="s">
        <v>3059</v>
      </c>
      <c r="C3751"/>
      <c r="D3751"/>
      <c r="E3751"/>
      <c r="F3751"/>
      <c r="G3751" t="s">
        <v>5944</v>
      </c>
      <c r="H3751" t="s">
        <v>132</v>
      </c>
      <c r="I3751" t="s">
        <v>2</v>
      </c>
      <c r="J3751" t="s">
        <v>5298</v>
      </c>
      <c r="K3751" t="s">
        <v>52</v>
      </c>
      <c r="L3751" t="s">
        <v>3055</v>
      </c>
      <c r="M3751" t="s">
        <v>134</v>
      </c>
      <c r="N3751" t="s">
        <v>135</v>
      </c>
      <c r="O3751"/>
      <c r="P3751"/>
      <c r="Q3751" t="s">
        <v>168</v>
      </c>
      <c r="R3751"/>
      <c r="S3751"/>
      <c r="T3751" t="s">
        <v>2165</v>
      </c>
      <c r="U3751" t="s">
        <v>137</v>
      </c>
      <c r="V3751" t="s">
        <v>300</v>
      </c>
      <c r="W3751"/>
      <c r="X3751" t="s">
        <v>72</v>
      </c>
      <c r="Y3751"/>
      <c r="Z3751"/>
      <c r="AA3751" t="s">
        <v>2163</v>
      </c>
      <c r="AB3751" t="s">
        <v>2</v>
      </c>
      <c r="AC3751" t="s">
        <v>138</v>
      </c>
      <c r="AD3751" t="s">
        <v>128</v>
      </c>
      <c r="AE3751" s="97"/>
    </row>
    <row r="3752" spans="1:31" ht="14.4" customHeight="1" x14ac:dyDescent="0.3">
      <c r="A3752" t="s">
        <v>6286</v>
      </c>
      <c r="B3752" t="s">
        <v>3061</v>
      </c>
      <c r="C3752"/>
      <c r="D3752"/>
      <c r="E3752"/>
      <c r="F3752"/>
      <c r="G3752" t="s">
        <v>5944</v>
      </c>
      <c r="H3752" t="s">
        <v>132</v>
      </c>
      <c r="I3752" t="s">
        <v>2</v>
      </c>
      <c r="J3752" t="s">
        <v>5298</v>
      </c>
      <c r="K3752" t="s">
        <v>52</v>
      </c>
      <c r="L3752" t="s">
        <v>3055</v>
      </c>
      <c r="M3752" t="s">
        <v>134</v>
      </c>
      <c r="N3752" t="s">
        <v>135</v>
      </c>
      <c r="O3752"/>
      <c r="P3752"/>
      <c r="Q3752" t="s">
        <v>168</v>
      </c>
      <c r="R3752"/>
      <c r="S3752"/>
      <c r="T3752" t="s">
        <v>2165</v>
      </c>
      <c r="U3752" t="s">
        <v>137</v>
      </c>
      <c r="V3752" t="s">
        <v>300</v>
      </c>
      <c r="W3752"/>
      <c r="X3752" t="s">
        <v>72</v>
      </c>
      <c r="Y3752"/>
      <c r="Z3752"/>
      <c r="AA3752" t="s">
        <v>2163</v>
      </c>
      <c r="AB3752" t="s">
        <v>2</v>
      </c>
      <c r="AC3752" t="s">
        <v>138</v>
      </c>
      <c r="AD3752" t="s">
        <v>128</v>
      </c>
      <c r="AE3752" s="97"/>
    </row>
    <row r="3753" spans="1:31" ht="14.4" customHeight="1" x14ac:dyDescent="0.3">
      <c r="A3753" t="s">
        <v>6287</v>
      </c>
      <c r="B3753" t="s">
        <v>3063</v>
      </c>
      <c r="C3753"/>
      <c r="D3753"/>
      <c r="E3753"/>
      <c r="F3753"/>
      <c r="G3753" t="s">
        <v>5944</v>
      </c>
      <c r="H3753" t="s">
        <v>132</v>
      </c>
      <c r="I3753" t="s">
        <v>2</v>
      </c>
      <c r="J3753" t="s">
        <v>5298</v>
      </c>
      <c r="K3753" t="s">
        <v>52</v>
      </c>
      <c r="L3753" t="s">
        <v>3055</v>
      </c>
      <c r="M3753" t="s">
        <v>134</v>
      </c>
      <c r="N3753" t="s">
        <v>135</v>
      </c>
      <c r="O3753"/>
      <c r="P3753"/>
      <c r="Q3753" t="s">
        <v>168</v>
      </c>
      <c r="R3753"/>
      <c r="S3753"/>
      <c r="T3753" t="s">
        <v>2165</v>
      </c>
      <c r="U3753" t="s">
        <v>137</v>
      </c>
      <c r="V3753" t="s">
        <v>300</v>
      </c>
      <c r="W3753"/>
      <c r="X3753" t="s">
        <v>72</v>
      </c>
      <c r="Y3753"/>
      <c r="Z3753"/>
      <c r="AA3753" t="s">
        <v>2163</v>
      </c>
      <c r="AB3753" t="s">
        <v>2</v>
      </c>
      <c r="AC3753" t="s">
        <v>138</v>
      </c>
      <c r="AD3753" t="s">
        <v>128</v>
      </c>
      <c r="AE3753" s="97"/>
    </row>
    <row r="3754" spans="1:31" ht="14.4" customHeight="1" x14ac:dyDescent="0.3">
      <c r="A3754" t="s">
        <v>6288</v>
      </c>
      <c r="B3754" t="s">
        <v>3065</v>
      </c>
      <c r="C3754"/>
      <c r="D3754"/>
      <c r="E3754"/>
      <c r="F3754"/>
      <c r="G3754" t="s">
        <v>5944</v>
      </c>
      <c r="H3754" t="s">
        <v>132</v>
      </c>
      <c r="I3754" t="s">
        <v>2</v>
      </c>
      <c r="J3754" t="s">
        <v>5298</v>
      </c>
      <c r="K3754" t="s">
        <v>52</v>
      </c>
      <c r="L3754" t="s">
        <v>3055</v>
      </c>
      <c r="M3754" t="s">
        <v>134</v>
      </c>
      <c r="N3754" t="s">
        <v>135</v>
      </c>
      <c r="O3754"/>
      <c r="P3754"/>
      <c r="Q3754" t="s">
        <v>168</v>
      </c>
      <c r="R3754"/>
      <c r="S3754"/>
      <c r="T3754" t="s">
        <v>2165</v>
      </c>
      <c r="U3754" t="s">
        <v>137</v>
      </c>
      <c r="V3754" t="s">
        <v>300</v>
      </c>
      <c r="W3754"/>
      <c r="X3754" t="s">
        <v>72</v>
      </c>
      <c r="Y3754"/>
      <c r="Z3754"/>
      <c r="AA3754" t="s">
        <v>2163</v>
      </c>
      <c r="AB3754" t="s">
        <v>2</v>
      </c>
      <c r="AC3754" t="s">
        <v>138</v>
      </c>
      <c r="AD3754" t="s">
        <v>128</v>
      </c>
      <c r="AE3754" s="97"/>
    </row>
    <row r="3755" spans="1:31" ht="14.4" customHeight="1" x14ac:dyDescent="0.3">
      <c r="A3755" t="s">
        <v>6289</v>
      </c>
      <c r="B3755" t="s">
        <v>3067</v>
      </c>
      <c r="C3755"/>
      <c r="D3755"/>
      <c r="E3755"/>
      <c r="F3755"/>
      <c r="G3755" t="s">
        <v>5944</v>
      </c>
      <c r="H3755" t="s">
        <v>132</v>
      </c>
      <c r="I3755" t="s">
        <v>2</v>
      </c>
      <c r="J3755" t="s">
        <v>5298</v>
      </c>
      <c r="K3755" t="s">
        <v>52</v>
      </c>
      <c r="L3755" t="s">
        <v>3068</v>
      </c>
      <c r="M3755" t="s">
        <v>134</v>
      </c>
      <c r="N3755" t="s">
        <v>135</v>
      </c>
      <c r="O3755"/>
      <c r="P3755"/>
      <c r="Q3755" t="s">
        <v>168</v>
      </c>
      <c r="R3755"/>
      <c r="S3755"/>
      <c r="T3755" t="s">
        <v>2165</v>
      </c>
      <c r="U3755" t="s">
        <v>137</v>
      </c>
      <c r="V3755" t="s">
        <v>304</v>
      </c>
      <c r="W3755"/>
      <c r="X3755" t="s">
        <v>81</v>
      </c>
      <c r="Y3755"/>
      <c r="Z3755"/>
      <c r="AA3755" t="s">
        <v>2163</v>
      </c>
      <c r="AB3755" t="s">
        <v>2</v>
      </c>
      <c r="AC3755" t="s">
        <v>138</v>
      </c>
      <c r="AD3755" t="s">
        <v>129</v>
      </c>
      <c r="AE3755" s="97"/>
    </row>
    <row r="3756" spans="1:31" ht="14.4" customHeight="1" x14ac:dyDescent="0.3">
      <c r="A3756" t="s">
        <v>6290</v>
      </c>
      <c r="B3756" t="s">
        <v>3070</v>
      </c>
      <c r="C3756"/>
      <c r="D3756"/>
      <c r="E3756"/>
      <c r="F3756"/>
      <c r="G3756" t="s">
        <v>5944</v>
      </c>
      <c r="H3756" t="s">
        <v>132</v>
      </c>
      <c r="I3756" t="s">
        <v>2</v>
      </c>
      <c r="J3756" t="s">
        <v>5298</v>
      </c>
      <c r="K3756" t="s">
        <v>52</v>
      </c>
      <c r="L3756" t="s">
        <v>3068</v>
      </c>
      <c r="M3756" t="s">
        <v>134</v>
      </c>
      <c r="N3756" t="s">
        <v>135</v>
      </c>
      <c r="O3756"/>
      <c r="P3756"/>
      <c r="Q3756" t="s">
        <v>168</v>
      </c>
      <c r="R3756"/>
      <c r="S3756"/>
      <c r="T3756" t="s">
        <v>2165</v>
      </c>
      <c r="U3756" t="s">
        <v>137</v>
      </c>
      <c r="V3756" t="s">
        <v>304</v>
      </c>
      <c r="W3756"/>
      <c r="X3756" t="s">
        <v>81</v>
      </c>
      <c r="Y3756"/>
      <c r="Z3756"/>
      <c r="AA3756" t="s">
        <v>2163</v>
      </c>
      <c r="AB3756" t="s">
        <v>2</v>
      </c>
      <c r="AC3756" t="s">
        <v>138</v>
      </c>
      <c r="AD3756" t="s">
        <v>129</v>
      </c>
      <c r="AE3756" s="97"/>
    </row>
    <row r="3757" spans="1:31" ht="14.4" customHeight="1" x14ac:dyDescent="0.3">
      <c r="A3757" t="s">
        <v>6291</v>
      </c>
      <c r="B3757" t="s">
        <v>3072</v>
      </c>
      <c r="C3757"/>
      <c r="D3757"/>
      <c r="E3757"/>
      <c r="F3757"/>
      <c r="G3757" t="s">
        <v>5944</v>
      </c>
      <c r="H3757" t="s">
        <v>132</v>
      </c>
      <c r="I3757" t="s">
        <v>2</v>
      </c>
      <c r="J3757" t="s">
        <v>5298</v>
      </c>
      <c r="K3757" t="s">
        <v>52</v>
      </c>
      <c r="L3757" t="s">
        <v>3068</v>
      </c>
      <c r="M3757" t="s">
        <v>134</v>
      </c>
      <c r="N3757" t="s">
        <v>135</v>
      </c>
      <c r="O3757"/>
      <c r="P3757"/>
      <c r="Q3757" t="s">
        <v>168</v>
      </c>
      <c r="R3757"/>
      <c r="S3757"/>
      <c r="T3757" t="s">
        <v>2165</v>
      </c>
      <c r="U3757" t="s">
        <v>137</v>
      </c>
      <c r="V3757" t="s">
        <v>304</v>
      </c>
      <c r="W3757"/>
      <c r="X3757" t="s">
        <v>81</v>
      </c>
      <c r="Y3757"/>
      <c r="Z3757"/>
      <c r="AA3757" t="s">
        <v>2163</v>
      </c>
      <c r="AB3757" t="s">
        <v>2</v>
      </c>
      <c r="AC3757" t="s">
        <v>138</v>
      </c>
      <c r="AD3757" t="s">
        <v>129</v>
      </c>
      <c r="AE3757" s="97"/>
    </row>
    <row r="3758" spans="1:31" ht="14.4" customHeight="1" x14ac:dyDescent="0.3">
      <c r="A3758" t="s">
        <v>6292</v>
      </c>
      <c r="B3758" t="s">
        <v>3074</v>
      </c>
      <c r="C3758"/>
      <c r="D3758"/>
      <c r="E3758"/>
      <c r="F3758"/>
      <c r="G3758" t="s">
        <v>5944</v>
      </c>
      <c r="H3758" t="s">
        <v>132</v>
      </c>
      <c r="I3758" t="s">
        <v>2</v>
      </c>
      <c r="J3758" t="s">
        <v>5298</v>
      </c>
      <c r="K3758" t="s">
        <v>52</v>
      </c>
      <c r="L3758" t="s">
        <v>3068</v>
      </c>
      <c r="M3758" t="s">
        <v>134</v>
      </c>
      <c r="N3758" t="s">
        <v>135</v>
      </c>
      <c r="O3758"/>
      <c r="P3758"/>
      <c r="Q3758" t="s">
        <v>168</v>
      </c>
      <c r="R3758"/>
      <c r="S3758"/>
      <c r="T3758" t="s">
        <v>2165</v>
      </c>
      <c r="U3758" t="s">
        <v>137</v>
      </c>
      <c r="V3758" t="s">
        <v>304</v>
      </c>
      <c r="W3758"/>
      <c r="X3758" t="s">
        <v>81</v>
      </c>
      <c r="Y3758"/>
      <c r="Z3758"/>
      <c r="AA3758" t="s">
        <v>2163</v>
      </c>
      <c r="AB3758" t="s">
        <v>2</v>
      </c>
      <c r="AC3758" t="s">
        <v>138</v>
      </c>
      <c r="AD3758" t="s">
        <v>129</v>
      </c>
      <c r="AE3758" s="97"/>
    </row>
    <row r="3759" spans="1:31" ht="14.4" customHeight="1" x14ac:dyDescent="0.3">
      <c r="A3759" t="s">
        <v>6293</v>
      </c>
      <c r="B3759" t="s">
        <v>3076</v>
      </c>
      <c r="C3759"/>
      <c r="D3759"/>
      <c r="E3759"/>
      <c r="F3759"/>
      <c r="G3759" t="s">
        <v>5944</v>
      </c>
      <c r="H3759" t="s">
        <v>132</v>
      </c>
      <c r="I3759" t="s">
        <v>2</v>
      </c>
      <c r="J3759" t="s">
        <v>5298</v>
      </c>
      <c r="K3759" t="s">
        <v>52</v>
      </c>
      <c r="L3759" t="s">
        <v>3068</v>
      </c>
      <c r="M3759" t="s">
        <v>134</v>
      </c>
      <c r="N3759" t="s">
        <v>135</v>
      </c>
      <c r="O3759"/>
      <c r="P3759"/>
      <c r="Q3759" t="s">
        <v>168</v>
      </c>
      <c r="R3759"/>
      <c r="S3759"/>
      <c r="T3759" t="s">
        <v>2165</v>
      </c>
      <c r="U3759" t="s">
        <v>137</v>
      </c>
      <c r="V3759" t="s">
        <v>304</v>
      </c>
      <c r="W3759"/>
      <c r="X3759" t="s">
        <v>81</v>
      </c>
      <c r="Y3759"/>
      <c r="Z3759"/>
      <c r="AA3759" t="s">
        <v>2163</v>
      </c>
      <c r="AB3759" t="s">
        <v>2</v>
      </c>
      <c r="AC3759" t="s">
        <v>138</v>
      </c>
      <c r="AD3759" t="s">
        <v>129</v>
      </c>
      <c r="AE3759" s="97"/>
    </row>
    <row r="3760" spans="1:31" ht="14.4" customHeight="1" x14ac:dyDescent="0.3">
      <c r="A3760" t="s">
        <v>6294</v>
      </c>
      <c r="B3760" t="s">
        <v>3078</v>
      </c>
      <c r="C3760"/>
      <c r="D3760"/>
      <c r="E3760"/>
      <c r="F3760"/>
      <c r="G3760" t="s">
        <v>5944</v>
      </c>
      <c r="H3760" t="s">
        <v>132</v>
      </c>
      <c r="I3760" t="s">
        <v>2</v>
      </c>
      <c r="J3760" t="s">
        <v>5298</v>
      </c>
      <c r="K3760" t="s">
        <v>52</v>
      </c>
      <c r="L3760" t="s">
        <v>3068</v>
      </c>
      <c r="M3760" t="s">
        <v>134</v>
      </c>
      <c r="N3760" t="s">
        <v>135</v>
      </c>
      <c r="O3760"/>
      <c r="P3760"/>
      <c r="Q3760" t="s">
        <v>168</v>
      </c>
      <c r="R3760"/>
      <c r="S3760"/>
      <c r="T3760" t="s">
        <v>2165</v>
      </c>
      <c r="U3760" t="s">
        <v>137</v>
      </c>
      <c r="V3760" t="s">
        <v>304</v>
      </c>
      <c r="W3760"/>
      <c r="X3760" t="s">
        <v>81</v>
      </c>
      <c r="Y3760"/>
      <c r="Z3760"/>
      <c r="AA3760" t="s">
        <v>2163</v>
      </c>
      <c r="AB3760" t="s">
        <v>2</v>
      </c>
      <c r="AC3760" t="s">
        <v>138</v>
      </c>
      <c r="AD3760" t="s">
        <v>129</v>
      </c>
      <c r="AE3760" s="97"/>
    </row>
    <row r="3761" spans="1:31" ht="14.4" customHeight="1" x14ac:dyDescent="0.3">
      <c r="A3761" t="s">
        <v>6295</v>
      </c>
      <c r="B3761" t="s">
        <v>3080</v>
      </c>
      <c r="C3761"/>
      <c r="D3761"/>
      <c r="E3761"/>
      <c r="F3761"/>
      <c r="G3761" t="s">
        <v>5944</v>
      </c>
      <c r="H3761" t="s">
        <v>132</v>
      </c>
      <c r="I3761" t="s">
        <v>2</v>
      </c>
      <c r="J3761" t="s">
        <v>5298</v>
      </c>
      <c r="K3761" t="s">
        <v>52</v>
      </c>
      <c r="L3761" t="s">
        <v>3081</v>
      </c>
      <c r="M3761" t="s">
        <v>134</v>
      </c>
      <c r="N3761" t="s">
        <v>135</v>
      </c>
      <c r="O3761"/>
      <c r="P3761"/>
      <c r="Q3761" t="s">
        <v>168</v>
      </c>
      <c r="R3761"/>
      <c r="S3761"/>
      <c r="T3761" t="s">
        <v>2165</v>
      </c>
      <c r="U3761" t="s">
        <v>137</v>
      </c>
      <c r="V3761" t="s">
        <v>308</v>
      </c>
      <c r="W3761"/>
      <c r="X3761" t="s">
        <v>90</v>
      </c>
      <c r="Y3761"/>
      <c r="Z3761"/>
      <c r="AA3761" t="s">
        <v>2163</v>
      </c>
      <c r="AB3761" t="s">
        <v>2</v>
      </c>
      <c r="AC3761" t="s">
        <v>138</v>
      </c>
      <c r="AD3761" t="s">
        <v>129</v>
      </c>
      <c r="AE3761" s="97"/>
    </row>
    <row r="3762" spans="1:31" ht="14.4" customHeight="1" x14ac:dyDescent="0.3">
      <c r="A3762" t="s">
        <v>6296</v>
      </c>
      <c r="B3762" t="s">
        <v>3083</v>
      </c>
      <c r="C3762"/>
      <c r="D3762"/>
      <c r="E3762"/>
      <c r="F3762"/>
      <c r="G3762" t="s">
        <v>5944</v>
      </c>
      <c r="H3762" t="s">
        <v>132</v>
      </c>
      <c r="I3762" t="s">
        <v>2</v>
      </c>
      <c r="J3762" t="s">
        <v>5298</v>
      </c>
      <c r="K3762" t="s">
        <v>52</v>
      </c>
      <c r="L3762" t="s">
        <v>3081</v>
      </c>
      <c r="M3762" t="s">
        <v>134</v>
      </c>
      <c r="N3762" t="s">
        <v>135</v>
      </c>
      <c r="O3762"/>
      <c r="P3762"/>
      <c r="Q3762" t="s">
        <v>168</v>
      </c>
      <c r="R3762"/>
      <c r="S3762"/>
      <c r="T3762" t="s">
        <v>2165</v>
      </c>
      <c r="U3762" t="s">
        <v>137</v>
      </c>
      <c r="V3762" t="s">
        <v>308</v>
      </c>
      <c r="W3762"/>
      <c r="X3762" t="s">
        <v>90</v>
      </c>
      <c r="Y3762"/>
      <c r="Z3762"/>
      <c r="AA3762" t="s">
        <v>2163</v>
      </c>
      <c r="AB3762" t="s">
        <v>2</v>
      </c>
      <c r="AC3762" t="s">
        <v>138</v>
      </c>
      <c r="AD3762" t="s">
        <v>129</v>
      </c>
      <c r="AE3762" s="97"/>
    </row>
    <row r="3763" spans="1:31" ht="14.4" customHeight="1" x14ac:dyDescent="0.3">
      <c r="A3763" t="s">
        <v>6297</v>
      </c>
      <c r="B3763" t="s">
        <v>3085</v>
      </c>
      <c r="C3763"/>
      <c r="D3763"/>
      <c r="E3763"/>
      <c r="F3763"/>
      <c r="G3763" t="s">
        <v>5944</v>
      </c>
      <c r="H3763" t="s">
        <v>132</v>
      </c>
      <c r="I3763" t="s">
        <v>2</v>
      </c>
      <c r="J3763" t="s">
        <v>5298</v>
      </c>
      <c r="K3763" t="s">
        <v>52</v>
      </c>
      <c r="L3763" t="s">
        <v>3081</v>
      </c>
      <c r="M3763" t="s">
        <v>134</v>
      </c>
      <c r="N3763" t="s">
        <v>135</v>
      </c>
      <c r="O3763"/>
      <c r="P3763"/>
      <c r="Q3763" t="s">
        <v>168</v>
      </c>
      <c r="R3763"/>
      <c r="S3763"/>
      <c r="T3763" t="s">
        <v>2165</v>
      </c>
      <c r="U3763" t="s">
        <v>137</v>
      </c>
      <c r="V3763" t="s">
        <v>308</v>
      </c>
      <c r="W3763"/>
      <c r="X3763" t="s">
        <v>90</v>
      </c>
      <c r="Y3763"/>
      <c r="Z3763"/>
      <c r="AA3763" t="s">
        <v>2163</v>
      </c>
      <c r="AB3763" t="s">
        <v>2</v>
      </c>
      <c r="AC3763" t="s">
        <v>138</v>
      </c>
      <c r="AD3763" t="s">
        <v>129</v>
      </c>
      <c r="AE3763" s="97"/>
    </row>
    <row r="3764" spans="1:31" ht="14.4" customHeight="1" x14ac:dyDescent="0.3">
      <c r="A3764" t="s">
        <v>6298</v>
      </c>
      <c r="B3764" t="s">
        <v>3087</v>
      </c>
      <c r="C3764"/>
      <c r="D3764"/>
      <c r="E3764"/>
      <c r="F3764"/>
      <c r="G3764" t="s">
        <v>5944</v>
      </c>
      <c r="H3764" t="s">
        <v>132</v>
      </c>
      <c r="I3764" t="s">
        <v>2</v>
      </c>
      <c r="J3764" t="s">
        <v>5298</v>
      </c>
      <c r="K3764" t="s">
        <v>52</v>
      </c>
      <c r="L3764" t="s">
        <v>3081</v>
      </c>
      <c r="M3764" t="s">
        <v>134</v>
      </c>
      <c r="N3764" t="s">
        <v>135</v>
      </c>
      <c r="O3764"/>
      <c r="P3764"/>
      <c r="Q3764" t="s">
        <v>168</v>
      </c>
      <c r="R3764"/>
      <c r="S3764"/>
      <c r="T3764" t="s">
        <v>2165</v>
      </c>
      <c r="U3764" t="s">
        <v>137</v>
      </c>
      <c r="V3764" t="s">
        <v>308</v>
      </c>
      <c r="W3764"/>
      <c r="X3764" t="s">
        <v>90</v>
      </c>
      <c r="Y3764"/>
      <c r="Z3764"/>
      <c r="AA3764" t="s">
        <v>2163</v>
      </c>
      <c r="AB3764" t="s">
        <v>2</v>
      </c>
      <c r="AC3764" t="s">
        <v>138</v>
      </c>
      <c r="AD3764" t="s">
        <v>129</v>
      </c>
      <c r="AE3764" s="97"/>
    </row>
    <row r="3765" spans="1:31" ht="14.4" customHeight="1" x14ac:dyDescent="0.3">
      <c r="A3765" t="s">
        <v>6299</v>
      </c>
      <c r="B3765" t="s">
        <v>3089</v>
      </c>
      <c r="C3765"/>
      <c r="D3765"/>
      <c r="E3765"/>
      <c r="F3765"/>
      <c r="G3765" t="s">
        <v>5944</v>
      </c>
      <c r="H3765" t="s">
        <v>132</v>
      </c>
      <c r="I3765" t="s">
        <v>2</v>
      </c>
      <c r="J3765" t="s">
        <v>5298</v>
      </c>
      <c r="K3765" t="s">
        <v>52</v>
      </c>
      <c r="L3765" t="s">
        <v>3081</v>
      </c>
      <c r="M3765" t="s">
        <v>134</v>
      </c>
      <c r="N3765" t="s">
        <v>135</v>
      </c>
      <c r="O3765"/>
      <c r="P3765"/>
      <c r="Q3765" t="s">
        <v>168</v>
      </c>
      <c r="R3765"/>
      <c r="S3765"/>
      <c r="T3765" t="s">
        <v>2165</v>
      </c>
      <c r="U3765" t="s">
        <v>137</v>
      </c>
      <c r="V3765" t="s">
        <v>308</v>
      </c>
      <c r="W3765"/>
      <c r="X3765" t="s">
        <v>90</v>
      </c>
      <c r="Y3765"/>
      <c r="Z3765"/>
      <c r="AA3765" t="s">
        <v>2163</v>
      </c>
      <c r="AB3765" t="s">
        <v>2</v>
      </c>
      <c r="AC3765" t="s">
        <v>138</v>
      </c>
      <c r="AD3765" t="s">
        <v>129</v>
      </c>
      <c r="AE3765" s="97"/>
    </row>
    <row r="3766" spans="1:31" ht="14.4" customHeight="1" x14ac:dyDescent="0.3">
      <c r="A3766" t="s">
        <v>6300</v>
      </c>
      <c r="B3766" t="s">
        <v>3091</v>
      </c>
      <c r="C3766"/>
      <c r="D3766"/>
      <c r="E3766"/>
      <c r="F3766"/>
      <c r="G3766" t="s">
        <v>5944</v>
      </c>
      <c r="H3766" t="s">
        <v>132</v>
      </c>
      <c r="I3766" t="s">
        <v>2</v>
      </c>
      <c r="J3766" t="s">
        <v>5298</v>
      </c>
      <c r="K3766" t="s">
        <v>52</v>
      </c>
      <c r="L3766" t="s">
        <v>3081</v>
      </c>
      <c r="M3766" t="s">
        <v>134</v>
      </c>
      <c r="N3766" t="s">
        <v>135</v>
      </c>
      <c r="O3766"/>
      <c r="P3766"/>
      <c r="Q3766" t="s">
        <v>168</v>
      </c>
      <c r="R3766"/>
      <c r="S3766"/>
      <c r="T3766" t="s">
        <v>2165</v>
      </c>
      <c r="U3766" t="s">
        <v>137</v>
      </c>
      <c r="V3766" t="s">
        <v>308</v>
      </c>
      <c r="W3766"/>
      <c r="X3766" t="s">
        <v>90</v>
      </c>
      <c r="Y3766"/>
      <c r="Z3766"/>
      <c r="AA3766" t="s">
        <v>2163</v>
      </c>
      <c r="AB3766" t="s">
        <v>2</v>
      </c>
      <c r="AC3766" t="s">
        <v>138</v>
      </c>
      <c r="AD3766" t="s">
        <v>129</v>
      </c>
      <c r="AE3766" s="97"/>
    </row>
    <row r="3767" spans="1:31" ht="14.4" customHeight="1" x14ac:dyDescent="0.3">
      <c r="A3767" t="s">
        <v>6301</v>
      </c>
      <c r="B3767" t="s">
        <v>3093</v>
      </c>
      <c r="C3767"/>
      <c r="D3767"/>
      <c r="E3767"/>
      <c r="F3767"/>
      <c r="G3767" t="s">
        <v>5944</v>
      </c>
      <c r="H3767" t="s">
        <v>132</v>
      </c>
      <c r="I3767" t="s">
        <v>2</v>
      </c>
      <c r="J3767" t="s">
        <v>5298</v>
      </c>
      <c r="K3767" t="s">
        <v>52</v>
      </c>
      <c r="L3767" t="s">
        <v>3094</v>
      </c>
      <c r="M3767" t="s">
        <v>134</v>
      </c>
      <c r="N3767" t="s">
        <v>135</v>
      </c>
      <c r="O3767"/>
      <c r="P3767"/>
      <c r="Q3767" t="s">
        <v>168</v>
      </c>
      <c r="R3767"/>
      <c r="S3767"/>
      <c r="T3767" t="s">
        <v>2165</v>
      </c>
      <c r="U3767" t="s">
        <v>137</v>
      </c>
      <c r="V3767" t="s">
        <v>312</v>
      </c>
      <c r="W3767"/>
      <c r="X3767" t="s">
        <v>99</v>
      </c>
      <c r="Y3767"/>
      <c r="Z3767"/>
      <c r="AA3767" t="s">
        <v>2163</v>
      </c>
      <c r="AB3767" t="s">
        <v>2</v>
      </c>
      <c r="AC3767" t="s">
        <v>138</v>
      </c>
      <c r="AD3767" t="s">
        <v>129</v>
      </c>
      <c r="AE3767" s="97"/>
    </row>
    <row r="3768" spans="1:31" ht="14.4" customHeight="1" x14ac:dyDescent="0.3">
      <c r="A3768" t="s">
        <v>6302</v>
      </c>
      <c r="B3768" t="s">
        <v>3096</v>
      </c>
      <c r="C3768"/>
      <c r="D3768"/>
      <c r="E3768"/>
      <c r="F3768"/>
      <c r="G3768" t="s">
        <v>5944</v>
      </c>
      <c r="H3768" t="s">
        <v>132</v>
      </c>
      <c r="I3768" t="s">
        <v>2</v>
      </c>
      <c r="J3768" t="s">
        <v>5298</v>
      </c>
      <c r="K3768" t="s">
        <v>52</v>
      </c>
      <c r="L3768" t="s">
        <v>3094</v>
      </c>
      <c r="M3768" t="s">
        <v>134</v>
      </c>
      <c r="N3768" t="s">
        <v>135</v>
      </c>
      <c r="O3768"/>
      <c r="P3768"/>
      <c r="Q3768" t="s">
        <v>168</v>
      </c>
      <c r="R3768"/>
      <c r="S3768"/>
      <c r="T3768" t="s">
        <v>2165</v>
      </c>
      <c r="U3768" t="s">
        <v>137</v>
      </c>
      <c r="V3768" t="s">
        <v>312</v>
      </c>
      <c r="W3768"/>
      <c r="X3768" t="s">
        <v>99</v>
      </c>
      <c r="Y3768"/>
      <c r="Z3768"/>
      <c r="AA3768" t="s">
        <v>2163</v>
      </c>
      <c r="AB3768" t="s">
        <v>2</v>
      </c>
      <c r="AC3768" t="s">
        <v>138</v>
      </c>
      <c r="AD3768" t="s">
        <v>129</v>
      </c>
      <c r="AE3768" s="97"/>
    </row>
    <row r="3769" spans="1:31" ht="14.4" customHeight="1" x14ac:dyDescent="0.3">
      <c r="A3769" t="s">
        <v>6303</v>
      </c>
      <c r="B3769" t="s">
        <v>3098</v>
      </c>
      <c r="C3769"/>
      <c r="D3769"/>
      <c r="E3769"/>
      <c r="F3769"/>
      <c r="G3769" t="s">
        <v>5944</v>
      </c>
      <c r="H3769" t="s">
        <v>132</v>
      </c>
      <c r="I3769" t="s">
        <v>2</v>
      </c>
      <c r="J3769" t="s">
        <v>5298</v>
      </c>
      <c r="K3769" t="s">
        <v>52</v>
      </c>
      <c r="L3769" t="s">
        <v>3094</v>
      </c>
      <c r="M3769" t="s">
        <v>134</v>
      </c>
      <c r="N3769" t="s">
        <v>135</v>
      </c>
      <c r="O3769"/>
      <c r="P3769"/>
      <c r="Q3769" t="s">
        <v>168</v>
      </c>
      <c r="R3769"/>
      <c r="S3769"/>
      <c r="T3769" t="s">
        <v>2165</v>
      </c>
      <c r="U3769" t="s">
        <v>137</v>
      </c>
      <c r="V3769" t="s">
        <v>312</v>
      </c>
      <c r="W3769"/>
      <c r="X3769" t="s">
        <v>99</v>
      </c>
      <c r="Y3769"/>
      <c r="Z3769"/>
      <c r="AA3769" t="s">
        <v>2163</v>
      </c>
      <c r="AB3769" t="s">
        <v>2</v>
      </c>
      <c r="AC3769" t="s">
        <v>138</v>
      </c>
      <c r="AD3769" t="s">
        <v>129</v>
      </c>
      <c r="AE3769" s="97"/>
    </row>
    <row r="3770" spans="1:31" ht="14.4" customHeight="1" x14ac:dyDescent="0.3">
      <c r="A3770" t="s">
        <v>6304</v>
      </c>
      <c r="B3770" t="s">
        <v>3100</v>
      </c>
      <c r="C3770"/>
      <c r="D3770"/>
      <c r="E3770"/>
      <c r="F3770"/>
      <c r="G3770" t="s">
        <v>5944</v>
      </c>
      <c r="H3770" t="s">
        <v>132</v>
      </c>
      <c r="I3770" t="s">
        <v>2</v>
      </c>
      <c r="J3770" t="s">
        <v>5298</v>
      </c>
      <c r="K3770" t="s">
        <v>52</v>
      </c>
      <c r="L3770" t="s">
        <v>3094</v>
      </c>
      <c r="M3770" t="s">
        <v>134</v>
      </c>
      <c r="N3770" t="s">
        <v>135</v>
      </c>
      <c r="O3770"/>
      <c r="P3770"/>
      <c r="Q3770" t="s">
        <v>168</v>
      </c>
      <c r="R3770"/>
      <c r="S3770"/>
      <c r="T3770" t="s">
        <v>2165</v>
      </c>
      <c r="U3770" t="s">
        <v>137</v>
      </c>
      <c r="V3770" t="s">
        <v>312</v>
      </c>
      <c r="W3770"/>
      <c r="X3770" t="s">
        <v>99</v>
      </c>
      <c r="Y3770"/>
      <c r="Z3770"/>
      <c r="AA3770" t="s">
        <v>2163</v>
      </c>
      <c r="AB3770" t="s">
        <v>2</v>
      </c>
      <c r="AC3770" t="s">
        <v>138</v>
      </c>
      <c r="AD3770" t="s">
        <v>129</v>
      </c>
      <c r="AE3770" s="97"/>
    </row>
    <row r="3771" spans="1:31" ht="14.4" customHeight="1" x14ac:dyDescent="0.3">
      <c r="A3771" t="s">
        <v>6305</v>
      </c>
      <c r="B3771" t="s">
        <v>3102</v>
      </c>
      <c r="C3771"/>
      <c r="D3771"/>
      <c r="E3771"/>
      <c r="F3771"/>
      <c r="G3771" t="s">
        <v>5944</v>
      </c>
      <c r="H3771" t="s">
        <v>132</v>
      </c>
      <c r="I3771" t="s">
        <v>2</v>
      </c>
      <c r="J3771" t="s">
        <v>5298</v>
      </c>
      <c r="K3771" t="s">
        <v>52</v>
      </c>
      <c r="L3771" t="s">
        <v>3094</v>
      </c>
      <c r="M3771" t="s">
        <v>134</v>
      </c>
      <c r="N3771" t="s">
        <v>135</v>
      </c>
      <c r="O3771"/>
      <c r="P3771"/>
      <c r="Q3771" t="s">
        <v>168</v>
      </c>
      <c r="R3771"/>
      <c r="S3771"/>
      <c r="T3771" t="s">
        <v>2165</v>
      </c>
      <c r="U3771" t="s">
        <v>137</v>
      </c>
      <c r="V3771" t="s">
        <v>312</v>
      </c>
      <c r="W3771"/>
      <c r="X3771" t="s">
        <v>99</v>
      </c>
      <c r="Y3771"/>
      <c r="Z3771"/>
      <c r="AA3771" t="s">
        <v>2163</v>
      </c>
      <c r="AB3771" t="s">
        <v>2</v>
      </c>
      <c r="AC3771" t="s">
        <v>138</v>
      </c>
      <c r="AD3771" t="s">
        <v>129</v>
      </c>
      <c r="AE3771" s="97"/>
    </row>
    <row r="3772" spans="1:31" ht="14.4" customHeight="1" x14ac:dyDescent="0.3">
      <c r="A3772" t="s">
        <v>6306</v>
      </c>
      <c r="B3772" t="s">
        <v>3104</v>
      </c>
      <c r="C3772"/>
      <c r="D3772"/>
      <c r="E3772"/>
      <c r="F3772"/>
      <c r="G3772" t="s">
        <v>5944</v>
      </c>
      <c r="H3772" t="s">
        <v>132</v>
      </c>
      <c r="I3772" t="s">
        <v>2</v>
      </c>
      <c r="J3772" t="s">
        <v>5298</v>
      </c>
      <c r="K3772" t="s">
        <v>52</v>
      </c>
      <c r="L3772" t="s">
        <v>3094</v>
      </c>
      <c r="M3772" t="s">
        <v>134</v>
      </c>
      <c r="N3772" t="s">
        <v>135</v>
      </c>
      <c r="O3772"/>
      <c r="P3772"/>
      <c r="Q3772" t="s">
        <v>168</v>
      </c>
      <c r="R3772"/>
      <c r="S3772"/>
      <c r="T3772" t="s">
        <v>2165</v>
      </c>
      <c r="U3772" t="s">
        <v>137</v>
      </c>
      <c r="V3772" t="s">
        <v>312</v>
      </c>
      <c r="W3772"/>
      <c r="X3772" t="s">
        <v>99</v>
      </c>
      <c r="Y3772"/>
      <c r="Z3772"/>
      <c r="AA3772" t="s">
        <v>2163</v>
      </c>
      <c r="AB3772" t="s">
        <v>2</v>
      </c>
      <c r="AC3772" t="s">
        <v>138</v>
      </c>
      <c r="AD3772" t="s">
        <v>129</v>
      </c>
      <c r="AE3772" s="97"/>
    </row>
    <row r="3773" spans="1:31" ht="14.4" customHeight="1" x14ac:dyDescent="0.3">
      <c r="A3773" t="s">
        <v>6307</v>
      </c>
      <c r="B3773" t="s">
        <v>3106</v>
      </c>
      <c r="C3773"/>
      <c r="D3773"/>
      <c r="E3773"/>
      <c r="F3773"/>
      <c r="G3773" t="s">
        <v>5944</v>
      </c>
      <c r="H3773" t="s">
        <v>132</v>
      </c>
      <c r="I3773" t="s">
        <v>2</v>
      </c>
      <c r="J3773" t="s">
        <v>5298</v>
      </c>
      <c r="K3773" t="s">
        <v>52</v>
      </c>
      <c r="L3773" t="s">
        <v>3107</v>
      </c>
      <c r="M3773" t="s">
        <v>134</v>
      </c>
      <c r="N3773" t="s">
        <v>135</v>
      </c>
      <c r="O3773"/>
      <c r="P3773"/>
      <c r="Q3773" t="s">
        <v>168</v>
      </c>
      <c r="R3773"/>
      <c r="S3773"/>
      <c r="T3773" t="s">
        <v>2165</v>
      </c>
      <c r="U3773" t="s">
        <v>137</v>
      </c>
      <c r="V3773" t="s">
        <v>316</v>
      </c>
      <c r="W3773"/>
      <c r="X3773" t="s">
        <v>108</v>
      </c>
      <c r="Y3773"/>
      <c r="Z3773"/>
      <c r="AA3773" t="s">
        <v>2163</v>
      </c>
      <c r="AB3773" t="s">
        <v>2</v>
      </c>
      <c r="AC3773" t="s">
        <v>138</v>
      </c>
      <c r="AD3773" t="s">
        <v>129</v>
      </c>
      <c r="AE3773" s="97"/>
    </row>
    <row r="3774" spans="1:31" ht="14.4" customHeight="1" x14ac:dyDescent="0.3">
      <c r="A3774" t="s">
        <v>6308</v>
      </c>
      <c r="B3774" t="s">
        <v>3109</v>
      </c>
      <c r="C3774"/>
      <c r="D3774"/>
      <c r="E3774"/>
      <c r="F3774"/>
      <c r="G3774" t="s">
        <v>5944</v>
      </c>
      <c r="H3774" t="s">
        <v>132</v>
      </c>
      <c r="I3774" t="s">
        <v>2</v>
      </c>
      <c r="J3774" t="s">
        <v>5298</v>
      </c>
      <c r="K3774" t="s">
        <v>52</v>
      </c>
      <c r="L3774" t="s">
        <v>3107</v>
      </c>
      <c r="M3774" t="s">
        <v>134</v>
      </c>
      <c r="N3774" t="s">
        <v>135</v>
      </c>
      <c r="O3774"/>
      <c r="P3774"/>
      <c r="Q3774" t="s">
        <v>168</v>
      </c>
      <c r="R3774"/>
      <c r="S3774"/>
      <c r="T3774" t="s">
        <v>2165</v>
      </c>
      <c r="U3774" t="s">
        <v>137</v>
      </c>
      <c r="V3774" t="s">
        <v>316</v>
      </c>
      <c r="W3774"/>
      <c r="X3774" t="s">
        <v>108</v>
      </c>
      <c r="Y3774"/>
      <c r="Z3774"/>
      <c r="AA3774" t="s">
        <v>2163</v>
      </c>
      <c r="AB3774" t="s">
        <v>2</v>
      </c>
      <c r="AC3774" t="s">
        <v>138</v>
      </c>
      <c r="AD3774" t="s">
        <v>129</v>
      </c>
      <c r="AE3774" s="97"/>
    </row>
    <row r="3775" spans="1:31" ht="14.4" customHeight="1" x14ac:dyDescent="0.3">
      <c r="A3775" t="s">
        <v>6309</v>
      </c>
      <c r="B3775" t="s">
        <v>3111</v>
      </c>
      <c r="C3775"/>
      <c r="D3775"/>
      <c r="E3775"/>
      <c r="F3775"/>
      <c r="G3775" t="s">
        <v>5944</v>
      </c>
      <c r="H3775" t="s">
        <v>132</v>
      </c>
      <c r="I3775" t="s">
        <v>2</v>
      </c>
      <c r="J3775" t="s">
        <v>5298</v>
      </c>
      <c r="K3775" t="s">
        <v>52</v>
      </c>
      <c r="L3775" t="s">
        <v>3107</v>
      </c>
      <c r="M3775" t="s">
        <v>134</v>
      </c>
      <c r="N3775" t="s">
        <v>135</v>
      </c>
      <c r="O3775"/>
      <c r="P3775"/>
      <c r="Q3775" t="s">
        <v>168</v>
      </c>
      <c r="R3775"/>
      <c r="S3775"/>
      <c r="T3775" t="s">
        <v>2165</v>
      </c>
      <c r="U3775" t="s">
        <v>137</v>
      </c>
      <c r="V3775" t="s">
        <v>316</v>
      </c>
      <c r="W3775"/>
      <c r="X3775" t="s">
        <v>108</v>
      </c>
      <c r="Y3775"/>
      <c r="Z3775"/>
      <c r="AA3775" t="s">
        <v>2163</v>
      </c>
      <c r="AB3775" t="s">
        <v>2</v>
      </c>
      <c r="AC3775" t="s">
        <v>138</v>
      </c>
      <c r="AD3775" t="s">
        <v>129</v>
      </c>
      <c r="AE3775" s="97"/>
    </row>
    <row r="3776" spans="1:31" ht="14.4" customHeight="1" x14ac:dyDescent="0.3">
      <c r="A3776" t="s">
        <v>6310</v>
      </c>
      <c r="B3776" t="s">
        <v>3113</v>
      </c>
      <c r="C3776"/>
      <c r="D3776"/>
      <c r="E3776"/>
      <c r="F3776"/>
      <c r="G3776" t="s">
        <v>5944</v>
      </c>
      <c r="H3776" t="s">
        <v>132</v>
      </c>
      <c r="I3776" t="s">
        <v>2</v>
      </c>
      <c r="J3776" t="s">
        <v>5298</v>
      </c>
      <c r="K3776" t="s">
        <v>52</v>
      </c>
      <c r="L3776" t="s">
        <v>3107</v>
      </c>
      <c r="M3776" t="s">
        <v>134</v>
      </c>
      <c r="N3776" t="s">
        <v>135</v>
      </c>
      <c r="O3776"/>
      <c r="P3776"/>
      <c r="Q3776" t="s">
        <v>168</v>
      </c>
      <c r="R3776"/>
      <c r="S3776"/>
      <c r="T3776" t="s">
        <v>2165</v>
      </c>
      <c r="U3776" t="s">
        <v>137</v>
      </c>
      <c r="V3776" t="s">
        <v>316</v>
      </c>
      <c r="W3776"/>
      <c r="X3776" t="s">
        <v>108</v>
      </c>
      <c r="Y3776"/>
      <c r="Z3776"/>
      <c r="AA3776" t="s">
        <v>2163</v>
      </c>
      <c r="AB3776" t="s">
        <v>2</v>
      </c>
      <c r="AC3776" t="s">
        <v>138</v>
      </c>
      <c r="AD3776" t="s">
        <v>129</v>
      </c>
      <c r="AE3776" s="97"/>
    </row>
    <row r="3777" spans="1:31" ht="14.4" customHeight="1" x14ac:dyDescent="0.3">
      <c r="A3777" t="s">
        <v>6311</v>
      </c>
      <c r="B3777" t="s">
        <v>3115</v>
      </c>
      <c r="C3777"/>
      <c r="D3777"/>
      <c r="E3777"/>
      <c r="F3777"/>
      <c r="G3777" t="s">
        <v>5944</v>
      </c>
      <c r="H3777" t="s">
        <v>132</v>
      </c>
      <c r="I3777" t="s">
        <v>2</v>
      </c>
      <c r="J3777" t="s">
        <v>5298</v>
      </c>
      <c r="K3777" t="s">
        <v>52</v>
      </c>
      <c r="L3777" t="s">
        <v>3107</v>
      </c>
      <c r="M3777" t="s">
        <v>134</v>
      </c>
      <c r="N3777" t="s">
        <v>135</v>
      </c>
      <c r="O3777"/>
      <c r="P3777"/>
      <c r="Q3777" t="s">
        <v>168</v>
      </c>
      <c r="R3777"/>
      <c r="S3777"/>
      <c r="T3777" t="s">
        <v>2165</v>
      </c>
      <c r="U3777" t="s">
        <v>137</v>
      </c>
      <c r="V3777" t="s">
        <v>316</v>
      </c>
      <c r="W3777"/>
      <c r="X3777" t="s">
        <v>108</v>
      </c>
      <c r="Y3777"/>
      <c r="Z3777"/>
      <c r="AA3777" t="s">
        <v>2163</v>
      </c>
      <c r="AB3777" t="s">
        <v>2</v>
      </c>
      <c r="AC3777" t="s">
        <v>138</v>
      </c>
      <c r="AD3777" t="s">
        <v>129</v>
      </c>
      <c r="AE3777" s="97"/>
    </row>
    <row r="3778" spans="1:31" ht="14.4" customHeight="1" x14ac:dyDescent="0.3">
      <c r="A3778" t="s">
        <v>6312</v>
      </c>
      <c r="B3778" t="s">
        <v>3117</v>
      </c>
      <c r="C3778"/>
      <c r="D3778"/>
      <c r="E3778"/>
      <c r="F3778"/>
      <c r="G3778" t="s">
        <v>5944</v>
      </c>
      <c r="H3778" t="s">
        <v>132</v>
      </c>
      <c r="I3778" t="s">
        <v>2</v>
      </c>
      <c r="J3778" t="s">
        <v>5298</v>
      </c>
      <c r="K3778" t="s">
        <v>52</v>
      </c>
      <c r="L3778" t="s">
        <v>3107</v>
      </c>
      <c r="M3778" t="s">
        <v>134</v>
      </c>
      <c r="N3778" t="s">
        <v>135</v>
      </c>
      <c r="O3778"/>
      <c r="P3778"/>
      <c r="Q3778" t="s">
        <v>168</v>
      </c>
      <c r="R3778"/>
      <c r="S3778"/>
      <c r="T3778" t="s">
        <v>2165</v>
      </c>
      <c r="U3778" t="s">
        <v>137</v>
      </c>
      <c r="V3778" t="s">
        <v>316</v>
      </c>
      <c r="W3778"/>
      <c r="X3778" t="s">
        <v>108</v>
      </c>
      <c r="Y3778"/>
      <c r="Z3778"/>
      <c r="AA3778" t="s">
        <v>2163</v>
      </c>
      <c r="AB3778" t="s">
        <v>2</v>
      </c>
      <c r="AC3778" t="s">
        <v>138</v>
      </c>
      <c r="AD3778" t="s">
        <v>129</v>
      </c>
      <c r="AE3778" s="97"/>
    </row>
    <row r="3779" spans="1:31" ht="14.4" customHeight="1" x14ac:dyDescent="0.3">
      <c r="A3779" t="s">
        <v>6313</v>
      </c>
      <c r="B3779" t="s">
        <v>3119</v>
      </c>
      <c r="C3779"/>
      <c r="D3779"/>
      <c r="E3779"/>
      <c r="F3779"/>
      <c r="G3779" t="s">
        <v>5944</v>
      </c>
      <c r="H3779" t="s">
        <v>132</v>
      </c>
      <c r="I3779" t="s">
        <v>2</v>
      </c>
      <c r="J3779" t="s">
        <v>5298</v>
      </c>
      <c r="K3779" t="s">
        <v>52</v>
      </c>
      <c r="L3779" t="s">
        <v>3120</v>
      </c>
      <c r="M3779" t="s">
        <v>134</v>
      </c>
      <c r="N3779" t="s">
        <v>135</v>
      </c>
      <c r="O3779"/>
      <c r="P3779"/>
      <c r="Q3779" t="s">
        <v>168</v>
      </c>
      <c r="R3779"/>
      <c r="S3779"/>
      <c r="T3779" t="s">
        <v>2165</v>
      </c>
      <c r="U3779" t="s">
        <v>137</v>
      </c>
      <c r="V3779" t="s">
        <v>320</v>
      </c>
      <c r="W3779"/>
      <c r="X3779" t="s">
        <v>117</v>
      </c>
      <c r="Y3779"/>
      <c r="Z3779"/>
      <c r="AA3779" t="s">
        <v>2163</v>
      </c>
      <c r="AB3779" t="s">
        <v>2</v>
      </c>
      <c r="AC3779" t="s">
        <v>138</v>
      </c>
      <c r="AD3779" t="s">
        <v>130</v>
      </c>
      <c r="AE3779" s="97"/>
    </row>
    <row r="3780" spans="1:31" ht="14.4" customHeight="1" x14ac:dyDescent="0.3">
      <c r="A3780" t="s">
        <v>6314</v>
      </c>
      <c r="B3780" t="s">
        <v>3122</v>
      </c>
      <c r="C3780"/>
      <c r="D3780"/>
      <c r="E3780"/>
      <c r="F3780"/>
      <c r="G3780" t="s">
        <v>5944</v>
      </c>
      <c r="H3780" t="s">
        <v>132</v>
      </c>
      <c r="I3780" t="s">
        <v>2</v>
      </c>
      <c r="J3780" t="s">
        <v>5298</v>
      </c>
      <c r="K3780" t="s">
        <v>52</v>
      </c>
      <c r="L3780" t="s">
        <v>3120</v>
      </c>
      <c r="M3780" t="s">
        <v>134</v>
      </c>
      <c r="N3780" t="s">
        <v>135</v>
      </c>
      <c r="O3780"/>
      <c r="P3780"/>
      <c r="Q3780" t="s">
        <v>168</v>
      </c>
      <c r="R3780"/>
      <c r="S3780"/>
      <c r="T3780" t="s">
        <v>2165</v>
      </c>
      <c r="U3780" t="s">
        <v>137</v>
      </c>
      <c r="V3780" t="s">
        <v>320</v>
      </c>
      <c r="W3780"/>
      <c r="X3780" t="s">
        <v>117</v>
      </c>
      <c r="Y3780"/>
      <c r="Z3780"/>
      <c r="AA3780" t="s">
        <v>2163</v>
      </c>
      <c r="AB3780" t="s">
        <v>2</v>
      </c>
      <c r="AC3780" t="s">
        <v>138</v>
      </c>
      <c r="AD3780" t="s">
        <v>130</v>
      </c>
      <c r="AE3780" s="97"/>
    </row>
    <row r="3781" spans="1:31" ht="14.4" customHeight="1" x14ac:dyDescent="0.3">
      <c r="A3781" t="s">
        <v>6315</v>
      </c>
      <c r="B3781" t="s">
        <v>3124</v>
      </c>
      <c r="C3781"/>
      <c r="D3781"/>
      <c r="E3781"/>
      <c r="F3781"/>
      <c r="G3781" t="s">
        <v>5944</v>
      </c>
      <c r="H3781" t="s">
        <v>132</v>
      </c>
      <c r="I3781" t="s">
        <v>2</v>
      </c>
      <c r="J3781" t="s">
        <v>5298</v>
      </c>
      <c r="K3781" t="s">
        <v>52</v>
      </c>
      <c r="L3781" t="s">
        <v>3120</v>
      </c>
      <c r="M3781" t="s">
        <v>134</v>
      </c>
      <c r="N3781" t="s">
        <v>135</v>
      </c>
      <c r="O3781"/>
      <c r="P3781"/>
      <c r="Q3781" t="s">
        <v>168</v>
      </c>
      <c r="R3781"/>
      <c r="S3781"/>
      <c r="T3781" t="s">
        <v>2165</v>
      </c>
      <c r="U3781" t="s">
        <v>137</v>
      </c>
      <c r="V3781" t="s">
        <v>320</v>
      </c>
      <c r="W3781"/>
      <c r="X3781" t="s">
        <v>117</v>
      </c>
      <c r="Y3781"/>
      <c r="Z3781"/>
      <c r="AA3781" t="s">
        <v>2163</v>
      </c>
      <c r="AB3781" t="s">
        <v>2</v>
      </c>
      <c r="AC3781" t="s">
        <v>138</v>
      </c>
      <c r="AD3781" t="s">
        <v>130</v>
      </c>
      <c r="AE3781" s="97"/>
    </row>
    <row r="3782" spans="1:31" ht="14.4" customHeight="1" x14ac:dyDescent="0.3">
      <c r="A3782" t="s">
        <v>6316</v>
      </c>
      <c r="B3782" t="s">
        <v>3126</v>
      </c>
      <c r="C3782"/>
      <c r="D3782"/>
      <c r="E3782"/>
      <c r="F3782"/>
      <c r="G3782" t="s">
        <v>5944</v>
      </c>
      <c r="H3782" t="s">
        <v>132</v>
      </c>
      <c r="I3782" t="s">
        <v>2</v>
      </c>
      <c r="J3782" t="s">
        <v>5298</v>
      </c>
      <c r="K3782" t="s">
        <v>52</v>
      </c>
      <c r="L3782" t="s">
        <v>3120</v>
      </c>
      <c r="M3782" t="s">
        <v>134</v>
      </c>
      <c r="N3782" t="s">
        <v>135</v>
      </c>
      <c r="O3782"/>
      <c r="P3782"/>
      <c r="Q3782" t="s">
        <v>168</v>
      </c>
      <c r="R3782"/>
      <c r="S3782"/>
      <c r="T3782" t="s">
        <v>2165</v>
      </c>
      <c r="U3782" t="s">
        <v>137</v>
      </c>
      <c r="V3782" t="s">
        <v>320</v>
      </c>
      <c r="W3782"/>
      <c r="X3782" t="s">
        <v>117</v>
      </c>
      <c r="Y3782"/>
      <c r="Z3782"/>
      <c r="AA3782" t="s">
        <v>2163</v>
      </c>
      <c r="AB3782" t="s">
        <v>2</v>
      </c>
      <c r="AC3782" t="s">
        <v>138</v>
      </c>
      <c r="AD3782" t="s">
        <v>130</v>
      </c>
      <c r="AE3782" s="97"/>
    </row>
    <row r="3783" spans="1:31" ht="14.4" customHeight="1" x14ac:dyDescent="0.3">
      <c r="A3783" t="s">
        <v>6317</v>
      </c>
      <c r="B3783" t="s">
        <v>3128</v>
      </c>
      <c r="C3783"/>
      <c r="D3783"/>
      <c r="E3783"/>
      <c r="F3783"/>
      <c r="G3783" t="s">
        <v>5944</v>
      </c>
      <c r="H3783" t="s">
        <v>132</v>
      </c>
      <c r="I3783" t="s">
        <v>2</v>
      </c>
      <c r="J3783" t="s">
        <v>5298</v>
      </c>
      <c r="K3783" t="s">
        <v>52</v>
      </c>
      <c r="L3783" t="s">
        <v>3120</v>
      </c>
      <c r="M3783" t="s">
        <v>134</v>
      </c>
      <c r="N3783" t="s">
        <v>135</v>
      </c>
      <c r="O3783"/>
      <c r="P3783"/>
      <c r="Q3783" t="s">
        <v>168</v>
      </c>
      <c r="R3783"/>
      <c r="S3783"/>
      <c r="T3783" t="s">
        <v>2165</v>
      </c>
      <c r="U3783" t="s">
        <v>137</v>
      </c>
      <c r="V3783" t="s">
        <v>320</v>
      </c>
      <c r="W3783"/>
      <c r="X3783" t="s">
        <v>117</v>
      </c>
      <c r="Y3783"/>
      <c r="Z3783"/>
      <c r="AA3783" t="s">
        <v>2163</v>
      </c>
      <c r="AB3783" t="s">
        <v>2</v>
      </c>
      <c r="AC3783" t="s">
        <v>138</v>
      </c>
      <c r="AD3783" t="s">
        <v>130</v>
      </c>
      <c r="AE3783" s="97"/>
    </row>
    <row r="3784" spans="1:31" ht="14.4" customHeight="1" x14ac:dyDescent="0.3">
      <c r="A3784" t="s">
        <v>6318</v>
      </c>
      <c r="B3784" t="s">
        <v>3130</v>
      </c>
      <c r="C3784"/>
      <c r="D3784"/>
      <c r="E3784"/>
      <c r="F3784"/>
      <c r="G3784" t="s">
        <v>5944</v>
      </c>
      <c r="H3784" t="s">
        <v>132</v>
      </c>
      <c r="I3784" t="s">
        <v>2</v>
      </c>
      <c r="J3784" t="s">
        <v>5298</v>
      </c>
      <c r="K3784" t="s">
        <v>52</v>
      </c>
      <c r="L3784" t="s">
        <v>3120</v>
      </c>
      <c r="M3784" t="s">
        <v>134</v>
      </c>
      <c r="N3784" t="s">
        <v>135</v>
      </c>
      <c r="O3784"/>
      <c r="P3784"/>
      <c r="Q3784" t="s">
        <v>168</v>
      </c>
      <c r="R3784"/>
      <c r="S3784"/>
      <c r="T3784" t="s">
        <v>2165</v>
      </c>
      <c r="U3784" t="s">
        <v>137</v>
      </c>
      <c r="V3784" t="s">
        <v>320</v>
      </c>
      <c r="W3784"/>
      <c r="X3784" t="s">
        <v>117</v>
      </c>
      <c r="Y3784"/>
      <c r="Z3784"/>
      <c r="AA3784" t="s">
        <v>2163</v>
      </c>
      <c r="AB3784" t="s">
        <v>2</v>
      </c>
      <c r="AC3784" t="s">
        <v>138</v>
      </c>
      <c r="AD3784" t="s">
        <v>130</v>
      </c>
      <c r="AE3784" s="97"/>
    </row>
    <row r="3785" spans="1:31" ht="14.4" customHeight="1" x14ac:dyDescent="0.3">
      <c r="A3785" t="s">
        <v>6319</v>
      </c>
      <c r="B3785" t="s">
        <v>3132</v>
      </c>
      <c r="C3785"/>
      <c r="D3785"/>
      <c r="E3785"/>
      <c r="F3785"/>
      <c r="G3785" t="s">
        <v>5944</v>
      </c>
      <c r="H3785" t="s">
        <v>132</v>
      </c>
      <c r="I3785" t="s">
        <v>2</v>
      </c>
      <c r="J3785" t="s">
        <v>5298</v>
      </c>
      <c r="K3785" t="s">
        <v>52</v>
      </c>
      <c r="L3785" t="s">
        <v>3133</v>
      </c>
      <c r="M3785" t="s">
        <v>134</v>
      </c>
      <c r="N3785" t="s">
        <v>135</v>
      </c>
      <c r="O3785"/>
      <c r="P3785"/>
      <c r="Q3785" t="s">
        <v>168</v>
      </c>
      <c r="R3785"/>
      <c r="S3785"/>
      <c r="T3785" t="s">
        <v>2165</v>
      </c>
      <c r="U3785" t="s">
        <v>137</v>
      </c>
      <c r="V3785" t="s">
        <v>147</v>
      </c>
      <c r="W3785"/>
      <c r="X3785" t="s">
        <v>70</v>
      </c>
      <c r="Y3785"/>
      <c r="Z3785"/>
      <c r="AA3785" t="s">
        <v>2163</v>
      </c>
      <c r="AB3785" t="s">
        <v>2</v>
      </c>
      <c r="AC3785" t="s">
        <v>138</v>
      </c>
      <c r="AD3785" t="s">
        <v>128</v>
      </c>
      <c r="AE3785" s="97"/>
    </row>
    <row r="3786" spans="1:31" ht="14.4" customHeight="1" x14ac:dyDescent="0.3">
      <c r="A3786" t="s">
        <v>6320</v>
      </c>
      <c r="B3786" t="s">
        <v>3135</v>
      </c>
      <c r="C3786"/>
      <c r="D3786"/>
      <c r="E3786"/>
      <c r="F3786"/>
      <c r="G3786" t="s">
        <v>5944</v>
      </c>
      <c r="H3786" t="s">
        <v>132</v>
      </c>
      <c r="I3786" t="s">
        <v>2</v>
      </c>
      <c r="J3786" t="s">
        <v>5298</v>
      </c>
      <c r="K3786" t="s">
        <v>52</v>
      </c>
      <c r="L3786" t="s">
        <v>3133</v>
      </c>
      <c r="M3786" t="s">
        <v>134</v>
      </c>
      <c r="N3786" t="s">
        <v>135</v>
      </c>
      <c r="O3786"/>
      <c r="P3786"/>
      <c r="Q3786" t="s">
        <v>168</v>
      </c>
      <c r="R3786"/>
      <c r="S3786"/>
      <c r="T3786" t="s">
        <v>2165</v>
      </c>
      <c r="U3786" t="s">
        <v>137</v>
      </c>
      <c r="V3786" t="s">
        <v>147</v>
      </c>
      <c r="W3786"/>
      <c r="X3786" t="s">
        <v>70</v>
      </c>
      <c r="Y3786"/>
      <c r="Z3786"/>
      <c r="AA3786" t="s">
        <v>2163</v>
      </c>
      <c r="AB3786" t="s">
        <v>2</v>
      </c>
      <c r="AC3786" t="s">
        <v>138</v>
      </c>
      <c r="AD3786" t="s">
        <v>128</v>
      </c>
      <c r="AE3786" s="97"/>
    </row>
    <row r="3787" spans="1:31" ht="14.4" customHeight="1" x14ac:dyDescent="0.3">
      <c r="A3787" t="s">
        <v>6321</v>
      </c>
      <c r="B3787" t="s">
        <v>3137</v>
      </c>
      <c r="C3787"/>
      <c r="D3787"/>
      <c r="E3787"/>
      <c r="F3787"/>
      <c r="G3787" t="s">
        <v>5944</v>
      </c>
      <c r="H3787" t="s">
        <v>132</v>
      </c>
      <c r="I3787" t="s">
        <v>2</v>
      </c>
      <c r="J3787" t="s">
        <v>5298</v>
      </c>
      <c r="K3787" t="s">
        <v>52</v>
      </c>
      <c r="L3787" t="s">
        <v>3133</v>
      </c>
      <c r="M3787" t="s">
        <v>134</v>
      </c>
      <c r="N3787" t="s">
        <v>135</v>
      </c>
      <c r="O3787"/>
      <c r="P3787"/>
      <c r="Q3787" t="s">
        <v>168</v>
      </c>
      <c r="R3787"/>
      <c r="S3787"/>
      <c r="T3787" t="s">
        <v>2165</v>
      </c>
      <c r="U3787" t="s">
        <v>137</v>
      </c>
      <c r="V3787" t="s">
        <v>147</v>
      </c>
      <c r="W3787"/>
      <c r="X3787" t="s">
        <v>70</v>
      </c>
      <c r="Y3787"/>
      <c r="Z3787"/>
      <c r="AA3787" t="s">
        <v>2163</v>
      </c>
      <c r="AB3787" t="s">
        <v>2</v>
      </c>
      <c r="AC3787" t="s">
        <v>138</v>
      </c>
      <c r="AD3787" t="s">
        <v>128</v>
      </c>
      <c r="AE3787" s="97"/>
    </row>
    <row r="3788" spans="1:31" ht="14.4" customHeight="1" x14ac:dyDescent="0.3">
      <c r="A3788" t="s">
        <v>6322</v>
      </c>
      <c r="B3788" t="s">
        <v>3139</v>
      </c>
      <c r="C3788"/>
      <c r="D3788"/>
      <c r="E3788"/>
      <c r="F3788"/>
      <c r="G3788" t="s">
        <v>5944</v>
      </c>
      <c r="H3788" t="s">
        <v>132</v>
      </c>
      <c r="I3788" t="s">
        <v>2</v>
      </c>
      <c r="J3788" t="s">
        <v>5298</v>
      </c>
      <c r="K3788" t="s">
        <v>52</v>
      </c>
      <c r="L3788" t="s">
        <v>3140</v>
      </c>
      <c r="M3788" t="s">
        <v>134</v>
      </c>
      <c r="N3788" t="s">
        <v>135</v>
      </c>
      <c r="O3788"/>
      <c r="P3788"/>
      <c r="Q3788" t="s">
        <v>168</v>
      </c>
      <c r="R3788"/>
      <c r="S3788"/>
      <c r="T3788" t="s">
        <v>2165</v>
      </c>
      <c r="U3788" t="s">
        <v>137</v>
      </c>
      <c r="V3788" t="s">
        <v>147</v>
      </c>
      <c r="W3788"/>
      <c r="X3788" t="s">
        <v>70</v>
      </c>
      <c r="Y3788"/>
      <c r="Z3788"/>
      <c r="AA3788" t="s">
        <v>2163</v>
      </c>
      <c r="AB3788" t="s">
        <v>2</v>
      </c>
      <c r="AC3788" t="s">
        <v>138</v>
      </c>
      <c r="AD3788" t="s">
        <v>128</v>
      </c>
      <c r="AE3788" s="97"/>
    </row>
    <row r="3789" spans="1:31" ht="14.4" customHeight="1" x14ac:dyDescent="0.3">
      <c r="A3789" t="s">
        <v>6323</v>
      </c>
      <c r="B3789" t="s">
        <v>3142</v>
      </c>
      <c r="C3789"/>
      <c r="D3789"/>
      <c r="E3789"/>
      <c r="F3789"/>
      <c r="G3789" t="s">
        <v>5944</v>
      </c>
      <c r="H3789" t="s">
        <v>132</v>
      </c>
      <c r="I3789" t="s">
        <v>2</v>
      </c>
      <c r="J3789" t="s">
        <v>5298</v>
      </c>
      <c r="K3789" t="s">
        <v>52</v>
      </c>
      <c r="L3789" t="s">
        <v>3140</v>
      </c>
      <c r="M3789" t="s">
        <v>134</v>
      </c>
      <c r="N3789" t="s">
        <v>135</v>
      </c>
      <c r="O3789"/>
      <c r="P3789"/>
      <c r="Q3789" t="s">
        <v>168</v>
      </c>
      <c r="R3789"/>
      <c r="S3789"/>
      <c r="T3789" t="s">
        <v>2165</v>
      </c>
      <c r="U3789" t="s">
        <v>137</v>
      </c>
      <c r="V3789" t="s">
        <v>147</v>
      </c>
      <c r="W3789"/>
      <c r="X3789" t="s">
        <v>70</v>
      </c>
      <c r="Y3789"/>
      <c r="Z3789"/>
      <c r="AA3789" t="s">
        <v>2163</v>
      </c>
      <c r="AB3789" t="s">
        <v>2</v>
      </c>
      <c r="AC3789" t="s">
        <v>138</v>
      </c>
      <c r="AD3789" t="s">
        <v>128</v>
      </c>
      <c r="AE3789" s="97"/>
    </row>
    <row r="3790" spans="1:31" ht="14.4" customHeight="1" x14ac:dyDescent="0.3">
      <c r="A3790" t="s">
        <v>6324</v>
      </c>
      <c r="B3790" t="s">
        <v>3144</v>
      </c>
      <c r="C3790"/>
      <c r="D3790"/>
      <c r="E3790"/>
      <c r="F3790"/>
      <c r="G3790" t="s">
        <v>5944</v>
      </c>
      <c r="H3790" t="s">
        <v>132</v>
      </c>
      <c r="I3790" t="s">
        <v>2</v>
      </c>
      <c r="J3790" t="s">
        <v>5298</v>
      </c>
      <c r="K3790" t="s">
        <v>52</v>
      </c>
      <c r="L3790" t="s">
        <v>3140</v>
      </c>
      <c r="M3790" t="s">
        <v>134</v>
      </c>
      <c r="N3790" t="s">
        <v>135</v>
      </c>
      <c r="O3790"/>
      <c r="P3790"/>
      <c r="Q3790" t="s">
        <v>168</v>
      </c>
      <c r="R3790"/>
      <c r="S3790"/>
      <c r="T3790" t="s">
        <v>2165</v>
      </c>
      <c r="U3790" t="s">
        <v>137</v>
      </c>
      <c r="V3790" t="s">
        <v>147</v>
      </c>
      <c r="W3790"/>
      <c r="X3790" t="s">
        <v>70</v>
      </c>
      <c r="Y3790"/>
      <c r="Z3790"/>
      <c r="AA3790" t="s">
        <v>2163</v>
      </c>
      <c r="AB3790" t="s">
        <v>2</v>
      </c>
      <c r="AC3790" t="s">
        <v>138</v>
      </c>
      <c r="AD3790" t="s">
        <v>128</v>
      </c>
      <c r="AE3790" s="97"/>
    </row>
    <row r="3791" spans="1:31" ht="14.4" customHeight="1" x14ac:dyDescent="0.3">
      <c r="A3791" t="s">
        <v>6325</v>
      </c>
      <c r="B3791" t="s">
        <v>3146</v>
      </c>
      <c r="C3791"/>
      <c r="D3791"/>
      <c r="E3791"/>
      <c r="F3791"/>
      <c r="G3791" t="s">
        <v>5944</v>
      </c>
      <c r="H3791" t="s">
        <v>132</v>
      </c>
      <c r="I3791" t="s">
        <v>2</v>
      </c>
      <c r="J3791" t="s">
        <v>5298</v>
      </c>
      <c r="K3791" t="s">
        <v>52</v>
      </c>
      <c r="L3791" t="s">
        <v>3147</v>
      </c>
      <c r="M3791" t="s">
        <v>134</v>
      </c>
      <c r="N3791" t="s">
        <v>135</v>
      </c>
      <c r="O3791"/>
      <c r="P3791"/>
      <c r="Q3791" t="s">
        <v>168</v>
      </c>
      <c r="R3791"/>
      <c r="S3791"/>
      <c r="T3791" t="s">
        <v>2165</v>
      </c>
      <c r="U3791" t="s">
        <v>137</v>
      </c>
      <c r="V3791" t="s">
        <v>147</v>
      </c>
      <c r="W3791"/>
      <c r="X3791" t="s">
        <v>70</v>
      </c>
      <c r="Y3791"/>
      <c r="Z3791"/>
      <c r="AA3791" t="s">
        <v>2163</v>
      </c>
      <c r="AB3791" t="s">
        <v>2</v>
      </c>
      <c r="AC3791" t="s">
        <v>138</v>
      </c>
      <c r="AD3791" t="s">
        <v>128</v>
      </c>
      <c r="AE3791" s="97"/>
    </row>
    <row r="3792" spans="1:31" ht="14.4" customHeight="1" x14ac:dyDescent="0.3">
      <c r="A3792" t="s">
        <v>6326</v>
      </c>
      <c r="B3792" t="s">
        <v>3149</v>
      </c>
      <c r="C3792"/>
      <c r="D3792"/>
      <c r="E3792"/>
      <c r="F3792"/>
      <c r="G3792" t="s">
        <v>5944</v>
      </c>
      <c r="H3792" t="s">
        <v>132</v>
      </c>
      <c r="I3792" t="s">
        <v>2</v>
      </c>
      <c r="J3792" t="s">
        <v>5298</v>
      </c>
      <c r="K3792" t="s">
        <v>52</v>
      </c>
      <c r="L3792" t="s">
        <v>3147</v>
      </c>
      <c r="M3792" t="s">
        <v>134</v>
      </c>
      <c r="N3792" t="s">
        <v>135</v>
      </c>
      <c r="O3792"/>
      <c r="P3792"/>
      <c r="Q3792" t="s">
        <v>168</v>
      </c>
      <c r="R3792"/>
      <c r="S3792"/>
      <c r="T3792" t="s">
        <v>2165</v>
      </c>
      <c r="U3792" t="s">
        <v>137</v>
      </c>
      <c r="V3792" t="s">
        <v>147</v>
      </c>
      <c r="W3792"/>
      <c r="X3792" t="s">
        <v>70</v>
      </c>
      <c r="Y3792"/>
      <c r="Z3792"/>
      <c r="AA3792" t="s">
        <v>2163</v>
      </c>
      <c r="AB3792" t="s">
        <v>2</v>
      </c>
      <c r="AC3792" t="s">
        <v>138</v>
      </c>
      <c r="AD3792" t="s">
        <v>128</v>
      </c>
      <c r="AE3792" s="97"/>
    </row>
    <row r="3793" spans="1:31" ht="14.4" customHeight="1" x14ac:dyDescent="0.3">
      <c r="A3793" t="s">
        <v>6327</v>
      </c>
      <c r="B3793" t="s">
        <v>3151</v>
      </c>
      <c r="C3793"/>
      <c r="D3793"/>
      <c r="E3793"/>
      <c r="F3793"/>
      <c r="G3793" t="s">
        <v>5944</v>
      </c>
      <c r="H3793" t="s">
        <v>132</v>
      </c>
      <c r="I3793" t="s">
        <v>2</v>
      </c>
      <c r="J3793" t="s">
        <v>5298</v>
      </c>
      <c r="K3793" t="s">
        <v>52</v>
      </c>
      <c r="L3793" t="s">
        <v>3147</v>
      </c>
      <c r="M3793" t="s">
        <v>134</v>
      </c>
      <c r="N3793" t="s">
        <v>135</v>
      </c>
      <c r="O3793"/>
      <c r="P3793"/>
      <c r="Q3793" t="s">
        <v>168</v>
      </c>
      <c r="R3793"/>
      <c r="S3793"/>
      <c r="T3793" t="s">
        <v>2165</v>
      </c>
      <c r="U3793" t="s">
        <v>137</v>
      </c>
      <c r="V3793" t="s">
        <v>147</v>
      </c>
      <c r="W3793"/>
      <c r="X3793" t="s">
        <v>70</v>
      </c>
      <c r="Y3793"/>
      <c r="Z3793"/>
      <c r="AA3793" t="s">
        <v>2163</v>
      </c>
      <c r="AB3793" t="s">
        <v>2</v>
      </c>
      <c r="AC3793" t="s">
        <v>138</v>
      </c>
      <c r="AD3793" t="s">
        <v>128</v>
      </c>
      <c r="AE3793" s="97"/>
    </row>
    <row r="3794" spans="1:31" ht="14.4" customHeight="1" x14ac:dyDescent="0.3">
      <c r="A3794" t="s">
        <v>6328</v>
      </c>
      <c r="B3794" t="s">
        <v>3153</v>
      </c>
      <c r="C3794"/>
      <c r="D3794"/>
      <c r="E3794"/>
      <c r="F3794"/>
      <c r="G3794" t="s">
        <v>5944</v>
      </c>
      <c r="H3794" t="s">
        <v>132</v>
      </c>
      <c r="I3794" t="s">
        <v>2</v>
      </c>
      <c r="J3794" t="s">
        <v>5298</v>
      </c>
      <c r="K3794" t="s">
        <v>52</v>
      </c>
      <c r="L3794" t="s">
        <v>3154</v>
      </c>
      <c r="M3794" t="s">
        <v>134</v>
      </c>
      <c r="N3794" t="s">
        <v>135</v>
      </c>
      <c r="O3794"/>
      <c r="P3794"/>
      <c r="Q3794" t="s">
        <v>168</v>
      </c>
      <c r="R3794"/>
      <c r="S3794"/>
      <c r="T3794" t="s">
        <v>2165</v>
      </c>
      <c r="U3794" t="s">
        <v>137</v>
      </c>
      <c r="V3794" t="s">
        <v>156</v>
      </c>
      <c r="W3794"/>
      <c r="X3794" t="s">
        <v>97</v>
      </c>
      <c r="Y3794"/>
      <c r="Z3794"/>
      <c r="AA3794" t="s">
        <v>2163</v>
      </c>
      <c r="AB3794" t="s">
        <v>2</v>
      </c>
      <c r="AC3794" t="s">
        <v>138</v>
      </c>
      <c r="AD3794" t="s">
        <v>129</v>
      </c>
      <c r="AE3794" s="97"/>
    </row>
    <row r="3795" spans="1:31" ht="14.4" customHeight="1" x14ac:dyDescent="0.3">
      <c r="A3795" t="s">
        <v>6329</v>
      </c>
      <c r="B3795" t="s">
        <v>3156</v>
      </c>
      <c r="C3795"/>
      <c r="D3795"/>
      <c r="E3795"/>
      <c r="F3795"/>
      <c r="G3795" t="s">
        <v>5944</v>
      </c>
      <c r="H3795" t="s">
        <v>132</v>
      </c>
      <c r="I3795" t="s">
        <v>2</v>
      </c>
      <c r="J3795" t="s">
        <v>5298</v>
      </c>
      <c r="K3795" t="s">
        <v>52</v>
      </c>
      <c r="L3795" t="s">
        <v>3154</v>
      </c>
      <c r="M3795" t="s">
        <v>134</v>
      </c>
      <c r="N3795" t="s">
        <v>135</v>
      </c>
      <c r="O3795"/>
      <c r="P3795"/>
      <c r="Q3795" t="s">
        <v>168</v>
      </c>
      <c r="R3795"/>
      <c r="S3795"/>
      <c r="T3795" t="s">
        <v>2165</v>
      </c>
      <c r="U3795" t="s">
        <v>137</v>
      </c>
      <c r="V3795" t="s">
        <v>156</v>
      </c>
      <c r="W3795"/>
      <c r="X3795" t="s">
        <v>97</v>
      </c>
      <c r="Y3795"/>
      <c r="Z3795"/>
      <c r="AA3795" t="s">
        <v>2163</v>
      </c>
      <c r="AB3795" t="s">
        <v>2</v>
      </c>
      <c r="AC3795" t="s">
        <v>138</v>
      </c>
      <c r="AD3795" t="s">
        <v>129</v>
      </c>
      <c r="AE3795" s="97"/>
    </row>
    <row r="3796" spans="1:31" ht="14.4" customHeight="1" x14ac:dyDescent="0.3">
      <c r="A3796" t="s">
        <v>6330</v>
      </c>
      <c r="B3796" t="s">
        <v>3158</v>
      </c>
      <c r="C3796"/>
      <c r="D3796"/>
      <c r="E3796"/>
      <c r="F3796"/>
      <c r="G3796" t="s">
        <v>5944</v>
      </c>
      <c r="H3796" t="s">
        <v>132</v>
      </c>
      <c r="I3796" t="s">
        <v>2</v>
      </c>
      <c r="J3796" t="s">
        <v>5298</v>
      </c>
      <c r="K3796" t="s">
        <v>52</v>
      </c>
      <c r="L3796" t="s">
        <v>3154</v>
      </c>
      <c r="M3796" t="s">
        <v>134</v>
      </c>
      <c r="N3796" t="s">
        <v>135</v>
      </c>
      <c r="O3796"/>
      <c r="P3796"/>
      <c r="Q3796" t="s">
        <v>168</v>
      </c>
      <c r="R3796"/>
      <c r="S3796"/>
      <c r="T3796" t="s">
        <v>2165</v>
      </c>
      <c r="U3796" t="s">
        <v>137</v>
      </c>
      <c r="V3796" t="s">
        <v>156</v>
      </c>
      <c r="W3796"/>
      <c r="X3796" t="s">
        <v>97</v>
      </c>
      <c r="Y3796"/>
      <c r="Z3796"/>
      <c r="AA3796" t="s">
        <v>2163</v>
      </c>
      <c r="AB3796" t="s">
        <v>2</v>
      </c>
      <c r="AC3796" t="s">
        <v>138</v>
      </c>
      <c r="AD3796" t="s">
        <v>129</v>
      </c>
      <c r="AE3796" s="97"/>
    </row>
    <row r="3797" spans="1:31" ht="14.4" customHeight="1" x14ac:dyDescent="0.3">
      <c r="A3797" t="s">
        <v>6331</v>
      </c>
      <c r="B3797" t="s">
        <v>3160</v>
      </c>
      <c r="C3797"/>
      <c r="D3797"/>
      <c r="E3797"/>
      <c r="F3797"/>
      <c r="G3797" t="s">
        <v>5944</v>
      </c>
      <c r="H3797" t="s">
        <v>132</v>
      </c>
      <c r="I3797" t="s">
        <v>2</v>
      </c>
      <c r="J3797" t="s">
        <v>5298</v>
      </c>
      <c r="K3797" t="s">
        <v>52</v>
      </c>
      <c r="L3797" t="s">
        <v>3161</v>
      </c>
      <c r="M3797" t="s">
        <v>134</v>
      </c>
      <c r="N3797" t="s">
        <v>135</v>
      </c>
      <c r="O3797"/>
      <c r="P3797"/>
      <c r="Q3797" t="s">
        <v>168</v>
      </c>
      <c r="R3797"/>
      <c r="S3797"/>
      <c r="T3797" t="s">
        <v>2165</v>
      </c>
      <c r="U3797" t="s">
        <v>137</v>
      </c>
      <c r="V3797" t="s">
        <v>156</v>
      </c>
      <c r="W3797"/>
      <c r="X3797" t="s">
        <v>97</v>
      </c>
      <c r="Y3797"/>
      <c r="Z3797"/>
      <c r="AA3797" t="s">
        <v>2163</v>
      </c>
      <c r="AB3797" t="s">
        <v>2</v>
      </c>
      <c r="AC3797" t="s">
        <v>138</v>
      </c>
      <c r="AD3797" t="s">
        <v>129</v>
      </c>
      <c r="AE3797" s="97"/>
    </row>
    <row r="3798" spans="1:31" ht="14.4" customHeight="1" x14ac:dyDescent="0.3">
      <c r="A3798" t="s">
        <v>6332</v>
      </c>
      <c r="B3798" t="s">
        <v>3163</v>
      </c>
      <c r="C3798"/>
      <c r="D3798"/>
      <c r="E3798"/>
      <c r="F3798"/>
      <c r="G3798" t="s">
        <v>5944</v>
      </c>
      <c r="H3798" t="s">
        <v>132</v>
      </c>
      <c r="I3798" t="s">
        <v>2</v>
      </c>
      <c r="J3798" t="s">
        <v>5298</v>
      </c>
      <c r="K3798" t="s">
        <v>52</v>
      </c>
      <c r="L3798" t="s">
        <v>3161</v>
      </c>
      <c r="M3798" t="s">
        <v>134</v>
      </c>
      <c r="N3798" t="s">
        <v>135</v>
      </c>
      <c r="O3798"/>
      <c r="P3798"/>
      <c r="Q3798" t="s">
        <v>168</v>
      </c>
      <c r="R3798"/>
      <c r="S3798"/>
      <c r="T3798" t="s">
        <v>2165</v>
      </c>
      <c r="U3798" t="s">
        <v>137</v>
      </c>
      <c r="V3798" t="s">
        <v>156</v>
      </c>
      <c r="W3798"/>
      <c r="X3798" t="s">
        <v>97</v>
      </c>
      <c r="Y3798"/>
      <c r="Z3798"/>
      <c r="AA3798" t="s">
        <v>2163</v>
      </c>
      <c r="AB3798" t="s">
        <v>2</v>
      </c>
      <c r="AC3798" t="s">
        <v>138</v>
      </c>
      <c r="AD3798" t="s">
        <v>129</v>
      </c>
      <c r="AE3798" s="97"/>
    </row>
    <row r="3799" spans="1:31" ht="14.4" customHeight="1" x14ac:dyDescent="0.3">
      <c r="A3799" t="s">
        <v>6333</v>
      </c>
      <c r="B3799" t="s">
        <v>3165</v>
      </c>
      <c r="C3799"/>
      <c r="D3799"/>
      <c r="E3799"/>
      <c r="F3799"/>
      <c r="G3799" t="s">
        <v>5944</v>
      </c>
      <c r="H3799" t="s">
        <v>132</v>
      </c>
      <c r="I3799" t="s">
        <v>2</v>
      </c>
      <c r="J3799" t="s">
        <v>5298</v>
      </c>
      <c r="K3799" t="s">
        <v>52</v>
      </c>
      <c r="L3799" t="s">
        <v>3161</v>
      </c>
      <c r="M3799" t="s">
        <v>134</v>
      </c>
      <c r="N3799" t="s">
        <v>135</v>
      </c>
      <c r="O3799"/>
      <c r="P3799"/>
      <c r="Q3799" t="s">
        <v>168</v>
      </c>
      <c r="R3799"/>
      <c r="S3799"/>
      <c r="T3799" t="s">
        <v>2165</v>
      </c>
      <c r="U3799" t="s">
        <v>137</v>
      </c>
      <c r="V3799" t="s">
        <v>156</v>
      </c>
      <c r="W3799"/>
      <c r="X3799" t="s">
        <v>97</v>
      </c>
      <c r="Y3799"/>
      <c r="Z3799"/>
      <c r="AA3799" t="s">
        <v>2163</v>
      </c>
      <c r="AB3799" t="s">
        <v>2</v>
      </c>
      <c r="AC3799" t="s">
        <v>138</v>
      </c>
      <c r="AD3799" t="s">
        <v>129</v>
      </c>
      <c r="AE3799" s="97"/>
    </row>
    <row r="3800" spans="1:31" ht="14.4" customHeight="1" x14ac:dyDescent="0.3">
      <c r="A3800" t="s">
        <v>6334</v>
      </c>
      <c r="B3800" t="s">
        <v>3167</v>
      </c>
      <c r="C3800"/>
      <c r="D3800"/>
      <c r="E3800"/>
      <c r="F3800"/>
      <c r="G3800" t="s">
        <v>5944</v>
      </c>
      <c r="H3800" t="s">
        <v>132</v>
      </c>
      <c r="I3800" t="s">
        <v>2</v>
      </c>
      <c r="J3800" t="s">
        <v>5298</v>
      </c>
      <c r="K3800" t="s">
        <v>52</v>
      </c>
      <c r="L3800" t="s">
        <v>3168</v>
      </c>
      <c r="M3800" t="s">
        <v>134</v>
      </c>
      <c r="N3800" t="s">
        <v>135</v>
      </c>
      <c r="O3800"/>
      <c r="P3800"/>
      <c r="Q3800" t="s">
        <v>168</v>
      </c>
      <c r="R3800"/>
      <c r="S3800"/>
      <c r="T3800" t="s">
        <v>2165</v>
      </c>
      <c r="U3800" t="s">
        <v>137</v>
      </c>
      <c r="V3800" t="s">
        <v>162</v>
      </c>
      <c r="W3800"/>
      <c r="X3800" t="s">
        <v>113</v>
      </c>
      <c r="Y3800"/>
      <c r="Z3800"/>
      <c r="AA3800" t="s">
        <v>2163</v>
      </c>
      <c r="AB3800" t="s">
        <v>2</v>
      </c>
      <c r="AC3800" t="s">
        <v>138</v>
      </c>
      <c r="AD3800" t="s">
        <v>129</v>
      </c>
      <c r="AE3800" s="97"/>
    </row>
    <row r="3801" spans="1:31" ht="14.4" customHeight="1" x14ac:dyDescent="0.3">
      <c r="A3801" t="s">
        <v>6335</v>
      </c>
      <c r="B3801" t="s">
        <v>3170</v>
      </c>
      <c r="C3801"/>
      <c r="D3801"/>
      <c r="E3801"/>
      <c r="F3801"/>
      <c r="G3801" t="s">
        <v>5944</v>
      </c>
      <c r="H3801" t="s">
        <v>132</v>
      </c>
      <c r="I3801" t="s">
        <v>2</v>
      </c>
      <c r="J3801" t="s">
        <v>5298</v>
      </c>
      <c r="K3801" t="s">
        <v>52</v>
      </c>
      <c r="L3801" t="s">
        <v>3168</v>
      </c>
      <c r="M3801" t="s">
        <v>134</v>
      </c>
      <c r="N3801" t="s">
        <v>135</v>
      </c>
      <c r="O3801"/>
      <c r="P3801"/>
      <c r="Q3801" t="s">
        <v>168</v>
      </c>
      <c r="R3801"/>
      <c r="S3801"/>
      <c r="T3801" t="s">
        <v>2165</v>
      </c>
      <c r="U3801" t="s">
        <v>137</v>
      </c>
      <c r="V3801" t="s">
        <v>162</v>
      </c>
      <c r="W3801"/>
      <c r="X3801" t="s">
        <v>113</v>
      </c>
      <c r="Y3801"/>
      <c r="Z3801"/>
      <c r="AA3801" t="s">
        <v>2163</v>
      </c>
      <c r="AB3801" t="s">
        <v>2</v>
      </c>
      <c r="AC3801" t="s">
        <v>138</v>
      </c>
      <c r="AD3801" t="s">
        <v>129</v>
      </c>
      <c r="AE3801" s="97"/>
    </row>
    <row r="3802" spans="1:31" ht="14.4" customHeight="1" x14ac:dyDescent="0.3">
      <c r="A3802" t="s">
        <v>6336</v>
      </c>
      <c r="B3802" t="s">
        <v>3172</v>
      </c>
      <c r="C3802"/>
      <c r="D3802"/>
      <c r="E3802"/>
      <c r="F3802"/>
      <c r="G3802" t="s">
        <v>5944</v>
      </c>
      <c r="H3802" t="s">
        <v>132</v>
      </c>
      <c r="I3802" t="s">
        <v>2</v>
      </c>
      <c r="J3802" t="s">
        <v>5298</v>
      </c>
      <c r="K3802" t="s">
        <v>52</v>
      </c>
      <c r="L3802" t="s">
        <v>3168</v>
      </c>
      <c r="M3802" t="s">
        <v>134</v>
      </c>
      <c r="N3802" t="s">
        <v>135</v>
      </c>
      <c r="O3802"/>
      <c r="P3802"/>
      <c r="Q3802" t="s">
        <v>168</v>
      </c>
      <c r="R3802"/>
      <c r="S3802"/>
      <c r="T3802" t="s">
        <v>2165</v>
      </c>
      <c r="U3802" t="s">
        <v>137</v>
      </c>
      <c r="V3802" t="s">
        <v>162</v>
      </c>
      <c r="W3802"/>
      <c r="X3802" t="s">
        <v>113</v>
      </c>
      <c r="Y3802"/>
      <c r="Z3802"/>
      <c r="AA3802" t="s">
        <v>2163</v>
      </c>
      <c r="AB3802" t="s">
        <v>2</v>
      </c>
      <c r="AC3802" t="s">
        <v>138</v>
      </c>
      <c r="AD3802" t="s">
        <v>129</v>
      </c>
      <c r="AE3802" s="97"/>
    </row>
    <row r="3803" spans="1:31" ht="14.4" customHeight="1" x14ac:dyDescent="0.3">
      <c r="A3803" t="s">
        <v>6337</v>
      </c>
      <c r="B3803" t="s">
        <v>3174</v>
      </c>
      <c r="C3803"/>
      <c r="D3803"/>
      <c r="E3803"/>
      <c r="F3803"/>
      <c r="G3803" t="s">
        <v>5944</v>
      </c>
      <c r="H3803" t="s">
        <v>132</v>
      </c>
      <c r="I3803" t="s">
        <v>2</v>
      </c>
      <c r="J3803" t="s">
        <v>5298</v>
      </c>
      <c r="K3803" t="s">
        <v>52</v>
      </c>
      <c r="L3803" t="s">
        <v>3175</v>
      </c>
      <c r="M3803" t="s">
        <v>134</v>
      </c>
      <c r="N3803" t="s">
        <v>135</v>
      </c>
      <c r="O3803"/>
      <c r="P3803"/>
      <c r="Q3803" t="s">
        <v>168</v>
      </c>
      <c r="R3803"/>
      <c r="S3803"/>
      <c r="T3803" t="s">
        <v>2165</v>
      </c>
      <c r="U3803" t="s">
        <v>137</v>
      </c>
      <c r="V3803" t="s">
        <v>162</v>
      </c>
      <c r="W3803"/>
      <c r="X3803" t="s">
        <v>113</v>
      </c>
      <c r="Y3803"/>
      <c r="Z3803"/>
      <c r="AA3803" t="s">
        <v>2163</v>
      </c>
      <c r="AB3803" t="s">
        <v>2</v>
      </c>
      <c r="AC3803" t="s">
        <v>138</v>
      </c>
      <c r="AD3803" t="s">
        <v>129</v>
      </c>
      <c r="AE3803" s="97"/>
    </row>
    <row r="3804" spans="1:31" ht="14.4" customHeight="1" x14ac:dyDescent="0.3">
      <c r="A3804" t="s">
        <v>6338</v>
      </c>
      <c r="B3804" t="s">
        <v>3177</v>
      </c>
      <c r="C3804"/>
      <c r="D3804"/>
      <c r="E3804"/>
      <c r="F3804"/>
      <c r="G3804" t="s">
        <v>5944</v>
      </c>
      <c r="H3804" t="s">
        <v>132</v>
      </c>
      <c r="I3804" t="s">
        <v>2</v>
      </c>
      <c r="J3804" t="s">
        <v>5298</v>
      </c>
      <c r="K3804" t="s">
        <v>52</v>
      </c>
      <c r="L3804" t="s">
        <v>3175</v>
      </c>
      <c r="M3804" t="s">
        <v>134</v>
      </c>
      <c r="N3804" t="s">
        <v>135</v>
      </c>
      <c r="O3804"/>
      <c r="P3804"/>
      <c r="Q3804" t="s">
        <v>168</v>
      </c>
      <c r="R3804"/>
      <c r="S3804"/>
      <c r="T3804" t="s">
        <v>2165</v>
      </c>
      <c r="U3804" t="s">
        <v>137</v>
      </c>
      <c r="V3804" t="s">
        <v>162</v>
      </c>
      <c r="W3804"/>
      <c r="X3804" t="s">
        <v>113</v>
      </c>
      <c r="Y3804"/>
      <c r="Z3804"/>
      <c r="AA3804" t="s">
        <v>2163</v>
      </c>
      <c r="AB3804" t="s">
        <v>2</v>
      </c>
      <c r="AC3804" t="s">
        <v>138</v>
      </c>
      <c r="AD3804" t="s">
        <v>129</v>
      </c>
      <c r="AE3804" s="97"/>
    </row>
    <row r="3805" spans="1:31" ht="14.4" customHeight="1" x14ac:dyDescent="0.3">
      <c r="A3805" t="s">
        <v>6339</v>
      </c>
      <c r="B3805" t="s">
        <v>3179</v>
      </c>
      <c r="C3805"/>
      <c r="D3805"/>
      <c r="E3805"/>
      <c r="F3805"/>
      <c r="G3805" t="s">
        <v>5944</v>
      </c>
      <c r="H3805" t="s">
        <v>132</v>
      </c>
      <c r="I3805" t="s">
        <v>2</v>
      </c>
      <c r="J3805" t="s">
        <v>5298</v>
      </c>
      <c r="K3805" t="s">
        <v>52</v>
      </c>
      <c r="L3805" t="s">
        <v>3175</v>
      </c>
      <c r="M3805" t="s">
        <v>134</v>
      </c>
      <c r="N3805" t="s">
        <v>135</v>
      </c>
      <c r="O3805"/>
      <c r="P3805"/>
      <c r="Q3805" t="s">
        <v>168</v>
      </c>
      <c r="R3805"/>
      <c r="S3805"/>
      <c r="T3805" t="s">
        <v>2165</v>
      </c>
      <c r="U3805" t="s">
        <v>137</v>
      </c>
      <c r="V3805" t="s">
        <v>162</v>
      </c>
      <c r="W3805"/>
      <c r="X3805" t="s">
        <v>113</v>
      </c>
      <c r="Y3805"/>
      <c r="Z3805"/>
      <c r="AA3805" t="s">
        <v>2163</v>
      </c>
      <c r="AB3805" t="s">
        <v>2</v>
      </c>
      <c r="AC3805" t="s">
        <v>138</v>
      </c>
      <c r="AD3805" t="s">
        <v>129</v>
      </c>
      <c r="AE3805" s="97"/>
    </row>
    <row r="3806" spans="1:31" ht="14.4" customHeight="1" x14ac:dyDescent="0.3">
      <c r="A3806" t="s">
        <v>6340</v>
      </c>
      <c r="B3806" t="s">
        <v>3181</v>
      </c>
      <c r="C3806"/>
      <c r="D3806"/>
      <c r="E3806"/>
      <c r="F3806"/>
      <c r="G3806" t="s">
        <v>5944</v>
      </c>
      <c r="H3806" t="s">
        <v>132</v>
      </c>
      <c r="I3806" t="s">
        <v>2</v>
      </c>
      <c r="J3806" t="s">
        <v>5298</v>
      </c>
      <c r="K3806" t="s">
        <v>52</v>
      </c>
      <c r="L3806" t="s">
        <v>3182</v>
      </c>
      <c r="M3806" t="s">
        <v>134</v>
      </c>
      <c r="N3806" t="s">
        <v>135</v>
      </c>
      <c r="O3806"/>
      <c r="P3806"/>
      <c r="Q3806" t="s">
        <v>168</v>
      </c>
      <c r="R3806"/>
      <c r="S3806"/>
      <c r="T3806" t="s">
        <v>2165</v>
      </c>
      <c r="U3806" t="s">
        <v>137</v>
      </c>
      <c r="V3806" t="s">
        <v>352</v>
      </c>
      <c r="W3806"/>
      <c r="X3806" t="s">
        <v>56</v>
      </c>
      <c r="Y3806"/>
      <c r="Z3806"/>
      <c r="AA3806" t="s">
        <v>2163</v>
      </c>
      <c r="AB3806" t="s">
        <v>2</v>
      </c>
      <c r="AC3806" t="s">
        <v>138</v>
      </c>
      <c r="AD3806" t="s">
        <v>128</v>
      </c>
      <c r="AE3806" s="97"/>
    </row>
    <row r="3807" spans="1:31" ht="14.4" customHeight="1" x14ac:dyDescent="0.3">
      <c r="A3807" t="s">
        <v>6341</v>
      </c>
      <c r="B3807" t="s">
        <v>3184</v>
      </c>
      <c r="C3807"/>
      <c r="D3807"/>
      <c r="E3807"/>
      <c r="F3807"/>
      <c r="G3807" t="s">
        <v>5944</v>
      </c>
      <c r="H3807" t="s">
        <v>132</v>
      </c>
      <c r="I3807" t="s">
        <v>2</v>
      </c>
      <c r="J3807" t="s">
        <v>5298</v>
      </c>
      <c r="K3807" t="s">
        <v>52</v>
      </c>
      <c r="L3807" t="s">
        <v>3185</v>
      </c>
      <c r="M3807" t="s">
        <v>134</v>
      </c>
      <c r="N3807" t="s">
        <v>135</v>
      </c>
      <c r="O3807"/>
      <c r="P3807"/>
      <c r="Q3807" t="s">
        <v>168</v>
      </c>
      <c r="R3807"/>
      <c r="S3807"/>
      <c r="T3807" t="s">
        <v>2165</v>
      </c>
      <c r="U3807" t="s">
        <v>137</v>
      </c>
      <c r="V3807" t="s">
        <v>358</v>
      </c>
      <c r="W3807"/>
      <c r="X3807" t="s">
        <v>124</v>
      </c>
      <c r="Y3807"/>
      <c r="Z3807"/>
      <c r="AA3807" t="s">
        <v>2163</v>
      </c>
      <c r="AB3807" t="s">
        <v>2</v>
      </c>
      <c r="AC3807" t="s">
        <v>138</v>
      </c>
      <c r="AD3807" t="s">
        <v>130</v>
      </c>
      <c r="AE3807" s="97"/>
    </row>
    <row r="3808" spans="1:31" ht="14.4" customHeight="1" x14ac:dyDescent="0.3">
      <c r="A3808" t="s">
        <v>6342</v>
      </c>
      <c r="B3808" t="s">
        <v>3187</v>
      </c>
      <c r="C3808"/>
      <c r="D3808"/>
      <c r="E3808"/>
      <c r="F3808"/>
      <c r="G3808" t="s">
        <v>5944</v>
      </c>
      <c r="H3808" t="s">
        <v>132</v>
      </c>
      <c r="I3808" t="s">
        <v>2</v>
      </c>
      <c r="J3808" t="s">
        <v>5298</v>
      </c>
      <c r="K3808" t="s">
        <v>52</v>
      </c>
      <c r="L3808" t="s">
        <v>3188</v>
      </c>
      <c r="M3808" t="s">
        <v>134</v>
      </c>
      <c r="N3808" t="s">
        <v>135</v>
      </c>
      <c r="O3808"/>
      <c r="P3808"/>
      <c r="Q3808" t="s">
        <v>168</v>
      </c>
      <c r="R3808"/>
      <c r="S3808"/>
      <c r="T3808" t="s">
        <v>2165</v>
      </c>
      <c r="U3808" t="s">
        <v>137</v>
      </c>
      <c r="V3808" t="s">
        <v>358</v>
      </c>
      <c r="W3808"/>
      <c r="X3808" t="s">
        <v>124</v>
      </c>
      <c r="Y3808"/>
      <c r="Z3808"/>
      <c r="AA3808" t="s">
        <v>2163</v>
      </c>
      <c r="AB3808" t="s">
        <v>2</v>
      </c>
      <c r="AC3808" t="s">
        <v>138</v>
      </c>
      <c r="AD3808" t="s">
        <v>130</v>
      </c>
      <c r="AE3808" s="97"/>
    </row>
    <row r="3809" spans="1:31" ht="14.4" customHeight="1" x14ac:dyDescent="0.3">
      <c r="A3809" t="s">
        <v>6343</v>
      </c>
      <c r="B3809" t="s">
        <v>3190</v>
      </c>
      <c r="C3809"/>
      <c r="D3809"/>
      <c r="E3809"/>
      <c r="F3809"/>
      <c r="G3809" t="s">
        <v>5944</v>
      </c>
      <c r="H3809" t="s">
        <v>132</v>
      </c>
      <c r="I3809" t="s">
        <v>2</v>
      </c>
      <c r="J3809" t="s">
        <v>5298</v>
      </c>
      <c r="K3809" t="s">
        <v>52</v>
      </c>
      <c r="L3809" t="s">
        <v>3191</v>
      </c>
      <c r="M3809" t="s">
        <v>134</v>
      </c>
      <c r="N3809" t="s">
        <v>135</v>
      </c>
      <c r="O3809"/>
      <c r="P3809"/>
      <c r="Q3809" t="s">
        <v>168</v>
      </c>
      <c r="R3809"/>
      <c r="S3809"/>
      <c r="T3809" t="s">
        <v>2165</v>
      </c>
      <c r="U3809" t="s">
        <v>137</v>
      </c>
      <c r="V3809" t="s">
        <v>358</v>
      </c>
      <c r="W3809"/>
      <c r="X3809" t="s">
        <v>124</v>
      </c>
      <c r="Y3809"/>
      <c r="Z3809"/>
      <c r="AA3809" t="s">
        <v>2163</v>
      </c>
      <c r="AB3809" t="s">
        <v>2</v>
      </c>
      <c r="AC3809" t="s">
        <v>138</v>
      </c>
      <c r="AD3809" t="s">
        <v>130</v>
      </c>
      <c r="AE3809" s="97"/>
    </row>
    <row r="3810" spans="1:31" ht="14.4" customHeight="1" x14ac:dyDescent="0.3">
      <c r="A3810" t="s">
        <v>6344</v>
      </c>
      <c r="B3810" t="s">
        <v>3193</v>
      </c>
      <c r="C3810"/>
      <c r="D3810"/>
      <c r="E3810"/>
      <c r="F3810"/>
      <c r="G3810" t="s">
        <v>5944</v>
      </c>
      <c r="H3810" t="s">
        <v>132</v>
      </c>
      <c r="I3810" t="s">
        <v>2</v>
      </c>
      <c r="J3810" t="s">
        <v>5298</v>
      </c>
      <c r="K3810" t="s">
        <v>52</v>
      </c>
      <c r="L3810" t="s">
        <v>3194</v>
      </c>
      <c r="M3810" t="s">
        <v>134</v>
      </c>
      <c r="N3810" t="s">
        <v>135</v>
      </c>
      <c r="O3810"/>
      <c r="P3810"/>
      <c r="Q3810" t="s">
        <v>168</v>
      </c>
      <c r="R3810"/>
      <c r="S3810"/>
      <c r="T3810" t="s">
        <v>2165</v>
      </c>
      <c r="U3810" t="s">
        <v>137</v>
      </c>
      <c r="V3810" t="s">
        <v>358</v>
      </c>
      <c r="W3810"/>
      <c r="X3810" t="s">
        <v>124</v>
      </c>
      <c r="Y3810"/>
      <c r="Z3810"/>
      <c r="AA3810" t="s">
        <v>2163</v>
      </c>
      <c r="AB3810" t="s">
        <v>2</v>
      </c>
      <c r="AC3810" t="s">
        <v>138</v>
      </c>
      <c r="AD3810" t="s">
        <v>130</v>
      </c>
      <c r="AE3810" s="97"/>
    </row>
    <row r="3811" spans="1:31" ht="14.4" customHeight="1" x14ac:dyDescent="0.3">
      <c r="A3811" t="s">
        <v>6345</v>
      </c>
      <c r="B3811" t="s">
        <v>3196</v>
      </c>
      <c r="C3811"/>
      <c r="D3811"/>
      <c r="E3811"/>
      <c r="F3811"/>
      <c r="G3811" t="s">
        <v>5944</v>
      </c>
      <c r="H3811" t="s">
        <v>132</v>
      </c>
      <c r="I3811" t="s">
        <v>2</v>
      </c>
      <c r="J3811" t="s">
        <v>5298</v>
      </c>
      <c r="K3811" t="s">
        <v>52</v>
      </c>
      <c r="L3811" t="s">
        <v>3197</v>
      </c>
      <c r="M3811" t="s">
        <v>134</v>
      </c>
      <c r="N3811" t="s">
        <v>135</v>
      </c>
      <c r="O3811"/>
      <c r="P3811"/>
      <c r="Q3811" t="s">
        <v>168</v>
      </c>
      <c r="R3811"/>
      <c r="S3811"/>
      <c r="T3811" t="s">
        <v>2165</v>
      </c>
      <c r="U3811" t="s">
        <v>137</v>
      </c>
      <c r="V3811" t="s">
        <v>358</v>
      </c>
      <c r="W3811"/>
      <c r="X3811" t="s">
        <v>124</v>
      </c>
      <c r="Y3811"/>
      <c r="Z3811"/>
      <c r="AA3811" t="s">
        <v>2163</v>
      </c>
      <c r="AB3811" t="s">
        <v>2</v>
      </c>
      <c r="AC3811" t="s">
        <v>138</v>
      </c>
      <c r="AD3811" t="s">
        <v>130</v>
      </c>
      <c r="AE3811" s="97"/>
    </row>
    <row r="3812" spans="1:31" ht="14.4" customHeight="1" x14ac:dyDescent="0.3">
      <c r="A3812" t="s">
        <v>6346</v>
      </c>
      <c r="B3812" t="s">
        <v>3199</v>
      </c>
      <c r="C3812"/>
      <c r="D3812"/>
      <c r="E3812"/>
      <c r="F3812"/>
      <c r="G3812" t="s">
        <v>5944</v>
      </c>
      <c r="H3812" t="s">
        <v>132</v>
      </c>
      <c r="I3812" t="s">
        <v>2</v>
      </c>
      <c r="J3812" t="s">
        <v>5298</v>
      </c>
      <c r="K3812" t="s">
        <v>52</v>
      </c>
      <c r="L3812" t="s">
        <v>3200</v>
      </c>
      <c r="M3812" t="s">
        <v>134</v>
      </c>
      <c r="N3812" t="s">
        <v>135</v>
      </c>
      <c r="O3812"/>
      <c r="P3812"/>
      <c r="Q3812" t="s">
        <v>168</v>
      </c>
      <c r="R3812"/>
      <c r="S3812"/>
      <c r="T3812" t="s">
        <v>2165</v>
      </c>
      <c r="U3812" t="s">
        <v>137</v>
      </c>
      <c r="V3812" t="s">
        <v>358</v>
      </c>
      <c r="W3812"/>
      <c r="X3812" t="s">
        <v>124</v>
      </c>
      <c r="Y3812"/>
      <c r="Z3812"/>
      <c r="AA3812" t="s">
        <v>2163</v>
      </c>
      <c r="AB3812" t="s">
        <v>2</v>
      </c>
      <c r="AC3812" t="s">
        <v>138</v>
      </c>
      <c r="AD3812" t="s">
        <v>130</v>
      </c>
      <c r="AE3812" s="97"/>
    </row>
    <row r="3813" spans="1:31" ht="14.4" customHeight="1" x14ac:dyDescent="0.3">
      <c r="A3813" t="s">
        <v>6347</v>
      </c>
      <c r="B3813" t="s">
        <v>3202</v>
      </c>
      <c r="C3813"/>
      <c r="D3813"/>
      <c r="E3813"/>
      <c r="F3813"/>
      <c r="G3813" t="s">
        <v>5944</v>
      </c>
      <c r="H3813" t="s">
        <v>132</v>
      </c>
      <c r="I3813" t="s">
        <v>2</v>
      </c>
      <c r="J3813" t="s">
        <v>5298</v>
      </c>
      <c r="K3813" t="s">
        <v>52</v>
      </c>
      <c r="L3813" t="s">
        <v>3203</v>
      </c>
      <c r="M3813" t="s">
        <v>134</v>
      </c>
      <c r="N3813" t="s">
        <v>135</v>
      </c>
      <c r="O3813"/>
      <c r="P3813"/>
      <c r="Q3813" t="s">
        <v>168</v>
      </c>
      <c r="R3813"/>
      <c r="S3813"/>
      <c r="T3813" t="s">
        <v>2165</v>
      </c>
      <c r="U3813" t="s">
        <v>137</v>
      </c>
      <c r="V3813" t="s">
        <v>358</v>
      </c>
      <c r="W3813"/>
      <c r="X3813" t="s">
        <v>124</v>
      </c>
      <c r="Y3813"/>
      <c r="Z3813"/>
      <c r="AA3813" t="s">
        <v>2163</v>
      </c>
      <c r="AB3813" t="s">
        <v>2</v>
      </c>
      <c r="AC3813" t="s">
        <v>138</v>
      </c>
      <c r="AD3813" t="s">
        <v>130</v>
      </c>
      <c r="AE3813" s="97"/>
    </row>
    <row r="3814" spans="1:31" ht="14.4" customHeight="1" x14ac:dyDescent="0.3">
      <c r="A3814" t="s">
        <v>6348</v>
      </c>
      <c r="B3814" t="s">
        <v>3205</v>
      </c>
      <c r="C3814"/>
      <c r="D3814"/>
      <c r="E3814"/>
      <c r="F3814"/>
      <c r="G3814" t="s">
        <v>5944</v>
      </c>
      <c r="H3814" t="s">
        <v>132</v>
      </c>
      <c r="I3814" t="s">
        <v>2</v>
      </c>
      <c r="J3814" t="s">
        <v>5298</v>
      </c>
      <c r="K3814" t="s">
        <v>52</v>
      </c>
      <c r="L3814" t="s">
        <v>3206</v>
      </c>
      <c r="M3814" t="s">
        <v>134</v>
      </c>
      <c r="N3814" t="s">
        <v>135</v>
      </c>
      <c r="O3814"/>
      <c r="P3814"/>
      <c r="Q3814" t="s">
        <v>168</v>
      </c>
      <c r="R3814"/>
      <c r="S3814"/>
      <c r="T3814" t="s">
        <v>2165</v>
      </c>
      <c r="U3814" t="s">
        <v>137</v>
      </c>
      <c r="V3814" t="s">
        <v>358</v>
      </c>
      <c r="W3814"/>
      <c r="X3814" t="s">
        <v>124</v>
      </c>
      <c r="Y3814"/>
      <c r="Z3814"/>
      <c r="AA3814" t="s">
        <v>2163</v>
      </c>
      <c r="AB3814" t="s">
        <v>2</v>
      </c>
      <c r="AC3814" t="s">
        <v>138</v>
      </c>
      <c r="AD3814" t="s">
        <v>130</v>
      </c>
      <c r="AE3814" s="97"/>
    </row>
    <row r="3815" spans="1:31" ht="14.4" customHeight="1" x14ac:dyDescent="0.3">
      <c r="A3815" t="s">
        <v>6349</v>
      </c>
      <c r="B3815" t="s">
        <v>3208</v>
      </c>
      <c r="C3815"/>
      <c r="D3815"/>
      <c r="E3815"/>
      <c r="F3815"/>
      <c r="G3815" t="s">
        <v>5944</v>
      </c>
      <c r="H3815" t="s">
        <v>132</v>
      </c>
      <c r="I3815" t="s">
        <v>2</v>
      </c>
      <c r="J3815" t="s">
        <v>5298</v>
      </c>
      <c r="K3815" t="s">
        <v>52</v>
      </c>
      <c r="L3815" t="s">
        <v>3185</v>
      </c>
      <c r="M3815" t="s">
        <v>134</v>
      </c>
      <c r="N3815" t="s">
        <v>135</v>
      </c>
      <c r="O3815"/>
      <c r="P3815"/>
      <c r="Q3815" t="s">
        <v>168</v>
      </c>
      <c r="R3815"/>
      <c r="S3815"/>
      <c r="T3815" t="s">
        <v>2165</v>
      </c>
      <c r="U3815" t="s">
        <v>137</v>
      </c>
      <c r="V3815" t="s">
        <v>358</v>
      </c>
      <c r="W3815"/>
      <c r="X3815" t="s">
        <v>124</v>
      </c>
      <c r="Y3815"/>
      <c r="Z3815"/>
      <c r="AA3815" t="s">
        <v>2163</v>
      </c>
      <c r="AB3815" t="s">
        <v>2</v>
      </c>
      <c r="AC3815" t="s">
        <v>138</v>
      </c>
      <c r="AD3815" t="s">
        <v>130</v>
      </c>
      <c r="AE3815" s="97"/>
    </row>
    <row r="3816" spans="1:31" ht="14.4" customHeight="1" x14ac:dyDescent="0.3">
      <c r="A3816" t="s">
        <v>6350</v>
      </c>
      <c r="B3816" t="s">
        <v>3210</v>
      </c>
      <c r="C3816"/>
      <c r="D3816"/>
      <c r="E3816"/>
      <c r="F3816"/>
      <c r="G3816" t="s">
        <v>5944</v>
      </c>
      <c r="H3816" t="s">
        <v>132</v>
      </c>
      <c r="I3816" t="s">
        <v>2</v>
      </c>
      <c r="J3816" t="s">
        <v>5298</v>
      </c>
      <c r="K3816" t="s">
        <v>52</v>
      </c>
      <c r="L3816" t="s">
        <v>3188</v>
      </c>
      <c r="M3816" t="s">
        <v>134</v>
      </c>
      <c r="N3816" t="s">
        <v>135</v>
      </c>
      <c r="O3816"/>
      <c r="P3816"/>
      <c r="Q3816" t="s">
        <v>168</v>
      </c>
      <c r="R3816"/>
      <c r="S3816"/>
      <c r="T3816" t="s">
        <v>2165</v>
      </c>
      <c r="U3816" t="s">
        <v>137</v>
      </c>
      <c r="V3816" t="s">
        <v>358</v>
      </c>
      <c r="W3816"/>
      <c r="X3816" t="s">
        <v>124</v>
      </c>
      <c r="Y3816"/>
      <c r="Z3816"/>
      <c r="AA3816" t="s">
        <v>2163</v>
      </c>
      <c r="AB3816" t="s">
        <v>2</v>
      </c>
      <c r="AC3816" t="s">
        <v>138</v>
      </c>
      <c r="AD3816" t="s">
        <v>130</v>
      </c>
      <c r="AE3816" s="97"/>
    </row>
    <row r="3817" spans="1:31" ht="14.4" customHeight="1" x14ac:dyDescent="0.3">
      <c r="A3817" t="s">
        <v>6351</v>
      </c>
      <c r="B3817" t="s">
        <v>3212</v>
      </c>
      <c r="C3817"/>
      <c r="D3817"/>
      <c r="E3817"/>
      <c r="F3817"/>
      <c r="G3817" t="s">
        <v>5944</v>
      </c>
      <c r="H3817" t="s">
        <v>132</v>
      </c>
      <c r="I3817" t="s">
        <v>2</v>
      </c>
      <c r="J3817" t="s">
        <v>5298</v>
      </c>
      <c r="K3817" t="s">
        <v>52</v>
      </c>
      <c r="L3817" t="s">
        <v>3191</v>
      </c>
      <c r="M3817" t="s">
        <v>134</v>
      </c>
      <c r="N3817" t="s">
        <v>135</v>
      </c>
      <c r="O3817"/>
      <c r="P3817"/>
      <c r="Q3817" t="s">
        <v>168</v>
      </c>
      <c r="R3817"/>
      <c r="S3817"/>
      <c r="T3817" t="s">
        <v>2165</v>
      </c>
      <c r="U3817" t="s">
        <v>137</v>
      </c>
      <c r="V3817" t="s">
        <v>358</v>
      </c>
      <c r="W3817"/>
      <c r="X3817" t="s">
        <v>124</v>
      </c>
      <c r="Y3817"/>
      <c r="Z3817"/>
      <c r="AA3817" t="s">
        <v>2163</v>
      </c>
      <c r="AB3817" t="s">
        <v>2</v>
      </c>
      <c r="AC3817" t="s">
        <v>138</v>
      </c>
      <c r="AD3817" t="s">
        <v>130</v>
      </c>
      <c r="AE3817" s="97"/>
    </row>
    <row r="3818" spans="1:31" ht="14.4" customHeight="1" x14ac:dyDescent="0.3">
      <c r="A3818" t="s">
        <v>6352</v>
      </c>
      <c r="B3818" t="s">
        <v>3214</v>
      </c>
      <c r="C3818"/>
      <c r="D3818"/>
      <c r="E3818"/>
      <c r="F3818"/>
      <c r="G3818" t="s">
        <v>5944</v>
      </c>
      <c r="H3818" t="s">
        <v>132</v>
      </c>
      <c r="I3818" t="s">
        <v>2</v>
      </c>
      <c r="J3818" t="s">
        <v>5298</v>
      </c>
      <c r="K3818" t="s">
        <v>52</v>
      </c>
      <c r="L3818" t="s">
        <v>3194</v>
      </c>
      <c r="M3818" t="s">
        <v>134</v>
      </c>
      <c r="N3818" t="s">
        <v>135</v>
      </c>
      <c r="O3818"/>
      <c r="P3818"/>
      <c r="Q3818" t="s">
        <v>168</v>
      </c>
      <c r="R3818"/>
      <c r="S3818"/>
      <c r="T3818" t="s">
        <v>2165</v>
      </c>
      <c r="U3818" t="s">
        <v>137</v>
      </c>
      <c r="V3818" t="s">
        <v>358</v>
      </c>
      <c r="W3818"/>
      <c r="X3818" t="s">
        <v>124</v>
      </c>
      <c r="Y3818"/>
      <c r="Z3818"/>
      <c r="AA3818" t="s">
        <v>2163</v>
      </c>
      <c r="AB3818" t="s">
        <v>2</v>
      </c>
      <c r="AC3818" t="s">
        <v>138</v>
      </c>
      <c r="AD3818" t="s">
        <v>130</v>
      </c>
      <c r="AE3818" s="97"/>
    </row>
    <row r="3819" spans="1:31" ht="14.4" customHeight="1" x14ac:dyDescent="0.3">
      <c r="A3819" t="s">
        <v>6353</v>
      </c>
      <c r="B3819" t="s">
        <v>3216</v>
      </c>
      <c r="C3819"/>
      <c r="D3819"/>
      <c r="E3819"/>
      <c r="F3819"/>
      <c r="G3819" t="s">
        <v>5944</v>
      </c>
      <c r="H3819" t="s">
        <v>132</v>
      </c>
      <c r="I3819" t="s">
        <v>2</v>
      </c>
      <c r="J3819" t="s">
        <v>5298</v>
      </c>
      <c r="K3819" t="s">
        <v>52</v>
      </c>
      <c r="L3819" t="s">
        <v>3197</v>
      </c>
      <c r="M3819" t="s">
        <v>134</v>
      </c>
      <c r="N3819" t="s">
        <v>135</v>
      </c>
      <c r="O3819"/>
      <c r="P3819"/>
      <c r="Q3819" t="s">
        <v>168</v>
      </c>
      <c r="R3819"/>
      <c r="S3819"/>
      <c r="T3819" t="s">
        <v>2165</v>
      </c>
      <c r="U3819" t="s">
        <v>137</v>
      </c>
      <c r="V3819" t="s">
        <v>358</v>
      </c>
      <c r="W3819"/>
      <c r="X3819" t="s">
        <v>124</v>
      </c>
      <c r="Y3819"/>
      <c r="Z3819"/>
      <c r="AA3819" t="s">
        <v>2163</v>
      </c>
      <c r="AB3819" t="s">
        <v>2</v>
      </c>
      <c r="AC3819" t="s">
        <v>138</v>
      </c>
      <c r="AD3819" t="s">
        <v>130</v>
      </c>
      <c r="AE3819" s="97"/>
    </row>
    <row r="3820" spans="1:31" ht="14.4" customHeight="1" x14ac:dyDescent="0.3">
      <c r="A3820" t="s">
        <v>6354</v>
      </c>
      <c r="B3820" t="s">
        <v>3218</v>
      </c>
      <c r="C3820"/>
      <c r="D3820"/>
      <c r="E3820"/>
      <c r="F3820"/>
      <c r="G3820" t="s">
        <v>5944</v>
      </c>
      <c r="H3820" t="s">
        <v>132</v>
      </c>
      <c r="I3820" t="s">
        <v>2</v>
      </c>
      <c r="J3820" t="s">
        <v>5298</v>
      </c>
      <c r="K3820" t="s">
        <v>52</v>
      </c>
      <c r="L3820" t="s">
        <v>3200</v>
      </c>
      <c r="M3820" t="s">
        <v>134</v>
      </c>
      <c r="N3820" t="s">
        <v>135</v>
      </c>
      <c r="O3820"/>
      <c r="P3820"/>
      <c r="Q3820" t="s">
        <v>168</v>
      </c>
      <c r="R3820"/>
      <c r="S3820"/>
      <c r="T3820" t="s">
        <v>2165</v>
      </c>
      <c r="U3820" t="s">
        <v>137</v>
      </c>
      <c r="V3820" t="s">
        <v>358</v>
      </c>
      <c r="W3820"/>
      <c r="X3820" t="s">
        <v>124</v>
      </c>
      <c r="Y3820"/>
      <c r="Z3820"/>
      <c r="AA3820" t="s">
        <v>2163</v>
      </c>
      <c r="AB3820" t="s">
        <v>2</v>
      </c>
      <c r="AC3820" t="s">
        <v>138</v>
      </c>
      <c r="AD3820" t="s">
        <v>130</v>
      </c>
      <c r="AE3820" s="97"/>
    </row>
    <row r="3821" spans="1:31" ht="14.4" customHeight="1" x14ac:dyDescent="0.3">
      <c r="A3821" t="s">
        <v>6355</v>
      </c>
      <c r="B3821" t="s">
        <v>3220</v>
      </c>
      <c r="C3821"/>
      <c r="D3821"/>
      <c r="E3821"/>
      <c r="F3821"/>
      <c r="G3821" t="s">
        <v>5944</v>
      </c>
      <c r="H3821" t="s">
        <v>132</v>
      </c>
      <c r="I3821" t="s">
        <v>2</v>
      </c>
      <c r="J3821" t="s">
        <v>5298</v>
      </c>
      <c r="K3821" t="s">
        <v>52</v>
      </c>
      <c r="L3821" t="s">
        <v>3203</v>
      </c>
      <c r="M3821" t="s">
        <v>134</v>
      </c>
      <c r="N3821" t="s">
        <v>135</v>
      </c>
      <c r="O3821"/>
      <c r="P3821"/>
      <c r="Q3821" t="s">
        <v>168</v>
      </c>
      <c r="R3821"/>
      <c r="S3821"/>
      <c r="T3821" t="s">
        <v>2165</v>
      </c>
      <c r="U3821" t="s">
        <v>137</v>
      </c>
      <c r="V3821" t="s">
        <v>358</v>
      </c>
      <c r="W3821"/>
      <c r="X3821" t="s">
        <v>124</v>
      </c>
      <c r="Y3821"/>
      <c r="Z3821"/>
      <c r="AA3821" t="s">
        <v>2163</v>
      </c>
      <c r="AB3821" t="s">
        <v>2</v>
      </c>
      <c r="AC3821" t="s">
        <v>138</v>
      </c>
      <c r="AD3821" t="s">
        <v>130</v>
      </c>
      <c r="AE3821" s="97"/>
    </row>
    <row r="3822" spans="1:31" ht="14.4" customHeight="1" x14ac:dyDescent="0.3">
      <c r="A3822" t="s">
        <v>6356</v>
      </c>
      <c r="B3822" t="s">
        <v>3224</v>
      </c>
      <c r="C3822"/>
      <c r="D3822"/>
      <c r="E3822"/>
      <c r="F3822"/>
      <c r="G3822" t="s">
        <v>5944</v>
      </c>
      <c r="H3822" t="s">
        <v>132</v>
      </c>
      <c r="I3822" t="s">
        <v>2</v>
      </c>
      <c r="J3822" t="s">
        <v>5298</v>
      </c>
      <c r="K3822" t="s">
        <v>52</v>
      </c>
      <c r="L3822" t="s">
        <v>3225</v>
      </c>
      <c r="M3822" t="s">
        <v>134</v>
      </c>
      <c r="N3822" t="s">
        <v>135</v>
      </c>
      <c r="O3822"/>
      <c r="P3822"/>
      <c r="Q3822" t="s">
        <v>168</v>
      </c>
      <c r="R3822"/>
      <c r="S3822"/>
      <c r="T3822" t="s">
        <v>2165</v>
      </c>
      <c r="U3822" t="s">
        <v>137</v>
      </c>
      <c r="V3822" t="s">
        <v>1190</v>
      </c>
      <c r="W3822"/>
      <c r="X3822" t="s">
        <v>67</v>
      </c>
      <c r="Y3822"/>
      <c r="Z3822"/>
      <c r="AA3822" t="s">
        <v>2163</v>
      </c>
      <c r="AB3822" t="s">
        <v>2</v>
      </c>
      <c r="AC3822" t="s">
        <v>138</v>
      </c>
      <c r="AD3822" t="s">
        <v>128</v>
      </c>
      <c r="AE3822" s="97"/>
    </row>
    <row r="3823" spans="1:31" ht="14.4" customHeight="1" x14ac:dyDescent="0.3">
      <c r="A3823" t="s">
        <v>6357</v>
      </c>
      <c r="B3823" t="s">
        <v>3227</v>
      </c>
      <c r="C3823"/>
      <c r="D3823"/>
      <c r="E3823"/>
      <c r="F3823"/>
      <c r="G3823" t="s">
        <v>5944</v>
      </c>
      <c r="H3823" t="s">
        <v>132</v>
      </c>
      <c r="I3823" t="s">
        <v>2</v>
      </c>
      <c r="J3823" t="s">
        <v>5298</v>
      </c>
      <c r="K3823" t="s">
        <v>52</v>
      </c>
      <c r="L3823" t="s">
        <v>3228</v>
      </c>
      <c r="M3823" t="s">
        <v>134</v>
      </c>
      <c r="N3823" t="s">
        <v>135</v>
      </c>
      <c r="O3823"/>
      <c r="P3823"/>
      <c r="Q3823" t="s">
        <v>168</v>
      </c>
      <c r="R3823"/>
      <c r="S3823"/>
      <c r="T3823" t="s">
        <v>2165</v>
      </c>
      <c r="U3823" t="s">
        <v>137</v>
      </c>
      <c r="V3823" t="s">
        <v>1194</v>
      </c>
      <c r="W3823"/>
      <c r="X3823" t="s">
        <v>75</v>
      </c>
      <c r="Y3823"/>
      <c r="Z3823"/>
      <c r="AA3823" t="s">
        <v>2163</v>
      </c>
      <c r="AB3823" t="s">
        <v>2</v>
      </c>
      <c r="AC3823" t="s">
        <v>138</v>
      </c>
      <c r="AD3823" t="s">
        <v>128</v>
      </c>
      <c r="AE3823" s="97"/>
    </row>
    <row r="3824" spans="1:31" ht="14.4" customHeight="1" x14ac:dyDescent="0.3">
      <c r="A3824" t="s">
        <v>6358</v>
      </c>
      <c r="B3824" t="s">
        <v>3230</v>
      </c>
      <c r="C3824"/>
      <c r="D3824"/>
      <c r="E3824"/>
      <c r="F3824"/>
      <c r="G3824" t="s">
        <v>5944</v>
      </c>
      <c r="H3824" t="s">
        <v>132</v>
      </c>
      <c r="I3824" t="s">
        <v>2</v>
      </c>
      <c r="J3824" t="s">
        <v>5298</v>
      </c>
      <c r="K3824" t="s">
        <v>52</v>
      </c>
      <c r="L3824" t="s">
        <v>3231</v>
      </c>
      <c r="M3824" t="s">
        <v>134</v>
      </c>
      <c r="N3824" t="s">
        <v>135</v>
      </c>
      <c r="O3824"/>
      <c r="P3824"/>
      <c r="Q3824" t="s">
        <v>168</v>
      </c>
      <c r="R3824"/>
      <c r="S3824"/>
      <c r="T3824" t="s">
        <v>2165</v>
      </c>
      <c r="U3824" t="s">
        <v>137</v>
      </c>
      <c r="V3824" t="s">
        <v>1198</v>
      </c>
      <c r="W3824"/>
      <c r="X3824" t="s">
        <v>86</v>
      </c>
      <c r="Y3824"/>
      <c r="Z3824"/>
      <c r="AA3824" t="s">
        <v>2163</v>
      </c>
      <c r="AB3824" t="s">
        <v>2</v>
      </c>
      <c r="AC3824" t="s">
        <v>138</v>
      </c>
      <c r="AD3824" t="s">
        <v>129</v>
      </c>
      <c r="AE3824" s="97"/>
    </row>
    <row r="3825" spans="1:31" ht="14.4" customHeight="1" x14ac:dyDescent="0.3">
      <c r="A3825" t="s">
        <v>6359</v>
      </c>
      <c r="B3825" t="s">
        <v>3233</v>
      </c>
      <c r="C3825"/>
      <c r="D3825"/>
      <c r="E3825"/>
      <c r="F3825"/>
      <c r="G3825" t="s">
        <v>5944</v>
      </c>
      <c r="H3825" t="s">
        <v>132</v>
      </c>
      <c r="I3825" t="s">
        <v>2</v>
      </c>
      <c r="J3825" t="s">
        <v>5298</v>
      </c>
      <c r="K3825" t="s">
        <v>52</v>
      </c>
      <c r="L3825" t="s">
        <v>3234</v>
      </c>
      <c r="M3825" t="s">
        <v>134</v>
      </c>
      <c r="N3825" t="s">
        <v>135</v>
      </c>
      <c r="O3825"/>
      <c r="P3825"/>
      <c r="Q3825" t="s">
        <v>168</v>
      </c>
      <c r="R3825"/>
      <c r="S3825"/>
      <c r="T3825" t="s">
        <v>2165</v>
      </c>
      <c r="U3825" t="s">
        <v>137</v>
      </c>
      <c r="V3825" t="s">
        <v>1202</v>
      </c>
      <c r="W3825"/>
      <c r="X3825" t="s">
        <v>95</v>
      </c>
      <c r="Y3825"/>
      <c r="Z3825"/>
      <c r="AA3825" t="s">
        <v>2163</v>
      </c>
      <c r="AB3825" t="s">
        <v>2</v>
      </c>
      <c r="AC3825" t="s">
        <v>138</v>
      </c>
      <c r="AD3825" t="s">
        <v>129</v>
      </c>
      <c r="AE3825" s="97"/>
    </row>
    <row r="3826" spans="1:31" ht="14.4" customHeight="1" x14ac:dyDescent="0.3">
      <c r="A3826" t="s">
        <v>6360</v>
      </c>
      <c r="B3826" t="s">
        <v>3236</v>
      </c>
      <c r="C3826"/>
      <c r="D3826"/>
      <c r="E3826"/>
      <c r="F3826"/>
      <c r="G3826" t="s">
        <v>5944</v>
      </c>
      <c r="H3826" t="s">
        <v>132</v>
      </c>
      <c r="I3826" t="s">
        <v>2</v>
      </c>
      <c r="J3826" t="s">
        <v>5298</v>
      </c>
      <c r="K3826" t="s">
        <v>52</v>
      </c>
      <c r="L3826" t="s">
        <v>3237</v>
      </c>
      <c r="M3826" t="s">
        <v>134</v>
      </c>
      <c r="N3826" t="s">
        <v>135</v>
      </c>
      <c r="O3826"/>
      <c r="P3826"/>
      <c r="Q3826" t="s">
        <v>168</v>
      </c>
      <c r="R3826"/>
      <c r="S3826"/>
      <c r="T3826" t="s">
        <v>2165</v>
      </c>
      <c r="U3826" t="s">
        <v>137</v>
      </c>
      <c r="V3826" t="s">
        <v>1206</v>
      </c>
      <c r="W3826"/>
      <c r="X3826" t="s">
        <v>104</v>
      </c>
      <c r="Y3826"/>
      <c r="Z3826"/>
      <c r="AA3826" t="s">
        <v>2163</v>
      </c>
      <c r="AB3826" t="s">
        <v>2</v>
      </c>
      <c r="AC3826" t="s">
        <v>138</v>
      </c>
      <c r="AD3826" t="s">
        <v>129</v>
      </c>
      <c r="AE3826" s="97"/>
    </row>
    <row r="3827" spans="1:31" ht="14.4" customHeight="1" x14ac:dyDescent="0.3">
      <c r="A3827" t="s">
        <v>6361</v>
      </c>
      <c r="B3827" t="s">
        <v>3239</v>
      </c>
      <c r="C3827"/>
      <c r="D3827"/>
      <c r="E3827"/>
      <c r="F3827"/>
      <c r="G3827" t="s">
        <v>5944</v>
      </c>
      <c r="H3827" t="s">
        <v>132</v>
      </c>
      <c r="I3827" t="s">
        <v>2</v>
      </c>
      <c r="J3827" t="s">
        <v>5298</v>
      </c>
      <c r="K3827" t="s">
        <v>52</v>
      </c>
      <c r="L3827" t="s">
        <v>3240</v>
      </c>
      <c r="M3827" t="s">
        <v>134</v>
      </c>
      <c r="N3827" t="s">
        <v>135</v>
      </c>
      <c r="O3827"/>
      <c r="P3827"/>
      <c r="Q3827" t="s">
        <v>168</v>
      </c>
      <c r="R3827"/>
      <c r="S3827"/>
      <c r="T3827" t="s">
        <v>2165</v>
      </c>
      <c r="U3827" t="s">
        <v>137</v>
      </c>
      <c r="V3827" t="s">
        <v>1210</v>
      </c>
      <c r="W3827"/>
      <c r="X3827" t="s">
        <v>111</v>
      </c>
      <c r="Y3827"/>
      <c r="Z3827"/>
      <c r="AA3827" t="s">
        <v>2163</v>
      </c>
      <c r="AB3827" t="s">
        <v>2</v>
      </c>
      <c r="AC3827" t="s">
        <v>138</v>
      </c>
      <c r="AD3827" t="s">
        <v>129</v>
      </c>
      <c r="AE3827" s="97"/>
    </row>
    <row r="3828" spans="1:31" ht="14.4" customHeight="1" x14ac:dyDescent="0.3">
      <c r="A3828" t="s">
        <v>6362</v>
      </c>
      <c r="B3828" t="s">
        <v>3242</v>
      </c>
      <c r="C3828"/>
      <c r="D3828"/>
      <c r="E3828"/>
      <c r="F3828"/>
      <c r="G3828" t="s">
        <v>5944</v>
      </c>
      <c r="H3828" t="s">
        <v>132</v>
      </c>
      <c r="I3828" t="s">
        <v>2</v>
      </c>
      <c r="J3828" t="s">
        <v>5298</v>
      </c>
      <c r="K3828" t="s">
        <v>52</v>
      </c>
      <c r="L3828" t="s">
        <v>3243</v>
      </c>
      <c r="M3828" t="s">
        <v>134</v>
      </c>
      <c r="N3828" t="s">
        <v>135</v>
      </c>
      <c r="O3828"/>
      <c r="P3828"/>
      <c r="Q3828" t="s">
        <v>168</v>
      </c>
      <c r="R3828"/>
      <c r="S3828"/>
      <c r="T3828" t="s">
        <v>2165</v>
      </c>
      <c r="U3828" t="s">
        <v>137</v>
      </c>
      <c r="V3828" t="s">
        <v>1214</v>
      </c>
      <c r="W3828"/>
      <c r="X3828" t="s">
        <v>120</v>
      </c>
      <c r="Y3828"/>
      <c r="Z3828"/>
      <c r="AA3828" t="s">
        <v>2163</v>
      </c>
      <c r="AB3828" t="s">
        <v>2</v>
      </c>
      <c r="AC3828" t="s">
        <v>138</v>
      </c>
      <c r="AD3828" t="s">
        <v>130</v>
      </c>
      <c r="AE3828" s="97"/>
    </row>
    <row r="3829" spans="1:31" ht="14.4" customHeight="1" x14ac:dyDescent="0.3">
      <c r="A3829" t="s">
        <v>6363</v>
      </c>
      <c r="B3829" t="s">
        <v>3245</v>
      </c>
      <c r="C3829"/>
      <c r="D3829"/>
      <c r="E3829"/>
      <c r="F3829"/>
      <c r="G3829" t="s">
        <v>5944</v>
      </c>
      <c r="H3829" t="s">
        <v>132</v>
      </c>
      <c r="I3829" t="s">
        <v>2</v>
      </c>
      <c r="J3829" t="s">
        <v>5298</v>
      </c>
      <c r="K3829" t="s">
        <v>52</v>
      </c>
      <c r="L3829" t="s">
        <v>3246</v>
      </c>
      <c r="M3829" t="s">
        <v>134</v>
      </c>
      <c r="N3829" t="s">
        <v>135</v>
      </c>
      <c r="O3829"/>
      <c r="P3829"/>
      <c r="Q3829" t="s">
        <v>168</v>
      </c>
      <c r="R3829"/>
      <c r="S3829"/>
      <c r="T3829" t="s">
        <v>2165</v>
      </c>
      <c r="U3829" t="s">
        <v>137</v>
      </c>
      <c r="V3829" t="s">
        <v>147</v>
      </c>
      <c r="W3829"/>
      <c r="X3829" t="s">
        <v>70</v>
      </c>
      <c r="Y3829"/>
      <c r="Z3829"/>
      <c r="AA3829" t="s">
        <v>2163</v>
      </c>
      <c r="AB3829" t="s">
        <v>2</v>
      </c>
      <c r="AC3829" t="s">
        <v>138</v>
      </c>
      <c r="AD3829" t="s">
        <v>128</v>
      </c>
      <c r="AE3829" s="97"/>
    </row>
    <row r="3830" spans="1:31" ht="14.4" customHeight="1" x14ac:dyDescent="0.3">
      <c r="A3830" t="s">
        <v>6364</v>
      </c>
      <c r="B3830" t="s">
        <v>3248</v>
      </c>
      <c r="C3830"/>
      <c r="D3830"/>
      <c r="E3830"/>
      <c r="F3830"/>
      <c r="G3830" t="s">
        <v>5944</v>
      </c>
      <c r="H3830" t="s">
        <v>132</v>
      </c>
      <c r="I3830" t="s">
        <v>2</v>
      </c>
      <c r="J3830" t="s">
        <v>5298</v>
      </c>
      <c r="K3830" t="s">
        <v>52</v>
      </c>
      <c r="L3830" t="s">
        <v>3246</v>
      </c>
      <c r="M3830" t="s">
        <v>134</v>
      </c>
      <c r="N3830" t="s">
        <v>135</v>
      </c>
      <c r="O3830"/>
      <c r="P3830"/>
      <c r="Q3830" t="s">
        <v>168</v>
      </c>
      <c r="R3830"/>
      <c r="S3830"/>
      <c r="T3830" t="s">
        <v>2165</v>
      </c>
      <c r="U3830" t="s">
        <v>137</v>
      </c>
      <c r="V3830" t="s">
        <v>147</v>
      </c>
      <c r="W3830"/>
      <c r="X3830" t="s">
        <v>70</v>
      </c>
      <c r="Y3830"/>
      <c r="Z3830"/>
      <c r="AA3830" t="s">
        <v>2163</v>
      </c>
      <c r="AB3830" t="s">
        <v>2</v>
      </c>
      <c r="AC3830" t="s">
        <v>138</v>
      </c>
      <c r="AD3830" t="s">
        <v>128</v>
      </c>
      <c r="AE3830" s="97"/>
    </row>
    <row r="3831" spans="1:31" ht="14.4" customHeight="1" x14ac:dyDescent="0.3">
      <c r="A3831" t="s">
        <v>6365</v>
      </c>
      <c r="B3831" t="s">
        <v>3250</v>
      </c>
      <c r="C3831"/>
      <c r="D3831"/>
      <c r="E3831"/>
      <c r="F3831"/>
      <c r="G3831" t="s">
        <v>5944</v>
      </c>
      <c r="H3831" t="s">
        <v>132</v>
      </c>
      <c r="I3831" t="s">
        <v>2</v>
      </c>
      <c r="J3831" t="s">
        <v>5298</v>
      </c>
      <c r="K3831" t="s">
        <v>52</v>
      </c>
      <c r="L3831" t="s">
        <v>3251</v>
      </c>
      <c r="M3831" t="s">
        <v>134</v>
      </c>
      <c r="N3831" t="s">
        <v>135</v>
      </c>
      <c r="O3831"/>
      <c r="P3831"/>
      <c r="Q3831" t="s">
        <v>168</v>
      </c>
      <c r="R3831"/>
      <c r="S3831"/>
      <c r="T3831" t="s">
        <v>2165</v>
      </c>
      <c r="U3831" t="s">
        <v>137</v>
      </c>
      <c r="V3831" t="s">
        <v>147</v>
      </c>
      <c r="W3831"/>
      <c r="X3831" t="s">
        <v>70</v>
      </c>
      <c r="Y3831"/>
      <c r="Z3831"/>
      <c r="AA3831" t="s">
        <v>2163</v>
      </c>
      <c r="AB3831" t="s">
        <v>2</v>
      </c>
      <c r="AC3831" t="s">
        <v>138</v>
      </c>
      <c r="AD3831" t="s">
        <v>128</v>
      </c>
      <c r="AE3831" s="97"/>
    </row>
    <row r="3832" spans="1:31" ht="14.4" customHeight="1" x14ac:dyDescent="0.3">
      <c r="A3832" t="s">
        <v>6366</v>
      </c>
      <c r="B3832" t="s">
        <v>3253</v>
      </c>
      <c r="C3832"/>
      <c r="D3832"/>
      <c r="E3832"/>
      <c r="F3832"/>
      <c r="G3832" t="s">
        <v>5944</v>
      </c>
      <c r="H3832" t="s">
        <v>132</v>
      </c>
      <c r="I3832" t="s">
        <v>2</v>
      </c>
      <c r="J3832" t="s">
        <v>5298</v>
      </c>
      <c r="K3832" t="s">
        <v>52</v>
      </c>
      <c r="L3832" t="s">
        <v>3254</v>
      </c>
      <c r="M3832" t="s">
        <v>134</v>
      </c>
      <c r="N3832" t="s">
        <v>135</v>
      </c>
      <c r="O3832"/>
      <c r="P3832"/>
      <c r="Q3832" t="s">
        <v>168</v>
      </c>
      <c r="R3832"/>
      <c r="S3832"/>
      <c r="T3832" t="s">
        <v>2165</v>
      </c>
      <c r="U3832" t="s">
        <v>137</v>
      </c>
      <c r="V3832" t="s">
        <v>150</v>
      </c>
      <c r="W3832"/>
      <c r="X3832" t="s">
        <v>76</v>
      </c>
      <c r="Y3832"/>
      <c r="Z3832"/>
      <c r="AA3832" t="s">
        <v>2163</v>
      </c>
      <c r="AB3832" t="s">
        <v>2</v>
      </c>
      <c r="AC3832" t="s">
        <v>138</v>
      </c>
      <c r="AD3832" t="s">
        <v>128</v>
      </c>
      <c r="AE3832" s="97"/>
    </row>
    <row r="3833" spans="1:31" ht="14.4" customHeight="1" x14ac:dyDescent="0.3">
      <c r="A3833" t="s">
        <v>6367</v>
      </c>
      <c r="B3833" t="s">
        <v>3256</v>
      </c>
      <c r="C3833"/>
      <c r="D3833"/>
      <c r="E3833"/>
      <c r="F3833"/>
      <c r="G3833" t="s">
        <v>5944</v>
      </c>
      <c r="H3833" t="s">
        <v>132</v>
      </c>
      <c r="I3833" t="s">
        <v>2</v>
      </c>
      <c r="J3833" t="s">
        <v>5298</v>
      </c>
      <c r="K3833" t="s">
        <v>52</v>
      </c>
      <c r="L3833" t="s">
        <v>3254</v>
      </c>
      <c r="M3833" t="s">
        <v>134</v>
      </c>
      <c r="N3833" t="s">
        <v>135</v>
      </c>
      <c r="O3833"/>
      <c r="P3833"/>
      <c r="Q3833" t="s">
        <v>168</v>
      </c>
      <c r="R3833"/>
      <c r="S3833"/>
      <c r="T3833" t="s">
        <v>2165</v>
      </c>
      <c r="U3833" t="s">
        <v>137</v>
      </c>
      <c r="V3833" t="s">
        <v>150</v>
      </c>
      <c r="W3833"/>
      <c r="X3833" t="s">
        <v>76</v>
      </c>
      <c r="Y3833"/>
      <c r="Z3833"/>
      <c r="AA3833" t="s">
        <v>2163</v>
      </c>
      <c r="AB3833" t="s">
        <v>2</v>
      </c>
      <c r="AC3833" t="s">
        <v>138</v>
      </c>
      <c r="AD3833" t="s">
        <v>128</v>
      </c>
      <c r="AE3833" s="97"/>
    </row>
    <row r="3834" spans="1:31" ht="14.4" customHeight="1" x14ac:dyDescent="0.3">
      <c r="A3834" t="s">
        <v>6368</v>
      </c>
      <c r="B3834" t="s">
        <v>3258</v>
      </c>
      <c r="C3834"/>
      <c r="D3834"/>
      <c r="E3834"/>
      <c r="F3834"/>
      <c r="G3834" t="s">
        <v>5944</v>
      </c>
      <c r="H3834" t="s">
        <v>132</v>
      </c>
      <c r="I3834" t="s">
        <v>2</v>
      </c>
      <c r="J3834" t="s">
        <v>5298</v>
      </c>
      <c r="K3834" t="s">
        <v>52</v>
      </c>
      <c r="L3834" t="s">
        <v>3259</v>
      </c>
      <c r="M3834" t="s">
        <v>134</v>
      </c>
      <c r="N3834" t="s">
        <v>135</v>
      </c>
      <c r="O3834"/>
      <c r="P3834"/>
      <c r="Q3834" t="s">
        <v>168</v>
      </c>
      <c r="R3834"/>
      <c r="S3834"/>
      <c r="T3834" t="s">
        <v>2165</v>
      </c>
      <c r="U3834" t="s">
        <v>137</v>
      </c>
      <c r="V3834" t="s">
        <v>150</v>
      </c>
      <c r="W3834"/>
      <c r="X3834" t="s">
        <v>76</v>
      </c>
      <c r="Y3834"/>
      <c r="Z3834"/>
      <c r="AA3834" t="s">
        <v>2163</v>
      </c>
      <c r="AB3834" t="s">
        <v>2</v>
      </c>
      <c r="AC3834" t="s">
        <v>138</v>
      </c>
      <c r="AD3834" t="s">
        <v>128</v>
      </c>
      <c r="AE3834" s="97"/>
    </row>
    <row r="3835" spans="1:31" ht="14.4" customHeight="1" x14ac:dyDescent="0.3">
      <c r="A3835" t="s">
        <v>6369</v>
      </c>
      <c r="B3835" t="s">
        <v>3261</v>
      </c>
      <c r="C3835"/>
      <c r="D3835"/>
      <c r="E3835"/>
      <c r="F3835"/>
      <c r="G3835" t="s">
        <v>5944</v>
      </c>
      <c r="H3835" t="s">
        <v>132</v>
      </c>
      <c r="I3835" t="s">
        <v>2</v>
      </c>
      <c r="J3835" t="s">
        <v>5298</v>
      </c>
      <c r="K3835" t="s">
        <v>52</v>
      </c>
      <c r="L3835" t="s">
        <v>3262</v>
      </c>
      <c r="M3835" t="s">
        <v>134</v>
      </c>
      <c r="N3835" t="s">
        <v>135</v>
      </c>
      <c r="O3835"/>
      <c r="P3835"/>
      <c r="Q3835" t="s">
        <v>168</v>
      </c>
      <c r="R3835"/>
      <c r="S3835"/>
      <c r="T3835" t="s">
        <v>2165</v>
      </c>
      <c r="U3835" t="s">
        <v>137</v>
      </c>
      <c r="V3835" t="s">
        <v>153</v>
      </c>
      <c r="W3835"/>
      <c r="X3835" t="s">
        <v>88</v>
      </c>
      <c r="Y3835"/>
      <c r="Z3835"/>
      <c r="AA3835" t="s">
        <v>2163</v>
      </c>
      <c r="AB3835" t="s">
        <v>2</v>
      </c>
      <c r="AC3835" t="s">
        <v>138</v>
      </c>
      <c r="AD3835" t="s">
        <v>129</v>
      </c>
      <c r="AE3835" s="97"/>
    </row>
    <row r="3836" spans="1:31" ht="14.4" customHeight="1" x14ac:dyDescent="0.3">
      <c r="A3836" t="s">
        <v>6370</v>
      </c>
      <c r="B3836" t="s">
        <v>3264</v>
      </c>
      <c r="C3836"/>
      <c r="D3836"/>
      <c r="E3836"/>
      <c r="F3836"/>
      <c r="G3836" t="s">
        <v>5944</v>
      </c>
      <c r="H3836" t="s">
        <v>132</v>
      </c>
      <c r="I3836" t="s">
        <v>2</v>
      </c>
      <c r="J3836" t="s">
        <v>5298</v>
      </c>
      <c r="K3836" t="s">
        <v>52</v>
      </c>
      <c r="L3836" t="s">
        <v>3262</v>
      </c>
      <c r="M3836" t="s">
        <v>134</v>
      </c>
      <c r="N3836" t="s">
        <v>135</v>
      </c>
      <c r="O3836"/>
      <c r="P3836"/>
      <c r="Q3836" t="s">
        <v>168</v>
      </c>
      <c r="R3836"/>
      <c r="S3836"/>
      <c r="T3836" t="s">
        <v>2165</v>
      </c>
      <c r="U3836" t="s">
        <v>137</v>
      </c>
      <c r="V3836" t="s">
        <v>153</v>
      </c>
      <c r="W3836"/>
      <c r="X3836" t="s">
        <v>88</v>
      </c>
      <c r="Y3836"/>
      <c r="Z3836"/>
      <c r="AA3836" t="s">
        <v>2163</v>
      </c>
      <c r="AB3836" t="s">
        <v>2</v>
      </c>
      <c r="AC3836" t="s">
        <v>138</v>
      </c>
      <c r="AD3836" t="s">
        <v>129</v>
      </c>
      <c r="AE3836" s="97"/>
    </row>
    <row r="3837" spans="1:31" ht="14.4" customHeight="1" x14ac:dyDescent="0.3">
      <c r="A3837" t="s">
        <v>6371</v>
      </c>
      <c r="B3837" t="s">
        <v>3266</v>
      </c>
      <c r="C3837"/>
      <c r="D3837"/>
      <c r="E3837"/>
      <c r="F3837"/>
      <c r="G3837" t="s">
        <v>5944</v>
      </c>
      <c r="H3837" t="s">
        <v>132</v>
      </c>
      <c r="I3837" t="s">
        <v>2</v>
      </c>
      <c r="J3837" t="s">
        <v>5298</v>
      </c>
      <c r="K3837" t="s">
        <v>52</v>
      </c>
      <c r="L3837" t="s">
        <v>3267</v>
      </c>
      <c r="M3837" t="s">
        <v>134</v>
      </c>
      <c r="N3837" t="s">
        <v>135</v>
      </c>
      <c r="O3837"/>
      <c r="P3837"/>
      <c r="Q3837" t="s">
        <v>168</v>
      </c>
      <c r="R3837"/>
      <c r="S3837"/>
      <c r="T3837" t="s">
        <v>2165</v>
      </c>
      <c r="U3837" t="s">
        <v>137</v>
      </c>
      <c r="V3837" t="s">
        <v>153</v>
      </c>
      <c r="W3837"/>
      <c r="X3837" t="s">
        <v>88</v>
      </c>
      <c r="Y3837"/>
      <c r="Z3837"/>
      <c r="AA3837" t="s">
        <v>2163</v>
      </c>
      <c r="AB3837" t="s">
        <v>2</v>
      </c>
      <c r="AC3837" t="s">
        <v>138</v>
      </c>
      <c r="AD3837" t="s">
        <v>129</v>
      </c>
      <c r="AE3837" s="97"/>
    </row>
    <row r="3838" spans="1:31" ht="14.4" customHeight="1" x14ac:dyDescent="0.3">
      <c r="A3838" t="s">
        <v>6372</v>
      </c>
      <c r="B3838" t="s">
        <v>3269</v>
      </c>
      <c r="C3838"/>
      <c r="D3838"/>
      <c r="E3838"/>
      <c r="F3838"/>
      <c r="G3838" t="s">
        <v>5944</v>
      </c>
      <c r="H3838" t="s">
        <v>132</v>
      </c>
      <c r="I3838" t="s">
        <v>2</v>
      </c>
      <c r="J3838" t="s">
        <v>5298</v>
      </c>
      <c r="K3838" t="s">
        <v>52</v>
      </c>
      <c r="L3838" t="s">
        <v>3270</v>
      </c>
      <c r="M3838" t="s">
        <v>134</v>
      </c>
      <c r="N3838" t="s">
        <v>135</v>
      </c>
      <c r="O3838"/>
      <c r="P3838"/>
      <c r="Q3838" t="s">
        <v>168</v>
      </c>
      <c r="R3838"/>
      <c r="S3838"/>
      <c r="T3838" t="s">
        <v>2165</v>
      </c>
      <c r="U3838" t="s">
        <v>137</v>
      </c>
      <c r="V3838" t="s">
        <v>156</v>
      </c>
      <c r="W3838"/>
      <c r="X3838" t="s">
        <v>97</v>
      </c>
      <c r="Y3838"/>
      <c r="Z3838"/>
      <c r="AA3838" t="s">
        <v>2163</v>
      </c>
      <c r="AB3838" t="s">
        <v>2</v>
      </c>
      <c r="AC3838" t="s">
        <v>138</v>
      </c>
      <c r="AD3838" t="s">
        <v>129</v>
      </c>
      <c r="AE3838" s="97"/>
    </row>
    <row r="3839" spans="1:31" ht="14.4" customHeight="1" x14ac:dyDescent="0.3">
      <c r="A3839" t="s">
        <v>6373</v>
      </c>
      <c r="B3839" t="s">
        <v>3272</v>
      </c>
      <c r="C3839"/>
      <c r="D3839"/>
      <c r="E3839"/>
      <c r="F3839"/>
      <c r="G3839" t="s">
        <v>5944</v>
      </c>
      <c r="H3839" t="s">
        <v>132</v>
      </c>
      <c r="I3839" t="s">
        <v>2</v>
      </c>
      <c r="J3839" t="s">
        <v>5298</v>
      </c>
      <c r="K3839" t="s">
        <v>52</v>
      </c>
      <c r="L3839" t="s">
        <v>3270</v>
      </c>
      <c r="M3839" t="s">
        <v>134</v>
      </c>
      <c r="N3839" t="s">
        <v>135</v>
      </c>
      <c r="O3839"/>
      <c r="P3839"/>
      <c r="Q3839" t="s">
        <v>168</v>
      </c>
      <c r="R3839"/>
      <c r="S3839"/>
      <c r="T3839" t="s">
        <v>2165</v>
      </c>
      <c r="U3839" t="s">
        <v>137</v>
      </c>
      <c r="V3839" t="s">
        <v>156</v>
      </c>
      <c r="W3839"/>
      <c r="X3839" t="s">
        <v>97</v>
      </c>
      <c r="Y3839"/>
      <c r="Z3839"/>
      <c r="AA3839" t="s">
        <v>2163</v>
      </c>
      <c r="AB3839" t="s">
        <v>2</v>
      </c>
      <c r="AC3839" t="s">
        <v>138</v>
      </c>
      <c r="AD3839" t="s">
        <v>129</v>
      </c>
      <c r="AE3839" s="97"/>
    </row>
    <row r="3840" spans="1:31" ht="14.4" customHeight="1" x14ac:dyDescent="0.3">
      <c r="A3840" t="s">
        <v>6374</v>
      </c>
      <c r="B3840" t="s">
        <v>3274</v>
      </c>
      <c r="C3840"/>
      <c r="D3840"/>
      <c r="E3840"/>
      <c r="F3840"/>
      <c r="G3840" t="s">
        <v>5944</v>
      </c>
      <c r="H3840" t="s">
        <v>132</v>
      </c>
      <c r="I3840" t="s">
        <v>2</v>
      </c>
      <c r="J3840" t="s">
        <v>5298</v>
      </c>
      <c r="K3840" t="s">
        <v>52</v>
      </c>
      <c r="L3840" t="s">
        <v>3275</v>
      </c>
      <c r="M3840" t="s">
        <v>134</v>
      </c>
      <c r="N3840" t="s">
        <v>135</v>
      </c>
      <c r="O3840"/>
      <c r="P3840"/>
      <c r="Q3840" t="s">
        <v>168</v>
      </c>
      <c r="R3840"/>
      <c r="S3840"/>
      <c r="T3840" t="s">
        <v>2165</v>
      </c>
      <c r="U3840" t="s">
        <v>137</v>
      </c>
      <c r="V3840" t="s">
        <v>156</v>
      </c>
      <c r="W3840"/>
      <c r="X3840" t="s">
        <v>97</v>
      </c>
      <c r="Y3840"/>
      <c r="Z3840"/>
      <c r="AA3840" t="s">
        <v>2163</v>
      </c>
      <c r="AB3840" t="s">
        <v>2</v>
      </c>
      <c r="AC3840" t="s">
        <v>138</v>
      </c>
      <c r="AD3840" t="s">
        <v>129</v>
      </c>
      <c r="AE3840" s="97"/>
    </row>
    <row r="3841" spans="1:31" ht="14.4" customHeight="1" x14ac:dyDescent="0.3">
      <c r="A3841" t="s">
        <v>6375</v>
      </c>
      <c r="B3841" t="s">
        <v>3277</v>
      </c>
      <c r="C3841"/>
      <c r="D3841"/>
      <c r="E3841"/>
      <c r="F3841"/>
      <c r="G3841" t="s">
        <v>5944</v>
      </c>
      <c r="H3841" t="s">
        <v>132</v>
      </c>
      <c r="I3841" t="s">
        <v>2</v>
      </c>
      <c r="J3841" t="s">
        <v>5298</v>
      </c>
      <c r="K3841" t="s">
        <v>52</v>
      </c>
      <c r="L3841" t="s">
        <v>3278</v>
      </c>
      <c r="M3841" t="s">
        <v>134</v>
      </c>
      <c r="N3841" t="s">
        <v>135</v>
      </c>
      <c r="O3841"/>
      <c r="P3841"/>
      <c r="Q3841" t="s">
        <v>168</v>
      </c>
      <c r="R3841"/>
      <c r="S3841"/>
      <c r="T3841" t="s">
        <v>2165</v>
      </c>
      <c r="U3841" t="s">
        <v>137</v>
      </c>
      <c r="V3841" t="s">
        <v>159</v>
      </c>
      <c r="W3841"/>
      <c r="X3841" t="s">
        <v>106</v>
      </c>
      <c r="Y3841"/>
      <c r="Z3841"/>
      <c r="AA3841" t="s">
        <v>2163</v>
      </c>
      <c r="AB3841" t="s">
        <v>2</v>
      </c>
      <c r="AC3841" t="s">
        <v>138</v>
      </c>
      <c r="AD3841" t="s">
        <v>129</v>
      </c>
      <c r="AE3841" s="97"/>
    </row>
    <row r="3842" spans="1:31" ht="14.4" customHeight="1" x14ac:dyDescent="0.3">
      <c r="A3842" t="s">
        <v>6376</v>
      </c>
      <c r="B3842" t="s">
        <v>3280</v>
      </c>
      <c r="C3842"/>
      <c r="D3842"/>
      <c r="E3842"/>
      <c r="F3842"/>
      <c r="G3842" t="s">
        <v>5944</v>
      </c>
      <c r="H3842" t="s">
        <v>132</v>
      </c>
      <c r="I3842" t="s">
        <v>2</v>
      </c>
      <c r="J3842" t="s">
        <v>5298</v>
      </c>
      <c r="K3842" t="s">
        <v>52</v>
      </c>
      <c r="L3842" t="s">
        <v>3278</v>
      </c>
      <c r="M3842" t="s">
        <v>134</v>
      </c>
      <c r="N3842" t="s">
        <v>135</v>
      </c>
      <c r="O3842"/>
      <c r="P3842"/>
      <c r="Q3842" t="s">
        <v>168</v>
      </c>
      <c r="R3842"/>
      <c r="S3842"/>
      <c r="T3842" t="s">
        <v>2165</v>
      </c>
      <c r="U3842" t="s">
        <v>137</v>
      </c>
      <c r="V3842" t="s">
        <v>159</v>
      </c>
      <c r="W3842"/>
      <c r="X3842" t="s">
        <v>106</v>
      </c>
      <c r="Y3842"/>
      <c r="Z3842"/>
      <c r="AA3842" t="s">
        <v>2163</v>
      </c>
      <c r="AB3842" t="s">
        <v>2</v>
      </c>
      <c r="AC3842" t="s">
        <v>138</v>
      </c>
      <c r="AD3842" t="s">
        <v>129</v>
      </c>
      <c r="AE3842" s="97"/>
    </row>
    <row r="3843" spans="1:31" ht="14.4" customHeight="1" x14ac:dyDescent="0.3">
      <c r="A3843" t="s">
        <v>6377</v>
      </c>
      <c r="B3843" t="s">
        <v>3282</v>
      </c>
      <c r="C3843"/>
      <c r="D3843"/>
      <c r="E3843"/>
      <c r="F3843"/>
      <c r="G3843" t="s">
        <v>5944</v>
      </c>
      <c r="H3843" t="s">
        <v>132</v>
      </c>
      <c r="I3843" t="s">
        <v>2</v>
      </c>
      <c r="J3843" t="s">
        <v>5298</v>
      </c>
      <c r="K3843" t="s">
        <v>52</v>
      </c>
      <c r="L3843" t="s">
        <v>3283</v>
      </c>
      <c r="M3843" t="s">
        <v>134</v>
      </c>
      <c r="N3843" t="s">
        <v>135</v>
      </c>
      <c r="O3843"/>
      <c r="P3843"/>
      <c r="Q3843" t="s">
        <v>168</v>
      </c>
      <c r="R3843"/>
      <c r="S3843"/>
      <c r="T3843" t="s">
        <v>2165</v>
      </c>
      <c r="U3843" t="s">
        <v>137</v>
      </c>
      <c r="V3843" t="s">
        <v>159</v>
      </c>
      <c r="W3843"/>
      <c r="X3843" t="s">
        <v>106</v>
      </c>
      <c r="Y3843"/>
      <c r="Z3843"/>
      <c r="AA3843" t="s">
        <v>2163</v>
      </c>
      <c r="AB3843" t="s">
        <v>2</v>
      </c>
      <c r="AC3843" t="s">
        <v>138</v>
      </c>
      <c r="AD3843" t="s">
        <v>129</v>
      </c>
      <c r="AE3843" s="97"/>
    </row>
    <row r="3844" spans="1:31" ht="14.4" customHeight="1" x14ac:dyDescent="0.3">
      <c r="A3844" t="s">
        <v>6378</v>
      </c>
      <c r="B3844" t="s">
        <v>3285</v>
      </c>
      <c r="C3844"/>
      <c r="D3844"/>
      <c r="E3844"/>
      <c r="F3844"/>
      <c r="G3844" t="s">
        <v>5944</v>
      </c>
      <c r="H3844" t="s">
        <v>132</v>
      </c>
      <c r="I3844" t="s">
        <v>2</v>
      </c>
      <c r="J3844" t="s">
        <v>5298</v>
      </c>
      <c r="K3844" t="s">
        <v>52</v>
      </c>
      <c r="L3844" t="s">
        <v>3286</v>
      </c>
      <c r="M3844" t="s">
        <v>134</v>
      </c>
      <c r="N3844" t="s">
        <v>135</v>
      </c>
      <c r="O3844"/>
      <c r="P3844"/>
      <c r="Q3844" t="s">
        <v>168</v>
      </c>
      <c r="R3844"/>
      <c r="S3844"/>
      <c r="T3844" t="s">
        <v>2165</v>
      </c>
      <c r="U3844" t="s">
        <v>137</v>
      </c>
      <c r="V3844" t="s">
        <v>162</v>
      </c>
      <c r="W3844"/>
      <c r="X3844" t="s">
        <v>113</v>
      </c>
      <c r="Y3844"/>
      <c r="Z3844"/>
      <c r="AA3844" t="s">
        <v>2163</v>
      </c>
      <c r="AB3844" t="s">
        <v>2</v>
      </c>
      <c r="AC3844" t="s">
        <v>138</v>
      </c>
      <c r="AD3844" t="s">
        <v>129</v>
      </c>
      <c r="AE3844" s="97"/>
    </row>
    <row r="3845" spans="1:31" ht="14.4" customHeight="1" x14ac:dyDescent="0.3">
      <c r="A3845" t="s">
        <v>6379</v>
      </c>
      <c r="B3845" t="s">
        <v>3288</v>
      </c>
      <c r="C3845"/>
      <c r="D3845"/>
      <c r="E3845"/>
      <c r="F3845"/>
      <c r="G3845" t="s">
        <v>5944</v>
      </c>
      <c r="H3845" t="s">
        <v>132</v>
      </c>
      <c r="I3845" t="s">
        <v>2</v>
      </c>
      <c r="J3845" t="s">
        <v>5298</v>
      </c>
      <c r="K3845" t="s">
        <v>52</v>
      </c>
      <c r="L3845" t="s">
        <v>3286</v>
      </c>
      <c r="M3845" t="s">
        <v>134</v>
      </c>
      <c r="N3845" t="s">
        <v>135</v>
      </c>
      <c r="O3845"/>
      <c r="P3845"/>
      <c r="Q3845" t="s">
        <v>168</v>
      </c>
      <c r="R3845"/>
      <c r="S3845"/>
      <c r="T3845" t="s">
        <v>2165</v>
      </c>
      <c r="U3845" t="s">
        <v>137</v>
      </c>
      <c r="V3845" t="s">
        <v>162</v>
      </c>
      <c r="W3845"/>
      <c r="X3845" t="s">
        <v>113</v>
      </c>
      <c r="Y3845"/>
      <c r="Z3845"/>
      <c r="AA3845" t="s">
        <v>2163</v>
      </c>
      <c r="AB3845" t="s">
        <v>2</v>
      </c>
      <c r="AC3845" t="s">
        <v>138</v>
      </c>
      <c r="AD3845" t="s">
        <v>129</v>
      </c>
      <c r="AE3845" s="97"/>
    </row>
    <row r="3846" spans="1:31" ht="14.4" customHeight="1" x14ac:dyDescent="0.3">
      <c r="A3846" t="s">
        <v>6380</v>
      </c>
      <c r="B3846" t="s">
        <v>3290</v>
      </c>
      <c r="C3846"/>
      <c r="D3846"/>
      <c r="E3846"/>
      <c r="F3846"/>
      <c r="G3846" t="s">
        <v>5944</v>
      </c>
      <c r="H3846" t="s">
        <v>132</v>
      </c>
      <c r="I3846" t="s">
        <v>2</v>
      </c>
      <c r="J3846" t="s">
        <v>5298</v>
      </c>
      <c r="K3846" t="s">
        <v>52</v>
      </c>
      <c r="L3846" t="s">
        <v>3291</v>
      </c>
      <c r="M3846" t="s">
        <v>134</v>
      </c>
      <c r="N3846" t="s">
        <v>135</v>
      </c>
      <c r="O3846"/>
      <c r="P3846"/>
      <c r="Q3846" t="s">
        <v>168</v>
      </c>
      <c r="R3846"/>
      <c r="S3846"/>
      <c r="T3846" t="s">
        <v>2165</v>
      </c>
      <c r="U3846" t="s">
        <v>137</v>
      </c>
      <c r="V3846" t="s">
        <v>162</v>
      </c>
      <c r="W3846"/>
      <c r="X3846" t="s">
        <v>113</v>
      </c>
      <c r="Y3846"/>
      <c r="Z3846"/>
      <c r="AA3846" t="s">
        <v>2163</v>
      </c>
      <c r="AB3846" t="s">
        <v>2</v>
      </c>
      <c r="AC3846" t="s">
        <v>138</v>
      </c>
      <c r="AD3846" t="s">
        <v>129</v>
      </c>
      <c r="AE3846" s="97"/>
    </row>
    <row r="3847" spans="1:31" ht="14.4" customHeight="1" x14ac:dyDescent="0.3">
      <c r="A3847" t="s">
        <v>6381</v>
      </c>
      <c r="B3847" t="s">
        <v>3293</v>
      </c>
      <c r="C3847"/>
      <c r="D3847"/>
      <c r="E3847"/>
      <c r="F3847"/>
      <c r="G3847" t="s">
        <v>5944</v>
      </c>
      <c r="H3847" t="s">
        <v>132</v>
      </c>
      <c r="I3847" t="s">
        <v>2</v>
      </c>
      <c r="J3847" t="s">
        <v>5298</v>
      </c>
      <c r="K3847" t="s">
        <v>52</v>
      </c>
      <c r="L3847" t="s">
        <v>3294</v>
      </c>
      <c r="M3847" t="s">
        <v>134</v>
      </c>
      <c r="N3847" t="s">
        <v>135</v>
      </c>
      <c r="O3847"/>
      <c r="P3847"/>
      <c r="Q3847" t="s">
        <v>168</v>
      </c>
      <c r="R3847"/>
      <c r="S3847"/>
      <c r="T3847" t="s">
        <v>2165</v>
      </c>
      <c r="U3847" t="s">
        <v>137</v>
      </c>
      <c r="V3847" t="s">
        <v>165</v>
      </c>
      <c r="W3847"/>
      <c r="X3847" t="s">
        <v>122</v>
      </c>
      <c r="Y3847"/>
      <c r="Z3847"/>
      <c r="AA3847" t="s">
        <v>2163</v>
      </c>
      <c r="AB3847" t="s">
        <v>2</v>
      </c>
      <c r="AC3847" t="s">
        <v>138</v>
      </c>
      <c r="AD3847" t="s">
        <v>130</v>
      </c>
      <c r="AE3847" s="97"/>
    </row>
    <row r="3848" spans="1:31" ht="14.4" customHeight="1" x14ac:dyDescent="0.3">
      <c r="A3848" t="s">
        <v>6382</v>
      </c>
      <c r="B3848" t="s">
        <v>3296</v>
      </c>
      <c r="C3848"/>
      <c r="D3848"/>
      <c r="E3848"/>
      <c r="F3848"/>
      <c r="G3848" t="s">
        <v>5944</v>
      </c>
      <c r="H3848" t="s">
        <v>132</v>
      </c>
      <c r="I3848" t="s">
        <v>2</v>
      </c>
      <c r="J3848" t="s">
        <v>5298</v>
      </c>
      <c r="K3848" t="s">
        <v>52</v>
      </c>
      <c r="L3848" t="s">
        <v>3294</v>
      </c>
      <c r="M3848" t="s">
        <v>134</v>
      </c>
      <c r="N3848" t="s">
        <v>135</v>
      </c>
      <c r="O3848"/>
      <c r="P3848"/>
      <c r="Q3848" t="s">
        <v>168</v>
      </c>
      <c r="R3848"/>
      <c r="S3848"/>
      <c r="T3848" t="s">
        <v>2165</v>
      </c>
      <c r="U3848" t="s">
        <v>137</v>
      </c>
      <c r="V3848" t="s">
        <v>165</v>
      </c>
      <c r="W3848"/>
      <c r="X3848" t="s">
        <v>122</v>
      </c>
      <c r="Y3848"/>
      <c r="Z3848"/>
      <c r="AA3848" t="s">
        <v>2163</v>
      </c>
      <c r="AB3848" t="s">
        <v>2</v>
      </c>
      <c r="AC3848" t="s">
        <v>138</v>
      </c>
      <c r="AD3848" t="s">
        <v>130</v>
      </c>
      <c r="AE3848" s="97"/>
    </row>
    <row r="3849" spans="1:31" ht="14.4" customHeight="1" x14ac:dyDescent="0.3">
      <c r="A3849" t="s">
        <v>6383</v>
      </c>
      <c r="B3849" t="s">
        <v>3298</v>
      </c>
      <c r="C3849"/>
      <c r="D3849"/>
      <c r="E3849"/>
      <c r="F3849"/>
      <c r="G3849" t="s">
        <v>5944</v>
      </c>
      <c r="H3849" t="s">
        <v>132</v>
      </c>
      <c r="I3849" t="s">
        <v>2</v>
      </c>
      <c r="J3849" t="s">
        <v>5298</v>
      </c>
      <c r="K3849" t="s">
        <v>52</v>
      </c>
      <c r="L3849" t="s">
        <v>3299</v>
      </c>
      <c r="M3849" t="s">
        <v>134</v>
      </c>
      <c r="N3849" t="s">
        <v>135</v>
      </c>
      <c r="O3849"/>
      <c r="P3849"/>
      <c r="Q3849" t="s">
        <v>168</v>
      </c>
      <c r="R3849"/>
      <c r="S3849"/>
      <c r="T3849" t="s">
        <v>2165</v>
      </c>
      <c r="U3849" t="s">
        <v>137</v>
      </c>
      <c r="V3849" t="s">
        <v>165</v>
      </c>
      <c r="W3849"/>
      <c r="X3849" t="s">
        <v>122</v>
      </c>
      <c r="Y3849"/>
      <c r="Z3849"/>
      <c r="AA3849" t="s">
        <v>2163</v>
      </c>
      <c r="AB3849" t="s">
        <v>2</v>
      </c>
      <c r="AC3849" t="s">
        <v>138</v>
      </c>
      <c r="AD3849" t="s">
        <v>130</v>
      </c>
      <c r="AE3849" s="97"/>
    </row>
    <row r="3850" spans="1:31" ht="14.4" customHeight="1" x14ac:dyDescent="0.3">
      <c r="A3850" t="s">
        <v>6384</v>
      </c>
      <c r="B3850" t="s">
        <v>3301</v>
      </c>
      <c r="C3850"/>
      <c r="D3850"/>
      <c r="E3850"/>
      <c r="F3850"/>
      <c r="G3850" t="s">
        <v>5944</v>
      </c>
      <c r="H3850" t="s">
        <v>132</v>
      </c>
      <c r="I3850" t="s">
        <v>2</v>
      </c>
      <c r="J3850" t="s">
        <v>5298</v>
      </c>
      <c r="K3850" t="s">
        <v>52</v>
      </c>
      <c r="L3850" t="s">
        <v>3302</v>
      </c>
      <c r="M3850" t="s">
        <v>134</v>
      </c>
      <c r="N3850" t="s">
        <v>135</v>
      </c>
      <c r="O3850"/>
      <c r="P3850"/>
      <c r="Q3850" t="s">
        <v>168</v>
      </c>
      <c r="R3850"/>
      <c r="S3850"/>
      <c r="T3850" t="s">
        <v>2165</v>
      </c>
      <c r="U3850" t="s">
        <v>137</v>
      </c>
      <c r="V3850" t="s">
        <v>1967</v>
      </c>
      <c r="W3850"/>
      <c r="X3850" t="s">
        <v>125</v>
      </c>
      <c r="Y3850"/>
      <c r="Z3850"/>
      <c r="AA3850" t="s">
        <v>2163</v>
      </c>
      <c r="AB3850" t="s">
        <v>2</v>
      </c>
      <c r="AC3850" t="s">
        <v>138</v>
      </c>
      <c r="AD3850" t="s">
        <v>131</v>
      </c>
      <c r="AE3850" s="97"/>
    </row>
    <row r="3851" spans="1:31" ht="14.4" customHeight="1" x14ac:dyDescent="0.3">
      <c r="A3851" t="s">
        <v>6385</v>
      </c>
      <c r="B3851" t="s">
        <v>3304</v>
      </c>
      <c r="C3851"/>
      <c r="D3851"/>
      <c r="E3851"/>
      <c r="F3851"/>
      <c r="G3851" t="s">
        <v>5944</v>
      </c>
      <c r="H3851" t="s">
        <v>132</v>
      </c>
      <c r="I3851" t="s">
        <v>2</v>
      </c>
      <c r="J3851" t="s">
        <v>5298</v>
      </c>
      <c r="K3851" t="s">
        <v>52</v>
      </c>
      <c r="L3851" t="s">
        <v>3305</v>
      </c>
      <c r="M3851" t="s">
        <v>134</v>
      </c>
      <c r="N3851" t="s">
        <v>135</v>
      </c>
      <c r="O3851"/>
      <c r="P3851"/>
      <c r="Q3851" t="s">
        <v>168</v>
      </c>
      <c r="R3851"/>
      <c r="S3851"/>
      <c r="T3851" t="s">
        <v>2165</v>
      </c>
      <c r="U3851" t="s">
        <v>137</v>
      </c>
      <c r="V3851" t="s">
        <v>1967</v>
      </c>
      <c r="W3851"/>
      <c r="X3851" t="s">
        <v>125</v>
      </c>
      <c r="Y3851"/>
      <c r="Z3851"/>
      <c r="AA3851" t="s">
        <v>2163</v>
      </c>
      <c r="AB3851" t="s">
        <v>2</v>
      </c>
      <c r="AC3851" t="s">
        <v>138</v>
      </c>
      <c r="AD3851" t="s">
        <v>131</v>
      </c>
      <c r="AE3851" s="97"/>
    </row>
    <row r="3852" spans="1:31" ht="14.4" customHeight="1" x14ac:dyDescent="0.3">
      <c r="A3852" t="s">
        <v>6386</v>
      </c>
      <c r="B3852" t="s">
        <v>3307</v>
      </c>
      <c r="C3852"/>
      <c r="D3852"/>
      <c r="E3852"/>
      <c r="F3852"/>
      <c r="G3852" t="s">
        <v>5944</v>
      </c>
      <c r="H3852" t="s">
        <v>132</v>
      </c>
      <c r="I3852" t="s">
        <v>2</v>
      </c>
      <c r="J3852" t="s">
        <v>5298</v>
      </c>
      <c r="K3852" t="s">
        <v>52</v>
      </c>
      <c r="L3852" t="s">
        <v>3308</v>
      </c>
      <c r="M3852" t="s">
        <v>134</v>
      </c>
      <c r="N3852" t="s">
        <v>135</v>
      </c>
      <c r="O3852"/>
      <c r="P3852"/>
      <c r="Q3852" t="s">
        <v>168</v>
      </c>
      <c r="R3852"/>
      <c r="S3852"/>
      <c r="T3852" t="s">
        <v>2165</v>
      </c>
      <c r="U3852" t="s">
        <v>137</v>
      </c>
      <c r="V3852" t="s">
        <v>1259</v>
      </c>
      <c r="W3852"/>
      <c r="X3852" t="s">
        <v>126</v>
      </c>
      <c r="Y3852"/>
      <c r="Z3852"/>
      <c r="AA3852" t="s">
        <v>2163</v>
      </c>
      <c r="AB3852" t="s">
        <v>2</v>
      </c>
      <c r="AC3852" t="s">
        <v>138</v>
      </c>
      <c r="AD3852" t="s">
        <v>131</v>
      </c>
      <c r="AE3852" s="97"/>
    </row>
    <row r="3853" spans="1:31" ht="14.4" customHeight="1" x14ac:dyDescent="0.3">
      <c r="A3853" t="s">
        <v>6387</v>
      </c>
      <c r="B3853" t="s">
        <v>3310</v>
      </c>
      <c r="C3853"/>
      <c r="D3853"/>
      <c r="E3853"/>
      <c r="F3853"/>
      <c r="G3853" t="s">
        <v>5944</v>
      </c>
      <c r="H3853" t="s">
        <v>132</v>
      </c>
      <c r="I3853" t="s">
        <v>2</v>
      </c>
      <c r="J3853" t="s">
        <v>5298</v>
      </c>
      <c r="K3853" t="s">
        <v>52</v>
      </c>
      <c r="L3853" t="s">
        <v>1558</v>
      </c>
      <c r="M3853" t="s">
        <v>134</v>
      </c>
      <c r="N3853" t="s">
        <v>135</v>
      </c>
      <c r="O3853"/>
      <c r="P3853"/>
      <c r="Q3853" t="s">
        <v>168</v>
      </c>
      <c r="R3853"/>
      <c r="S3853"/>
      <c r="T3853" t="s">
        <v>2165</v>
      </c>
      <c r="U3853" t="s">
        <v>137</v>
      </c>
      <c r="V3853" t="s">
        <v>1259</v>
      </c>
      <c r="W3853"/>
      <c r="X3853" t="s">
        <v>126</v>
      </c>
      <c r="Y3853"/>
      <c r="Z3853"/>
      <c r="AA3853" t="s">
        <v>2163</v>
      </c>
      <c r="AB3853" t="s">
        <v>2</v>
      </c>
      <c r="AC3853" t="s">
        <v>138</v>
      </c>
      <c r="AD3853" t="s">
        <v>131</v>
      </c>
      <c r="AE3853" s="97"/>
    </row>
    <row r="3854" spans="1:31" ht="14.4" customHeight="1" x14ac:dyDescent="0.3">
      <c r="A3854" t="s">
        <v>6388</v>
      </c>
      <c r="B3854" t="s">
        <v>3312</v>
      </c>
      <c r="C3854"/>
      <c r="D3854"/>
      <c r="E3854"/>
      <c r="F3854"/>
      <c r="G3854" t="s">
        <v>5944</v>
      </c>
      <c r="H3854" t="s">
        <v>132</v>
      </c>
      <c r="I3854" t="s">
        <v>2</v>
      </c>
      <c r="J3854" t="s">
        <v>5298</v>
      </c>
      <c r="K3854" t="s">
        <v>52</v>
      </c>
      <c r="L3854" t="s">
        <v>1558</v>
      </c>
      <c r="M3854" t="s">
        <v>134</v>
      </c>
      <c r="N3854" t="s">
        <v>135</v>
      </c>
      <c r="O3854"/>
      <c r="P3854"/>
      <c r="Q3854" t="s">
        <v>168</v>
      </c>
      <c r="R3854"/>
      <c r="S3854"/>
      <c r="T3854" t="s">
        <v>2165</v>
      </c>
      <c r="U3854" t="s">
        <v>137</v>
      </c>
      <c r="V3854" t="s">
        <v>1259</v>
      </c>
      <c r="W3854"/>
      <c r="X3854" t="s">
        <v>126</v>
      </c>
      <c r="Y3854"/>
      <c r="Z3854"/>
      <c r="AA3854" t="s">
        <v>2163</v>
      </c>
      <c r="AB3854" t="s">
        <v>2</v>
      </c>
      <c r="AC3854" t="s">
        <v>138</v>
      </c>
      <c r="AD3854" t="s">
        <v>131</v>
      </c>
      <c r="AE3854" s="97"/>
    </row>
    <row r="3855" spans="1:31" ht="14.4" customHeight="1" x14ac:dyDescent="0.3">
      <c r="A3855" t="s">
        <v>6389</v>
      </c>
      <c r="B3855" t="s">
        <v>3314</v>
      </c>
      <c r="C3855"/>
      <c r="D3855"/>
      <c r="E3855"/>
      <c r="F3855"/>
      <c r="G3855" t="s">
        <v>5944</v>
      </c>
      <c r="H3855" t="s">
        <v>132</v>
      </c>
      <c r="I3855" t="s">
        <v>2</v>
      </c>
      <c r="J3855" t="s">
        <v>5298</v>
      </c>
      <c r="K3855" t="s">
        <v>52</v>
      </c>
      <c r="L3855" t="s">
        <v>1558</v>
      </c>
      <c r="M3855" t="s">
        <v>134</v>
      </c>
      <c r="N3855" t="s">
        <v>135</v>
      </c>
      <c r="O3855"/>
      <c r="P3855"/>
      <c r="Q3855" t="s">
        <v>168</v>
      </c>
      <c r="R3855"/>
      <c r="S3855"/>
      <c r="T3855" t="s">
        <v>2165</v>
      </c>
      <c r="U3855" t="s">
        <v>137</v>
      </c>
      <c r="V3855" t="s">
        <v>1259</v>
      </c>
      <c r="W3855"/>
      <c r="X3855" t="s">
        <v>126</v>
      </c>
      <c r="Y3855"/>
      <c r="Z3855"/>
      <c r="AA3855" t="s">
        <v>2163</v>
      </c>
      <c r="AB3855" t="s">
        <v>2</v>
      </c>
      <c r="AC3855" t="s">
        <v>138</v>
      </c>
      <c r="AD3855" t="s">
        <v>131</v>
      </c>
      <c r="AE3855" s="97"/>
    </row>
    <row r="3856" spans="1:31" ht="14.4" customHeight="1" x14ac:dyDescent="0.3">
      <c r="A3856" t="s">
        <v>6390</v>
      </c>
      <c r="B3856" t="s">
        <v>3316</v>
      </c>
      <c r="C3856"/>
      <c r="D3856"/>
      <c r="E3856"/>
      <c r="F3856"/>
      <c r="G3856" t="s">
        <v>5944</v>
      </c>
      <c r="H3856" t="s">
        <v>132</v>
      </c>
      <c r="I3856" t="s">
        <v>2</v>
      </c>
      <c r="J3856" t="s">
        <v>5298</v>
      </c>
      <c r="K3856" t="s">
        <v>52</v>
      </c>
      <c r="L3856" t="s">
        <v>1567</v>
      </c>
      <c r="M3856" t="s">
        <v>134</v>
      </c>
      <c r="N3856" t="s">
        <v>135</v>
      </c>
      <c r="O3856"/>
      <c r="P3856"/>
      <c r="Q3856" t="s">
        <v>168</v>
      </c>
      <c r="R3856"/>
      <c r="S3856"/>
      <c r="T3856" t="s">
        <v>2165</v>
      </c>
      <c r="U3856" t="s">
        <v>137</v>
      </c>
      <c r="V3856" t="s">
        <v>1259</v>
      </c>
      <c r="W3856"/>
      <c r="X3856" t="s">
        <v>126</v>
      </c>
      <c r="Y3856"/>
      <c r="Z3856"/>
      <c r="AA3856" t="s">
        <v>2163</v>
      </c>
      <c r="AB3856" t="s">
        <v>2</v>
      </c>
      <c r="AC3856" t="s">
        <v>138</v>
      </c>
      <c r="AD3856" t="s">
        <v>131</v>
      </c>
      <c r="AE3856" s="97"/>
    </row>
    <row r="3857" spans="1:31" ht="14.4" customHeight="1" x14ac:dyDescent="0.3">
      <c r="A3857" t="s">
        <v>6391</v>
      </c>
      <c r="B3857" t="s">
        <v>3318</v>
      </c>
      <c r="C3857"/>
      <c r="D3857"/>
      <c r="E3857"/>
      <c r="F3857"/>
      <c r="G3857" t="s">
        <v>5944</v>
      </c>
      <c r="H3857" t="s">
        <v>132</v>
      </c>
      <c r="I3857" t="s">
        <v>2</v>
      </c>
      <c r="J3857" t="s">
        <v>5298</v>
      </c>
      <c r="K3857" t="s">
        <v>52</v>
      </c>
      <c r="L3857" t="s">
        <v>1570</v>
      </c>
      <c r="M3857" t="s">
        <v>134</v>
      </c>
      <c r="N3857" t="s">
        <v>135</v>
      </c>
      <c r="O3857"/>
      <c r="P3857"/>
      <c r="Q3857" t="s">
        <v>168</v>
      </c>
      <c r="R3857"/>
      <c r="S3857"/>
      <c r="T3857" t="s">
        <v>2165</v>
      </c>
      <c r="U3857" t="s">
        <v>137</v>
      </c>
      <c r="V3857" t="s">
        <v>1249</v>
      </c>
      <c r="W3857"/>
      <c r="X3857" t="s">
        <v>61</v>
      </c>
      <c r="Y3857"/>
      <c r="Z3857"/>
      <c r="AA3857" t="s">
        <v>2163</v>
      </c>
      <c r="AB3857" t="s">
        <v>2</v>
      </c>
      <c r="AC3857" t="s">
        <v>138</v>
      </c>
      <c r="AD3857" t="s">
        <v>128</v>
      </c>
      <c r="AE3857" s="97"/>
    </row>
    <row r="3858" spans="1:31" ht="14.4" customHeight="1" x14ac:dyDescent="0.3">
      <c r="A3858" t="s">
        <v>6392</v>
      </c>
      <c r="B3858" t="s">
        <v>3320</v>
      </c>
      <c r="C3858"/>
      <c r="D3858"/>
      <c r="E3858"/>
      <c r="F3858"/>
      <c r="G3858" t="s">
        <v>5944</v>
      </c>
      <c r="H3858" t="s">
        <v>132</v>
      </c>
      <c r="I3858" t="s">
        <v>2</v>
      </c>
      <c r="J3858" t="s">
        <v>5298</v>
      </c>
      <c r="K3858" t="s">
        <v>52</v>
      </c>
      <c r="L3858" t="s">
        <v>3321</v>
      </c>
      <c r="M3858" t="s">
        <v>134</v>
      </c>
      <c r="N3858" t="s">
        <v>135</v>
      </c>
      <c r="O3858"/>
      <c r="P3858"/>
      <c r="Q3858" t="s">
        <v>168</v>
      </c>
      <c r="R3858"/>
      <c r="S3858"/>
      <c r="T3858" t="s">
        <v>2165</v>
      </c>
      <c r="U3858" t="s">
        <v>137</v>
      </c>
      <c r="V3858" t="s">
        <v>1249</v>
      </c>
      <c r="W3858"/>
      <c r="X3858" t="s">
        <v>61</v>
      </c>
      <c r="Y3858"/>
      <c r="Z3858"/>
      <c r="AA3858" t="s">
        <v>2163</v>
      </c>
      <c r="AB3858" t="s">
        <v>2</v>
      </c>
      <c r="AC3858" t="s">
        <v>138</v>
      </c>
      <c r="AD3858" t="s">
        <v>128</v>
      </c>
      <c r="AE3858" s="97"/>
    </row>
    <row r="3859" spans="1:31" ht="14.4" customHeight="1" x14ac:dyDescent="0.3">
      <c r="A3859" t="s">
        <v>6393</v>
      </c>
      <c r="B3859" t="s">
        <v>3323</v>
      </c>
      <c r="C3859"/>
      <c r="D3859"/>
      <c r="E3859"/>
      <c r="F3859"/>
      <c r="G3859" t="s">
        <v>5944</v>
      </c>
      <c r="H3859" t="s">
        <v>132</v>
      </c>
      <c r="I3859" t="s">
        <v>2</v>
      </c>
      <c r="J3859" t="s">
        <v>5298</v>
      </c>
      <c r="K3859" t="s">
        <v>52</v>
      </c>
      <c r="L3859" t="s">
        <v>1577</v>
      </c>
      <c r="M3859" t="s">
        <v>134</v>
      </c>
      <c r="N3859" t="s">
        <v>135</v>
      </c>
      <c r="O3859"/>
      <c r="P3859"/>
      <c r="Q3859" t="s">
        <v>168</v>
      </c>
      <c r="R3859"/>
      <c r="S3859"/>
      <c r="T3859" t="s">
        <v>2165</v>
      </c>
      <c r="U3859" t="s">
        <v>137</v>
      </c>
      <c r="V3859" t="s">
        <v>1263</v>
      </c>
      <c r="W3859"/>
      <c r="X3859" t="s">
        <v>69</v>
      </c>
      <c r="Y3859"/>
      <c r="Z3859"/>
      <c r="AA3859" t="s">
        <v>2163</v>
      </c>
      <c r="AB3859" t="s">
        <v>2</v>
      </c>
      <c r="AC3859" t="s">
        <v>138</v>
      </c>
      <c r="AD3859" t="s">
        <v>128</v>
      </c>
      <c r="AE3859" s="97"/>
    </row>
    <row r="3860" spans="1:31" ht="14.4" customHeight="1" x14ac:dyDescent="0.3">
      <c r="A3860" t="s">
        <v>6394</v>
      </c>
      <c r="B3860" t="s">
        <v>3325</v>
      </c>
      <c r="C3860"/>
      <c r="D3860"/>
      <c r="E3860"/>
      <c r="F3860"/>
      <c r="G3860" t="s">
        <v>5944</v>
      </c>
      <c r="H3860" t="s">
        <v>132</v>
      </c>
      <c r="I3860" t="s">
        <v>2</v>
      </c>
      <c r="J3860" t="s">
        <v>5298</v>
      </c>
      <c r="K3860" t="s">
        <v>52</v>
      </c>
      <c r="L3860" t="s">
        <v>3326</v>
      </c>
      <c r="M3860" t="s">
        <v>134</v>
      </c>
      <c r="N3860" t="s">
        <v>135</v>
      </c>
      <c r="O3860"/>
      <c r="P3860"/>
      <c r="Q3860" t="s">
        <v>168</v>
      </c>
      <c r="R3860"/>
      <c r="S3860"/>
      <c r="T3860" t="s">
        <v>2165</v>
      </c>
      <c r="U3860" t="s">
        <v>137</v>
      </c>
      <c r="V3860" t="s">
        <v>1967</v>
      </c>
      <c r="W3860"/>
      <c r="X3860" t="s">
        <v>125</v>
      </c>
      <c r="Y3860"/>
      <c r="Z3860"/>
      <c r="AA3860" t="s">
        <v>2163</v>
      </c>
      <c r="AB3860" t="s">
        <v>2</v>
      </c>
      <c r="AC3860" t="s">
        <v>138</v>
      </c>
      <c r="AD3860" t="s">
        <v>131</v>
      </c>
      <c r="AE3860" s="97"/>
    </row>
    <row r="3861" spans="1:31" ht="14.4" customHeight="1" x14ac:dyDescent="0.3">
      <c r="A3861" t="s">
        <v>6395</v>
      </c>
      <c r="B3861" t="s">
        <v>3328</v>
      </c>
      <c r="C3861"/>
      <c r="D3861"/>
      <c r="E3861"/>
      <c r="F3861"/>
      <c r="G3861" t="s">
        <v>5944</v>
      </c>
      <c r="H3861" t="s">
        <v>132</v>
      </c>
      <c r="I3861" t="s">
        <v>2</v>
      </c>
      <c r="J3861" t="s">
        <v>5298</v>
      </c>
      <c r="K3861" t="s">
        <v>52</v>
      </c>
      <c r="L3861" t="s">
        <v>3326</v>
      </c>
      <c r="M3861" t="s">
        <v>134</v>
      </c>
      <c r="N3861" t="s">
        <v>135</v>
      </c>
      <c r="O3861"/>
      <c r="P3861"/>
      <c r="Q3861" t="s">
        <v>168</v>
      </c>
      <c r="R3861"/>
      <c r="S3861"/>
      <c r="T3861" t="s">
        <v>2165</v>
      </c>
      <c r="U3861" t="s">
        <v>137</v>
      </c>
      <c r="V3861" t="s">
        <v>1967</v>
      </c>
      <c r="W3861"/>
      <c r="X3861" t="s">
        <v>125</v>
      </c>
      <c r="Y3861"/>
      <c r="Z3861"/>
      <c r="AA3861" t="s">
        <v>2163</v>
      </c>
      <c r="AB3861" t="s">
        <v>2</v>
      </c>
      <c r="AC3861" t="s">
        <v>138</v>
      </c>
      <c r="AD3861" t="s">
        <v>131</v>
      </c>
      <c r="AE3861" s="97"/>
    </row>
    <row r="3862" spans="1:31" ht="14.4" customHeight="1" x14ac:dyDescent="0.3">
      <c r="A3862" t="s">
        <v>6396</v>
      </c>
      <c r="B3862" t="s">
        <v>3330</v>
      </c>
      <c r="C3862"/>
      <c r="D3862"/>
      <c r="E3862"/>
      <c r="F3862"/>
      <c r="G3862" t="s">
        <v>5944</v>
      </c>
      <c r="H3862" t="s">
        <v>132</v>
      </c>
      <c r="I3862" t="s">
        <v>2</v>
      </c>
      <c r="J3862" t="s">
        <v>5298</v>
      </c>
      <c r="K3862" t="s">
        <v>52</v>
      </c>
      <c r="L3862" t="s">
        <v>3331</v>
      </c>
      <c r="M3862" t="s">
        <v>134</v>
      </c>
      <c r="N3862" t="s">
        <v>135</v>
      </c>
      <c r="O3862"/>
      <c r="P3862"/>
      <c r="Q3862" t="s">
        <v>168</v>
      </c>
      <c r="R3862"/>
      <c r="S3862"/>
      <c r="T3862" t="s">
        <v>2165</v>
      </c>
      <c r="U3862" t="s">
        <v>137</v>
      </c>
      <c r="V3862" t="s">
        <v>1967</v>
      </c>
      <c r="W3862"/>
      <c r="X3862" t="s">
        <v>125</v>
      </c>
      <c r="Y3862"/>
      <c r="Z3862"/>
      <c r="AA3862" t="s">
        <v>2163</v>
      </c>
      <c r="AB3862" t="s">
        <v>2</v>
      </c>
      <c r="AC3862" t="s">
        <v>138</v>
      </c>
      <c r="AD3862" t="s">
        <v>131</v>
      </c>
      <c r="AE3862" s="97"/>
    </row>
    <row r="3863" spans="1:31" ht="14.4" customHeight="1" x14ac:dyDescent="0.3">
      <c r="A3863" t="s">
        <v>6397</v>
      </c>
      <c r="B3863" t="s">
        <v>3333</v>
      </c>
      <c r="C3863"/>
      <c r="D3863"/>
      <c r="E3863"/>
      <c r="F3863"/>
      <c r="G3863" t="s">
        <v>5944</v>
      </c>
      <c r="H3863" t="s">
        <v>132</v>
      </c>
      <c r="I3863" t="s">
        <v>2</v>
      </c>
      <c r="J3863" t="s">
        <v>5298</v>
      </c>
      <c r="K3863" t="s">
        <v>52</v>
      </c>
      <c r="L3863" t="s">
        <v>3331</v>
      </c>
      <c r="M3863" t="s">
        <v>134</v>
      </c>
      <c r="N3863" t="s">
        <v>135</v>
      </c>
      <c r="O3863"/>
      <c r="P3863"/>
      <c r="Q3863" t="s">
        <v>168</v>
      </c>
      <c r="R3863"/>
      <c r="S3863"/>
      <c r="T3863" t="s">
        <v>2165</v>
      </c>
      <c r="U3863" t="s">
        <v>137</v>
      </c>
      <c r="V3863" t="s">
        <v>1967</v>
      </c>
      <c r="W3863"/>
      <c r="X3863" t="s">
        <v>125</v>
      </c>
      <c r="Y3863"/>
      <c r="Z3863"/>
      <c r="AA3863" t="s">
        <v>2163</v>
      </c>
      <c r="AB3863" t="s">
        <v>2</v>
      </c>
      <c r="AC3863" t="s">
        <v>138</v>
      </c>
      <c r="AD3863" t="s">
        <v>131</v>
      </c>
      <c r="AE3863" s="97"/>
    </row>
    <row r="3864" spans="1:31" ht="14.4" customHeight="1" x14ac:dyDescent="0.3">
      <c r="A3864" t="s">
        <v>6398</v>
      </c>
      <c r="B3864" t="s">
        <v>3335</v>
      </c>
      <c r="C3864"/>
      <c r="D3864"/>
      <c r="E3864"/>
      <c r="F3864"/>
      <c r="G3864" t="s">
        <v>5944</v>
      </c>
      <c r="H3864" t="s">
        <v>132</v>
      </c>
      <c r="I3864" t="s">
        <v>2</v>
      </c>
      <c r="J3864" t="s">
        <v>5298</v>
      </c>
      <c r="K3864" t="s">
        <v>52</v>
      </c>
      <c r="L3864" t="s">
        <v>3336</v>
      </c>
      <c r="M3864" t="s">
        <v>134</v>
      </c>
      <c r="N3864" t="s">
        <v>135</v>
      </c>
      <c r="O3864"/>
      <c r="P3864"/>
      <c r="Q3864" t="s">
        <v>168</v>
      </c>
      <c r="R3864"/>
      <c r="S3864"/>
      <c r="T3864" t="s">
        <v>2165</v>
      </c>
      <c r="U3864" t="s">
        <v>137</v>
      </c>
      <c r="V3864" t="s">
        <v>1967</v>
      </c>
      <c r="W3864"/>
      <c r="X3864" t="s">
        <v>125</v>
      </c>
      <c r="Y3864"/>
      <c r="Z3864"/>
      <c r="AA3864" t="s">
        <v>2163</v>
      </c>
      <c r="AB3864" t="s">
        <v>2</v>
      </c>
      <c r="AC3864" t="s">
        <v>138</v>
      </c>
      <c r="AD3864" t="s">
        <v>131</v>
      </c>
      <c r="AE3864" s="97"/>
    </row>
    <row r="3865" spans="1:31" ht="14.4" customHeight="1" x14ac:dyDescent="0.3">
      <c r="A3865" t="s">
        <v>6399</v>
      </c>
      <c r="B3865" t="s">
        <v>3338</v>
      </c>
      <c r="C3865"/>
      <c r="D3865"/>
      <c r="E3865"/>
      <c r="F3865"/>
      <c r="G3865" t="s">
        <v>5944</v>
      </c>
      <c r="H3865" t="s">
        <v>132</v>
      </c>
      <c r="I3865" t="s">
        <v>2</v>
      </c>
      <c r="J3865" t="s">
        <v>5298</v>
      </c>
      <c r="K3865" t="s">
        <v>52</v>
      </c>
      <c r="L3865" t="s">
        <v>3336</v>
      </c>
      <c r="M3865" t="s">
        <v>134</v>
      </c>
      <c r="N3865" t="s">
        <v>135</v>
      </c>
      <c r="O3865"/>
      <c r="P3865"/>
      <c r="Q3865" t="s">
        <v>168</v>
      </c>
      <c r="R3865"/>
      <c r="S3865"/>
      <c r="T3865" t="s">
        <v>2165</v>
      </c>
      <c r="U3865" t="s">
        <v>137</v>
      </c>
      <c r="V3865" t="s">
        <v>1967</v>
      </c>
      <c r="W3865"/>
      <c r="X3865" t="s">
        <v>125</v>
      </c>
      <c r="Y3865"/>
      <c r="Z3865"/>
      <c r="AA3865" t="s">
        <v>2163</v>
      </c>
      <c r="AB3865" t="s">
        <v>2</v>
      </c>
      <c r="AC3865" t="s">
        <v>138</v>
      </c>
      <c r="AD3865" t="s">
        <v>131</v>
      </c>
      <c r="AE3865" s="97"/>
    </row>
    <row r="3866" spans="1:31" ht="14.4" customHeight="1" x14ac:dyDescent="0.3">
      <c r="A3866" t="s">
        <v>6400</v>
      </c>
      <c r="B3866" t="s">
        <v>3340</v>
      </c>
      <c r="C3866"/>
      <c r="D3866"/>
      <c r="E3866"/>
      <c r="F3866"/>
      <c r="G3866" t="s">
        <v>5944</v>
      </c>
      <c r="H3866" t="s">
        <v>132</v>
      </c>
      <c r="I3866" t="s">
        <v>2</v>
      </c>
      <c r="J3866" t="s">
        <v>5298</v>
      </c>
      <c r="K3866" t="s">
        <v>52</v>
      </c>
      <c r="L3866" t="s">
        <v>3336</v>
      </c>
      <c r="M3866" t="s">
        <v>134</v>
      </c>
      <c r="N3866" t="s">
        <v>135</v>
      </c>
      <c r="O3866"/>
      <c r="P3866"/>
      <c r="Q3866" t="s">
        <v>168</v>
      </c>
      <c r="R3866"/>
      <c r="S3866"/>
      <c r="T3866" t="s">
        <v>2165</v>
      </c>
      <c r="U3866" t="s">
        <v>137</v>
      </c>
      <c r="V3866" t="s">
        <v>1967</v>
      </c>
      <c r="W3866"/>
      <c r="X3866" t="s">
        <v>125</v>
      </c>
      <c r="Y3866"/>
      <c r="Z3866"/>
      <c r="AA3866" t="s">
        <v>2163</v>
      </c>
      <c r="AB3866" t="s">
        <v>2</v>
      </c>
      <c r="AC3866" t="s">
        <v>138</v>
      </c>
      <c r="AD3866" t="s">
        <v>131</v>
      </c>
      <c r="AE3866" s="97"/>
    </row>
    <row r="3867" spans="1:31" ht="14.4" customHeight="1" x14ac:dyDescent="0.3">
      <c r="A3867" t="s">
        <v>6401</v>
      </c>
      <c r="B3867" t="s">
        <v>3342</v>
      </c>
      <c r="C3867"/>
      <c r="D3867"/>
      <c r="E3867"/>
      <c r="F3867"/>
      <c r="G3867" t="s">
        <v>5944</v>
      </c>
      <c r="H3867" t="s">
        <v>132</v>
      </c>
      <c r="I3867" t="s">
        <v>2</v>
      </c>
      <c r="J3867" t="s">
        <v>5298</v>
      </c>
      <c r="K3867" t="s">
        <v>52</v>
      </c>
      <c r="L3867" t="s">
        <v>3336</v>
      </c>
      <c r="M3867" t="s">
        <v>134</v>
      </c>
      <c r="N3867" t="s">
        <v>135</v>
      </c>
      <c r="O3867"/>
      <c r="P3867"/>
      <c r="Q3867" t="s">
        <v>168</v>
      </c>
      <c r="R3867"/>
      <c r="S3867"/>
      <c r="T3867" t="s">
        <v>2165</v>
      </c>
      <c r="U3867" t="s">
        <v>137</v>
      </c>
      <c r="V3867" t="s">
        <v>1967</v>
      </c>
      <c r="W3867"/>
      <c r="X3867" t="s">
        <v>125</v>
      </c>
      <c r="Y3867"/>
      <c r="Z3867"/>
      <c r="AA3867" t="s">
        <v>2163</v>
      </c>
      <c r="AB3867" t="s">
        <v>2</v>
      </c>
      <c r="AC3867" t="s">
        <v>138</v>
      </c>
      <c r="AD3867" t="s">
        <v>131</v>
      </c>
      <c r="AE3867" s="97"/>
    </row>
    <row r="3868" spans="1:31" ht="14.4" customHeight="1" x14ac:dyDescent="0.3">
      <c r="A3868" t="s">
        <v>6402</v>
      </c>
      <c r="B3868" t="s">
        <v>3344</v>
      </c>
      <c r="C3868"/>
      <c r="D3868"/>
      <c r="E3868"/>
      <c r="F3868"/>
      <c r="G3868" t="s">
        <v>5944</v>
      </c>
      <c r="H3868" t="s">
        <v>132</v>
      </c>
      <c r="I3868" t="s">
        <v>2</v>
      </c>
      <c r="J3868" t="s">
        <v>5298</v>
      </c>
      <c r="K3868" t="s">
        <v>52</v>
      </c>
      <c r="L3868" t="s">
        <v>3336</v>
      </c>
      <c r="M3868" t="s">
        <v>134</v>
      </c>
      <c r="N3868" t="s">
        <v>135</v>
      </c>
      <c r="O3868"/>
      <c r="P3868"/>
      <c r="Q3868" t="s">
        <v>168</v>
      </c>
      <c r="R3868"/>
      <c r="S3868"/>
      <c r="T3868" t="s">
        <v>2165</v>
      </c>
      <c r="U3868" t="s">
        <v>137</v>
      </c>
      <c r="V3868" t="s">
        <v>1967</v>
      </c>
      <c r="W3868"/>
      <c r="X3868" t="s">
        <v>125</v>
      </c>
      <c r="Y3868"/>
      <c r="Z3868"/>
      <c r="AA3868" t="s">
        <v>2163</v>
      </c>
      <c r="AB3868" t="s">
        <v>2</v>
      </c>
      <c r="AC3868" t="s">
        <v>138</v>
      </c>
      <c r="AD3868" t="s">
        <v>131</v>
      </c>
      <c r="AE3868" s="97"/>
    </row>
    <row r="3869" spans="1:31" ht="14.4" customHeight="1" x14ac:dyDescent="0.3">
      <c r="A3869" t="s">
        <v>6403</v>
      </c>
      <c r="B3869" t="s">
        <v>3346</v>
      </c>
      <c r="C3869"/>
      <c r="D3869"/>
      <c r="E3869"/>
      <c r="F3869"/>
      <c r="G3869" t="s">
        <v>5944</v>
      </c>
      <c r="H3869" t="s">
        <v>132</v>
      </c>
      <c r="I3869" t="s">
        <v>2</v>
      </c>
      <c r="J3869" t="s">
        <v>5298</v>
      </c>
      <c r="K3869" t="s">
        <v>52</v>
      </c>
      <c r="L3869" t="s">
        <v>3347</v>
      </c>
      <c r="M3869" t="s">
        <v>134</v>
      </c>
      <c r="N3869" t="s">
        <v>135</v>
      </c>
      <c r="O3869"/>
      <c r="P3869"/>
      <c r="Q3869" t="s">
        <v>168</v>
      </c>
      <c r="R3869"/>
      <c r="S3869"/>
      <c r="T3869" t="s">
        <v>2165</v>
      </c>
      <c r="U3869" t="s">
        <v>137</v>
      </c>
      <c r="V3869" t="s">
        <v>1967</v>
      </c>
      <c r="W3869"/>
      <c r="X3869" t="s">
        <v>125</v>
      </c>
      <c r="Y3869"/>
      <c r="Z3869"/>
      <c r="AA3869" t="s">
        <v>2163</v>
      </c>
      <c r="AB3869" t="s">
        <v>2</v>
      </c>
      <c r="AC3869" t="s">
        <v>138</v>
      </c>
      <c r="AD3869" t="s">
        <v>131</v>
      </c>
      <c r="AE3869" s="97"/>
    </row>
    <row r="3870" spans="1:31" ht="14.4" customHeight="1" x14ac:dyDescent="0.3">
      <c r="A3870" t="s">
        <v>6404</v>
      </c>
      <c r="B3870" t="s">
        <v>3349</v>
      </c>
      <c r="C3870"/>
      <c r="D3870"/>
      <c r="E3870"/>
      <c r="F3870"/>
      <c r="G3870" t="s">
        <v>5944</v>
      </c>
      <c r="H3870" t="s">
        <v>132</v>
      </c>
      <c r="I3870" t="s">
        <v>2</v>
      </c>
      <c r="J3870" t="s">
        <v>5298</v>
      </c>
      <c r="K3870" t="s">
        <v>52</v>
      </c>
      <c r="L3870" t="s">
        <v>3347</v>
      </c>
      <c r="M3870" t="s">
        <v>134</v>
      </c>
      <c r="N3870" t="s">
        <v>135</v>
      </c>
      <c r="O3870"/>
      <c r="P3870"/>
      <c r="Q3870" t="s">
        <v>168</v>
      </c>
      <c r="R3870"/>
      <c r="S3870"/>
      <c r="T3870" t="s">
        <v>2165</v>
      </c>
      <c r="U3870" t="s">
        <v>137</v>
      </c>
      <c r="V3870" t="s">
        <v>1967</v>
      </c>
      <c r="W3870"/>
      <c r="X3870" t="s">
        <v>125</v>
      </c>
      <c r="Y3870"/>
      <c r="Z3870"/>
      <c r="AA3870" t="s">
        <v>2163</v>
      </c>
      <c r="AB3870" t="s">
        <v>2</v>
      </c>
      <c r="AC3870" t="s">
        <v>138</v>
      </c>
      <c r="AD3870" t="s">
        <v>131</v>
      </c>
      <c r="AE3870" s="97"/>
    </row>
    <row r="3871" spans="1:31" ht="14.4" customHeight="1" x14ac:dyDescent="0.3">
      <c r="A3871" t="s">
        <v>6405</v>
      </c>
      <c r="B3871" t="s">
        <v>3351</v>
      </c>
      <c r="C3871"/>
      <c r="D3871"/>
      <c r="E3871"/>
      <c r="F3871"/>
      <c r="G3871" t="s">
        <v>5944</v>
      </c>
      <c r="H3871" t="s">
        <v>132</v>
      </c>
      <c r="I3871" t="s">
        <v>2</v>
      </c>
      <c r="J3871" t="s">
        <v>5298</v>
      </c>
      <c r="K3871" t="s">
        <v>52</v>
      </c>
      <c r="L3871" t="s">
        <v>3347</v>
      </c>
      <c r="M3871" t="s">
        <v>134</v>
      </c>
      <c r="N3871" t="s">
        <v>135</v>
      </c>
      <c r="O3871"/>
      <c r="P3871"/>
      <c r="Q3871" t="s">
        <v>168</v>
      </c>
      <c r="R3871"/>
      <c r="S3871"/>
      <c r="T3871" t="s">
        <v>2165</v>
      </c>
      <c r="U3871" t="s">
        <v>137</v>
      </c>
      <c r="V3871" t="s">
        <v>1967</v>
      </c>
      <c r="W3871"/>
      <c r="X3871" t="s">
        <v>125</v>
      </c>
      <c r="Y3871"/>
      <c r="Z3871"/>
      <c r="AA3871" t="s">
        <v>2163</v>
      </c>
      <c r="AB3871" t="s">
        <v>2</v>
      </c>
      <c r="AC3871" t="s">
        <v>138</v>
      </c>
      <c r="AD3871" t="s">
        <v>131</v>
      </c>
      <c r="AE3871" s="97"/>
    </row>
    <row r="3872" spans="1:31" ht="14.4" customHeight="1" x14ac:dyDescent="0.3">
      <c r="A3872" t="s">
        <v>6406</v>
      </c>
      <c r="B3872" t="s">
        <v>3353</v>
      </c>
      <c r="C3872"/>
      <c r="D3872"/>
      <c r="E3872"/>
      <c r="F3872"/>
      <c r="G3872" t="s">
        <v>5944</v>
      </c>
      <c r="H3872" t="s">
        <v>132</v>
      </c>
      <c r="I3872" t="s">
        <v>2</v>
      </c>
      <c r="J3872" t="s">
        <v>5298</v>
      </c>
      <c r="K3872" t="s">
        <v>52</v>
      </c>
      <c r="L3872" t="s">
        <v>3347</v>
      </c>
      <c r="M3872" t="s">
        <v>134</v>
      </c>
      <c r="N3872" t="s">
        <v>135</v>
      </c>
      <c r="O3872"/>
      <c r="P3872"/>
      <c r="Q3872" t="s">
        <v>168</v>
      </c>
      <c r="R3872"/>
      <c r="S3872"/>
      <c r="T3872" t="s">
        <v>2165</v>
      </c>
      <c r="U3872" t="s">
        <v>137</v>
      </c>
      <c r="V3872" t="s">
        <v>1967</v>
      </c>
      <c r="W3872"/>
      <c r="X3872" t="s">
        <v>125</v>
      </c>
      <c r="Y3872"/>
      <c r="Z3872"/>
      <c r="AA3872" t="s">
        <v>2163</v>
      </c>
      <c r="AB3872" t="s">
        <v>2</v>
      </c>
      <c r="AC3872" t="s">
        <v>138</v>
      </c>
      <c r="AD3872" t="s">
        <v>131</v>
      </c>
      <c r="AE3872" s="97"/>
    </row>
    <row r="3873" spans="1:31" ht="14.4" customHeight="1" x14ac:dyDescent="0.3">
      <c r="A3873" t="s">
        <v>6407</v>
      </c>
      <c r="B3873" t="s">
        <v>3355</v>
      </c>
      <c r="C3873"/>
      <c r="D3873"/>
      <c r="E3873"/>
      <c r="F3873"/>
      <c r="G3873" t="s">
        <v>5944</v>
      </c>
      <c r="H3873" t="s">
        <v>132</v>
      </c>
      <c r="I3873" t="s">
        <v>2</v>
      </c>
      <c r="J3873" t="s">
        <v>5298</v>
      </c>
      <c r="K3873" t="s">
        <v>52</v>
      </c>
      <c r="L3873" t="s">
        <v>3347</v>
      </c>
      <c r="M3873" t="s">
        <v>134</v>
      </c>
      <c r="N3873" t="s">
        <v>135</v>
      </c>
      <c r="O3873"/>
      <c r="P3873"/>
      <c r="Q3873" t="s">
        <v>168</v>
      </c>
      <c r="R3873"/>
      <c r="S3873"/>
      <c r="T3873" t="s">
        <v>2165</v>
      </c>
      <c r="U3873" t="s">
        <v>137</v>
      </c>
      <c r="V3873" t="s">
        <v>1967</v>
      </c>
      <c r="W3873"/>
      <c r="X3873" t="s">
        <v>125</v>
      </c>
      <c r="Y3873"/>
      <c r="Z3873"/>
      <c r="AA3873" t="s">
        <v>2163</v>
      </c>
      <c r="AB3873" t="s">
        <v>2</v>
      </c>
      <c r="AC3873" t="s">
        <v>138</v>
      </c>
      <c r="AD3873" t="s">
        <v>131</v>
      </c>
      <c r="AE3873" s="97"/>
    </row>
    <row r="3874" spans="1:31" ht="14.4" customHeight="1" x14ac:dyDescent="0.3">
      <c r="A3874" t="s">
        <v>6408</v>
      </c>
      <c r="B3874" t="s">
        <v>3357</v>
      </c>
      <c r="C3874"/>
      <c r="D3874"/>
      <c r="E3874"/>
      <c r="F3874"/>
      <c r="G3874" t="s">
        <v>5944</v>
      </c>
      <c r="H3874" t="s">
        <v>132</v>
      </c>
      <c r="I3874" t="s">
        <v>2</v>
      </c>
      <c r="J3874" t="s">
        <v>5298</v>
      </c>
      <c r="K3874" t="s">
        <v>52</v>
      </c>
      <c r="L3874" t="s">
        <v>3358</v>
      </c>
      <c r="M3874" t="s">
        <v>134</v>
      </c>
      <c r="N3874" t="s">
        <v>135</v>
      </c>
      <c r="O3874"/>
      <c r="P3874"/>
      <c r="Q3874" t="s">
        <v>168</v>
      </c>
      <c r="R3874"/>
      <c r="S3874"/>
      <c r="T3874" t="s">
        <v>2165</v>
      </c>
      <c r="U3874" t="s">
        <v>137</v>
      </c>
      <c r="V3874" t="s">
        <v>1239</v>
      </c>
      <c r="W3874"/>
      <c r="X3874" t="s">
        <v>127</v>
      </c>
      <c r="Y3874"/>
      <c r="Z3874"/>
      <c r="AA3874" t="s">
        <v>2163</v>
      </c>
      <c r="AB3874" t="s">
        <v>2</v>
      </c>
      <c r="AC3874" t="s">
        <v>138</v>
      </c>
      <c r="AD3874" t="s">
        <v>131</v>
      </c>
      <c r="AE3874" s="97"/>
    </row>
    <row r="3875" spans="1:31" ht="14.4" customHeight="1" x14ac:dyDescent="0.3">
      <c r="A3875" t="s">
        <v>6409</v>
      </c>
      <c r="B3875" t="s">
        <v>3360</v>
      </c>
      <c r="C3875"/>
      <c r="D3875"/>
      <c r="E3875"/>
      <c r="F3875"/>
      <c r="G3875" t="s">
        <v>5944</v>
      </c>
      <c r="H3875" t="s">
        <v>132</v>
      </c>
      <c r="I3875" t="s">
        <v>2</v>
      </c>
      <c r="J3875" t="s">
        <v>5298</v>
      </c>
      <c r="K3875" t="s">
        <v>52</v>
      </c>
      <c r="L3875" t="s">
        <v>3358</v>
      </c>
      <c r="M3875" t="s">
        <v>134</v>
      </c>
      <c r="N3875" t="s">
        <v>135</v>
      </c>
      <c r="O3875"/>
      <c r="P3875"/>
      <c r="Q3875" t="s">
        <v>168</v>
      </c>
      <c r="R3875"/>
      <c r="S3875"/>
      <c r="T3875" t="s">
        <v>2165</v>
      </c>
      <c r="U3875" t="s">
        <v>137</v>
      </c>
      <c r="V3875" t="s">
        <v>1239</v>
      </c>
      <c r="W3875"/>
      <c r="X3875" t="s">
        <v>127</v>
      </c>
      <c r="Y3875"/>
      <c r="Z3875"/>
      <c r="AA3875" t="s">
        <v>2163</v>
      </c>
      <c r="AB3875" t="s">
        <v>2</v>
      </c>
      <c r="AC3875" t="s">
        <v>138</v>
      </c>
      <c r="AD3875" t="s">
        <v>131</v>
      </c>
      <c r="AE3875" s="97"/>
    </row>
    <row r="3876" spans="1:31" ht="14.4" customHeight="1" x14ac:dyDescent="0.3">
      <c r="A3876" t="s">
        <v>6410</v>
      </c>
      <c r="B3876" t="s">
        <v>3362</v>
      </c>
      <c r="C3876"/>
      <c r="D3876"/>
      <c r="E3876"/>
      <c r="F3876"/>
      <c r="G3876" t="s">
        <v>5944</v>
      </c>
      <c r="H3876" t="s">
        <v>132</v>
      </c>
      <c r="I3876" t="s">
        <v>2</v>
      </c>
      <c r="J3876" t="s">
        <v>5298</v>
      </c>
      <c r="K3876" t="s">
        <v>52</v>
      </c>
      <c r="L3876" t="s">
        <v>3358</v>
      </c>
      <c r="M3876" t="s">
        <v>134</v>
      </c>
      <c r="N3876" t="s">
        <v>135</v>
      </c>
      <c r="O3876"/>
      <c r="P3876"/>
      <c r="Q3876" t="s">
        <v>168</v>
      </c>
      <c r="R3876"/>
      <c r="S3876"/>
      <c r="T3876" t="s">
        <v>2165</v>
      </c>
      <c r="U3876" t="s">
        <v>137</v>
      </c>
      <c r="V3876" t="s">
        <v>1239</v>
      </c>
      <c r="W3876"/>
      <c r="X3876" t="s">
        <v>127</v>
      </c>
      <c r="Y3876"/>
      <c r="Z3876"/>
      <c r="AA3876" t="s">
        <v>2163</v>
      </c>
      <c r="AB3876" t="s">
        <v>2</v>
      </c>
      <c r="AC3876" t="s">
        <v>138</v>
      </c>
      <c r="AD3876" t="s">
        <v>131</v>
      </c>
      <c r="AE3876" s="97"/>
    </row>
    <row r="3877" spans="1:31" ht="14.4" customHeight="1" x14ac:dyDescent="0.3">
      <c r="A3877" t="s">
        <v>6411</v>
      </c>
      <c r="B3877" t="s">
        <v>3364</v>
      </c>
      <c r="C3877"/>
      <c r="D3877"/>
      <c r="E3877"/>
      <c r="F3877"/>
      <c r="G3877" t="s">
        <v>5944</v>
      </c>
      <c r="H3877" t="s">
        <v>132</v>
      </c>
      <c r="I3877" t="s">
        <v>2</v>
      </c>
      <c r="J3877" t="s">
        <v>5298</v>
      </c>
      <c r="K3877" t="s">
        <v>52</v>
      </c>
      <c r="L3877" t="s">
        <v>3358</v>
      </c>
      <c r="M3877" t="s">
        <v>134</v>
      </c>
      <c r="N3877" t="s">
        <v>135</v>
      </c>
      <c r="O3877"/>
      <c r="P3877"/>
      <c r="Q3877" t="s">
        <v>168</v>
      </c>
      <c r="R3877"/>
      <c r="S3877"/>
      <c r="T3877" t="s">
        <v>2165</v>
      </c>
      <c r="U3877" t="s">
        <v>137</v>
      </c>
      <c r="V3877" t="s">
        <v>1239</v>
      </c>
      <c r="W3877"/>
      <c r="X3877" t="s">
        <v>127</v>
      </c>
      <c r="Y3877"/>
      <c r="Z3877"/>
      <c r="AA3877" t="s">
        <v>2163</v>
      </c>
      <c r="AB3877" t="s">
        <v>2</v>
      </c>
      <c r="AC3877" t="s">
        <v>138</v>
      </c>
      <c r="AD3877" t="s">
        <v>131</v>
      </c>
      <c r="AE3877" s="97"/>
    </row>
    <row r="3878" spans="1:31" ht="14.4" customHeight="1" x14ac:dyDescent="0.3">
      <c r="A3878" t="s">
        <v>6412</v>
      </c>
      <c r="B3878" t="s">
        <v>3372</v>
      </c>
      <c r="C3878"/>
      <c r="D3878"/>
      <c r="E3878"/>
      <c r="F3878"/>
      <c r="G3878" t="s">
        <v>5944</v>
      </c>
      <c r="H3878" t="s">
        <v>132</v>
      </c>
      <c r="I3878" t="s">
        <v>2</v>
      </c>
      <c r="J3878" t="s">
        <v>5298</v>
      </c>
      <c r="K3878" t="s">
        <v>52</v>
      </c>
      <c r="L3878" t="s">
        <v>3373</v>
      </c>
      <c r="M3878" t="s">
        <v>134</v>
      </c>
      <c r="N3878" t="s">
        <v>135</v>
      </c>
      <c r="O3878"/>
      <c r="P3878"/>
      <c r="Q3878" t="s">
        <v>168</v>
      </c>
      <c r="R3878"/>
      <c r="S3878"/>
      <c r="T3878" t="s">
        <v>2165</v>
      </c>
      <c r="U3878" t="s">
        <v>137</v>
      </c>
      <c r="V3878" t="s">
        <v>1249</v>
      </c>
      <c r="W3878"/>
      <c r="X3878" t="s">
        <v>61</v>
      </c>
      <c r="Y3878"/>
      <c r="Z3878"/>
      <c r="AA3878" t="s">
        <v>2163</v>
      </c>
      <c r="AB3878" t="s">
        <v>2</v>
      </c>
      <c r="AC3878" t="s">
        <v>138</v>
      </c>
      <c r="AD3878" t="s">
        <v>128</v>
      </c>
      <c r="AE3878" s="97"/>
    </row>
    <row r="3879" spans="1:31" ht="14.4" customHeight="1" x14ac:dyDescent="0.3">
      <c r="A3879" t="s">
        <v>6413</v>
      </c>
      <c r="B3879" t="s">
        <v>3375</v>
      </c>
      <c r="C3879"/>
      <c r="D3879"/>
      <c r="E3879"/>
      <c r="F3879"/>
      <c r="G3879" t="s">
        <v>5944</v>
      </c>
      <c r="H3879" t="s">
        <v>132</v>
      </c>
      <c r="I3879" t="s">
        <v>2</v>
      </c>
      <c r="J3879" t="s">
        <v>5298</v>
      </c>
      <c r="K3879" t="s">
        <v>52</v>
      </c>
      <c r="L3879" t="s">
        <v>3373</v>
      </c>
      <c r="M3879" t="s">
        <v>134</v>
      </c>
      <c r="N3879" t="s">
        <v>135</v>
      </c>
      <c r="O3879"/>
      <c r="P3879"/>
      <c r="Q3879" t="s">
        <v>168</v>
      </c>
      <c r="R3879"/>
      <c r="S3879"/>
      <c r="T3879" t="s">
        <v>2165</v>
      </c>
      <c r="U3879" t="s">
        <v>137</v>
      </c>
      <c r="V3879" t="s">
        <v>1249</v>
      </c>
      <c r="W3879"/>
      <c r="X3879" t="s">
        <v>61</v>
      </c>
      <c r="Y3879"/>
      <c r="Z3879"/>
      <c r="AA3879" t="s">
        <v>2163</v>
      </c>
      <c r="AB3879" t="s">
        <v>2</v>
      </c>
      <c r="AC3879" t="s">
        <v>138</v>
      </c>
      <c r="AD3879" t="s">
        <v>128</v>
      </c>
      <c r="AE3879" s="97"/>
    </row>
    <row r="3880" spans="1:31" ht="14.4" customHeight="1" x14ac:dyDescent="0.3">
      <c r="A3880" t="s">
        <v>6414</v>
      </c>
      <c r="B3880" t="s">
        <v>3377</v>
      </c>
      <c r="C3880"/>
      <c r="D3880"/>
      <c r="E3880"/>
      <c r="F3880"/>
      <c r="G3880" t="s">
        <v>5944</v>
      </c>
      <c r="H3880" t="s">
        <v>132</v>
      </c>
      <c r="I3880" t="s">
        <v>2</v>
      </c>
      <c r="J3880" t="s">
        <v>5298</v>
      </c>
      <c r="K3880" t="s">
        <v>52</v>
      </c>
      <c r="L3880" t="s">
        <v>3373</v>
      </c>
      <c r="M3880" t="s">
        <v>134</v>
      </c>
      <c r="N3880" t="s">
        <v>135</v>
      </c>
      <c r="O3880"/>
      <c r="P3880"/>
      <c r="Q3880" t="s">
        <v>168</v>
      </c>
      <c r="R3880"/>
      <c r="S3880"/>
      <c r="T3880" t="s">
        <v>2165</v>
      </c>
      <c r="U3880" t="s">
        <v>137</v>
      </c>
      <c r="V3880" t="s">
        <v>1249</v>
      </c>
      <c r="W3880"/>
      <c r="X3880" t="s">
        <v>61</v>
      </c>
      <c r="Y3880"/>
      <c r="Z3880"/>
      <c r="AA3880" t="s">
        <v>2163</v>
      </c>
      <c r="AB3880" t="s">
        <v>2</v>
      </c>
      <c r="AC3880" t="s">
        <v>138</v>
      </c>
      <c r="AD3880" t="s">
        <v>128</v>
      </c>
      <c r="AE3880" s="97"/>
    </row>
    <row r="3881" spans="1:31" ht="14.4" customHeight="1" x14ac:dyDescent="0.3">
      <c r="A3881" t="s">
        <v>6415</v>
      </c>
      <c r="B3881" t="s">
        <v>3379</v>
      </c>
      <c r="C3881"/>
      <c r="D3881"/>
      <c r="E3881"/>
      <c r="F3881"/>
      <c r="G3881" t="s">
        <v>5944</v>
      </c>
      <c r="H3881" t="s">
        <v>132</v>
      </c>
      <c r="I3881" t="s">
        <v>2</v>
      </c>
      <c r="J3881" t="s">
        <v>5298</v>
      </c>
      <c r="K3881" t="s">
        <v>52</v>
      </c>
      <c r="L3881" t="s">
        <v>3373</v>
      </c>
      <c r="M3881" t="s">
        <v>134</v>
      </c>
      <c r="N3881" t="s">
        <v>135</v>
      </c>
      <c r="O3881"/>
      <c r="P3881"/>
      <c r="Q3881" t="s">
        <v>168</v>
      </c>
      <c r="R3881"/>
      <c r="S3881"/>
      <c r="T3881" t="s">
        <v>2165</v>
      </c>
      <c r="U3881" t="s">
        <v>137</v>
      </c>
      <c r="V3881" t="s">
        <v>1249</v>
      </c>
      <c r="W3881"/>
      <c r="X3881" t="s">
        <v>61</v>
      </c>
      <c r="Y3881"/>
      <c r="Z3881"/>
      <c r="AA3881" t="s">
        <v>2163</v>
      </c>
      <c r="AB3881" t="s">
        <v>2</v>
      </c>
      <c r="AC3881" t="s">
        <v>138</v>
      </c>
      <c r="AD3881" t="s">
        <v>128</v>
      </c>
      <c r="AE3881" s="97"/>
    </row>
    <row r="3882" spans="1:31" ht="14.4" customHeight="1" x14ac:dyDescent="0.3">
      <c r="A3882" t="s">
        <v>6416</v>
      </c>
      <c r="B3882" t="s">
        <v>3387</v>
      </c>
      <c r="C3882"/>
      <c r="D3882"/>
      <c r="E3882"/>
      <c r="F3882"/>
      <c r="G3882" t="s">
        <v>5944</v>
      </c>
      <c r="H3882" t="s">
        <v>132</v>
      </c>
      <c r="I3882" t="s">
        <v>2</v>
      </c>
      <c r="J3882" t="s">
        <v>5298</v>
      </c>
      <c r="K3882" t="s">
        <v>52</v>
      </c>
      <c r="L3882" t="s">
        <v>3388</v>
      </c>
      <c r="M3882" t="s">
        <v>134</v>
      </c>
      <c r="N3882" t="s">
        <v>135</v>
      </c>
      <c r="O3882"/>
      <c r="P3882"/>
      <c r="Q3882" t="s">
        <v>168</v>
      </c>
      <c r="R3882"/>
      <c r="S3882"/>
      <c r="T3882" t="s">
        <v>2164</v>
      </c>
      <c r="U3882" t="s">
        <v>137</v>
      </c>
      <c r="V3882" t="s">
        <v>1259</v>
      </c>
      <c r="W3882"/>
      <c r="X3882" t="s">
        <v>126</v>
      </c>
      <c r="Y3882"/>
      <c r="Z3882"/>
      <c r="AA3882" t="s">
        <v>2163</v>
      </c>
      <c r="AB3882" t="s">
        <v>2</v>
      </c>
      <c r="AC3882" t="s">
        <v>138</v>
      </c>
      <c r="AD3882" t="s">
        <v>131</v>
      </c>
      <c r="AE3882" s="97"/>
    </row>
    <row r="3883" spans="1:31" ht="14.4" customHeight="1" x14ac:dyDescent="0.3">
      <c r="A3883" t="s">
        <v>6417</v>
      </c>
      <c r="B3883" t="s">
        <v>3390</v>
      </c>
      <c r="C3883"/>
      <c r="D3883"/>
      <c r="E3883"/>
      <c r="F3883"/>
      <c r="G3883" t="s">
        <v>5944</v>
      </c>
      <c r="H3883" t="s">
        <v>132</v>
      </c>
      <c r="I3883" t="s">
        <v>2</v>
      </c>
      <c r="J3883" t="s">
        <v>5298</v>
      </c>
      <c r="K3883" t="s">
        <v>52</v>
      </c>
      <c r="L3883" t="s">
        <v>3391</v>
      </c>
      <c r="M3883" t="s">
        <v>134</v>
      </c>
      <c r="N3883" t="s">
        <v>135</v>
      </c>
      <c r="O3883"/>
      <c r="P3883"/>
      <c r="Q3883" t="s">
        <v>168</v>
      </c>
      <c r="R3883"/>
      <c r="S3883"/>
      <c r="T3883" t="s">
        <v>2164</v>
      </c>
      <c r="U3883" t="s">
        <v>137</v>
      </c>
      <c r="V3883" t="s">
        <v>1259</v>
      </c>
      <c r="W3883"/>
      <c r="X3883" t="s">
        <v>126</v>
      </c>
      <c r="Y3883"/>
      <c r="Z3883"/>
      <c r="AA3883" t="s">
        <v>2163</v>
      </c>
      <c r="AB3883" t="s">
        <v>2</v>
      </c>
      <c r="AC3883" t="s">
        <v>138</v>
      </c>
      <c r="AD3883" t="s">
        <v>131</v>
      </c>
      <c r="AE3883" s="97"/>
    </row>
    <row r="3884" spans="1:31" ht="14.4" customHeight="1" x14ac:dyDescent="0.3">
      <c r="A3884" t="s">
        <v>6418</v>
      </c>
      <c r="B3884" t="s">
        <v>3393</v>
      </c>
      <c r="C3884"/>
      <c r="D3884"/>
      <c r="E3884"/>
      <c r="F3884"/>
      <c r="G3884" t="s">
        <v>5944</v>
      </c>
      <c r="H3884" t="s">
        <v>132</v>
      </c>
      <c r="I3884" t="s">
        <v>2</v>
      </c>
      <c r="J3884" t="s">
        <v>5298</v>
      </c>
      <c r="K3884" t="s">
        <v>52</v>
      </c>
      <c r="L3884" t="s">
        <v>3394</v>
      </c>
      <c r="M3884" t="s">
        <v>134</v>
      </c>
      <c r="N3884" t="s">
        <v>135</v>
      </c>
      <c r="O3884"/>
      <c r="P3884"/>
      <c r="Q3884" t="s">
        <v>168</v>
      </c>
      <c r="R3884"/>
      <c r="S3884"/>
      <c r="T3884" t="s">
        <v>2164</v>
      </c>
      <c r="U3884" t="s">
        <v>137</v>
      </c>
      <c r="V3884" t="s">
        <v>1263</v>
      </c>
      <c r="W3884"/>
      <c r="X3884" t="s">
        <v>69</v>
      </c>
      <c r="Y3884"/>
      <c r="Z3884"/>
      <c r="AA3884" t="s">
        <v>2163</v>
      </c>
      <c r="AB3884" t="s">
        <v>2</v>
      </c>
      <c r="AC3884" t="s">
        <v>138</v>
      </c>
      <c r="AD3884" t="s">
        <v>128</v>
      </c>
      <c r="AE3884" s="97"/>
    </row>
    <row r="3885" spans="1:31" ht="14.4" customHeight="1" x14ac:dyDescent="0.3">
      <c r="A3885" t="s">
        <v>6419</v>
      </c>
      <c r="B3885" t="s">
        <v>3396</v>
      </c>
      <c r="C3885"/>
      <c r="D3885"/>
      <c r="E3885"/>
      <c r="F3885"/>
      <c r="G3885" t="s">
        <v>5944</v>
      </c>
      <c r="H3885" t="s">
        <v>132</v>
      </c>
      <c r="I3885" t="s">
        <v>2</v>
      </c>
      <c r="J3885" t="s">
        <v>5298</v>
      </c>
      <c r="K3885" t="s">
        <v>52</v>
      </c>
      <c r="L3885" t="s">
        <v>3397</v>
      </c>
      <c r="M3885" t="s">
        <v>134</v>
      </c>
      <c r="N3885" t="s">
        <v>135</v>
      </c>
      <c r="O3885"/>
      <c r="P3885"/>
      <c r="Q3885" t="s">
        <v>168</v>
      </c>
      <c r="R3885"/>
      <c r="S3885"/>
      <c r="T3885" t="s">
        <v>2164</v>
      </c>
      <c r="U3885" t="s">
        <v>137</v>
      </c>
      <c r="V3885" t="s">
        <v>1263</v>
      </c>
      <c r="W3885"/>
      <c r="X3885" t="s">
        <v>69</v>
      </c>
      <c r="Y3885"/>
      <c r="Z3885"/>
      <c r="AA3885" t="s">
        <v>2163</v>
      </c>
      <c r="AB3885" t="s">
        <v>2</v>
      </c>
      <c r="AC3885" t="s">
        <v>138</v>
      </c>
      <c r="AD3885" t="s">
        <v>128</v>
      </c>
      <c r="AE3885" s="97"/>
    </row>
    <row r="3886" spans="1:31" ht="14.4" customHeight="1" x14ac:dyDescent="0.3">
      <c r="A3886" t="s">
        <v>6420</v>
      </c>
      <c r="B3886" t="s">
        <v>3399</v>
      </c>
      <c r="C3886"/>
      <c r="D3886"/>
      <c r="E3886"/>
      <c r="F3886"/>
      <c r="G3886" t="s">
        <v>5944</v>
      </c>
      <c r="H3886" t="s">
        <v>132</v>
      </c>
      <c r="I3886" t="s">
        <v>2</v>
      </c>
      <c r="J3886" t="s">
        <v>5298</v>
      </c>
      <c r="K3886" t="s">
        <v>52</v>
      </c>
      <c r="L3886" t="s">
        <v>3400</v>
      </c>
      <c r="M3886" t="s">
        <v>134</v>
      </c>
      <c r="N3886" t="s">
        <v>135</v>
      </c>
      <c r="O3886"/>
      <c r="P3886"/>
      <c r="Q3886" t="s">
        <v>168</v>
      </c>
      <c r="R3886"/>
      <c r="S3886"/>
      <c r="T3886" t="s">
        <v>2164</v>
      </c>
      <c r="U3886" t="s">
        <v>137</v>
      </c>
      <c r="V3886" t="s">
        <v>1259</v>
      </c>
      <c r="W3886"/>
      <c r="X3886" t="s">
        <v>126</v>
      </c>
      <c r="Y3886"/>
      <c r="Z3886"/>
      <c r="AA3886" t="s">
        <v>2163</v>
      </c>
      <c r="AB3886" t="s">
        <v>2</v>
      </c>
      <c r="AC3886" t="s">
        <v>138</v>
      </c>
      <c r="AD3886" t="s">
        <v>131</v>
      </c>
      <c r="AE3886" s="97"/>
    </row>
    <row r="3887" spans="1:31" ht="14.4" customHeight="1" x14ac:dyDescent="0.3">
      <c r="A3887" t="s">
        <v>6421</v>
      </c>
      <c r="B3887" t="s">
        <v>3402</v>
      </c>
      <c r="C3887"/>
      <c r="D3887"/>
      <c r="E3887"/>
      <c r="F3887"/>
      <c r="G3887" t="s">
        <v>5944</v>
      </c>
      <c r="H3887" t="s">
        <v>132</v>
      </c>
      <c r="I3887" t="s">
        <v>2</v>
      </c>
      <c r="J3887" t="s">
        <v>5298</v>
      </c>
      <c r="K3887" t="s">
        <v>52</v>
      </c>
      <c r="L3887" t="s">
        <v>3403</v>
      </c>
      <c r="M3887" t="s">
        <v>134</v>
      </c>
      <c r="N3887" t="s">
        <v>135</v>
      </c>
      <c r="O3887"/>
      <c r="P3887"/>
      <c r="Q3887" t="s">
        <v>168</v>
      </c>
      <c r="R3887"/>
      <c r="S3887"/>
      <c r="T3887" t="s">
        <v>2164</v>
      </c>
      <c r="U3887" t="s">
        <v>137</v>
      </c>
      <c r="V3887" t="s">
        <v>1259</v>
      </c>
      <c r="W3887"/>
      <c r="X3887" t="s">
        <v>126</v>
      </c>
      <c r="Y3887"/>
      <c r="Z3887"/>
      <c r="AA3887" t="s">
        <v>2163</v>
      </c>
      <c r="AB3887" t="s">
        <v>2</v>
      </c>
      <c r="AC3887" t="s">
        <v>138</v>
      </c>
      <c r="AD3887" t="s">
        <v>131</v>
      </c>
      <c r="AE3887" s="97"/>
    </row>
    <row r="3888" spans="1:31" ht="14.4" customHeight="1" x14ac:dyDescent="0.3">
      <c r="A3888" t="s">
        <v>6422</v>
      </c>
      <c r="B3888" t="s">
        <v>3405</v>
      </c>
      <c r="C3888"/>
      <c r="D3888"/>
      <c r="E3888"/>
      <c r="F3888"/>
      <c r="G3888" t="s">
        <v>5944</v>
      </c>
      <c r="H3888" t="s">
        <v>132</v>
      </c>
      <c r="I3888" t="s">
        <v>2</v>
      </c>
      <c r="J3888" t="s">
        <v>5298</v>
      </c>
      <c r="K3888" t="s">
        <v>52</v>
      </c>
      <c r="L3888" t="s">
        <v>3406</v>
      </c>
      <c r="M3888" t="s">
        <v>134</v>
      </c>
      <c r="N3888" t="s">
        <v>135</v>
      </c>
      <c r="O3888"/>
      <c r="P3888"/>
      <c r="Q3888" t="s">
        <v>168</v>
      </c>
      <c r="R3888"/>
      <c r="S3888"/>
      <c r="T3888" t="s">
        <v>2164</v>
      </c>
      <c r="U3888" t="s">
        <v>137</v>
      </c>
      <c r="V3888" t="s">
        <v>1263</v>
      </c>
      <c r="W3888"/>
      <c r="X3888" t="s">
        <v>69</v>
      </c>
      <c r="Y3888"/>
      <c r="Z3888"/>
      <c r="AA3888" t="s">
        <v>2163</v>
      </c>
      <c r="AB3888" t="s">
        <v>2</v>
      </c>
      <c r="AC3888" t="s">
        <v>138</v>
      </c>
      <c r="AD3888" t="s">
        <v>128</v>
      </c>
      <c r="AE3888" s="97"/>
    </row>
    <row r="3889" spans="1:31" ht="14.4" customHeight="1" x14ac:dyDescent="0.3">
      <c r="A3889" t="s">
        <v>6423</v>
      </c>
      <c r="B3889" t="s">
        <v>3408</v>
      </c>
      <c r="C3889"/>
      <c r="D3889"/>
      <c r="E3889"/>
      <c r="F3889"/>
      <c r="G3889" t="s">
        <v>5944</v>
      </c>
      <c r="H3889" t="s">
        <v>132</v>
      </c>
      <c r="I3889" t="s">
        <v>2</v>
      </c>
      <c r="J3889" t="s">
        <v>5298</v>
      </c>
      <c r="K3889" t="s">
        <v>52</v>
      </c>
      <c r="L3889" t="s">
        <v>3409</v>
      </c>
      <c r="M3889" t="s">
        <v>134</v>
      </c>
      <c r="N3889" t="s">
        <v>135</v>
      </c>
      <c r="O3889"/>
      <c r="P3889"/>
      <c r="Q3889" t="s">
        <v>168</v>
      </c>
      <c r="R3889"/>
      <c r="S3889"/>
      <c r="T3889" t="s">
        <v>2164</v>
      </c>
      <c r="U3889" t="s">
        <v>137</v>
      </c>
      <c r="V3889" t="s">
        <v>1263</v>
      </c>
      <c r="W3889"/>
      <c r="X3889" t="s">
        <v>69</v>
      </c>
      <c r="Y3889"/>
      <c r="Z3889"/>
      <c r="AA3889" t="s">
        <v>2163</v>
      </c>
      <c r="AB3889" t="s">
        <v>2</v>
      </c>
      <c r="AC3889" t="s">
        <v>138</v>
      </c>
      <c r="AD3889" t="s">
        <v>128</v>
      </c>
      <c r="AE3889" s="97"/>
    </row>
    <row r="3890" spans="1:31" ht="14.4" customHeight="1" x14ac:dyDescent="0.3">
      <c r="A3890" t="s">
        <v>6424</v>
      </c>
      <c r="B3890" t="s">
        <v>3411</v>
      </c>
      <c r="C3890"/>
      <c r="D3890"/>
      <c r="E3890"/>
      <c r="F3890"/>
      <c r="G3890" t="s">
        <v>5944</v>
      </c>
      <c r="H3890" t="s">
        <v>132</v>
      </c>
      <c r="I3890" t="s">
        <v>2</v>
      </c>
      <c r="J3890" t="s">
        <v>5298</v>
      </c>
      <c r="K3890" t="s">
        <v>52</v>
      </c>
      <c r="L3890" t="s">
        <v>3412</v>
      </c>
      <c r="M3890" t="s">
        <v>134</v>
      </c>
      <c r="N3890" t="s">
        <v>135</v>
      </c>
      <c r="O3890"/>
      <c r="P3890"/>
      <c r="Q3890" t="s">
        <v>168</v>
      </c>
      <c r="R3890"/>
      <c r="S3890"/>
      <c r="T3890" t="s">
        <v>2164</v>
      </c>
      <c r="U3890" t="s">
        <v>137</v>
      </c>
      <c r="V3890" t="s">
        <v>1259</v>
      </c>
      <c r="W3890"/>
      <c r="X3890" t="s">
        <v>126</v>
      </c>
      <c r="Y3890"/>
      <c r="Z3890"/>
      <c r="AA3890" t="s">
        <v>2163</v>
      </c>
      <c r="AB3890" t="s">
        <v>2</v>
      </c>
      <c r="AC3890" t="s">
        <v>138</v>
      </c>
      <c r="AD3890" t="s">
        <v>131</v>
      </c>
      <c r="AE3890" s="97"/>
    </row>
    <row r="3891" spans="1:31" ht="14.4" customHeight="1" x14ac:dyDescent="0.3">
      <c r="A3891" t="s">
        <v>6425</v>
      </c>
      <c r="B3891" t="s">
        <v>3414</v>
      </c>
      <c r="C3891"/>
      <c r="D3891"/>
      <c r="E3891"/>
      <c r="F3891"/>
      <c r="G3891" t="s">
        <v>5944</v>
      </c>
      <c r="H3891" t="s">
        <v>132</v>
      </c>
      <c r="I3891" t="s">
        <v>2</v>
      </c>
      <c r="J3891" t="s">
        <v>5298</v>
      </c>
      <c r="K3891" t="s">
        <v>52</v>
      </c>
      <c r="L3891" t="s">
        <v>3415</v>
      </c>
      <c r="M3891" t="s">
        <v>134</v>
      </c>
      <c r="N3891" t="s">
        <v>135</v>
      </c>
      <c r="O3891"/>
      <c r="P3891"/>
      <c r="Q3891" t="s">
        <v>168</v>
      </c>
      <c r="R3891"/>
      <c r="S3891"/>
      <c r="T3891" t="s">
        <v>2164</v>
      </c>
      <c r="U3891" t="s">
        <v>137</v>
      </c>
      <c r="V3891" t="s">
        <v>1259</v>
      </c>
      <c r="W3891"/>
      <c r="X3891" t="s">
        <v>126</v>
      </c>
      <c r="Y3891"/>
      <c r="Z3891"/>
      <c r="AA3891" t="s">
        <v>2163</v>
      </c>
      <c r="AB3891" t="s">
        <v>2</v>
      </c>
      <c r="AC3891" t="s">
        <v>138</v>
      </c>
      <c r="AD3891" t="s">
        <v>131</v>
      </c>
      <c r="AE3891" s="97"/>
    </row>
    <row r="3892" spans="1:31" ht="14.4" customHeight="1" x14ac:dyDescent="0.3">
      <c r="A3892" t="s">
        <v>6426</v>
      </c>
      <c r="B3892" t="s">
        <v>3417</v>
      </c>
      <c r="C3892"/>
      <c r="D3892"/>
      <c r="E3892"/>
      <c r="F3892"/>
      <c r="G3892" t="s">
        <v>5944</v>
      </c>
      <c r="H3892" t="s">
        <v>132</v>
      </c>
      <c r="I3892" t="s">
        <v>2</v>
      </c>
      <c r="J3892" t="s">
        <v>5298</v>
      </c>
      <c r="K3892" t="s">
        <v>52</v>
      </c>
      <c r="L3892" t="s">
        <v>3418</v>
      </c>
      <c r="M3892" t="s">
        <v>134</v>
      </c>
      <c r="N3892" t="s">
        <v>135</v>
      </c>
      <c r="O3892"/>
      <c r="P3892"/>
      <c r="Q3892" t="s">
        <v>168</v>
      </c>
      <c r="R3892"/>
      <c r="S3892"/>
      <c r="T3892" t="s">
        <v>2164</v>
      </c>
      <c r="U3892" t="s">
        <v>137</v>
      </c>
      <c r="V3892" t="s">
        <v>1263</v>
      </c>
      <c r="W3892"/>
      <c r="X3892" t="s">
        <v>69</v>
      </c>
      <c r="Y3892"/>
      <c r="Z3892"/>
      <c r="AA3892" t="s">
        <v>2163</v>
      </c>
      <c r="AB3892" t="s">
        <v>2</v>
      </c>
      <c r="AC3892" t="s">
        <v>138</v>
      </c>
      <c r="AD3892" t="s">
        <v>128</v>
      </c>
      <c r="AE3892" s="97"/>
    </row>
    <row r="3893" spans="1:31" ht="14.4" customHeight="1" x14ac:dyDescent="0.3">
      <c r="A3893" t="s">
        <v>6427</v>
      </c>
      <c r="B3893" t="s">
        <v>3420</v>
      </c>
      <c r="C3893"/>
      <c r="D3893"/>
      <c r="E3893"/>
      <c r="F3893"/>
      <c r="G3893" t="s">
        <v>5944</v>
      </c>
      <c r="H3893" t="s">
        <v>132</v>
      </c>
      <c r="I3893" t="s">
        <v>2</v>
      </c>
      <c r="J3893" t="s">
        <v>5298</v>
      </c>
      <c r="K3893" t="s">
        <v>52</v>
      </c>
      <c r="L3893" t="s">
        <v>3421</v>
      </c>
      <c r="M3893" t="s">
        <v>134</v>
      </c>
      <c r="N3893" t="s">
        <v>135</v>
      </c>
      <c r="O3893"/>
      <c r="P3893"/>
      <c r="Q3893" t="s">
        <v>168</v>
      </c>
      <c r="R3893"/>
      <c r="S3893"/>
      <c r="T3893" t="s">
        <v>2164</v>
      </c>
      <c r="U3893" t="s">
        <v>137</v>
      </c>
      <c r="V3893" t="s">
        <v>1263</v>
      </c>
      <c r="W3893"/>
      <c r="X3893" t="s">
        <v>69</v>
      </c>
      <c r="Y3893"/>
      <c r="Z3893"/>
      <c r="AA3893" t="s">
        <v>2163</v>
      </c>
      <c r="AB3893" t="s">
        <v>2</v>
      </c>
      <c r="AC3893" t="s">
        <v>138</v>
      </c>
      <c r="AD3893" t="s">
        <v>128</v>
      </c>
      <c r="AE3893" s="97"/>
    </row>
    <row r="3894" spans="1:31" ht="14.4" customHeight="1" x14ac:dyDescent="0.3">
      <c r="A3894" t="s">
        <v>6428</v>
      </c>
      <c r="B3894" t="s">
        <v>3423</v>
      </c>
      <c r="C3894"/>
      <c r="D3894"/>
      <c r="E3894"/>
      <c r="F3894"/>
      <c r="G3894" t="s">
        <v>5944</v>
      </c>
      <c r="H3894" t="s">
        <v>132</v>
      </c>
      <c r="I3894" t="s">
        <v>2</v>
      </c>
      <c r="J3894" t="s">
        <v>5298</v>
      </c>
      <c r="K3894" t="s">
        <v>52</v>
      </c>
      <c r="L3894" t="s">
        <v>3424</v>
      </c>
      <c r="M3894" t="s">
        <v>134</v>
      </c>
      <c r="N3894" t="s">
        <v>135</v>
      </c>
      <c r="O3894"/>
      <c r="P3894"/>
      <c r="Q3894" t="s">
        <v>168</v>
      </c>
      <c r="R3894"/>
      <c r="S3894"/>
      <c r="T3894" t="s">
        <v>2164</v>
      </c>
      <c r="U3894" t="s">
        <v>137</v>
      </c>
      <c r="V3894" t="s">
        <v>1259</v>
      </c>
      <c r="W3894"/>
      <c r="X3894" t="s">
        <v>126</v>
      </c>
      <c r="Y3894"/>
      <c r="Z3894"/>
      <c r="AA3894" t="s">
        <v>2163</v>
      </c>
      <c r="AB3894" t="s">
        <v>2</v>
      </c>
      <c r="AC3894" t="s">
        <v>138</v>
      </c>
      <c r="AD3894" t="s">
        <v>131</v>
      </c>
      <c r="AE3894" s="97"/>
    </row>
    <row r="3895" spans="1:31" ht="14.4" customHeight="1" x14ac:dyDescent="0.3">
      <c r="A3895" t="s">
        <v>6429</v>
      </c>
      <c r="B3895" t="s">
        <v>3426</v>
      </c>
      <c r="C3895"/>
      <c r="D3895"/>
      <c r="E3895"/>
      <c r="F3895"/>
      <c r="G3895" t="s">
        <v>5944</v>
      </c>
      <c r="H3895" t="s">
        <v>132</v>
      </c>
      <c r="I3895" t="s">
        <v>2</v>
      </c>
      <c r="J3895" t="s">
        <v>5298</v>
      </c>
      <c r="K3895" t="s">
        <v>52</v>
      </c>
      <c r="L3895" t="s">
        <v>3427</v>
      </c>
      <c r="M3895" t="s">
        <v>134</v>
      </c>
      <c r="N3895" t="s">
        <v>135</v>
      </c>
      <c r="O3895"/>
      <c r="P3895"/>
      <c r="Q3895" t="s">
        <v>168</v>
      </c>
      <c r="R3895"/>
      <c r="S3895"/>
      <c r="T3895" t="s">
        <v>2164</v>
      </c>
      <c r="U3895" t="s">
        <v>137</v>
      </c>
      <c r="V3895" t="s">
        <v>1259</v>
      </c>
      <c r="W3895"/>
      <c r="X3895" t="s">
        <v>126</v>
      </c>
      <c r="Y3895"/>
      <c r="Z3895"/>
      <c r="AA3895" t="s">
        <v>2163</v>
      </c>
      <c r="AB3895" t="s">
        <v>2</v>
      </c>
      <c r="AC3895" t="s">
        <v>138</v>
      </c>
      <c r="AD3895" t="s">
        <v>131</v>
      </c>
      <c r="AE3895" s="97"/>
    </row>
    <row r="3896" spans="1:31" ht="14.4" customHeight="1" x14ac:dyDescent="0.3">
      <c r="A3896" t="s">
        <v>6430</v>
      </c>
      <c r="B3896" t="s">
        <v>3429</v>
      </c>
      <c r="C3896"/>
      <c r="D3896"/>
      <c r="E3896"/>
      <c r="F3896"/>
      <c r="G3896" t="s">
        <v>5944</v>
      </c>
      <c r="H3896" t="s">
        <v>132</v>
      </c>
      <c r="I3896" t="s">
        <v>2</v>
      </c>
      <c r="J3896" t="s">
        <v>5298</v>
      </c>
      <c r="K3896" t="s">
        <v>52</v>
      </c>
      <c r="L3896" t="s">
        <v>3430</v>
      </c>
      <c r="M3896" t="s">
        <v>134</v>
      </c>
      <c r="N3896" t="s">
        <v>135</v>
      </c>
      <c r="O3896"/>
      <c r="P3896"/>
      <c r="Q3896" t="s">
        <v>168</v>
      </c>
      <c r="R3896"/>
      <c r="S3896"/>
      <c r="T3896" t="s">
        <v>2164</v>
      </c>
      <c r="U3896" t="s">
        <v>137</v>
      </c>
      <c r="V3896" t="s">
        <v>1263</v>
      </c>
      <c r="W3896"/>
      <c r="X3896" t="s">
        <v>69</v>
      </c>
      <c r="Y3896"/>
      <c r="Z3896"/>
      <c r="AA3896" t="s">
        <v>2163</v>
      </c>
      <c r="AB3896" t="s">
        <v>2</v>
      </c>
      <c r="AC3896" t="s">
        <v>138</v>
      </c>
      <c r="AD3896" t="s">
        <v>128</v>
      </c>
      <c r="AE3896" s="97"/>
    </row>
    <row r="3897" spans="1:31" ht="14.4" customHeight="1" x14ac:dyDescent="0.3">
      <c r="A3897" t="s">
        <v>6431</v>
      </c>
      <c r="B3897" t="s">
        <v>3432</v>
      </c>
      <c r="C3897"/>
      <c r="D3897"/>
      <c r="E3897"/>
      <c r="F3897"/>
      <c r="G3897" t="s">
        <v>5944</v>
      </c>
      <c r="H3897" t="s">
        <v>132</v>
      </c>
      <c r="I3897" t="s">
        <v>2</v>
      </c>
      <c r="J3897" t="s">
        <v>5298</v>
      </c>
      <c r="K3897" t="s">
        <v>52</v>
      </c>
      <c r="L3897" t="s">
        <v>3433</v>
      </c>
      <c r="M3897" t="s">
        <v>134</v>
      </c>
      <c r="N3897" t="s">
        <v>135</v>
      </c>
      <c r="O3897"/>
      <c r="P3897"/>
      <c r="Q3897" t="s">
        <v>168</v>
      </c>
      <c r="R3897"/>
      <c r="S3897"/>
      <c r="T3897" t="s">
        <v>2164</v>
      </c>
      <c r="U3897" t="s">
        <v>137</v>
      </c>
      <c r="V3897" t="s">
        <v>1263</v>
      </c>
      <c r="W3897"/>
      <c r="X3897" t="s">
        <v>69</v>
      </c>
      <c r="Y3897"/>
      <c r="Z3897"/>
      <c r="AA3897" t="s">
        <v>2163</v>
      </c>
      <c r="AB3897" t="s">
        <v>2</v>
      </c>
      <c r="AC3897" t="s">
        <v>138</v>
      </c>
      <c r="AD3897" t="s">
        <v>128</v>
      </c>
      <c r="AE3897" s="97"/>
    </row>
    <row r="3898" spans="1:31" ht="14.4" customHeight="1" x14ac:dyDescent="0.3">
      <c r="A3898" t="s">
        <v>6432</v>
      </c>
      <c r="B3898" t="s">
        <v>3435</v>
      </c>
      <c r="C3898"/>
      <c r="D3898"/>
      <c r="E3898"/>
      <c r="F3898"/>
      <c r="G3898" t="s">
        <v>5944</v>
      </c>
      <c r="H3898" t="s">
        <v>132</v>
      </c>
      <c r="I3898" t="s">
        <v>2</v>
      </c>
      <c r="J3898" t="s">
        <v>5298</v>
      </c>
      <c r="K3898" t="s">
        <v>52</v>
      </c>
      <c r="L3898" t="s">
        <v>3436</v>
      </c>
      <c r="M3898" t="s">
        <v>134</v>
      </c>
      <c r="N3898" t="s">
        <v>135</v>
      </c>
      <c r="O3898"/>
      <c r="P3898"/>
      <c r="Q3898" t="s">
        <v>168</v>
      </c>
      <c r="R3898"/>
      <c r="S3898"/>
      <c r="T3898"/>
      <c r="U3898" t="s">
        <v>137</v>
      </c>
      <c r="V3898" t="s">
        <v>358</v>
      </c>
      <c r="W3898"/>
      <c r="X3898" t="s">
        <v>124</v>
      </c>
      <c r="Y3898"/>
      <c r="Z3898"/>
      <c r="AA3898" t="s">
        <v>2163</v>
      </c>
      <c r="AB3898" t="s">
        <v>2</v>
      </c>
      <c r="AC3898" t="s">
        <v>138</v>
      </c>
      <c r="AD3898" t="s">
        <v>130</v>
      </c>
      <c r="AE3898" s="97"/>
    </row>
    <row r="3899" spans="1:31" ht="14.4" customHeight="1" x14ac:dyDescent="0.3">
      <c r="A3899" t="s">
        <v>6434</v>
      </c>
      <c r="B3899" t="s">
        <v>3441</v>
      </c>
      <c r="C3899"/>
      <c r="D3899"/>
      <c r="E3899"/>
      <c r="F3899"/>
      <c r="G3899" t="s">
        <v>6433</v>
      </c>
      <c r="H3899" t="s">
        <v>132</v>
      </c>
      <c r="I3899" t="s">
        <v>2</v>
      </c>
      <c r="J3899" t="s">
        <v>5298</v>
      </c>
      <c r="K3899" t="s">
        <v>52</v>
      </c>
      <c r="L3899" t="s">
        <v>3442</v>
      </c>
      <c r="M3899" t="s">
        <v>134</v>
      </c>
      <c r="N3899" t="s">
        <v>135</v>
      </c>
      <c r="O3899"/>
      <c r="P3899"/>
      <c r="Q3899" t="s">
        <v>291</v>
      </c>
      <c r="R3899"/>
      <c r="S3899"/>
      <c r="T3899" t="s">
        <v>3438</v>
      </c>
      <c r="U3899" t="s">
        <v>137</v>
      </c>
      <c r="V3899" t="s">
        <v>352</v>
      </c>
      <c r="W3899"/>
      <c r="X3899" t="s">
        <v>56</v>
      </c>
      <c r="Y3899"/>
      <c r="Z3899"/>
      <c r="AA3899" t="s">
        <v>3439</v>
      </c>
      <c r="AB3899" t="s">
        <v>2</v>
      </c>
      <c r="AC3899" t="s">
        <v>138</v>
      </c>
      <c r="AD3899" t="s">
        <v>128</v>
      </c>
      <c r="AE3899" s="97"/>
    </row>
    <row r="3900" spans="1:31" ht="14.4" customHeight="1" x14ac:dyDescent="0.3">
      <c r="A3900" t="s">
        <v>6435</v>
      </c>
      <c r="B3900" t="s">
        <v>3444</v>
      </c>
      <c r="C3900"/>
      <c r="D3900"/>
      <c r="E3900"/>
      <c r="F3900"/>
      <c r="G3900" t="s">
        <v>6433</v>
      </c>
      <c r="H3900" t="s">
        <v>132</v>
      </c>
      <c r="I3900" t="s">
        <v>2</v>
      </c>
      <c r="J3900" t="s">
        <v>5298</v>
      </c>
      <c r="K3900" t="s">
        <v>52</v>
      </c>
      <c r="L3900" t="s">
        <v>3442</v>
      </c>
      <c r="M3900" t="s">
        <v>134</v>
      </c>
      <c r="N3900" t="s">
        <v>135</v>
      </c>
      <c r="O3900"/>
      <c r="P3900"/>
      <c r="Q3900" t="s">
        <v>291</v>
      </c>
      <c r="R3900"/>
      <c r="S3900"/>
      <c r="T3900" t="s">
        <v>3438</v>
      </c>
      <c r="U3900" t="s">
        <v>137</v>
      </c>
      <c r="V3900" t="s">
        <v>352</v>
      </c>
      <c r="W3900"/>
      <c r="X3900" t="s">
        <v>56</v>
      </c>
      <c r="Y3900"/>
      <c r="Z3900"/>
      <c r="AA3900" t="s">
        <v>3439</v>
      </c>
      <c r="AB3900" t="s">
        <v>2</v>
      </c>
      <c r="AC3900" t="s">
        <v>138</v>
      </c>
      <c r="AD3900" t="s">
        <v>128</v>
      </c>
      <c r="AE3900" s="97"/>
    </row>
    <row r="3901" spans="1:31" ht="14.4" customHeight="1" x14ac:dyDescent="0.3">
      <c r="A3901" t="s">
        <v>6436</v>
      </c>
      <c r="B3901" t="s">
        <v>3446</v>
      </c>
      <c r="C3901"/>
      <c r="D3901"/>
      <c r="E3901"/>
      <c r="F3901"/>
      <c r="G3901" t="s">
        <v>6433</v>
      </c>
      <c r="H3901" t="s">
        <v>132</v>
      </c>
      <c r="I3901" t="s">
        <v>2</v>
      </c>
      <c r="J3901" t="s">
        <v>5298</v>
      </c>
      <c r="K3901" t="s">
        <v>52</v>
      </c>
      <c r="L3901" t="s">
        <v>3447</v>
      </c>
      <c r="M3901" t="s">
        <v>134</v>
      </c>
      <c r="N3901" t="s">
        <v>135</v>
      </c>
      <c r="O3901"/>
      <c r="P3901"/>
      <c r="Q3901" t="s">
        <v>291</v>
      </c>
      <c r="R3901"/>
      <c r="S3901"/>
      <c r="T3901" t="s">
        <v>3438</v>
      </c>
      <c r="U3901" t="s">
        <v>137</v>
      </c>
      <c r="V3901" t="s">
        <v>352</v>
      </c>
      <c r="W3901"/>
      <c r="X3901" t="s">
        <v>56</v>
      </c>
      <c r="Y3901"/>
      <c r="Z3901"/>
      <c r="AA3901" t="s">
        <v>3439</v>
      </c>
      <c r="AB3901" t="s">
        <v>2</v>
      </c>
      <c r="AC3901" t="s">
        <v>138</v>
      </c>
      <c r="AD3901" t="s">
        <v>128</v>
      </c>
      <c r="AE3901" s="97"/>
    </row>
    <row r="3902" spans="1:31" ht="14.4" customHeight="1" x14ac:dyDescent="0.3">
      <c r="A3902" t="s">
        <v>6989</v>
      </c>
      <c r="B3902" t="s">
        <v>6927</v>
      </c>
      <c r="C3902"/>
      <c r="D3902"/>
      <c r="E3902"/>
      <c r="F3902"/>
      <c r="G3902" t="s">
        <v>6433</v>
      </c>
      <c r="H3902" t="s">
        <v>132</v>
      </c>
      <c r="I3902" t="s">
        <v>2</v>
      </c>
      <c r="J3902" t="s">
        <v>5298</v>
      </c>
      <c r="K3902" t="s">
        <v>52</v>
      </c>
      <c r="L3902" t="s">
        <v>3447</v>
      </c>
      <c r="M3902" t="s">
        <v>134</v>
      </c>
      <c r="N3902" t="s">
        <v>135</v>
      </c>
      <c r="O3902"/>
      <c r="P3902"/>
      <c r="Q3902" t="s">
        <v>291</v>
      </c>
      <c r="R3902"/>
      <c r="S3902" t="s">
        <v>291</v>
      </c>
      <c r="T3902"/>
      <c r="U3902" t="s">
        <v>137</v>
      </c>
      <c r="V3902" t="s">
        <v>352</v>
      </c>
      <c r="W3902"/>
      <c r="X3902" t="s">
        <v>56</v>
      </c>
      <c r="Y3902"/>
      <c r="Z3902"/>
      <c r="AA3902" t="s">
        <v>3439</v>
      </c>
      <c r="AB3902" t="s">
        <v>2</v>
      </c>
      <c r="AC3902" t="s">
        <v>138</v>
      </c>
      <c r="AD3902" t="s">
        <v>128</v>
      </c>
      <c r="AE3902" s="97"/>
    </row>
    <row r="3903" spans="1:31" ht="14.4" customHeight="1" x14ac:dyDescent="0.3">
      <c r="A3903" t="s">
        <v>6437</v>
      </c>
      <c r="B3903" t="s">
        <v>3449</v>
      </c>
      <c r="C3903"/>
      <c r="D3903"/>
      <c r="E3903"/>
      <c r="F3903"/>
      <c r="G3903" t="s">
        <v>6438</v>
      </c>
      <c r="H3903" t="s">
        <v>132</v>
      </c>
      <c r="I3903" t="s">
        <v>2</v>
      </c>
      <c r="J3903" t="s">
        <v>5298</v>
      </c>
      <c r="K3903" t="s">
        <v>52</v>
      </c>
      <c r="L3903" t="s">
        <v>3451</v>
      </c>
      <c r="M3903" t="s">
        <v>134</v>
      </c>
      <c r="N3903" t="s">
        <v>135</v>
      </c>
      <c r="O3903"/>
      <c r="P3903"/>
      <c r="Q3903" t="s">
        <v>291</v>
      </c>
      <c r="R3903"/>
      <c r="S3903"/>
      <c r="T3903" t="s">
        <v>1912</v>
      </c>
      <c r="U3903" t="s">
        <v>137</v>
      </c>
      <c r="V3903" t="s">
        <v>739</v>
      </c>
      <c r="W3903"/>
      <c r="X3903" t="s">
        <v>118</v>
      </c>
      <c r="Y3903"/>
      <c r="Z3903"/>
      <c r="AA3903" t="s">
        <v>3451</v>
      </c>
      <c r="AB3903" t="s">
        <v>2</v>
      </c>
      <c r="AC3903" t="s">
        <v>138</v>
      </c>
      <c r="AD3903" t="s">
        <v>130</v>
      </c>
      <c r="AE3903" s="97"/>
    </row>
    <row r="3904" spans="1:31" ht="14.4" customHeight="1" x14ac:dyDescent="0.3">
      <c r="A3904" t="s">
        <v>6439</v>
      </c>
      <c r="B3904" t="s">
        <v>3453</v>
      </c>
      <c r="C3904"/>
      <c r="D3904"/>
      <c r="E3904"/>
      <c r="F3904"/>
      <c r="G3904" t="s">
        <v>6438</v>
      </c>
      <c r="H3904" t="s">
        <v>132</v>
      </c>
      <c r="I3904" t="s">
        <v>2</v>
      </c>
      <c r="J3904" t="s">
        <v>5298</v>
      </c>
      <c r="K3904" t="s">
        <v>52</v>
      </c>
      <c r="L3904" t="s">
        <v>3451</v>
      </c>
      <c r="M3904" t="s">
        <v>134</v>
      </c>
      <c r="N3904" t="s">
        <v>135</v>
      </c>
      <c r="O3904"/>
      <c r="P3904"/>
      <c r="Q3904" t="s">
        <v>291</v>
      </c>
      <c r="R3904"/>
      <c r="S3904"/>
      <c r="T3904" t="s">
        <v>1896</v>
      </c>
      <c r="U3904" t="s">
        <v>137</v>
      </c>
      <c r="V3904" t="s">
        <v>715</v>
      </c>
      <c r="W3904"/>
      <c r="X3904" t="s">
        <v>82</v>
      </c>
      <c r="Y3904"/>
      <c r="Z3904"/>
      <c r="AA3904" t="s">
        <v>3451</v>
      </c>
      <c r="AB3904" t="s">
        <v>2</v>
      </c>
      <c r="AC3904" t="s">
        <v>138</v>
      </c>
      <c r="AD3904" t="s">
        <v>129</v>
      </c>
      <c r="AE3904" s="97"/>
    </row>
    <row r="3905" spans="1:31" ht="14.4" customHeight="1" x14ac:dyDescent="0.3">
      <c r="A3905" t="s">
        <v>6440</v>
      </c>
      <c r="B3905" t="s">
        <v>3455</v>
      </c>
      <c r="C3905"/>
      <c r="D3905"/>
      <c r="E3905"/>
      <c r="F3905"/>
      <c r="G3905" t="s">
        <v>6438</v>
      </c>
      <c r="H3905" t="s">
        <v>132</v>
      </c>
      <c r="I3905" t="s">
        <v>2</v>
      </c>
      <c r="J3905" t="s">
        <v>5298</v>
      </c>
      <c r="K3905" t="s">
        <v>52</v>
      </c>
      <c r="L3905" t="s">
        <v>3451</v>
      </c>
      <c r="M3905" t="s">
        <v>134</v>
      </c>
      <c r="N3905" t="s">
        <v>135</v>
      </c>
      <c r="O3905"/>
      <c r="P3905"/>
      <c r="Q3905" t="s">
        <v>291</v>
      </c>
      <c r="R3905"/>
      <c r="S3905"/>
      <c r="T3905" t="s">
        <v>1908</v>
      </c>
      <c r="U3905" t="s">
        <v>137</v>
      </c>
      <c r="V3905" t="s">
        <v>733</v>
      </c>
      <c r="W3905"/>
      <c r="X3905" t="s">
        <v>109</v>
      </c>
      <c r="Y3905"/>
      <c r="Z3905"/>
      <c r="AA3905" t="s">
        <v>3451</v>
      </c>
      <c r="AB3905" t="s">
        <v>2</v>
      </c>
      <c r="AC3905" t="s">
        <v>138</v>
      </c>
      <c r="AD3905" t="s">
        <v>129</v>
      </c>
      <c r="AE3905" s="97"/>
    </row>
    <row r="3906" spans="1:31" ht="14.4" customHeight="1" x14ac:dyDescent="0.3">
      <c r="A3906" t="s">
        <v>6441</v>
      </c>
      <c r="B3906" t="s">
        <v>3457</v>
      </c>
      <c r="C3906"/>
      <c r="D3906"/>
      <c r="E3906"/>
      <c r="F3906"/>
      <c r="G3906" t="s">
        <v>6438</v>
      </c>
      <c r="H3906" t="s">
        <v>132</v>
      </c>
      <c r="I3906" t="s">
        <v>2</v>
      </c>
      <c r="J3906" t="s">
        <v>5298</v>
      </c>
      <c r="K3906" t="s">
        <v>52</v>
      </c>
      <c r="L3906" t="s">
        <v>3451</v>
      </c>
      <c r="M3906" t="s">
        <v>134</v>
      </c>
      <c r="N3906" t="s">
        <v>135</v>
      </c>
      <c r="O3906"/>
      <c r="P3906"/>
      <c r="Q3906" t="s">
        <v>291</v>
      </c>
      <c r="R3906"/>
      <c r="S3906"/>
      <c r="T3906" t="s">
        <v>1892</v>
      </c>
      <c r="U3906" t="s">
        <v>137</v>
      </c>
      <c r="V3906" t="s">
        <v>709</v>
      </c>
      <c r="W3906"/>
      <c r="X3906" t="s">
        <v>73</v>
      </c>
      <c r="Y3906"/>
      <c r="Z3906"/>
      <c r="AA3906" t="s">
        <v>3451</v>
      </c>
      <c r="AB3906" t="s">
        <v>2</v>
      </c>
      <c r="AC3906" t="s">
        <v>138</v>
      </c>
      <c r="AD3906" t="s">
        <v>128</v>
      </c>
      <c r="AE3906" s="97"/>
    </row>
    <row r="3907" spans="1:31" ht="14.4" customHeight="1" x14ac:dyDescent="0.3">
      <c r="A3907" t="s">
        <v>6442</v>
      </c>
      <c r="B3907" t="s">
        <v>3459</v>
      </c>
      <c r="C3907"/>
      <c r="D3907"/>
      <c r="E3907"/>
      <c r="F3907"/>
      <c r="G3907" t="s">
        <v>6438</v>
      </c>
      <c r="H3907" t="s">
        <v>132</v>
      </c>
      <c r="I3907" t="s">
        <v>2</v>
      </c>
      <c r="J3907" t="s">
        <v>5298</v>
      </c>
      <c r="K3907" t="s">
        <v>52</v>
      </c>
      <c r="L3907" t="s">
        <v>3451</v>
      </c>
      <c r="M3907" t="s">
        <v>134</v>
      </c>
      <c r="N3907" t="s">
        <v>135</v>
      </c>
      <c r="O3907"/>
      <c r="P3907"/>
      <c r="Q3907" t="s">
        <v>291</v>
      </c>
      <c r="R3907"/>
      <c r="S3907"/>
      <c r="T3907" t="s">
        <v>1896</v>
      </c>
      <c r="U3907" t="s">
        <v>137</v>
      </c>
      <c r="V3907" t="s">
        <v>715</v>
      </c>
      <c r="W3907"/>
      <c r="X3907" t="s">
        <v>82</v>
      </c>
      <c r="Y3907"/>
      <c r="Z3907"/>
      <c r="AA3907" t="s">
        <v>3451</v>
      </c>
      <c r="AB3907" t="s">
        <v>2</v>
      </c>
      <c r="AC3907" t="s">
        <v>138</v>
      </c>
      <c r="AD3907" t="s">
        <v>129</v>
      </c>
      <c r="AE3907" s="97"/>
    </row>
    <row r="3908" spans="1:31" ht="14.4" customHeight="1" x14ac:dyDescent="0.3">
      <c r="A3908" t="s">
        <v>6443</v>
      </c>
      <c r="B3908" t="s">
        <v>3461</v>
      </c>
      <c r="C3908"/>
      <c r="D3908"/>
      <c r="E3908"/>
      <c r="F3908"/>
      <c r="G3908" t="s">
        <v>6438</v>
      </c>
      <c r="H3908" t="s">
        <v>132</v>
      </c>
      <c r="I3908" t="s">
        <v>2</v>
      </c>
      <c r="J3908" t="s">
        <v>5298</v>
      </c>
      <c r="K3908" t="s">
        <v>52</v>
      </c>
      <c r="L3908" t="s">
        <v>3451</v>
      </c>
      <c r="M3908" t="s">
        <v>134</v>
      </c>
      <c r="N3908" t="s">
        <v>135</v>
      </c>
      <c r="O3908"/>
      <c r="P3908"/>
      <c r="Q3908" t="s">
        <v>291</v>
      </c>
      <c r="R3908"/>
      <c r="S3908"/>
      <c r="T3908" t="s">
        <v>1888</v>
      </c>
      <c r="U3908" t="s">
        <v>137</v>
      </c>
      <c r="V3908" t="s">
        <v>703</v>
      </c>
      <c r="W3908"/>
      <c r="X3908" t="s">
        <v>62</v>
      </c>
      <c r="Y3908"/>
      <c r="Z3908"/>
      <c r="AA3908" t="s">
        <v>3451</v>
      </c>
      <c r="AB3908" t="s">
        <v>2</v>
      </c>
      <c r="AC3908" t="s">
        <v>138</v>
      </c>
      <c r="AD3908" t="s">
        <v>128</v>
      </c>
      <c r="AE3908" s="97"/>
    </row>
    <row r="3909" spans="1:31" ht="14.4" customHeight="1" x14ac:dyDescent="0.3">
      <c r="A3909" t="s">
        <v>6444</v>
      </c>
      <c r="B3909" t="s">
        <v>3463</v>
      </c>
      <c r="C3909"/>
      <c r="D3909"/>
      <c r="E3909"/>
      <c r="F3909"/>
      <c r="G3909" t="s">
        <v>6438</v>
      </c>
      <c r="H3909" t="s">
        <v>132</v>
      </c>
      <c r="I3909" t="s">
        <v>2</v>
      </c>
      <c r="J3909" t="s">
        <v>5298</v>
      </c>
      <c r="K3909" t="s">
        <v>52</v>
      </c>
      <c r="L3909" t="s">
        <v>3451</v>
      </c>
      <c r="M3909" t="s">
        <v>134</v>
      </c>
      <c r="N3909" t="s">
        <v>135</v>
      </c>
      <c r="O3909"/>
      <c r="P3909"/>
      <c r="Q3909" t="s">
        <v>291</v>
      </c>
      <c r="R3909"/>
      <c r="S3909"/>
      <c r="T3909" t="s">
        <v>1900</v>
      </c>
      <c r="U3909" t="s">
        <v>137</v>
      </c>
      <c r="V3909" t="s">
        <v>721</v>
      </c>
      <c r="W3909"/>
      <c r="X3909" t="s">
        <v>91</v>
      </c>
      <c r="Y3909"/>
      <c r="Z3909"/>
      <c r="AA3909" t="s">
        <v>3451</v>
      </c>
      <c r="AB3909" t="s">
        <v>2</v>
      </c>
      <c r="AC3909" t="s">
        <v>138</v>
      </c>
      <c r="AD3909" t="s">
        <v>129</v>
      </c>
      <c r="AE3909" s="97"/>
    </row>
    <row r="3910" spans="1:31" ht="14.4" customHeight="1" x14ac:dyDescent="0.3">
      <c r="A3910" t="s">
        <v>6445</v>
      </c>
      <c r="B3910" t="s">
        <v>3465</v>
      </c>
      <c r="C3910"/>
      <c r="D3910"/>
      <c r="E3910"/>
      <c r="F3910"/>
      <c r="G3910" t="s">
        <v>6438</v>
      </c>
      <c r="H3910" t="s">
        <v>132</v>
      </c>
      <c r="I3910" t="s">
        <v>2</v>
      </c>
      <c r="J3910" t="s">
        <v>5298</v>
      </c>
      <c r="K3910" t="s">
        <v>52</v>
      </c>
      <c r="L3910" t="s">
        <v>3451</v>
      </c>
      <c r="M3910" t="s">
        <v>134</v>
      </c>
      <c r="N3910" t="s">
        <v>135</v>
      </c>
      <c r="O3910"/>
      <c r="P3910"/>
      <c r="Q3910" t="s">
        <v>291</v>
      </c>
      <c r="R3910"/>
      <c r="S3910"/>
      <c r="T3910" t="s">
        <v>1896</v>
      </c>
      <c r="U3910" t="s">
        <v>137</v>
      </c>
      <c r="V3910" t="s">
        <v>715</v>
      </c>
      <c r="W3910"/>
      <c r="X3910" t="s">
        <v>82</v>
      </c>
      <c r="Y3910"/>
      <c r="Z3910"/>
      <c r="AA3910" t="s">
        <v>3451</v>
      </c>
      <c r="AB3910" t="s">
        <v>2</v>
      </c>
      <c r="AC3910" t="s">
        <v>138</v>
      </c>
      <c r="AD3910" t="s">
        <v>129</v>
      </c>
      <c r="AE3910" s="97"/>
    </row>
    <row r="3911" spans="1:31" ht="14.4" customHeight="1" x14ac:dyDescent="0.3">
      <c r="A3911" t="s">
        <v>6446</v>
      </c>
      <c r="B3911" t="s">
        <v>3467</v>
      </c>
      <c r="C3911"/>
      <c r="D3911"/>
      <c r="E3911"/>
      <c r="F3911"/>
      <c r="G3911" t="s">
        <v>6438</v>
      </c>
      <c r="H3911" t="s">
        <v>132</v>
      </c>
      <c r="I3911" t="s">
        <v>2</v>
      </c>
      <c r="J3911" t="s">
        <v>5298</v>
      </c>
      <c r="K3911" t="s">
        <v>52</v>
      </c>
      <c r="L3911" t="s">
        <v>3451</v>
      </c>
      <c r="M3911" t="s">
        <v>134</v>
      </c>
      <c r="N3911" t="s">
        <v>135</v>
      </c>
      <c r="O3911"/>
      <c r="P3911"/>
      <c r="Q3911" t="s">
        <v>291</v>
      </c>
      <c r="R3911"/>
      <c r="S3911"/>
      <c r="T3911" t="s">
        <v>1912</v>
      </c>
      <c r="U3911" t="s">
        <v>137</v>
      </c>
      <c r="V3911" t="s">
        <v>739</v>
      </c>
      <c r="W3911"/>
      <c r="X3911" t="s">
        <v>118</v>
      </c>
      <c r="Y3911"/>
      <c r="Z3911"/>
      <c r="AA3911" t="s">
        <v>3451</v>
      </c>
      <c r="AB3911" t="s">
        <v>2</v>
      </c>
      <c r="AC3911" t="s">
        <v>138</v>
      </c>
      <c r="AD3911" t="s">
        <v>130</v>
      </c>
      <c r="AE3911" s="97"/>
    </row>
    <row r="3912" spans="1:31" ht="14.4" customHeight="1" x14ac:dyDescent="0.3">
      <c r="A3912" t="s">
        <v>6447</v>
      </c>
      <c r="B3912" t="s">
        <v>3469</v>
      </c>
      <c r="C3912"/>
      <c r="D3912"/>
      <c r="E3912"/>
      <c r="F3912"/>
      <c r="G3912" t="s">
        <v>6438</v>
      </c>
      <c r="H3912" t="s">
        <v>132</v>
      </c>
      <c r="I3912" t="s">
        <v>2</v>
      </c>
      <c r="J3912" t="s">
        <v>5298</v>
      </c>
      <c r="K3912" t="s">
        <v>52</v>
      </c>
      <c r="L3912" t="s">
        <v>3451</v>
      </c>
      <c r="M3912" t="s">
        <v>134</v>
      </c>
      <c r="N3912" t="s">
        <v>135</v>
      </c>
      <c r="O3912"/>
      <c r="P3912"/>
      <c r="Q3912" t="s">
        <v>291</v>
      </c>
      <c r="R3912"/>
      <c r="S3912"/>
      <c r="T3912" t="s">
        <v>1904</v>
      </c>
      <c r="U3912" t="s">
        <v>137</v>
      </c>
      <c r="V3912" t="s">
        <v>727</v>
      </c>
      <c r="W3912"/>
      <c r="X3912" t="s">
        <v>100</v>
      </c>
      <c r="Y3912"/>
      <c r="Z3912"/>
      <c r="AA3912" t="s">
        <v>3451</v>
      </c>
      <c r="AB3912" t="s">
        <v>2</v>
      </c>
      <c r="AC3912" t="s">
        <v>138</v>
      </c>
      <c r="AD3912" t="s">
        <v>129</v>
      </c>
      <c r="AE3912" s="97"/>
    </row>
    <row r="3913" spans="1:31" ht="14.4" customHeight="1" x14ac:dyDescent="0.3">
      <c r="A3913" t="s">
        <v>6448</v>
      </c>
      <c r="B3913" t="s">
        <v>3471</v>
      </c>
      <c r="C3913"/>
      <c r="D3913"/>
      <c r="E3913"/>
      <c r="F3913"/>
      <c r="G3913" t="s">
        <v>6438</v>
      </c>
      <c r="H3913" t="s">
        <v>132</v>
      </c>
      <c r="I3913" t="s">
        <v>2</v>
      </c>
      <c r="J3913" t="s">
        <v>5298</v>
      </c>
      <c r="K3913" t="s">
        <v>52</v>
      </c>
      <c r="L3913" t="s">
        <v>3451</v>
      </c>
      <c r="M3913" t="s">
        <v>134</v>
      </c>
      <c r="N3913" t="s">
        <v>135</v>
      </c>
      <c r="O3913"/>
      <c r="P3913"/>
      <c r="Q3913" t="s">
        <v>291</v>
      </c>
      <c r="R3913"/>
      <c r="S3913"/>
      <c r="T3913" t="s">
        <v>1888</v>
      </c>
      <c r="U3913" t="s">
        <v>137</v>
      </c>
      <c r="V3913" t="s">
        <v>703</v>
      </c>
      <c r="W3913"/>
      <c r="X3913" t="s">
        <v>62</v>
      </c>
      <c r="Y3913"/>
      <c r="Z3913"/>
      <c r="AA3913" t="s">
        <v>3451</v>
      </c>
      <c r="AB3913" t="s">
        <v>2</v>
      </c>
      <c r="AC3913" t="s">
        <v>138</v>
      </c>
      <c r="AD3913" t="s">
        <v>128</v>
      </c>
      <c r="AE3913" s="97"/>
    </row>
    <row r="3914" spans="1:31" ht="14.4" customHeight="1" x14ac:dyDescent="0.3">
      <c r="A3914" t="s">
        <v>6449</v>
      </c>
      <c r="B3914" t="s">
        <v>3473</v>
      </c>
      <c r="C3914"/>
      <c r="D3914"/>
      <c r="E3914"/>
      <c r="F3914"/>
      <c r="G3914" t="s">
        <v>6438</v>
      </c>
      <c r="H3914" t="s">
        <v>132</v>
      </c>
      <c r="I3914" t="s">
        <v>2</v>
      </c>
      <c r="J3914" t="s">
        <v>5298</v>
      </c>
      <c r="K3914" t="s">
        <v>52</v>
      </c>
      <c r="L3914" t="s">
        <v>3451</v>
      </c>
      <c r="M3914" t="s">
        <v>134</v>
      </c>
      <c r="N3914" t="s">
        <v>135</v>
      </c>
      <c r="O3914"/>
      <c r="P3914"/>
      <c r="Q3914" t="s">
        <v>291</v>
      </c>
      <c r="R3914"/>
      <c r="S3914"/>
      <c r="T3914" t="s">
        <v>1900</v>
      </c>
      <c r="U3914" t="s">
        <v>137</v>
      </c>
      <c r="V3914" t="s">
        <v>721</v>
      </c>
      <c r="W3914"/>
      <c r="X3914" t="s">
        <v>91</v>
      </c>
      <c r="Y3914"/>
      <c r="Z3914"/>
      <c r="AA3914" t="s">
        <v>3451</v>
      </c>
      <c r="AB3914" t="s">
        <v>2</v>
      </c>
      <c r="AC3914" t="s">
        <v>138</v>
      </c>
      <c r="AD3914" t="s">
        <v>129</v>
      </c>
      <c r="AE3914" s="97"/>
    </row>
    <row r="3915" spans="1:31" ht="14.4" customHeight="1" x14ac:dyDescent="0.3">
      <c r="A3915" t="s">
        <v>6450</v>
      </c>
      <c r="B3915" t="s">
        <v>3475</v>
      </c>
      <c r="C3915"/>
      <c r="D3915"/>
      <c r="E3915"/>
      <c r="F3915"/>
      <c r="G3915" t="s">
        <v>6438</v>
      </c>
      <c r="H3915" t="s">
        <v>132</v>
      </c>
      <c r="I3915" t="s">
        <v>2</v>
      </c>
      <c r="J3915" t="s">
        <v>5298</v>
      </c>
      <c r="K3915" t="s">
        <v>52</v>
      </c>
      <c r="L3915" t="s">
        <v>3451</v>
      </c>
      <c r="M3915" t="s">
        <v>134</v>
      </c>
      <c r="N3915" t="s">
        <v>135</v>
      </c>
      <c r="O3915"/>
      <c r="P3915"/>
      <c r="Q3915" t="s">
        <v>291</v>
      </c>
      <c r="R3915"/>
      <c r="S3915"/>
      <c r="T3915" t="s">
        <v>1892</v>
      </c>
      <c r="U3915" t="s">
        <v>137</v>
      </c>
      <c r="V3915" t="s">
        <v>709</v>
      </c>
      <c r="W3915"/>
      <c r="X3915" t="s">
        <v>73</v>
      </c>
      <c r="Y3915"/>
      <c r="Z3915"/>
      <c r="AA3915" t="s">
        <v>3451</v>
      </c>
      <c r="AB3915" t="s">
        <v>2</v>
      </c>
      <c r="AC3915" t="s">
        <v>138</v>
      </c>
      <c r="AD3915" t="s">
        <v>128</v>
      </c>
      <c r="AE3915" s="97"/>
    </row>
    <row r="3916" spans="1:31" ht="14.4" customHeight="1" x14ac:dyDescent="0.3">
      <c r="A3916" t="s">
        <v>6451</v>
      </c>
      <c r="B3916" t="s">
        <v>3477</v>
      </c>
      <c r="C3916"/>
      <c r="D3916"/>
      <c r="E3916"/>
      <c r="F3916"/>
      <c r="G3916" t="s">
        <v>6438</v>
      </c>
      <c r="H3916" t="s">
        <v>132</v>
      </c>
      <c r="I3916" t="s">
        <v>2</v>
      </c>
      <c r="J3916" t="s">
        <v>5298</v>
      </c>
      <c r="K3916" t="s">
        <v>52</v>
      </c>
      <c r="L3916" t="s">
        <v>3451</v>
      </c>
      <c r="M3916" t="s">
        <v>134</v>
      </c>
      <c r="N3916" t="s">
        <v>135</v>
      </c>
      <c r="O3916"/>
      <c r="P3916"/>
      <c r="Q3916" t="s">
        <v>291</v>
      </c>
      <c r="R3916"/>
      <c r="S3916"/>
      <c r="T3916" t="s">
        <v>1904</v>
      </c>
      <c r="U3916" t="s">
        <v>137</v>
      </c>
      <c r="V3916" t="s">
        <v>727</v>
      </c>
      <c r="W3916"/>
      <c r="X3916" t="s">
        <v>100</v>
      </c>
      <c r="Y3916"/>
      <c r="Z3916"/>
      <c r="AA3916" t="s">
        <v>3451</v>
      </c>
      <c r="AB3916" t="s">
        <v>2</v>
      </c>
      <c r="AC3916" t="s">
        <v>138</v>
      </c>
      <c r="AD3916" t="s">
        <v>129</v>
      </c>
      <c r="AE3916" s="97"/>
    </row>
    <row r="3917" spans="1:31" ht="14.4" customHeight="1" x14ac:dyDescent="0.3">
      <c r="A3917" t="s">
        <v>6452</v>
      </c>
      <c r="B3917" t="s">
        <v>3479</v>
      </c>
      <c r="C3917"/>
      <c r="D3917"/>
      <c r="E3917"/>
      <c r="F3917"/>
      <c r="G3917" t="s">
        <v>6438</v>
      </c>
      <c r="H3917" t="s">
        <v>132</v>
      </c>
      <c r="I3917" t="s">
        <v>2</v>
      </c>
      <c r="J3917" t="s">
        <v>5298</v>
      </c>
      <c r="K3917" t="s">
        <v>52</v>
      </c>
      <c r="L3917" t="s">
        <v>3451</v>
      </c>
      <c r="M3917" t="s">
        <v>134</v>
      </c>
      <c r="N3917" t="s">
        <v>135</v>
      </c>
      <c r="O3917"/>
      <c r="P3917"/>
      <c r="Q3917" t="s">
        <v>291</v>
      </c>
      <c r="R3917"/>
      <c r="S3917"/>
      <c r="T3917" t="s">
        <v>1900</v>
      </c>
      <c r="U3917" t="s">
        <v>137</v>
      </c>
      <c r="V3917" t="s">
        <v>721</v>
      </c>
      <c r="W3917"/>
      <c r="X3917" t="s">
        <v>91</v>
      </c>
      <c r="Y3917"/>
      <c r="Z3917"/>
      <c r="AA3917" t="s">
        <v>3451</v>
      </c>
      <c r="AB3917" t="s">
        <v>2</v>
      </c>
      <c r="AC3917" t="s">
        <v>138</v>
      </c>
      <c r="AD3917" t="s">
        <v>129</v>
      </c>
      <c r="AE3917" s="97"/>
    </row>
    <row r="3918" spans="1:31" ht="14.4" customHeight="1" x14ac:dyDescent="0.3">
      <c r="A3918" t="s">
        <v>6453</v>
      </c>
      <c r="B3918" t="s">
        <v>3481</v>
      </c>
      <c r="C3918"/>
      <c r="D3918"/>
      <c r="E3918"/>
      <c r="F3918"/>
      <c r="G3918" t="s">
        <v>6438</v>
      </c>
      <c r="H3918" t="s">
        <v>132</v>
      </c>
      <c r="I3918" t="s">
        <v>2</v>
      </c>
      <c r="J3918" t="s">
        <v>5298</v>
      </c>
      <c r="K3918" t="s">
        <v>52</v>
      </c>
      <c r="L3918" t="s">
        <v>3451</v>
      </c>
      <c r="M3918" t="s">
        <v>134</v>
      </c>
      <c r="N3918" t="s">
        <v>135</v>
      </c>
      <c r="O3918"/>
      <c r="P3918"/>
      <c r="Q3918" t="s">
        <v>291</v>
      </c>
      <c r="R3918"/>
      <c r="S3918"/>
      <c r="T3918" t="s">
        <v>1908</v>
      </c>
      <c r="U3918" t="s">
        <v>137</v>
      </c>
      <c r="V3918" t="s">
        <v>733</v>
      </c>
      <c r="W3918"/>
      <c r="X3918" t="s">
        <v>109</v>
      </c>
      <c r="Y3918"/>
      <c r="Z3918"/>
      <c r="AA3918" t="s">
        <v>3451</v>
      </c>
      <c r="AB3918" t="s">
        <v>2</v>
      </c>
      <c r="AC3918" t="s">
        <v>138</v>
      </c>
      <c r="AD3918" t="s">
        <v>129</v>
      </c>
      <c r="AE3918" s="97"/>
    </row>
    <row r="3919" spans="1:31" ht="14.4" customHeight="1" x14ac:dyDescent="0.3">
      <c r="A3919" t="s">
        <v>6454</v>
      </c>
      <c r="B3919" t="s">
        <v>3483</v>
      </c>
      <c r="C3919"/>
      <c r="D3919"/>
      <c r="E3919"/>
      <c r="F3919"/>
      <c r="G3919" t="s">
        <v>6438</v>
      </c>
      <c r="H3919" t="s">
        <v>132</v>
      </c>
      <c r="I3919" t="s">
        <v>2</v>
      </c>
      <c r="J3919" t="s">
        <v>5298</v>
      </c>
      <c r="K3919" t="s">
        <v>52</v>
      </c>
      <c r="L3919" t="s">
        <v>3451</v>
      </c>
      <c r="M3919" t="s">
        <v>134</v>
      </c>
      <c r="N3919" t="s">
        <v>135</v>
      </c>
      <c r="O3919"/>
      <c r="P3919"/>
      <c r="Q3919" t="s">
        <v>291</v>
      </c>
      <c r="R3919"/>
      <c r="S3919"/>
      <c r="T3919" t="s">
        <v>1904</v>
      </c>
      <c r="U3919" t="s">
        <v>137</v>
      </c>
      <c r="V3919" t="s">
        <v>727</v>
      </c>
      <c r="W3919"/>
      <c r="X3919" t="s">
        <v>100</v>
      </c>
      <c r="Y3919"/>
      <c r="Z3919"/>
      <c r="AA3919" t="s">
        <v>3451</v>
      </c>
      <c r="AB3919" t="s">
        <v>2</v>
      </c>
      <c r="AC3919" t="s">
        <v>138</v>
      </c>
      <c r="AD3919" t="s">
        <v>129</v>
      </c>
      <c r="AE3919" s="97"/>
    </row>
    <row r="3920" spans="1:31" ht="14.4" customHeight="1" x14ac:dyDescent="0.3">
      <c r="A3920" t="s">
        <v>6455</v>
      </c>
      <c r="B3920" t="s">
        <v>3485</v>
      </c>
      <c r="C3920"/>
      <c r="D3920"/>
      <c r="E3920"/>
      <c r="F3920"/>
      <c r="G3920" t="s">
        <v>6438</v>
      </c>
      <c r="H3920" t="s">
        <v>132</v>
      </c>
      <c r="I3920" t="s">
        <v>2</v>
      </c>
      <c r="J3920" t="s">
        <v>5298</v>
      </c>
      <c r="K3920" t="s">
        <v>52</v>
      </c>
      <c r="L3920" t="s">
        <v>3451</v>
      </c>
      <c r="M3920" t="s">
        <v>134</v>
      </c>
      <c r="N3920" t="s">
        <v>135</v>
      </c>
      <c r="O3920"/>
      <c r="P3920"/>
      <c r="Q3920" t="s">
        <v>291</v>
      </c>
      <c r="R3920"/>
      <c r="S3920"/>
      <c r="T3920" t="s">
        <v>1892</v>
      </c>
      <c r="U3920" t="s">
        <v>137</v>
      </c>
      <c r="V3920" t="s">
        <v>709</v>
      </c>
      <c r="W3920"/>
      <c r="X3920" t="s">
        <v>73</v>
      </c>
      <c r="Y3920"/>
      <c r="Z3920"/>
      <c r="AA3920" t="s">
        <v>3451</v>
      </c>
      <c r="AB3920" t="s">
        <v>2</v>
      </c>
      <c r="AC3920" t="s">
        <v>138</v>
      </c>
      <c r="AD3920" t="s">
        <v>128</v>
      </c>
      <c r="AE3920" s="97"/>
    </row>
    <row r="3921" spans="1:31" ht="14.4" customHeight="1" x14ac:dyDescent="0.3">
      <c r="A3921" t="s">
        <v>6456</v>
      </c>
      <c r="B3921" t="s">
        <v>3487</v>
      </c>
      <c r="C3921"/>
      <c r="D3921"/>
      <c r="E3921"/>
      <c r="F3921"/>
      <c r="G3921" t="s">
        <v>6438</v>
      </c>
      <c r="H3921" t="s">
        <v>132</v>
      </c>
      <c r="I3921" t="s">
        <v>2</v>
      </c>
      <c r="J3921" t="s">
        <v>5298</v>
      </c>
      <c r="K3921" t="s">
        <v>52</v>
      </c>
      <c r="L3921" t="s">
        <v>3451</v>
      </c>
      <c r="M3921" t="s">
        <v>134</v>
      </c>
      <c r="N3921" t="s">
        <v>135</v>
      </c>
      <c r="O3921"/>
      <c r="P3921"/>
      <c r="Q3921" t="s">
        <v>291</v>
      </c>
      <c r="R3921"/>
      <c r="S3921"/>
      <c r="T3921" t="s">
        <v>1888</v>
      </c>
      <c r="U3921" t="s">
        <v>137</v>
      </c>
      <c r="V3921" t="s">
        <v>703</v>
      </c>
      <c r="W3921"/>
      <c r="X3921" t="s">
        <v>62</v>
      </c>
      <c r="Y3921"/>
      <c r="Z3921"/>
      <c r="AA3921" t="s">
        <v>3451</v>
      </c>
      <c r="AB3921" t="s">
        <v>2</v>
      </c>
      <c r="AC3921" t="s">
        <v>138</v>
      </c>
      <c r="AD3921" t="s">
        <v>128</v>
      </c>
      <c r="AE3921" s="97"/>
    </row>
    <row r="3922" spans="1:31" ht="14.4" customHeight="1" x14ac:dyDescent="0.3">
      <c r="A3922" t="s">
        <v>6457</v>
      </c>
      <c r="B3922" t="s">
        <v>3489</v>
      </c>
      <c r="C3922"/>
      <c r="D3922"/>
      <c r="E3922"/>
      <c r="F3922"/>
      <c r="G3922" t="s">
        <v>6438</v>
      </c>
      <c r="H3922" t="s">
        <v>132</v>
      </c>
      <c r="I3922" t="s">
        <v>2</v>
      </c>
      <c r="J3922" t="s">
        <v>5298</v>
      </c>
      <c r="K3922" t="s">
        <v>52</v>
      </c>
      <c r="L3922" t="s">
        <v>3451</v>
      </c>
      <c r="M3922" t="s">
        <v>134</v>
      </c>
      <c r="N3922" t="s">
        <v>135</v>
      </c>
      <c r="O3922"/>
      <c r="P3922"/>
      <c r="Q3922" t="s">
        <v>291</v>
      </c>
      <c r="R3922"/>
      <c r="S3922"/>
      <c r="T3922" t="s">
        <v>1908</v>
      </c>
      <c r="U3922" t="s">
        <v>137</v>
      </c>
      <c r="V3922" t="s">
        <v>733</v>
      </c>
      <c r="W3922"/>
      <c r="X3922" t="s">
        <v>109</v>
      </c>
      <c r="Y3922"/>
      <c r="Z3922"/>
      <c r="AA3922" t="s">
        <v>3451</v>
      </c>
      <c r="AB3922" t="s">
        <v>2</v>
      </c>
      <c r="AC3922" t="s">
        <v>138</v>
      </c>
      <c r="AD3922" t="s">
        <v>129</v>
      </c>
      <c r="AE3922" s="97"/>
    </row>
    <row r="3923" spans="1:31" ht="14.4" customHeight="1" x14ac:dyDescent="0.3">
      <c r="A3923" t="s">
        <v>6458</v>
      </c>
      <c r="B3923" t="s">
        <v>3491</v>
      </c>
      <c r="C3923"/>
      <c r="D3923"/>
      <c r="E3923"/>
      <c r="F3923"/>
      <c r="G3923" t="s">
        <v>6438</v>
      </c>
      <c r="H3923" t="s">
        <v>132</v>
      </c>
      <c r="I3923" t="s">
        <v>2</v>
      </c>
      <c r="J3923" t="s">
        <v>5298</v>
      </c>
      <c r="K3923" t="s">
        <v>52</v>
      </c>
      <c r="L3923" t="s">
        <v>3451</v>
      </c>
      <c r="M3923" t="s">
        <v>134</v>
      </c>
      <c r="N3923" t="s">
        <v>135</v>
      </c>
      <c r="O3923"/>
      <c r="P3923"/>
      <c r="Q3923" t="s">
        <v>291</v>
      </c>
      <c r="R3923"/>
      <c r="S3923"/>
      <c r="T3923" t="s">
        <v>1888</v>
      </c>
      <c r="U3923" t="s">
        <v>137</v>
      </c>
      <c r="V3923" t="s">
        <v>703</v>
      </c>
      <c r="W3923"/>
      <c r="X3923" t="s">
        <v>62</v>
      </c>
      <c r="Y3923"/>
      <c r="Z3923"/>
      <c r="AA3923" t="s">
        <v>3451</v>
      </c>
      <c r="AB3923" t="s">
        <v>2</v>
      </c>
      <c r="AC3923" t="s">
        <v>138</v>
      </c>
      <c r="AD3923" t="s">
        <v>128</v>
      </c>
      <c r="AE3923" s="97"/>
    </row>
    <row r="3924" spans="1:31" ht="14.4" customHeight="1" x14ac:dyDescent="0.3">
      <c r="A3924" t="s">
        <v>6459</v>
      </c>
      <c r="B3924" t="s">
        <v>3493</v>
      </c>
      <c r="C3924"/>
      <c r="D3924"/>
      <c r="E3924"/>
      <c r="F3924"/>
      <c r="G3924" t="s">
        <v>6438</v>
      </c>
      <c r="H3924" t="s">
        <v>132</v>
      </c>
      <c r="I3924" t="s">
        <v>2</v>
      </c>
      <c r="J3924" t="s">
        <v>5298</v>
      </c>
      <c r="K3924" t="s">
        <v>52</v>
      </c>
      <c r="L3924" t="s">
        <v>3451</v>
      </c>
      <c r="M3924" t="s">
        <v>134</v>
      </c>
      <c r="N3924" t="s">
        <v>135</v>
      </c>
      <c r="O3924"/>
      <c r="P3924"/>
      <c r="Q3924" t="s">
        <v>291</v>
      </c>
      <c r="R3924"/>
      <c r="S3924"/>
      <c r="T3924" t="s">
        <v>1892</v>
      </c>
      <c r="U3924" t="s">
        <v>137</v>
      </c>
      <c r="V3924" t="s">
        <v>709</v>
      </c>
      <c r="W3924"/>
      <c r="X3924" t="s">
        <v>73</v>
      </c>
      <c r="Y3924"/>
      <c r="Z3924"/>
      <c r="AA3924" t="s">
        <v>3451</v>
      </c>
      <c r="AB3924" t="s">
        <v>2</v>
      </c>
      <c r="AC3924" t="s">
        <v>138</v>
      </c>
      <c r="AD3924" t="s">
        <v>128</v>
      </c>
      <c r="AE3924" s="97"/>
    </row>
    <row r="3925" spans="1:31" ht="14.4" customHeight="1" x14ac:dyDescent="0.3">
      <c r="A3925" t="s">
        <v>6460</v>
      </c>
      <c r="B3925" t="s">
        <v>3495</v>
      </c>
      <c r="C3925"/>
      <c r="D3925"/>
      <c r="E3925"/>
      <c r="F3925"/>
      <c r="G3925" t="s">
        <v>6438</v>
      </c>
      <c r="H3925" t="s">
        <v>132</v>
      </c>
      <c r="I3925" t="s">
        <v>2</v>
      </c>
      <c r="J3925" t="s">
        <v>5298</v>
      </c>
      <c r="K3925" t="s">
        <v>52</v>
      </c>
      <c r="L3925" t="s">
        <v>3451</v>
      </c>
      <c r="M3925" t="s">
        <v>134</v>
      </c>
      <c r="N3925" t="s">
        <v>135</v>
      </c>
      <c r="O3925"/>
      <c r="P3925"/>
      <c r="Q3925" t="s">
        <v>291</v>
      </c>
      <c r="R3925"/>
      <c r="S3925"/>
      <c r="T3925" t="s">
        <v>1896</v>
      </c>
      <c r="U3925" t="s">
        <v>137</v>
      </c>
      <c r="V3925" t="s">
        <v>715</v>
      </c>
      <c r="W3925"/>
      <c r="X3925" t="s">
        <v>82</v>
      </c>
      <c r="Y3925"/>
      <c r="Z3925"/>
      <c r="AA3925" t="s">
        <v>3451</v>
      </c>
      <c r="AB3925" t="s">
        <v>2</v>
      </c>
      <c r="AC3925" t="s">
        <v>138</v>
      </c>
      <c r="AD3925" t="s">
        <v>129</v>
      </c>
      <c r="AE3925" s="97"/>
    </row>
    <row r="3926" spans="1:31" ht="14.4" customHeight="1" x14ac:dyDescent="0.3">
      <c r="A3926" t="s">
        <v>6461</v>
      </c>
      <c r="B3926" t="s">
        <v>3497</v>
      </c>
      <c r="C3926"/>
      <c r="D3926"/>
      <c r="E3926"/>
      <c r="F3926"/>
      <c r="G3926" t="s">
        <v>6438</v>
      </c>
      <c r="H3926" t="s">
        <v>132</v>
      </c>
      <c r="I3926" t="s">
        <v>2</v>
      </c>
      <c r="J3926" t="s">
        <v>5298</v>
      </c>
      <c r="K3926" t="s">
        <v>52</v>
      </c>
      <c r="L3926" t="s">
        <v>3451</v>
      </c>
      <c r="M3926" t="s">
        <v>134</v>
      </c>
      <c r="N3926" t="s">
        <v>135</v>
      </c>
      <c r="O3926"/>
      <c r="P3926"/>
      <c r="Q3926" t="s">
        <v>291</v>
      </c>
      <c r="R3926"/>
      <c r="S3926"/>
      <c r="T3926" t="s">
        <v>1900</v>
      </c>
      <c r="U3926" t="s">
        <v>137</v>
      </c>
      <c r="V3926" t="s">
        <v>721</v>
      </c>
      <c r="W3926"/>
      <c r="X3926" t="s">
        <v>91</v>
      </c>
      <c r="Y3926"/>
      <c r="Z3926"/>
      <c r="AA3926" t="s">
        <v>3451</v>
      </c>
      <c r="AB3926" t="s">
        <v>2</v>
      </c>
      <c r="AC3926" t="s">
        <v>138</v>
      </c>
      <c r="AD3926" t="s">
        <v>129</v>
      </c>
      <c r="AE3926" s="97"/>
    </row>
    <row r="3927" spans="1:31" ht="14.4" customHeight="1" x14ac:dyDescent="0.3">
      <c r="A3927" t="s">
        <v>6462</v>
      </c>
      <c r="B3927" t="s">
        <v>3499</v>
      </c>
      <c r="C3927"/>
      <c r="D3927"/>
      <c r="E3927"/>
      <c r="F3927"/>
      <c r="G3927" t="s">
        <v>6438</v>
      </c>
      <c r="H3927" t="s">
        <v>132</v>
      </c>
      <c r="I3927" t="s">
        <v>2</v>
      </c>
      <c r="J3927" t="s">
        <v>5298</v>
      </c>
      <c r="K3927" t="s">
        <v>52</v>
      </c>
      <c r="L3927" t="s">
        <v>3451</v>
      </c>
      <c r="M3927" t="s">
        <v>134</v>
      </c>
      <c r="N3927" t="s">
        <v>135</v>
      </c>
      <c r="O3927"/>
      <c r="P3927"/>
      <c r="Q3927" t="s">
        <v>291</v>
      </c>
      <c r="R3927"/>
      <c r="S3927"/>
      <c r="T3927" t="s">
        <v>1904</v>
      </c>
      <c r="U3927" t="s">
        <v>137</v>
      </c>
      <c r="V3927" t="s">
        <v>727</v>
      </c>
      <c r="W3927"/>
      <c r="X3927" t="s">
        <v>100</v>
      </c>
      <c r="Y3927"/>
      <c r="Z3927"/>
      <c r="AA3927" t="s">
        <v>3451</v>
      </c>
      <c r="AB3927" t="s">
        <v>2</v>
      </c>
      <c r="AC3927" t="s">
        <v>138</v>
      </c>
      <c r="AD3927" t="s">
        <v>129</v>
      </c>
      <c r="AE3927" s="97"/>
    </row>
    <row r="3928" spans="1:31" ht="14.4" customHeight="1" x14ac:dyDescent="0.3">
      <c r="A3928" t="s">
        <v>6463</v>
      </c>
      <c r="B3928" t="s">
        <v>3501</v>
      </c>
      <c r="C3928"/>
      <c r="D3928"/>
      <c r="E3928"/>
      <c r="F3928"/>
      <c r="G3928" t="s">
        <v>6438</v>
      </c>
      <c r="H3928" t="s">
        <v>132</v>
      </c>
      <c r="I3928" t="s">
        <v>2</v>
      </c>
      <c r="J3928" t="s">
        <v>5298</v>
      </c>
      <c r="K3928" t="s">
        <v>52</v>
      </c>
      <c r="L3928" t="s">
        <v>3451</v>
      </c>
      <c r="M3928" t="s">
        <v>134</v>
      </c>
      <c r="N3928" t="s">
        <v>135</v>
      </c>
      <c r="O3928"/>
      <c r="P3928"/>
      <c r="Q3928" t="s">
        <v>291</v>
      </c>
      <c r="R3928"/>
      <c r="S3928"/>
      <c r="T3928" t="s">
        <v>1908</v>
      </c>
      <c r="U3928" t="s">
        <v>137</v>
      </c>
      <c r="V3928" t="s">
        <v>733</v>
      </c>
      <c r="W3928"/>
      <c r="X3928" t="s">
        <v>109</v>
      </c>
      <c r="Y3928"/>
      <c r="Z3928"/>
      <c r="AA3928" t="s">
        <v>3451</v>
      </c>
      <c r="AB3928" t="s">
        <v>2</v>
      </c>
      <c r="AC3928" t="s">
        <v>138</v>
      </c>
      <c r="AD3928" t="s">
        <v>129</v>
      </c>
      <c r="AE3928" s="97"/>
    </row>
    <row r="3929" spans="1:31" ht="14.4" customHeight="1" x14ac:dyDescent="0.3">
      <c r="A3929" t="s">
        <v>6464</v>
      </c>
      <c r="B3929" t="s">
        <v>3503</v>
      </c>
      <c r="C3929"/>
      <c r="D3929"/>
      <c r="E3929"/>
      <c r="F3929"/>
      <c r="G3929" t="s">
        <v>6438</v>
      </c>
      <c r="H3929" t="s">
        <v>132</v>
      </c>
      <c r="I3929" t="s">
        <v>2</v>
      </c>
      <c r="J3929" t="s">
        <v>5298</v>
      </c>
      <c r="K3929" t="s">
        <v>52</v>
      </c>
      <c r="L3929" t="s">
        <v>3451</v>
      </c>
      <c r="M3929" t="s">
        <v>134</v>
      </c>
      <c r="N3929" t="s">
        <v>135</v>
      </c>
      <c r="O3929"/>
      <c r="P3929"/>
      <c r="Q3929" t="s">
        <v>291</v>
      </c>
      <c r="R3929"/>
      <c r="S3929"/>
      <c r="T3929" t="s">
        <v>1912</v>
      </c>
      <c r="U3929" t="s">
        <v>137</v>
      </c>
      <c r="V3929" t="s">
        <v>739</v>
      </c>
      <c r="W3929"/>
      <c r="X3929" t="s">
        <v>118</v>
      </c>
      <c r="Y3929"/>
      <c r="Z3929"/>
      <c r="AA3929" t="s">
        <v>3451</v>
      </c>
      <c r="AB3929" t="s">
        <v>2</v>
      </c>
      <c r="AC3929" t="s">
        <v>138</v>
      </c>
      <c r="AD3929" t="s">
        <v>130</v>
      </c>
      <c r="AE3929" s="97"/>
    </row>
    <row r="3930" spans="1:31" ht="14.4" customHeight="1" x14ac:dyDescent="0.3">
      <c r="A3930" t="s">
        <v>6465</v>
      </c>
      <c r="B3930" t="s">
        <v>3505</v>
      </c>
      <c r="C3930"/>
      <c r="D3930"/>
      <c r="E3930"/>
      <c r="F3930"/>
      <c r="G3930" t="s">
        <v>6438</v>
      </c>
      <c r="H3930" t="s">
        <v>132</v>
      </c>
      <c r="I3930" t="s">
        <v>2</v>
      </c>
      <c r="J3930" t="s">
        <v>5298</v>
      </c>
      <c r="K3930" t="s">
        <v>52</v>
      </c>
      <c r="L3930" t="s">
        <v>3451</v>
      </c>
      <c r="M3930" t="s">
        <v>134</v>
      </c>
      <c r="N3930" t="s">
        <v>135</v>
      </c>
      <c r="O3930"/>
      <c r="P3930"/>
      <c r="Q3930" t="s">
        <v>291</v>
      </c>
      <c r="R3930"/>
      <c r="S3930"/>
      <c r="T3930" t="s">
        <v>1912</v>
      </c>
      <c r="U3930" t="s">
        <v>137</v>
      </c>
      <c r="V3930" t="s">
        <v>739</v>
      </c>
      <c r="W3930"/>
      <c r="X3930" t="s">
        <v>118</v>
      </c>
      <c r="Y3930"/>
      <c r="Z3930"/>
      <c r="AA3930" t="s">
        <v>3451</v>
      </c>
      <c r="AB3930" t="s">
        <v>2</v>
      </c>
      <c r="AC3930" t="s">
        <v>138</v>
      </c>
      <c r="AD3930" t="s">
        <v>130</v>
      </c>
      <c r="AE3930" s="97"/>
    </row>
    <row r="3931" spans="1:31" ht="14.4" customHeight="1" x14ac:dyDescent="0.3">
      <c r="A3931" t="s">
        <v>6466</v>
      </c>
      <c r="B3931" t="s">
        <v>4125</v>
      </c>
      <c r="C3931"/>
      <c r="D3931"/>
      <c r="E3931"/>
      <c r="F3931"/>
      <c r="G3931" t="s">
        <v>6467</v>
      </c>
      <c r="H3931" t="s">
        <v>132</v>
      </c>
      <c r="I3931" t="s">
        <v>5</v>
      </c>
      <c r="J3931" t="s">
        <v>5298</v>
      </c>
      <c r="K3931" t="s">
        <v>55</v>
      </c>
      <c r="L3931" t="s">
        <v>4127</v>
      </c>
      <c r="M3931" t="s">
        <v>134</v>
      </c>
      <c r="N3931" t="s">
        <v>135</v>
      </c>
      <c r="O3931"/>
      <c r="P3931"/>
      <c r="Q3931" t="s">
        <v>1765</v>
      </c>
      <c r="R3931"/>
      <c r="S3931"/>
      <c r="T3931" t="s">
        <v>2165</v>
      </c>
      <c r="U3931" t="s">
        <v>137</v>
      </c>
      <c r="V3931" t="s">
        <v>897</v>
      </c>
      <c r="W3931"/>
      <c r="X3931" t="s">
        <v>64</v>
      </c>
      <c r="Y3931"/>
      <c r="Z3931"/>
      <c r="AA3931" t="s">
        <v>6468</v>
      </c>
      <c r="AB3931" t="s">
        <v>5</v>
      </c>
      <c r="AC3931" t="s">
        <v>138</v>
      </c>
      <c r="AD3931" t="s">
        <v>128</v>
      </c>
      <c r="AE3931" s="97"/>
    </row>
    <row r="3932" spans="1:31" ht="14.4" customHeight="1" x14ac:dyDescent="0.3">
      <c r="A3932" t="s">
        <v>6469</v>
      </c>
      <c r="B3932" t="s">
        <v>4130</v>
      </c>
      <c r="C3932"/>
      <c r="D3932"/>
      <c r="E3932"/>
      <c r="F3932"/>
      <c r="G3932" t="s">
        <v>6467</v>
      </c>
      <c r="H3932" t="s">
        <v>132</v>
      </c>
      <c r="I3932" t="s">
        <v>5</v>
      </c>
      <c r="J3932" t="s">
        <v>5298</v>
      </c>
      <c r="K3932" t="s">
        <v>55</v>
      </c>
      <c r="L3932" t="s">
        <v>4127</v>
      </c>
      <c r="M3932" t="s">
        <v>134</v>
      </c>
      <c r="N3932" t="s">
        <v>135</v>
      </c>
      <c r="O3932"/>
      <c r="P3932"/>
      <c r="Q3932" t="s">
        <v>1765</v>
      </c>
      <c r="R3932"/>
      <c r="S3932"/>
      <c r="T3932" t="s">
        <v>2165</v>
      </c>
      <c r="U3932" t="s">
        <v>137</v>
      </c>
      <c r="V3932" t="s">
        <v>897</v>
      </c>
      <c r="W3932"/>
      <c r="X3932" t="s">
        <v>64</v>
      </c>
      <c r="Y3932"/>
      <c r="Z3932"/>
      <c r="AA3932" t="s">
        <v>6468</v>
      </c>
      <c r="AB3932" t="s">
        <v>5</v>
      </c>
      <c r="AC3932" t="s">
        <v>138</v>
      </c>
      <c r="AD3932" t="s">
        <v>128</v>
      </c>
      <c r="AE3932" s="97"/>
    </row>
    <row r="3933" spans="1:31" ht="14.4" customHeight="1" x14ac:dyDescent="0.3">
      <c r="A3933" t="s">
        <v>6470</v>
      </c>
      <c r="B3933" t="s">
        <v>4132</v>
      </c>
      <c r="C3933"/>
      <c r="D3933"/>
      <c r="E3933"/>
      <c r="F3933"/>
      <c r="G3933" t="s">
        <v>6467</v>
      </c>
      <c r="H3933" t="s">
        <v>132</v>
      </c>
      <c r="I3933" t="s">
        <v>5</v>
      </c>
      <c r="J3933" t="s">
        <v>5298</v>
      </c>
      <c r="K3933" t="s">
        <v>55</v>
      </c>
      <c r="L3933" t="s">
        <v>4127</v>
      </c>
      <c r="M3933" t="s">
        <v>134</v>
      </c>
      <c r="N3933" t="s">
        <v>135</v>
      </c>
      <c r="O3933"/>
      <c r="P3933"/>
      <c r="Q3933" t="s">
        <v>1765</v>
      </c>
      <c r="R3933"/>
      <c r="S3933"/>
      <c r="T3933" t="s">
        <v>2165</v>
      </c>
      <c r="U3933" t="s">
        <v>137</v>
      </c>
      <c r="V3933" t="s">
        <v>897</v>
      </c>
      <c r="W3933"/>
      <c r="X3933" t="s">
        <v>64</v>
      </c>
      <c r="Y3933"/>
      <c r="Z3933"/>
      <c r="AA3933" t="s">
        <v>6468</v>
      </c>
      <c r="AB3933" t="s">
        <v>5</v>
      </c>
      <c r="AC3933" t="s">
        <v>138</v>
      </c>
      <c r="AD3933" t="s">
        <v>128</v>
      </c>
      <c r="AE3933" s="97"/>
    </row>
    <row r="3934" spans="1:31" ht="14.4" customHeight="1" x14ac:dyDescent="0.3">
      <c r="A3934" t="s">
        <v>6471</v>
      </c>
      <c r="B3934" t="s">
        <v>4134</v>
      </c>
      <c r="C3934"/>
      <c r="D3934"/>
      <c r="E3934"/>
      <c r="F3934"/>
      <c r="G3934" t="s">
        <v>6467</v>
      </c>
      <c r="H3934" t="s">
        <v>132</v>
      </c>
      <c r="I3934" t="s">
        <v>5</v>
      </c>
      <c r="J3934" t="s">
        <v>5298</v>
      </c>
      <c r="K3934" t="s">
        <v>55</v>
      </c>
      <c r="L3934" t="s">
        <v>4127</v>
      </c>
      <c r="M3934" t="s">
        <v>134</v>
      </c>
      <c r="N3934" t="s">
        <v>135</v>
      </c>
      <c r="O3934"/>
      <c r="P3934"/>
      <c r="Q3934" t="s">
        <v>1765</v>
      </c>
      <c r="R3934"/>
      <c r="S3934"/>
      <c r="T3934" t="s">
        <v>2165</v>
      </c>
      <c r="U3934" t="s">
        <v>137</v>
      </c>
      <c r="V3934" t="s">
        <v>897</v>
      </c>
      <c r="W3934"/>
      <c r="X3934" t="s">
        <v>64</v>
      </c>
      <c r="Y3934"/>
      <c r="Z3934"/>
      <c r="AA3934" t="s">
        <v>6468</v>
      </c>
      <c r="AB3934" t="s">
        <v>5</v>
      </c>
      <c r="AC3934" t="s">
        <v>138</v>
      </c>
      <c r="AD3934" t="s">
        <v>128</v>
      </c>
      <c r="AE3934" s="97"/>
    </row>
    <row r="3935" spans="1:31" ht="14.4" customHeight="1" x14ac:dyDescent="0.3">
      <c r="A3935" t="s">
        <v>6472</v>
      </c>
      <c r="B3935" t="s">
        <v>4136</v>
      </c>
      <c r="C3935"/>
      <c r="D3935"/>
      <c r="E3935"/>
      <c r="F3935"/>
      <c r="G3935" t="s">
        <v>6467</v>
      </c>
      <c r="H3935" t="s">
        <v>132</v>
      </c>
      <c r="I3935" t="s">
        <v>5</v>
      </c>
      <c r="J3935" t="s">
        <v>5298</v>
      </c>
      <c r="K3935" t="s">
        <v>55</v>
      </c>
      <c r="L3935" t="s">
        <v>4137</v>
      </c>
      <c r="M3935" t="s">
        <v>134</v>
      </c>
      <c r="N3935" t="s">
        <v>135</v>
      </c>
      <c r="O3935"/>
      <c r="P3935"/>
      <c r="Q3935" t="s">
        <v>1765</v>
      </c>
      <c r="R3935"/>
      <c r="S3935"/>
      <c r="T3935" t="s">
        <v>2165</v>
      </c>
      <c r="U3935" t="s">
        <v>137</v>
      </c>
      <c r="V3935" t="s">
        <v>904</v>
      </c>
      <c r="W3935"/>
      <c r="X3935" t="s">
        <v>79</v>
      </c>
      <c r="Y3935"/>
      <c r="Z3935"/>
      <c r="AA3935" t="s">
        <v>6468</v>
      </c>
      <c r="AB3935" t="s">
        <v>5</v>
      </c>
      <c r="AC3935" t="s">
        <v>138</v>
      </c>
      <c r="AD3935" t="s">
        <v>129</v>
      </c>
      <c r="AE3935" s="97"/>
    </row>
    <row r="3936" spans="1:31" ht="14.4" customHeight="1" x14ac:dyDescent="0.3">
      <c r="A3936" t="s">
        <v>6473</v>
      </c>
      <c r="B3936" t="s">
        <v>4139</v>
      </c>
      <c r="C3936"/>
      <c r="D3936"/>
      <c r="E3936"/>
      <c r="F3936"/>
      <c r="G3936" t="s">
        <v>6467</v>
      </c>
      <c r="H3936" t="s">
        <v>132</v>
      </c>
      <c r="I3936" t="s">
        <v>5</v>
      </c>
      <c r="J3936" t="s">
        <v>5298</v>
      </c>
      <c r="K3936" t="s">
        <v>55</v>
      </c>
      <c r="L3936" t="s">
        <v>4137</v>
      </c>
      <c r="M3936" t="s">
        <v>134</v>
      </c>
      <c r="N3936" t="s">
        <v>135</v>
      </c>
      <c r="O3936"/>
      <c r="P3936"/>
      <c r="Q3936" t="s">
        <v>1765</v>
      </c>
      <c r="R3936"/>
      <c r="S3936"/>
      <c r="T3936" t="s">
        <v>2165</v>
      </c>
      <c r="U3936" t="s">
        <v>137</v>
      </c>
      <c r="V3936" t="s">
        <v>904</v>
      </c>
      <c r="W3936"/>
      <c r="X3936" t="s">
        <v>79</v>
      </c>
      <c r="Y3936"/>
      <c r="Z3936"/>
      <c r="AA3936" t="s">
        <v>6468</v>
      </c>
      <c r="AB3936" t="s">
        <v>5</v>
      </c>
      <c r="AC3936" t="s">
        <v>138</v>
      </c>
      <c r="AD3936" t="s">
        <v>129</v>
      </c>
      <c r="AE3936" s="97"/>
    </row>
    <row r="3937" spans="1:31" ht="14.4" customHeight="1" x14ac:dyDescent="0.3">
      <c r="A3937" t="s">
        <v>6474</v>
      </c>
      <c r="B3937" t="s">
        <v>4141</v>
      </c>
      <c r="C3937"/>
      <c r="D3937"/>
      <c r="E3937"/>
      <c r="F3937"/>
      <c r="G3937" t="s">
        <v>6467</v>
      </c>
      <c r="H3937" t="s">
        <v>132</v>
      </c>
      <c r="I3937" t="s">
        <v>5</v>
      </c>
      <c r="J3937" t="s">
        <v>5298</v>
      </c>
      <c r="K3937" t="s">
        <v>55</v>
      </c>
      <c r="L3937" t="s">
        <v>4137</v>
      </c>
      <c r="M3937" t="s">
        <v>134</v>
      </c>
      <c r="N3937" t="s">
        <v>135</v>
      </c>
      <c r="O3937"/>
      <c r="P3937"/>
      <c r="Q3937" t="s">
        <v>1765</v>
      </c>
      <c r="R3937"/>
      <c r="S3937"/>
      <c r="T3937" t="s">
        <v>2165</v>
      </c>
      <c r="U3937" t="s">
        <v>137</v>
      </c>
      <c r="V3937" t="s">
        <v>904</v>
      </c>
      <c r="W3937"/>
      <c r="X3937" t="s">
        <v>79</v>
      </c>
      <c r="Y3937"/>
      <c r="Z3937"/>
      <c r="AA3937" t="s">
        <v>6468</v>
      </c>
      <c r="AB3937" t="s">
        <v>5</v>
      </c>
      <c r="AC3937" t="s">
        <v>138</v>
      </c>
      <c r="AD3937" t="s">
        <v>129</v>
      </c>
      <c r="AE3937" s="97"/>
    </row>
    <row r="3938" spans="1:31" ht="14.4" customHeight="1" x14ac:dyDescent="0.3">
      <c r="A3938" t="s">
        <v>6475</v>
      </c>
      <c r="B3938" t="s">
        <v>4143</v>
      </c>
      <c r="C3938"/>
      <c r="D3938"/>
      <c r="E3938"/>
      <c r="F3938"/>
      <c r="G3938" t="s">
        <v>6467</v>
      </c>
      <c r="H3938" t="s">
        <v>132</v>
      </c>
      <c r="I3938" t="s">
        <v>5</v>
      </c>
      <c r="J3938" t="s">
        <v>5298</v>
      </c>
      <c r="K3938" t="s">
        <v>55</v>
      </c>
      <c r="L3938" t="s">
        <v>4137</v>
      </c>
      <c r="M3938" t="s">
        <v>134</v>
      </c>
      <c r="N3938" t="s">
        <v>135</v>
      </c>
      <c r="O3938"/>
      <c r="P3938"/>
      <c r="Q3938" t="s">
        <v>1765</v>
      </c>
      <c r="R3938"/>
      <c r="S3938"/>
      <c r="T3938" t="s">
        <v>2165</v>
      </c>
      <c r="U3938" t="s">
        <v>137</v>
      </c>
      <c r="V3938" t="s">
        <v>904</v>
      </c>
      <c r="W3938"/>
      <c r="X3938" t="s">
        <v>79</v>
      </c>
      <c r="Y3938"/>
      <c r="Z3938"/>
      <c r="AA3938" t="s">
        <v>6468</v>
      </c>
      <c r="AB3938" t="s">
        <v>5</v>
      </c>
      <c r="AC3938" t="s">
        <v>138</v>
      </c>
      <c r="AD3938" t="s">
        <v>129</v>
      </c>
      <c r="AE3938" s="97"/>
    </row>
    <row r="3939" spans="1:31" ht="14.4" customHeight="1" x14ac:dyDescent="0.3">
      <c r="A3939" t="s">
        <v>6476</v>
      </c>
      <c r="B3939" t="s">
        <v>4145</v>
      </c>
      <c r="C3939"/>
      <c r="D3939"/>
      <c r="E3939"/>
      <c r="F3939"/>
      <c r="G3939" t="s">
        <v>6467</v>
      </c>
      <c r="H3939" t="s">
        <v>132</v>
      </c>
      <c r="I3939" t="s">
        <v>5</v>
      </c>
      <c r="J3939" t="s">
        <v>5298</v>
      </c>
      <c r="K3939" t="s">
        <v>55</v>
      </c>
      <c r="L3939" t="s">
        <v>4146</v>
      </c>
      <c r="M3939" t="s">
        <v>134</v>
      </c>
      <c r="N3939" t="s">
        <v>135</v>
      </c>
      <c r="O3939"/>
      <c r="P3939"/>
      <c r="Q3939" t="s">
        <v>1765</v>
      </c>
      <c r="R3939"/>
      <c r="S3939"/>
      <c r="T3939" t="s">
        <v>2165</v>
      </c>
      <c r="U3939" t="s">
        <v>137</v>
      </c>
      <c r="V3939" t="s">
        <v>911</v>
      </c>
      <c r="W3939"/>
      <c r="X3939" t="s">
        <v>83</v>
      </c>
      <c r="Y3939"/>
      <c r="Z3939"/>
      <c r="AA3939" t="s">
        <v>6468</v>
      </c>
      <c r="AB3939" t="s">
        <v>5</v>
      </c>
      <c r="AC3939" t="s">
        <v>138</v>
      </c>
      <c r="AD3939" t="s">
        <v>129</v>
      </c>
      <c r="AE3939" s="97"/>
    </row>
    <row r="3940" spans="1:31" ht="14.4" customHeight="1" x14ac:dyDescent="0.3">
      <c r="A3940" t="s">
        <v>6477</v>
      </c>
      <c r="B3940" t="s">
        <v>4148</v>
      </c>
      <c r="C3940"/>
      <c r="D3940"/>
      <c r="E3940"/>
      <c r="F3940"/>
      <c r="G3940" t="s">
        <v>6467</v>
      </c>
      <c r="H3940" t="s">
        <v>132</v>
      </c>
      <c r="I3940" t="s">
        <v>5</v>
      </c>
      <c r="J3940" t="s">
        <v>5298</v>
      </c>
      <c r="K3940" t="s">
        <v>55</v>
      </c>
      <c r="L3940" t="s">
        <v>4146</v>
      </c>
      <c r="M3940" t="s">
        <v>134</v>
      </c>
      <c r="N3940" t="s">
        <v>135</v>
      </c>
      <c r="O3940"/>
      <c r="P3940"/>
      <c r="Q3940" t="s">
        <v>1765</v>
      </c>
      <c r="R3940"/>
      <c r="S3940"/>
      <c r="T3940" t="s">
        <v>2165</v>
      </c>
      <c r="U3940" t="s">
        <v>137</v>
      </c>
      <c r="V3940" t="s">
        <v>911</v>
      </c>
      <c r="W3940"/>
      <c r="X3940" t="s">
        <v>83</v>
      </c>
      <c r="Y3940"/>
      <c r="Z3940"/>
      <c r="AA3940" t="s">
        <v>6468</v>
      </c>
      <c r="AB3940" t="s">
        <v>5</v>
      </c>
      <c r="AC3940" t="s">
        <v>138</v>
      </c>
      <c r="AD3940" t="s">
        <v>129</v>
      </c>
      <c r="AE3940" s="97"/>
    </row>
    <row r="3941" spans="1:31" ht="14.4" customHeight="1" x14ac:dyDescent="0.3">
      <c r="A3941" t="s">
        <v>6478</v>
      </c>
      <c r="B3941" t="s">
        <v>4150</v>
      </c>
      <c r="C3941"/>
      <c r="D3941"/>
      <c r="E3941"/>
      <c r="F3941"/>
      <c r="G3941" t="s">
        <v>6467</v>
      </c>
      <c r="H3941" t="s">
        <v>132</v>
      </c>
      <c r="I3941" t="s">
        <v>5</v>
      </c>
      <c r="J3941" t="s">
        <v>5298</v>
      </c>
      <c r="K3941" t="s">
        <v>55</v>
      </c>
      <c r="L3941" t="s">
        <v>4146</v>
      </c>
      <c r="M3941" t="s">
        <v>134</v>
      </c>
      <c r="N3941" t="s">
        <v>135</v>
      </c>
      <c r="O3941"/>
      <c r="P3941"/>
      <c r="Q3941" t="s">
        <v>1765</v>
      </c>
      <c r="R3941"/>
      <c r="S3941"/>
      <c r="T3941" t="s">
        <v>2165</v>
      </c>
      <c r="U3941" t="s">
        <v>137</v>
      </c>
      <c r="V3941" t="s">
        <v>911</v>
      </c>
      <c r="W3941"/>
      <c r="X3941" t="s">
        <v>83</v>
      </c>
      <c r="Y3941"/>
      <c r="Z3941"/>
      <c r="AA3941" t="s">
        <v>6468</v>
      </c>
      <c r="AB3941" t="s">
        <v>5</v>
      </c>
      <c r="AC3941" t="s">
        <v>138</v>
      </c>
      <c r="AD3941" t="s">
        <v>129</v>
      </c>
      <c r="AE3941" s="97"/>
    </row>
    <row r="3942" spans="1:31" ht="14.4" customHeight="1" x14ac:dyDescent="0.3">
      <c r="A3942" t="s">
        <v>6479</v>
      </c>
      <c r="B3942" t="s">
        <v>4152</v>
      </c>
      <c r="C3942"/>
      <c r="D3942"/>
      <c r="E3942"/>
      <c r="F3942"/>
      <c r="G3942" t="s">
        <v>6467</v>
      </c>
      <c r="H3942" t="s">
        <v>132</v>
      </c>
      <c r="I3942" t="s">
        <v>5</v>
      </c>
      <c r="J3942" t="s">
        <v>5298</v>
      </c>
      <c r="K3942" t="s">
        <v>55</v>
      </c>
      <c r="L3942" t="s">
        <v>4146</v>
      </c>
      <c r="M3942" t="s">
        <v>134</v>
      </c>
      <c r="N3942" t="s">
        <v>135</v>
      </c>
      <c r="O3942"/>
      <c r="P3942"/>
      <c r="Q3942" t="s">
        <v>1765</v>
      </c>
      <c r="R3942"/>
      <c r="S3942"/>
      <c r="T3942" t="s">
        <v>2165</v>
      </c>
      <c r="U3942" t="s">
        <v>137</v>
      </c>
      <c r="V3942" t="s">
        <v>911</v>
      </c>
      <c r="W3942"/>
      <c r="X3942" t="s">
        <v>83</v>
      </c>
      <c r="Y3942"/>
      <c r="Z3942"/>
      <c r="AA3942" t="s">
        <v>6468</v>
      </c>
      <c r="AB3942" t="s">
        <v>5</v>
      </c>
      <c r="AC3942" t="s">
        <v>138</v>
      </c>
      <c r="AD3942" t="s">
        <v>129</v>
      </c>
      <c r="AE3942" s="97"/>
    </row>
    <row r="3943" spans="1:31" ht="14.4" customHeight="1" x14ac:dyDescent="0.3">
      <c r="A3943" t="s">
        <v>6480</v>
      </c>
      <c r="B3943" t="s">
        <v>4154</v>
      </c>
      <c r="C3943"/>
      <c r="D3943"/>
      <c r="E3943"/>
      <c r="F3943"/>
      <c r="G3943" t="s">
        <v>6467</v>
      </c>
      <c r="H3943" t="s">
        <v>132</v>
      </c>
      <c r="I3943" t="s">
        <v>5</v>
      </c>
      <c r="J3943" t="s">
        <v>5298</v>
      </c>
      <c r="K3943" t="s">
        <v>55</v>
      </c>
      <c r="L3943" t="s">
        <v>4155</v>
      </c>
      <c r="M3943" t="s">
        <v>134</v>
      </c>
      <c r="N3943" t="s">
        <v>135</v>
      </c>
      <c r="O3943"/>
      <c r="P3943"/>
      <c r="Q3943" t="s">
        <v>1765</v>
      </c>
      <c r="R3943"/>
      <c r="S3943"/>
      <c r="T3943" t="s">
        <v>2165</v>
      </c>
      <c r="U3943" t="s">
        <v>137</v>
      </c>
      <c r="V3943" t="s">
        <v>918</v>
      </c>
      <c r="W3943"/>
      <c r="X3943" t="s">
        <v>92</v>
      </c>
      <c r="Y3943"/>
      <c r="Z3943"/>
      <c r="AA3943" t="s">
        <v>6468</v>
      </c>
      <c r="AB3943" t="s">
        <v>5</v>
      </c>
      <c r="AC3943" t="s">
        <v>138</v>
      </c>
      <c r="AD3943" t="s">
        <v>129</v>
      </c>
      <c r="AE3943" s="97"/>
    </row>
    <row r="3944" spans="1:31" ht="14.4" customHeight="1" x14ac:dyDescent="0.3">
      <c r="A3944" t="s">
        <v>6481</v>
      </c>
      <c r="B3944" t="s">
        <v>4157</v>
      </c>
      <c r="C3944"/>
      <c r="D3944"/>
      <c r="E3944"/>
      <c r="F3944"/>
      <c r="G3944" t="s">
        <v>6467</v>
      </c>
      <c r="H3944" t="s">
        <v>132</v>
      </c>
      <c r="I3944" t="s">
        <v>5</v>
      </c>
      <c r="J3944" t="s">
        <v>5298</v>
      </c>
      <c r="K3944" t="s">
        <v>55</v>
      </c>
      <c r="L3944" t="s">
        <v>4155</v>
      </c>
      <c r="M3944" t="s">
        <v>134</v>
      </c>
      <c r="N3944" t="s">
        <v>135</v>
      </c>
      <c r="O3944"/>
      <c r="P3944"/>
      <c r="Q3944" t="s">
        <v>1765</v>
      </c>
      <c r="R3944"/>
      <c r="S3944"/>
      <c r="T3944" t="s">
        <v>2165</v>
      </c>
      <c r="U3944" t="s">
        <v>137</v>
      </c>
      <c r="V3944" t="s">
        <v>918</v>
      </c>
      <c r="W3944"/>
      <c r="X3944" t="s">
        <v>92</v>
      </c>
      <c r="Y3944"/>
      <c r="Z3944"/>
      <c r="AA3944" t="s">
        <v>6468</v>
      </c>
      <c r="AB3944" t="s">
        <v>5</v>
      </c>
      <c r="AC3944" t="s">
        <v>138</v>
      </c>
      <c r="AD3944" t="s">
        <v>129</v>
      </c>
      <c r="AE3944" s="97"/>
    </row>
    <row r="3945" spans="1:31" ht="14.4" customHeight="1" x14ac:dyDescent="0.3">
      <c r="A3945" t="s">
        <v>6482</v>
      </c>
      <c r="B3945" t="s">
        <v>4159</v>
      </c>
      <c r="C3945"/>
      <c r="D3945"/>
      <c r="E3945"/>
      <c r="F3945"/>
      <c r="G3945" t="s">
        <v>6467</v>
      </c>
      <c r="H3945" t="s">
        <v>132</v>
      </c>
      <c r="I3945" t="s">
        <v>5</v>
      </c>
      <c r="J3945" t="s">
        <v>5298</v>
      </c>
      <c r="K3945" t="s">
        <v>55</v>
      </c>
      <c r="L3945" t="s">
        <v>4155</v>
      </c>
      <c r="M3945" t="s">
        <v>134</v>
      </c>
      <c r="N3945" t="s">
        <v>135</v>
      </c>
      <c r="O3945"/>
      <c r="P3945"/>
      <c r="Q3945" t="s">
        <v>1765</v>
      </c>
      <c r="R3945"/>
      <c r="S3945"/>
      <c r="T3945" t="s">
        <v>2165</v>
      </c>
      <c r="U3945" t="s">
        <v>137</v>
      </c>
      <c r="V3945" t="s">
        <v>918</v>
      </c>
      <c r="W3945"/>
      <c r="X3945" t="s">
        <v>92</v>
      </c>
      <c r="Y3945"/>
      <c r="Z3945"/>
      <c r="AA3945" t="s">
        <v>6468</v>
      </c>
      <c r="AB3945" t="s">
        <v>5</v>
      </c>
      <c r="AC3945" t="s">
        <v>138</v>
      </c>
      <c r="AD3945" t="s">
        <v>129</v>
      </c>
      <c r="AE3945" s="97"/>
    </row>
    <row r="3946" spans="1:31" ht="14.4" customHeight="1" x14ac:dyDescent="0.3">
      <c r="A3946" t="s">
        <v>6483</v>
      </c>
      <c r="B3946" t="s">
        <v>4161</v>
      </c>
      <c r="C3946"/>
      <c r="D3946"/>
      <c r="E3946"/>
      <c r="F3946"/>
      <c r="G3946" t="s">
        <v>6467</v>
      </c>
      <c r="H3946" t="s">
        <v>132</v>
      </c>
      <c r="I3946" t="s">
        <v>5</v>
      </c>
      <c r="J3946" t="s">
        <v>5298</v>
      </c>
      <c r="K3946" t="s">
        <v>55</v>
      </c>
      <c r="L3946" t="s">
        <v>4155</v>
      </c>
      <c r="M3946" t="s">
        <v>134</v>
      </c>
      <c r="N3946" t="s">
        <v>135</v>
      </c>
      <c r="O3946"/>
      <c r="P3946"/>
      <c r="Q3946" t="s">
        <v>1765</v>
      </c>
      <c r="R3946"/>
      <c r="S3946"/>
      <c r="T3946" t="s">
        <v>2165</v>
      </c>
      <c r="U3946" t="s">
        <v>137</v>
      </c>
      <c r="V3946" t="s">
        <v>918</v>
      </c>
      <c r="W3946"/>
      <c r="X3946" t="s">
        <v>92</v>
      </c>
      <c r="Y3946"/>
      <c r="Z3946"/>
      <c r="AA3946" t="s">
        <v>6468</v>
      </c>
      <c r="AB3946" t="s">
        <v>5</v>
      </c>
      <c r="AC3946" t="s">
        <v>138</v>
      </c>
      <c r="AD3946" t="s">
        <v>129</v>
      </c>
      <c r="AE3946" s="97"/>
    </row>
    <row r="3947" spans="1:31" ht="14.4" customHeight="1" x14ac:dyDescent="0.3">
      <c r="A3947" t="s">
        <v>6484</v>
      </c>
      <c r="B3947" t="s">
        <v>4163</v>
      </c>
      <c r="C3947"/>
      <c r="D3947"/>
      <c r="E3947"/>
      <c r="F3947"/>
      <c r="G3947" t="s">
        <v>6467</v>
      </c>
      <c r="H3947" t="s">
        <v>132</v>
      </c>
      <c r="I3947" t="s">
        <v>5</v>
      </c>
      <c r="J3947" t="s">
        <v>5298</v>
      </c>
      <c r="K3947" t="s">
        <v>55</v>
      </c>
      <c r="L3947" t="s">
        <v>4164</v>
      </c>
      <c r="M3947" t="s">
        <v>134</v>
      </c>
      <c r="N3947" t="s">
        <v>135</v>
      </c>
      <c r="O3947"/>
      <c r="P3947"/>
      <c r="Q3947" t="s">
        <v>1765</v>
      </c>
      <c r="R3947"/>
      <c r="S3947"/>
      <c r="T3947" t="s">
        <v>2165</v>
      </c>
      <c r="U3947" t="s">
        <v>137</v>
      </c>
      <c r="V3947" t="s">
        <v>925</v>
      </c>
      <c r="W3947"/>
      <c r="X3947" t="s">
        <v>101</v>
      </c>
      <c r="Y3947"/>
      <c r="Z3947"/>
      <c r="AA3947" t="s">
        <v>6468</v>
      </c>
      <c r="AB3947" t="s">
        <v>5</v>
      </c>
      <c r="AC3947" t="s">
        <v>138</v>
      </c>
      <c r="AD3947" t="s">
        <v>129</v>
      </c>
      <c r="AE3947" s="97"/>
    </row>
    <row r="3948" spans="1:31" ht="14.4" customHeight="1" x14ac:dyDescent="0.3">
      <c r="A3948" t="s">
        <v>6485</v>
      </c>
      <c r="B3948" t="s">
        <v>4166</v>
      </c>
      <c r="C3948"/>
      <c r="D3948"/>
      <c r="E3948"/>
      <c r="F3948"/>
      <c r="G3948" t="s">
        <v>6467</v>
      </c>
      <c r="H3948" t="s">
        <v>132</v>
      </c>
      <c r="I3948" t="s">
        <v>5</v>
      </c>
      <c r="J3948" t="s">
        <v>5298</v>
      </c>
      <c r="K3948" t="s">
        <v>55</v>
      </c>
      <c r="L3948" t="s">
        <v>4164</v>
      </c>
      <c r="M3948" t="s">
        <v>134</v>
      </c>
      <c r="N3948" t="s">
        <v>135</v>
      </c>
      <c r="O3948"/>
      <c r="P3948"/>
      <c r="Q3948" t="s">
        <v>1765</v>
      </c>
      <c r="R3948"/>
      <c r="S3948"/>
      <c r="T3948" t="s">
        <v>2165</v>
      </c>
      <c r="U3948" t="s">
        <v>137</v>
      </c>
      <c r="V3948" t="s">
        <v>925</v>
      </c>
      <c r="W3948"/>
      <c r="X3948" t="s">
        <v>101</v>
      </c>
      <c r="Y3948"/>
      <c r="Z3948"/>
      <c r="AA3948" t="s">
        <v>6468</v>
      </c>
      <c r="AB3948" t="s">
        <v>5</v>
      </c>
      <c r="AC3948" t="s">
        <v>138</v>
      </c>
      <c r="AD3948" t="s">
        <v>129</v>
      </c>
      <c r="AE3948" s="97"/>
    </row>
    <row r="3949" spans="1:31" ht="14.4" customHeight="1" x14ac:dyDescent="0.3">
      <c r="A3949" t="s">
        <v>6486</v>
      </c>
      <c r="B3949" t="s">
        <v>4168</v>
      </c>
      <c r="C3949"/>
      <c r="D3949"/>
      <c r="E3949"/>
      <c r="F3949"/>
      <c r="G3949" t="s">
        <v>6467</v>
      </c>
      <c r="H3949" t="s">
        <v>132</v>
      </c>
      <c r="I3949" t="s">
        <v>5</v>
      </c>
      <c r="J3949" t="s">
        <v>5298</v>
      </c>
      <c r="K3949" t="s">
        <v>55</v>
      </c>
      <c r="L3949" t="s">
        <v>4164</v>
      </c>
      <c r="M3949" t="s">
        <v>134</v>
      </c>
      <c r="N3949" t="s">
        <v>135</v>
      </c>
      <c r="O3949"/>
      <c r="P3949"/>
      <c r="Q3949" t="s">
        <v>1765</v>
      </c>
      <c r="R3949"/>
      <c r="S3949"/>
      <c r="T3949" t="s">
        <v>2165</v>
      </c>
      <c r="U3949" t="s">
        <v>137</v>
      </c>
      <c r="V3949" t="s">
        <v>925</v>
      </c>
      <c r="W3949"/>
      <c r="X3949" t="s">
        <v>101</v>
      </c>
      <c r="Y3949"/>
      <c r="Z3949"/>
      <c r="AA3949" t="s">
        <v>6468</v>
      </c>
      <c r="AB3949" t="s">
        <v>5</v>
      </c>
      <c r="AC3949" t="s">
        <v>138</v>
      </c>
      <c r="AD3949" t="s">
        <v>129</v>
      </c>
      <c r="AE3949" s="97"/>
    </row>
    <row r="3950" spans="1:31" ht="14.4" customHeight="1" x14ac:dyDescent="0.3">
      <c r="A3950" t="s">
        <v>6487</v>
      </c>
      <c r="B3950" t="s">
        <v>4170</v>
      </c>
      <c r="C3950"/>
      <c r="D3950"/>
      <c r="E3950"/>
      <c r="F3950"/>
      <c r="G3950" t="s">
        <v>6467</v>
      </c>
      <c r="H3950" t="s">
        <v>132</v>
      </c>
      <c r="I3950" t="s">
        <v>5</v>
      </c>
      <c r="J3950" t="s">
        <v>5298</v>
      </c>
      <c r="K3950" t="s">
        <v>55</v>
      </c>
      <c r="L3950" t="s">
        <v>4164</v>
      </c>
      <c r="M3950" t="s">
        <v>134</v>
      </c>
      <c r="N3950" t="s">
        <v>135</v>
      </c>
      <c r="O3950"/>
      <c r="P3950"/>
      <c r="Q3950" t="s">
        <v>1765</v>
      </c>
      <c r="R3950"/>
      <c r="S3950"/>
      <c r="T3950" t="s">
        <v>2165</v>
      </c>
      <c r="U3950" t="s">
        <v>137</v>
      </c>
      <c r="V3950" t="s">
        <v>925</v>
      </c>
      <c r="W3950"/>
      <c r="X3950" t="s">
        <v>101</v>
      </c>
      <c r="Y3950"/>
      <c r="Z3950"/>
      <c r="AA3950" t="s">
        <v>6468</v>
      </c>
      <c r="AB3950" t="s">
        <v>5</v>
      </c>
      <c r="AC3950" t="s">
        <v>138</v>
      </c>
      <c r="AD3950" t="s">
        <v>129</v>
      </c>
      <c r="AE3950" s="97"/>
    </row>
    <row r="3951" spans="1:31" ht="14.4" customHeight="1" x14ac:dyDescent="0.3">
      <c r="A3951" t="s">
        <v>6488</v>
      </c>
      <c r="B3951" t="s">
        <v>4172</v>
      </c>
      <c r="C3951"/>
      <c r="D3951"/>
      <c r="E3951"/>
      <c r="F3951"/>
      <c r="G3951" t="s">
        <v>6467</v>
      </c>
      <c r="H3951" t="s">
        <v>132</v>
      </c>
      <c r="I3951" t="s">
        <v>5</v>
      </c>
      <c r="J3951" t="s">
        <v>5298</v>
      </c>
      <c r="K3951" t="s">
        <v>55</v>
      </c>
      <c r="L3951" t="s">
        <v>4173</v>
      </c>
      <c r="M3951" t="s">
        <v>134</v>
      </c>
      <c r="N3951" t="s">
        <v>135</v>
      </c>
      <c r="O3951"/>
      <c r="P3951"/>
      <c r="Q3951" t="s">
        <v>1765</v>
      </c>
      <c r="R3951"/>
      <c r="S3951"/>
      <c r="T3951" t="s">
        <v>2165</v>
      </c>
      <c r="U3951" t="s">
        <v>137</v>
      </c>
      <c r="V3951" t="s">
        <v>932</v>
      </c>
      <c r="W3951"/>
      <c r="X3951" t="s">
        <v>115</v>
      </c>
      <c r="Y3951"/>
      <c r="Z3951"/>
      <c r="AA3951" t="s">
        <v>6468</v>
      </c>
      <c r="AB3951" t="s">
        <v>5</v>
      </c>
      <c r="AC3951" t="s">
        <v>138</v>
      </c>
      <c r="AD3951" t="s">
        <v>130</v>
      </c>
      <c r="AE3951" s="97"/>
    </row>
    <row r="3952" spans="1:31" ht="14.4" customHeight="1" x14ac:dyDescent="0.3">
      <c r="A3952" t="s">
        <v>6489</v>
      </c>
      <c r="B3952" t="s">
        <v>4175</v>
      </c>
      <c r="C3952"/>
      <c r="D3952"/>
      <c r="E3952"/>
      <c r="F3952"/>
      <c r="G3952" t="s">
        <v>6467</v>
      </c>
      <c r="H3952" t="s">
        <v>132</v>
      </c>
      <c r="I3952" t="s">
        <v>5</v>
      </c>
      <c r="J3952" t="s">
        <v>5298</v>
      </c>
      <c r="K3952" t="s">
        <v>55</v>
      </c>
      <c r="L3952" t="s">
        <v>4173</v>
      </c>
      <c r="M3952" t="s">
        <v>134</v>
      </c>
      <c r="N3952" t="s">
        <v>135</v>
      </c>
      <c r="O3952"/>
      <c r="P3952"/>
      <c r="Q3952" t="s">
        <v>1765</v>
      </c>
      <c r="R3952"/>
      <c r="S3952"/>
      <c r="T3952" t="s">
        <v>2165</v>
      </c>
      <c r="U3952" t="s">
        <v>137</v>
      </c>
      <c r="V3952" t="s">
        <v>932</v>
      </c>
      <c r="W3952"/>
      <c r="X3952" t="s">
        <v>115</v>
      </c>
      <c r="Y3952"/>
      <c r="Z3952"/>
      <c r="AA3952" t="s">
        <v>6468</v>
      </c>
      <c r="AB3952" t="s">
        <v>5</v>
      </c>
      <c r="AC3952" t="s">
        <v>138</v>
      </c>
      <c r="AD3952" t="s">
        <v>130</v>
      </c>
      <c r="AE3952" s="97"/>
    </row>
    <row r="3953" spans="1:31" ht="14.4" customHeight="1" x14ac:dyDescent="0.3">
      <c r="A3953" t="s">
        <v>6490</v>
      </c>
      <c r="B3953" t="s">
        <v>4177</v>
      </c>
      <c r="C3953"/>
      <c r="D3953"/>
      <c r="E3953"/>
      <c r="F3953"/>
      <c r="G3953" t="s">
        <v>6467</v>
      </c>
      <c r="H3953" t="s">
        <v>132</v>
      </c>
      <c r="I3953" t="s">
        <v>5</v>
      </c>
      <c r="J3953" t="s">
        <v>5298</v>
      </c>
      <c r="K3953" t="s">
        <v>55</v>
      </c>
      <c r="L3953" t="s">
        <v>4173</v>
      </c>
      <c r="M3953" t="s">
        <v>134</v>
      </c>
      <c r="N3953" t="s">
        <v>135</v>
      </c>
      <c r="O3953"/>
      <c r="P3953"/>
      <c r="Q3953" t="s">
        <v>1765</v>
      </c>
      <c r="R3953"/>
      <c r="S3953"/>
      <c r="T3953" t="s">
        <v>2165</v>
      </c>
      <c r="U3953" t="s">
        <v>137</v>
      </c>
      <c r="V3953" t="s">
        <v>932</v>
      </c>
      <c r="W3953"/>
      <c r="X3953" t="s">
        <v>115</v>
      </c>
      <c r="Y3953"/>
      <c r="Z3953"/>
      <c r="AA3953" t="s">
        <v>6468</v>
      </c>
      <c r="AB3953" t="s">
        <v>5</v>
      </c>
      <c r="AC3953" t="s">
        <v>138</v>
      </c>
      <c r="AD3953" t="s">
        <v>130</v>
      </c>
      <c r="AE3953" s="97"/>
    </row>
    <row r="3954" spans="1:31" ht="14.4" customHeight="1" x14ac:dyDescent="0.3">
      <c r="A3954" t="s">
        <v>6491</v>
      </c>
      <c r="B3954" t="s">
        <v>4179</v>
      </c>
      <c r="C3954"/>
      <c r="D3954"/>
      <c r="E3954"/>
      <c r="F3954"/>
      <c r="G3954" t="s">
        <v>6467</v>
      </c>
      <c r="H3954" t="s">
        <v>132</v>
      </c>
      <c r="I3954" t="s">
        <v>5</v>
      </c>
      <c r="J3954" t="s">
        <v>5298</v>
      </c>
      <c r="K3954" t="s">
        <v>55</v>
      </c>
      <c r="L3954" t="s">
        <v>2952</v>
      </c>
      <c r="M3954" t="s">
        <v>134</v>
      </c>
      <c r="N3954" t="s">
        <v>135</v>
      </c>
      <c r="O3954"/>
      <c r="P3954"/>
      <c r="Q3954" t="s">
        <v>1765</v>
      </c>
      <c r="R3954"/>
      <c r="S3954"/>
      <c r="T3954" t="s">
        <v>2165</v>
      </c>
      <c r="U3954" t="s">
        <v>137</v>
      </c>
      <c r="V3954" t="s">
        <v>352</v>
      </c>
      <c r="W3954"/>
      <c r="X3954" t="s">
        <v>56</v>
      </c>
      <c r="Y3954"/>
      <c r="Z3954"/>
      <c r="AA3954" t="s">
        <v>6468</v>
      </c>
      <c r="AB3954" t="s">
        <v>5</v>
      </c>
      <c r="AC3954" t="s">
        <v>138</v>
      </c>
      <c r="AD3954" t="s">
        <v>128</v>
      </c>
      <c r="AE3954" s="97"/>
    </row>
    <row r="3955" spans="1:31" ht="14.4" customHeight="1" x14ac:dyDescent="0.3">
      <c r="A3955" t="s">
        <v>6492</v>
      </c>
      <c r="B3955" t="s">
        <v>4181</v>
      </c>
      <c r="C3955"/>
      <c r="D3955"/>
      <c r="E3955"/>
      <c r="F3955"/>
      <c r="G3955" t="s">
        <v>6467</v>
      </c>
      <c r="H3955" t="s">
        <v>132</v>
      </c>
      <c r="I3955" t="s">
        <v>5</v>
      </c>
      <c r="J3955" t="s">
        <v>5298</v>
      </c>
      <c r="K3955" t="s">
        <v>55</v>
      </c>
      <c r="L3955" t="s">
        <v>2970</v>
      </c>
      <c r="M3955" t="s">
        <v>134</v>
      </c>
      <c r="N3955" t="s">
        <v>135</v>
      </c>
      <c r="O3955"/>
      <c r="P3955"/>
      <c r="Q3955" t="s">
        <v>1765</v>
      </c>
      <c r="R3955"/>
      <c r="S3955"/>
      <c r="T3955" t="s">
        <v>2165</v>
      </c>
      <c r="U3955" t="s">
        <v>137</v>
      </c>
      <c r="V3955" t="s">
        <v>352</v>
      </c>
      <c r="W3955"/>
      <c r="X3955" t="s">
        <v>56</v>
      </c>
      <c r="Y3955"/>
      <c r="Z3955"/>
      <c r="AA3955" t="s">
        <v>6468</v>
      </c>
      <c r="AB3955" t="s">
        <v>5</v>
      </c>
      <c r="AC3955" t="s">
        <v>138</v>
      </c>
      <c r="AD3955" t="s">
        <v>128</v>
      </c>
      <c r="AE3955" s="97"/>
    </row>
    <row r="3956" spans="1:31" ht="14.4" customHeight="1" x14ac:dyDescent="0.3">
      <c r="A3956" t="s">
        <v>6493</v>
      </c>
      <c r="B3956" t="s">
        <v>4183</v>
      </c>
      <c r="C3956"/>
      <c r="D3956"/>
      <c r="E3956"/>
      <c r="F3956"/>
      <c r="G3956" t="s">
        <v>6467</v>
      </c>
      <c r="H3956" t="s">
        <v>132</v>
      </c>
      <c r="I3956" t="s">
        <v>5</v>
      </c>
      <c r="J3956" t="s">
        <v>5298</v>
      </c>
      <c r="K3956" t="s">
        <v>55</v>
      </c>
      <c r="L3956" t="s">
        <v>2952</v>
      </c>
      <c r="M3956" t="s">
        <v>134</v>
      </c>
      <c r="N3956" t="s">
        <v>135</v>
      </c>
      <c r="O3956"/>
      <c r="P3956"/>
      <c r="Q3956" t="s">
        <v>1765</v>
      </c>
      <c r="R3956"/>
      <c r="S3956"/>
      <c r="T3956" t="s">
        <v>2165</v>
      </c>
      <c r="U3956" t="s">
        <v>137</v>
      </c>
      <c r="V3956" t="s">
        <v>352</v>
      </c>
      <c r="W3956"/>
      <c r="X3956" t="s">
        <v>56</v>
      </c>
      <c r="Y3956"/>
      <c r="Z3956"/>
      <c r="AA3956" t="s">
        <v>6468</v>
      </c>
      <c r="AB3956" t="s">
        <v>5</v>
      </c>
      <c r="AC3956" t="s">
        <v>138</v>
      </c>
      <c r="AD3956" t="s">
        <v>128</v>
      </c>
      <c r="AE3956" s="97"/>
    </row>
    <row r="3957" spans="1:31" ht="14.4" customHeight="1" x14ac:dyDescent="0.3">
      <c r="A3957" t="s">
        <v>6494</v>
      </c>
      <c r="B3957" t="s">
        <v>4185</v>
      </c>
      <c r="C3957"/>
      <c r="D3957"/>
      <c r="E3957"/>
      <c r="F3957"/>
      <c r="G3957" t="s">
        <v>6467</v>
      </c>
      <c r="H3957" t="s">
        <v>132</v>
      </c>
      <c r="I3957" t="s">
        <v>5</v>
      </c>
      <c r="J3957" t="s">
        <v>5298</v>
      </c>
      <c r="K3957" t="s">
        <v>55</v>
      </c>
      <c r="L3957" t="s">
        <v>2970</v>
      </c>
      <c r="M3957" t="s">
        <v>134</v>
      </c>
      <c r="N3957" t="s">
        <v>135</v>
      </c>
      <c r="O3957"/>
      <c r="P3957"/>
      <c r="Q3957" t="s">
        <v>1765</v>
      </c>
      <c r="R3957"/>
      <c r="S3957"/>
      <c r="T3957" t="s">
        <v>2165</v>
      </c>
      <c r="U3957" t="s">
        <v>137</v>
      </c>
      <c r="V3957" t="s">
        <v>352</v>
      </c>
      <c r="W3957"/>
      <c r="X3957" t="s">
        <v>56</v>
      </c>
      <c r="Y3957"/>
      <c r="Z3957"/>
      <c r="AA3957" t="s">
        <v>6468</v>
      </c>
      <c r="AB3957" t="s">
        <v>5</v>
      </c>
      <c r="AC3957" t="s">
        <v>138</v>
      </c>
      <c r="AD3957" t="s">
        <v>128</v>
      </c>
      <c r="AE3957" s="97"/>
    </row>
    <row r="3958" spans="1:31" ht="14.4" customHeight="1" x14ac:dyDescent="0.3">
      <c r="A3958" t="s">
        <v>6495</v>
      </c>
      <c r="B3958" t="s">
        <v>4187</v>
      </c>
      <c r="C3958"/>
      <c r="D3958"/>
      <c r="E3958"/>
      <c r="F3958"/>
      <c r="G3958" t="s">
        <v>6467</v>
      </c>
      <c r="H3958" t="s">
        <v>132</v>
      </c>
      <c r="I3958" t="s">
        <v>5</v>
      </c>
      <c r="J3958" t="s">
        <v>5298</v>
      </c>
      <c r="K3958" t="s">
        <v>55</v>
      </c>
      <c r="L3958" t="s">
        <v>2952</v>
      </c>
      <c r="M3958" t="s">
        <v>134</v>
      </c>
      <c r="N3958" t="s">
        <v>135</v>
      </c>
      <c r="O3958"/>
      <c r="P3958"/>
      <c r="Q3958" t="s">
        <v>1765</v>
      </c>
      <c r="R3958"/>
      <c r="S3958"/>
      <c r="T3958" t="s">
        <v>2165</v>
      </c>
      <c r="U3958" t="s">
        <v>137</v>
      </c>
      <c r="V3958" t="s">
        <v>352</v>
      </c>
      <c r="W3958"/>
      <c r="X3958" t="s">
        <v>56</v>
      </c>
      <c r="Y3958"/>
      <c r="Z3958"/>
      <c r="AA3958" t="s">
        <v>6468</v>
      </c>
      <c r="AB3958" t="s">
        <v>5</v>
      </c>
      <c r="AC3958" t="s">
        <v>138</v>
      </c>
      <c r="AD3958" t="s">
        <v>128</v>
      </c>
      <c r="AE3958" s="97"/>
    </row>
    <row r="3959" spans="1:31" ht="14.4" customHeight="1" x14ac:dyDescent="0.3">
      <c r="A3959" t="s">
        <v>6496</v>
      </c>
      <c r="B3959" t="s">
        <v>4189</v>
      </c>
      <c r="C3959"/>
      <c r="D3959"/>
      <c r="E3959"/>
      <c r="F3959"/>
      <c r="G3959" t="s">
        <v>6467</v>
      </c>
      <c r="H3959" t="s">
        <v>132</v>
      </c>
      <c r="I3959" t="s">
        <v>5</v>
      </c>
      <c r="J3959" t="s">
        <v>5298</v>
      </c>
      <c r="K3959" t="s">
        <v>55</v>
      </c>
      <c r="L3959" t="s">
        <v>2970</v>
      </c>
      <c r="M3959" t="s">
        <v>134</v>
      </c>
      <c r="N3959" t="s">
        <v>135</v>
      </c>
      <c r="O3959"/>
      <c r="P3959"/>
      <c r="Q3959" t="s">
        <v>1765</v>
      </c>
      <c r="R3959"/>
      <c r="S3959"/>
      <c r="T3959" t="s">
        <v>2165</v>
      </c>
      <c r="U3959" t="s">
        <v>137</v>
      </c>
      <c r="V3959" t="s">
        <v>352</v>
      </c>
      <c r="W3959"/>
      <c r="X3959" t="s">
        <v>56</v>
      </c>
      <c r="Y3959"/>
      <c r="Z3959"/>
      <c r="AA3959" t="s">
        <v>6468</v>
      </c>
      <c r="AB3959" t="s">
        <v>5</v>
      </c>
      <c r="AC3959" t="s">
        <v>138</v>
      </c>
      <c r="AD3959" t="s">
        <v>128</v>
      </c>
      <c r="AE3959" s="97"/>
    </row>
    <row r="3960" spans="1:31" ht="14.4" customHeight="1" x14ac:dyDescent="0.3">
      <c r="A3960" t="s">
        <v>6497</v>
      </c>
      <c r="B3960" t="s">
        <v>4191</v>
      </c>
      <c r="C3960"/>
      <c r="D3960"/>
      <c r="E3960"/>
      <c r="F3960"/>
      <c r="G3960" t="s">
        <v>6467</v>
      </c>
      <c r="H3960" t="s">
        <v>132</v>
      </c>
      <c r="I3960" t="s">
        <v>5</v>
      </c>
      <c r="J3960" t="s">
        <v>5298</v>
      </c>
      <c r="K3960" t="s">
        <v>55</v>
      </c>
      <c r="L3960" t="s">
        <v>4192</v>
      </c>
      <c r="M3960" t="s">
        <v>134</v>
      </c>
      <c r="N3960" t="s">
        <v>135</v>
      </c>
      <c r="O3960"/>
      <c r="P3960"/>
      <c r="Q3960" t="s">
        <v>1765</v>
      </c>
      <c r="R3960"/>
      <c r="S3960"/>
      <c r="T3960" t="s">
        <v>2165</v>
      </c>
      <c r="U3960" t="s">
        <v>137</v>
      </c>
      <c r="V3960" t="s">
        <v>324</v>
      </c>
      <c r="W3960"/>
      <c r="X3960" t="s">
        <v>60</v>
      </c>
      <c r="Y3960"/>
      <c r="Z3960"/>
      <c r="AA3960" t="s">
        <v>6468</v>
      </c>
      <c r="AB3960" t="s">
        <v>5</v>
      </c>
      <c r="AC3960" t="s">
        <v>138</v>
      </c>
      <c r="AD3960" t="s">
        <v>128</v>
      </c>
      <c r="AE3960" s="97"/>
    </row>
    <row r="3961" spans="1:31" ht="14.4" customHeight="1" x14ac:dyDescent="0.3">
      <c r="A3961" t="s">
        <v>6498</v>
      </c>
      <c r="B3961" t="s">
        <v>4194</v>
      </c>
      <c r="C3961"/>
      <c r="D3961"/>
      <c r="E3961"/>
      <c r="F3961"/>
      <c r="G3961" t="s">
        <v>6467</v>
      </c>
      <c r="H3961" t="s">
        <v>132</v>
      </c>
      <c r="I3961" t="s">
        <v>5</v>
      </c>
      <c r="J3961" t="s">
        <v>5298</v>
      </c>
      <c r="K3961" t="s">
        <v>55</v>
      </c>
      <c r="L3961" t="s">
        <v>4195</v>
      </c>
      <c r="M3961" t="s">
        <v>134</v>
      </c>
      <c r="N3961" t="s">
        <v>135</v>
      </c>
      <c r="O3961"/>
      <c r="P3961"/>
      <c r="Q3961" t="s">
        <v>1765</v>
      </c>
      <c r="R3961"/>
      <c r="S3961"/>
      <c r="T3961" t="s">
        <v>2165</v>
      </c>
      <c r="U3961" t="s">
        <v>137</v>
      </c>
      <c r="V3961" t="s">
        <v>328</v>
      </c>
      <c r="W3961"/>
      <c r="X3961" t="s">
        <v>65</v>
      </c>
      <c r="Y3961"/>
      <c r="Z3961"/>
      <c r="AA3961" t="s">
        <v>6468</v>
      </c>
      <c r="AB3961" t="s">
        <v>5</v>
      </c>
      <c r="AC3961" t="s">
        <v>138</v>
      </c>
      <c r="AD3961" t="s">
        <v>128</v>
      </c>
      <c r="AE3961" s="97"/>
    </row>
    <row r="3962" spans="1:31" ht="14.4" customHeight="1" x14ac:dyDescent="0.3">
      <c r="A3962" t="s">
        <v>6499</v>
      </c>
      <c r="B3962" t="s">
        <v>4197</v>
      </c>
      <c r="C3962"/>
      <c r="D3962"/>
      <c r="E3962"/>
      <c r="F3962"/>
      <c r="G3962" t="s">
        <v>6467</v>
      </c>
      <c r="H3962" t="s">
        <v>132</v>
      </c>
      <c r="I3962" t="s">
        <v>5</v>
      </c>
      <c r="J3962" t="s">
        <v>5298</v>
      </c>
      <c r="K3962" t="s">
        <v>55</v>
      </c>
      <c r="L3962" t="s">
        <v>4198</v>
      </c>
      <c r="M3962" t="s">
        <v>134</v>
      </c>
      <c r="N3962" t="s">
        <v>135</v>
      </c>
      <c r="O3962"/>
      <c r="P3962"/>
      <c r="Q3962" t="s">
        <v>1765</v>
      </c>
      <c r="R3962"/>
      <c r="S3962"/>
      <c r="T3962" t="s">
        <v>2165</v>
      </c>
      <c r="U3962" t="s">
        <v>137</v>
      </c>
      <c r="V3962" t="s">
        <v>332</v>
      </c>
      <c r="W3962"/>
      <c r="X3962" t="s">
        <v>80</v>
      </c>
      <c r="Y3962"/>
      <c r="Z3962"/>
      <c r="AA3962" t="s">
        <v>6468</v>
      </c>
      <c r="AB3962" t="s">
        <v>5</v>
      </c>
      <c r="AC3962" t="s">
        <v>138</v>
      </c>
      <c r="AD3962" t="s">
        <v>129</v>
      </c>
      <c r="AE3962" s="97"/>
    </row>
    <row r="3963" spans="1:31" ht="14.4" customHeight="1" x14ac:dyDescent="0.3">
      <c r="A3963" t="s">
        <v>6500</v>
      </c>
      <c r="B3963" t="s">
        <v>4200</v>
      </c>
      <c r="C3963"/>
      <c r="D3963"/>
      <c r="E3963"/>
      <c r="F3963"/>
      <c r="G3963" t="s">
        <v>6467</v>
      </c>
      <c r="H3963" t="s">
        <v>132</v>
      </c>
      <c r="I3963" t="s">
        <v>5</v>
      </c>
      <c r="J3963" t="s">
        <v>5298</v>
      </c>
      <c r="K3963" t="s">
        <v>55</v>
      </c>
      <c r="L3963" t="s">
        <v>4201</v>
      </c>
      <c r="M3963" t="s">
        <v>134</v>
      </c>
      <c r="N3963" t="s">
        <v>135</v>
      </c>
      <c r="O3963"/>
      <c r="P3963"/>
      <c r="Q3963" t="s">
        <v>1765</v>
      </c>
      <c r="R3963"/>
      <c r="S3963"/>
      <c r="T3963" t="s">
        <v>2165</v>
      </c>
      <c r="U3963" t="s">
        <v>137</v>
      </c>
      <c r="V3963" t="s">
        <v>336</v>
      </c>
      <c r="W3963"/>
      <c r="X3963" t="s">
        <v>84</v>
      </c>
      <c r="Y3963"/>
      <c r="Z3963"/>
      <c r="AA3963" t="s">
        <v>6468</v>
      </c>
      <c r="AB3963" t="s">
        <v>5</v>
      </c>
      <c r="AC3963" t="s">
        <v>138</v>
      </c>
      <c r="AD3963" t="s">
        <v>129</v>
      </c>
      <c r="AE3963" s="97"/>
    </row>
    <row r="3964" spans="1:31" ht="14.4" customHeight="1" x14ac:dyDescent="0.3">
      <c r="A3964" t="s">
        <v>6501</v>
      </c>
      <c r="B3964" t="s">
        <v>4203</v>
      </c>
      <c r="C3964"/>
      <c r="D3964"/>
      <c r="E3964"/>
      <c r="F3964"/>
      <c r="G3964" t="s">
        <v>6467</v>
      </c>
      <c r="H3964" t="s">
        <v>132</v>
      </c>
      <c r="I3964" t="s">
        <v>5</v>
      </c>
      <c r="J3964" t="s">
        <v>5298</v>
      </c>
      <c r="K3964" t="s">
        <v>55</v>
      </c>
      <c r="L3964" t="s">
        <v>4204</v>
      </c>
      <c r="M3964" t="s">
        <v>134</v>
      </c>
      <c r="N3964" t="s">
        <v>135</v>
      </c>
      <c r="O3964"/>
      <c r="P3964"/>
      <c r="Q3964" t="s">
        <v>1765</v>
      </c>
      <c r="R3964"/>
      <c r="S3964"/>
      <c r="T3964" t="s">
        <v>2165</v>
      </c>
      <c r="U3964" t="s">
        <v>137</v>
      </c>
      <c r="V3964" t="s">
        <v>340</v>
      </c>
      <c r="W3964"/>
      <c r="X3964" t="s">
        <v>93</v>
      </c>
      <c r="Y3964"/>
      <c r="Z3964"/>
      <c r="AA3964" t="s">
        <v>6468</v>
      </c>
      <c r="AB3964" t="s">
        <v>5</v>
      </c>
      <c r="AC3964" t="s">
        <v>138</v>
      </c>
      <c r="AD3964" t="s">
        <v>129</v>
      </c>
      <c r="AE3964" s="97"/>
    </row>
    <row r="3965" spans="1:31" ht="14.4" customHeight="1" x14ac:dyDescent="0.3">
      <c r="A3965" t="s">
        <v>6502</v>
      </c>
      <c r="B3965" t="s">
        <v>4206</v>
      </c>
      <c r="C3965"/>
      <c r="D3965"/>
      <c r="E3965"/>
      <c r="F3965"/>
      <c r="G3965" t="s">
        <v>6467</v>
      </c>
      <c r="H3965" t="s">
        <v>132</v>
      </c>
      <c r="I3965" t="s">
        <v>5</v>
      </c>
      <c r="J3965" t="s">
        <v>5298</v>
      </c>
      <c r="K3965" t="s">
        <v>55</v>
      </c>
      <c r="L3965" t="s">
        <v>4207</v>
      </c>
      <c r="M3965" t="s">
        <v>134</v>
      </c>
      <c r="N3965" t="s">
        <v>135</v>
      </c>
      <c r="O3965"/>
      <c r="P3965"/>
      <c r="Q3965" t="s">
        <v>1765</v>
      </c>
      <c r="R3965"/>
      <c r="S3965"/>
      <c r="T3965" t="s">
        <v>2165</v>
      </c>
      <c r="U3965" t="s">
        <v>137</v>
      </c>
      <c r="V3965" t="s">
        <v>344</v>
      </c>
      <c r="W3965"/>
      <c r="X3965" t="s">
        <v>102</v>
      </c>
      <c r="Y3965"/>
      <c r="Z3965"/>
      <c r="AA3965" t="s">
        <v>6468</v>
      </c>
      <c r="AB3965" t="s">
        <v>5</v>
      </c>
      <c r="AC3965" t="s">
        <v>138</v>
      </c>
      <c r="AD3965" t="s">
        <v>129</v>
      </c>
      <c r="AE3965" s="97"/>
    </row>
    <row r="3966" spans="1:31" ht="14.4" customHeight="1" x14ac:dyDescent="0.3">
      <c r="A3966" t="s">
        <v>6503</v>
      </c>
      <c r="B3966" t="s">
        <v>4209</v>
      </c>
      <c r="C3966"/>
      <c r="D3966"/>
      <c r="E3966"/>
      <c r="F3966"/>
      <c r="G3966" t="s">
        <v>6467</v>
      </c>
      <c r="H3966" t="s">
        <v>132</v>
      </c>
      <c r="I3966" t="s">
        <v>5</v>
      </c>
      <c r="J3966" t="s">
        <v>5298</v>
      </c>
      <c r="K3966" t="s">
        <v>55</v>
      </c>
      <c r="L3966" t="s">
        <v>4210</v>
      </c>
      <c r="M3966" t="s">
        <v>134</v>
      </c>
      <c r="N3966" t="s">
        <v>135</v>
      </c>
      <c r="O3966"/>
      <c r="P3966"/>
      <c r="Q3966" t="s">
        <v>1765</v>
      </c>
      <c r="R3966"/>
      <c r="S3966"/>
      <c r="T3966" t="s">
        <v>2165</v>
      </c>
      <c r="U3966" t="s">
        <v>137</v>
      </c>
      <c r="V3966" t="s">
        <v>348</v>
      </c>
      <c r="W3966"/>
      <c r="X3966" t="s">
        <v>116</v>
      </c>
      <c r="Y3966"/>
      <c r="Z3966"/>
      <c r="AA3966" t="s">
        <v>6468</v>
      </c>
      <c r="AB3966" t="s">
        <v>5</v>
      </c>
      <c r="AC3966" t="s">
        <v>138</v>
      </c>
      <c r="AD3966" t="s">
        <v>130</v>
      </c>
      <c r="AE3966" s="97"/>
    </row>
    <row r="3967" spans="1:31" ht="14.4" customHeight="1" x14ac:dyDescent="0.3">
      <c r="A3967" t="s">
        <v>6504</v>
      </c>
      <c r="B3967" t="s">
        <v>4212</v>
      </c>
      <c r="C3967"/>
      <c r="D3967"/>
      <c r="E3967"/>
      <c r="F3967"/>
      <c r="G3967" t="s">
        <v>6467</v>
      </c>
      <c r="H3967" t="s">
        <v>132</v>
      </c>
      <c r="I3967" t="s">
        <v>5</v>
      </c>
      <c r="J3967" t="s">
        <v>5298</v>
      </c>
      <c r="K3967" t="s">
        <v>55</v>
      </c>
      <c r="L3967" t="s">
        <v>2979</v>
      </c>
      <c r="M3967" t="s">
        <v>134</v>
      </c>
      <c r="N3967" t="s">
        <v>135</v>
      </c>
      <c r="O3967"/>
      <c r="P3967"/>
      <c r="Q3967" t="s">
        <v>1765</v>
      </c>
      <c r="R3967"/>
      <c r="S3967"/>
      <c r="T3967" t="s">
        <v>2165</v>
      </c>
      <c r="U3967" t="s">
        <v>137</v>
      </c>
      <c r="V3967" t="s">
        <v>403</v>
      </c>
      <c r="W3967"/>
      <c r="X3967" t="s">
        <v>68</v>
      </c>
      <c r="Y3967"/>
      <c r="Z3967"/>
      <c r="AA3967" t="s">
        <v>6468</v>
      </c>
      <c r="AB3967" t="s">
        <v>5</v>
      </c>
      <c r="AC3967" t="s">
        <v>138</v>
      </c>
      <c r="AD3967" t="s">
        <v>128</v>
      </c>
      <c r="AE3967" s="97"/>
    </row>
    <row r="3968" spans="1:31" ht="14.4" customHeight="1" x14ac:dyDescent="0.3">
      <c r="A3968" t="s">
        <v>6505</v>
      </c>
      <c r="B3968" t="s">
        <v>4214</v>
      </c>
      <c r="C3968"/>
      <c r="D3968"/>
      <c r="E3968"/>
      <c r="F3968"/>
      <c r="G3968" t="s">
        <v>6467</v>
      </c>
      <c r="H3968" t="s">
        <v>132</v>
      </c>
      <c r="I3968" t="s">
        <v>5</v>
      </c>
      <c r="J3968" t="s">
        <v>5298</v>
      </c>
      <c r="K3968" t="s">
        <v>55</v>
      </c>
      <c r="L3968" t="s">
        <v>2988</v>
      </c>
      <c r="M3968" t="s">
        <v>134</v>
      </c>
      <c r="N3968" t="s">
        <v>135</v>
      </c>
      <c r="O3968"/>
      <c r="P3968"/>
      <c r="Q3968" t="s">
        <v>1765</v>
      </c>
      <c r="R3968"/>
      <c r="S3968"/>
      <c r="T3968" t="s">
        <v>2165</v>
      </c>
      <c r="U3968" t="s">
        <v>137</v>
      </c>
      <c r="V3968" t="s">
        <v>407</v>
      </c>
      <c r="W3968"/>
      <c r="X3968" t="s">
        <v>77</v>
      </c>
      <c r="Y3968"/>
      <c r="Z3968"/>
      <c r="AA3968" t="s">
        <v>6468</v>
      </c>
      <c r="AB3968" t="s">
        <v>5</v>
      </c>
      <c r="AC3968" t="s">
        <v>138</v>
      </c>
      <c r="AD3968" t="s">
        <v>128</v>
      </c>
      <c r="AE3968" s="97"/>
    </row>
    <row r="3969" spans="1:31" ht="14.4" customHeight="1" x14ac:dyDescent="0.3">
      <c r="A3969" t="s">
        <v>6506</v>
      </c>
      <c r="B3969" t="s">
        <v>4216</v>
      </c>
      <c r="C3969"/>
      <c r="D3969"/>
      <c r="E3969"/>
      <c r="F3969"/>
      <c r="G3969" t="s">
        <v>6467</v>
      </c>
      <c r="H3969" t="s">
        <v>132</v>
      </c>
      <c r="I3969" t="s">
        <v>5</v>
      </c>
      <c r="J3969" t="s">
        <v>5298</v>
      </c>
      <c r="K3969" t="s">
        <v>55</v>
      </c>
      <c r="L3969" t="s">
        <v>2997</v>
      </c>
      <c r="M3969" t="s">
        <v>134</v>
      </c>
      <c r="N3969" t="s">
        <v>135</v>
      </c>
      <c r="O3969"/>
      <c r="P3969"/>
      <c r="Q3969" t="s">
        <v>1765</v>
      </c>
      <c r="R3969"/>
      <c r="S3969"/>
      <c r="T3969" t="s">
        <v>2165</v>
      </c>
      <c r="U3969" t="s">
        <v>137</v>
      </c>
      <c r="V3969" t="s">
        <v>411</v>
      </c>
      <c r="W3969"/>
      <c r="X3969" t="s">
        <v>87</v>
      </c>
      <c r="Y3969"/>
      <c r="Z3969"/>
      <c r="AA3969" t="s">
        <v>6468</v>
      </c>
      <c r="AB3969" t="s">
        <v>5</v>
      </c>
      <c r="AC3969" t="s">
        <v>138</v>
      </c>
      <c r="AD3969" t="s">
        <v>129</v>
      </c>
      <c r="AE3969" s="97"/>
    </row>
    <row r="3970" spans="1:31" ht="14.4" customHeight="1" x14ac:dyDescent="0.3">
      <c r="A3970" t="s">
        <v>6507</v>
      </c>
      <c r="B3970" t="s">
        <v>4218</v>
      </c>
      <c r="C3970"/>
      <c r="D3970"/>
      <c r="E3970"/>
      <c r="F3970"/>
      <c r="G3970" t="s">
        <v>6467</v>
      </c>
      <c r="H3970" t="s">
        <v>132</v>
      </c>
      <c r="I3970" t="s">
        <v>5</v>
      </c>
      <c r="J3970" t="s">
        <v>5298</v>
      </c>
      <c r="K3970" t="s">
        <v>55</v>
      </c>
      <c r="L3970" t="s">
        <v>3006</v>
      </c>
      <c r="M3970" t="s">
        <v>134</v>
      </c>
      <c r="N3970" t="s">
        <v>135</v>
      </c>
      <c r="O3970"/>
      <c r="P3970"/>
      <c r="Q3970" t="s">
        <v>1765</v>
      </c>
      <c r="R3970"/>
      <c r="S3970"/>
      <c r="T3970" t="s">
        <v>2165</v>
      </c>
      <c r="U3970" t="s">
        <v>137</v>
      </c>
      <c r="V3970" t="s">
        <v>415</v>
      </c>
      <c r="W3970"/>
      <c r="X3970" t="s">
        <v>96</v>
      </c>
      <c r="Y3970"/>
      <c r="Z3970"/>
      <c r="AA3970" t="s">
        <v>6468</v>
      </c>
      <c r="AB3970" t="s">
        <v>5</v>
      </c>
      <c r="AC3970" t="s">
        <v>138</v>
      </c>
      <c r="AD3970" t="s">
        <v>129</v>
      </c>
      <c r="AE3970" s="97"/>
    </row>
    <row r="3971" spans="1:31" ht="14.4" customHeight="1" x14ac:dyDescent="0.3">
      <c r="A3971" t="s">
        <v>6508</v>
      </c>
      <c r="B3971" t="s">
        <v>4220</v>
      </c>
      <c r="C3971"/>
      <c r="D3971"/>
      <c r="E3971"/>
      <c r="F3971"/>
      <c r="G3971" t="s">
        <v>6467</v>
      </c>
      <c r="H3971" t="s">
        <v>132</v>
      </c>
      <c r="I3971" t="s">
        <v>5</v>
      </c>
      <c r="J3971" t="s">
        <v>5298</v>
      </c>
      <c r="K3971" t="s">
        <v>55</v>
      </c>
      <c r="L3971" t="s">
        <v>3015</v>
      </c>
      <c r="M3971" t="s">
        <v>134</v>
      </c>
      <c r="N3971" t="s">
        <v>135</v>
      </c>
      <c r="O3971"/>
      <c r="P3971"/>
      <c r="Q3971" t="s">
        <v>1765</v>
      </c>
      <c r="R3971"/>
      <c r="S3971"/>
      <c r="T3971" t="s">
        <v>2165</v>
      </c>
      <c r="U3971" t="s">
        <v>137</v>
      </c>
      <c r="V3971" t="s">
        <v>419</v>
      </c>
      <c r="W3971"/>
      <c r="X3971" t="s">
        <v>105</v>
      </c>
      <c r="Y3971"/>
      <c r="Z3971"/>
      <c r="AA3971" t="s">
        <v>6468</v>
      </c>
      <c r="AB3971" t="s">
        <v>5</v>
      </c>
      <c r="AC3971" t="s">
        <v>138</v>
      </c>
      <c r="AD3971" t="s">
        <v>129</v>
      </c>
      <c r="AE3971" s="97"/>
    </row>
    <row r="3972" spans="1:31" ht="14.4" customHeight="1" x14ac:dyDescent="0.3">
      <c r="A3972" t="s">
        <v>6509</v>
      </c>
      <c r="B3972" t="s">
        <v>4222</v>
      </c>
      <c r="C3972"/>
      <c r="D3972"/>
      <c r="E3972"/>
      <c r="F3972"/>
      <c r="G3972" t="s">
        <v>6467</v>
      </c>
      <c r="H3972" t="s">
        <v>132</v>
      </c>
      <c r="I3972" t="s">
        <v>5</v>
      </c>
      <c r="J3972" t="s">
        <v>5298</v>
      </c>
      <c r="K3972" t="s">
        <v>55</v>
      </c>
      <c r="L3972" t="s">
        <v>3024</v>
      </c>
      <c r="M3972" t="s">
        <v>134</v>
      </c>
      <c r="N3972" t="s">
        <v>135</v>
      </c>
      <c r="O3972"/>
      <c r="P3972"/>
      <c r="Q3972" t="s">
        <v>1765</v>
      </c>
      <c r="R3972"/>
      <c r="S3972"/>
      <c r="T3972" t="s">
        <v>2165</v>
      </c>
      <c r="U3972" t="s">
        <v>137</v>
      </c>
      <c r="V3972" t="s">
        <v>423</v>
      </c>
      <c r="W3972"/>
      <c r="X3972" t="s">
        <v>112</v>
      </c>
      <c r="Y3972"/>
      <c r="Z3972"/>
      <c r="AA3972" t="s">
        <v>6468</v>
      </c>
      <c r="AB3972" t="s">
        <v>5</v>
      </c>
      <c r="AC3972" t="s">
        <v>138</v>
      </c>
      <c r="AD3972" t="s">
        <v>129</v>
      </c>
      <c r="AE3972" s="97"/>
    </row>
    <row r="3973" spans="1:31" ht="14.4" customHeight="1" x14ac:dyDescent="0.3">
      <c r="A3973" t="s">
        <v>6510</v>
      </c>
      <c r="B3973" t="s">
        <v>4224</v>
      </c>
      <c r="C3973"/>
      <c r="D3973"/>
      <c r="E3973"/>
      <c r="F3973"/>
      <c r="G3973" t="s">
        <v>6467</v>
      </c>
      <c r="H3973" t="s">
        <v>132</v>
      </c>
      <c r="I3973" t="s">
        <v>5</v>
      </c>
      <c r="J3973" t="s">
        <v>5298</v>
      </c>
      <c r="K3973" t="s">
        <v>55</v>
      </c>
      <c r="L3973" t="s">
        <v>3033</v>
      </c>
      <c r="M3973" t="s">
        <v>134</v>
      </c>
      <c r="N3973" t="s">
        <v>135</v>
      </c>
      <c r="O3973"/>
      <c r="P3973"/>
      <c r="Q3973" t="s">
        <v>1765</v>
      </c>
      <c r="R3973"/>
      <c r="S3973"/>
      <c r="T3973" t="s">
        <v>2165</v>
      </c>
      <c r="U3973" t="s">
        <v>137</v>
      </c>
      <c r="V3973" t="s">
        <v>427</v>
      </c>
      <c r="W3973"/>
      <c r="X3973" t="s">
        <v>121</v>
      </c>
      <c r="Y3973"/>
      <c r="Z3973"/>
      <c r="AA3973" t="s">
        <v>6468</v>
      </c>
      <c r="AB3973" t="s">
        <v>5</v>
      </c>
      <c r="AC3973" t="s">
        <v>138</v>
      </c>
      <c r="AD3973" t="s">
        <v>130</v>
      </c>
      <c r="AE3973" s="97"/>
    </row>
    <row r="3974" spans="1:31" ht="14.4" customHeight="1" x14ac:dyDescent="0.3">
      <c r="A3974" t="s">
        <v>6511</v>
      </c>
      <c r="B3974" t="s">
        <v>4226</v>
      </c>
      <c r="C3974"/>
      <c r="D3974"/>
      <c r="E3974"/>
      <c r="F3974"/>
      <c r="G3974" t="s">
        <v>6467</v>
      </c>
      <c r="H3974" t="s">
        <v>132</v>
      </c>
      <c r="I3974" t="s">
        <v>5</v>
      </c>
      <c r="J3974" t="s">
        <v>5298</v>
      </c>
      <c r="K3974" t="s">
        <v>55</v>
      </c>
      <c r="L3974" t="s">
        <v>3042</v>
      </c>
      <c r="M3974" t="s">
        <v>134</v>
      </c>
      <c r="N3974" t="s">
        <v>135</v>
      </c>
      <c r="O3974"/>
      <c r="P3974"/>
      <c r="Q3974" t="s">
        <v>1765</v>
      </c>
      <c r="R3974"/>
      <c r="S3974"/>
      <c r="T3974" t="s">
        <v>2165</v>
      </c>
      <c r="U3974" t="s">
        <v>137</v>
      </c>
      <c r="V3974" t="s">
        <v>296</v>
      </c>
      <c r="W3974"/>
      <c r="X3974" t="s">
        <v>63</v>
      </c>
      <c r="Y3974"/>
      <c r="Z3974"/>
      <c r="AA3974" t="s">
        <v>6468</v>
      </c>
      <c r="AB3974" t="s">
        <v>5</v>
      </c>
      <c r="AC3974" t="s">
        <v>138</v>
      </c>
      <c r="AD3974" t="s">
        <v>128</v>
      </c>
      <c r="AE3974" s="97"/>
    </row>
    <row r="3975" spans="1:31" ht="14.4" customHeight="1" x14ac:dyDescent="0.3">
      <c r="A3975" t="s">
        <v>6512</v>
      </c>
      <c r="B3975" t="s">
        <v>4228</v>
      </c>
      <c r="C3975"/>
      <c r="D3975"/>
      <c r="E3975"/>
      <c r="F3975"/>
      <c r="G3975" t="s">
        <v>6467</v>
      </c>
      <c r="H3975" t="s">
        <v>132</v>
      </c>
      <c r="I3975" t="s">
        <v>5</v>
      </c>
      <c r="J3975" t="s">
        <v>5298</v>
      </c>
      <c r="K3975" t="s">
        <v>55</v>
      </c>
      <c r="L3975" t="s">
        <v>3055</v>
      </c>
      <c r="M3975" t="s">
        <v>134</v>
      </c>
      <c r="N3975" t="s">
        <v>135</v>
      </c>
      <c r="O3975"/>
      <c r="P3975"/>
      <c r="Q3975" t="s">
        <v>1765</v>
      </c>
      <c r="R3975"/>
      <c r="S3975"/>
      <c r="T3975" t="s">
        <v>2165</v>
      </c>
      <c r="U3975" t="s">
        <v>137</v>
      </c>
      <c r="V3975" t="s">
        <v>300</v>
      </c>
      <c r="W3975"/>
      <c r="X3975" t="s">
        <v>72</v>
      </c>
      <c r="Y3975"/>
      <c r="Z3975"/>
      <c r="AA3975" t="s">
        <v>6468</v>
      </c>
      <c r="AB3975" t="s">
        <v>5</v>
      </c>
      <c r="AC3975" t="s">
        <v>138</v>
      </c>
      <c r="AD3975" t="s">
        <v>128</v>
      </c>
      <c r="AE3975" s="97"/>
    </row>
    <row r="3976" spans="1:31" ht="14.4" customHeight="1" x14ac:dyDescent="0.3">
      <c r="A3976" t="s">
        <v>6513</v>
      </c>
      <c r="B3976" t="s">
        <v>4230</v>
      </c>
      <c r="C3976"/>
      <c r="D3976"/>
      <c r="E3976"/>
      <c r="F3976"/>
      <c r="G3976" t="s">
        <v>6467</v>
      </c>
      <c r="H3976" t="s">
        <v>132</v>
      </c>
      <c r="I3976" t="s">
        <v>5</v>
      </c>
      <c r="J3976" t="s">
        <v>5298</v>
      </c>
      <c r="K3976" t="s">
        <v>55</v>
      </c>
      <c r="L3976" t="s">
        <v>3068</v>
      </c>
      <c r="M3976" t="s">
        <v>134</v>
      </c>
      <c r="N3976" t="s">
        <v>135</v>
      </c>
      <c r="O3976"/>
      <c r="P3976"/>
      <c r="Q3976" t="s">
        <v>1765</v>
      </c>
      <c r="R3976"/>
      <c r="S3976"/>
      <c r="T3976" t="s">
        <v>2165</v>
      </c>
      <c r="U3976" t="s">
        <v>137</v>
      </c>
      <c r="V3976" t="s">
        <v>304</v>
      </c>
      <c r="W3976"/>
      <c r="X3976" t="s">
        <v>81</v>
      </c>
      <c r="Y3976"/>
      <c r="Z3976"/>
      <c r="AA3976" t="s">
        <v>6468</v>
      </c>
      <c r="AB3976" t="s">
        <v>5</v>
      </c>
      <c r="AC3976" t="s">
        <v>138</v>
      </c>
      <c r="AD3976" t="s">
        <v>129</v>
      </c>
      <c r="AE3976" s="97"/>
    </row>
    <row r="3977" spans="1:31" ht="14.4" customHeight="1" x14ac:dyDescent="0.3">
      <c r="A3977" t="s">
        <v>6514</v>
      </c>
      <c r="B3977" t="s">
        <v>4232</v>
      </c>
      <c r="C3977"/>
      <c r="D3977"/>
      <c r="E3977"/>
      <c r="F3977"/>
      <c r="G3977" t="s">
        <v>6467</v>
      </c>
      <c r="H3977" t="s">
        <v>132</v>
      </c>
      <c r="I3977" t="s">
        <v>5</v>
      </c>
      <c r="J3977" t="s">
        <v>5298</v>
      </c>
      <c r="K3977" t="s">
        <v>55</v>
      </c>
      <c r="L3977" t="s">
        <v>3081</v>
      </c>
      <c r="M3977" t="s">
        <v>134</v>
      </c>
      <c r="N3977" t="s">
        <v>135</v>
      </c>
      <c r="O3977"/>
      <c r="P3977"/>
      <c r="Q3977" t="s">
        <v>1765</v>
      </c>
      <c r="R3977"/>
      <c r="S3977"/>
      <c r="T3977" t="s">
        <v>2165</v>
      </c>
      <c r="U3977" t="s">
        <v>137</v>
      </c>
      <c r="V3977" t="s">
        <v>308</v>
      </c>
      <c r="W3977"/>
      <c r="X3977" t="s">
        <v>90</v>
      </c>
      <c r="Y3977"/>
      <c r="Z3977"/>
      <c r="AA3977" t="s">
        <v>6468</v>
      </c>
      <c r="AB3977" t="s">
        <v>5</v>
      </c>
      <c r="AC3977" t="s">
        <v>138</v>
      </c>
      <c r="AD3977" t="s">
        <v>129</v>
      </c>
      <c r="AE3977" s="97"/>
    </row>
    <row r="3978" spans="1:31" ht="14.4" customHeight="1" x14ac:dyDescent="0.3">
      <c r="A3978" t="s">
        <v>6515</v>
      </c>
      <c r="B3978" t="s">
        <v>4234</v>
      </c>
      <c r="C3978"/>
      <c r="D3978"/>
      <c r="E3978"/>
      <c r="F3978"/>
      <c r="G3978" t="s">
        <v>6467</v>
      </c>
      <c r="H3978" t="s">
        <v>132</v>
      </c>
      <c r="I3978" t="s">
        <v>5</v>
      </c>
      <c r="J3978" t="s">
        <v>5298</v>
      </c>
      <c r="K3978" t="s">
        <v>55</v>
      </c>
      <c r="L3978" t="s">
        <v>3094</v>
      </c>
      <c r="M3978" t="s">
        <v>134</v>
      </c>
      <c r="N3978" t="s">
        <v>135</v>
      </c>
      <c r="O3978"/>
      <c r="P3978"/>
      <c r="Q3978" t="s">
        <v>1765</v>
      </c>
      <c r="R3978"/>
      <c r="S3978"/>
      <c r="T3978" t="s">
        <v>2165</v>
      </c>
      <c r="U3978" t="s">
        <v>137</v>
      </c>
      <c r="V3978" t="s">
        <v>312</v>
      </c>
      <c r="W3978"/>
      <c r="X3978" t="s">
        <v>99</v>
      </c>
      <c r="Y3978"/>
      <c r="Z3978"/>
      <c r="AA3978" t="s">
        <v>6468</v>
      </c>
      <c r="AB3978" t="s">
        <v>5</v>
      </c>
      <c r="AC3978" t="s">
        <v>138</v>
      </c>
      <c r="AD3978" t="s">
        <v>129</v>
      </c>
      <c r="AE3978" s="97"/>
    </row>
    <row r="3979" spans="1:31" ht="14.4" customHeight="1" x14ac:dyDescent="0.3">
      <c r="A3979" t="s">
        <v>6516</v>
      </c>
      <c r="B3979" t="s">
        <v>4236</v>
      </c>
      <c r="C3979"/>
      <c r="D3979"/>
      <c r="E3979"/>
      <c r="F3979"/>
      <c r="G3979" t="s">
        <v>6467</v>
      </c>
      <c r="H3979" t="s">
        <v>132</v>
      </c>
      <c r="I3979" t="s">
        <v>5</v>
      </c>
      <c r="J3979" t="s">
        <v>5298</v>
      </c>
      <c r="K3979" t="s">
        <v>55</v>
      </c>
      <c r="L3979" t="s">
        <v>3107</v>
      </c>
      <c r="M3979" t="s">
        <v>134</v>
      </c>
      <c r="N3979" t="s">
        <v>135</v>
      </c>
      <c r="O3979"/>
      <c r="P3979"/>
      <c r="Q3979" t="s">
        <v>1765</v>
      </c>
      <c r="R3979"/>
      <c r="S3979"/>
      <c r="T3979" t="s">
        <v>2165</v>
      </c>
      <c r="U3979" t="s">
        <v>137</v>
      </c>
      <c r="V3979" t="s">
        <v>316</v>
      </c>
      <c r="W3979"/>
      <c r="X3979" t="s">
        <v>108</v>
      </c>
      <c r="Y3979"/>
      <c r="Z3979"/>
      <c r="AA3979" t="s">
        <v>6468</v>
      </c>
      <c r="AB3979" t="s">
        <v>5</v>
      </c>
      <c r="AC3979" t="s">
        <v>138</v>
      </c>
      <c r="AD3979" t="s">
        <v>129</v>
      </c>
      <c r="AE3979" s="97"/>
    </row>
    <row r="3980" spans="1:31" ht="14.4" customHeight="1" x14ac:dyDescent="0.3">
      <c r="A3980" t="s">
        <v>6517</v>
      </c>
      <c r="B3980" t="s">
        <v>4238</v>
      </c>
      <c r="C3980"/>
      <c r="D3980"/>
      <c r="E3980"/>
      <c r="F3980"/>
      <c r="G3980" t="s">
        <v>6467</v>
      </c>
      <c r="H3980" t="s">
        <v>132</v>
      </c>
      <c r="I3980" t="s">
        <v>5</v>
      </c>
      <c r="J3980" t="s">
        <v>5298</v>
      </c>
      <c r="K3980" t="s">
        <v>55</v>
      </c>
      <c r="L3980" t="s">
        <v>3120</v>
      </c>
      <c r="M3980" t="s">
        <v>134</v>
      </c>
      <c r="N3980" t="s">
        <v>135</v>
      </c>
      <c r="O3980"/>
      <c r="P3980"/>
      <c r="Q3980" t="s">
        <v>1765</v>
      </c>
      <c r="R3980"/>
      <c r="S3980"/>
      <c r="T3980" t="s">
        <v>2165</v>
      </c>
      <c r="U3980" t="s">
        <v>137</v>
      </c>
      <c r="V3980" t="s">
        <v>320</v>
      </c>
      <c r="W3980"/>
      <c r="X3980" t="s">
        <v>117</v>
      </c>
      <c r="Y3980"/>
      <c r="Z3980"/>
      <c r="AA3980" t="s">
        <v>6468</v>
      </c>
      <c r="AB3980" t="s">
        <v>5</v>
      </c>
      <c r="AC3980" t="s">
        <v>138</v>
      </c>
      <c r="AD3980" t="s">
        <v>130</v>
      </c>
      <c r="AE3980" s="97"/>
    </row>
    <row r="3981" spans="1:31" ht="14.4" customHeight="1" x14ac:dyDescent="0.3">
      <c r="A3981" t="s">
        <v>6518</v>
      </c>
      <c r="B3981" t="s">
        <v>4240</v>
      </c>
      <c r="C3981"/>
      <c r="D3981"/>
      <c r="E3981"/>
      <c r="F3981"/>
      <c r="G3981" t="s">
        <v>6467</v>
      </c>
      <c r="H3981" t="s">
        <v>132</v>
      </c>
      <c r="I3981" t="s">
        <v>5</v>
      </c>
      <c r="J3981" t="s">
        <v>5298</v>
      </c>
      <c r="K3981" t="s">
        <v>55</v>
      </c>
      <c r="L3981" t="s">
        <v>4241</v>
      </c>
      <c r="M3981" t="s">
        <v>134</v>
      </c>
      <c r="N3981" t="s">
        <v>135</v>
      </c>
      <c r="O3981"/>
      <c r="P3981"/>
      <c r="Q3981" t="s">
        <v>1765</v>
      </c>
      <c r="R3981"/>
      <c r="S3981"/>
      <c r="T3981" t="s">
        <v>2165</v>
      </c>
      <c r="U3981" t="s">
        <v>137</v>
      </c>
      <c r="V3981" t="s">
        <v>156</v>
      </c>
      <c r="W3981"/>
      <c r="X3981" t="s">
        <v>97</v>
      </c>
      <c r="Y3981"/>
      <c r="Z3981"/>
      <c r="AA3981" t="s">
        <v>6468</v>
      </c>
      <c r="AB3981" t="s">
        <v>5</v>
      </c>
      <c r="AC3981" t="s">
        <v>138</v>
      </c>
      <c r="AD3981" t="s">
        <v>129</v>
      </c>
      <c r="AE3981" s="97"/>
    </row>
    <row r="3982" spans="1:31" ht="14.4" customHeight="1" x14ac:dyDescent="0.3">
      <c r="A3982" t="s">
        <v>6519</v>
      </c>
      <c r="B3982" t="s">
        <v>4243</v>
      </c>
      <c r="C3982"/>
      <c r="D3982"/>
      <c r="E3982"/>
      <c r="F3982"/>
      <c r="G3982" t="s">
        <v>6467</v>
      </c>
      <c r="H3982" t="s">
        <v>132</v>
      </c>
      <c r="I3982" t="s">
        <v>5</v>
      </c>
      <c r="J3982" t="s">
        <v>5298</v>
      </c>
      <c r="K3982" t="s">
        <v>55</v>
      </c>
      <c r="L3982" t="s">
        <v>4244</v>
      </c>
      <c r="M3982" t="s">
        <v>134</v>
      </c>
      <c r="N3982" t="s">
        <v>135</v>
      </c>
      <c r="O3982"/>
      <c r="P3982"/>
      <c r="Q3982" t="s">
        <v>1765</v>
      </c>
      <c r="R3982"/>
      <c r="S3982"/>
      <c r="T3982" t="s">
        <v>2165</v>
      </c>
      <c r="U3982" t="s">
        <v>137</v>
      </c>
      <c r="V3982" t="s">
        <v>156</v>
      </c>
      <c r="W3982"/>
      <c r="X3982" t="s">
        <v>97</v>
      </c>
      <c r="Y3982"/>
      <c r="Z3982"/>
      <c r="AA3982" t="s">
        <v>6468</v>
      </c>
      <c r="AB3982" t="s">
        <v>5</v>
      </c>
      <c r="AC3982" t="s">
        <v>138</v>
      </c>
      <c r="AD3982" t="s">
        <v>129</v>
      </c>
      <c r="AE3982" s="97"/>
    </row>
    <row r="3983" spans="1:31" ht="14.4" customHeight="1" x14ac:dyDescent="0.3">
      <c r="A3983" t="s">
        <v>6520</v>
      </c>
      <c r="B3983" t="s">
        <v>4246</v>
      </c>
      <c r="C3983"/>
      <c r="D3983"/>
      <c r="E3983"/>
      <c r="F3983"/>
      <c r="G3983" t="s">
        <v>6467</v>
      </c>
      <c r="H3983" t="s">
        <v>132</v>
      </c>
      <c r="I3983" t="s">
        <v>5</v>
      </c>
      <c r="J3983" t="s">
        <v>5298</v>
      </c>
      <c r="K3983" t="s">
        <v>55</v>
      </c>
      <c r="L3983" t="s">
        <v>4244</v>
      </c>
      <c r="M3983" t="s">
        <v>134</v>
      </c>
      <c r="N3983" t="s">
        <v>135</v>
      </c>
      <c r="O3983"/>
      <c r="P3983"/>
      <c r="Q3983" t="s">
        <v>1765</v>
      </c>
      <c r="R3983"/>
      <c r="S3983"/>
      <c r="T3983" t="s">
        <v>2165</v>
      </c>
      <c r="U3983" t="s">
        <v>137</v>
      </c>
      <c r="V3983" t="s">
        <v>156</v>
      </c>
      <c r="W3983"/>
      <c r="X3983" t="s">
        <v>97</v>
      </c>
      <c r="Y3983"/>
      <c r="Z3983"/>
      <c r="AA3983" t="s">
        <v>6468</v>
      </c>
      <c r="AB3983" t="s">
        <v>5</v>
      </c>
      <c r="AC3983" t="s">
        <v>138</v>
      </c>
      <c r="AD3983" t="s">
        <v>129</v>
      </c>
      <c r="AE3983" s="97"/>
    </row>
    <row r="3984" spans="1:31" ht="14.4" customHeight="1" x14ac:dyDescent="0.3">
      <c r="A3984" t="s">
        <v>6521</v>
      </c>
      <c r="B3984" t="s">
        <v>4248</v>
      </c>
      <c r="C3984"/>
      <c r="D3984"/>
      <c r="E3984"/>
      <c r="F3984"/>
      <c r="G3984" t="s">
        <v>6467</v>
      </c>
      <c r="H3984" t="s">
        <v>132</v>
      </c>
      <c r="I3984" t="s">
        <v>5</v>
      </c>
      <c r="J3984" t="s">
        <v>5298</v>
      </c>
      <c r="K3984" t="s">
        <v>55</v>
      </c>
      <c r="L3984" t="s">
        <v>4244</v>
      </c>
      <c r="M3984" t="s">
        <v>134</v>
      </c>
      <c r="N3984" t="s">
        <v>135</v>
      </c>
      <c r="O3984"/>
      <c r="P3984"/>
      <c r="Q3984" t="s">
        <v>1765</v>
      </c>
      <c r="R3984"/>
      <c r="S3984"/>
      <c r="T3984" t="s">
        <v>2165</v>
      </c>
      <c r="U3984" t="s">
        <v>137</v>
      </c>
      <c r="V3984" t="s">
        <v>156</v>
      </c>
      <c r="W3984"/>
      <c r="X3984" t="s">
        <v>97</v>
      </c>
      <c r="Y3984"/>
      <c r="Z3984"/>
      <c r="AA3984" t="s">
        <v>6468</v>
      </c>
      <c r="AB3984" t="s">
        <v>5</v>
      </c>
      <c r="AC3984" t="s">
        <v>138</v>
      </c>
      <c r="AD3984" t="s">
        <v>129</v>
      </c>
      <c r="AE3984" s="97"/>
    </row>
    <row r="3985" spans="1:31" ht="14.4" customHeight="1" x14ac:dyDescent="0.3">
      <c r="A3985" t="s">
        <v>6522</v>
      </c>
      <c r="B3985" t="s">
        <v>4250</v>
      </c>
      <c r="C3985"/>
      <c r="D3985"/>
      <c r="E3985"/>
      <c r="F3985"/>
      <c r="G3985" t="s">
        <v>6467</v>
      </c>
      <c r="H3985" t="s">
        <v>132</v>
      </c>
      <c r="I3985" t="s">
        <v>5</v>
      </c>
      <c r="J3985" t="s">
        <v>5298</v>
      </c>
      <c r="K3985" t="s">
        <v>55</v>
      </c>
      <c r="L3985" t="s">
        <v>4251</v>
      </c>
      <c r="M3985" t="s">
        <v>134</v>
      </c>
      <c r="N3985" t="s">
        <v>135</v>
      </c>
      <c r="O3985"/>
      <c r="P3985"/>
      <c r="Q3985" t="s">
        <v>1765</v>
      </c>
      <c r="R3985"/>
      <c r="S3985"/>
      <c r="T3985" t="s">
        <v>2165</v>
      </c>
      <c r="U3985" t="s">
        <v>137</v>
      </c>
      <c r="V3985" t="s">
        <v>156</v>
      </c>
      <c r="W3985"/>
      <c r="X3985" t="s">
        <v>97</v>
      </c>
      <c r="Y3985"/>
      <c r="Z3985"/>
      <c r="AA3985" t="s">
        <v>6468</v>
      </c>
      <c r="AB3985" t="s">
        <v>5</v>
      </c>
      <c r="AC3985" t="s">
        <v>138</v>
      </c>
      <c r="AD3985" t="s">
        <v>129</v>
      </c>
      <c r="AE3985" s="97"/>
    </row>
    <row r="3986" spans="1:31" ht="14.4" customHeight="1" x14ac:dyDescent="0.3">
      <c r="A3986" t="s">
        <v>6523</v>
      </c>
      <c r="B3986" t="s">
        <v>4253</v>
      </c>
      <c r="C3986"/>
      <c r="D3986"/>
      <c r="E3986"/>
      <c r="F3986"/>
      <c r="G3986" t="s">
        <v>6467</v>
      </c>
      <c r="H3986" t="s">
        <v>132</v>
      </c>
      <c r="I3986" t="s">
        <v>5</v>
      </c>
      <c r="J3986" t="s">
        <v>5298</v>
      </c>
      <c r="K3986" t="s">
        <v>55</v>
      </c>
      <c r="L3986" t="s">
        <v>4251</v>
      </c>
      <c r="M3986" t="s">
        <v>134</v>
      </c>
      <c r="N3986" t="s">
        <v>135</v>
      </c>
      <c r="O3986"/>
      <c r="P3986"/>
      <c r="Q3986" t="s">
        <v>1765</v>
      </c>
      <c r="R3986"/>
      <c r="S3986"/>
      <c r="T3986" t="s">
        <v>2165</v>
      </c>
      <c r="U3986" t="s">
        <v>137</v>
      </c>
      <c r="V3986" t="s">
        <v>156</v>
      </c>
      <c r="W3986"/>
      <c r="X3986" t="s">
        <v>97</v>
      </c>
      <c r="Y3986"/>
      <c r="Z3986"/>
      <c r="AA3986" t="s">
        <v>6468</v>
      </c>
      <c r="AB3986" t="s">
        <v>5</v>
      </c>
      <c r="AC3986" t="s">
        <v>138</v>
      </c>
      <c r="AD3986" t="s">
        <v>129</v>
      </c>
      <c r="AE3986" s="97"/>
    </row>
    <row r="3987" spans="1:31" ht="14.4" customHeight="1" x14ac:dyDescent="0.3">
      <c r="A3987" t="s">
        <v>6524</v>
      </c>
      <c r="B3987" t="s">
        <v>4255</v>
      </c>
      <c r="C3987"/>
      <c r="D3987"/>
      <c r="E3987"/>
      <c r="F3987"/>
      <c r="G3987" t="s">
        <v>6467</v>
      </c>
      <c r="H3987" t="s">
        <v>132</v>
      </c>
      <c r="I3987" t="s">
        <v>5</v>
      </c>
      <c r="J3987" t="s">
        <v>5298</v>
      </c>
      <c r="K3987" t="s">
        <v>55</v>
      </c>
      <c r="L3987" t="s">
        <v>4256</v>
      </c>
      <c r="M3987" t="s">
        <v>134</v>
      </c>
      <c r="N3987" t="s">
        <v>135</v>
      </c>
      <c r="O3987"/>
      <c r="P3987"/>
      <c r="Q3987" t="s">
        <v>1765</v>
      </c>
      <c r="R3987"/>
      <c r="S3987"/>
      <c r="T3987" t="s">
        <v>2165</v>
      </c>
      <c r="U3987" t="s">
        <v>137</v>
      </c>
      <c r="V3987" t="s">
        <v>162</v>
      </c>
      <c r="W3987"/>
      <c r="X3987" t="s">
        <v>113</v>
      </c>
      <c r="Y3987"/>
      <c r="Z3987"/>
      <c r="AA3987" t="s">
        <v>6468</v>
      </c>
      <c r="AB3987" t="s">
        <v>5</v>
      </c>
      <c r="AC3987" t="s">
        <v>138</v>
      </c>
      <c r="AD3987" t="s">
        <v>129</v>
      </c>
      <c r="AE3987" s="97"/>
    </row>
    <row r="3988" spans="1:31" ht="14.4" customHeight="1" x14ac:dyDescent="0.3">
      <c r="A3988" t="s">
        <v>6525</v>
      </c>
      <c r="B3988" t="s">
        <v>4258</v>
      </c>
      <c r="C3988"/>
      <c r="D3988"/>
      <c r="E3988"/>
      <c r="F3988"/>
      <c r="G3988" t="s">
        <v>6467</v>
      </c>
      <c r="H3988" t="s">
        <v>132</v>
      </c>
      <c r="I3988" t="s">
        <v>5</v>
      </c>
      <c r="J3988" t="s">
        <v>5298</v>
      </c>
      <c r="K3988" t="s">
        <v>55</v>
      </c>
      <c r="L3988" t="s">
        <v>4259</v>
      </c>
      <c r="M3988" t="s">
        <v>134</v>
      </c>
      <c r="N3988" t="s">
        <v>135</v>
      </c>
      <c r="O3988"/>
      <c r="P3988"/>
      <c r="Q3988" t="s">
        <v>1765</v>
      </c>
      <c r="R3988"/>
      <c r="S3988"/>
      <c r="T3988" t="s">
        <v>2165</v>
      </c>
      <c r="U3988" t="s">
        <v>137</v>
      </c>
      <c r="V3988" t="s">
        <v>162</v>
      </c>
      <c r="W3988"/>
      <c r="X3988" t="s">
        <v>113</v>
      </c>
      <c r="Y3988"/>
      <c r="Z3988"/>
      <c r="AA3988" t="s">
        <v>6468</v>
      </c>
      <c r="AB3988" t="s">
        <v>5</v>
      </c>
      <c r="AC3988" t="s">
        <v>138</v>
      </c>
      <c r="AD3988" t="s">
        <v>129</v>
      </c>
      <c r="AE3988" s="97"/>
    </row>
    <row r="3989" spans="1:31" ht="14.4" customHeight="1" x14ac:dyDescent="0.3">
      <c r="A3989" t="s">
        <v>6526</v>
      </c>
      <c r="B3989" t="s">
        <v>4261</v>
      </c>
      <c r="C3989"/>
      <c r="D3989"/>
      <c r="E3989"/>
      <c r="F3989"/>
      <c r="G3989" t="s">
        <v>6467</v>
      </c>
      <c r="H3989" t="s">
        <v>132</v>
      </c>
      <c r="I3989" t="s">
        <v>5</v>
      </c>
      <c r="J3989" t="s">
        <v>5298</v>
      </c>
      <c r="K3989" t="s">
        <v>55</v>
      </c>
      <c r="L3989" t="s">
        <v>4259</v>
      </c>
      <c r="M3989" t="s">
        <v>134</v>
      </c>
      <c r="N3989" t="s">
        <v>135</v>
      </c>
      <c r="O3989"/>
      <c r="P3989"/>
      <c r="Q3989" t="s">
        <v>1765</v>
      </c>
      <c r="R3989"/>
      <c r="S3989"/>
      <c r="T3989" t="s">
        <v>2165</v>
      </c>
      <c r="U3989" t="s">
        <v>137</v>
      </c>
      <c r="V3989" t="s">
        <v>162</v>
      </c>
      <c r="W3989"/>
      <c r="X3989" t="s">
        <v>113</v>
      </c>
      <c r="Y3989"/>
      <c r="Z3989"/>
      <c r="AA3989" t="s">
        <v>6468</v>
      </c>
      <c r="AB3989" t="s">
        <v>5</v>
      </c>
      <c r="AC3989" t="s">
        <v>138</v>
      </c>
      <c r="AD3989" t="s">
        <v>129</v>
      </c>
      <c r="AE3989" s="97"/>
    </row>
    <row r="3990" spans="1:31" ht="14.4" customHeight="1" x14ac:dyDescent="0.3">
      <c r="A3990" t="s">
        <v>6527</v>
      </c>
      <c r="B3990" t="s">
        <v>4263</v>
      </c>
      <c r="C3990"/>
      <c r="D3990"/>
      <c r="E3990"/>
      <c r="F3990"/>
      <c r="G3990" t="s">
        <v>6467</v>
      </c>
      <c r="H3990" t="s">
        <v>132</v>
      </c>
      <c r="I3990" t="s">
        <v>5</v>
      </c>
      <c r="J3990" t="s">
        <v>5298</v>
      </c>
      <c r="K3990" t="s">
        <v>55</v>
      </c>
      <c r="L3990" t="s">
        <v>4259</v>
      </c>
      <c r="M3990" t="s">
        <v>134</v>
      </c>
      <c r="N3990" t="s">
        <v>135</v>
      </c>
      <c r="O3990"/>
      <c r="P3990"/>
      <c r="Q3990" t="s">
        <v>1765</v>
      </c>
      <c r="R3990"/>
      <c r="S3990"/>
      <c r="T3990" t="s">
        <v>2165</v>
      </c>
      <c r="U3990" t="s">
        <v>137</v>
      </c>
      <c r="V3990" t="s">
        <v>162</v>
      </c>
      <c r="W3990"/>
      <c r="X3990" t="s">
        <v>113</v>
      </c>
      <c r="Y3990"/>
      <c r="Z3990"/>
      <c r="AA3990" t="s">
        <v>6468</v>
      </c>
      <c r="AB3990" t="s">
        <v>5</v>
      </c>
      <c r="AC3990" t="s">
        <v>138</v>
      </c>
      <c r="AD3990" t="s">
        <v>129</v>
      </c>
      <c r="AE3990" s="97"/>
    </row>
    <row r="3991" spans="1:31" ht="14.4" customHeight="1" x14ac:dyDescent="0.3">
      <c r="A3991" t="s">
        <v>6528</v>
      </c>
      <c r="B3991" t="s">
        <v>4265</v>
      </c>
      <c r="C3991"/>
      <c r="D3991"/>
      <c r="E3991"/>
      <c r="F3991"/>
      <c r="G3991" t="s">
        <v>6467</v>
      </c>
      <c r="H3991" t="s">
        <v>132</v>
      </c>
      <c r="I3991" t="s">
        <v>5</v>
      </c>
      <c r="J3991" t="s">
        <v>5298</v>
      </c>
      <c r="K3991" t="s">
        <v>55</v>
      </c>
      <c r="L3991" t="s">
        <v>4266</v>
      </c>
      <c r="M3991" t="s">
        <v>134</v>
      </c>
      <c r="N3991" t="s">
        <v>135</v>
      </c>
      <c r="O3991"/>
      <c r="P3991"/>
      <c r="Q3991" t="s">
        <v>1765</v>
      </c>
      <c r="R3991"/>
      <c r="S3991"/>
      <c r="T3991" t="s">
        <v>2165</v>
      </c>
      <c r="U3991" t="s">
        <v>137</v>
      </c>
      <c r="V3991" t="s">
        <v>162</v>
      </c>
      <c r="W3991"/>
      <c r="X3991" t="s">
        <v>113</v>
      </c>
      <c r="Y3991"/>
      <c r="Z3991"/>
      <c r="AA3991" t="s">
        <v>6468</v>
      </c>
      <c r="AB3991" t="s">
        <v>5</v>
      </c>
      <c r="AC3991" t="s">
        <v>138</v>
      </c>
      <c r="AD3991" t="s">
        <v>129</v>
      </c>
      <c r="AE3991" s="97"/>
    </row>
    <row r="3992" spans="1:31" ht="14.4" customHeight="1" x14ac:dyDescent="0.3">
      <c r="A3992" t="s">
        <v>6529</v>
      </c>
      <c r="B3992" t="s">
        <v>4268</v>
      </c>
      <c r="C3992"/>
      <c r="D3992"/>
      <c r="E3992"/>
      <c r="F3992"/>
      <c r="G3992" t="s">
        <v>6467</v>
      </c>
      <c r="H3992" t="s">
        <v>132</v>
      </c>
      <c r="I3992" t="s">
        <v>5</v>
      </c>
      <c r="J3992" t="s">
        <v>5298</v>
      </c>
      <c r="K3992" t="s">
        <v>55</v>
      </c>
      <c r="L3992" t="s">
        <v>4266</v>
      </c>
      <c r="M3992" t="s">
        <v>134</v>
      </c>
      <c r="N3992" t="s">
        <v>135</v>
      </c>
      <c r="O3992"/>
      <c r="P3992"/>
      <c r="Q3992" t="s">
        <v>1765</v>
      </c>
      <c r="R3992"/>
      <c r="S3992"/>
      <c r="T3992" t="s">
        <v>2165</v>
      </c>
      <c r="U3992" t="s">
        <v>137</v>
      </c>
      <c r="V3992" t="s">
        <v>162</v>
      </c>
      <c r="W3992"/>
      <c r="X3992" t="s">
        <v>113</v>
      </c>
      <c r="Y3992"/>
      <c r="Z3992"/>
      <c r="AA3992" t="s">
        <v>6468</v>
      </c>
      <c r="AB3992" t="s">
        <v>5</v>
      </c>
      <c r="AC3992" t="s">
        <v>138</v>
      </c>
      <c r="AD3992" t="s">
        <v>129</v>
      </c>
      <c r="AE3992" s="97"/>
    </row>
    <row r="3993" spans="1:31" ht="14.4" customHeight="1" x14ac:dyDescent="0.3">
      <c r="A3993" t="s">
        <v>6530</v>
      </c>
      <c r="B3993" t="s">
        <v>4270</v>
      </c>
      <c r="C3993"/>
      <c r="D3993"/>
      <c r="E3993"/>
      <c r="F3993"/>
      <c r="G3993" t="s">
        <v>6467</v>
      </c>
      <c r="H3993" t="s">
        <v>132</v>
      </c>
      <c r="I3993" t="s">
        <v>5</v>
      </c>
      <c r="J3993" t="s">
        <v>5298</v>
      </c>
      <c r="K3993" t="s">
        <v>55</v>
      </c>
      <c r="L3993" t="s">
        <v>3206</v>
      </c>
      <c r="M3993" t="s">
        <v>134</v>
      </c>
      <c r="N3993" t="s">
        <v>135</v>
      </c>
      <c r="O3993"/>
      <c r="P3993"/>
      <c r="Q3993" t="s">
        <v>1765</v>
      </c>
      <c r="R3993"/>
      <c r="S3993"/>
      <c r="T3993" t="s">
        <v>2165</v>
      </c>
      <c r="U3993" t="s">
        <v>137</v>
      </c>
      <c r="V3993" t="s">
        <v>358</v>
      </c>
      <c r="W3993"/>
      <c r="X3993" t="s">
        <v>124</v>
      </c>
      <c r="Y3993"/>
      <c r="Z3993"/>
      <c r="AA3993" t="s">
        <v>6468</v>
      </c>
      <c r="AB3993" t="s">
        <v>5</v>
      </c>
      <c r="AC3993" t="s">
        <v>138</v>
      </c>
      <c r="AD3993" t="s">
        <v>130</v>
      </c>
      <c r="AE3993" s="97"/>
    </row>
    <row r="3994" spans="1:31" ht="14.4" customHeight="1" x14ac:dyDescent="0.3">
      <c r="A3994" t="s">
        <v>6531</v>
      </c>
      <c r="B3994" t="s">
        <v>4272</v>
      </c>
      <c r="C3994"/>
      <c r="D3994"/>
      <c r="E3994"/>
      <c r="F3994"/>
      <c r="G3994" t="s">
        <v>6467</v>
      </c>
      <c r="H3994" t="s">
        <v>132</v>
      </c>
      <c r="I3994" t="s">
        <v>5</v>
      </c>
      <c r="J3994" t="s">
        <v>5298</v>
      </c>
      <c r="K3994" t="s">
        <v>55</v>
      </c>
      <c r="L3994" t="s">
        <v>3358</v>
      </c>
      <c r="M3994" t="s">
        <v>134</v>
      </c>
      <c r="N3994" t="s">
        <v>135</v>
      </c>
      <c r="O3994"/>
      <c r="P3994"/>
      <c r="Q3994" t="s">
        <v>1765</v>
      </c>
      <c r="R3994"/>
      <c r="S3994"/>
      <c r="T3994" t="s">
        <v>2165</v>
      </c>
      <c r="U3994" t="s">
        <v>137</v>
      </c>
      <c r="V3994" t="s">
        <v>1239</v>
      </c>
      <c r="W3994"/>
      <c r="X3994" t="s">
        <v>127</v>
      </c>
      <c r="Y3994"/>
      <c r="Z3994"/>
      <c r="AA3994" t="s">
        <v>6468</v>
      </c>
      <c r="AB3994" t="s">
        <v>5</v>
      </c>
      <c r="AC3994" t="s">
        <v>138</v>
      </c>
      <c r="AD3994" t="s">
        <v>131</v>
      </c>
      <c r="AE3994" s="97"/>
    </row>
    <row r="3995" spans="1:31" ht="14.4" customHeight="1" x14ac:dyDescent="0.3">
      <c r="A3995" t="s">
        <v>6532</v>
      </c>
      <c r="B3995" t="s">
        <v>4274</v>
      </c>
      <c r="C3995"/>
      <c r="D3995"/>
      <c r="E3995"/>
      <c r="F3995"/>
      <c r="G3995" t="s">
        <v>6467</v>
      </c>
      <c r="H3995" t="s">
        <v>132</v>
      </c>
      <c r="I3995" t="s">
        <v>5</v>
      </c>
      <c r="J3995" t="s">
        <v>5298</v>
      </c>
      <c r="K3995" t="s">
        <v>55</v>
      </c>
      <c r="L3995" t="s">
        <v>3373</v>
      </c>
      <c r="M3995" t="s">
        <v>134</v>
      </c>
      <c r="N3995" t="s">
        <v>135</v>
      </c>
      <c r="O3995"/>
      <c r="P3995"/>
      <c r="Q3995" t="s">
        <v>1765</v>
      </c>
      <c r="R3995"/>
      <c r="S3995"/>
      <c r="T3995" t="s">
        <v>2165</v>
      </c>
      <c r="U3995" t="s">
        <v>137</v>
      </c>
      <c r="V3995" t="s">
        <v>1249</v>
      </c>
      <c r="W3995"/>
      <c r="X3995" t="s">
        <v>61</v>
      </c>
      <c r="Y3995"/>
      <c r="Z3995"/>
      <c r="AA3995" t="s">
        <v>6468</v>
      </c>
      <c r="AB3995" t="s">
        <v>5</v>
      </c>
      <c r="AC3995" t="s">
        <v>138</v>
      </c>
      <c r="AD3995" t="s">
        <v>128</v>
      </c>
      <c r="AE3995" s="97"/>
    </row>
    <row r="3996" spans="1:31" ht="14.4" customHeight="1" x14ac:dyDescent="0.3">
      <c r="A3996" t="s">
        <v>6533</v>
      </c>
      <c r="B3996" t="s">
        <v>1886</v>
      </c>
      <c r="C3996"/>
      <c r="D3996"/>
      <c r="E3996"/>
      <c r="F3996"/>
      <c r="G3996" t="s">
        <v>6534</v>
      </c>
      <c r="H3996" t="s">
        <v>132</v>
      </c>
      <c r="I3996" t="s">
        <v>3</v>
      </c>
      <c r="J3996" t="s">
        <v>133</v>
      </c>
      <c r="K3996" t="s">
        <v>53</v>
      </c>
      <c r="L3996" t="s">
        <v>1887</v>
      </c>
      <c r="M3996" t="s">
        <v>134</v>
      </c>
      <c r="N3996" t="s">
        <v>135</v>
      </c>
      <c r="O3996"/>
      <c r="P3996"/>
      <c r="Q3996" t="s">
        <v>139</v>
      </c>
      <c r="R3996"/>
      <c r="S3996"/>
      <c r="T3996" t="s">
        <v>1888</v>
      </c>
      <c r="U3996" t="s">
        <v>137</v>
      </c>
      <c r="V3996" t="s">
        <v>147</v>
      </c>
      <c r="W3996" s="9">
        <v>45540.222380405095</v>
      </c>
      <c r="X3996" t="s">
        <v>70</v>
      </c>
      <c r="Y3996"/>
      <c r="Z3996"/>
      <c r="AA3996" t="s">
        <v>5059</v>
      </c>
      <c r="AB3996" t="s">
        <v>3</v>
      </c>
      <c r="AC3996" t="s">
        <v>24</v>
      </c>
      <c r="AD3996" t="s">
        <v>128</v>
      </c>
      <c r="AE3996" s="97"/>
    </row>
    <row r="3997" spans="1:31" ht="14.4" customHeight="1" x14ac:dyDescent="0.3">
      <c r="A3997" t="s">
        <v>6535</v>
      </c>
      <c r="B3997" t="s">
        <v>1890</v>
      </c>
      <c r="C3997"/>
      <c r="D3997"/>
      <c r="E3997"/>
      <c r="F3997"/>
      <c r="G3997" t="s">
        <v>6534</v>
      </c>
      <c r="H3997" t="s">
        <v>132</v>
      </c>
      <c r="I3997" t="s">
        <v>3</v>
      </c>
      <c r="J3997" t="s">
        <v>133</v>
      </c>
      <c r="K3997" t="s">
        <v>53</v>
      </c>
      <c r="L3997" t="s">
        <v>1891</v>
      </c>
      <c r="M3997" t="s">
        <v>134</v>
      </c>
      <c r="N3997" t="s">
        <v>135</v>
      </c>
      <c r="O3997"/>
      <c r="P3997"/>
      <c r="Q3997" t="s">
        <v>139</v>
      </c>
      <c r="R3997"/>
      <c r="S3997"/>
      <c r="T3997" t="s">
        <v>1892</v>
      </c>
      <c r="U3997" t="s">
        <v>137</v>
      </c>
      <c r="V3997" t="s">
        <v>150</v>
      </c>
      <c r="W3997" s="9">
        <v>45540.22278113426</v>
      </c>
      <c r="X3997" t="s">
        <v>76</v>
      </c>
      <c r="Y3997"/>
      <c r="Z3997"/>
      <c r="AA3997" t="s">
        <v>5059</v>
      </c>
      <c r="AB3997" t="s">
        <v>3</v>
      </c>
      <c r="AC3997" t="s">
        <v>24</v>
      </c>
      <c r="AD3997" t="s">
        <v>128</v>
      </c>
      <c r="AE3997" s="97"/>
    </row>
    <row r="3998" spans="1:31" ht="14.4" customHeight="1" x14ac:dyDescent="0.3">
      <c r="A3998" t="s">
        <v>6536</v>
      </c>
      <c r="B3998" t="s">
        <v>1894</v>
      </c>
      <c r="C3998"/>
      <c r="D3998"/>
      <c r="E3998"/>
      <c r="F3998"/>
      <c r="G3998" t="s">
        <v>6534</v>
      </c>
      <c r="H3998" t="s">
        <v>132</v>
      </c>
      <c r="I3998" t="s">
        <v>3</v>
      </c>
      <c r="J3998" t="s">
        <v>133</v>
      </c>
      <c r="K3998" t="s">
        <v>53</v>
      </c>
      <c r="L3998" t="s">
        <v>1895</v>
      </c>
      <c r="M3998" t="s">
        <v>134</v>
      </c>
      <c r="N3998" t="s">
        <v>135</v>
      </c>
      <c r="O3998"/>
      <c r="P3998"/>
      <c r="Q3998" t="s">
        <v>139</v>
      </c>
      <c r="R3998"/>
      <c r="S3998"/>
      <c r="T3998" t="s">
        <v>1896</v>
      </c>
      <c r="U3998" t="s">
        <v>137</v>
      </c>
      <c r="V3998" t="s">
        <v>153</v>
      </c>
      <c r="W3998" s="9">
        <v>45540.22318306713</v>
      </c>
      <c r="X3998" t="s">
        <v>88</v>
      </c>
      <c r="Y3998"/>
      <c r="Z3998"/>
      <c r="AA3998" t="s">
        <v>5059</v>
      </c>
      <c r="AB3998" t="s">
        <v>3</v>
      </c>
      <c r="AC3998" t="s">
        <v>24</v>
      </c>
      <c r="AD3998" t="s">
        <v>129</v>
      </c>
      <c r="AE3998" s="97"/>
    </row>
    <row r="3999" spans="1:31" ht="14.4" customHeight="1" x14ac:dyDescent="0.3">
      <c r="A3999" t="s">
        <v>6537</v>
      </c>
      <c r="B3999" t="s">
        <v>1898</v>
      </c>
      <c r="C3999"/>
      <c r="D3999"/>
      <c r="E3999"/>
      <c r="F3999"/>
      <c r="G3999" t="s">
        <v>6534</v>
      </c>
      <c r="H3999" t="s">
        <v>132</v>
      </c>
      <c r="I3999" t="s">
        <v>3</v>
      </c>
      <c r="J3999" t="s">
        <v>133</v>
      </c>
      <c r="K3999" t="s">
        <v>53</v>
      </c>
      <c r="L3999" t="s">
        <v>1899</v>
      </c>
      <c r="M3999" t="s">
        <v>134</v>
      </c>
      <c r="N3999" t="s">
        <v>135</v>
      </c>
      <c r="O3999"/>
      <c r="P3999"/>
      <c r="Q3999" t="s">
        <v>139</v>
      </c>
      <c r="R3999"/>
      <c r="S3999"/>
      <c r="T3999" t="s">
        <v>1900</v>
      </c>
      <c r="U3999" t="s">
        <v>137</v>
      </c>
      <c r="V3999" t="s">
        <v>156</v>
      </c>
      <c r="W3999" s="9">
        <v>45540.223491122684</v>
      </c>
      <c r="X3999" t="s">
        <v>97</v>
      </c>
      <c r="Y3999"/>
      <c r="Z3999"/>
      <c r="AA3999" t="s">
        <v>5059</v>
      </c>
      <c r="AB3999" t="s">
        <v>3</v>
      </c>
      <c r="AC3999" t="s">
        <v>24</v>
      </c>
      <c r="AD3999" t="s">
        <v>129</v>
      </c>
      <c r="AE3999" s="97"/>
    </row>
    <row r="4000" spans="1:31" ht="14.4" customHeight="1" x14ac:dyDescent="0.3">
      <c r="A4000" t="s">
        <v>6538</v>
      </c>
      <c r="B4000" t="s">
        <v>1902</v>
      </c>
      <c r="C4000"/>
      <c r="D4000"/>
      <c r="E4000"/>
      <c r="F4000"/>
      <c r="G4000" t="s">
        <v>6534</v>
      </c>
      <c r="H4000" t="s">
        <v>132</v>
      </c>
      <c r="I4000" t="s">
        <v>3</v>
      </c>
      <c r="J4000" t="s">
        <v>133</v>
      </c>
      <c r="K4000" t="s">
        <v>53</v>
      </c>
      <c r="L4000" t="s">
        <v>1903</v>
      </c>
      <c r="M4000" t="s">
        <v>134</v>
      </c>
      <c r="N4000" t="s">
        <v>135</v>
      </c>
      <c r="O4000"/>
      <c r="P4000"/>
      <c r="Q4000" t="s">
        <v>139</v>
      </c>
      <c r="R4000"/>
      <c r="S4000"/>
      <c r="T4000" t="s">
        <v>1904</v>
      </c>
      <c r="U4000" t="s">
        <v>137</v>
      </c>
      <c r="V4000" t="s">
        <v>159</v>
      </c>
      <c r="W4000" s="9">
        <v>45573.456963969904</v>
      </c>
      <c r="X4000" t="s">
        <v>106</v>
      </c>
      <c r="Y4000"/>
      <c r="Z4000"/>
      <c r="AA4000" t="s">
        <v>5059</v>
      </c>
      <c r="AB4000" t="s">
        <v>3</v>
      </c>
      <c r="AC4000" t="s">
        <v>24</v>
      </c>
      <c r="AD4000" t="s">
        <v>129</v>
      </c>
      <c r="AE4000" s="97"/>
    </row>
    <row r="4001" spans="1:31" ht="14.4" customHeight="1" x14ac:dyDescent="0.3">
      <c r="A4001" t="s">
        <v>6539</v>
      </c>
      <c r="B4001" t="s">
        <v>1906</v>
      </c>
      <c r="C4001"/>
      <c r="D4001"/>
      <c r="E4001"/>
      <c r="F4001"/>
      <c r="G4001" t="s">
        <v>6534</v>
      </c>
      <c r="H4001" t="s">
        <v>132</v>
      </c>
      <c r="I4001" t="s">
        <v>3</v>
      </c>
      <c r="J4001" t="s">
        <v>133</v>
      </c>
      <c r="K4001" t="s">
        <v>53</v>
      </c>
      <c r="L4001" t="s">
        <v>1907</v>
      </c>
      <c r="M4001" t="s">
        <v>134</v>
      </c>
      <c r="N4001" t="s">
        <v>135</v>
      </c>
      <c r="O4001"/>
      <c r="P4001"/>
      <c r="Q4001" t="s">
        <v>139</v>
      </c>
      <c r="R4001"/>
      <c r="S4001"/>
      <c r="T4001" t="s">
        <v>1908</v>
      </c>
      <c r="U4001" t="s">
        <v>137</v>
      </c>
      <c r="V4001" t="s">
        <v>162</v>
      </c>
      <c r="W4001" s="9">
        <v>45573.457356793981</v>
      </c>
      <c r="X4001" t="s">
        <v>113</v>
      </c>
      <c r="Y4001"/>
      <c r="Z4001"/>
      <c r="AA4001" t="s">
        <v>5059</v>
      </c>
      <c r="AB4001" t="s">
        <v>3</v>
      </c>
      <c r="AC4001" t="s">
        <v>24</v>
      </c>
      <c r="AD4001" t="s">
        <v>129</v>
      </c>
      <c r="AE4001" s="97"/>
    </row>
    <row r="4002" spans="1:31" ht="14.4" customHeight="1" x14ac:dyDescent="0.3">
      <c r="A4002" t="s">
        <v>6540</v>
      </c>
      <c r="B4002" t="s">
        <v>1910</v>
      </c>
      <c r="C4002"/>
      <c r="D4002"/>
      <c r="E4002"/>
      <c r="F4002"/>
      <c r="G4002" t="s">
        <v>6534</v>
      </c>
      <c r="H4002" t="s">
        <v>132</v>
      </c>
      <c r="I4002" t="s">
        <v>3</v>
      </c>
      <c r="J4002" t="s">
        <v>133</v>
      </c>
      <c r="K4002" t="s">
        <v>53</v>
      </c>
      <c r="L4002" t="s">
        <v>1911</v>
      </c>
      <c r="M4002" t="s">
        <v>134</v>
      </c>
      <c r="N4002" t="s">
        <v>135</v>
      </c>
      <c r="O4002"/>
      <c r="P4002"/>
      <c r="Q4002" t="s">
        <v>139</v>
      </c>
      <c r="R4002"/>
      <c r="S4002"/>
      <c r="T4002" t="s">
        <v>1912</v>
      </c>
      <c r="U4002" t="s">
        <v>137</v>
      </c>
      <c r="V4002" t="s">
        <v>165</v>
      </c>
      <c r="W4002" s="9">
        <v>45540.223969675928</v>
      </c>
      <c r="X4002" t="s">
        <v>122</v>
      </c>
      <c r="Y4002"/>
      <c r="Z4002"/>
      <c r="AA4002" t="s">
        <v>5059</v>
      </c>
      <c r="AB4002" t="s">
        <v>3</v>
      </c>
      <c r="AC4002" t="s">
        <v>24</v>
      </c>
      <c r="AD4002" t="s">
        <v>130</v>
      </c>
      <c r="AE4002" s="97"/>
    </row>
    <row r="4003" spans="1:31" ht="14.4" customHeight="1" x14ac:dyDescent="0.3">
      <c r="A4003" t="s">
        <v>6541</v>
      </c>
      <c r="B4003" t="s">
        <v>1914</v>
      </c>
      <c r="C4003"/>
      <c r="D4003"/>
      <c r="E4003"/>
      <c r="F4003"/>
      <c r="G4003" t="s">
        <v>6534</v>
      </c>
      <c r="H4003" t="s">
        <v>132</v>
      </c>
      <c r="I4003" t="s">
        <v>3</v>
      </c>
      <c r="J4003" t="s">
        <v>133</v>
      </c>
      <c r="K4003" t="s">
        <v>53</v>
      </c>
      <c r="L4003" t="s">
        <v>1915</v>
      </c>
      <c r="M4003" t="s">
        <v>134</v>
      </c>
      <c r="N4003" t="s">
        <v>135</v>
      </c>
      <c r="O4003"/>
      <c r="P4003"/>
      <c r="Q4003" t="s">
        <v>139</v>
      </c>
      <c r="R4003"/>
      <c r="S4003"/>
      <c r="T4003"/>
      <c r="U4003" t="s">
        <v>137</v>
      </c>
      <c r="V4003" t="s">
        <v>362</v>
      </c>
      <c r="W4003" s="9">
        <v>45744.519576620369</v>
      </c>
      <c r="X4003" t="s">
        <v>58</v>
      </c>
      <c r="Y4003"/>
      <c r="Z4003"/>
      <c r="AA4003" t="s">
        <v>5059</v>
      </c>
      <c r="AB4003" t="s">
        <v>3</v>
      </c>
      <c r="AC4003" t="s">
        <v>24</v>
      </c>
      <c r="AD4003" t="s">
        <v>128</v>
      </c>
      <c r="AE4003" s="97"/>
    </row>
    <row r="4004" spans="1:31" ht="14.4" customHeight="1" x14ac:dyDescent="0.3">
      <c r="A4004" t="s">
        <v>6542</v>
      </c>
      <c r="B4004" t="s">
        <v>1918</v>
      </c>
      <c r="C4004"/>
      <c r="D4004"/>
      <c r="E4004"/>
      <c r="F4004"/>
      <c r="G4004" t="s">
        <v>6534</v>
      </c>
      <c r="H4004" t="s">
        <v>132</v>
      </c>
      <c r="I4004" t="s">
        <v>3</v>
      </c>
      <c r="J4004" t="s">
        <v>133</v>
      </c>
      <c r="K4004" t="s">
        <v>53</v>
      </c>
      <c r="L4004" t="s">
        <v>1919</v>
      </c>
      <c r="M4004" t="s">
        <v>134</v>
      </c>
      <c r="N4004" t="s">
        <v>135</v>
      </c>
      <c r="O4004"/>
      <c r="P4004"/>
      <c r="Q4004" t="s">
        <v>139</v>
      </c>
      <c r="R4004"/>
      <c r="S4004"/>
      <c r="T4004"/>
      <c r="U4004" t="s">
        <v>137</v>
      </c>
      <c r="V4004" t="s">
        <v>403</v>
      </c>
      <c r="W4004" s="9">
        <v>45744.519910451389</v>
      </c>
      <c r="X4004" t="s">
        <v>68</v>
      </c>
      <c r="Y4004"/>
      <c r="Z4004"/>
      <c r="AA4004" t="s">
        <v>5059</v>
      </c>
      <c r="AB4004" t="s">
        <v>3</v>
      </c>
      <c r="AC4004" t="s">
        <v>24</v>
      </c>
      <c r="AD4004" t="s">
        <v>128</v>
      </c>
      <c r="AE4004" s="97"/>
    </row>
    <row r="4005" spans="1:31" ht="14.4" customHeight="1" x14ac:dyDescent="0.3">
      <c r="A4005" t="s">
        <v>6543</v>
      </c>
      <c r="B4005" t="s">
        <v>1922</v>
      </c>
      <c r="C4005"/>
      <c r="D4005"/>
      <c r="E4005"/>
      <c r="F4005"/>
      <c r="G4005" t="s">
        <v>6534</v>
      </c>
      <c r="H4005" t="s">
        <v>132</v>
      </c>
      <c r="I4005" t="s">
        <v>3</v>
      </c>
      <c r="J4005" t="s">
        <v>133</v>
      </c>
      <c r="K4005" t="s">
        <v>53</v>
      </c>
      <c r="L4005" t="s">
        <v>1919</v>
      </c>
      <c r="M4005" t="s">
        <v>134</v>
      </c>
      <c r="N4005" t="s">
        <v>135</v>
      </c>
      <c r="O4005"/>
      <c r="P4005"/>
      <c r="Q4005" t="s">
        <v>139</v>
      </c>
      <c r="R4005"/>
      <c r="S4005"/>
      <c r="T4005"/>
      <c r="U4005" t="s">
        <v>137</v>
      </c>
      <c r="V4005" t="s">
        <v>407</v>
      </c>
      <c r="W4005" s="9">
        <v>45744.5204556713</v>
      </c>
      <c r="X4005" t="s">
        <v>77</v>
      </c>
      <c r="Y4005"/>
      <c r="Z4005"/>
      <c r="AA4005" t="s">
        <v>5059</v>
      </c>
      <c r="AB4005" t="s">
        <v>3</v>
      </c>
      <c r="AC4005" t="s">
        <v>24</v>
      </c>
      <c r="AD4005" t="s">
        <v>128</v>
      </c>
      <c r="AE4005" s="97"/>
    </row>
    <row r="4006" spans="1:31" ht="14.4" customHeight="1" x14ac:dyDescent="0.3">
      <c r="A4006" t="s">
        <v>6544</v>
      </c>
      <c r="B4006" t="s">
        <v>1924</v>
      </c>
      <c r="C4006"/>
      <c r="D4006"/>
      <c r="E4006"/>
      <c r="F4006"/>
      <c r="G4006" t="s">
        <v>6534</v>
      </c>
      <c r="H4006" t="s">
        <v>132</v>
      </c>
      <c r="I4006" t="s">
        <v>3</v>
      </c>
      <c r="J4006" t="s">
        <v>133</v>
      </c>
      <c r="K4006" t="s">
        <v>53</v>
      </c>
      <c r="L4006" t="s">
        <v>1919</v>
      </c>
      <c r="M4006" t="s">
        <v>134</v>
      </c>
      <c r="N4006" t="s">
        <v>135</v>
      </c>
      <c r="O4006"/>
      <c r="P4006"/>
      <c r="Q4006" t="s">
        <v>139</v>
      </c>
      <c r="R4006"/>
      <c r="S4006"/>
      <c r="T4006"/>
      <c r="U4006" t="s">
        <v>137</v>
      </c>
      <c r="V4006" t="s">
        <v>411</v>
      </c>
      <c r="W4006" s="9">
        <v>45744.521376585646</v>
      </c>
      <c r="X4006" t="s">
        <v>87</v>
      </c>
      <c r="Y4006"/>
      <c r="Z4006"/>
      <c r="AA4006" t="s">
        <v>5059</v>
      </c>
      <c r="AB4006" t="s">
        <v>3</v>
      </c>
      <c r="AC4006" t="s">
        <v>24</v>
      </c>
      <c r="AD4006" t="s">
        <v>129</v>
      </c>
      <c r="AE4006" s="97"/>
    </row>
    <row r="4007" spans="1:31" ht="14.4" customHeight="1" x14ac:dyDescent="0.3">
      <c r="A4007" t="s">
        <v>6545</v>
      </c>
      <c r="B4007" t="s">
        <v>1926</v>
      </c>
      <c r="C4007"/>
      <c r="D4007"/>
      <c r="E4007"/>
      <c r="F4007"/>
      <c r="G4007" t="s">
        <v>6534</v>
      </c>
      <c r="H4007" t="s">
        <v>132</v>
      </c>
      <c r="I4007" t="s">
        <v>3</v>
      </c>
      <c r="J4007" t="s">
        <v>133</v>
      </c>
      <c r="K4007" t="s">
        <v>53</v>
      </c>
      <c r="L4007" t="s">
        <v>1919</v>
      </c>
      <c r="M4007" t="s">
        <v>134</v>
      </c>
      <c r="N4007" t="s">
        <v>135</v>
      </c>
      <c r="O4007"/>
      <c r="P4007"/>
      <c r="Q4007" t="s">
        <v>139</v>
      </c>
      <c r="R4007"/>
      <c r="S4007"/>
      <c r="T4007"/>
      <c r="U4007" t="s">
        <v>137</v>
      </c>
      <c r="V4007" t="s">
        <v>415</v>
      </c>
      <c r="W4007" s="9">
        <v>45744.547941747682</v>
      </c>
      <c r="X4007" t="s">
        <v>96</v>
      </c>
      <c r="Y4007"/>
      <c r="Z4007"/>
      <c r="AA4007" t="s">
        <v>5059</v>
      </c>
      <c r="AB4007" t="s">
        <v>3</v>
      </c>
      <c r="AC4007" t="s">
        <v>24</v>
      </c>
      <c r="AD4007" t="s">
        <v>129</v>
      </c>
      <c r="AE4007" s="97"/>
    </row>
    <row r="4008" spans="1:31" ht="14.4" customHeight="1" x14ac:dyDescent="0.3">
      <c r="A4008" t="s">
        <v>6546</v>
      </c>
      <c r="B4008" t="s">
        <v>1928</v>
      </c>
      <c r="C4008"/>
      <c r="D4008"/>
      <c r="E4008"/>
      <c r="F4008"/>
      <c r="G4008" t="s">
        <v>6534</v>
      </c>
      <c r="H4008" t="s">
        <v>132</v>
      </c>
      <c r="I4008" t="s">
        <v>3</v>
      </c>
      <c r="J4008" t="s">
        <v>133</v>
      </c>
      <c r="K4008" t="s">
        <v>53</v>
      </c>
      <c r="L4008" t="s">
        <v>1919</v>
      </c>
      <c r="M4008" t="s">
        <v>134</v>
      </c>
      <c r="N4008" t="s">
        <v>135</v>
      </c>
      <c r="O4008"/>
      <c r="P4008"/>
      <c r="Q4008" t="s">
        <v>139</v>
      </c>
      <c r="R4008"/>
      <c r="S4008"/>
      <c r="T4008"/>
      <c r="U4008" t="s">
        <v>137</v>
      </c>
      <c r="V4008" t="s">
        <v>419</v>
      </c>
      <c r="W4008" s="9">
        <v>45744.548279861112</v>
      </c>
      <c r="X4008" t="s">
        <v>105</v>
      </c>
      <c r="Y4008"/>
      <c r="Z4008"/>
      <c r="AA4008" t="s">
        <v>5059</v>
      </c>
      <c r="AB4008" t="s">
        <v>3</v>
      </c>
      <c r="AC4008" t="s">
        <v>24</v>
      </c>
      <c r="AD4008" t="s">
        <v>129</v>
      </c>
      <c r="AE4008" s="97"/>
    </row>
    <row r="4009" spans="1:31" ht="14.4" customHeight="1" x14ac:dyDescent="0.3">
      <c r="A4009" t="s">
        <v>6547</v>
      </c>
      <c r="B4009" t="s">
        <v>1930</v>
      </c>
      <c r="C4009"/>
      <c r="D4009"/>
      <c r="E4009"/>
      <c r="F4009"/>
      <c r="G4009" t="s">
        <v>6534</v>
      </c>
      <c r="H4009" t="s">
        <v>132</v>
      </c>
      <c r="I4009" t="s">
        <v>3</v>
      </c>
      <c r="J4009" t="s">
        <v>133</v>
      </c>
      <c r="K4009" t="s">
        <v>53</v>
      </c>
      <c r="L4009" t="s">
        <v>1919</v>
      </c>
      <c r="M4009" t="s">
        <v>134</v>
      </c>
      <c r="N4009" t="s">
        <v>135</v>
      </c>
      <c r="O4009"/>
      <c r="P4009"/>
      <c r="Q4009" t="s">
        <v>139</v>
      </c>
      <c r="R4009"/>
      <c r="S4009"/>
      <c r="T4009"/>
      <c r="U4009" t="s">
        <v>137</v>
      </c>
      <c r="V4009" t="s">
        <v>423</v>
      </c>
      <c r="W4009" s="9">
        <v>45744.54870590278</v>
      </c>
      <c r="X4009" t="s">
        <v>112</v>
      </c>
      <c r="Y4009"/>
      <c r="Z4009"/>
      <c r="AA4009" t="s">
        <v>5059</v>
      </c>
      <c r="AB4009" t="s">
        <v>3</v>
      </c>
      <c r="AC4009" t="s">
        <v>24</v>
      </c>
      <c r="AD4009" t="s">
        <v>129</v>
      </c>
      <c r="AE4009" s="97"/>
    </row>
    <row r="4010" spans="1:31" ht="14.4" customHeight="1" x14ac:dyDescent="0.3">
      <c r="A4010" t="s">
        <v>6548</v>
      </c>
      <c r="B4010" t="s">
        <v>1932</v>
      </c>
      <c r="C4010"/>
      <c r="D4010"/>
      <c r="E4010"/>
      <c r="F4010"/>
      <c r="G4010" t="s">
        <v>6534</v>
      </c>
      <c r="H4010" t="s">
        <v>132</v>
      </c>
      <c r="I4010" t="s">
        <v>3</v>
      </c>
      <c r="J4010" t="s">
        <v>133</v>
      </c>
      <c r="K4010" t="s">
        <v>53</v>
      </c>
      <c r="L4010" t="s">
        <v>1919</v>
      </c>
      <c r="M4010" t="s">
        <v>134</v>
      </c>
      <c r="N4010" t="s">
        <v>135</v>
      </c>
      <c r="O4010"/>
      <c r="P4010"/>
      <c r="Q4010" t="s">
        <v>139</v>
      </c>
      <c r="R4010"/>
      <c r="S4010"/>
      <c r="T4010"/>
      <c r="U4010" t="s">
        <v>137</v>
      </c>
      <c r="V4010" t="s">
        <v>427</v>
      </c>
      <c r="W4010" s="9">
        <v>45744.548953391204</v>
      </c>
      <c r="X4010" t="s">
        <v>121</v>
      </c>
      <c r="Y4010"/>
      <c r="Z4010"/>
      <c r="AA4010" t="s">
        <v>5059</v>
      </c>
      <c r="AB4010" t="s">
        <v>3</v>
      </c>
      <c r="AC4010" t="s">
        <v>24</v>
      </c>
      <c r="AD4010" t="s">
        <v>130</v>
      </c>
      <c r="AE4010" s="97"/>
    </row>
    <row r="4011" spans="1:31" ht="14.4" customHeight="1" x14ac:dyDescent="0.3">
      <c r="A4011" t="s">
        <v>6549</v>
      </c>
      <c r="B4011" t="s">
        <v>1934</v>
      </c>
      <c r="C4011"/>
      <c r="D4011"/>
      <c r="E4011"/>
      <c r="F4011"/>
      <c r="G4011" t="s">
        <v>6534</v>
      </c>
      <c r="H4011" t="s">
        <v>132</v>
      </c>
      <c r="I4011" t="s">
        <v>3</v>
      </c>
      <c r="J4011" t="s">
        <v>133</v>
      </c>
      <c r="K4011" t="s">
        <v>53</v>
      </c>
      <c r="L4011" t="s">
        <v>1935</v>
      </c>
      <c r="M4011" t="s">
        <v>134</v>
      </c>
      <c r="N4011" t="s">
        <v>135</v>
      </c>
      <c r="O4011"/>
      <c r="P4011"/>
      <c r="Q4011" t="s">
        <v>139</v>
      </c>
      <c r="R4011"/>
      <c r="S4011"/>
      <c r="T4011"/>
      <c r="U4011" t="s">
        <v>137</v>
      </c>
      <c r="V4011" t="s">
        <v>640</v>
      </c>
      <c r="W4011" s="9">
        <v>45782.502413738424</v>
      </c>
      <c r="X4011" t="s">
        <v>66</v>
      </c>
      <c r="Y4011"/>
      <c r="Z4011"/>
      <c r="AA4011" t="s">
        <v>5059</v>
      </c>
      <c r="AB4011" t="s">
        <v>3</v>
      </c>
      <c r="AC4011" t="s">
        <v>24</v>
      </c>
      <c r="AD4011" t="s">
        <v>128</v>
      </c>
      <c r="AE4011" s="97"/>
    </row>
    <row r="4012" spans="1:31" ht="14.4" customHeight="1" x14ac:dyDescent="0.3">
      <c r="A4012" t="s">
        <v>6550</v>
      </c>
      <c r="B4012" t="s">
        <v>1938</v>
      </c>
      <c r="C4012"/>
      <c r="D4012"/>
      <c r="E4012"/>
      <c r="F4012"/>
      <c r="G4012" t="s">
        <v>6534</v>
      </c>
      <c r="H4012" t="s">
        <v>132</v>
      </c>
      <c r="I4012" t="s">
        <v>3</v>
      </c>
      <c r="J4012" t="s">
        <v>133</v>
      </c>
      <c r="K4012" t="s">
        <v>53</v>
      </c>
      <c r="L4012" t="s">
        <v>1935</v>
      </c>
      <c r="M4012" t="s">
        <v>134</v>
      </c>
      <c r="N4012" t="s">
        <v>135</v>
      </c>
      <c r="O4012"/>
      <c r="P4012"/>
      <c r="Q4012" t="s">
        <v>139</v>
      </c>
      <c r="R4012"/>
      <c r="S4012"/>
      <c r="T4012"/>
      <c r="U4012" t="s">
        <v>137</v>
      </c>
      <c r="V4012" t="s">
        <v>646</v>
      </c>
      <c r="W4012" s="9">
        <v>45744.549953969909</v>
      </c>
      <c r="X4012" t="s">
        <v>74</v>
      </c>
      <c r="Y4012"/>
      <c r="Z4012"/>
      <c r="AA4012" t="s">
        <v>5059</v>
      </c>
      <c r="AB4012" t="s">
        <v>3</v>
      </c>
      <c r="AC4012" t="s">
        <v>24</v>
      </c>
      <c r="AD4012" t="s">
        <v>128</v>
      </c>
      <c r="AE4012" s="97"/>
    </row>
    <row r="4013" spans="1:31" ht="14.4" customHeight="1" x14ac:dyDescent="0.3">
      <c r="A4013" t="s">
        <v>6551</v>
      </c>
      <c r="B4013" t="s">
        <v>1940</v>
      </c>
      <c r="C4013"/>
      <c r="D4013"/>
      <c r="E4013"/>
      <c r="F4013"/>
      <c r="G4013" t="s">
        <v>6534</v>
      </c>
      <c r="H4013" t="s">
        <v>132</v>
      </c>
      <c r="I4013" t="s">
        <v>3</v>
      </c>
      <c r="J4013" t="s">
        <v>133</v>
      </c>
      <c r="K4013" t="s">
        <v>53</v>
      </c>
      <c r="L4013" t="s">
        <v>1935</v>
      </c>
      <c r="M4013" t="s">
        <v>134</v>
      </c>
      <c r="N4013" t="s">
        <v>135</v>
      </c>
      <c r="O4013"/>
      <c r="P4013"/>
      <c r="Q4013" t="s">
        <v>139</v>
      </c>
      <c r="R4013"/>
      <c r="S4013"/>
      <c r="T4013"/>
      <c r="U4013" t="s">
        <v>137</v>
      </c>
      <c r="V4013" t="s">
        <v>652</v>
      </c>
      <c r="W4013" s="9">
        <v>45744.550243090278</v>
      </c>
      <c r="X4013" t="s">
        <v>85</v>
      </c>
      <c r="Y4013"/>
      <c r="Z4013"/>
      <c r="AA4013" t="s">
        <v>5059</v>
      </c>
      <c r="AB4013" t="s">
        <v>3</v>
      </c>
      <c r="AC4013" t="s">
        <v>24</v>
      </c>
      <c r="AD4013" t="s">
        <v>129</v>
      </c>
      <c r="AE4013" s="97"/>
    </row>
    <row r="4014" spans="1:31" ht="14.4" customHeight="1" x14ac:dyDescent="0.3">
      <c r="A4014" t="s">
        <v>6552</v>
      </c>
      <c r="B4014" t="s">
        <v>1942</v>
      </c>
      <c r="C4014"/>
      <c r="D4014"/>
      <c r="E4014"/>
      <c r="F4014"/>
      <c r="G4014" t="s">
        <v>6534</v>
      </c>
      <c r="H4014" t="s">
        <v>132</v>
      </c>
      <c r="I4014" t="s">
        <v>3</v>
      </c>
      <c r="J4014" t="s">
        <v>133</v>
      </c>
      <c r="K4014" t="s">
        <v>53</v>
      </c>
      <c r="L4014" t="s">
        <v>1935</v>
      </c>
      <c r="M4014" t="s">
        <v>134</v>
      </c>
      <c r="N4014" t="s">
        <v>135</v>
      </c>
      <c r="O4014"/>
      <c r="P4014"/>
      <c r="Q4014" t="s">
        <v>139</v>
      </c>
      <c r="R4014"/>
      <c r="S4014"/>
      <c r="T4014"/>
      <c r="U4014" t="s">
        <v>137</v>
      </c>
      <c r="V4014" t="s">
        <v>658</v>
      </c>
      <c r="W4014" s="9">
        <v>45714.364725266205</v>
      </c>
      <c r="X4014" t="s">
        <v>94</v>
      </c>
      <c r="Y4014"/>
      <c r="Z4014"/>
      <c r="AA4014" t="s">
        <v>5059</v>
      </c>
      <c r="AB4014" t="s">
        <v>3</v>
      </c>
      <c r="AC4014" t="s">
        <v>24</v>
      </c>
      <c r="AD4014" t="s">
        <v>129</v>
      </c>
      <c r="AE4014" s="97"/>
    </row>
    <row r="4015" spans="1:31" ht="14.4" customHeight="1" x14ac:dyDescent="0.3">
      <c r="A4015" t="s">
        <v>6553</v>
      </c>
      <c r="B4015" t="s">
        <v>1944</v>
      </c>
      <c r="C4015"/>
      <c r="D4015"/>
      <c r="E4015"/>
      <c r="F4015"/>
      <c r="G4015" t="s">
        <v>6534</v>
      </c>
      <c r="H4015" t="s">
        <v>132</v>
      </c>
      <c r="I4015" t="s">
        <v>3</v>
      </c>
      <c r="J4015" t="s">
        <v>133</v>
      </c>
      <c r="K4015" t="s">
        <v>53</v>
      </c>
      <c r="L4015" t="s">
        <v>1935</v>
      </c>
      <c r="M4015" t="s">
        <v>134</v>
      </c>
      <c r="N4015" t="s">
        <v>135</v>
      </c>
      <c r="O4015"/>
      <c r="P4015"/>
      <c r="Q4015" t="s">
        <v>139</v>
      </c>
      <c r="R4015"/>
      <c r="S4015"/>
      <c r="T4015"/>
      <c r="U4015" t="s">
        <v>137</v>
      </c>
      <c r="V4015" t="s">
        <v>664</v>
      </c>
      <c r="W4015" s="9">
        <v>45714.364453784721</v>
      </c>
      <c r="X4015" t="s">
        <v>103</v>
      </c>
      <c r="Y4015"/>
      <c r="Z4015"/>
      <c r="AA4015" t="s">
        <v>5059</v>
      </c>
      <c r="AB4015" t="s">
        <v>3</v>
      </c>
      <c r="AC4015" t="s">
        <v>24</v>
      </c>
      <c r="AD4015" t="s">
        <v>129</v>
      </c>
      <c r="AE4015" s="97"/>
    </row>
    <row r="4016" spans="1:31" ht="14.4" customHeight="1" x14ac:dyDescent="0.3">
      <c r="A4016" t="s">
        <v>6554</v>
      </c>
      <c r="B4016" t="s">
        <v>1946</v>
      </c>
      <c r="C4016"/>
      <c r="D4016"/>
      <c r="E4016"/>
      <c r="F4016"/>
      <c r="G4016" t="s">
        <v>6534</v>
      </c>
      <c r="H4016" t="s">
        <v>132</v>
      </c>
      <c r="I4016" t="s">
        <v>3</v>
      </c>
      <c r="J4016" t="s">
        <v>133</v>
      </c>
      <c r="K4016" t="s">
        <v>53</v>
      </c>
      <c r="L4016" t="s">
        <v>1935</v>
      </c>
      <c r="M4016" t="s">
        <v>134</v>
      </c>
      <c r="N4016" t="s">
        <v>135</v>
      </c>
      <c r="O4016"/>
      <c r="P4016"/>
      <c r="Q4016" t="s">
        <v>139</v>
      </c>
      <c r="R4016"/>
      <c r="S4016"/>
      <c r="T4016"/>
      <c r="U4016" t="s">
        <v>137</v>
      </c>
      <c r="V4016" t="s">
        <v>670</v>
      </c>
      <c r="W4016" s="9">
        <v>45714.364126932873</v>
      </c>
      <c r="X4016" t="s">
        <v>110</v>
      </c>
      <c r="Y4016"/>
      <c r="Z4016"/>
      <c r="AA4016" t="s">
        <v>5059</v>
      </c>
      <c r="AB4016" t="s">
        <v>3</v>
      </c>
      <c r="AC4016" t="s">
        <v>24</v>
      </c>
      <c r="AD4016" t="s">
        <v>129</v>
      </c>
      <c r="AE4016" s="97"/>
    </row>
    <row r="4017" spans="1:31" ht="14.4" customHeight="1" x14ac:dyDescent="0.3">
      <c r="A4017" t="s">
        <v>6555</v>
      </c>
      <c r="B4017" t="s">
        <v>1948</v>
      </c>
      <c r="C4017"/>
      <c r="D4017"/>
      <c r="E4017"/>
      <c r="F4017"/>
      <c r="G4017" t="s">
        <v>6534</v>
      </c>
      <c r="H4017" t="s">
        <v>132</v>
      </c>
      <c r="I4017" t="s">
        <v>3</v>
      </c>
      <c r="J4017" t="s">
        <v>133</v>
      </c>
      <c r="K4017" t="s">
        <v>53</v>
      </c>
      <c r="L4017" t="s">
        <v>1949</v>
      </c>
      <c r="M4017" t="s">
        <v>134</v>
      </c>
      <c r="N4017" t="s">
        <v>135</v>
      </c>
      <c r="O4017"/>
      <c r="P4017"/>
      <c r="Q4017" t="s">
        <v>139</v>
      </c>
      <c r="R4017"/>
      <c r="S4017"/>
      <c r="T4017"/>
      <c r="U4017" t="s">
        <v>137</v>
      </c>
      <c r="V4017" t="s">
        <v>1190</v>
      </c>
      <c r="W4017" s="9">
        <v>45714.363685335651</v>
      </c>
      <c r="X4017" t="s">
        <v>67</v>
      </c>
      <c r="Y4017"/>
      <c r="Z4017"/>
      <c r="AA4017" t="s">
        <v>5059</v>
      </c>
      <c r="AB4017" t="s">
        <v>3</v>
      </c>
      <c r="AC4017" t="s">
        <v>24</v>
      </c>
      <c r="AD4017" t="s">
        <v>128</v>
      </c>
      <c r="AE4017" s="97"/>
    </row>
    <row r="4018" spans="1:31" ht="14.4" customHeight="1" x14ac:dyDescent="0.3">
      <c r="A4018" t="s">
        <v>6556</v>
      </c>
      <c r="B4018" t="s">
        <v>1952</v>
      </c>
      <c r="C4018"/>
      <c r="D4018"/>
      <c r="E4018"/>
      <c r="F4018"/>
      <c r="G4018" t="s">
        <v>6534</v>
      </c>
      <c r="H4018" t="s">
        <v>132</v>
      </c>
      <c r="I4018" t="s">
        <v>3</v>
      </c>
      <c r="J4018" t="s">
        <v>133</v>
      </c>
      <c r="K4018" t="s">
        <v>53</v>
      </c>
      <c r="L4018" t="s">
        <v>1949</v>
      </c>
      <c r="M4018" t="s">
        <v>134</v>
      </c>
      <c r="N4018" t="s">
        <v>135</v>
      </c>
      <c r="O4018"/>
      <c r="P4018"/>
      <c r="Q4018" t="s">
        <v>139</v>
      </c>
      <c r="R4018"/>
      <c r="S4018"/>
      <c r="T4018"/>
      <c r="U4018" t="s">
        <v>137</v>
      </c>
      <c r="V4018" t="s">
        <v>1194</v>
      </c>
      <c r="W4018" s="9">
        <v>45714.363370023151</v>
      </c>
      <c r="X4018" t="s">
        <v>75</v>
      </c>
      <c r="Y4018"/>
      <c r="Z4018"/>
      <c r="AA4018" t="s">
        <v>5059</v>
      </c>
      <c r="AB4018" t="s">
        <v>3</v>
      </c>
      <c r="AC4018" t="s">
        <v>24</v>
      </c>
      <c r="AD4018" t="s">
        <v>128</v>
      </c>
      <c r="AE4018" s="97"/>
    </row>
    <row r="4019" spans="1:31" ht="14.4" customHeight="1" x14ac:dyDescent="0.3">
      <c r="A4019" t="s">
        <v>6557</v>
      </c>
      <c r="B4019" t="s">
        <v>1954</v>
      </c>
      <c r="C4019"/>
      <c r="D4019"/>
      <c r="E4019"/>
      <c r="F4019"/>
      <c r="G4019" t="s">
        <v>6534</v>
      </c>
      <c r="H4019" t="s">
        <v>132</v>
      </c>
      <c r="I4019" t="s">
        <v>3</v>
      </c>
      <c r="J4019" t="s">
        <v>133</v>
      </c>
      <c r="K4019" t="s">
        <v>53</v>
      </c>
      <c r="L4019" t="s">
        <v>1949</v>
      </c>
      <c r="M4019" t="s">
        <v>134</v>
      </c>
      <c r="N4019" t="s">
        <v>135</v>
      </c>
      <c r="O4019"/>
      <c r="P4019"/>
      <c r="Q4019" t="s">
        <v>139</v>
      </c>
      <c r="R4019"/>
      <c r="S4019"/>
      <c r="T4019"/>
      <c r="U4019" t="s">
        <v>137</v>
      </c>
      <c r="V4019" t="s">
        <v>1198</v>
      </c>
      <c r="W4019" s="9">
        <v>45714.362981446757</v>
      </c>
      <c r="X4019" t="s">
        <v>86</v>
      </c>
      <c r="Y4019"/>
      <c r="Z4019"/>
      <c r="AA4019" t="s">
        <v>5059</v>
      </c>
      <c r="AB4019" t="s">
        <v>3</v>
      </c>
      <c r="AC4019" t="s">
        <v>24</v>
      </c>
      <c r="AD4019" t="s">
        <v>129</v>
      </c>
      <c r="AE4019" s="97"/>
    </row>
    <row r="4020" spans="1:31" ht="14.4" customHeight="1" x14ac:dyDescent="0.3">
      <c r="A4020" t="s">
        <v>6558</v>
      </c>
      <c r="B4020" t="s">
        <v>1956</v>
      </c>
      <c r="C4020"/>
      <c r="D4020"/>
      <c r="E4020"/>
      <c r="F4020"/>
      <c r="G4020" t="s">
        <v>6534</v>
      </c>
      <c r="H4020" t="s">
        <v>132</v>
      </c>
      <c r="I4020" t="s">
        <v>3</v>
      </c>
      <c r="J4020" t="s">
        <v>133</v>
      </c>
      <c r="K4020" t="s">
        <v>53</v>
      </c>
      <c r="L4020" t="s">
        <v>1949</v>
      </c>
      <c r="M4020" t="s">
        <v>134</v>
      </c>
      <c r="N4020" t="s">
        <v>135</v>
      </c>
      <c r="O4020"/>
      <c r="P4020"/>
      <c r="Q4020" t="s">
        <v>139</v>
      </c>
      <c r="R4020"/>
      <c r="S4020"/>
      <c r="T4020"/>
      <c r="U4020" t="s">
        <v>137</v>
      </c>
      <c r="V4020" t="s">
        <v>1202</v>
      </c>
      <c r="W4020" s="9">
        <v>45714.362598726853</v>
      </c>
      <c r="X4020" t="s">
        <v>95</v>
      </c>
      <c r="Y4020"/>
      <c r="Z4020"/>
      <c r="AA4020" t="s">
        <v>5059</v>
      </c>
      <c r="AB4020" t="s">
        <v>3</v>
      </c>
      <c r="AC4020" t="s">
        <v>24</v>
      </c>
      <c r="AD4020" t="s">
        <v>129</v>
      </c>
      <c r="AE4020" s="97"/>
    </row>
    <row r="4021" spans="1:31" ht="14.4" customHeight="1" x14ac:dyDescent="0.3">
      <c r="A4021" t="s">
        <v>6559</v>
      </c>
      <c r="B4021" t="s">
        <v>1958</v>
      </c>
      <c r="C4021"/>
      <c r="D4021"/>
      <c r="E4021"/>
      <c r="F4021"/>
      <c r="G4021" t="s">
        <v>6534</v>
      </c>
      <c r="H4021" t="s">
        <v>132</v>
      </c>
      <c r="I4021" t="s">
        <v>3</v>
      </c>
      <c r="J4021" t="s">
        <v>133</v>
      </c>
      <c r="K4021" t="s">
        <v>53</v>
      </c>
      <c r="L4021" t="s">
        <v>1949</v>
      </c>
      <c r="M4021" t="s">
        <v>134</v>
      </c>
      <c r="N4021" t="s">
        <v>135</v>
      </c>
      <c r="O4021"/>
      <c r="P4021"/>
      <c r="Q4021" t="s">
        <v>139</v>
      </c>
      <c r="R4021"/>
      <c r="S4021"/>
      <c r="T4021"/>
      <c r="U4021" t="s">
        <v>137</v>
      </c>
      <c r="V4021" t="s">
        <v>1206</v>
      </c>
      <c r="W4021" s="9">
        <v>45714.362146145832</v>
      </c>
      <c r="X4021" t="s">
        <v>104</v>
      </c>
      <c r="Y4021"/>
      <c r="Z4021"/>
      <c r="AA4021" t="s">
        <v>5059</v>
      </c>
      <c r="AB4021" t="s">
        <v>3</v>
      </c>
      <c r="AC4021" t="s">
        <v>24</v>
      </c>
      <c r="AD4021" t="s">
        <v>129</v>
      </c>
      <c r="AE4021" s="97"/>
    </row>
    <row r="4022" spans="1:31" ht="14.4" customHeight="1" x14ac:dyDescent="0.3">
      <c r="A4022" t="s">
        <v>6560</v>
      </c>
      <c r="B4022" t="s">
        <v>1960</v>
      </c>
      <c r="C4022"/>
      <c r="D4022"/>
      <c r="E4022"/>
      <c r="F4022"/>
      <c r="G4022" t="s">
        <v>6534</v>
      </c>
      <c r="H4022" t="s">
        <v>132</v>
      </c>
      <c r="I4022" t="s">
        <v>3</v>
      </c>
      <c r="J4022" t="s">
        <v>133</v>
      </c>
      <c r="K4022" t="s">
        <v>53</v>
      </c>
      <c r="L4022" t="s">
        <v>1949</v>
      </c>
      <c r="M4022" t="s">
        <v>134</v>
      </c>
      <c r="N4022" t="s">
        <v>135</v>
      </c>
      <c r="O4022"/>
      <c r="P4022"/>
      <c r="Q4022" t="s">
        <v>139</v>
      </c>
      <c r="R4022"/>
      <c r="S4022"/>
      <c r="T4022"/>
      <c r="U4022" t="s">
        <v>137</v>
      </c>
      <c r="V4022" t="s">
        <v>1210</v>
      </c>
      <c r="W4022" s="9">
        <v>45714.361805706016</v>
      </c>
      <c r="X4022" t="s">
        <v>111</v>
      </c>
      <c r="Y4022"/>
      <c r="Z4022"/>
      <c r="AA4022" t="s">
        <v>5059</v>
      </c>
      <c r="AB4022" t="s">
        <v>3</v>
      </c>
      <c r="AC4022" t="s">
        <v>24</v>
      </c>
      <c r="AD4022" t="s">
        <v>129</v>
      </c>
      <c r="AE4022" s="97"/>
    </row>
    <row r="4023" spans="1:31" ht="14.4" customHeight="1" x14ac:dyDescent="0.3">
      <c r="A4023" t="s">
        <v>6561</v>
      </c>
      <c r="B4023" t="s">
        <v>1962</v>
      </c>
      <c r="C4023"/>
      <c r="D4023"/>
      <c r="E4023"/>
      <c r="F4023"/>
      <c r="G4023" t="s">
        <v>6534</v>
      </c>
      <c r="H4023" t="s">
        <v>132</v>
      </c>
      <c r="I4023" t="s">
        <v>3</v>
      </c>
      <c r="J4023" t="s">
        <v>133</v>
      </c>
      <c r="K4023" t="s">
        <v>53</v>
      </c>
      <c r="L4023" t="s">
        <v>1949</v>
      </c>
      <c r="M4023" t="s">
        <v>134</v>
      </c>
      <c r="N4023" t="s">
        <v>135</v>
      </c>
      <c r="O4023"/>
      <c r="P4023"/>
      <c r="Q4023" t="s">
        <v>139</v>
      </c>
      <c r="R4023"/>
      <c r="S4023"/>
      <c r="T4023"/>
      <c r="U4023" t="s">
        <v>137</v>
      </c>
      <c r="V4023" t="s">
        <v>1214</v>
      </c>
      <c r="W4023" s="9">
        <v>45714.361479247687</v>
      </c>
      <c r="X4023" t="s">
        <v>120</v>
      </c>
      <c r="Y4023"/>
      <c r="Z4023"/>
      <c r="AA4023" t="s">
        <v>5059</v>
      </c>
      <c r="AB4023" t="s">
        <v>3</v>
      </c>
      <c r="AC4023" t="s">
        <v>24</v>
      </c>
      <c r="AD4023" t="s">
        <v>130</v>
      </c>
      <c r="AE4023" s="97"/>
    </row>
    <row r="4024" spans="1:31" ht="14.4" customHeight="1" x14ac:dyDescent="0.3">
      <c r="A4024" t="s">
        <v>6562</v>
      </c>
      <c r="B4024" t="s">
        <v>1964</v>
      </c>
      <c r="C4024"/>
      <c r="D4024"/>
      <c r="E4024"/>
      <c r="F4024"/>
      <c r="G4024" t="s">
        <v>6534</v>
      </c>
      <c r="H4024" t="s">
        <v>132</v>
      </c>
      <c r="I4024" t="s">
        <v>3</v>
      </c>
      <c r="J4024" t="s">
        <v>133</v>
      </c>
      <c r="K4024" t="s">
        <v>53</v>
      </c>
      <c r="L4024" t="s">
        <v>1965</v>
      </c>
      <c r="M4024" t="s">
        <v>134</v>
      </c>
      <c r="N4024" t="s">
        <v>135</v>
      </c>
      <c r="O4024"/>
      <c r="P4024"/>
      <c r="Q4024" t="s">
        <v>139</v>
      </c>
      <c r="R4024"/>
      <c r="S4024"/>
      <c r="T4024"/>
      <c r="U4024" t="s">
        <v>137</v>
      </c>
      <c r="V4024" t="s">
        <v>1967</v>
      </c>
      <c r="W4024" s="9">
        <v>45714.355567824074</v>
      </c>
      <c r="X4024" t="s">
        <v>125</v>
      </c>
      <c r="Y4024"/>
      <c r="Z4024"/>
      <c r="AA4024" t="s">
        <v>5059</v>
      </c>
      <c r="AB4024" t="s">
        <v>3</v>
      </c>
      <c r="AC4024" t="s">
        <v>24</v>
      </c>
      <c r="AD4024" t="s">
        <v>131</v>
      </c>
      <c r="AE4024" s="97"/>
    </row>
    <row r="4025" spans="1:31" ht="14.4" customHeight="1" x14ac:dyDescent="0.3">
      <c r="A4025" t="s">
        <v>6563</v>
      </c>
      <c r="B4025" t="s">
        <v>1969</v>
      </c>
      <c r="C4025"/>
      <c r="D4025"/>
      <c r="E4025"/>
      <c r="F4025"/>
      <c r="G4025" t="s">
        <v>6534</v>
      </c>
      <c r="H4025" t="s">
        <v>132</v>
      </c>
      <c r="I4025" t="s">
        <v>3</v>
      </c>
      <c r="J4025" t="s">
        <v>133</v>
      </c>
      <c r="K4025" t="s">
        <v>53</v>
      </c>
      <c r="L4025" t="s">
        <v>1970</v>
      </c>
      <c r="M4025" t="s">
        <v>134</v>
      </c>
      <c r="N4025" t="s">
        <v>135</v>
      </c>
      <c r="O4025"/>
      <c r="P4025"/>
      <c r="Q4025" t="s">
        <v>139</v>
      </c>
      <c r="R4025"/>
      <c r="S4025"/>
      <c r="T4025"/>
      <c r="U4025" t="s">
        <v>137</v>
      </c>
      <c r="V4025" t="s">
        <v>1967</v>
      </c>
      <c r="W4025" s="9">
        <v>45714.355005324076</v>
      </c>
      <c r="X4025" t="s">
        <v>125</v>
      </c>
      <c r="Y4025"/>
      <c r="Z4025"/>
      <c r="AA4025" t="s">
        <v>5059</v>
      </c>
      <c r="AB4025" t="s">
        <v>3</v>
      </c>
      <c r="AC4025" t="s">
        <v>24</v>
      </c>
      <c r="AD4025" t="s">
        <v>131</v>
      </c>
      <c r="AE4025" s="97"/>
    </row>
    <row r="4026" spans="1:31" ht="14.4" customHeight="1" x14ac:dyDescent="0.3">
      <c r="A4026" t="s">
        <v>6564</v>
      </c>
      <c r="B4026" t="s">
        <v>2112</v>
      </c>
      <c r="C4026"/>
      <c r="D4026"/>
      <c r="E4026"/>
      <c r="F4026"/>
      <c r="G4026" t="s">
        <v>6534</v>
      </c>
      <c r="H4026" t="s">
        <v>132</v>
      </c>
      <c r="I4026" t="s">
        <v>3</v>
      </c>
      <c r="J4026" t="s">
        <v>133</v>
      </c>
      <c r="K4026" t="s">
        <v>53</v>
      </c>
      <c r="L4026" t="s">
        <v>1935</v>
      </c>
      <c r="M4026" t="s">
        <v>134</v>
      </c>
      <c r="N4026" t="s">
        <v>135</v>
      </c>
      <c r="O4026"/>
      <c r="P4026"/>
      <c r="Q4026" t="s">
        <v>139</v>
      </c>
      <c r="R4026"/>
      <c r="S4026"/>
      <c r="T4026" t="s">
        <v>1936</v>
      </c>
      <c r="U4026" t="s">
        <v>137</v>
      </c>
      <c r="V4026" t="s">
        <v>676</v>
      </c>
      <c r="W4026" s="9">
        <v>45714.354401192133</v>
      </c>
      <c r="X4026" t="s">
        <v>119</v>
      </c>
      <c r="Y4026"/>
      <c r="Z4026"/>
      <c r="AA4026" t="s">
        <v>5059</v>
      </c>
      <c r="AB4026" t="s">
        <v>3</v>
      </c>
      <c r="AC4026" t="s">
        <v>24</v>
      </c>
      <c r="AD4026" t="s">
        <v>130</v>
      </c>
      <c r="AE4026" s="97"/>
    </row>
    <row r="4027" spans="1:31" ht="14.4" customHeight="1" x14ac:dyDescent="0.3">
      <c r="A4027" t="s">
        <v>6565</v>
      </c>
      <c r="B4027" t="s">
        <v>1886</v>
      </c>
      <c r="C4027"/>
      <c r="D4027"/>
      <c r="E4027"/>
      <c r="F4027"/>
      <c r="G4027" t="s">
        <v>6534</v>
      </c>
      <c r="H4027" t="s">
        <v>132</v>
      </c>
      <c r="I4027" t="s">
        <v>3</v>
      </c>
      <c r="J4027" t="s">
        <v>133</v>
      </c>
      <c r="K4027" t="s">
        <v>53</v>
      </c>
      <c r="L4027" t="s">
        <v>1887</v>
      </c>
      <c r="M4027" t="s">
        <v>134</v>
      </c>
      <c r="N4027" t="s">
        <v>135</v>
      </c>
      <c r="O4027"/>
      <c r="P4027"/>
      <c r="Q4027" t="s">
        <v>139</v>
      </c>
      <c r="R4027"/>
      <c r="S4027"/>
      <c r="T4027" t="s">
        <v>1888</v>
      </c>
      <c r="U4027" t="s">
        <v>137</v>
      </c>
      <c r="V4027" t="s">
        <v>147</v>
      </c>
      <c r="W4027" s="9">
        <v>45714.352953506947</v>
      </c>
      <c r="X4027" t="s">
        <v>70</v>
      </c>
      <c r="Y4027"/>
      <c r="Z4027"/>
      <c r="AA4027" t="s">
        <v>5059</v>
      </c>
      <c r="AB4027" t="s">
        <v>3</v>
      </c>
      <c r="AC4027" t="s">
        <v>24</v>
      </c>
      <c r="AD4027" t="s">
        <v>128</v>
      </c>
      <c r="AE4027" s="97"/>
    </row>
    <row r="4028" spans="1:31" ht="14.4" customHeight="1" x14ac:dyDescent="0.3">
      <c r="A4028" t="s">
        <v>6566</v>
      </c>
      <c r="B4028" t="s">
        <v>1890</v>
      </c>
      <c r="C4028"/>
      <c r="D4028"/>
      <c r="E4028"/>
      <c r="F4028"/>
      <c r="G4028" t="s">
        <v>6534</v>
      </c>
      <c r="H4028" t="s">
        <v>132</v>
      </c>
      <c r="I4028" t="s">
        <v>3</v>
      </c>
      <c r="J4028" t="s">
        <v>133</v>
      </c>
      <c r="K4028" t="s">
        <v>53</v>
      </c>
      <c r="L4028" t="s">
        <v>1891</v>
      </c>
      <c r="M4028" t="s">
        <v>134</v>
      </c>
      <c r="N4028" t="s">
        <v>135</v>
      </c>
      <c r="O4028"/>
      <c r="P4028"/>
      <c r="Q4028" t="s">
        <v>139</v>
      </c>
      <c r="R4028"/>
      <c r="S4028"/>
      <c r="T4028" t="s">
        <v>1892</v>
      </c>
      <c r="U4028" t="s">
        <v>137</v>
      </c>
      <c r="V4028" t="s">
        <v>150</v>
      </c>
      <c r="W4028" s="9">
        <v>45714.339656678239</v>
      </c>
      <c r="X4028" t="s">
        <v>76</v>
      </c>
      <c r="Y4028"/>
      <c r="Z4028"/>
      <c r="AA4028" t="s">
        <v>5059</v>
      </c>
      <c r="AB4028" t="s">
        <v>3</v>
      </c>
      <c r="AC4028" t="s">
        <v>24</v>
      </c>
      <c r="AD4028" t="s">
        <v>128</v>
      </c>
      <c r="AE4028" s="97"/>
    </row>
    <row r="4029" spans="1:31" ht="14.4" customHeight="1" x14ac:dyDescent="0.3">
      <c r="A4029" t="s">
        <v>6567</v>
      </c>
      <c r="B4029" t="s">
        <v>1894</v>
      </c>
      <c r="C4029"/>
      <c r="D4029"/>
      <c r="E4029"/>
      <c r="F4029"/>
      <c r="G4029" t="s">
        <v>6534</v>
      </c>
      <c r="H4029" t="s">
        <v>132</v>
      </c>
      <c r="I4029" t="s">
        <v>3</v>
      </c>
      <c r="J4029" t="s">
        <v>133</v>
      </c>
      <c r="K4029" t="s">
        <v>53</v>
      </c>
      <c r="L4029" t="s">
        <v>1895</v>
      </c>
      <c r="M4029" t="s">
        <v>134</v>
      </c>
      <c r="N4029" t="s">
        <v>135</v>
      </c>
      <c r="O4029"/>
      <c r="P4029"/>
      <c r="Q4029" t="s">
        <v>139</v>
      </c>
      <c r="R4029"/>
      <c r="S4029"/>
      <c r="T4029" t="s">
        <v>1896</v>
      </c>
      <c r="U4029" t="s">
        <v>137</v>
      </c>
      <c r="V4029" t="s">
        <v>153</v>
      </c>
      <c r="W4029" s="9">
        <v>45714.350776817133</v>
      </c>
      <c r="X4029" t="s">
        <v>88</v>
      </c>
      <c r="Y4029"/>
      <c r="Z4029"/>
      <c r="AA4029" t="s">
        <v>5059</v>
      </c>
      <c r="AB4029" t="s">
        <v>3</v>
      </c>
      <c r="AC4029" t="s">
        <v>24</v>
      </c>
      <c r="AD4029" t="s">
        <v>129</v>
      </c>
      <c r="AE4029" s="97"/>
    </row>
    <row r="4030" spans="1:31" ht="14.4" customHeight="1" x14ac:dyDescent="0.3">
      <c r="A4030" t="s">
        <v>6568</v>
      </c>
      <c r="B4030" t="s">
        <v>1898</v>
      </c>
      <c r="C4030"/>
      <c r="D4030"/>
      <c r="E4030"/>
      <c r="F4030"/>
      <c r="G4030" t="s">
        <v>6534</v>
      </c>
      <c r="H4030" t="s">
        <v>132</v>
      </c>
      <c r="I4030" t="s">
        <v>3</v>
      </c>
      <c r="J4030" t="s">
        <v>133</v>
      </c>
      <c r="K4030" t="s">
        <v>53</v>
      </c>
      <c r="L4030" t="s">
        <v>1899</v>
      </c>
      <c r="M4030" t="s">
        <v>134</v>
      </c>
      <c r="N4030" t="s">
        <v>135</v>
      </c>
      <c r="O4030"/>
      <c r="P4030"/>
      <c r="Q4030" t="s">
        <v>139</v>
      </c>
      <c r="R4030"/>
      <c r="S4030"/>
      <c r="T4030" t="s">
        <v>1900</v>
      </c>
      <c r="U4030" t="s">
        <v>137</v>
      </c>
      <c r="V4030" t="s">
        <v>156</v>
      </c>
      <c r="W4030" s="9">
        <v>45714.350016898148</v>
      </c>
      <c r="X4030" t="s">
        <v>97</v>
      </c>
      <c r="Y4030"/>
      <c r="Z4030"/>
      <c r="AA4030" t="s">
        <v>5059</v>
      </c>
      <c r="AB4030" t="s">
        <v>3</v>
      </c>
      <c r="AC4030" t="s">
        <v>24</v>
      </c>
      <c r="AD4030" t="s">
        <v>129</v>
      </c>
      <c r="AE4030" s="97"/>
    </row>
    <row r="4031" spans="1:31" ht="14.4" customHeight="1" x14ac:dyDescent="0.3">
      <c r="A4031" t="s">
        <v>6569</v>
      </c>
      <c r="B4031" t="s">
        <v>1902</v>
      </c>
      <c r="C4031"/>
      <c r="D4031"/>
      <c r="E4031"/>
      <c r="F4031"/>
      <c r="G4031" t="s">
        <v>6534</v>
      </c>
      <c r="H4031" t="s">
        <v>132</v>
      </c>
      <c r="I4031" t="s">
        <v>3</v>
      </c>
      <c r="J4031" t="s">
        <v>133</v>
      </c>
      <c r="K4031" t="s">
        <v>53</v>
      </c>
      <c r="L4031" t="s">
        <v>1903</v>
      </c>
      <c r="M4031" t="s">
        <v>134</v>
      </c>
      <c r="N4031" t="s">
        <v>135</v>
      </c>
      <c r="O4031"/>
      <c r="P4031"/>
      <c r="Q4031" t="s">
        <v>139</v>
      </c>
      <c r="R4031"/>
      <c r="S4031"/>
      <c r="T4031" t="s">
        <v>1904</v>
      </c>
      <c r="U4031" t="s">
        <v>137</v>
      </c>
      <c r="V4031" t="s">
        <v>159</v>
      </c>
      <c r="W4031" s="9">
        <v>45714.349189618057</v>
      </c>
      <c r="X4031" t="s">
        <v>106</v>
      </c>
      <c r="Y4031"/>
      <c r="Z4031"/>
      <c r="AA4031" t="s">
        <v>5059</v>
      </c>
      <c r="AB4031" t="s">
        <v>3</v>
      </c>
      <c r="AC4031" t="s">
        <v>24</v>
      </c>
      <c r="AD4031" t="s">
        <v>129</v>
      </c>
      <c r="AE4031" s="97"/>
    </row>
    <row r="4032" spans="1:31" ht="14.4" customHeight="1" x14ac:dyDescent="0.3">
      <c r="A4032" t="s">
        <v>6570</v>
      </c>
      <c r="B4032" t="s">
        <v>1910</v>
      </c>
      <c r="C4032"/>
      <c r="D4032"/>
      <c r="E4032"/>
      <c r="F4032"/>
      <c r="G4032" t="s">
        <v>6534</v>
      </c>
      <c r="H4032" t="s">
        <v>132</v>
      </c>
      <c r="I4032" t="s">
        <v>3</v>
      </c>
      <c r="J4032" t="s">
        <v>133</v>
      </c>
      <c r="K4032" t="s">
        <v>53</v>
      </c>
      <c r="L4032" t="s">
        <v>1911</v>
      </c>
      <c r="M4032" t="s">
        <v>134</v>
      </c>
      <c r="N4032" t="s">
        <v>135</v>
      </c>
      <c r="O4032"/>
      <c r="P4032"/>
      <c r="Q4032" t="s">
        <v>139</v>
      </c>
      <c r="R4032"/>
      <c r="S4032"/>
      <c r="T4032" t="s">
        <v>1912</v>
      </c>
      <c r="U4032" t="s">
        <v>137</v>
      </c>
      <c r="V4032" t="s">
        <v>165</v>
      </c>
      <c r="W4032" s="9">
        <v>45714.348655821763</v>
      </c>
      <c r="X4032" t="s">
        <v>122</v>
      </c>
      <c r="Y4032"/>
      <c r="Z4032"/>
      <c r="AA4032" t="s">
        <v>5059</v>
      </c>
      <c r="AB4032" t="s">
        <v>3</v>
      </c>
      <c r="AC4032" t="s">
        <v>24</v>
      </c>
      <c r="AD4032" t="s">
        <v>130</v>
      </c>
      <c r="AE4032" s="97"/>
    </row>
    <row r="4033" spans="1:31" ht="14.4" customHeight="1" x14ac:dyDescent="0.3">
      <c r="A4033" t="s">
        <v>6571</v>
      </c>
      <c r="B4033" t="s">
        <v>1906</v>
      </c>
      <c r="C4033"/>
      <c r="D4033"/>
      <c r="E4033"/>
      <c r="F4033"/>
      <c r="G4033" t="s">
        <v>6534</v>
      </c>
      <c r="H4033" t="s">
        <v>132</v>
      </c>
      <c r="I4033" t="s">
        <v>3</v>
      </c>
      <c r="J4033" t="s">
        <v>133</v>
      </c>
      <c r="K4033" t="s">
        <v>53</v>
      </c>
      <c r="L4033" t="s">
        <v>1907</v>
      </c>
      <c r="M4033" t="s">
        <v>134</v>
      </c>
      <c r="N4033" t="s">
        <v>135</v>
      </c>
      <c r="O4033"/>
      <c r="P4033"/>
      <c r="Q4033" t="s">
        <v>139</v>
      </c>
      <c r="R4033"/>
      <c r="S4033"/>
      <c r="T4033" t="s">
        <v>1908</v>
      </c>
      <c r="U4033" t="s">
        <v>137</v>
      </c>
      <c r="V4033" t="s">
        <v>162</v>
      </c>
      <c r="W4033" s="9">
        <v>45714.348107905091</v>
      </c>
      <c r="X4033" t="s">
        <v>113</v>
      </c>
      <c r="Y4033"/>
      <c r="Z4033"/>
      <c r="AA4033" t="s">
        <v>5059</v>
      </c>
      <c r="AB4033" t="s">
        <v>3</v>
      </c>
      <c r="AC4033" t="s">
        <v>24</v>
      </c>
      <c r="AD4033" t="s">
        <v>129</v>
      </c>
      <c r="AE4033" s="97"/>
    </row>
    <row r="4034" spans="1:31" ht="14.4" customHeight="1" x14ac:dyDescent="0.3">
      <c r="A4034" t="s">
        <v>6572</v>
      </c>
      <c r="B4034" t="s">
        <v>2019</v>
      </c>
      <c r="C4034"/>
      <c r="D4034"/>
      <c r="E4034"/>
      <c r="F4034"/>
      <c r="G4034" t="s">
        <v>6534</v>
      </c>
      <c r="H4034" t="s">
        <v>132</v>
      </c>
      <c r="I4034" t="s">
        <v>3</v>
      </c>
      <c r="J4034" t="s">
        <v>133</v>
      </c>
      <c r="K4034" t="s">
        <v>53</v>
      </c>
      <c r="L4034" t="s">
        <v>1973</v>
      </c>
      <c r="M4034" t="s">
        <v>134</v>
      </c>
      <c r="N4034" t="s">
        <v>135</v>
      </c>
      <c r="O4034"/>
      <c r="P4034"/>
      <c r="Q4034" t="s">
        <v>139</v>
      </c>
      <c r="R4034"/>
      <c r="S4034"/>
      <c r="T4034"/>
      <c r="U4034" t="s">
        <v>137</v>
      </c>
      <c r="V4034" t="s">
        <v>727</v>
      </c>
      <c r="W4034" s="9">
        <v>45835.581798576386</v>
      </c>
      <c r="X4034" t="s">
        <v>100</v>
      </c>
      <c r="Y4034"/>
      <c r="Z4034"/>
      <c r="AA4034" t="s">
        <v>5059</v>
      </c>
      <c r="AB4034" t="s">
        <v>3</v>
      </c>
      <c r="AC4034" t="s">
        <v>24</v>
      </c>
      <c r="AD4034" t="s">
        <v>129</v>
      </c>
      <c r="AE4034" s="97"/>
    </row>
    <row r="4035" spans="1:31" ht="14.4" customHeight="1" x14ac:dyDescent="0.3">
      <c r="A4035" t="s">
        <v>6573</v>
      </c>
      <c r="B4035" t="s">
        <v>2021</v>
      </c>
      <c r="C4035"/>
      <c r="D4035"/>
      <c r="E4035"/>
      <c r="F4035"/>
      <c r="G4035" t="s">
        <v>6534</v>
      </c>
      <c r="H4035" t="s">
        <v>132</v>
      </c>
      <c r="I4035" t="s">
        <v>3</v>
      </c>
      <c r="J4035" t="s">
        <v>133</v>
      </c>
      <c r="K4035" t="s">
        <v>53</v>
      </c>
      <c r="L4035" t="s">
        <v>1973</v>
      </c>
      <c r="M4035" t="s">
        <v>134</v>
      </c>
      <c r="N4035" t="s">
        <v>135</v>
      </c>
      <c r="O4035"/>
      <c r="P4035"/>
      <c r="Q4035" t="s">
        <v>139</v>
      </c>
      <c r="R4035"/>
      <c r="S4035"/>
      <c r="T4035"/>
      <c r="U4035" t="s">
        <v>137</v>
      </c>
      <c r="V4035" t="s">
        <v>727</v>
      </c>
      <c r="W4035" s="9">
        <v>45835.582600613423</v>
      </c>
      <c r="X4035" t="s">
        <v>100</v>
      </c>
      <c r="Y4035"/>
      <c r="Z4035"/>
      <c r="AA4035" t="s">
        <v>5059</v>
      </c>
      <c r="AB4035" t="s">
        <v>3</v>
      </c>
      <c r="AC4035" t="s">
        <v>24</v>
      </c>
      <c r="AD4035" t="s">
        <v>129</v>
      </c>
      <c r="AE4035" s="97"/>
    </row>
    <row r="4036" spans="1:31" ht="14.4" customHeight="1" x14ac:dyDescent="0.3">
      <c r="A4036" t="s">
        <v>6574</v>
      </c>
      <c r="B4036" t="s">
        <v>2023</v>
      </c>
      <c r="C4036"/>
      <c r="D4036"/>
      <c r="E4036"/>
      <c r="F4036"/>
      <c r="G4036" t="s">
        <v>6534</v>
      </c>
      <c r="H4036" t="s">
        <v>132</v>
      </c>
      <c r="I4036" t="s">
        <v>3</v>
      </c>
      <c r="J4036" t="s">
        <v>133</v>
      </c>
      <c r="K4036" t="s">
        <v>53</v>
      </c>
      <c r="L4036" t="s">
        <v>1973</v>
      </c>
      <c r="M4036" t="s">
        <v>134</v>
      </c>
      <c r="N4036" t="s">
        <v>135</v>
      </c>
      <c r="O4036"/>
      <c r="P4036"/>
      <c r="Q4036" t="s">
        <v>139</v>
      </c>
      <c r="R4036"/>
      <c r="S4036"/>
      <c r="T4036"/>
      <c r="U4036" t="s">
        <v>137</v>
      </c>
      <c r="V4036" t="s">
        <v>733</v>
      </c>
      <c r="W4036" s="9">
        <v>45835.583541782406</v>
      </c>
      <c r="X4036" t="s">
        <v>109</v>
      </c>
      <c r="Y4036"/>
      <c r="Z4036"/>
      <c r="AA4036" t="s">
        <v>5059</v>
      </c>
      <c r="AB4036" t="s">
        <v>3</v>
      </c>
      <c r="AC4036" t="s">
        <v>24</v>
      </c>
      <c r="AD4036" t="s">
        <v>129</v>
      </c>
      <c r="AE4036" s="97"/>
    </row>
    <row r="4037" spans="1:31" ht="14.4" customHeight="1" x14ac:dyDescent="0.3">
      <c r="A4037" t="s">
        <v>6575</v>
      </c>
      <c r="B4037" t="s">
        <v>2025</v>
      </c>
      <c r="C4037"/>
      <c r="D4037"/>
      <c r="E4037"/>
      <c r="F4037"/>
      <c r="G4037" t="s">
        <v>6534</v>
      </c>
      <c r="H4037" t="s">
        <v>132</v>
      </c>
      <c r="I4037" t="s">
        <v>3</v>
      </c>
      <c r="J4037" t="s">
        <v>133</v>
      </c>
      <c r="K4037" t="s">
        <v>53</v>
      </c>
      <c r="L4037" t="s">
        <v>1973</v>
      </c>
      <c r="M4037" t="s">
        <v>134</v>
      </c>
      <c r="N4037" t="s">
        <v>135</v>
      </c>
      <c r="O4037"/>
      <c r="P4037"/>
      <c r="Q4037" t="s">
        <v>139</v>
      </c>
      <c r="R4037"/>
      <c r="S4037"/>
      <c r="T4037"/>
      <c r="U4037" t="s">
        <v>137</v>
      </c>
      <c r="V4037" t="s">
        <v>733</v>
      </c>
      <c r="W4037" s="9">
        <v>45853.44709652778</v>
      </c>
      <c r="X4037" t="s">
        <v>109</v>
      </c>
      <c r="Y4037"/>
      <c r="Z4037"/>
      <c r="AA4037" t="s">
        <v>5059</v>
      </c>
      <c r="AB4037" t="s">
        <v>3</v>
      </c>
      <c r="AC4037" t="s">
        <v>24</v>
      </c>
      <c r="AD4037" t="s">
        <v>129</v>
      </c>
      <c r="AE4037" s="97"/>
    </row>
    <row r="4038" spans="1:31" ht="14.4" customHeight="1" x14ac:dyDescent="0.3">
      <c r="A4038" t="s">
        <v>6576</v>
      </c>
      <c r="B4038" t="s">
        <v>2027</v>
      </c>
      <c r="C4038"/>
      <c r="D4038"/>
      <c r="E4038"/>
      <c r="F4038"/>
      <c r="G4038" t="s">
        <v>6534</v>
      </c>
      <c r="H4038" t="s">
        <v>132</v>
      </c>
      <c r="I4038" t="s">
        <v>3</v>
      </c>
      <c r="J4038" t="s">
        <v>133</v>
      </c>
      <c r="K4038" t="s">
        <v>53</v>
      </c>
      <c r="L4038" t="s">
        <v>1973</v>
      </c>
      <c r="M4038" t="s">
        <v>134</v>
      </c>
      <c r="N4038" t="s">
        <v>135</v>
      </c>
      <c r="O4038"/>
      <c r="P4038"/>
      <c r="Q4038" t="s">
        <v>139</v>
      </c>
      <c r="R4038"/>
      <c r="S4038"/>
      <c r="T4038"/>
      <c r="U4038" t="s">
        <v>137</v>
      </c>
      <c r="V4038" t="s">
        <v>739</v>
      </c>
      <c r="W4038" s="9">
        <v>45835.584029548612</v>
      </c>
      <c r="X4038" t="s">
        <v>118</v>
      </c>
      <c r="Y4038"/>
      <c r="Z4038"/>
      <c r="AA4038" t="s">
        <v>5059</v>
      </c>
      <c r="AB4038" t="s">
        <v>3</v>
      </c>
      <c r="AC4038" t="s">
        <v>24</v>
      </c>
      <c r="AD4038" t="s">
        <v>130</v>
      </c>
      <c r="AE4038" s="97"/>
    </row>
    <row r="4039" spans="1:31" ht="14.4" customHeight="1" x14ac:dyDescent="0.3">
      <c r="A4039" t="s">
        <v>6577</v>
      </c>
      <c r="B4039" t="s">
        <v>2029</v>
      </c>
      <c r="C4039"/>
      <c r="D4039"/>
      <c r="E4039"/>
      <c r="F4039"/>
      <c r="G4039" t="s">
        <v>6534</v>
      </c>
      <c r="H4039" t="s">
        <v>132</v>
      </c>
      <c r="I4039" t="s">
        <v>3</v>
      </c>
      <c r="J4039" t="s">
        <v>133</v>
      </c>
      <c r="K4039" t="s">
        <v>53</v>
      </c>
      <c r="L4039" t="s">
        <v>1973</v>
      </c>
      <c r="M4039" t="s">
        <v>134</v>
      </c>
      <c r="N4039" t="s">
        <v>135</v>
      </c>
      <c r="O4039"/>
      <c r="P4039"/>
      <c r="Q4039" t="s">
        <v>139</v>
      </c>
      <c r="R4039"/>
      <c r="S4039"/>
      <c r="T4039"/>
      <c r="U4039" t="s">
        <v>137</v>
      </c>
      <c r="V4039" t="s">
        <v>739</v>
      </c>
      <c r="W4039" s="9">
        <v>45835.584587581019</v>
      </c>
      <c r="X4039" t="s">
        <v>118</v>
      </c>
      <c r="Y4039"/>
      <c r="Z4039"/>
      <c r="AA4039" t="s">
        <v>5059</v>
      </c>
      <c r="AB4039" t="s">
        <v>3</v>
      </c>
      <c r="AC4039" t="s">
        <v>24</v>
      </c>
      <c r="AD4039" t="s">
        <v>130</v>
      </c>
      <c r="AE4039" s="97"/>
    </row>
    <row r="4040" spans="1:31" ht="14.4" customHeight="1" x14ac:dyDescent="0.3">
      <c r="A4040" t="s">
        <v>6578</v>
      </c>
      <c r="B4040" t="s">
        <v>2015</v>
      </c>
      <c r="C4040"/>
      <c r="D4040"/>
      <c r="E4040"/>
      <c r="F4040"/>
      <c r="G4040" t="s">
        <v>6534</v>
      </c>
      <c r="H4040" t="s">
        <v>132</v>
      </c>
      <c r="I4040" t="s">
        <v>3</v>
      </c>
      <c r="J4040" t="s">
        <v>133</v>
      </c>
      <c r="K4040" t="s">
        <v>53</v>
      </c>
      <c r="L4040" t="s">
        <v>1973</v>
      </c>
      <c r="M4040" t="s">
        <v>134</v>
      </c>
      <c r="N4040" t="s">
        <v>135</v>
      </c>
      <c r="O4040"/>
      <c r="P4040"/>
      <c r="Q4040" t="s">
        <v>139</v>
      </c>
      <c r="R4040"/>
      <c r="S4040"/>
      <c r="T4040"/>
      <c r="U4040" t="s">
        <v>137</v>
      </c>
      <c r="V4040" t="s">
        <v>721</v>
      </c>
      <c r="W4040" s="9">
        <v>45835.584952233796</v>
      </c>
      <c r="X4040" t="s">
        <v>91</v>
      </c>
      <c r="Y4040"/>
      <c r="Z4040"/>
      <c r="AA4040" t="s">
        <v>5059</v>
      </c>
      <c r="AB4040" t="s">
        <v>3</v>
      </c>
      <c r="AC4040" t="s">
        <v>24</v>
      </c>
      <c r="AD4040" t="s">
        <v>129</v>
      </c>
      <c r="AE4040" s="97"/>
    </row>
    <row r="4041" spans="1:31" ht="14.4" customHeight="1" x14ac:dyDescent="0.3">
      <c r="A4041" t="s">
        <v>6579</v>
      </c>
      <c r="B4041" t="s">
        <v>2017</v>
      </c>
      <c r="C4041"/>
      <c r="D4041"/>
      <c r="E4041"/>
      <c r="F4041"/>
      <c r="G4041" t="s">
        <v>6534</v>
      </c>
      <c r="H4041" t="s">
        <v>132</v>
      </c>
      <c r="I4041" t="s">
        <v>3</v>
      </c>
      <c r="J4041" t="s">
        <v>133</v>
      </c>
      <c r="K4041" t="s">
        <v>53</v>
      </c>
      <c r="L4041" t="s">
        <v>1973</v>
      </c>
      <c r="M4041" t="s">
        <v>134</v>
      </c>
      <c r="N4041" t="s">
        <v>135</v>
      </c>
      <c r="O4041"/>
      <c r="P4041"/>
      <c r="Q4041" t="s">
        <v>139</v>
      </c>
      <c r="R4041"/>
      <c r="S4041"/>
      <c r="T4041"/>
      <c r="U4041" t="s">
        <v>137</v>
      </c>
      <c r="V4041" t="s">
        <v>721</v>
      </c>
      <c r="W4041" s="9">
        <v>45835.585287152775</v>
      </c>
      <c r="X4041" t="s">
        <v>91</v>
      </c>
      <c r="Y4041"/>
      <c r="Z4041"/>
      <c r="AA4041" t="s">
        <v>5059</v>
      </c>
      <c r="AB4041" t="s">
        <v>3</v>
      </c>
      <c r="AC4041" t="s">
        <v>24</v>
      </c>
      <c r="AD4041" t="s">
        <v>129</v>
      </c>
      <c r="AE4041" s="97"/>
    </row>
    <row r="4042" spans="1:31" ht="14.4" customHeight="1" x14ac:dyDescent="0.3">
      <c r="A4042" t="s">
        <v>6580</v>
      </c>
      <c r="B4042" t="s">
        <v>1972</v>
      </c>
      <c r="C4042"/>
      <c r="D4042"/>
      <c r="E4042"/>
      <c r="F4042"/>
      <c r="G4042" t="s">
        <v>6534</v>
      </c>
      <c r="H4042" t="s">
        <v>132</v>
      </c>
      <c r="I4042" t="s">
        <v>3</v>
      </c>
      <c r="J4042" t="s">
        <v>133</v>
      </c>
      <c r="K4042" t="s">
        <v>53</v>
      </c>
      <c r="L4042" t="s">
        <v>1973</v>
      </c>
      <c r="M4042" t="s">
        <v>134</v>
      </c>
      <c r="N4042" t="s">
        <v>135</v>
      </c>
      <c r="O4042"/>
      <c r="P4042"/>
      <c r="Q4042" t="s">
        <v>139</v>
      </c>
      <c r="R4042"/>
      <c r="S4042"/>
      <c r="T4042"/>
      <c r="U4042" t="s">
        <v>137</v>
      </c>
      <c r="V4042" t="s">
        <v>703</v>
      </c>
      <c r="W4042" s="9">
        <v>45835.58567403935</v>
      </c>
      <c r="X4042" t="s">
        <v>62</v>
      </c>
      <c r="Y4042"/>
      <c r="Z4042"/>
      <c r="AA4042" t="s">
        <v>5059</v>
      </c>
      <c r="AB4042" t="s">
        <v>3</v>
      </c>
      <c r="AC4042" t="s">
        <v>24</v>
      </c>
      <c r="AD4042" t="s">
        <v>128</v>
      </c>
      <c r="AE4042" s="97"/>
    </row>
    <row r="4043" spans="1:31" ht="14.4" customHeight="1" x14ac:dyDescent="0.3">
      <c r="A4043" t="s">
        <v>6581</v>
      </c>
      <c r="B4043" t="s">
        <v>1976</v>
      </c>
      <c r="C4043"/>
      <c r="D4043"/>
      <c r="E4043"/>
      <c r="F4043"/>
      <c r="G4043" t="s">
        <v>6534</v>
      </c>
      <c r="H4043" t="s">
        <v>132</v>
      </c>
      <c r="I4043" t="s">
        <v>3</v>
      </c>
      <c r="J4043" t="s">
        <v>133</v>
      </c>
      <c r="K4043" t="s">
        <v>53</v>
      </c>
      <c r="L4043" t="s">
        <v>1973</v>
      </c>
      <c r="M4043" t="s">
        <v>134</v>
      </c>
      <c r="N4043" t="s">
        <v>135</v>
      </c>
      <c r="O4043"/>
      <c r="P4043"/>
      <c r="Q4043" t="s">
        <v>139</v>
      </c>
      <c r="R4043"/>
      <c r="S4043"/>
      <c r="T4043"/>
      <c r="U4043" t="s">
        <v>137</v>
      </c>
      <c r="V4043" t="s">
        <v>703</v>
      </c>
      <c r="W4043" s="9">
        <v>45835.586110150463</v>
      </c>
      <c r="X4043" t="s">
        <v>62</v>
      </c>
      <c r="Y4043"/>
      <c r="Z4043"/>
      <c r="AA4043" t="s">
        <v>5059</v>
      </c>
      <c r="AB4043" t="s">
        <v>3</v>
      </c>
      <c r="AC4043" t="s">
        <v>24</v>
      </c>
      <c r="AD4043" t="s">
        <v>128</v>
      </c>
      <c r="AE4043" s="97"/>
    </row>
    <row r="4044" spans="1:31" ht="14.4" customHeight="1" x14ac:dyDescent="0.3">
      <c r="A4044" t="s">
        <v>6582</v>
      </c>
      <c r="B4044" t="s">
        <v>2007</v>
      </c>
      <c r="C4044"/>
      <c r="D4044"/>
      <c r="E4044"/>
      <c r="F4044"/>
      <c r="G4044" t="s">
        <v>6534</v>
      </c>
      <c r="H4044" t="s">
        <v>132</v>
      </c>
      <c r="I4044" t="s">
        <v>3</v>
      </c>
      <c r="J4044" t="s">
        <v>133</v>
      </c>
      <c r="K4044" t="s">
        <v>53</v>
      </c>
      <c r="L4044" t="s">
        <v>1973</v>
      </c>
      <c r="M4044" t="s">
        <v>134</v>
      </c>
      <c r="N4044" t="s">
        <v>135</v>
      </c>
      <c r="O4044"/>
      <c r="P4044"/>
      <c r="Q4044" t="s">
        <v>139</v>
      </c>
      <c r="R4044"/>
      <c r="S4044"/>
      <c r="T4044"/>
      <c r="U4044" t="s">
        <v>137</v>
      </c>
      <c r="V4044" t="s">
        <v>709</v>
      </c>
      <c r="W4044" s="9">
        <v>45835.586746030094</v>
      </c>
      <c r="X4044" t="s">
        <v>73</v>
      </c>
      <c r="Y4044"/>
      <c r="Z4044"/>
      <c r="AA4044" t="s">
        <v>5059</v>
      </c>
      <c r="AB4044" t="s">
        <v>3</v>
      </c>
      <c r="AC4044" t="s">
        <v>24</v>
      </c>
      <c r="AD4044" t="s">
        <v>128</v>
      </c>
      <c r="AE4044" s="97"/>
    </row>
    <row r="4045" spans="1:31" ht="14.4" customHeight="1" x14ac:dyDescent="0.3">
      <c r="A4045" t="s">
        <v>6583</v>
      </c>
      <c r="B4045" t="s">
        <v>2009</v>
      </c>
      <c r="C4045"/>
      <c r="D4045"/>
      <c r="E4045"/>
      <c r="F4045"/>
      <c r="G4045" t="s">
        <v>6534</v>
      </c>
      <c r="H4045" t="s">
        <v>132</v>
      </c>
      <c r="I4045" t="s">
        <v>3</v>
      </c>
      <c r="J4045" t="s">
        <v>133</v>
      </c>
      <c r="K4045" t="s">
        <v>53</v>
      </c>
      <c r="L4045" t="s">
        <v>1973</v>
      </c>
      <c r="M4045" t="s">
        <v>134</v>
      </c>
      <c r="N4045" t="s">
        <v>135</v>
      </c>
      <c r="O4045"/>
      <c r="P4045"/>
      <c r="Q4045" t="s">
        <v>139</v>
      </c>
      <c r="R4045"/>
      <c r="S4045"/>
      <c r="T4045"/>
      <c r="U4045" t="s">
        <v>137</v>
      </c>
      <c r="V4045" t="s">
        <v>709</v>
      </c>
      <c r="W4045" s="9">
        <v>45835.587086493055</v>
      </c>
      <c r="X4045" t="s">
        <v>73</v>
      </c>
      <c r="Y4045"/>
      <c r="Z4045"/>
      <c r="AA4045" t="s">
        <v>5059</v>
      </c>
      <c r="AB4045" t="s">
        <v>3</v>
      </c>
      <c r="AC4045" t="s">
        <v>24</v>
      </c>
      <c r="AD4045" t="s">
        <v>128</v>
      </c>
      <c r="AE4045" s="97"/>
    </row>
    <row r="4046" spans="1:31" ht="14.4" customHeight="1" x14ac:dyDescent="0.3">
      <c r="A4046" t="s">
        <v>6584</v>
      </c>
      <c r="B4046" t="s">
        <v>2117</v>
      </c>
      <c r="C4046"/>
      <c r="D4046"/>
      <c r="E4046"/>
      <c r="F4046"/>
      <c r="G4046" t="s">
        <v>6534</v>
      </c>
      <c r="H4046" t="s">
        <v>132</v>
      </c>
      <c r="I4046" t="s">
        <v>3</v>
      </c>
      <c r="J4046" t="s">
        <v>133</v>
      </c>
      <c r="K4046" t="s">
        <v>53</v>
      </c>
      <c r="L4046" t="s">
        <v>2115</v>
      </c>
      <c r="M4046" t="s">
        <v>134</v>
      </c>
      <c r="N4046" t="s">
        <v>135</v>
      </c>
      <c r="O4046"/>
      <c r="P4046"/>
      <c r="Q4046" t="s">
        <v>139</v>
      </c>
      <c r="R4046"/>
      <c r="S4046"/>
      <c r="T4046"/>
      <c r="U4046" t="s">
        <v>137</v>
      </c>
      <c r="V4046" t="s">
        <v>1283</v>
      </c>
      <c r="W4046" s="9">
        <v>45853.450540081016</v>
      </c>
      <c r="X4046" t="s">
        <v>78</v>
      </c>
      <c r="Y4046"/>
      <c r="Z4046"/>
      <c r="AA4046" t="s">
        <v>5059</v>
      </c>
      <c r="AB4046" t="s">
        <v>3</v>
      </c>
      <c r="AC4046" t="s">
        <v>24</v>
      </c>
      <c r="AD4046" t="s">
        <v>128</v>
      </c>
      <c r="AE4046" s="97"/>
    </row>
    <row r="4047" spans="1:31" ht="14.4" customHeight="1" x14ac:dyDescent="0.3">
      <c r="A4047" t="s">
        <v>6585</v>
      </c>
      <c r="B4047" t="s">
        <v>2119</v>
      </c>
      <c r="C4047"/>
      <c r="D4047"/>
      <c r="E4047"/>
      <c r="F4047"/>
      <c r="G4047" t="s">
        <v>6534</v>
      </c>
      <c r="H4047" t="s">
        <v>132</v>
      </c>
      <c r="I4047" t="s">
        <v>3</v>
      </c>
      <c r="J4047" t="s">
        <v>133</v>
      </c>
      <c r="K4047" t="s">
        <v>53</v>
      </c>
      <c r="L4047" t="s">
        <v>2115</v>
      </c>
      <c r="M4047" t="s">
        <v>134</v>
      </c>
      <c r="N4047" t="s">
        <v>135</v>
      </c>
      <c r="O4047"/>
      <c r="P4047"/>
      <c r="Q4047" t="s">
        <v>139</v>
      </c>
      <c r="R4047"/>
      <c r="S4047"/>
      <c r="T4047"/>
      <c r="U4047" t="s">
        <v>137</v>
      </c>
      <c r="V4047" t="s">
        <v>1287</v>
      </c>
      <c r="W4047" s="9">
        <v>45853.450989699071</v>
      </c>
      <c r="X4047" t="s">
        <v>89</v>
      </c>
      <c r="Y4047"/>
      <c r="Z4047"/>
      <c r="AA4047" t="s">
        <v>5059</v>
      </c>
      <c r="AB4047" t="s">
        <v>3</v>
      </c>
      <c r="AC4047" t="s">
        <v>24</v>
      </c>
      <c r="AD4047" t="s">
        <v>129</v>
      </c>
      <c r="AE4047" s="97"/>
    </row>
    <row r="4048" spans="1:31" ht="14.4" customHeight="1" x14ac:dyDescent="0.3">
      <c r="A4048" t="s">
        <v>6586</v>
      </c>
      <c r="B4048" t="s">
        <v>2121</v>
      </c>
      <c r="C4048"/>
      <c r="D4048"/>
      <c r="E4048"/>
      <c r="F4048"/>
      <c r="G4048" t="s">
        <v>6534</v>
      </c>
      <c r="H4048" t="s">
        <v>132</v>
      </c>
      <c r="I4048" t="s">
        <v>3</v>
      </c>
      <c r="J4048" t="s">
        <v>133</v>
      </c>
      <c r="K4048" t="s">
        <v>53</v>
      </c>
      <c r="L4048" t="s">
        <v>2115</v>
      </c>
      <c r="M4048" t="s">
        <v>134</v>
      </c>
      <c r="N4048" t="s">
        <v>135</v>
      </c>
      <c r="O4048"/>
      <c r="P4048"/>
      <c r="Q4048" t="s">
        <v>139</v>
      </c>
      <c r="R4048"/>
      <c r="S4048"/>
      <c r="T4048"/>
      <c r="U4048" t="s">
        <v>137</v>
      </c>
      <c r="V4048" t="s">
        <v>1291</v>
      </c>
      <c r="W4048" s="9">
        <v>45853.458686030091</v>
      </c>
      <c r="X4048" t="s">
        <v>98</v>
      </c>
      <c r="Y4048"/>
      <c r="Z4048"/>
      <c r="AA4048" t="s">
        <v>5059</v>
      </c>
      <c r="AB4048" t="s">
        <v>3</v>
      </c>
      <c r="AC4048" t="s">
        <v>24</v>
      </c>
      <c r="AD4048" t="s">
        <v>129</v>
      </c>
      <c r="AE4048" s="97"/>
    </row>
    <row r="4049" spans="1:31" ht="14.4" customHeight="1" x14ac:dyDescent="0.3">
      <c r="A4049" t="s">
        <v>6587</v>
      </c>
      <c r="B4049" t="s">
        <v>2123</v>
      </c>
      <c r="C4049"/>
      <c r="D4049"/>
      <c r="E4049"/>
      <c r="F4049"/>
      <c r="G4049" t="s">
        <v>6534</v>
      </c>
      <c r="H4049" t="s">
        <v>132</v>
      </c>
      <c r="I4049" t="s">
        <v>3</v>
      </c>
      <c r="J4049" t="s">
        <v>133</v>
      </c>
      <c r="K4049" t="s">
        <v>53</v>
      </c>
      <c r="L4049" t="s">
        <v>2115</v>
      </c>
      <c r="M4049" t="s">
        <v>134</v>
      </c>
      <c r="N4049" t="s">
        <v>135</v>
      </c>
      <c r="O4049"/>
      <c r="P4049"/>
      <c r="Q4049" t="s">
        <v>139</v>
      </c>
      <c r="R4049"/>
      <c r="S4049"/>
      <c r="T4049"/>
      <c r="U4049" t="s">
        <v>137</v>
      </c>
      <c r="V4049" t="s">
        <v>1295</v>
      </c>
      <c r="W4049" s="9">
        <v>45853.460439351853</v>
      </c>
      <c r="X4049" t="s">
        <v>107</v>
      </c>
      <c r="Y4049"/>
      <c r="Z4049"/>
      <c r="AA4049" t="s">
        <v>5059</v>
      </c>
      <c r="AB4049" t="s">
        <v>3</v>
      </c>
      <c r="AC4049" t="s">
        <v>24</v>
      </c>
      <c r="AD4049" t="s">
        <v>129</v>
      </c>
      <c r="AE4049" s="97"/>
    </row>
    <row r="4050" spans="1:31" ht="14.4" customHeight="1" x14ac:dyDescent="0.3">
      <c r="A4050" t="s">
        <v>6588</v>
      </c>
      <c r="B4050" t="s">
        <v>2125</v>
      </c>
      <c r="C4050"/>
      <c r="D4050"/>
      <c r="E4050"/>
      <c r="F4050"/>
      <c r="G4050" t="s">
        <v>6534</v>
      </c>
      <c r="H4050" t="s">
        <v>132</v>
      </c>
      <c r="I4050" t="s">
        <v>3</v>
      </c>
      <c r="J4050" t="s">
        <v>133</v>
      </c>
      <c r="K4050" t="s">
        <v>53</v>
      </c>
      <c r="L4050" t="s">
        <v>2115</v>
      </c>
      <c r="M4050" t="s">
        <v>134</v>
      </c>
      <c r="N4050" t="s">
        <v>135</v>
      </c>
      <c r="O4050"/>
      <c r="P4050"/>
      <c r="Q4050" t="s">
        <v>139</v>
      </c>
      <c r="R4050"/>
      <c r="S4050"/>
      <c r="T4050"/>
      <c r="U4050" t="s">
        <v>137</v>
      </c>
      <c r="V4050" t="s">
        <v>1299</v>
      </c>
      <c r="W4050" s="9">
        <v>45853.460983645833</v>
      </c>
      <c r="X4050" t="s">
        <v>114</v>
      </c>
      <c r="Y4050"/>
      <c r="Z4050"/>
      <c r="AA4050" t="s">
        <v>5059</v>
      </c>
      <c r="AB4050" t="s">
        <v>3</v>
      </c>
      <c r="AC4050" t="s">
        <v>24</v>
      </c>
      <c r="AD4050" t="s">
        <v>129</v>
      </c>
      <c r="AE4050" s="97"/>
    </row>
    <row r="4051" spans="1:31" ht="14.4" customHeight="1" x14ac:dyDescent="0.3">
      <c r="A4051" t="s">
        <v>6589</v>
      </c>
      <c r="B4051" t="s">
        <v>2127</v>
      </c>
      <c r="C4051"/>
      <c r="D4051"/>
      <c r="E4051"/>
      <c r="F4051"/>
      <c r="G4051" t="s">
        <v>6534</v>
      </c>
      <c r="H4051" t="s">
        <v>132</v>
      </c>
      <c r="I4051" t="s">
        <v>3</v>
      </c>
      <c r="J4051" t="s">
        <v>133</v>
      </c>
      <c r="K4051" t="s">
        <v>53</v>
      </c>
      <c r="L4051" t="s">
        <v>2115</v>
      </c>
      <c r="M4051" t="s">
        <v>134</v>
      </c>
      <c r="N4051" t="s">
        <v>135</v>
      </c>
      <c r="O4051"/>
      <c r="P4051"/>
      <c r="Q4051" t="s">
        <v>139</v>
      </c>
      <c r="R4051"/>
      <c r="S4051"/>
      <c r="T4051"/>
      <c r="U4051" t="s">
        <v>137</v>
      </c>
      <c r="V4051" t="s">
        <v>1303</v>
      </c>
      <c r="W4051" s="9">
        <v>45853.461372337966</v>
      </c>
      <c r="X4051" t="s">
        <v>123</v>
      </c>
      <c r="Y4051"/>
      <c r="Z4051"/>
      <c r="AA4051" t="s">
        <v>5059</v>
      </c>
      <c r="AB4051" t="s">
        <v>3</v>
      </c>
      <c r="AC4051" t="s">
        <v>24</v>
      </c>
      <c r="AD4051" t="s">
        <v>130</v>
      </c>
      <c r="AE4051" s="97"/>
    </row>
    <row r="4052" spans="1:31" ht="14.4" customHeight="1" x14ac:dyDescent="0.3">
      <c r="A4052" t="s">
        <v>6590</v>
      </c>
      <c r="B4052" t="s">
        <v>161</v>
      </c>
      <c r="C4052"/>
      <c r="D4052"/>
      <c r="E4052"/>
      <c r="F4052"/>
      <c r="G4052" t="s">
        <v>6534</v>
      </c>
      <c r="H4052" t="s">
        <v>132</v>
      </c>
      <c r="I4052" t="s">
        <v>3</v>
      </c>
      <c r="J4052" t="s">
        <v>133</v>
      </c>
      <c r="K4052" t="s">
        <v>53</v>
      </c>
      <c r="L4052" t="s">
        <v>146</v>
      </c>
      <c r="M4052" t="s">
        <v>134</v>
      </c>
      <c r="N4052" t="s">
        <v>135</v>
      </c>
      <c r="O4052"/>
      <c r="P4052"/>
      <c r="Q4052" t="s">
        <v>139</v>
      </c>
      <c r="R4052"/>
      <c r="S4052"/>
      <c r="T4052"/>
      <c r="U4052" t="s">
        <v>137</v>
      </c>
      <c r="V4052" t="s">
        <v>162</v>
      </c>
      <c r="W4052" s="9">
        <v>45853.461847766201</v>
      </c>
      <c r="X4052" t="s">
        <v>113</v>
      </c>
      <c r="Y4052"/>
      <c r="Z4052"/>
      <c r="AA4052" t="s">
        <v>5059</v>
      </c>
      <c r="AB4052" t="s">
        <v>1</v>
      </c>
      <c r="AC4052" t="s">
        <v>24</v>
      </c>
      <c r="AD4052" t="s">
        <v>129</v>
      </c>
      <c r="AE4052" s="97"/>
    </row>
    <row r="4053" spans="1:31" ht="14.4" customHeight="1" x14ac:dyDescent="0.3">
      <c r="A4053" t="s">
        <v>6591</v>
      </c>
      <c r="B4053" t="s">
        <v>164</v>
      </c>
      <c r="C4053"/>
      <c r="D4053"/>
      <c r="E4053"/>
      <c r="F4053"/>
      <c r="G4053" t="s">
        <v>6534</v>
      </c>
      <c r="H4053" t="s">
        <v>132</v>
      </c>
      <c r="I4053" t="s">
        <v>3</v>
      </c>
      <c r="J4053" t="s">
        <v>133</v>
      </c>
      <c r="K4053" t="s">
        <v>53</v>
      </c>
      <c r="L4053" t="s">
        <v>146</v>
      </c>
      <c r="M4053" t="s">
        <v>134</v>
      </c>
      <c r="N4053" t="s">
        <v>135</v>
      </c>
      <c r="O4053"/>
      <c r="P4053"/>
      <c r="Q4053" t="s">
        <v>139</v>
      </c>
      <c r="R4053"/>
      <c r="S4053"/>
      <c r="T4053"/>
      <c r="U4053" t="s">
        <v>137</v>
      </c>
      <c r="V4053" t="s">
        <v>165</v>
      </c>
      <c r="W4053" s="9">
        <v>45853.462293136574</v>
      </c>
      <c r="X4053" t="s">
        <v>122</v>
      </c>
      <c r="Y4053"/>
      <c r="Z4053"/>
      <c r="AA4053" t="s">
        <v>5059</v>
      </c>
      <c r="AB4053" t="s">
        <v>1</v>
      </c>
      <c r="AC4053" t="s">
        <v>24</v>
      </c>
      <c r="AD4053" t="s">
        <v>130</v>
      </c>
      <c r="AE4053" s="97"/>
    </row>
    <row r="4054" spans="1:31" ht="14.4" customHeight="1" x14ac:dyDescent="0.3">
      <c r="A4054" t="s">
        <v>6592</v>
      </c>
      <c r="B4054" t="s">
        <v>2130</v>
      </c>
      <c r="C4054"/>
      <c r="D4054"/>
      <c r="E4054"/>
      <c r="F4054"/>
      <c r="G4054" t="s">
        <v>6534</v>
      </c>
      <c r="H4054" t="s">
        <v>132</v>
      </c>
      <c r="I4054" t="s">
        <v>3</v>
      </c>
      <c r="J4054" t="s">
        <v>133</v>
      </c>
      <c r="K4054" t="s">
        <v>53</v>
      </c>
      <c r="L4054" t="s">
        <v>2131</v>
      </c>
      <c r="M4054" t="s">
        <v>134</v>
      </c>
      <c r="N4054" t="s">
        <v>135</v>
      </c>
      <c r="O4054"/>
      <c r="P4054"/>
      <c r="Q4054" t="s">
        <v>139</v>
      </c>
      <c r="R4054"/>
      <c r="S4054"/>
      <c r="T4054"/>
      <c r="U4054" t="s">
        <v>137</v>
      </c>
      <c r="V4054" t="s">
        <v>1259</v>
      </c>
      <c r="W4054" s="9">
        <v>45854.345426307867</v>
      </c>
      <c r="X4054" t="s">
        <v>126</v>
      </c>
      <c r="Y4054"/>
      <c r="Z4054"/>
      <c r="AA4054" t="s">
        <v>5059</v>
      </c>
      <c r="AB4054" t="s">
        <v>3</v>
      </c>
      <c r="AC4054" t="s">
        <v>24</v>
      </c>
      <c r="AD4054" t="s">
        <v>131</v>
      </c>
      <c r="AE4054" s="97"/>
    </row>
    <row r="4055" spans="1:31" ht="14.4" customHeight="1" x14ac:dyDescent="0.3">
      <c r="A4055" t="s">
        <v>6593</v>
      </c>
      <c r="B4055" t="s">
        <v>2097</v>
      </c>
      <c r="C4055"/>
      <c r="D4055"/>
      <c r="E4055"/>
      <c r="F4055"/>
      <c r="G4055" t="s">
        <v>6534</v>
      </c>
      <c r="H4055" t="s">
        <v>132</v>
      </c>
      <c r="I4055" t="s">
        <v>3</v>
      </c>
      <c r="J4055" t="s">
        <v>133</v>
      </c>
      <c r="K4055" t="s">
        <v>53</v>
      </c>
      <c r="L4055" t="s">
        <v>2098</v>
      </c>
      <c r="M4055" t="s">
        <v>134</v>
      </c>
      <c r="N4055" t="s">
        <v>135</v>
      </c>
      <c r="O4055"/>
      <c r="P4055"/>
      <c r="Q4055" t="s">
        <v>139</v>
      </c>
      <c r="R4055"/>
      <c r="S4055"/>
      <c r="T4055"/>
      <c r="U4055" t="s">
        <v>137</v>
      </c>
      <c r="V4055" t="s">
        <v>147</v>
      </c>
      <c r="W4055" s="9">
        <v>45854.345972453702</v>
      </c>
      <c r="X4055" t="s">
        <v>70</v>
      </c>
      <c r="Y4055"/>
      <c r="Z4055"/>
      <c r="AA4055" t="s">
        <v>5059</v>
      </c>
      <c r="AB4055" t="s">
        <v>3</v>
      </c>
      <c r="AC4055" t="s">
        <v>24</v>
      </c>
      <c r="AD4055" t="s">
        <v>128</v>
      </c>
      <c r="AE4055" s="97"/>
    </row>
    <row r="4056" spans="1:31" ht="14.4" customHeight="1" x14ac:dyDescent="0.3">
      <c r="A4056" t="s">
        <v>6594</v>
      </c>
      <c r="B4056" t="s">
        <v>2108</v>
      </c>
      <c r="C4056"/>
      <c r="D4056"/>
      <c r="E4056"/>
      <c r="F4056"/>
      <c r="G4056" t="s">
        <v>6534</v>
      </c>
      <c r="H4056" t="s">
        <v>132</v>
      </c>
      <c r="I4056" t="s">
        <v>3</v>
      </c>
      <c r="J4056" t="s">
        <v>133</v>
      </c>
      <c r="K4056" t="s">
        <v>53</v>
      </c>
      <c r="L4056" t="s">
        <v>2098</v>
      </c>
      <c r="M4056" t="s">
        <v>134</v>
      </c>
      <c r="N4056" t="s">
        <v>135</v>
      </c>
      <c r="O4056"/>
      <c r="P4056"/>
      <c r="Q4056" t="s">
        <v>139</v>
      </c>
      <c r="R4056"/>
      <c r="S4056"/>
      <c r="T4056"/>
      <c r="U4056" t="s">
        <v>137</v>
      </c>
      <c r="V4056" t="s">
        <v>162</v>
      </c>
      <c r="W4056" s="9">
        <v>45854.346349768515</v>
      </c>
      <c r="X4056" t="s">
        <v>113</v>
      </c>
      <c r="Y4056"/>
      <c r="Z4056"/>
      <c r="AA4056" t="s">
        <v>5059</v>
      </c>
      <c r="AB4056" t="s">
        <v>3</v>
      </c>
      <c r="AC4056" t="s">
        <v>24</v>
      </c>
      <c r="AD4056" t="s">
        <v>129</v>
      </c>
      <c r="AE4056" s="97"/>
    </row>
    <row r="4057" spans="1:31" ht="14.4" customHeight="1" x14ac:dyDescent="0.3">
      <c r="A4057" t="s">
        <v>6595</v>
      </c>
      <c r="B4057" t="s">
        <v>2106</v>
      </c>
      <c r="C4057"/>
      <c r="D4057"/>
      <c r="E4057"/>
      <c r="F4057"/>
      <c r="G4057" t="s">
        <v>6534</v>
      </c>
      <c r="H4057" t="s">
        <v>132</v>
      </c>
      <c r="I4057" t="s">
        <v>3</v>
      </c>
      <c r="J4057" t="s">
        <v>133</v>
      </c>
      <c r="K4057" t="s">
        <v>53</v>
      </c>
      <c r="L4057" t="s">
        <v>2098</v>
      </c>
      <c r="M4057" t="s">
        <v>134</v>
      </c>
      <c r="N4057" t="s">
        <v>135</v>
      </c>
      <c r="O4057"/>
      <c r="P4057"/>
      <c r="Q4057" t="s">
        <v>139</v>
      </c>
      <c r="R4057"/>
      <c r="S4057"/>
      <c r="T4057"/>
      <c r="U4057" t="s">
        <v>137</v>
      </c>
      <c r="V4057" t="s">
        <v>159</v>
      </c>
      <c r="W4057" s="9">
        <v>45854.346872951392</v>
      </c>
      <c r="X4057" t="s">
        <v>106</v>
      </c>
      <c r="Y4057"/>
      <c r="Z4057"/>
      <c r="AA4057" t="s">
        <v>5059</v>
      </c>
      <c r="AB4057" t="s">
        <v>3</v>
      </c>
      <c r="AC4057" t="s">
        <v>24</v>
      </c>
      <c r="AD4057" t="s">
        <v>129</v>
      </c>
      <c r="AE4057" s="97"/>
    </row>
    <row r="4058" spans="1:31" ht="14.4" customHeight="1" x14ac:dyDescent="0.3">
      <c r="A4058" t="s">
        <v>6596</v>
      </c>
      <c r="B4058" t="s">
        <v>2104</v>
      </c>
      <c r="C4058"/>
      <c r="D4058"/>
      <c r="E4058"/>
      <c r="F4058"/>
      <c r="G4058" t="s">
        <v>6534</v>
      </c>
      <c r="H4058" t="s">
        <v>132</v>
      </c>
      <c r="I4058" t="s">
        <v>3</v>
      </c>
      <c r="J4058" t="s">
        <v>133</v>
      </c>
      <c r="K4058" t="s">
        <v>53</v>
      </c>
      <c r="L4058" t="s">
        <v>2098</v>
      </c>
      <c r="M4058" t="s">
        <v>134</v>
      </c>
      <c r="N4058" t="s">
        <v>135</v>
      </c>
      <c r="O4058"/>
      <c r="P4058"/>
      <c r="Q4058" t="s">
        <v>139</v>
      </c>
      <c r="R4058"/>
      <c r="S4058"/>
      <c r="T4058"/>
      <c r="U4058" t="s">
        <v>137</v>
      </c>
      <c r="V4058" t="s">
        <v>156</v>
      </c>
      <c r="W4058" s="9">
        <v>45854.347236030095</v>
      </c>
      <c r="X4058" t="s">
        <v>97</v>
      </c>
      <c r="Y4058"/>
      <c r="Z4058"/>
      <c r="AA4058" t="s">
        <v>5059</v>
      </c>
      <c r="AB4058" t="s">
        <v>3</v>
      </c>
      <c r="AC4058" t="s">
        <v>24</v>
      </c>
      <c r="AD4058" t="s">
        <v>129</v>
      </c>
      <c r="AE4058" s="97"/>
    </row>
    <row r="4059" spans="1:31" ht="14.4" customHeight="1" x14ac:dyDescent="0.3">
      <c r="A4059" t="s">
        <v>6597</v>
      </c>
      <c r="B4059" t="s">
        <v>2102</v>
      </c>
      <c r="C4059"/>
      <c r="D4059"/>
      <c r="E4059"/>
      <c r="F4059"/>
      <c r="G4059" t="s">
        <v>6534</v>
      </c>
      <c r="H4059" t="s">
        <v>132</v>
      </c>
      <c r="I4059" t="s">
        <v>3</v>
      </c>
      <c r="J4059" t="s">
        <v>133</v>
      </c>
      <c r="K4059" t="s">
        <v>53</v>
      </c>
      <c r="L4059" t="s">
        <v>2098</v>
      </c>
      <c r="M4059" t="s">
        <v>134</v>
      </c>
      <c r="N4059" t="s">
        <v>135</v>
      </c>
      <c r="O4059"/>
      <c r="P4059"/>
      <c r="Q4059" t="s">
        <v>139</v>
      </c>
      <c r="R4059"/>
      <c r="S4059"/>
      <c r="T4059"/>
      <c r="U4059" t="s">
        <v>137</v>
      </c>
      <c r="V4059" t="s">
        <v>153</v>
      </c>
      <c r="W4059" s="9">
        <v>45854.347696412035</v>
      </c>
      <c r="X4059" t="s">
        <v>88</v>
      </c>
      <c r="Y4059"/>
      <c r="Z4059"/>
      <c r="AA4059" t="s">
        <v>5059</v>
      </c>
      <c r="AB4059" t="s">
        <v>3</v>
      </c>
      <c r="AC4059" t="s">
        <v>24</v>
      </c>
      <c r="AD4059" t="s">
        <v>129</v>
      </c>
      <c r="AE4059" s="97"/>
    </row>
    <row r="4060" spans="1:31" ht="14.4" customHeight="1" x14ac:dyDescent="0.3">
      <c r="A4060" t="s">
        <v>6598</v>
      </c>
      <c r="B4060" t="s">
        <v>2100</v>
      </c>
      <c r="C4060"/>
      <c r="D4060"/>
      <c r="E4060"/>
      <c r="F4060"/>
      <c r="G4060" t="s">
        <v>6534</v>
      </c>
      <c r="H4060" t="s">
        <v>132</v>
      </c>
      <c r="I4060" t="s">
        <v>3</v>
      </c>
      <c r="J4060" t="s">
        <v>133</v>
      </c>
      <c r="K4060" t="s">
        <v>53</v>
      </c>
      <c r="L4060" t="s">
        <v>2098</v>
      </c>
      <c r="M4060" t="s">
        <v>134</v>
      </c>
      <c r="N4060" t="s">
        <v>135</v>
      </c>
      <c r="O4060"/>
      <c r="P4060"/>
      <c r="Q4060" t="s">
        <v>139</v>
      </c>
      <c r="R4060"/>
      <c r="S4060"/>
      <c r="T4060"/>
      <c r="U4060" t="s">
        <v>137</v>
      </c>
      <c r="V4060" t="s">
        <v>150</v>
      </c>
      <c r="W4060" s="9">
        <v>45854.348033564813</v>
      </c>
      <c r="X4060" t="s">
        <v>76</v>
      </c>
      <c r="Y4060"/>
      <c r="Z4060"/>
      <c r="AA4060" t="s">
        <v>5059</v>
      </c>
      <c r="AB4060" t="s">
        <v>3</v>
      </c>
      <c r="AC4060" t="s">
        <v>24</v>
      </c>
      <c r="AD4060" t="s">
        <v>128</v>
      </c>
      <c r="AE4060" s="97"/>
    </row>
    <row r="4061" spans="1:31" ht="14.4" customHeight="1" x14ac:dyDescent="0.3">
      <c r="A4061" t="s">
        <v>6599</v>
      </c>
      <c r="B4061" t="s">
        <v>2143</v>
      </c>
      <c r="C4061"/>
      <c r="D4061"/>
      <c r="E4061"/>
      <c r="F4061"/>
      <c r="G4061" t="s">
        <v>6534</v>
      </c>
      <c r="H4061" t="s">
        <v>132</v>
      </c>
      <c r="I4061" t="s">
        <v>3</v>
      </c>
      <c r="J4061" t="s">
        <v>133</v>
      </c>
      <c r="K4061" t="s">
        <v>53</v>
      </c>
      <c r="L4061" t="s">
        <v>2139</v>
      </c>
      <c r="M4061" t="s">
        <v>134</v>
      </c>
      <c r="N4061" t="s">
        <v>135</v>
      </c>
      <c r="O4061"/>
      <c r="P4061"/>
      <c r="Q4061" t="s">
        <v>139</v>
      </c>
      <c r="R4061"/>
      <c r="S4061"/>
      <c r="T4061"/>
      <c r="U4061" t="s">
        <v>137</v>
      </c>
      <c r="V4061" t="s">
        <v>652</v>
      </c>
      <c r="W4061" s="9">
        <v>45854.348597488424</v>
      </c>
      <c r="X4061" t="s">
        <v>85</v>
      </c>
      <c r="Y4061"/>
      <c r="Z4061"/>
      <c r="AA4061" t="s">
        <v>5059</v>
      </c>
      <c r="AB4061" t="s">
        <v>3</v>
      </c>
      <c r="AC4061" t="s">
        <v>24</v>
      </c>
      <c r="AD4061" t="s">
        <v>129</v>
      </c>
      <c r="AE4061" s="97"/>
    </row>
    <row r="4062" spans="1:31" ht="14.4" customHeight="1" x14ac:dyDescent="0.3">
      <c r="A4062" t="s">
        <v>6600</v>
      </c>
      <c r="B4062" t="s">
        <v>2149</v>
      </c>
      <c r="C4062"/>
      <c r="D4062"/>
      <c r="E4062"/>
      <c r="F4062"/>
      <c r="G4062" t="s">
        <v>6534</v>
      </c>
      <c r="H4062" t="s">
        <v>132</v>
      </c>
      <c r="I4062" t="s">
        <v>3</v>
      </c>
      <c r="J4062" t="s">
        <v>133</v>
      </c>
      <c r="K4062" t="s">
        <v>53</v>
      </c>
      <c r="L4062" t="s">
        <v>2139</v>
      </c>
      <c r="M4062" t="s">
        <v>134</v>
      </c>
      <c r="N4062" t="s">
        <v>135</v>
      </c>
      <c r="O4062"/>
      <c r="P4062"/>
      <c r="Q4062" t="s">
        <v>139</v>
      </c>
      <c r="R4062"/>
      <c r="S4062"/>
      <c r="T4062"/>
      <c r="U4062" t="s">
        <v>137</v>
      </c>
      <c r="V4062" t="s">
        <v>670</v>
      </c>
      <c r="W4062" s="9">
        <v>45854.349129861112</v>
      </c>
      <c r="X4062" t="s">
        <v>110</v>
      </c>
      <c r="Y4062"/>
      <c r="Z4062"/>
      <c r="AA4062" t="s">
        <v>5059</v>
      </c>
      <c r="AB4062" t="s">
        <v>3</v>
      </c>
      <c r="AC4062" t="s">
        <v>24</v>
      </c>
      <c r="AD4062" t="s">
        <v>129</v>
      </c>
      <c r="AE4062" s="97"/>
    </row>
    <row r="4063" spans="1:31" ht="14.4" customHeight="1" x14ac:dyDescent="0.3">
      <c r="A4063" t="s">
        <v>6601</v>
      </c>
      <c r="B4063" t="s">
        <v>2145</v>
      </c>
      <c r="C4063"/>
      <c r="D4063"/>
      <c r="E4063"/>
      <c r="F4063"/>
      <c r="G4063" t="s">
        <v>6534</v>
      </c>
      <c r="H4063" t="s">
        <v>132</v>
      </c>
      <c r="I4063" t="s">
        <v>3</v>
      </c>
      <c r="J4063" t="s">
        <v>133</v>
      </c>
      <c r="K4063" t="s">
        <v>53</v>
      </c>
      <c r="L4063" t="s">
        <v>2139</v>
      </c>
      <c r="M4063" t="s">
        <v>134</v>
      </c>
      <c r="N4063" t="s">
        <v>135</v>
      </c>
      <c r="O4063"/>
      <c r="P4063"/>
      <c r="Q4063" t="s">
        <v>139</v>
      </c>
      <c r="R4063"/>
      <c r="S4063"/>
      <c r="T4063"/>
      <c r="U4063" t="s">
        <v>137</v>
      </c>
      <c r="V4063" t="s">
        <v>658</v>
      </c>
      <c r="W4063" s="9">
        <v>45854.349827048609</v>
      </c>
      <c r="X4063" t="s">
        <v>94</v>
      </c>
      <c r="Y4063"/>
      <c r="Z4063"/>
      <c r="AA4063" t="s">
        <v>5059</v>
      </c>
      <c r="AB4063" t="s">
        <v>3</v>
      </c>
      <c r="AC4063" t="s">
        <v>24</v>
      </c>
      <c r="AD4063" t="s">
        <v>129</v>
      </c>
      <c r="AE4063" s="97"/>
    </row>
    <row r="4064" spans="1:31" ht="14.4" customHeight="1" x14ac:dyDescent="0.3">
      <c r="A4064" t="s">
        <v>6602</v>
      </c>
      <c r="B4064" t="s">
        <v>3613</v>
      </c>
      <c r="C4064"/>
      <c r="D4064"/>
      <c r="E4064"/>
      <c r="F4064"/>
      <c r="G4064" t="s">
        <v>6534</v>
      </c>
      <c r="H4064" t="s">
        <v>132</v>
      </c>
      <c r="I4064" t="s">
        <v>3</v>
      </c>
      <c r="J4064" t="s">
        <v>133</v>
      </c>
      <c r="K4064" t="s">
        <v>53</v>
      </c>
      <c r="L4064" t="s">
        <v>3614</v>
      </c>
      <c r="M4064" t="s">
        <v>134</v>
      </c>
      <c r="N4064" t="s">
        <v>135</v>
      </c>
      <c r="O4064"/>
      <c r="P4064"/>
      <c r="Q4064" t="s">
        <v>139</v>
      </c>
      <c r="R4064"/>
      <c r="S4064"/>
      <c r="T4064"/>
      <c r="U4064" t="s">
        <v>137</v>
      </c>
      <c r="V4064" t="s">
        <v>147</v>
      </c>
      <c r="W4064" s="9">
        <v>45854.350273229167</v>
      </c>
      <c r="X4064" t="s">
        <v>70</v>
      </c>
      <c r="Y4064"/>
      <c r="Z4064"/>
      <c r="AA4064" t="s">
        <v>5059</v>
      </c>
      <c r="AB4064" t="s">
        <v>2</v>
      </c>
      <c r="AC4064" t="s">
        <v>24</v>
      </c>
      <c r="AD4064" t="s">
        <v>128</v>
      </c>
      <c r="AE4064" s="97"/>
    </row>
    <row r="4065" spans="1:31" ht="14.4" customHeight="1" x14ac:dyDescent="0.3">
      <c r="A4065" t="s">
        <v>6603</v>
      </c>
      <c r="B4065" t="s">
        <v>2011</v>
      </c>
      <c r="C4065"/>
      <c r="D4065"/>
      <c r="E4065"/>
      <c r="F4065"/>
      <c r="G4065" t="s">
        <v>6534</v>
      </c>
      <c r="H4065" t="s">
        <v>132</v>
      </c>
      <c r="I4065" t="s">
        <v>3</v>
      </c>
      <c r="J4065" t="s">
        <v>133</v>
      </c>
      <c r="K4065" t="s">
        <v>53</v>
      </c>
      <c r="L4065" t="s">
        <v>1973</v>
      </c>
      <c r="M4065" t="s">
        <v>134</v>
      </c>
      <c r="N4065" t="s">
        <v>135</v>
      </c>
      <c r="O4065"/>
      <c r="P4065"/>
      <c r="Q4065" t="s">
        <v>139</v>
      </c>
      <c r="R4065"/>
      <c r="S4065"/>
      <c r="T4065"/>
      <c r="U4065" t="s">
        <v>137</v>
      </c>
      <c r="V4065" t="s">
        <v>715</v>
      </c>
      <c r="W4065" s="9">
        <v>45880.515585034722</v>
      </c>
      <c r="X4065" t="s">
        <v>82</v>
      </c>
      <c r="Y4065"/>
      <c r="Z4065"/>
      <c r="AA4065" t="s">
        <v>5059</v>
      </c>
      <c r="AB4065" t="s">
        <v>3</v>
      </c>
      <c r="AC4065" t="s">
        <v>24</v>
      </c>
      <c r="AD4065" t="s">
        <v>129</v>
      </c>
      <c r="AE4065" s="97"/>
    </row>
    <row r="4066" spans="1:31" ht="14.4" customHeight="1" x14ac:dyDescent="0.3">
      <c r="A4066" t="s">
        <v>6604</v>
      </c>
      <c r="B4066" t="s">
        <v>2013</v>
      </c>
      <c r="C4066"/>
      <c r="D4066"/>
      <c r="E4066"/>
      <c r="F4066"/>
      <c r="G4066" t="s">
        <v>6534</v>
      </c>
      <c r="H4066" t="s">
        <v>132</v>
      </c>
      <c r="I4066" t="s">
        <v>3</v>
      </c>
      <c r="J4066" t="s">
        <v>133</v>
      </c>
      <c r="K4066" t="s">
        <v>53</v>
      </c>
      <c r="L4066" t="s">
        <v>1973</v>
      </c>
      <c r="M4066" t="s">
        <v>134</v>
      </c>
      <c r="N4066" t="s">
        <v>135</v>
      </c>
      <c r="O4066"/>
      <c r="P4066"/>
      <c r="Q4066" t="s">
        <v>139</v>
      </c>
      <c r="R4066"/>
      <c r="S4066"/>
      <c r="T4066"/>
      <c r="U4066" t="s">
        <v>137</v>
      </c>
      <c r="V4066" t="s">
        <v>715</v>
      </c>
      <c r="W4066" s="9">
        <v>45880.516157986109</v>
      </c>
      <c r="X4066" t="s">
        <v>82</v>
      </c>
      <c r="Y4066"/>
      <c r="Z4066"/>
      <c r="AA4066" t="s">
        <v>5059</v>
      </c>
      <c r="AB4066" t="s">
        <v>3</v>
      </c>
      <c r="AC4066" t="s">
        <v>24</v>
      </c>
      <c r="AD4066" t="s">
        <v>129</v>
      </c>
      <c r="AE4066" s="97"/>
    </row>
    <row r="4067" spans="1:31" ht="14.4" customHeight="1" x14ac:dyDescent="0.3">
      <c r="A4067" t="s">
        <v>6605</v>
      </c>
      <c r="B4067" t="s">
        <v>3610</v>
      </c>
      <c r="C4067"/>
      <c r="D4067"/>
      <c r="E4067"/>
      <c r="F4067"/>
      <c r="G4067" t="s">
        <v>6534</v>
      </c>
      <c r="H4067" t="s">
        <v>132</v>
      </c>
      <c r="I4067" t="s">
        <v>3</v>
      </c>
      <c r="J4067" t="s">
        <v>133</v>
      </c>
      <c r="K4067" t="s">
        <v>53</v>
      </c>
      <c r="L4067" t="s">
        <v>3611</v>
      </c>
      <c r="M4067" t="s">
        <v>134</v>
      </c>
      <c r="N4067" t="s">
        <v>135</v>
      </c>
      <c r="O4067"/>
      <c r="P4067"/>
      <c r="Q4067" t="s">
        <v>139</v>
      </c>
      <c r="R4067"/>
      <c r="S4067"/>
      <c r="T4067"/>
      <c r="U4067" t="s">
        <v>137</v>
      </c>
      <c r="V4067" t="s">
        <v>358</v>
      </c>
      <c r="W4067" s="9">
        <v>45880.51655497685</v>
      </c>
      <c r="X4067" t="s">
        <v>124</v>
      </c>
      <c r="Y4067"/>
      <c r="Z4067"/>
      <c r="AA4067" t="s">
        <v>5059</v>
      </c>
      <c r="AB4067" t="s">
        <v>2</v>
      </c>
      <c r="AC4067" t="s">
        <v>24</v>
      </c>
      <c r="AD4067" t="s">
        <v>130</v>
      </c>
      <c r="AE4067" s="97"/>
    </row>
    <row r="4068" spans="1:31" ht="14.4" customHeight="1" x14ac:dyDescent="0.3">
      <c r="A4068" t="s">
        <v>6606</v>
      </c>
      <c r="B4068" t="s">
        <v>2151</v>
      </c>
      <c r="C4068"/>
      <c r="D4068"/>
      <c r="E4068"/>
      <c r="F4068"/>
      <c r="G4068" t="s">
        <v>6534</v>
      </c>
      <c r="H4068" t="s">
        <v>132</v>
      </c>
      <c r="I4068" t="s">
        <v>3</v>
      </c>
      <c r="J4068" t="s">
        <v>133</v>
      </c>
      <c r="K4068" t="s">
        <v>53</v>
      </c>
      <c r="L4068" t="s">
        <v>2139</v>
      </c>
      <c r="M4068" t="s">
        <v>134</v>
      </c>
      <c r="N4068" t="s">
        <v>135</v>
      </c>
      <c r="O4068"/>
      <c r="P4068"/>
      <c r="Q4068" t="s">
        <v>139</v>
      </c>
      <c r="R4068"/>
      <c r="S4068"/>
      <c r="T4068"/>
      <c r="U4068" t="s">
        <v>137</v>
      </c>
      <c r="V4068" t="s">
        <v>676</v>
      </c>
      <c r="W4068" s="9">
        <v>45880.520111921294</v>
      </c>
      <c r="X4068" t="s">
        <v>119</v>
      </c>
      <c r="Y4068"/>
      <c r="Z4068"/>
      <c r="AA4068" t="s">
        <v>5059</v>
      </c>
      <c r="AB4068" t="s">
        <v>3</v>
      </c>
      <c r="AC4068" t="s">
        <v>24</v>
      </c>
      <c r="AD4068" t="s">
        <v>130</v>
      </c>
      <c r="AE4068" s="97"/>
    </row>
    <row r="4069" spans="1:31" ht="14.4" customHeight="1" x14ac:dyDescent="0.3">
      <c r="A4069" t="s">
        <v>6607</v>
      </c>
      <c r="B4069" t="s">
        <v>2110</v>
      </c>
      <c r="C4069"/>
      <c r="D4069"/>
      <c r="E4069"/>
      <c r="F4069"/>
      <c r="G4069" t="s">
        <v>6534</v>
      </c>
      <c r="H4069" t="s">
        <v>132</v>
      </c>
      <c r="I4069" t="s">
        <v>3</v>
      </c>
      <c r="J4069" t="s">
        <v>133</v>
      </c>
      <c r="K4069" t="s">
        <v>53</v>
      </c>
      <c r="L4069" t="s">
        <v>2098</v>
      </c>
      <c r="M4069" t="s">
        <v>134</v>
      </c>
      <c r="N4069" t="s">
        <v>135</v>
      </c>
      <c r="O4069"/>
      <c r="P4069"/>
      <c r="Q4069" t="s">
        <v>139</v>
      </c>
      <c r="R4069"/>
      <c r="S4069"/>
      <c r="T4069"/>
      <c r="U4069" t="s">
        <v>137</v>
      </c>
      <c r="V4069" t="s">
        <v>165</v>
      </c>
      <c r="W4069" s="9">
        <v>45880.528048842592</v>
      </c>
      <c r="X4069" t="s">
        <v>122</v>
      </c>
      <c r="Y4069"/>
      <c r="Z4069"/>
      <c r="AA4069" t="s">
        <v>5059</v>
      </c>
      <c r="AB4069" t="s">
        <v>3</v>
      </c>
      <c r="AC4069" t="s">
        <v>24</v>
      </c>
      <c r="AD4069" t="s">
        <v>130</v>
      </c>
      <c r="AE4069" s="97"/>
    </row>
    <row r="4070" spans="1:31" ht="14.4" customHeight="1" x14ac:dyDescent="0.3">
      <c r="A4070" t="s">
        <v>6608</v>
      </c>
      <c r="B4070" t="s">
        <v>155</v>
      </c>
      <c r="C4070"/>
      <c r="D4070"/>
      <c r="E4070"/>
      <c r="F4070"/>
      <c r="G4070" t="s">
        <v>6534</v>
      </c>
      <c r="H4070" t="s">
        <v>132</v>
      </c>
      <c r="I4070" t="s">
        <v>3</v>
      </c>
      <c r="J4070" t="s">
        <v>133</v>
      </c>
      <c r="K4070" t="s">
        <v>53</v>
      </c>
      <c r="L4070" t="s">
        <v>146</v>
      </c>
      <c r="M4070" t="s">
        <v>134</v>
      </c>
      <c r="N4070" t="s">
        <v>135</v>
      </c>
      <c r="O4070"/>
      <c r="P4070"/>
      <c r="Q4070" t="s">
        <v>139</v>
      </c>
      <c r="R4070"/>
      <c r="S4070"/>
      <c r="T4070"/>
      <c r="U4070" t="s">
        <v>137</v>
      </c>
      <c r="V4070" t="s">
        <v>156</v>
      </c>
      <c r="W4070" s="9">
        <v>45880.528577048608</v>
      </c>
      <c r="X4070" t="s">
        <v>97</v>
      </c>
      <c r="Y4070"/>
      <c r="Z4070"/>
      <c r="AA4070" t="s">
        <v>5059</v>
      </c>
      <c r="AB4070" t="s">
        <v>1</v>
      </c>
      <c r="AC4070" t="s">
        <v>24</v>
      </c>
      <c r="AD4070" t="s">
        <v>129</v>
      </c>
      <c r="AE4070" s="97"/>
    </row>
    <row r="4071" spans="1:31" ht="14.4" customHeight="1" x14ac:dyDescent="0.3">
      <c r="A4071" t="s">
        <v>6609</v>
      </c>
      <c r="B4071" t="s">
        <v>2093</v>
      </c>
      <c r="C4071"/>
      <c r="D4071"/>
      <c r="E4071"/>
      <c r="F4071"/>
      <c r="G4071" t="s">
        <v>6534</v>
      </c>
      <c r="H4071" t="s">
        <v>132</v>
      </c>
      <c r="I4071" t="s">
        <v>3</v>
      </c>
      <c r="J4071" t="s">
        <v>133</v>
      </c>
      <c r="K4071" t="s">
        <v>53</v>
      </c>
      <c r="L4071" t="s">
        <v>2094</v>
      </c>
      <c r="M4071" t="s">
        <v>134</v>
      </c>
      <c r="N4071" t="s">
        <v>135</v>
      </c>
      <c r="O4071"/>
      <c r="P4071"/>
      <c r="Q4071" t="s">
        <v>139</v>
      </c>
      <c r="R4071"/>
      <c r="S4071"/>
      <c r="T4071"/>
      <c r="U4071" t="s">
        <v>137</v>
      </c>
      <c r="V4071" t="s">
        <v>371</v>
      </c>
      <c r="W4071" s="9">
        <v>46130.232717164348</v>
      </c>
      <c r="X4071" t="s">
        <v>57</v>
      </c>
      <c r="Y4071"/>
      <c r="Z4071"/>
      <c r="AA4071" t="s">
        <v>5059</v>
      </c>
      <c r="AB4071" t="s">
        <v>3</v>
      </c>
      <c r="AC4071" t="s">
        <v>24</v>
      </c>
      <c r="AD4071" t="s">
        <v>128</v>
      </c>
      <c r="AE4071" s="97"/>
    </row>
    <row r="4072" spans="1:31" ht="14.4" customHeight="1" x14ac:dyDescent="0.3">
      <c r="A4072" t="s">
        <v>6610</v>
      </c>
      <c r="B4072" t="s">
        <v>149</v>
      </c>
      <c r="C4072"/>
      <c r="D4072"/>
      <c r="E4072"/>
      <c r="F4072"/>
      <c r="G4072" t="s">
        <v>6534</v>
      </c>
      <c r="H4072" t="s">
        <v>132</v>
      </c>
      <c r="I4072" t="s">
        <v>3</v>
      </c>
      <c r="J4072" t="s">
        <v>133</v>
      </c>
      <c r="K4072" t="s">
        <v>53</v>
      </c>
      <c r="L4072" t="s">
        <v>146</v>
      </c>
      <c r="M4072" t="s">
        <v>134</v>
      </c>
      <c r="N4072" t="s">
        <v>135</v>
      </c>
      <c r="O4072"/>
      <c r="P4072"/>
      <c r="Q4072" t="s">
        <v>139</v>
      </c>
      <c r="R4072"/>
      <c r="S4072"/>
      <c r="T4072"/>
      <c r="U4072" t="s">
        <v>137</v>
      </c>
      <c r="V4072" t="s">
        <v>150</v>
      </c>
      <c r="W4072" s="9">
        <v>45911.28613252315</v>
      </c>
      <c r="X4072" t="s">
        <v>76</v>
      </c>
      <c r="Y4072"/>
      <c r="Z4072"/>
      <c r="AA4072" t="s">
        <v>5059</v>
      </c>
      <c r="AB4072" t="s">
        <v>1</v>
      </c>
      <c r="AC4072" t="s">
        <v>24</v>
      </c>
      <c r="AD4072" t="s">
        <v>128</v>
      </c>
      <c r="AE4072" s="97"/>
    </row>
    <row r="4073" spans="1:31" ht="14.4" customHeight="1" x14ac:dyDescent="0.3">
      <c r="A4073" t="s">
        <v>6750</v>
      </c>
      <c r="B4073" t="s">
        <v>1770</v>
      </c>
      <c r="C4073"/>
      <c r="D4073"/>
      <c r="E4073"/>
      <c r="F4073"/>
      <c r="G4073" t="s">
        <v>6534</v>
      </c>
      <c r="H4073" t="s">
        <v>132</v>
      </c>
      <c r="I4073" t="s">
        <v>3</v>
      </c>
      <c r="J4073" t="s">
        <v>133</v>
      </c>
      <c r="K4073" t="s">
        <v>53</v>
      </c>
      <c r="L4073" t="s">
        <v>1771</v>
      </c>
      <c r="M4073" t="s">
        <v>134</v>
      </c>
      <c r="N4073" t="s">
        <v>135</v>
      </c>
      <c r="O4073"/>
      <c r="P4073"/>
      <c r="Q4073" t="s">
        <v>139</v>
      </c>
      <c r="R4073"/>
      <c r="S4073" t="s">
        <v>139</v>
      </c>
      <c r="T4073"/>
      <c r="U4073" t="s">
        <v>137</v>
      </c>
      <c r="V4073" t="s">
        <v>147</v>
      </c>
      <c r="W4073" s="9">
        <v>46164.420212928242</v>
      </c>
      <c r="X4073" t="s">
        <v>70</v>
      </c>
      <c r="Y4073"/>
      <c r="Z4073"/>
      <c r="AA4073" t="s">
        <v>5059</v>
      </c>
      <c r="AB4073" t="s">
        <v>1</v>
      </c>
      <c r="AC4073" t="s">
        <v>24</v>
      </c>
      <c r="AD4073" t="s">
        <v>128</v>
      </c>
      <c r="AE4073" s="97"/>
    </row>
    <row r="4074" spans="1:31" ht="14.4" customHeight="1" x14ac:dyDescent="0.3">
      <c r="A4074" t="s">
        <v>6751</v>
      </c>
      <c r="B4074" t="s">
        <v>1773</v>
      </c>
      <c r="C4074"/>
      <c r="D4074"/>
      <c r="E4074"/>
      <c r="F4074"/>
      <c r="G4074" t="s">
        <v>6534</v>
      </c>
      <c r="H4074" t="s">
        <v>132</v>
      </c>
      <c r="I4074" t="s">
        <v>3</v>
      </c>
      <c r="J4074" t="s">
        <v>133</v>
      </c>
      <c r="K4074" t="s">
        <v>53</v>
      </c>
      <c r="L4074" t="s">
        <v>1774</v>
      </c>
      <c r="M4074" t="s">
        <v>134</v>
      </c>
      <c r="N4074" t="s">
        <v>135</v>
      </c>
      <c r="O4074"/>
      <c r="P4074"/>
      <c r="Q4074" t="s">
        <v>139</v>
      </c>
      <c r="R4074"/>
      <c r="S4074" t="s">
        <v>139</v>
      </c>
      <c r="T4074"/>
      <c r="U4074" t="s">
        <v>137</v>
      </c>
      <c r="V4074" t="s">
        <v>150</v>
      </c>
      <c r="W4074" s="9">
        <v>46164.4206996875</v>
      </c>
      <c r="X4074" t="s">
        <v>76</v>
      </c>
      <c r="Y4074"/>
      <c r="Z4074"/>
      <c r="AA4074" t="s">
        <v>5059</v>
      </c>
      <c r="AB4074" t="s">
        <v>1</v>
      </c>
      <c r="AC4074" t="s">
        <v>24</v>
      </c>
      <c r="AD4074" t="s">
        <v>128</v>
      </c>
      <c r="AE4074" s="97"/>
    </row>
    <row r="4075" spans="1:31" ht="14.4" customHeight="1" x14ac:dyDescent="0.3">
      <c r="A4075" t="s">
        <v>6752</v>
      </c>
      <c r="B4075" t="s">
        <v>1776</v>
      </c>
      <c r="C4075"/>
      <c r="D4075"/>
      <c r="E4075"/>
      <c r="F4075"/>
      <c r="G4075" t="s">
        <v>6534</v>
      </c>
      <c r="H4075" t="s">
        <v>132</v>
      </c>
      <c r="I4075" t="s">
        <v>3</v>
      </c>
      <c r="J4075" t="s">
        <v>133</v>
      </c>
      <c r="K4075" t="s">
        <v>53</v>
      </c>
      <c r="L4075" t="s">
        <v>1777</v>
      </c>
      <c r="M4075" t="s">
        <v>134</v>
      </c>
      <c r="N4075" t="s">
        <v>135</v>
      </c>
      <c r="O4075"/>
      <c r="P4075"/>
      <c r="Q4075" t="s">
        <v>139</v>
      </c>
      <c r="R4075"/>
      <c r="S4075" t="s">
        <v>139</v>
      </c>
      <c r="T4075"/>
      <c r="U4075" t="s">
        <v>137</v>
      </c>
      <c r="V4075" t="s">
        <v>153</v>
      </c>
      <c r="W4075" s="9">
        <v>46164.421051736113</v>
      </c>
      <c r="X4075" t="s">
        <v>88</v>
      </c>
      <c r="Y4075"/>
      <c r="Z4075"/>
      <c r="AA4075" t="s">
        <v>5059</v>
      </c>
      <c r="AB4075" t="s">
        <v>1</v>
      </c>
      <c r="AC4075" t="s">
        <v>24</v>
      </c>
      <c r="AD4075" t="s">
        <v>129</v>
      </c>
      <c r="AE4075" s="97"/>
    </row>
    <row r="4076" spans="1:31" ht="14.4" customHeight="1" x14ac:dyDescent="0.3">
      <c r="A4076" t="s">
        <v>6753</v>
      </c>
      <c r="B4076" t="s">
        <v>1779</v>
      </c>
      <c r="C4076"/>
      <c r="D4076"/>
      <c r="E4076"/>
      <c r="F4076"/>
      <c r="G4076" t="s">
        <v>6534</v>
      </c>
      <c r="H4076" t="s">
        <v>132</v>
      </c>
      <c r="I4076" t="s">
        <v>3</v>
      </c>
      <c r="J4076" t="s">
        <v>133</v>
      </c>
      <c r="K4076" t="s">
        <v>53</v>
      </c>
      <c r="L4076" t="s">
        <v>1780</v>
      </c>
      <c r="M4076" t="s">
        <v>134</v>
      </c>
      <c r="N4076" t="s">
        <v>135</v>
      </c>
      <c r="O4076"/>
      <c r="P4076"/>
      <c r="Q4076" t="s">
        <v>139</v>
      </c>
      <c r="R4076"/>
      <c r="S4076" t="s">
        <v>139</v>
      </c>
      <c r="T4076"/>
      <c r="U4076" t="s">
        <v>137</v>
      </c>
      <c r="V4076" t="s">
        <v>156</v>
      </c>
      <c r="W4076" s="9">
        <v>46164.421560300929</v>
      </c>
      <c r="X4076" t="s">
        <v>97</v>
      </c>
      <c r="Y4076"/>
      <c r="Z4076"/>
      <c r="AA4076" t="s">
        <v>5059</v>
      </c>
      <c r="AB4076" t="s">
        <v>1</v>
      </c>
      <c r="AC4076" t="s">
        <v>24</v>
      </c>
      <c r="AD4076" t="s">
        <v>129</v>
      </c>
      <c r="AE4076" s="97"/>
    </row>
    <row r="4077" spans="1:31" ht="14.4" customHeight="1" x14ac:dyDescent="0.3">
      <c r="A4077" t="s">
        <v>6754</v>
      </c>
      <c r="B4077" t="s">
        <v>1782</v>
      </c>
      <c r="C4077"/>
      <c r="D4077"/>
      <c r="E4077"/>
      <c r="F4077"/>
      <c r="G4077" t="s">
        <v>6534</v>
      </c>
      <c r="H4077" t="s">
        <v>132</v>
      </c>
      <c r="I4077" t="s">
        <v>3</v>
      </c>
      <c r="J4077" t="s">
        <v>133</v>
      </c>
      <c r="K4077" t="s">
        <v>53</v>
      </c>
      <c r="L4077" t="s">
        <v>1783</v>
      </c>
      <c r="M4077" t="s">
        <v>134</v>
      </c>
      <c r="N4077" t="s">
        <v>135</v>
      </c>
      <c r="O4077"/>
      <c r="P4077"/>
      <c r="Q4077" t="s">
        <v>139</v>
      </c>
      <c r="R4077"/>
      <c r="S4077" t="s">
        <v>139</v>
      </c>
      <c r="T4077"/>
      <c r="U4077" t="s">
        <v>137</v>
      </c>
      <c r="V4077" t="s">
        <v>159</v>
      </c>
      <c r="W4077" s="9">
        <v>46164.421896608794</v>
      </c>
      <c r="X4077" t="s">
        <v>106</v>
      </c>
      <c r="Y4077"/>
      <c r="Z4077"/>
      <c r="AA4077" t="s">
        <v>5059</v>
      </c>
      <c r="AB4077" t="s">
        <v>1</v>
      </c>
      <c r="AC4077" t="s">
        <v>24</v>
      </c>
      <c r="AD4077" t="s">
        <v>129</v>
      </c>
      <c r="AE4077" s="97"/>
    </row>
    <row r="4078" spans="1:31" ht="14.4" customHeight="1" x14ac:dyDescent="0.3">
      <c r="A4078" t="s">
        <v>6755</v>
      </c>
      <c r="B4078" t="s">
        <v>1785</v>
      </c>
      <c r="C4078"/>
      <c r="D4078"/>
      <c r="E4078"/>
      <c r="F4078"/>
      <c r="G4078" t="s">
        <v>6534</v>
      </c>
      <c r="H4078" t="s">
        <v>132</v>
      </c>
      <c r="I4078" t="s">
        <v>3</v>
      </c>
      <c r="J4078" t="s">
        <v>133</v>
      </c>
      <c r="K4078" t="s">
        <v>53</v>
      </c>
      <c r="L4078" t="s">
        <v>1786</v>
      </c>
      <c r="M4078" t="s">
        <v>134</v>
      </c>
      <c r="N4078" t="s">
        <v>135</v>
      </c>
      <c r="O4078"/>
      <c r="P4078"/>
      <c r="Q4078" t="s">
        <v>139</v>
      </c>
      <c r="R4078"/>
      <c r="S4078" t="s">
        <v>139</v>
      </c>
      <c r="T4078"/>
      <c r="U4078" t="s">
        <v>137</v>
      </c>
      <c r="V4078" t="s">
        <v>162</v>
      </c>
      <c r="W4078" s="9">
        <v>46164.422319872683</v>
      </c>
      <c r="X4078" t="s">
        <v>113</v>
      </c>
      <c r="Y4078"/>
      <c r="Z4078"/>
      <c r="AA4078" t="s">
        <v>5059</v>
      </c>
      <c r="AB4078" t="s">
        <v>1</v>
      </c>
      <c r="AC4078" t="s">
        <v>24</v>
      </c>
      <c r="AD4078" t="s">
        <v>129</v>
      </c>
      <c r="AE4078" s="97"/>
    </row>
    <row r="4079" spans="1:31" ht="14.4" customHeight="1" x14ac:dyDescent="0.3">
      <c r="A4079" t="s">
        <v>6756</v>
      </c>
      <c r="B4079" t="s">
        <v>1788</v>
      </c>
      <c r="C4079"/>
      <c r="D4079"/>
      <c r="E4079"/>
      <c r="F4079"/>
      <c r="G4079" t="s">
        <v>6534</v>
      </c>
      <c r="H4079" t="s">
        <v>132</v>
      </c>
      <c r="I4079" t="s">
        <v>3</v>
      </c>
      <c r="J4079" t="s">
        <v>133</v>
      </c>
      <c r="K4079" t="s">
        <v>53</v>
      </c>
      <c r="L4079" t="s">
        <v>1789</v>
      </c>
      <c r="M4079" t="s">
        <v>134</v>
      </c>
      <c r="N4079" t="s">
        <v>135</v>
      </c>
      <c r="O4079"/>
      <c r="P4079"/>
      <c r="Q4079" t="s">
        <v>139</v>
      </c>
      <c r="R4079"/>
      <c r="S4079" t="s">
        <v>139</v>
      </c>
      <c r="T4079"/>
      <c r="U4079" t="s">
        <v>137</v>
      </c>
      <c r="V4079" t="s">
        <v>165</v>
      </c>
      <c r="W4079" s="9">
        <v>46164.422662696757</v>
      </c>
      <c r="X4079" t="s">
        <v>122</v>
      </c>
      <c r="Y4079"/>
      <c r="Z4079"/>
      <c r="AA4079" t="s">
        <v>5059</v>
      </c>
      <c r="AB4079" t="s">
        <v>1</v>
      </c>
      <c r="AC4079" t="s">
        <v>24</v>
      </c>
      <c r="AD4079" t="s">
        <v>130</v>
      </c>
      <c r="AE4079" s="97"/>
    </row>
    <row r="4080" spans="1:31" ht="14.4" customHeight="1" x14ac:dyDescent="0.3">
      <c r="A4080" t="s">
        <v>6673</v>
      </c>
      <c r="B4080" t="s">
        <v>1632</v>
      </c>
      <c r="C4080"/>
      <c r="D4080"/>
      <c r="E4080"/>
      <c r="F4080"/>
      <c r="G4080" t="s">
        <v>6672</v>
      </c>
      <c r="H4080" t="s">
        <v>132</v>
      </c>
      <c r="I4080" t="s">
        <v>1</v>
      </c>
      <c r="J4080" t="s">
        <v>133</v>
      </c>
      <c r="K4080" t="s">
        <v>51</v>
      </c>
      <c r="L4080" t="s">
        <v>1633</v>
      </c>
      <c r="M4080" t="s">
        <v>134</v>
      </c>
      <c r="N4080" t="s">
        <v>135</v>
      </c>
      <c r="O4080"/>
      <c r="P4080"/>
      <c r="Q4080" t="s">
        <v>168</v>
      </c>
      <c r="R4080"/>
      <c r="S4080" t="s">
        <v>168</v>
      </c>
      <c r="T4080"/>
      <c r="U4080" t="s">
        <v>137</v>
      </c>
      <c r="V4080" t="s">
        <v>147</v>
      </c>
      <c r="W4080"/>
      <c r="X4080" t="s">
        <v>70</v>
      </c>
      <c r="Y4080"/>
      <c r="Z4080"/>
      <c r="AA4080" t="s">
        <v>1579</v>
      </c>
      <c r="AB4080" t="s">
        <v>1</v>
      </c>
      <c r="AC4080" t="s">
        <v>138</v>
      </c>
      <c r="AD4080" t="s">
        <v>128</v>
      </c>
      <c r="AE4080" s="97"/>
    </row>
    <row r="4081" spans="1:31" ht="14.4" customHeight="1" x14ac:dyDescent="0.3">
      <c r="A4081" t="s">
        <v>6674</v>
      </c>
      <c r="B4081" t="s">
        <v>1634</v>
      </c>
      <c r="C4081"/>
      <c r="D4081"/>
      <c r="E4081"/>
      <c r="F4081"/>
      <c r="G4081" t="s">
        <v>6672</v>
      </c>
      <c r="H4081" t="s">
        <v>132</v>
      </c>
      <c r="I4081" t="s">
        <v>1</v>
      </c>
      <c r="J4081" t="s">
        <v>133</v>
      </c>
      <c r="K4081" t="s">
        <v>51</v>
      </c>
      <c r="L4081" t="s">
        <v>1633</v>
      </c>
      <c r="M4081" t="s">
        <v>134</v>
      </c>
      <c r="N4081" t="s">
        <v>135</v>
      </c>
      <c r="O4081"/>
      <c r="P4081"/>
      <c r="Q4081" t="s">
        <v>168</v>
      </c>
      <c r="R4081"/>
      <c r="S4081" t="s">
        <v>168</v>
      </c>
      <c r="T4081"/>
      <c r="U4081" t="s">
        <v>137</v>
      </c>
      <c r="V4081" t="s">
        <v>147</v>
      </c>
      <c r="W4081"/>
      <c r="X4081" t="s">
        <v>70</v>
      </c>
      <c r="Y4081"/>
      <c r="Z4081"/>
      <c r="AA4081" t="s">
        <v>1579</v>
      </c>
      <c r="AB4081" t="s">
        <v>1</v>
      </c>
      <c r="AC4081" t="s">
        <v>138</v>
      </c>
      <c r="AD4081" t="s">
        <v>128</v>
      </c>
      <c r="AE4081" s="97"/>
    </row>
    <row r="4082" spans="1:31" ht="14.4" customHeight="1" x14ac:dyDescent="0.3">
      <c r="A4082" t="s">
        <v>6675</v>
      </c>
      <c r="B4082" t="s">
        <v>1635</v>
      </c>
      <c r="C4082"/>
      <c r="D4082"/>
      <c r="E4082"/>
      <c r="F4082"/>
      <c r="G4082" t="s">
        <v>6672</v>
      </c>
      <c r="H4082" t="s">
        <v>132</v>
      </c>
      <c r="I4082" t="s">
        <v>1</v>
      </c>
      <c r="J4082" t="s">
        <v>133</v>
      </c>
      <c r="K4082" t="s">
        <v>51</v>
      </c>
      <c r="L4082" t="s">
        <v>1633</v>
      </c>
      <c r="M4082" t="s">
        <v>134</v>
      </c>
      <c r="N4082" t="s">
        <v>135</v>
      </c>
      <c r="O4082"/>
      <c r="P4082"/>
      <c r="Q4082" t="s">
        <v>168</v>
      </c>
      <c r="R4082"/>
      <c r="S4082" t="s">
        <v>168</v>
      </c>
      <c r="T4082"/>
      <c r="U4082" t="s">
        <v>137</v>
      </c>
      <c r="V4082" t="s">
        <v>147</v>
      </c>
      <c r="W4082"/>
      <c r="X4082" t="s">
        <v>70</v>
      </c>
      <c r="Y4082"/>
      <c r="Z4082"/>
      <c r="AA4082" t="s">
        <v>1579</v>
      </c>
      <c r="AB4082" t="s">
        <v>1</v>
      </c>
      <c r="AC4082" t="s">
        <v>138</v>
      </c>
      <c r="AD4082" t="s">
        <v>128</v>
      </c>
      <c r="AE4082" s="97"/>
    </row>
    <row r="4083" spans="1:31" ht="14.4" customHeight="1" x14ac:dyDescent="0.3">
      <c r="A4083" t="s">
        <v>6676</v>
      </c>
      <c r="B4083" t="s">
        <v>1652</v>
      </c>
      <c r="C4083"/>
      <c r="D4083"/>
      <c r="E4083"/>
      <c r="F4083"/>
      <c r="G4083" t="s">
        <v>6672</v>
      </c>
      <c r="H4083" t="s">
        <v>132</v>
      </c>
      <c r="I4083" t="s">
        <v>1</v>
      </c>
      <c r="J4083" t="s">
        <v>133</v>
      </c>
      <c r="K4083" t="s">
        <v>51</v>
      </c>
      <c r="L4083" t="s">
        <v>1653</v>
      </c>
      <c r="M4083" t="s">
        <v>134</v>
      </c>
      <c r="N4083" t="s">
        <v>135</v>
      </c>
      <c r="O4083"/>
      <c r="P4083"/>
      <c r="Q4083" t="s">
        <v>168</v>
      </c>
      <c r="R4083"/>
      <c r="S4083" t="s">
        <v>168</v>
      </c>
      <c r="T4083"/>
      <c r="U4083" t="s">
        <v>137</v>
      </c>
      <c r="V4083" t="s">
        <v>150</v>
      </c>
      <c r="W4083"/>
      <c r="X4083" t="s">
        <v>76</v>
      </c>
      <c r="Y4083"/>
      <c r="Z4083"/>
      <c r="AA4083" t="s">
        <v>1579</v>
      </c>
      <c r="AB4083" t="s">
        <v>1</v>
      </c>
      <c r="AC4083" t="s">
        <v>138</v>
      </c>
      <c r="AD4083" t="s">
        <v>128</v>
      </c>
      <c r="AE4083" s="97"/>
    </row>
    <row r="4084" spans="1:31" ht="14.4" customHeight="1" x14ac:dyDescent="0.3">
      <c r="A4084" t="s">
        <v>6677</v>
      </c>
      <c r="B4084" t="s">
        <v>1654</v>
      </c>
      <c r="C4084"/>
      <c r="D4084"/>
      <c r="E4084"/>
      <c r="F4084"/>
      <c r="G4084" t="s">
        <v>6672</v>
      </c>
      <c r="H4084" t="s">
        <v>132</v>
      </c>
      <c r="I4084" t="s">
        <v>1</v>
      </c>
      <c r="J4084" t="s">
        <v>133</v>
      </c>
      <c r="K4084" t="s">
        <v>51</v>
      </c>
      <c r="L4084" t="s">
        <v>1653</v>
      </c>
      <c r="M4084" t="s">
        <v>134</v>
      </c>
      <c r="N4084" t="s">
        <v>135</v>
      </c>
      <c r="O4084"/>
      <c r="P4084"/>
      <c r="Q4084" t="s">
        <v>168</v>
      </c>
      <c r="R4084"/>
      <c r="S4084" t="s">
        <v>168</v>
      </c>
      <c r="T4084"/>
      <c r="U4084" t="s">
        <v>137</v>
      </c>
      <c r="V4084" t="s">
        <v>150</v>
      </c>
      <c r="W4084"/>
      <c r="X4084" t="s">
        <v>76</v>
      </c>
      <c r="Y4084"/>
      <c r="Z4084"/>
      <c r="AA4084" t="s">
        <v>1579</v>
      </c>
      <c r="AB4084" t="s">
        <v>1</v>
      </c>
      <c r="AC4084" t="s">
        <v>138</v>
      </c>
      <c r="AD4084" t="s">
        <v>128</v>
      </c>
      <c r="AE4084" s="97"/>
    </row>
    <row r="4085" spans="1:31" ht="14.4" customHeight="1" x14ac:dyDescent="0.3">
      <c r="A4085" t="s">
        <v>6678</v>
      </c>
      <c r="B4085" t="s">
        <v>1655</v>
      </c>
      <c r="C4085"/>
      <c r="D4085"/>
      <c r="E4085"/>
      <c r="F4085"/>
      <c r="G4085" t="s">
        <v>6672</v>
      </c>
      <c r="H4085" t="s">
        <v>132</v>
      </c>
      <c r="I4085" t="s">
        <v>1</v>
      </c>
      <c r="J4085" t="s">
        <v>133</v>
      </c>
      <c r="K4085" t="s">
        <v>51</v>
      </c>
      <c r="L4085" t="s">
        <v>1653</v>
      </c>
      <c r="M4085" t="s">
        <v>134</v>
      </c>
      <c r="N4085" t="s">
        <v>135</v>
      </c>
      <c r="O4085"/>
      <c r="P4085"/>
      <c r="Q4085" t="s">
        <v>168</v>
      </c>
      <c r="R4085"/>
      <c r="S4085" t="s">
        <v>168</v>
      </c>
      <c r="T4085"/>
      <c r="U4085" t="s">
        <v>137</v>
      </c>
      <c r="V4085" t="s">
        <v>150</v>
      </c>
      <c r="W4085"/>
      <c r="X4085" t="s">
        <v>76</v>
      </c>
      <c r="Y4085"/>
      <c r="Z4085"/>
      <c r="AA4085" t="s">
        <v>1579</v>
      </c>
      <c r="AB4085" t="s">
        <v>1</v>
      </c>
      <c r="AC4085" t="s">
        <v>138</v>
      </c>
      <c r="AD4085" t="s">
        <v>128</v>
      </c>
      <c r="AE4085" s="97"/>
    </row>
    <row r="4086" spans="1:31" ht="14.4" customHeight="1" x14ac:dyDescent="0.3">
      <c r="A4086" t="s">
        <v>6679</v>
      </c>
      <c r="B4086" t="s">
        <v>1672</v>
      </c>
      <c r="C4086"/>
      <c r="D4086"/>
      <c r="E4086"/>
      <c r="F4086"/>
      <c r="G4086" t="s">
        <v>6672</v>
      </c>
      <c r="H4086" t="s">
        <v>132</v>
      </c>
      <c r="I4086" t="s">
        <v>1</v>
      </c>
      <c r="J4086" t="s">
        <v>133</v>
      </c>
      <c r="K4086" t="s">
        <v>51</v>
      </c>
      <c r="L4086" t="s">
        <v>1673</v>
      </c>
      <c r="M4086" t="s">
        <v>134</v>
      </c>
      <c r="N4086" t="s">
        <v>135</v>
      </c>
      <c r="O4086"/>
      <c r="P4086"/>
      <c r="Q4086" t="s">
        <v>168</v>
      </c>
      <c r="R4086"/>
      <c r="S4086" t="s">
        <v>168</v>
      </c>
      <c r="T4086"/>
      <c r="U4086" t="s">
        <v>137</v>
      </c>
      <c r="V4086" t="s">
        <v>153</v>
      </c>
      <c r="W4086"/>
      <c r="X4086" t="s">
        <v>88</v>
      </c>
      <c r="Y4086"/>
      <c r="Z4086"/>
      <c r="AA4086" t="s">
        <v>1579</v>
      </c>
      <c r="AB4086" t="s">
        <v>1</v>
      </c>
      <c r="AC4086" t="s">
        <v>138</v>
      </c>
      <c r="AD4086" t="s">
        <v>129</v>
      </c>
      <c r="AE4086" s="97"/>
    </row>
    <row r="4087" spans="1:31" ht="14.4" customHeight="1" x14ac:dyDescent="0.3">
      <c r="A4087" t="s">
        <v>6680</v>
      </c>
      <c r="B4087" t="s">
        <v>1674</v>
      </c>
      <c r="C4087"/>
      <c r="D4087"/>
      <c r="E4087"/>
      <c r="F4087"/>
      <c r="G4087" t="s">
        <v>6672</v>
      </c>
      <c r="H4087" t="s">
        <v>132</v>
      </c>
      <c r="I4087" t="s">
        <v>1</v>
      </c>
      <c r="J4087" t="s">
        <v>133</v>
      </c>
      <c r="K4087" t="s">
        <v>51</v>
      </c>
      <c r="L4087" t="s">
        <v>1673</v>
      </c>
      <c r="M4087" t="s">
        <v>134</v>
      </c>
      <c r="N4087" t="s">
        <v>135</v>
      </c>
      <c r="O4087"/>
      <c r="P4087"/>
      <c r="Q4087" t="s">
        <v>168</v>
      </c>
      <c r="R4087"/>
      <c r="S4087" t="s">
        <v>168</v>
      </c>
      <c r="T4087"/>
      <c r="U4087" t="s">
        <v>137</v>
      </c>
      <c r="V4087" t="s">
        <v>153</v>
      </c>
      <c r="W4087"/>
      <c r="X4087" t="s">
        <v>88</v>
      </c>
      <c r="Y4087"/>
      <c r="Z4087"/>
      <c r="AA4087" t="s">
        <v>1579</v>
      </c>
      <c r="AB4087" t="s">
        <v>1</v>
      </c>
      <c r="AC4087" t="s">
        <v>138</v>
      </c>
      <c r="AD4087" t="s">
        <v>129</v>
      </c>
      <c r="AE4087" s="97"/>
    </row>
    <row r="4088" spans="1:31" ht="14.4" customHeight="1" x14ac:dyDescent="0.3">
      <c r="A4088" t="s">
        <v>6681</v>
      </c>
      <c r="B4088" t="s">
        <v>1675</v>
      </c>
      <c r="C4088"/>
      <c r="D4088"/>
      <c r="E4088"/>
      <c r="F4088"/>
      <c r="G4088" t="s">
        <v>6672</v>
      </c>
      <c r="H4088" t="s">
        <v>132</v>
      </c>
      <c r="I4088" t="s">
        <v>1</v>
      </c>
      <c r="J4088" t="s">
        <v>133</v>
      </c>
      <c r="K4088" t="s">
        <v>51</v>
      </c>
      <c r="L4088" t="s">
        <v>1673</v>
      </c>
      <c r="M4088" t="s">
        <v>134</v>
      </c>
      <c r="N4088" t="s">
        <v>135</v>
      </c>
      <c r="O4088"/>
      <c r="P4088"/>
      <c r="Q4088" t="s">
        <v>168</v>
      </c>
      <c r="R4088"/>
      <c r="S4088" t="s">
        <v>168</v>
      </c>
      <c r="T4088"/>
      <c r="U4088" t="s">
        <v>137</v>
      </c>
      <c r="V4088" t="s">
        <v>153</v>
      </c>
      <c r="W4088"/>
      <c r="X4088" t="s">
        <v>88</v>
      </c>
      <c r="Y4088"/>
      <c r="Z4088"/>
      <c r="AA4088" t="s">
        <v>1579</v>
      </c>
      <c r="AB4088" t="s">
        <v>1</v>
      </c>
      <c r="AC4088" t="s">
        <v>138</v>
      </c>
      <c r="AD4088" t="s">
        <v>129</v>
      </c>
      <c r="AE4088" s="97"/>
    </row>
    <row r="4089" spans="1:31" ht="14.4" customHeight="1" x14ac:dyDescent="0.3">
      <c r="A4089" t="s">
        <v>6682</v>
      </c>
      <c r="B4089" t="s">
        <v>1692</v>
      </c>
      <c r="C4089"/>
      <c r="D4089"/>
      <c r="E4089"/>
      <c r="F4089"/>
      <c r="G4089" t="s">
        <v>6672</v>
      </c>
      <c r="H4089" t="s">
        <v>132</v>
      </c>
      <c r="I4089" t="s">
        <v>1</v>
      </c>
      <c r="J4089" t="s">
        <v>133</v>
      </c>
      <c r="K4089" t="s">
        <v>51</v>
      </c>
      <c r="L4089" t="s">
        <v>1693</v>
      </c>
      <c r="M4089" t="s">
        <v>134</v>
      </c>
      <c r="N4089" t="s">
        <v>135</v>
      </c>
      <c r="O4089"/>
      <c r="P4089"/>
      <c r="Q4089" t="s">
        <v>168</v>
      </c>
      <c r="R4089"/>
      <c r="S4089" t="s">
        <v>168</v>
      </c>
      <c r="T4089"/>
      <c r="U4089" t="s">
        <v>137</v>
      </c>
      <c r="V4089" t="s">
        <v>156</v>
      </c>
      <c r="W4089"/>
      <c r="X4089" t="s">
        <v>97</v>
      </c>
      <c r="Y4089"/>
      <c r="Z4089"/>
      <c r="AA4089" t="s">
        <v>1579</v>
      </c>
      <c r="AB4089" t="s">
        <v>1</v>
      </c>
      <c r="AC4089" t="s">
        <v>138</v>
      </c>
      <c r="AD4089" t="s">
        <v>129</v>
      </c>
      <c r="AE4089" s="97"/>
    </row>
    <row r="4090" spans="1:31" ht="14.4" customHeight="1" x14ac:dyDescent="0.3">
      <c r="A4090" t="s">
        <v>6683</v>
      </c>
      <c r="B4090" t="s">
        <v>1694</v>
      </c>
      <c r="C4090"/>
      <c r="D4090"/>
      <c r="E4090"/>
      <c r="F4090"/>
      <c r="G4090" t="s">
        <v>6672</v>
      </c>
      <c r="H4090" t="s">
        <v>132</v>
      </c>
      <c r="I4090" t="s">
        <v>1</v>
      </c>
      <c r="J4090" t="s">
        <v>133</v>
      </c>
      <c r="K4090" t="s">
        <v>51</v>
      </c>
      <c r="L4090" t="s">
        <v>1693</v>
      </c>
      <c r="M4090" t="s">
        <v>134</v>
      </c>
      <c r="N4090" t="s">
        <v>135</v>
      </c>
      <c r="O4090"/>
      <c r="P4090"/>
      <c r="Q4090" t="s">
        <v>168</v>
      </c>
      <c r="R4090"/>
      <c r="S4090" t="s">
        <v>168</v>
      </c>
      <c r="T4090"/>
      <c r="U4090" t="s">
        <v>137</v>
      </c>
      <c r="V4090" t="s">
        <v>156</v>
      </c>
      <c r="W4090"/>
      <c r="X4090" t="s">
        <v>97</v>
      </c>
      <c r="Y4090"/>
      <c r="Z4090"/>
      <c r="AA4090" t="s">
        <v>1579</v>
      </c>
      <c r="AB4090" t="s">
        <v>1</v>
      </c>
      <c r="AC4090" t="s">
        <v>138</v>
      </c>
      <c r="AD4090" t="s">
        <v>129</v>
      </c>
      <c r="AE4090" s="97"/>
    </row>
    <row r="4091" spans="1:31" ht="14.4" customHeight="1" x14ac:dyDescent="0.3">
      <c r="A4091" t="s">
        <v>6684</v>
      </c>
      <c r="B4091" t="s">
        <v>1695</v>
      </c>
      <c r="C4091"/>
      <c r="D4091"/>
      <c r="E4091"/>
      <c r="F4091"/>
      <c r="G4091" t="s">
        <v>6672</v>
      </c>
      <c r="H4091" t="s">
        <v>132</v>
      </c>
      <c r="I4091" t="s">
        <v>1</v>
      </c>
      <c r="J4091" t="s">
        <v>133</v>
      </c>
      <c r="K4091" t="s">
        <v>51</v>
      </c>
      <c r="L4091" t="s">
        <v>1693</v>
      </c>
      <c r="M4091" t="s">
        <v>134</v>
      </c>
      <c r="N4091" t="s">
        <v>135</v>
      </c>
      <c r="O4091"/>
      <c r="P4091"/>
      <c r="Q4091" t="s">
        <v>168</v>
      </c>
      <c r="R4091"/>
      <c r="S4091" t="s">
        <v>168</v>
      </c>
      <c r="T4091"/>
      <c r="U4091" t="s">
        <v>137</v>
      </c>
      <c r="V4091" t="s">
        <v>156</v>
      </c>
      <c r="W4091"/>
      <c r="X4091" t="s">
        <v>97</v>
      </c>
      <c r="Y4091"/>
      <c r="Z4091"/>
      <c r="AA4091" t="s">
        <v>1579</v>
      </c>
      <c r="AB4091" t="s">
        <v>1</v>
      </c>
      <c r="AC4091" t="s">
        <v>138</v>
      </c>
      <c r="AD4091" t="s">
        <v>129</v>
      </c>
      <c r="AE4091" s="97"/>
    </row>
    <row r="4092" spans="1:31" ht="14.4" customHeight="1" x14ac:dyDescent="0.3">
      <c r="A4092" t="s">
        <v>6685</v>
      </c>
      <c r="B4092" t="s">
        <v>1712</v>
      </c>
      <c r="C4092"/>
      <c r="D4092"/>
      <c r="E4092"/>
      <c r="F4092"/>
      <c r="G4092" t="s">
        <v>6672</v>
      </c>
      <c r="H4092" t="s">
        <v>132</v>
      </c>
      <c r="I4092" t="s">
        <v>1</v>
      </c>
      <c r="J4092" t="s">
        <v>133</v>
      </c>
      <c r="K4092" t="s">
        <v>51</v>
      </c>
      <c r="L4092" t="s">
        <v>1713</v>
      </c>
      <c r="M4092" t="s">
        <v>134</v>
      </c>
      <c r="N4092" t="s">
        <v>135</v>
      </c>
      <c r="O4092"/>
      <c r="P4092"/>
      <c r="Q4092" t="s">
        <v>168</v>
      </c>
      <c r="R4092"/>
      <c r="S4092" t="s">
        <v>168</v>
      </c>
      <c r="T4092"/>
      <c r="U4092" t="s">
        <v>137</v>
      </c>
      <c r="V4092" t="s">
        <v>159</v>
      </c>
      <c r="W4092"/>
      <c r="X4092" t="s">
        <v>106</v>
      </c>
      <c r="Y4092"/>
      <c r="Z4092"/>
      <c r="AA4092" t="s">
        <v>1579</v>
      </c>
      <c r="AB4092" t="s">
        <v>1</v>
      </c>
      <c r="AC4092" t="s">
        <v>138</v>
      </c>
      <c r="AD4092" t="s">
        <v>129</v>
      </c>
      <c r="AE4092" s="97"/>
    </row>
    <row r="4093" spans="1:31" ht="14.4" customHeight="1" x14ac:dyDescent="0.3">
      <c r="A4093" t="s">
        <v>6686</v>
      </c>
      <c r="B4093" t="s">
        <v>1714</v>
      </c>
      <c r="C4093"/>
      <c r="D4093"/>
      <c r="E4093"/>
      <c r="F4093"/>
      <c r="G4093" t="s">
        <v>6672</v>
      </c>
      <c r="H4093" t="s">
        <v>132</v>
      </c>
      <c r="I4093" t="s">
        <v>1</v>
      </c>
      <c r="J4093" t="s">
        <v>133</v>
      </c>
      <c r="K4093" t="s">
        <v>51</v>
      </c>
      <c r="L4093" t="s">
        <v>1713</v>
      </c>
      <c r="M4093" t="s">
        <v>134</v>
      </c>
      <c r="N4093" t="s">
        <v>135</v>
      </c>
      <c r="O4093"/>
      <c r="P4093"/>
      <c r="Q4093" t="s">
        <v>168</v>
      </c>
      <c r="R4093"/>
      <c r="S4093" t="s">
        <v>168</v>
      </c>
      <c r="T4093"/>
      <c r="U4093" t="s">
        <v>137</v>
      </c>
      <c r="V4093" t="s">
        <v>159</v>
      </c>
      <c r="W4093"/>
      <c r="X4093" t="s">
        <v>106</v>
      </c>
      <c r="Y4093"/>
      <c r="Z4093"/>
      <c r="AA4093" t="s">
        <v>1579</v>
      </c>
      <c r="AB4093" t="s">
        <v>1</v>
      </c>
      <c r="AC4093" t="s">
        <v>138</v>
      </c>
      <c r="AD4093" t="s">
        <v>129</v>
      </c>
      <c r="AE4093" s="97"/>
    </row>
    <row r="4094" spans="1:31" ht="14.4" customHeight="1" x14ac:dyDescent="0.3">
      <c r="A4094" t="s">
        <v>6687</v>
      </c>
      <c r="B4094" t="s">
        <v>1715</v>
      </c>
      <c r="C4094"/>
      <c r="D4094"/>
      <c r="E4094"/>
      <c r="F4094"/>
      <c r="G4094" t="s">
        <v>6672</v>
      </c>
      <c r="H4094" t="s">
        <v>132</v>
      </c>
      <c r="I4094" t="s">
        <v>1</v>
      </c>
      <c r="J4094" t="s">
        <v>133</v>
      </c>
      <c r="K4094" t="s">
        <v>51</v>
      </c>
      <c r="L4094" t="s">
        <v>1713</v>
      </c>
      <c r="M4094" t="s">
        <v>134</v>
      </c>
      <c r="N4094" t="s">
        <v>135</v>
      </c>
      <c r="O4094"/>
      <c r="P4094"/>
      <c r="Q4094" t="s">
        <v>168</v>
      </c>
      <c r="R4094"/>
      <c r="S4094" t="s">
        <v>168</v>
      </c>
      <c r="T4094"/>
      <c r="U4094" t="s">
        <v>137</v>
      </c>
      <c r="V4094" t="s">
        <v>159</v>
      </c>
      <c r="W4094"/>
      <c r="X4094" t="s">
        <v>106</v>
      </c>
      <c r="Y4094"/>
      <c r="Z4094"/>
      <c r="AA4094" t="s">
        <v>1579</v>
      </c>
      <c r="AB4094" t="s">
        <v>1</v>
      </c>
      <c r="AC4094" t="s">
        <v>138</v>
      </c>
      <c r="AD4094" t="s">
        <v>129</v>
      </c>
      <c r="AE4094" s="97"/>
    </row>
    <row r="4095" spans="1:31" ht="14.4" customHeight="1" x14ac:dyDescent="0.3">
      <c r="A4095" t="s">
        <v>6688</v>
      </c>
      <c r="B4095" t="s">
        <v>1732</v>
      </c>
      <c r="C4095"/>
      <c r="D4095"/>
      <c r="E4095"/>
      <c r="F4095"/>
      <c r="G4095" t="s">
        <v>6672</v>
      </c>
      <c r="H4095" t="s">
        <v>132</v>
      </c>
      <c r="I4095" t="s">
        <v>1</v>
      </c>
      <c r="J4095" t="s">
        <v>133</v>
      </c>
      <c r="K4095" t="s">
        <v>51</v>
      </c>
      <c r="L4095" t="s">
        <v>1733</v>
      </c>
      <c r="M4095" t="s">
        <v>134</v>
      </c>
      <c r="N4095" t="s">
        <v>135</v>
      </c>
      <c r="O4095"/>
      <c r="P4095"/>
      <c r="Q4095" t="s">
        <v>168</v>
      </c>
      <c r="R4095"/>
      <c r="S4095" t="s">
        <v>168</v>
      </c>
      <c r="T4095"/>
      <c r="U4095" t="s">
        <v>137</v>
      </c>
      <c r="V4095" t="s">
        <v>162</v>
      </c>
      <c r="W4095"/>
      <c r="X4095" t="s">
        <v>113</v>
      </c>
      <c r="Y4095"/>
      <c r="Z4095"/>
      <c r="AA4095" t="s">
        <v>1579</v>
      </c>
      <c r="AB4095" t="s">
        <v>1</v>
      </c>
      <c r="AC4095" t="s">
        <v>138</v>
      </c>
      <c r="AD4095" t="s">
        <v>129</v>
      </c>
      <c r="AE4095" s="97"/>
    </row>
    <row r="4096" spans="1:31" ht="14.4" customHeight="1" x14ac:dyDescent="0.3">
      <c r="A4096" t="s">
        <v>6689</v>
      </c>
      <c r="B4096" t="s">
        <v>1734</v>
      </c>
      <c r="C4096"/>
      <c r="D4096"/>
      <c r="E4096"/>
      <c r="F4096"/>
      <c r="G4096" t="s">
        <v>6672</v>
      </c>
      <c r="H4096" t="s">
        <v>132</v>
      </c>
      <c r="I4096" t="s">
        <v>1</v>
      </c>
      <c r="J4096" t="s">
        <v>133</v>
      </c>
      <c r="K4096" t="s">
        <v>51</v>
      </c>
      <c r="L4096" t="s">
        <v>1733</v>
      </c>
      <c r="M4096" t="s">
        <v>134</v>
      </c>
      <c r="N4096" t="s">
        <v>135</v>
      </c>
      <c r="O4096"/>
      <c r="P4096"/>
      <c r="Q4096" t="s">
        <v>168</v>
      </c>
      <c r="R4096"/>
      <c r="S4096" t="s">
        <v>168</v>
      </c>
      <c r="T4096"/>
      <c r="U4096" t="s">
        <v>137</v>
      </c>
      <c r="V4096" t="s">
        <v>162</v>
      </c>
      <c r="W4096"/>
      <c r="X4096" t="s">
        <v>113</v>
      </c>
      <c r="Y4096"/>
      <c r="Z4096"/>
      <c r="AA4096" t="s">
        <v>1579</v>
      </c>
      <c r="AB4096" t="s">
        <v>1</v>
      </c>
      <c r="AC4096" t="s">
        <v>138</v>
      </c>
      <c r="AD4096" t="s">
        <v>129</v>
      </c>
      <c r="AE4096" s="97"/>
    </row>
    <row r="4097" spans="1:31" ht="14.4" customHeight="1" x14ac:dyDescent="0.3">
      <c r="A4097" t="s">
        <v>6690</v>
      </c>
      <c r="B4097" t="s">
        <v>1735</v>
      </c>
      <c r="C4097"/>
      <c r="D4097"/>
      <c r="E4097"/>
      <c r="F4097"/>
      <c r="G4097" t="s">
        <v>6672</v>
      </c>
      <c r="H4097" t="s">
        <v>132</v>
      </c>
      <c r="I4097" t="s">
        <v>1</v>
      </c>
      <c r="J4097" t="s">
        <v>133</v>
      </c>
      <c r="K4097" t="s">
        <v>51</v>
      </c>
      <c r="L4097" t="s">
        <v>1733</v>
      </c>
      <c r="M4097" t="s">
        <v>134</v>
      </c>
      <c r="N4097" t="s">
        <v>135</v>
      </c>
      <c r="O4097"/>
      <c r="P4097"/>
      <c r="Q4097" t="s">
        <v>168</v>
      </c>
      <c r="R4097"/>
      <c r="S4097" t="s">
        <v>168</v>
      </c>
      <c r="T4097"/>
      <c r="U4097" t="s">
        <v>137</v>
      </c>
      <c r="V4097" t="s">
        <v>162</v>
      </c>
      <c r="W4097"/>
      <c r="X4097" t="s">
        <v>113</v>
      </c>
      <c r="Y4097"/>
      <c r="Z4097"/>
      <c r="AA4097" t="s">
        <v>1579</v>
      </c>
      <c r="AB4097" t="s">
        <v>1</v>
      </c>
      <c r="AC4097" t="s">
        <v>138</v>
      </c>
      <c r="AD4097" t="s">
        <v>129</v>
      </c>
      <c r="AE4097" s="97"/>
    </row>
    <row r="4098" spans="1:31" ht="14.4" customHeight="1" x14ac:dyDescent="0.3">
      <c r="A4098" t="s">
        <v>6691</v>
      </c>
      <c r="B4098" t="s">
        <v>1752</v>
      </c>
      <c r="C4098"/>
      <c r="D4098"/>
      <c r="E4098"/>
      <c r="F4098"/>
      <c r="G4098" t="s">
        <v>6672</v>
      </c>
      <c r="H4098" t="s">
        <v>132</v>
      </c>
      <c r="I4098" t="s">
        <v>1</v>
      </c>
      <c r="J4098" t="s">
        <v>133</v>
      </c>
      <c r="K4098" t="s">
        <v>51</v>
      </c>
      <c r="L4098" t="s">
        <v>1753</v>
      </c>
      <c r="M4098" t="s">
        <v>134</v>
      </c>
      <c r="N4098" t="s">
        <v>135</v>
      </c>
      <c r="O4098"/>
      <c r="P4098"/>
      <c r="Q4098" t="s">
        <v>168</v>
      </c>
      <c r="R4098"/>
      <c r="S4098" t="s">
        <v>168</v>
      </c>
      <c r="T4098"/>
      <c r="U4098" t="s">
        <v>137</v>
      </c>
      <c r="V4098" t="s">
        <v>165</v>
      </c>
      <c r="W4098"/>
      <c r="X4098" t="s">
        <v>122</v>
      </c>
      <c r="Y4098"/>
      <c r="Z4098"/>
      <c r="AA4098" t="s">
        <v>1579</v>
      </c>
      <c r="AB4098" t="s">
        <v>1</v>
      </c>
      <c r="AC4098" t="s">
        <v>138</v>
      </c>
      <c r="AD4098" t="s">
        <v>130</v>
      </c>
      <c r="AE4098" s="97"/>
    </row>
    <row r="4099" spans="1:31" ht="14.4" customHeight="1" x14ac:dyDescent="0.3">
      <c r="A4099" t="s">
        <v>6692</v>
      </c>
      <c r="B4099" t="s">
        <v>1754</v>
      </c>
      <c r="C4099"/>
      <c r="D4099"/>
      <c r="E4099"/>
      <c r="F4099"/>
      <c r="G4099" t="s">
        <v>6672</v>
      </c>
      <c r="H4099" t="s">
        <v>132</v>
      </c>
      <c r="I4099" t="s">
        <v>1</v>
      </c>
      <c r="J4099" t="s">
        <v>133</v>
      </c>
      <c r="K4099" t="s">
        <v>51</v>
      </c>
      <c r="L4099" t="s">
        <v>1753</v>
      </c>
      <c r="M4099" t="s">
        <v>134</v>
      </c>
      <c r="N4099" t="s">
        <v>135</v>
      </c>
      <c r="O4099"/>
      <c r="P4099"/>
      <c r="Q4099" t="s">
        <v>168</v>
      </c>
      <c r="R4099"/>
      <c r="S4099" t="s">
        <v>168</v>
      </c>
      <c r="T4099"/>
      <c r="U4099" t="s">
        <v>137</v>
      </c>
      <c r="V4099" t="s">
        <v>165</v>
      </c>
      <c r="W4099"/>
      <c r="X4099" t="s">
        <v>122</v>
      </c>
      <c r="Y4099"/>
      <c r="Z4099"/>
      <c r="AA4099" t="s">
        <v>1579</v>
      </c>
      <c r="AB4099" t="s">
        <v>1</v>
      </c>
      <c r="AC4099" t="s">
        <v>138</v>
      </c>
      <c r="AD4099" t="s">
        <v>130</v>
      </c>
      <c r="AE4099" s="97"/>
    </row>
    <row r="4100" spans="1:31" ht="14.4" customHeight="1" x14ac:dyDescent="0.3">
      <c r="A4100" t="s">
        <v>6693</v>
      </c>
      <c r="B4100" t="s">
        <v>1755</v>
      </c>
      <c r="C4100"/>
      <c r="D4100"/>
      <c r="E4100"/>
      <c r="F4100"/>
      <c r="G4100" t="s">
        <v>6672</v>
      </c>
      <c r="H4100" t="s">
        <v>132</v>
      </c>
      <c r="I4100" t="s">
        <v>1</v>
      </c>
      <c r="J4100" t="s">
        <v>133</v>
      </c>
      <c r="K4100" t="s">
        <v>51</v>
      </c>
      <c r="L4100" t="s">
        <v>1753</v>
      </c>
      <c r="M4100" t="s">
        <v>134</v>
      </c>
      <c r="N4100" t="s">
        <v>135</v>
      </c>
      <c r="O4100"/>
      <c r="P4100"/>
      <c r="Q4100" t="s">
        <v>168</v>
      </c>
      <c r="R4100"/>
      <c r="S4100" t="s">
        <v>168</v>
      </c>
      <c r="T4100"/>
      <c r="U4100" t="s">
        <v>137</v>
      </c>
      <c r="V4100" t="s">
        <v>165</v>
      </c>
      <c r="W4100"/>
      <c r="X4100" t="s">
        <v>122</v>
      </c>
      <c r="Y4100"/>
      <c r="Z4100"/>
      <c r="AA4100" t="s">
        <v>1579</v>
      </c>
      <c r="AB4100" t="s">
        <v>1</v>
      </c>
      <c r="AC4100" t="s">
        <v>138</v>
      </c>
      <c r="AD4100" t="s">
        <v>130</v>
      </c>
      <c r="AE4100" s="97"/>
    </row>
    <row r="4101" spans="1:31" ht="14.4" customHeight="1" x14ac:dyDescent="0.3">
      <c r="A4101" t="s">
        <v>6694</v>
      </c>
      <c r="B4101" t="s">
        <v>1762</v>
      </c>
      <c r="C4101"/>
      <c r="D4101"/>
      <c r="E4101"/>
      <c r="F4101"/>
      <c r="G4101" t="s">
        <v>6672</v>
      </c>
      <c r="H4101" t="s">
        <v>132</v>
      </c>
      <c r="I4101" t="s">
        <v>1</v>
      </c>
      <c r="J4101" t="s">
        <v>133</v>
      </c>
      <c r="K4101" t="s">
        <v>51</v>
      </c>
      <c r="L4101" t="s">
        <v>1763</v>
      </c>
      <c r="M4101" t="s">
        <v>134</v>
      </c>
      <c r="N4101" t="s">
        <v>135</v>
      </c>
      <c r="O4101"/>
      <c r="P4101"/>
      <c r="Q4101" t="s">
        <v>168</v>
      </c>
      <c r="R4101"/>
      <c r="S4101" t="s">
        <v>168</v>
      </c>
      <c r="T4101"/>
      <c r="U4101" t="s">
        <v>137</v>
      </c>
      <c r="V4101" t="s">
        <v>352</v>
      </c>
      <c r="W4101"/>
      <c r="X4101" t="s">
        <v>56</v>
      </c>
      <c r="Y4101"/>
      <c r="Z4101"/>
      <c r="AA4101" t="s">
        <v>1579</v>
      </c>
      <c r="AB4101" t="s">
        <v>1</v>
      </c>
      <c r="AC4101" t="s">
        <v>138</v>
      </c>
      <c r="AD4101" t="s">
        <v>128</v>
      </c>
      <c r="AE4101" s="97"/>
    </row>
    <row r="4102" spans="1:31" ht="14.4" customHeight="1" x14ac:dyDescent="0.3">
      <c r="A4102" t="s">
        <v>6695</v>
      </c>
      <c r="B4102" t="s">
        <v>1764</v>
      </c>
      <c r="C4102"/>
      <c r="D4102"/>
      <c r="E4102"/>
      <c r="F4102"/>
      <c r="G4102" t="s">
        <v>6672</v>
      </c>
      <c r="H4102" t="s">
        <v>132</v>
      </c>
      <c r="I4102" t="s">
        <v>1</v>
      </c>
      <c r="J4102" t="s">
        <v>133</v>
      </c>
      <c r="K4102" t="s">
        <v>51</v>
      </c>
      <c r="L4102" t="s">
        <v>1763</v>
      </c>
      <c r="M4102" t="s">
        <v>134</v>
      </c>
      <c r="N4102" t="s">
        <v>135</v>
      </c>
      <c r="O4102"/>
      <c r="P4102"/>
      <c r="Q4102" t="s">
        <v>168</v>
      </c>
      <c r="R4102"/>
      <c r="S4102" t="s">
        <v>168</v>
      </c>
      <c r="T4102"/>
      <c r="U4102" t="s">
        <v>137</v>
      </c>
      <c r="V4102" t="s">
        <v>352</v>
      </c>
      <c r="W4102"/>
      <c r="X4102" t="s">
        <v>56</v>
      </c>
      <c r="Y4102"/>
      <c r="Z4102"/>
      <c r="AA4102" t="s">
        <v>1579</v>
      </c>
      <c r="AB4102" t="s">
        <v>1</v>
      </c>
      <c r="AC4102" t="s">
        <v>138</v>
      </c>
      <c r="AD4102" t="s">
        <v>128</v>
      </c>
      <c r="AE4102" s="97"/>
    </row>
    <row r="4103" spans="1:31" ht="14.4" customHeight="1" x14ac:dyDescent="0.3">
      <c r="A4103" t="s">
        <v>6696</v>
      </c>
      <c r="B4103" t="s">
        <v>6651</v>
      </c>
      <c r="C4103"/>
      <c r="D4103"/>
      <c r="E4103"/>
      <c r="F4103"/>
      <c r="G4103" t="s">
        <v>6672</v>
      </c>
      <c r="H4103" t="s">
        <v>132</v>
      </c>
      <c r="I4103" t="s">
        <v>1</v>
      </c>
      <c r="J4103" t="s">
        <v>133</v>
      </c>
      <c r="K4103" t="s">
        <v>51</v>
      </c>
      <c r="L4103" t="s">
        <v>1763</v>
      </c>
      <c r="M4103" t="s">
        <v>134</v>
      </c>
      <c r="N4103" t="s">
        <v>135</v>
      </c>
      <c r="O4103"/>
      <c r="P4103"/>
      <c r="Q4103" t="s">
        <v>168</v>
      </c>
      <c r="R4103"/>
      <c r="S4103" t="s">
        <v>168</v>
      </c>
      <c r="T4103"/>
      <c r="U4103" t="s">
        <v>137</v>
      </c>
      <c r="V4103" t="s">
        <v>352</v>
      </c>
      <c r="W4103"/>
      <c r="X4103" t="s">
        <v>56</v>
      </c>
      <c r="Y4103"/>
      <c r="Z4103"/>
      <c r="AA4103" t="s">
        <v>1579</v>
      </c>
      <c r="AB4103" t="s">
        <v>1</v>
      </c>
      <c r="AC4103" t="s">
        <v>138</v>
      </c>
      <c r="AD4103" t="s">
        <v>128</v>
      </c>
      <c r="AE4103" s="97"/>
    </row>
    <row r="4104" spans="1:31" ht="14.4" customHeight="1" x14ac:dyDescent="0.3">
      <c r="A4104" t="s">
        <v>6697</v>
      </c>
      <c r="B4104" t="s">
        <v>6652</v>
      </c>
      <c r="C4104"/>
      <c r="D4104"/>
      <c r="E4104"/>
      <c r="F4104"/>
      <c r="G4104" t="s">
        <v>6672</v>
      </c>
      <c r="H4104" t="s">
        <v>132</v>
      </c>
      <c r="I4104" t="s">
        <v>1</v>
      </c>
      <c r="J4104" t="s">
        <v>133</v>
      </c>
      <c r="K4104" t="s">
        <v>51</v>
      </c>
      <c r="L4104" t="s">
        <v>1763</v>
      </c>
      <c r="M4104" t="s">
        <v>134</v>
      </c>
      <c r="N4104" t="s">
        <v>135</v>
      </c>
      <c r="O4104"/>
      <c r="P4104"/>
      <c r="Q4104" t="s">
        <v>168</v>
      </c>
      <c r="R4104"/>
      <c r="S4104" t="s">
        <v>168</v>
      </c>
      <c r="T4104"/>
      <c r="U4104" t="s">
        <v>137</v>
      </c>
      <c r="V4104" t="s">
        <v>352</v>
      </c>
      <c r="W4104"/>
      <c r="X4104" t="s">
        <v>56</v>
      </c>
      <c r="Y4104"/>
      <c r="Z4104"/>
      <c r="AA4104" t="s">
        <v>1579</v>
      </c>
      <c r="AB4104" t="s">
        <v>1</v>
      </c>
      <c r="AC4104" t="s">
        <v>138</v>
      </c>
      <c r="AD4104" t="s">
        <v>128</v>
      </c>
      <c r="AE4104" s="97"/>
    </row>
    <row r="4105" spans="1:31" ht="14.4" customHeight="1" x14ac:dyDescent="0.3">
      <c r="A4105" t="s">
        <v>6698</v>
      </c>
      <c r="B4105" t="s">
        <v>6653</v>
      </c>
      <c r="C4105"/>
      <c r="D4105"/>
      <c r="E4105"/>
      <c r="F4105"/>
      <c r="G4105" t="s">
        <v>6672</v>
      </c>
      <c r="H4105" t="s">
        <v>132</v>
      </c>
      <c r="I4105" t="s">
        <v>1</v>
      </c>
      <c r="J4105" t="s">
        <v>133</v>
      </c>
      <c r="K4105" t="s">
        <v>51</v>
      </c>
      <c r="L4105" t="s">
        <v>1763</v>
      </c>
      <c r="M4105" t="s">
        <v>134</v>
      </c>
      <c r="N4105" t="s">
        <v>135</v>
      </c>
      <c r="O4105"/>
      <c r="P4105"/>
      <c r="Q4105" t="s">
        <v>168</v>
      </c>
      <c r="R4105"/>
      <c r="S4105" t="s">
        <v>168</v>
      </c>
      <c r="T4105"/>
      <c r="U4105" t="s">
        <v>137</v>
      </c>
      <c r="V4105" t="s">
        <v>352</v>
      </c>
      <c r="W4105"/>
      <c r="X4105" t="s">
        <v>56</v>
      </c>
      <c r="Y4105"/>
      <c r="Z4105"/>
      <c r="AA4105" t="s">
        <v>1579</v>
      </c>
      <c r="AB4105" t="s">
        <v>1</v>
      </c>
      <c r="AC4105" t="s">
        <v>138</v>
      </c>
      <c r="AD4105" t="s">
        <v>128</v>
      </c>
      <c r="AE4105" s="97"/>
    </row>
    <row r="4106" spans="1:31" ht="14.4" customHeight="1" x14ac:dyDescent="0.3">
      <c r="A4106" t="s">
        <v>6700</v>
      </c>
      <c r="B4106" t="s">
        <v>2196</v>
      </c>
      <c r="C4106"/>
      <c r="D4106"/>
      <c r="E4106"/>
      <c r="F4106"/>
      <c r="G4106" t="s">
        <v>6699</v>
      </c>
      <c r="H4106" t="s">
        <v>132</v>
      </c>
      <c r="I4106" t="s">
        <v>2</v>
      </c>
      <c r="J4106" t="s">
        <v>133</v>
      </c>
      <c r="K4106" t="s">
        <v>52</v>
      </c>
      <c r="L4106" t="s">
        <v>2197</v>
      </c>
      <c r="M4106" t="s">
        <v>134</v>
      </c>
      <c r="N4106" t="s">
        <v>135</v>
      </c>
      <c r="O4106"/>
      <c r="P4106"/>
      <c r="Q4106" t="s">
        <v>168</v>
      </c>
      <c r="R4106"/>
      <c r="S4106" t="s">
        <v>168</v>
      </c>
      <c r="T4106"/>
      <c r="U4106" t="s">
        <v>137</v>
      </c>
      <c r="V4106" t="s">
        <v>358</v>
      </c>
      <c r="W4106"/>
      <c r="X4106" t="s">
        <v>124</v>
      </c>
      <c r="Y4106"/>
      <c r="Z4106"/>
      <c r="AA4106"/>
      <c r="AB4106" t="s">
        <v>2</v>
      </c>
      <c r="AC4106" t="s">
        <v>138</v>
      </c>
      <c r="AD4106" t="s">
        <v>130</v>
      </c>
      <c r="AE4106" s="97"/>
    </row>
    <row r="4107" spans="1:31" ht="14.4" customHeight="1" x14ac:dyDescent="0.3">
      <c r="A4107" t="s">
        <v>6701</v>
      </c>
      <c r="B4107" t="s">
        <v>2198</v>
      </c>
      <c r="C4107"/>
      <c r="D4107"/>
      <c r="E4107"/>
      <c r="F4107"/>
      <c r="G4107" t="s">
        <v>6699</v>
      </c>
      <c r="H4107" t="s">
        <v>132</v>
      </c>
      <c r="I4107" t="s">
        <v>2</v>
      </c>
      <c r="J4107" t="s">
        <v>133</v>
      </c>
      <c r="K4107" t="s">
        <v>52</v>
      </c>
      <c r="L4107" t="s">
        <v>2199</v>
      </c>
      <c r="M4107" t="s">
        <v>134</v>
      </c>
      <c r="N4107" t="s">
        <v>135</v>
      </c>
      <c r="O4107"/>
      <c r="P4107"/>
      <c r="Q4107" t="s">
        <v>168</v>
      </c>
      <c r="R4107"/>
      <c r="S4107" t="s">
        <v>168</v>
      </c>
      <c r="T4107"/>
      <c r="U4107" t="s">
        <v>137</v>
      </c>
      <c r="V4107" t="s">
        <v>358</v>
      </c>
      <c r="W4107"/>
      <c r="X4107" t="s">
        <v>124</v>
      </c>
      <c r="Y4107"/>
      <c r="Z4107"/>
      <c r="AA4107"/>
      <c r="AB4107" t="s">
        <v>2</v>
      </c>
      <c r="AC4107" t="s">
        <v>138</v>
      </c>
      <c r="AD4107" t="s">
        <v>130</v>
      </c>
      <c r="AE4107" s="97"/>
    </row>
    <row r="4108" spans="1:31" ht="14.4" customHeight="1" x14ac:dyDescent="0.3">
      <c r="A4108" t="s">
        <v>6702</v>
      </c>
      <c r="B4108" t="s">
        <v>2673</v>
      </c>
      <c r="C4108"/>
      <c r="D4108"/>
      <c r="E4108"/>
      <c r="F4108"/>
      <c r="G4108" t="s">
        <v>6699</v>
      </c>
      <c r="H4108" t="s">
        <v>132</v>
      </c>
      <c r="I4108" t="s">
        <v>2</v>
      </c>
      <c r="J4108" t="s">
        <v>133</v>
      </c>
      <c r="K4108" t="s">
        <v>52</v>
      </c>
      <c r="L4108" t="s">
        <v>2674</v>
      </c>
      <c r="M4108" t="s">
        <v>134</v>
      </c>
      <c r="N4108" t="s">
        <v>135</v>
      </c>
      <c r="O4108"/>
      <c r="P4108"/>
      <c r="Q4108" t="s">
        <v>168</v>
      </c>
      <c r="R4108"/>
      <c r="S4108" t="s">
        <v>168</v>
      </c>
      <c r="T4108"/>
      <c r="U4108" t="s">
        <v>137</v>
      </c>
      <c r="V4108" t="s">
        <v>890</v>
      </c>
      <c r="W4108"/>
      <c r="X4108" t="s">
        <v>59</v>
      </c>
      <c r="Y4108"/>
      <c r="Z4108"/>
      <c r="AA4108"/>
      <c r="AB4108" t="s">
        <v>2</v>
      </c>
      <c r="AC4108" t="s">
        <v>138</v>
      </c>
      <c r="AD4108" t="s">
        <v>128</v>
      </c>
      <c r="AE4108" s="97"/>
    </row>
    <row r="4109" spans="1:31" ht="14.4" customHeight="1" x14ac:dyDescent="0.3">
      <c r="A4109" t="s">
        <v>6703</v>
      </c>
      <c r="B4109" t="s">
        <v>2675</v>
      </c>
      <c r="C4109"/>
      <c r="D4109"/>
      <c r="E4109"/>
      <c r="F4109"/>
      <c r="G4109" t="s">
        <v>6699</v>
      </c>
      <c r="H4109" t="s">
        <v>132</v>
      </c>
      <c r="I4109" t="s">
        <v>2</v>
      </c>
      <c r="J4109" t="s">
        <v>133</v>
      </c>
      <c r="K4109" t="s">
        <v>52</v>
      </c>
      <c r="L4109" t="s">
        <v>2676</v>
      </c>
      <c r="M4109" t="s">
        <v>134</v>
      </c>
      <c r="N4109" t="s">
        <v>135</v>
      </c>
      <c r="O4109"/>
      <c r="P4109"/>
      <c r="Q4109" t="s">
        <v>168</v>
      </c>
      <c r="R4109"/>
      <c r="S4109" t="s">
        <v>168</v>
      </c>
      <c r="T4109"/>
      <c r="U4109" t="s">
        <v>137</v>
      </c>
      <c r="V4109" t="s">
        <v>890</v>
      </c>
      <c r="W4109"/>
      <c r="X4109" t="s">
        <v>59</v>
      </c>
      <c r="Y4109"/>
      <c r="Z4109"/>
      <c r="AA4109"/>
      <c r="AB4109" t="s">
        <v>2</v>
      </c>
      <c r="AC4109" t="s">
        <v>138</v>
      </c>
      <c r="AD4109" t="s">
        <v>128</v>
      </c>
      <c r="AE4109" s="97"/>
    </row>
    <row r="4110" spans="1:31" ht="14.4" customHeight="1" x14ac:dyDescent="0.3">
      <c r="A4110" t="s">
        <v>6704</v>
      </c>
      <c r="B4110" t="s">
        <v>2677</v>
      </c>
      <c r="C4110"/>
      <c r="D4110"/>
      <c r="E4110"/>
      <c r="F4110"/>
      <c r="G4110" t="s">
        <v>6699</v>
      </c>
      <c r="H4110" t="s">
        <v>132</v>
      </c>
      <c r="I4110" t="s">
        <v>2</v>
      </c>
      <c r="J4110" t="s">
        <v>133</v>
      </c>
      <c r="K4110" t="s">
        <v>52</v>
      </c>
      <c r="L4110" t="s">
        <v>2678</v>
      </c>
      <c r="M4110" t="s">
        <v>134</v>
      </c>
      <c r="N4110" t="s">
        <v>135</v>
      </c>
      <c r="O4110"/>
      <c r="P4110"/>
      <c r="Q4110" t="s">
        <v>168</v>
      </c>
      <c r="R4110"/>
      <c r="S4110" t="s">
        <v>168</v>
      </c>
      <c r="T4110"/>
      <c r="U4110" t="s">
        <v>137</v>
      </c>
      <c r="V4110" t="s">
        <v>890</v>
      </c>
      <c r="W4110"/>
      <c r="X4110" t="s">
        <v>59</v>
      </c>
      <c r="Y4110"/>
      <c r="Z4110"/>
      <c r="AA4110"/>
      <c r="AB4110" t="s">
        <v>2</v>
      </c>
      <c r="AC4110" t="s">
        <v>138</v>
      </c>
      <c r="AD4110" t="s">
        <v>128</v>
      </c>
      <c r="AE4110" s="97"/>
    </row>
    <row r="4111" spans="1:31" ht="14.4" customHeight="1" x14ac:dyDescent="0.3">
      <c r="A4111" t="s">
        <v>6705</v>
      </c>
      <c r="B4111" t="s">
        <v>2679</v>
      </c>
      <c r="C4111"/>
      <c r="D4111"/>
      <c r="E4111"/>
      <c r="F4111"/>
      <c r="G4111" t="s">
        <v>6699</v>
      </c>
      <c r="H4111" t="s">
        <v>132</v>
      </c>
      <c r="I4111" t="s">
        <v>2</v>
      </c>
      <c r="J4111" t="s">
        <v>133</v>
      </c>
      <c r="K4111" t="s">
        <v>52</v>
      </c>
      <c r="L4111" t="s">
        <v>2680</v>
      </c>
      <c r="M4111" t="s">
        <v>134</v>
      </c>
      <c r="N4111" t="s">
        <v>135</v>
      </c>
      <c r="O4111"/>
      <c r="P4111"/>
      <c r="Q4111" t="s">
        <v>168</v>
      </c>
      <c r="R4111"/>
      <c r="S4111" t="s">
        <v>168</v>
      </c>
      <c r="T4111"/>
      <c r="U4111" t="s">
        <v>137</v>
      </c>
      <c r="V4111" t="s">
        <v>890</v>
      </c>
      <c r="W4111"/>
      <c r="X4111" t="s">
        <v>59</v>
      </c>
      <c r="Y4111"/>
      <c r="Z4111"/>
      <c r="AA4111"/>
      <c r="AB4111" t="s">
        <v>2</v>
      </c>
      <c r="AC4111" t="s">
        <v>138</v>
      </c>
      <c r="AD4111" t="s">
        <v>128</v>
      </c>
      <c r="AE4111" s="97"/>
    </row>
    <row r="4112" spans="1:31" ht="14.4" customHeight="1" x14ac:dyDescent="0.3">
      <c r="A4112" t="s">
        <v>6706</v>
      </c>
      <c r="B4112" t="s">
        <v>2716</v>
      </c>
      <c r="C4112"/>
      <c r="D4112"/>
      <c r="E4112"/>
      <c r="F4112"/>
      <c r="G4112" t="s">
        <v>6699</v>
      </c>
      <c r="H4112" t="s">
        <v>132</v>
      </c>
      <c r="I4112" t="s">
        <v>2</v>
      </c>
      <c r="J4112" t="s">
        <v>133</v>
      </c>
      <c r="K4112" t="s">
        <v>52</v>
      </c>
      <c r="L4112" t="s">
        <v>2717</v>
      </c>
      <c r="M4112" t="s">
        <v>134</v>
      </c>
      <c r="N4112" t="s">
        <v>135</v>
      </c>
      <c r="O4112"/>
      <c r="P4112"/>
      <c r="Q4112" t="s">
        <v>168</v>
      </c>
      <c r="R4112"/>
      <c r="S4112" t="s">
        <v>168</v>
      </c>
      <c r="T4112"/>
      <c r="U4112" t="s">
        <v>137</v>
      </c>
      <c r="V4112" t="s">
        <v>897</v>
      </c>
      <c r="W4112"/>
      <c r="X4112" t="s">
        <v>64</v>
      </c>
      <c r="Y4112"/>
      <c r="Z4112"/>
      <c r="AA4112"/>
      <c r="AB4112" t="s">
        <v>2</v>
      </c>
      <c r="AC4112" t="s">
        <v>138</v>
      </c>
      <c r="AD4112" t="s">
        <v>128</v>
      </c>
      <c r="AE4112" s="97"/>
    </row>
    <row r="4113" spans="1:31" ht="14.4" customHeight="1" x14ac:dyDescent="0.3">
      <c r="A4113" t="s">
        <v>6707</v>
      </c>
      <c r="B4113" t="s">
        <v>2718</v>
      </c>
      <c r="C4113"/>
      <c r="D4113"/>
      <c r="E4113"/>
      <c r="F4113"/>
      <c r="G4113" t="s">
        <v>6699</v>
      </c>
      <c r="H4113" t="s">
        <v>132</v>
      </c>
      <c r="I4113" t="s">
        <v>2</v>
      </c>
      <c r="J4113" t="s">
        <v>133</v>
      </c>
      <c r="K4113" t="s">
        <v>52</v>
      </c>
      <c r="L4113" t="s">
        <v>2719</v>
      </c>
      <c r="M4113" t="s">
        <v>134</v>
      </c>
      <c r="N4113" t="s">
        <v>135</v>
      </c>
      <c r="O4113"/>
      <c r="P4113"/>
      <c r="Q4113" t="s">
        <v>168</v>
      </c>
      <c r="R4113"/>
      <c r="S4113" t="s">
        <v>168</v>
      </c>
      <c r="T4113"/>
      <c r="U4113" t="s">
        <v>137</v>
      </c>
      <c r="V4113" t="s">
        <v>897</v>
      </c>
      <c r="W4113"/>
      <c r="X4113" t="s">
        <v>64</v>
      </c>
      <c r="Y4113"/>
      <c r="Z4113"/>
      <c r="AA4113"/>
      <c r="AB4113" t="s">
        <v>2</v>
      </c>
      <c r="AC4113" t="s">
        <v>138</v>
      </c>
      <c r="AD4113" t="s">
        <v>128</v>
      </c>
      <c r="AE4113" s="97"/>
    </row>
    <row r="4114" spans="1:31" ht="14.4" customHeight="1" x14ac:dyDescent="0.3">
      <c r="A4114" t="s">
        <v>6708</v>
      </c>
      <c r="B4114" t="s">
        <v>2720</v>
      </c>
      <c r="C4114"/>
      <c r="D4114"/>
      <c r="E4114"/>
      <c r="F4114"/>
      <c r="G4114" t="s">
        <v>6699</v>
      </c>
      <c r="H4114" t="s">
        <v>132</v>
      </c>
      <c r="I4114" t="s">
        <v>2</v>
      </c>
      <c r="J4114" t="s">
        <v>133</v>
      </c>
      <c r="K4114" t="s">
        <v>52</v>
      </c>
      <c r="L4114" t="s">
        <v>2721</v>
      </c>
      <c r="M4114" t="s">
        <v>134</v>
      </c>
      <c r="N4114" t="s">
        <v>135</v>
      </c>
      <c r="O4114"/>
      <c r="P4114"/>
      <c r="Q4114" t="s">
        <v>168</v>
      </c>
      <c r="R4114"/>
      <c r="S4114" t="s">
        <v>168</v>
      </c>
      <c r="T4114"/>
      <c r="U4114" t="s">
        <v>137</v>
      </c>
      <c r="V4114" t="s">
        <v>897</v>
      </c>
      <c r="W4114"/>
      <c r="X4114" t="s">
        <v>64</v>
      </c>
      <c r="Y4114"/>
      <c r="Z4114"/>
      <c r="AA4114"/>
      <c r="AB4114" t="s">
        <v>2</v>
      </c>
      <c r="AC4114" t="s">
        <v>138</v>
      </c>
      <c r="AD4114" t="s">
        <v>128</v>
      </c>
      <c r="AE4114" s="97"/>
    </row>
    <row r="4115" spans="1:31" ht="14.4" customHeight="1" x14ac:dyDescent="0.3">
      <c r="A4115" t="s">
        <v>6709</v>
      </c>
      <c r="B4115" t="s">
        <v>2722</v>
      </c>
      <c r="C4115"/>
      <c r="D4115"/>
      <c r="E4115"/>
      <c r="F4115"/>
      <c r="G4115" t="s">
        <v>6699</v>
      </c>
      <c r="H4115" t="s">
        <v>132</v>
      </c>
      <c r="I4115" t="s">
        <v>2</v>
      </c>
      <c r="J4115" t="s">
        <v>133</v>
      </c>
      <c r="K4115" t="s">
        <v>52</v>
      </c>
      <c r="L4115" t="s">
        <v>2723</v>
      </c>
      <c r="M4115" t="s">
        <v>134</v>
      </c>
      <c r="N4115" t="s">
        <v>135</v>
      </c>
      <c r="O4115"/>
      <c r="P4115"/>
      <c r="Q4115" t="s">
        <v>168</v>
      </c>
      <c r="R4115"/>
      <c r="S4115" t="s">
        <v>168</v>
      </c>
      <c r="T4115"/>
      <c r="U4115" t="s">
        <v>137</v>
      </c>
      <c r="V4115" t="s">
        <v>897</v>
      </c>
      <c r="W4115"/>
      <c r="X4115" t="s">
        <v>64</v>
      </c>
      <c r="Y4115"/>
      <c r="Z4115"/>
      <c r="AA4115"/>
      <c r="AB4115" t="s">
        <v>2</v>
      </c>
      <c r="AC4115" t="s">
        <v>138</v>
      </c>
      <c r="AD4115" t="s">
        <v>128</v>
      </c>
      <c r="AE4115" s="97"/>
    </row>
    <row r="4116" spans="1:31" ht="14.4" customHeight="1" x14ac:dyDescent="0.3">
      <c r="A4116" t="s">
        <v>6710</v>
      </c>
      <c r="B4116" t="s">
        <v>2759</v>
      </c>
      <c r="C4116"/>
      <c r="D4116"/>
      <c r="E4116"/>
      <c r="F4116"/>
      <c r="G4116" t="s">
        <v>6699</v>
      </c>
      <c r="H4116" t="s">
        <v>132</v>
      </c>
      <c r="I4116" t="s">
        <v>2</v>
      </c>
      <c r="J4116" t="s">
        <v>133</v>
      </c>
      <c r="K4116" t="s">
        <v>52</v>
      </c>
      <c r="L4116" t="s">
        <v>2760</v>
      </c>
      <c r="M4116" t="s">
        <v>134</v>
      </c>
      <c r="N4116" t="s">
        <v>135</v>
      </c>
      <c r="O4116"/>
      <c r="P4116"/>
      <c r="Q4116" t="s">
        <v>168</v>
      </c>
      <c r="R4116"/>
      <c r="S4116" t="s">
        <v>168</v>
      </c>
      <c r="T4116"/>
      <c r="U4116" t="s">
        <v>137</v>
      </c>
      <c r="V4116" t="s">
        <v>904</v>
      </c>
      <c r="W4116"/>
      <c r="X4116" t="s">
        <v>79</v>
      </c>
      <c r="Y4116"/>
      <c r="Z4116"/>
      <c r="AA4116"/>
      <c r="AB4116" t="s">
        <v>2</v>
      </c>
      <c r="AC4116" t="s">
        <v>138</v>
      </c>
      <c r="AD4116" t="s">
        <v>129</v>
      </c>
      <c r="AE4116" s="97"/>
    </row>
    <row r="4117" spans="1:31" ht="14.4" customHeight="1" x14ac:dyDescent="0.3">
      <c r="A4117" t="s">
        <v>6711</v>
      </c>
      <c r="B4117" t="s">
        <v>2761</v>
      </c>
      <c r="C4117"/>
      <c r="D4117"/>
      <c r="E4117"/>
      <c r="F4117"/>
      <c r="G4117" t="s">
        <v>6699</v>
      </c>
      <c r="H4117" t="s">
        <v>132</v>
      </c>
      <c r="I4117" t="s">
        <v>2</v>
      </c>
      <c r="J4117" t="s">
        <v>133</v>
      </c>
      <c r="K4117" t="s">
        <v>52</v>
      </c>
      <c r="L4117" t="s">
        <v>2762</v>
      </c>
      <c r="M4117" t="s">
        <v>134</v>
      </c>
      <c r="N4117" t="s">
        <v>135</v>
      </c>
      <c r="O4117"/>
      <c r="P4117"/>
      <c r="Q4117" t="s">
        <v>168</v>
      </c>
      <c r="R4117"/>
      <c r="S4117" t="s">
        <v>168</v>
      </c>
      <c r="T4117"/>
      <c r="U4117" t="s">
        <v>137</v>
      </c>
      <c r="V4117" t="s">
        <v>904</v>
      </c>
      <c r="W4117"/>
      <c r="X4117" t="s">
        <v>79</v>
      </c>
      <c r="Y4117"/>
      <c r="Z4117"/>
      <c r="AA4117"/>
      <c r="AB4117" t="s">
        <v>2</v>
      </c>
      <c r="AC4117" t="s">
        <v>138</v>
      </c>
      <c r="AD4117" t="s">
        <v>129</v>
      </c>
      <c r="AE4117" s="97"/>
    </row>
    <row r="4118" spans="1:31" ht="14.4" customHeight="1" x14ac:dyDescent="0.3">
      <c r="A4118" t="s">
        <v>6712</v>
      </c>
      <c r="B4118" t="s">
        <v>2763</v>
      </c>
      <c r="C4118"/>
      <c r="D4118"/>
      <c r="E4118"/>
      <c r="F4118"/>
      <c r="G4118" t="s">
        <v>6699</v>
      </c>
      <c r="H4118" t="s">
        <v>132</v>
      </c>
      <c r="I4118" t="s">
        <v>2</v>
      </c>
      <c r="J4118" t="s">
        <v>133</v>
      </c>
      <c r="K4118" t="s">
        <v>52</v>
      </c>
      <c r="L4118" t="s">
        <v>2764</v>
      </c>
      <c r="M4118" t="s">
        <v>134</v>
      </c>
      <c r="N4118" t="s">
        <v>135</v>
      </c>
      <c r="O4118"/>
      <c r="P4118"/>
      <c r="Q4118" t="s">
        <v>168</v>
      </c>
      <c r="R4118"/>
      <c r="S4118" t="s">
        <v>168</v>
      </c>
      <c r="T4118"/>
      <c r="U4118" t="s">
        <v>137</v>
      </c>
      <c r="V4118" t="s">
        <v>904</v>
      </c>
      <c r="W4118"/>
      <c r="X4118" t="s">
        <v>79</v>
      </c>
      <c r="Y4118"/>
      <c r="Z4118"/>
      <c r="AA4118"/>
      <c r="AB4118" t="s">
        <v>2</v>
      </c>
      <c r="AC4118" t="s">
        <v>138</v>
      </c>
      <c r="AD4118" t="s">
        <v>129</v>
      </c>
      <c r="AE4118" s="97"/>
    </row>
    <row r="4119" spans="1:31" ht="14.4" customHeight="1" x14ac:dyDescent="0.3">
      <c r="A4119" t="s">
        <v>6713</v>
      </c>
      <c r="B4119" t="s">
        <v>2765</v>
      </c>
      <c r="C4119"/>
      <c r="D4119"/>
      <c r="E4119"/>
      <c r="F4119"/>
      <c r="G4119" t="s">
        <v>6699</v>
      </c>
      <c r="H4119" t="s">
        <v>132</v>
      </c>
      <c r="I4119" t="s">
        <v>2</v>
      </c>
      <c r="J4119" t="s">
        <v>133</v>
      </c>
      <c r="K4119" t="s">
        <v>52</v>
      </c>
      <c r="L4119" t="s">
        <v>2766</v>
      </c>
      <c r="M4119" t="s">
        <v>134</v>
      </c>
      <c r="N4119" t="s">
        <v>135</v>
      </c>
      <c r="O4119"/>
      <c r="P4119"/>
      <c r="Q4119" t="s">
        <v>168</v>
      </c>
      <c r="R4119"/>
      <c r="S4119" t="s">
        <v>168</v>
      </c>
      <c r="T4119"/>
      <c r="U4119" t="s">
        <v>137</v>
      </c>
      <c r="V4119" t="s">
        <v>904</v>
      </c>
      <c r="W4119"/>
      <c r="X4119" t="s">
        <v>79</v>
      </c>
      <c r="Y4119"/>
      <c r="Z4119"/>
      <c r="AA4119"/>
      <c r="AB4119" t="s">
        <v>2</v>
      </c>
      <c r="AC4119" t="s">
        <v>138</v>
      </c>
      <c r="AD4119" t="s">
        <v>129</v>
      </c>
      <c r="AE4119" s="97"/>
    </row>
    <row r="4120" spans="1:31" ht="14.4" customHeight="1" x14ac:dyDescent="0.3">
      <c r="A4120" t="s">
        <v>6714</v>
      </c>
      <c r="B4120" t="s">
        <v>2802</v>
      </c>
      <c r="C4120"/>
      <c r="D4120"/>
      <c r="E4120"/>
      <c r="F4120"/>
      <c r="G4120" t="s">
        <v>6699</v>
      </c>
      <c r="H4120" t="s">
        <v>132</v>
      </c>
      <c r="I4120" t="s">
        <v>2</v>
      </c>
      <c r="J4120" t="s">
        <v>133</v>
      </c>
      <c r="K4120" t="s">
        <v>52</v>
      </c>
      <c r="L4120" t="s">
        <v>2803</v>
      </c>
      <c r="M4120" t="s">
        <v>134</v>
      </c>
      <c r="N4120" t="s">
        <v>135</v>
      </c>
      <c r="O4120"/>
      <c r="P4120"/>
      <c r="Q4120" t="s">
        <v>168</v>
      </c>
      <c r="R4120"/>
      <c r="S4120" t="s">
        <v>168</v>
      </c>
      <c r="T4120"/>
      <c r="U4120" t="s">
        <v>137</v>
      </c>
      <c r="V4120" t="s">
        <v>911</v>
      </c>
      <c r="W4120"/>
      <c r="X4120" t="s">
        <v>83</v>
      </c>
      <c r="Y4120"/>
      <c r="Z4120"/>
      <c r="AA4120"/>
      <c r="AB4120" t="s">
        <v>2</v>
      </c>
      <c r="AC4120" t="s">
        <v>138</v>
      </c>
      <c r="AD4120" t="s">
        <v>129</v>
      </c>
      <c r="AE4120" s="97"/>
    </row>
    <row r="4121" spans="1:31" ht="14.4" customHeight="1" x14ac:dyDescent="0.3">
      <c r="A4121" t="s">
        <v>6715</v>
      </c>
      <c r="B4121" t="s">
        <v>2804</v>
      </c>
      <c r="C4121"/>
      <c r="D4121"/>
      <c r="E4121"/>
      <c r="F4121"/>
      <c r="G4121" t="s">
        <v>6699</v>
      </c>
      <c r="H4121" t="s">
        <v>132</v>
      </c>
      <c r="I4121" t="s">
        <v>2</v>
      </c>
      <c r="J4121" t="s">
        <v>133</v>
      </c>
      <c r="K4121" t="s">
        <v>52</v>
      </c>
      <c r="L4121" t="s">
        <v>2805</v>
      </c>
      <c r="M4121" t="s">
        <v>134</v>
      </c>
      <c r="N4121" t="s">
        <v>135</v>
      </c>
      <c r="O4121"/>
      <c r="P4121"/>
      <c r="Q4121" t="s">
        <v>168</v>
      </c>
      <c r="R4121"/>
      <c r="S4121" t="s">
        <v>168</v>
      </c>
      <c r="T4121"/>
      <c r="U4121" t="s">
        <v>137</v>
      </c>
      <c r="V4121" t="s">
        <v>911</v>
      </c>
      <c r="W4121"/>
      <c r="X4121" t="s">
        <v>83</v>
      </c>
      <c r="Y4121"/>
      <c r="Z4121"/>
      <c r="AA4121"/>
      <c r="AB4121" t="s">
        <v>2</v>
      </c>
      <c r="AC4121" t="s">
        <v>138</v>
      </c>
      <c r="AD4121" t="s">
        <v>129</v>
      </c>
      <c r="AE4121" s="97"/>
    </row>
    <row r="4122" spans="1:31" ht="14.4" customHeight="1" x14ac:dyDescent="0.3">
      <c r="A4122" t="s">
        <v>6716</v>
      </c>
      <c r="B4122" t="s">
        <v>2806</v>
      </c>
      <c r="C4122"/>
      <c r="D4122"/>
      <c r="E4122"/>
      <c r="F4122"/>
      <c r="G4122" t="s">
        <v>6699</v>
      </c>
      <c r="H4122" t="s">
        <v>132</v>
      </c>
      <c r="I4122" t="s">
        <v>2</v>
      </c>
      <c r="J4122" t="s">
        <v>133</v>
      </c>
      <c r="K4122" t="s">
        <v>52</v>
      </c>
      <c r="L4122" t="s">
        <v>2807</v>
      </c>
      <c r="M4122" t="s">
        <v>134</v>
      </c>
      <c r="N4122" t="s">
        <v>135</v>
      </c>
      <c r="O4122"/>
      <c r="P4122"/>
      <c r="Q4122" t="s">
        <v>168</v>
      </c>
      <c r="R4122"/>
      <c r="S4122" t="s">
        <v>168</v>
      </c>
      <c r="T4122"/>
      <c r="U4122" t="s">
        <v>137</v>
      </c>
      <c r="V4122" t="s">
        <v>911</v>
      </c>
      <c r="W4122"/>
      <c r="X4122" t="s">
        <v>83</v>
      </c>
      <c r="Y4122"/>
      <c r="Z4122"/>
      <c r="AA4122"/>
      <c r="AB4122" t="s">
        <v>2</v>
      </c>
      <c r="AC4122" t="s">
        <v>138</v>
      </c>
      <c r="AD4122" t="s">
        <v>129</v>
      </c>
      <c r="AE4122" s="97"/>
    </row>
    <row r="4123" spans="1:31" ht="14.4" customHeight="1" x14ac:dyDescent="0.3">
      <c r="A4123" t="s">
        <v>6717</v>
      </c>
      <c r="B4123" t="s">
        <v>2808</v>
      </c>
      <c r="C4123"/>
      <c r="D4123"/>
      <c r="E4123"/>
      <c r="F4123"/>
      <c r="G4123" t="s">
        <v>6699</v>
      </c>
      <c r="H4123" t="s">
        <v>132</v>
      </c>
      <c r="I4123" t="s">
        <v>2</v>
      </c>
      <c r="J4123" t="s">
        <v>133</v>
      </c>
      <c r="K4123" t="s">
        <v>52</v>
      </c>
      <c r="L4123" t="s">
        <v>2809</v>
      </c>
      <c r="M4123" t="s">
        <v>134</v>
      </c>
      <c r="N4123" t="s">
        <v>135</v>
      </c>
      <c r="O4123"/>
      <c r="P4123"/>
      <c r="Q4123" t="s">
        <v>168</v>
      </c>
      <c r="R4123"/>
      <c r="S4123" t="s">
        <v>168</v>
      </c>
      <c r="T4123"/>
      <c r="U4123" t="s">
        <v>137</v>
      </c>
      <c r="V4123" t="s">
        <v>911</v>
      </c>
      <c r="W4123"/>
      <c r="X4123" t="s">
        <v>83</v>
      </c>
      <c r="Y4123"/>
      <c r="Z4123"/>
      <c r="AA4123"/>
      <c r="AB4123" t="s">
        <v>2</v>
      </c>
      <c r="AC4123" t="s">
        <v>138</v>
      </c>
      <c r="AD4123" t="s">
        <v>129</v>
      </c>
      <c r="AE4123" s="97"/>
    </row>
    <row r="4124" spans="1:31" ht="14.4" customHeight="1" x14ac:dyDescent="0.3">
      <c r="A4124" t="s">
        <v>6718</v>
      </c>
      <c r="B4124" t="s">
        <v>2846</v>
      </c>
      <c r="C4124"/>
      <c r="D4124"/>
      <c r="E4124"/>
      <c r="F4124"/>
      <c r="G4124" t="s">
        <v>6699</v>
      </c>
      <c r="H4124" t="s">
        <v>132</v>
      </c>
      <c r="I4124" t="s">
        <v>2</v>
      </c>
      <c r="J4124" t="s">
        <v>133</v>
      </c>
      <c r="K4124" t="s">
        <v>52</v>
      </c>
      <c r="L4124" t="s">
        <v>2847</v>
      </c>
      <c r="M4124" t="s">
        <v>134</v>
      </c>
      <c r="N4124" t="s">
        <v>135</v>
      </c>
      <c r="O4124"/>
      <c r="P4124"/>
      <c r="Q4124" t="s">
        <v>168</v>
      </c>
      <c r="R4124"/>
      <c r="S4124" t="s">
        <v>168</v>
      </c>
      <c r="T4124"/>
      <c r="U4124" t="s">
        <v>137</v>
      </c>
      <c r="V4124" t="s">
        <v>918</v>
      </c>
      <c r="W4124"/>
      <c r="X4124" t="s">
        <v>92</v>
      </c>
      <c r="Y4124"/>
      <c r="Z4124"/>
      <c r="AA4124"/>
      <c r="AB4124" t="s">
        <v>2</v>
      </c>
      <c r="AC4124" t="s">
        <v>138</v>
      </c>
      <c r="AD4124" t="s">
        <v>129</v>
      </c>
      <c r="AE4124" s="97"/>
    </row>
    <row r="4125" spans="1:31" ht="14.4" customHeight="1" x14ac:dyDescent="0.3">
      <c r="A4125" t="s">
        <v>6719</v>
      </c>
      <c r="B4125" t="s">
        <v>2848</v>
      </c>
      <c r="C4125"/>
      <c r="D4125"/>
      <c r="E4125"/>
      <c r="F4125"/>
      <c r="G4125" t="s">
        <v>6699</v>
      </c>
      <c r="H4125" t="s">
        <v>132</v>
      </c>
      <c r="I4125" t="s">
        <v>2</v>
      </c>
      <c r="J4125" t="s">
        <v>133</v>
      </c>
      <c r="K4125" t="s">
        <v>52</v>
      </c>
      <c r="L4125" t="s">
        <v>2849</v>
      </c>
      <c r="M4125" t="s">
        <v>134</v>
      </c>
      <c r="N4125" t="s">
        <v>135</v>
      </c>
      <c r="O4125"/>
      <c r="P4125"/>
      <c r="Q4125" t="s">
        <v>168</v>
      </c>
      <c r="R4125"/>
      <c r="S4125" t="s">
        <v>168</v>
      </c>
      <c r="T4125"/>
      <c r="U4125" t="s">
        <v>137</v>
      </c>
      <c r="V4125" t="s">
        <v>918</v>
      </c>
      <c r="W4125"/>
      <c r="X4125" t="s">
        <v>92</v>
      </c>
      <c r="Y4125"/>
      <c r="Z4125"/>
      <c r="AA4125"/>
      <c r="AB4125" t="s">
        <v>2</v>
      </c>
      <c r="AC4125" t="s">
        <v>138</v>
      </c>
      <c r="AD4125" t="s">
        <v>129</v>
      </c>
      <c r="AE4125" s="97"/>
    </row>
    <row r="4126" spans="1:31" ht="14.4" customHeight="1" x14ac:dyDescent="0.3">
      <c r="A4126" t="s">
        <v>6720</v>
      </c>
      <c r="B4126" t="s">
        <v>2850</v>
      </c>
      <c r="C4126"/>
      <c r="D4126"/>
      <c r="E4126"/>
      <c r="F4126"/>
      <c r="G4126" t="s">
        <v>6699</v>
      </c>
      <c r="H4126" t="s">
        <v>132</v>
      </c>
      <c r="I4126" t="s">
        <v>2</v>
      </c>
      <c r="J4126" t="s">
        <v>133</v>
      </c>
      <c r="K4126" t="s">
        <v>52</v>
      </c>
      <c r="L4126" t="s">
        <v>2851</v>
      </c>
      <c r="M4126" t="s">
        <v>134</v>
      </c>
      <c r="N4126" t="s">
        <v>135</v>
      </c>
      <c r="O4126"/>
      <c r="P4126"/>
      <c r="Q4126" t="s">
        <v>168</v>
      </c>
      <c r="R4126"/>
      <c r="S4126" t="s">
        <v>168</v>
      </c>
      <c r="T4126"/>
      <c r="U4126" t="s">
        <v>137</v>
      </c>
      <c r="V4126" t="s">
        <v>918</v>
      </c>
      <c r="W4126"/>
      <c r="X4126" t="s">
        <v>92</v>
      </c>
      <c r="Y4126"/>
      <c r="Z4126"/>
      <c r="AA4126"/>
      <c r="AB4126" t="s">
        <v>2</v>
      </c>
      <c r="AC4126" t="s">
        <v>138</v>
      </c>
      <c r="AD4126" t="s">
        <v>129</v>
      </c>
      <c r="AE4126" s="97"/>
    </row>
    <row r="4127" spans="1:31" ht="14.4" customHeight="1" x14ac:dyDescent="0.3">
      <c r="A4127" t="s">
        <v>6721</v>
      </c>
      <c r="B4127" t="s">
        <v>2852</v>
      </c>
      <c r="C4127"/>
      <c r="D4127"/>
      <c r="E4127"/>
      <c r="F4127"/>
      <c r="G4127" t="s">
        <v>6699</v>
      </c>
      <c r="H4127" t="s">
        <v>132</v>
      </c>
      <c r="I4127" t="s">
        <v>2</v>
      </c>
      <c r="J4127" t="s">
        <v>133</v>
      </c>
      <c r="K4127" t="s">
        <v>52</v>
      </c>
      <c r="L4127" t="s">
        <v>2853</v>
      </c>
      <c r="M4127" t="s">
        <v>134</v>
      </c>
      <c r="N4127" t="s">
        <v>135</v>
      </c>
      <c r="O4127"/>
      <c r="P4127"/>
      <c r="Q4127" t="s">
        <v>168</v>
      </c>
      <c r="R4127"/>
      <c r="S4127" t="s">
        <v>168</v>
      </c>
      <c r="T4127"/>
      <c r="U4127" t="s">
        <v>137</v>
      </c>
      <c r="V4127" t="s">
        <v>918</v>
      </c>
      <c r="W4127"/>
      <c r="X4127" t="s">
        <v>92</v>
      </c>
      <c r="Y4127"/>
      <c r="Z4127"/>
      <c r="AA4127"/>
      <c r="AB4127" t="s">
        <v>2</v>
      </c>
      <c r="AC4127" t="s">
        <v>138</v>
      </c>
      <c r="AD4127" t="s">
        <v>129</v>
      </c>
      <c r="AE4127" s="97"/>
    </row>
    <row r="4128" spans="1:31" ht="14.4" customHeight="1" x14ac:dyDescent="0.3">
      <c r="A4128" t="s">
        <v>6722</v>
      </c>
      <c r="B4128" t="s">
        <v>2891</v>
      </c>
      <c r="C4128"/>
      <c r="D4128"/>
      <c r="E4128"/>
      <c r="F4128"/>
      <c r="G4128" t="s">
        <v>6699</v>
      </c>
      <c r="H4128" t="s">
        <v>132</v>
      </c>
      <c r="I4128" t="s">
        <v>2</v>
      </c>
      <c r="J4128" t="s">
        <v>133</v>
      </c>
      <c r="K4128" t="s">
        <v>52</v>
      </c>
      <c r="L4128" t="s">
        <v>2892</v>
      </c>
      <c r="M4128" t="s">
        <v>134</v>
      </c>
      <c r="N4128" t="s">
        <v>135</v>
      </c>
      <c r="O4128"/>
      <c r="P4128"/>
      <c r="Q4128" t="s">
        <v>168</v>
      </c>
      <c r="R4128"/>
      <c r="S4128" t="s">
        <v>168</v>
      </c>
      <c r="T4128"/>
      <c r="U4128" t="s">
        <v>137</v>
      </c>
      <c r="V4128" t="s">
        <v>925</v>
      </c>
      <c r="W4128"/>
      <c r="X4128" t="s">
        <v>101</v>
      </c>
      <c r="Y4128"/>
      <c r="Z4128"/>
      <c r="AA4128"/>
      <c r="AB4128" t="s">
        <v>2</v>
      </c>
      <c r="AC4128" t="s">
        <v>138</v>
      </c>
      <c r="AD4128" t="s">
        <v>129</v>
      </c>
      <c r="AE4128" s="97"/>
    </row>
    <row r="4129" spans="1:31" ht="14.4" customHeight="1" x14ac:dyDescent="0.3">
      <c r="A4129" t="s">
        <v>6723</v>
      </c>
      <c r="B4129" t="s">
        <v>2893</v>
      </c>
      <c r="C4129"/>
      <c r="D4129"/>
      <c r="E4129"/>
      <c r="F4129"/>
      <c r="G4129" t="s">
        <v>6699</v>
      </c>
      <c r="H4129" t="s">
        <v>132</v>
      </c>
      <c r="I4129" t="s">
        <v>2</v>
      </c>
      <c r="J4129" t="s">
        <v>133</v>
      </c>
      <c r="K4129" t="s">
        <v>52</v>
      </c>
      <c r="L4129" t="s">
        <v>2894</v>
      </c>
      <c r="M4129" t="s">
        <v>134</v>
      </c>
      <c r="N4129" t="s">
        <v>135</v>
      </c>
      <c r="O4129"/>
      <c r="P4129"/>
      <c r="Q4129" t="s">
        <v>168</v>
      </c>
      <c r="R4129"/>
      <c r="S4129" t="s">
        <v>168</v>
      </c>
      <c r="T4129"/>
      <c r="U4129" t="s">
        <v>137</v>
      </c>
      <c r="V4129" t="s">
        <v>925</v>
      </c>
      <c r="W4129"/>
      <c r="X4129" t="s">
        <v>101</v>
      </c>
      <c r="Y4129"/>
      <c r="Z4129"/>
      <c r="AA4129"/>
      <c r="AB4129" t="s">
        <v>2</v>
      </c>
      <c r="AC4129" t="s">
        <v>138</v>
      </c>
      <c r="AD4129" t="s">
        <v>129</v>
      </c>
      <c r="AE4129" s="97"/>
    </row>
    <row r="4130" spans="1:31" ht="14.4" customHeight="1" x14ac:dyDescent="0.3">
      <c r="A4130" t="s">
        <v>6724</v>
      </c>
      <c r="B4130" t="s">
        <v>2895</v>
      </c>
      <c r="C4130"/>
      <c r="D4130"/>
      <c r="E4130"/>
      <c r="F4130"/>
      <c r="G4130" t="s">
        <v>6699</v>
      </c>
      <c r="H4130" t="s">
        <v>132</v>
      </c>
      <c r="I4130" t="s">
        <v>2</v>
      </c>
      <c r="J4130" t="s">
        <v>133</v>
      </c>
      <c r="K4130" t="s">
        <v>52</v>
      </c>
      <c r="L4130" t="s">
        <v>2896</v>
      </c>
      <c r="M4130" t="s">
        <v>134</v>
      </c>
      <c r="N4130" t="s">
        <v>135</v>
      </c>
      <c r="O4130"/>
      <c r="P4130"/>
      <c r="Q4130" t="s">
        <v>168</v>
      </c>
      <c r="R4130"/>
      <c r="S4130" t="s">
        <v>168</v>
      </c>
      <c r="T4130"/>
      <c r="U4130" t="s">
        <v>137</v>
      </c>
      <c r="V4130" t="s">
        <v>925</v>
      </c>
      <c r="W4130"/>
      <c r="X4130" t="s">
        <v>101</v>
      </c>
      <c r="Y4130"/>
      <c r="Z4130"/>
      <c r="AA4130"/>
      <c r="AB4130" t="s">
        <v>2</v>
      </c>
      <c r="AC4130" t="s">
        <v>138</v>
      </c>
      <c r="AD4130" t="s">
        <v>129</v>
      </c>
      <c r="AE4130" s="97"/>
    </row>
    <row r="4131" spans="1:31" ht="14.4" customHeight="1" x14ac:dyDescent="0.3">
      <c r="A4131" t="s">
        <v>6725</v>
      </c>
      <c r="B4131" t="s">
        <v>2897</v>
      </c>
      <c r="C4131"/>
      <c r="D4131"/>
      <c r="E4131"/>
      <c r="F4131"/>
      <c r="G4131" t="s">
        <v>6699</v>
      </c>
      <c r="H4131" t="s">
        <v>132</v>
      </c>
      <c r="I4131" t="s">
        <v>2</v>
      </c>
      <c r="J4131" t="s">
        <v>133</v>
      </c>
      <c r="K4131" t="s">
        <v>52</v>
      </c>
      <c r="L4131" t="s">
        <v>2898</v>
      </c>
      <c r="M4131" t="s">
        <v>134</v>
      </c>
      <c r="N4131" t="s">
        <v>135</v>
      </c>
      <c r="O4131"/>
      <c r="P4131"/>
      <c r="Q4131" t="s">
        <v>168</v>
      </c>
      <c r="R4131"/>
      <c r="S4131" t="s">
        <v>168</v>
      </c>
      <c r="T4131"/>
      <c r="U4131" t="s">
        <v>137</v>
      </c>
      <c r="V4131" t="s">
        <v>925</v>
      </c>
      <c r="W4131"/>
      <c r="X4131" t="s">
        <v>101</v>
      </c>
      <c r="Y4131"/>
      <c r="Z4131"/>
      <c r="AA4131"/>
      <c r="AB4131" t="s">
        <v>2</v>
      </c>
      <c r="AC4131" t="s">
        <v>138</v>
      </c>
      <c r="AD4131" t="s">
        <v>129</v>
      </c>
      <c r="AE4131" s="97"/>
    </row>
    <row r="4132" spans="1:31" ht="14.4" customHeight="1" x14ac:dyDescent="0.3">
      <c r="A4132" t="s">
        <v>6726</v>
      </c>
      <c r="B4132" t="s">
        <v>2936</v>
      </c>
      <c r="C4132"/>
      <c r="D4132"/>
      <c r="E4132"/>
      <c r="F4132"/>
      <c r="G4132" t="s">
        <v>6699</v>
      </c>
      <c r="H4132" t="s">
        <v>132</v>
      </c>
      <c r="I4132" t="s">
        <v>2</v>
      </c>
      <c r="J4132" t="s">
        <v>133</v>
      </c>
      <c r="K4132" t="s">
        <v>52</v>
      </c>
      <c r="L4132" t="s">
        <v>2937</v>
      </c>
      <c r="M4132" t="s">
        <v>134</v>
      </c>
      <c r="N4132" t="s">
        <v>135</v>
      </c>
      <c r="O4132"/>
      <c r="P4132"/>
      <c r="Q4132" t="s">
        <v>168</v>
      </c>
      <c r="R4132"/>
      <c r="S4132" t="s">
        <v>168</v>
      </c>
      <c r="T4132"/>
      <c r="U4132" t="s">
        <v>137</v>
      </c>
      <c r="V4132" t="s">
        <v>932</v>
      </c>
      <c r="W4132"/>
      <c r="X4132" t="s">
        <v>115</v>
      </c>
      <c r="Y4132"/>
      <c r="Z4132"/>
      <c r="AA4132"/>
      <c r="AB4132" t="s">
        <v>2</v>
      </c>
      <c r="AC4132" t="s">
        <v>138</v>
      </c>
      <c r="AD4132" t="s">
        <v>130</v>
      </c>
      <c r="AE4132" s="97"/>
    </row>
    <row r="4133" spans="1:31" ht="14.4" customHeight="1" x14ac:dyDescent="0.3">
      <c r="A4133" t="s">
        <v>6727</v>
      </c>
      <c r="B4133" t="s">
        <v>2938</v>
      </c>
      <c r="C4133"/>
      <c r="D4133"/>
      <c r="E4133"/>
      <c r="F4133"/>
      <c r="G4133" t="s">
        <v>6699</v>
      </c>
      <c r="H4133" t="s">
        <v>132</v>
      </c>
      <c r="I4133" t="s">
        <v>2</v>
      </c>
      <c r="J4133" t="s">
        <v>133</v>
      </c>
      <c r="K4133" t="s">
        <v>52</v>
      </c>
      <c r="L4133" t="s">
        <v>2939</v>
      </c>
      <c r="M4133" t="s">
        <v>134</v>
      </c>
      <c r="N4133" t="s">
        <v>135</v>
      </c>
      <c r="O4133"/>
      <c r="P4133"/>
      <c r="Q4133" t="s">
        <v>168</v>
      </c>
      <c r="R4133"/>
      <c r="S4133" t="s">
        <v>168</v>
      </c>
      <c r="T4133"/>
      <c r="U4133" t="s">
        <v>137</v>
      </c>
      <c r="V4133" t="s">
        <v>932</v>
      </c>
      <c r="W4133"/>
      <c r="X4133" t="s">
        <v>115</v>
      </c>
      <c r="Y4133"/>
      <c r="Z4133"/>
      <c r="AA4133"/>
      <c r="AB4133" t="s">
        <v>2</v>
      </c>
      <c r="AC4133" t="s">
        <v>138</v>
      </c>
      <c r="AD4133" t="s">
        <v>130</v>
      </c>
      <c r="AE4133" s="97"/>
    </row>
    <row r="4134" spans="1:31" ht="14.4" customHeight="1" x14ac:dyDescent="0.3">
      <c r="A4134" t="s">
        <v>6728</v>
      </c>
      <c r="B4134" t="s">
        <v>2940</v>
      </c>
      <c r="C4134"/>
      <c r="D4134"/>
      <c r="E4134"/>
      <c r="F4134"/>
      <c r="G4134" t="s">
        <v>6699</v>
      </c>
      <c r="H4134" t="s">
        <v>132</v>
      </c>
      <c r="I4134" t="s">
        <v>2</v>
      </c>
      <c r="J4134" t="s">
        <v>133</v>
      </c>
      <c r="K4134" t="s">
        <v>52</v>
      </c>
      <c r="L4134" t="s">
        <v>2941</v>
      </c>
      <c r="M4134" t="s">
        <v>134</v>
      </c>
      <c r="N4134" t="s">
        <v>135</v>
      </c>
      <c r="O4134"/>
      <c r="P4134"/>
      <c r="Q4134" t="s">
        <v>168</v>
      </c>
      <c r="R4134"/>
      <c r="S4134" t="s">
        <v>168</v>
      </c>
      <c r="T4134"/>
      <c r="U4134" t="s">
        <v>137</v>
      </c>
      <c r="V4134" t="s">
        <v>932</v>
      </c>
      <c r="W4134"/>
      <c r="X4134" t="s">
        <v>115</v>
      </c>
      <c r="Y4134"/>
      <c r="Z4134"/>
      <c r="AA4134"/>
      <c r="AB4134" t="s">
        <v>2</v>
      </c>
      <c r="AC4134" t="s">
        <v>138</v>
      </c>
      <c r="AD4134" t="s">
        <v>130</v>
      </c>
      <c r="AE4134" s="97"/>
    </row>
    <row r="4135" spans="1:31" ht="14.4" customHeight="1" x14ac:dyDescent="0.3">
      <c r="A4135" t="s">
        <v>6729</v>
      </c>
      <c r="B4135" t="s">
        <v>2942</v>
      </c>
      <c r="C4135"/>
      <c r="D4135"/>
      <c r="E4135"/>
      <c r="F4135"/>
      <c r="G4135" t="s">
        <v>6699</v>
      </c>
      <c r="H4135" t="s">
        <v>132</v>
      </c>
      <c r="I4135" t="s">
        <v>2</v>
      </c>
      <c r="J4135" t="s">
        <v>133</v>
      </c>
      <c r="K4135" t="s">
        <v>52</v>
      </c>
      <c r="L4135" t="s">
        <v>2943</v>
      </c>
      <c r="M4135" t="s">
        <v>134</v>
      </c>
      <c r="N4135" t="s">
        <v>135</v>
      </c>
      <c r="O4135"/>
      <c r="P4135"/>
      <c r="Q4135" t="s">
        <v>168</v>
      </c>
      <c r="R4135"/>
      <c r="S4135" t="s">
        <v>168</v>
      </c>
      <c r="T4135"/>
      <c r="U4135" t="s">
        <v>137</v>
      </c>
      <c r="V4135" t="s">
        <v>932</v>
      </c>
      <c r="W4135"/>
      <c r="X4135" t="s">
        <v>115</v>
      </c>
      <c r="Y4135"/>
      <c r="Z4135"/>
      <c r="AA4135"/>
      <c r="AB4135" t="s">
        <v>2</v>
      </c>
      <c r="AC4135" t="s">
        <v>138</v>
      </c>
      <c r="AD4135" t="s">
        <v>130</v>
      </c>
      <c r="AE4135" s="97"/>
    </row>
    <row r="4136" spans="1:31" ht="14.4" customHeight="1" x14ac:dyDescent="0.3">
      <c r="A4136" t="s">
        <v>6730</v>
      </c>
      <c r="B4136" t="s">
        <v>2971</v>
      </c>
      <c r="C4136"/>
      <c r="D4136"/>
      <c r="E4136"/>
      <c r="F4136"/>
      <c r="G4136" t="s">
        <v>6699</v>
      </c>
      <c r="H4136" t="s">
        <v>132</v>
      </c>
      <c r="I4136" t="s">
        <v>2</v>
      </c>
      <c r="J4136" t="s">
        <v>133</v>
      </c>
      <c r="K4136" t="s">
        <v>52</v>
      </c>
      <c r="L4136" t="s">
        <v>2972</v>
      </c>
      <c r="M4136" t="s">
        <v>134</v>
      </c>
      <c r="N4136" t="s">
        <v>135</v>
      </c>
      <c r="O4136"/>
      <c r="P4136"/>
      <c r="Q4136" t="s">
        <v>168</v>
      </c>
      <c r="R4136"/>
      <c r="S4136" t="s">
        <v>168</v>
      </c>
      <c r="T4136"/>
      <c r="U4136" t="s">
        <v>137</v>
      </c>
      <c r="V4136" t="s">
        <v>352</v>
      </c>
      <c r="W4136"/>
      <c r="X4136" t="s">
        <v>56</v>
      </c>
      <c r="Y4136"/>
      <c r="Z4136"/>
      <c r="AA4136"/>
      <c r="AB4136" t="s">
        <v>2</v>
      </c>
      <c r="AC4136" t="s">
        <v>138</v>
      </c>
      <c r="AD4136" t="s">
        <v>128</v>
      </c>
      <c r="AE4136" s="97"/>
    </row>
    <row r="4137" spans="1:31" ht="14.4" customHeight="1" x14ac:dyDescent="0.3">
      <c r="A4137" t="s">
        <v>6731</v>
      </c>
      <c r="B4137" t="s">
        <v>2973</v>
      </c>
      <c r="C4137"/>
      <c r="D4137"/>
      <c r="E4137"/>
      <c r="F4137"/>
      <c r="G4137" t="s">
        <v>6699</v>
      </c>
      <c r="H4137" t="s">
        <v>132</v>
      </c>
      <c r="I4137" t="s">
        <v>2</v>
      </c>
      <c r="J4137" t="s">
        <v>133</v>
      </c>
      <c r="K4137" t="s">
        <v>52</v>
      </c>
      <c r="L4137" t="s">
        <v>2974</v>
      </c>
      <c r="M4137" t="s">
        <v>134</v>
      </c>
      <c r="N4137" t="s">
        <v>135</v>
      </c>
      <c r="O4137"/>
      <c r="P4137"/>
      <c r="Q4137" t="s">
        <v>168</v>
      </c>
      <c r="R4137"/>
      <c r="S4137" t="s">
        <v>168</v>
      </c>
      <c r="T4137"/>
      <c r="U4137" t="s">
        <v>137</v>
      </c>
      <c r="V4137" t="s">
        <v>352</v>
      </c>
      <c r="W4137"/>
      <c r="X4137" t="s">
        <v>56</v>
      </c>
      <c r="Y4137"/>
      <c r="Z4137"/>
      <c r="AA4137"/>
      <c r="AB4137" t="s">
        <v>2</v>
      </c>
      <c r="AC4137" t="s">
        <v>138</v>
      </c>
      <c r="AD4137" t="s">
        <v>128</v>
      </c>
      <c r="AE4137" s="97"/>
    </row>
    <row r="4138" spans="1:31" ht="14.4" customHeight="1" x14ac:dyDescent="0.3">
      <c r="A4138" t="s">
        <v>6732</v>
      </c>
      <c r="B4138" t="s">
        <v>2975</v>
      </c>
      <c r="C4138"/>
      <c r="D4138"/>
      <c r="E4138"/>
      <c r="F4138"/>
      <c r="G4138" t="s">
        <v>6699</v>
      </c>
      <c r="H4138" t="s">
        <v>132</v>
      </c>
      <c r="I4138" t="s">
        <v>2</v>
      </c>
      <c r="J4138" t="s">
        <v>133</v>
      </c>
      <c r="K4138" t="s">
        <v>52</v>
      </c>
      <c r="L4138" t="s">
        <v>2976</v>
      </c>
      <c r="M4138" t="s">
        <v>134</v>
      </c>
      <c r="N4138" t="s">
        <v>135</v>
      </c>
      <c r="O4138"/>
      <c r="P4138"/>
      <c r="Q4138" t="s">
        <v>168</v>
      </c>
      <c r="R4138"/>
      <c r="S4138" t="s">
        <v>168</v>
      </c>
      <c r="T4138"/>
      <c r="U4138" t="s">
        <v>137</v>
      </c>
      <c r="V4138" t="s">
        <v>352</v>
      </c>
      <c r="W4138"/>
      <c r="X4138" t="s">
        <v>56</v>
      </c>
      <c r="Y4138"/>
      <c r="Z4138"/>
      <c r="AA4138"/>
      <c r="AB4138" t="s">
        <v>2</v>
      </c>
      <c r="AC4138" t="s">
        <v>138</v>
      </c>
      <c r="AD4138" t="s">
        <v>128</v>
      </c>
      <c r="AE4138" s="97"/>
    </row>
    <row r="4139" spans="1:31" ht="14.4" customHeight="1" x14ac:dyDescent="0.3">
      <c r="A4139" t="s">
        <v>6733</v>
      </c>
      <c r="B4139" t="s">
        <v>3221</v>
      </c>
      <c r="C4139"/>
      <c r="D4139"/>
      <c r="E4139"/>
      <c r="F4139"/>
      <c r="G4139" t="s">
        <v>6699</v>
      </c>
      <c r="H4139" t="s">
        <v>132</v>
      </c>
      <c r="I4139" t="s">
        <v>2</v>
      </c>
      <c r="J4139" t="s">
        <v>133</v>
      </c>
      <c r="K4139" t="s">
        <v>52</v>
      </c>
      <c r="L4139" t="s">
        <v>3222</v>
      </c>
      <c r="M4139" t="s">
        <v>134</v>
      </c>
      <c r="N4139" t="s">
        <v>135</v>
      </c>
      <c r="O4139"/>
      <c r="P4139"/>
      <c r="Q4139" t="s">
        <v>168</v>
      </c>
      <c r="R4139"/>
      <c r="S4139" t="s">
        <v>168</v>
      </c>
      <c r="T4139"/>
      <c r="U4139" t="s">
        <v>137</v>
      </c>
      <c r="V4139" t="s">
        <v>358</v>
      </c>
      <c r="W4139"/>
      <c r="X4139" t="s">
        <v>124</v>
      </c>
      <c r="Y4139"/>
      <c r="Z4139"/>
      <c r="AA4139"/>
      <c r="AB4139" t="s">
        <v>2</v>
      </c>
      <c r="AC4139" t="s">
        <v>138</v>
      </c>
      <c r="AD4139" t="s">
        <v>130</v>
      </c>
      <c r="AE4139" s="97"/>
    </row>
    <row r="4140" spans="1:31" ht="14.4" customHeight="1" x14ac:dyDescent="0.3">
      <c r="A4140" t="s">
        <v>6734</v>
      </c>
      <c r="B4140" t="s">
        <v>3365</v>
      </c>
      <c r="C4140"/>
      <c r="D4140"/>
      <c r="E4140"/>
      <c r="F4140"/>
      <c r="G4140" t="s">
        <v>6699</v>
      </c>
      <c r="H4140" t="s">
        <v>132</v>
      </c>
      <c r="I4140" t="s">
        <v>2</v>
      </c>
      <c r="J4140" t="s">
        <v>133</v>
      </c>
      <c r="K4140" t="s">
        <v>52</v>
      </c>
      <c r="L4140" t="s">
        <v>3366</v>
      </c>
      <c r="M4140" t="s">
        <v>134</v>
      </c>
      <c r="N4140" t="s">
        <v>135</v>
      </c>
      <c r="O4140"/>
      <c r="P4140"/>
      <c r="Q4140" t="s">
        <v>168</v>
      </c>
      <c r="R4140"/>
      <c r="S4140" t="s">
        <v>168</v>
      </c>
      <c r="T4140"/>
      <c r="U4140" t="s">
        <v>137</v>
      </c>
      <c r="V4140" t="s">
        <v>1239</v>
      </c>
      <c r="W4140"/>
      <c r="X4140" t="s">
        <v>127</v>
      </c>
      <c r="Y4140"/>
      <c r="Z4140"/>
      <c r="AA4140"/>
      <c r="AB4140" t="s">
        <v>2</v>
      </c>
      <c r="AC4140" t="s">
        <v>138</v>
      </c>
      <c r="AD4140" t="s">
        <v>131</v>
      </c>
      <c r="AE4140" s="97"/>
    </row>
    <row r="4141" spans="1:31" ht="14.4" customHeight="1" x14ac:dyDescent="0.3">
      <c r="A4141" t="s">
        <v>6735</v>
      </c>
      <c r="B4141" t="s">
        <v>3367</v>
      </c>
      <c r="C4141"/>
      <c r="D4141"/>
      <c r="E4141"/>
      <c r="F4141"/>
      <c r="G4141" t="s">
        <v>6699</v>
      </c>
      <c r="H4141" t="s">
        <v>132</v>
      </c>
      <c r="I4141" t="s">
        <v>2</v>
      </c>
      <c r="J4141" t="s">
        <v>133</v>
      </c>
      <c r="K4141" t="s">
        <v>52</v>
      </c>
      <c r="L4141" t="s">
        <v>3368</v>
      </c>
      <c r="M4141" t="s">
        <v>134</v>
      </c>
      <c r="N4141" t="s">
        <v>135</v>
      </c>
      <c r="O4141"/>
      <c r="P4141"/>
      <c r="Q4141" t="s">
        <v>168</v>
      </c>
      <c r="R4141"/>
      <c r="S4141" t="s">
        <v>168</v>
      </c>
      <c r="T4141"/>
      <c r="U4141" t="s">
        <v>137</v>
      </c>
      <c r="V4141" t="s">
        <v>1239</v>
      </c>
      <c r="W4141"/>
      <c r="X4141" t="s">
        <v>127</v>
      </c>
      <c r="Y4141"/>
      <c r="Z4141"/>
      <c r="AA4141"/>
      <c r="AB4141" t="s">
        <v>2</v>
      </c>
      <c r="AC4141" t="s">
        <v>138</v>
      </c>
      <c r="AD4141" t="s">
        <v>131</v>
      </c>
      <c r="AE4141" s="97"/>
    </row>
    <row r="4142" spans="1:31" ht="14.4" customHeight="1" x14ac:dyDescent="0.3">
      <c r="A4142" t="s">
        <v>6736</v>
      </c>
      <c r="B4142" t="s">
        <v>3369</v>
      </c>
      <c r="C4142"/>
      <c r="D4142"/>
      <c r="E4142"/>
      <c r="F4142"/>
      <c r="G4142" t="s">
        <v>6699</v>
      </c>
      <c r="H4142" t="s">
        <v>132</v>
      </c>
      <c r="I4142" t="s">
        <v>2</v>
      </c>
      <c r="J4142" t="s">
        <v>133</v>
      </c>
      <c r="K4142" t="s">
        <v>52</v>
      </c>
      <c r="L4142" t="s">
        <v>3370</v>
      </c>
      <c r="M4142" t="s">
        <v>134</v>
      </c>
      <c r="N4142" t="s">
        <v>135</v>
      </c>
      <c r="O4142"/>
      <c r="P4142"/>
      <c r="Q4142" t="s">
        <v>168</v>
      </c>
      <c r="R4142"/>
      <c r="S4142" t="s">
        <v>168</v>
      </c>
      <c r="T4142"/>
      <c r="U4142" t="s">
        <v>137</v>
      </c>
      <c r="V4142" t="s">
        <v>1239</v>
      </c>
      <c r="W4142"/>
      <c r="X4142" t="s">
        <v>127</v>
      </c>
      <c r="Y4142"/>
      <c r="Z4142"/>
      <c r="AA4142"/>
      <c r="AB4142" t="s">
        <v>2</v>
      </c>
      <c r="AC4142" t="s">
        <v>138</v>
      </c>
      <c r="AD4142" t="s">
        <v>131</v>
      </c>
      <c r="AE4142" s="97"/>
    </row>
    <row r="4143" spans="1:31" ht="14.4" customHeight="1" x14ac:dyDescent="0.3">
      <c r="A4143" t="s">
        <v>6737</v>
      </c>
      <c r="B4143" t="s">
        <v>3380</v>
      </c>
      <c r="C4143"/>
      <c r="D4143"/>
      <c r="E4143"/>
      <c r="F4143"/>
      <c r="G4143" t="s">
        <v>6699</v>
      </c>
      <c r="H4143" t="s">
        <v>132</v>
      </c>
      <c r="I4143" t="s">
        <v>2</v>
      </c>
      <c r="J4143" t="s">
        <v>133</v>
      </c>
      <c r="K4143" t="s">
        <v>52</v>
      </c>
      <c r="L4143" t="s">
        <v>3381</v>
      </c>
      <c r="M4143" t="s">
        <v>134</v>
      </c>
      <c r="N4143" t="s">
        <v>135</v>
      </c>
      <c r="O4143"/>
      <c r="P4143"/>
      <c r="Q4143" t="s">
        <v>168</v>
      </c>
      <c r="R4143"/>
      <c r="S4143" t="s">
        <v>168</v>
      </c>
      <c r="T4143"/>
      <c r="U4143" t="s">
        <v>137</v>
      </c>
      <c r="V4143" t="s">
        <v>1249</v>
      </c>
      <c r="W4143"/>
      <c r="X4143" t="s">
        <v>61</v>
      </c>
      <c r="Y4143"/>
      <c r="Z4143"/>
      <c r="AA4143"/>
      <c r="AB4143" t="s">
        <v>2</v>
      </c>
      <c r="AC4143" t="s">
        <v>138</v>
      </c>
      <c r="AD4143" t="s">
        <v>128</v>
      </c>
      <c r="AE4143" s="97"/>
    </row>
    <row r="4144" spans="1:31" ht="14.4" customHeight="1" x14ac:dyDescent="0.3">
      <c r="A4144" t="s">
        <v>6738</v>
      </c>
      <c r="B4144" t="s">
        <v>3382</v>
      </c>
      <c r="C4144"/>
      <c r="D4144"/>
      <c r="E4144"/>
      <c r="F4144"/>
      <c r="G4144" t="s">
        <v>6699</v>
      </c>
      <c r="H4144" t="s">
        <v>132</v>
      </c>
      <c r="I4144" t="s">
        <v>2</v>
      </c>
      <c r="J4144" t="s">
        <v>133</v>
      </c>
      <c r="K4144" t="s">
        <v>52</v>
      </c>
      <c r="L4144" t="s">
        <v>3383</v>
      </c>
      <c r="M4144" t="s">
        <v>134</v>
      </c>
      <c r="N4144" t="s">
        <v>135</v>
      </c>
      <c r="O4144"/>
      <c r="P4144"/>
      <c r="Q4144" t="s">
        <v>168</v>
      </c>
      <c r="R4144"/>
      <c r="S4144" t="s">
        <v>168</v>
      </c>
      <c r="T4144"/>
      <c r="U4144" t="s">
        <v>137</v>
      </c>
      <c r="V4144" t="s">
        <v>1249</v>
      </c>
      <c r="W4144"/>
      <c r="X4144" t="s">
        <v>61</v>
      </c>
      <c r="Y4144"/>
      <c r="Z4144"/>
      <c r="AA4144"/>
      <c r="AB4144" t="s">
        <v>2</v>
      </c>
      <c r="AC4144" t="s">
        <v>138</v>
      </c>
      <c r="AD4144" t="s">
        <v>128</v>
      </c>
      <c r="AE4144" s="97"/>
    </row>
    <row r="4145" spans="1:31" ht="14.4" customHeight="1" x14ac:dyDescent="0.3">
      <c r="A4145" t="s">
        <v>6739</v>
      </c>
      <c r="B4145" t="s">
        <v>3384</v>
      </c>
      <c r="C4145"/>
      <c r="D4145"/>
      <c r="E4145"/>
      <c r="F4145"/>
      <c r="G4145" t="s">
        <v>6699</v>
      </c>
      <c r="H4145" t="s">
        <v>132</v>
      </c>
      <c r="I4145" t="s">
        <v>2</v>
      </c>
      <c r="J4145" t="s">
        <v>133</v>
      </c>
      <c r="K4145" t="s">
        <v>52</v>
      </c>
      <c r="L4145" t="s">
        <v>3385</v>
      </c>
      <c r="M4145" t="s">
        <v>134</v>
      </c>
      <c r="N4145" t="s">
        <v>135</v>
      </c>
      <c r="O4145"/>
      <c r="P4145"/>
      <c r="Q4145" t="s">
        <v>168</v>
      </c>
      <c r="R4145"/>
      <c r="S4145" t="s">
        <v>168</v>
      </c>
      <c r="T4145"/>
      <c r="U4145" t="s">
        <v>137</v>
      </c>
      <c r="V4145" t="s">
        <v>1249</v>
      </c>
      <c r="W4145"/>
      <c r="X4145" t="s">
        <v>61</v>
      </c>
      <c r="Y4145"/>
      <c r="Z4145"/>
      <c r="AA4145"/>
      <c r="AB4145" t="s">
        <v>2</v>
      </c>
      <c r="AC4145" t="s">
        <v>138</v>
      </c>
      <c r="AD4145" t="s">
        <v>128</v>
      </c>
      <c r="AE4145" s="97"/>
    </row>
  </sheetData>
  <autoFilter ref="A1:AE4145" xr:uid="{00000000-0001-0000-0300-000000000000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5BBB-091E-409C-9C7B-EFA0C5C59FE9}">
  <dimension ref="A1:D73"/>
  <sheetViews>
    <sheetView workbookViewId="0">
      <selection activeCell="D3" sqref="D3"/>
    </sheetView>
  </sheetViews>
  <sheetFormatPr defaultColWidth="24.21875" defaultRowHeight="30.6" customHeight="1" x14ac:dyDescent="0.3"/>
  <cols>
    <col min="1" max="1" width="13.88671875" bestFit="1" customWidth="1"/>
    <col min="2" max="2" width="59.44140625" bestFit="1" customWidth="1"/>
    <col min="3" max="3" width="20.88671875" bestFit="1" customWidth="1"/>
    <col min="4" max="4" width="48.6640625" customWidth="1"/>
  </cols>
  <sheetData>
    <row r="1" spans="1:4" ht="50.4" customHeight="1" x14ac:dyDescent="0.3">
      <c r="A1" s="78" t="s">
        <v>27</v>
      </c>
      <c r="B1" s="78" t="s">
        <v>6746</v>
      </c>
      <c r="C1" s="78" t="s">
        <v>28</v>
      </c>
      <c r="D1" s="78" t="s">
        <v>6743</v>
      </c>
    </row>
    <row r="2" spans="1:4" ht="30.6" customHeight="1" x14ac:dyDescent="0.3">
      <c r="A2" s="4" t="s">
        <v>56</v>
      </c>
      <c r="B2" s="4" t="s">
        <v>352</v>
      </c>
      <c r="C2" s="4" t="s">
        <v>128</v>
      </c>
      <c r="D2" s="36"/>
    </row>
    <row r="3" spans="1:4" ht="30.6" customHeight="1" x14ac:dyDescent="0.3">
      <c r="A3" s="4" t="s">
        <v>57</v>
      </c>
      <c r="B3" s="4" t="s">
        <v>371</v>
      </c>
      <c r="C3" s="4" t="s">
        <v>128</v>
      </c>
      <c r="D3" s="36"/>
    </row>
    <row r="4" spans="1:4" ht="30.6" customHeight="1" x14ac:dyDescent="0.3">
      <c r="A4" s="4" t="s">
        <v>58</v>
      </c>
      <c r="B4" s="4" t="s">
        <v>362</v>
      </c>
      <c r="C4" s="4" t="s">
        <v>128</v>
      </c>
      <c r="D4" s="36"/>
    </row>
    <row r="5" spans="1:4" ht="30.6" customHeight="1" x14ac:dyDescent="0.3">
      <c r="A5" s="4" t="s">
        <v>59</v>
      </c>
      <c r="B5" s="4" t="s">
        <v>890</v>
      </c>
      <c r="C5" s="4" t="s">
        <v>128</v>
      </c>
      <c r="D5" s="36"/>
    </row>
    <row r="6" spans="1:4" ht="30.6" customHeight="1" x14ac:dyDescent="0.3">
      <c r="A6" s="4" t="s">
        <v>60</v>
      </c>
      <c r="B6" s="4" t="s">
        <v>324</v>
      </c>
      <c r="C6" s="4" t="s">
        <v>128</v>
      </c>
      <c r="D6" s="36"/>
    </row>
    <row r="7" spans="1:4" ht="30.6" customHeight="1" x14ac:dyDescent="0.3">
      <c r="A7" s="4" t="s">
        <v>61</v>
      </c>
      <c r="B7" s="4" t="s">
        <v>1249</v>
      </c>
      <c r="C7" s="4" t="s">
        <v>128</v>
      </c>
      <c r="D7" s="36"/>
    </row>
    <row r="8" spans="1:4" ht="30.6" customHeight="1" x14ac:dyDescent="0.3">
      <c r="A8" s="4" t="s">
        <v>62</v>
      </c>
      <c r="B8" s="4" t="s">
        <v>703</v>
      </c>
      <c r="C8" s="4" t="s">
        <v>128</v>
      </c>
      <c r="D8" s="36"/>
    </row>
    <row r="9" spans="1:4" ht="30.6" customHeight="1" x14ac:dyDescent="0.3">
      <c r="A9" s="4" t="s">
        <v>63</v>
      </c>
      <c r="B9" s="4" t="s">
        <v>296</v>
      </c>
      <c r="C9" s="4" t="s">
        <v>128</v>
      </c>
      <c r="D9" s="36"/>
    </row>
    <row r="10" spans="1:4" ht="30.6" customHeight="1" x14ac:dyDescent="0.3">
      <c r="A10" s="4" t="s">
        <v>64</v>
      </c>
      <c r="B10" s="4" t="s">
        <v>897</v>
      </c>
      <c r="C10" s="4" t="s">
        <v>128</v>
      </c>
      <c r="D10" s="36"/>
    </row>
    <row r="11" spans="1:4" ht="30.6" customHeight="1" x14ac:dyDescent="0.3">
      <c r="A11" s="4" t="s">
        <v>65</v>
      </c>
      <c r="B11" s="4" t="s">
        <v>328</v>
      </c>
      <c r="C11" s="4" t="s">
        <v>128</v>
      </c>
      <c r="D11" s="36"/>
    </row>
    <row r="12" spans="1:4" ht="30.6" customHeight="1" x14ac:dyDescent="0.3">
      <c r="A12" s="4" t="s">
        <v>66</v>
      </c>
      <c r="B12" s="4" t="s">
        <v>640</v>
      </c>
      <c r="C12" s="4" t="s">
        <v>128</v>
      </c>
      <c r="D12" s="36"/>
    </row>
    <row r="13" spans="1:4" ht="30.6" customHeight="1" x14ac:dyDescent="0.3">
      <c r="A13" s="4" t="s">
        <v>67</v>
      </c>
      <c r="B13" s="4" t="s">
        <v>1190</v>
      </c>
      <c r="C13" s="4" t="s">
        <v>128</v>
      </c>
      <c r="D13" s="36"/>
    </row>
    <row r="14" spans="1:4" ht="30.6" customHeight="1" x14ac:dyDescent="0.3">
      <c r="A14" s="4" t="s">
        <v>68</v>
      </c>
      <c r="B14" s="4" t="s">
        <v>403</v>
      </c>
      <c r="C14" s="4" t="s">
        <v>128</v>
      </c>
      <c r="D14" s="36"/>
    </row>
    <row r="15" spans="1:4" ht="30.6" customHeight="1" x14ac:dyDescent="0.3">
      <c r="A15" s="4" t="s">
        <v>69</v>
      </c>
      <c r="B15" s="4" t="s">
        <v>1263</v>
      </c>
      <c r="C15" s="4" t="s">
        <v>128</v>
      </c>
      <c r="D15" s="36"/>
    </row>
    <row r="16" spans="1:4" ht="30.6" customHeight="1" x14ac:dyDescent="0.3">
      <c r="A16" s="4" t="s">
        <v>70</v>
      </c>
      <c r="B16" s="4" t="s">
        <v>147</v>
      </c>
      <c r="C16" s="4" t="s">
        <v>128</v>
      </c>
      <c r="D16" s="36"/>
    </row>
    <row r="17" spans="1:4" ht="30.6" customHeight="1" x14ac:dyDescent="0.3">
      <c r="A17" s="4" t="s">
        <v>71</v>
      </c>
      <c r="B17" s="4" t="s">
        <v>1279</v>
      </c>
      <c r="C17" s="4" t="s">
        <v>128</v>
      </c>
      <c r="D17" s="36"/>
    </row>
    <row r="18" spans="1:4" ht="30.6" customHeight="1" x14ac:dyDescent="0.3">
      <c r="A18" s="4" t="s">
        <v>72</v>
      </c>
      <c r="B18" s="4" t="s">
        <v>300</v>
      </c>
      <c r="C18" s="4" t="s">
        <v>128</v>
      </c>
      <c r="D18" s="36"/>
    </row>
    <row r="19" spans="1:4" ht="30.6" customHeight="1" x14ac:dyDescent="0.3">
      <c r="A19" s="4" t="s">
        <v>73</v>
      </c>
      <c r="B19" s="4" t="s">
        <v>709</v>
      </c>
      <c r="C19" s="4" t="s">
        <v>128</v>
      </c>
      <c r="D19" s="36"/>
    </row>
    <row r="20" spans="1:4" ht="30.6" customHeight="1" x14ac:dyDescent="0.3">
      <c r="A20" s="4" t="s">
        <v>74</v>
      </c>
      <c r="B20" s="4" t="s">
        <v>646</v>
      </c>
      <c r="C20" s="4" t="s">
        <v>128</v>
      </c>
      <c r="D20" s="36"/>
    </row>
    <row r="21" spans="1:4" ht="30.6" customHeight="1" x14ac:dyDescent="0.3">
      <c r="A21" s="4" t="s">
        <v>75</v>
      </c>
      <c r="B21" s="4" t="s">
        <v>1194</v>
      </c>
      <c r="C21" s="4" t="s">
        <v>128</v>
      </c>
      <c r="D21" s="36"/>
    </row>
    <row r="22" spans="1:4" ht="30.6" customHeight="1" x14ac:dyDescent="0.3">
      <c r="A22" s="4" t="s">
        <v>76</v>
      </c>
      <c r="B22" s="4" t="s">
        <v>150</v>
      </c>
      <c r="C22" s="4" t="s">
        <v>128</v>
      </c>
      <c r="D22" s="36"/>
    </row>
    <row r="23" spans="1:4" ht="30.6" customHeight="1" x14ac:dyDescent="0.3">
      <c r="A23" s="4" t="s">
        <v>77</v>
      </c>
      <c r="B23" s="4" t="s">
        <v>407</v>
      </c>
      <c r="C23" s="4" t="s">
        <v>128</v>
      </c>
      <c r="D23" s="36"/>
    </row>
    <row r="24" spans="1:4" ht="30.6" customHeight="1" x14ac:dyDescent="0.3">
      <c r="A24" s="4" t="s">
        <v>78</v>
      </c>
      <c r="B24" s="4" t="s">
        <v>1283</v>
      </c>
      <c r="C24" s="4" t="s">
        <v>128</v>
      </c>
      <c r="D24" s="36"/>
    </row>
    <row r="25" spans="1:4" ht="30.6" customHeight="1" x14ac:dyDescent="0.3">
      <c r="A25" s="4" t="s">
        <v>79</v>
      </c>
      <c r="B25" s="4" t="s">
        <v>904</v>
      </c>
      <c r="C25" s="4" t="s">
        <v>129</v>
      </c>
      <c r="D25" s="36"/>
    </row>
    <row r="26" spans="1:4" ht="30.6" customHeight="1" x14ac:dyDescent="0.3">
      <c r="A26" s="4" t="s">
        <v>80</v>
      </c>
      <c r="B26" s="4" t="s">
        <v>332</v>
      </c>
      <c r="C26" s="4" t="s">
        <v>129</v>
      </c>
      <c r="D26" s="36"/>
    </row>
    <row r="27" spans="1:4" ht="30.6" customHeight="1" x14ac:dyDescent="0.3">
      <c r="A27" s="4" t="s">
        <v>81</v>
      </c>
      <c r="B27" s="4" t="s">
        <v>304</v>
      </c>
      <c r="C27" s="4" t="s">
        <v>129</v>
      </c>
      <c r="D27" s="36"/>
    </row>
    <row r="28" spans="1:4" ht="30.6" customHeight="1" x14ac:dyDescent="0.3">
      <c r="A28" s="4" t="s">
        <v>82</v>
      </c>
      <c r="B28" s="4" t="s">
        <v>715</v>
      </c>
      <c r="C28" s="4" t="s">
        <v>129</v>
      </c>
      <c r="D28" s="36"/>
    </row>
    <row r="29" spans="1:4" ht="30.6" customHeight="1" x14ac:dyDescent="0.3">
      <c r="A29" s="4" t="s">
        <v>83</v>
      </c>
      <c r="B29" s="4" t="s">
        <v>911</v>
      </c>
      <c r="C29" s="4" t="s">
        <v>129</v>
      </c>
      <c r="D29" s="36"/>
    </row>
    <row r="30" spans="1:4" ht="30.6" customHeight="1" x14ac:dyDescent="0.3">
      <c r="A30" s="4" t="s">
        <v>84</v>
      </c>
      <c r="B30" s="4" t="s">
        <v>336</v>
      </c>
      <c r="C30" s="4" t="s">
        <v>129</v>
      </c>
      <c r="D30" s="36"/>
    </row>
    <row r="31" spans="1:4" ht="30.6" customHeight="1" x14ac:dyDescent="0.3">
      <c r="A31" s="4" t="s">
        <v>85</v>
      </c>
      <c r="B31" s="4" t="s">
        <v>652</v>
      </c>
      <c r="C31" s="4" t="s">
        <v>129</v>
      </c>
      <c r="D31" s="36"/>
    </row>
    <row r="32" spans="1:4" ht="30.6" customHeight="1" x14ac:dyDescent="0.3">
      <c r="A32" s="4" t="s">
        <v>86</v>
      </c>
      <c r="B32" s="4" t="s">
        <v>1198</v>
      </c>
      <c r="C32" s="4" t="s">
        <v>129</v>
      </c>
      <c r="D32" s="36"/>
    </row>
    <row r="33" spans="1:4" ht="30.6" customHeight="1" x14ac:dyDescent="0.3">
      <c r="A33" s="4" t="s">
        <v>87</v>
      </c>
      <c r="B33" s="4" t="s">
        <v>411</v>
      </c>
      <c r="C33" s="4" t="s">
        <v>129</v>
      </c>
      <c r="D33" s="36"/>
    </row>
    <row r="34" spans="1:4" ht="30.6" customHeight="1" x14ac:dyDescent="0.3">
      <c r="A34" s="4" t="s">
        <v>88</v>
      </c>
      <c r="B34" s="4" t="s">
        <v>153</v>
      </c>
      <c r="C34" s="4" t="s">
        <v>129</v>
      </c>
      <c r="D34" s="36"/>
    </row>
    <row r="35" spans="1:4" ht="30.6" customHeight="1" x14ac:dyDescent="0.3">
      <c r="A35" s="4" t="s">
        <v>89</v>
      </c>
      <c r="B35" s="4" t="s">
        <v>1287</v>
      </c>
      <c r="C35" s="4" t="s">
        <v>129</v>
      </c>
      <c r="D35" s="36"/>
    </row>
    <row r="36" spans="1:4" ht="30.6" customHeight="1" x14ac:dyDescent="0.3">
      <c r="A36" s="4" t="s">
        <v>90</v>
      </c>
      <c r="B36" s="4" t="s">
        <v>308</v>
      </c>
      <c r="C36" s="4" t="s">
        <v>129</v>
      </c>
      <c r="D36" s="36"/>
    </row>
    <row r="37" spans="1:4" ht="30.6" customHeight="1" x14ac:dyDescent="0.3">
      <c r="A37" s="4" t="s">
        <v>91</v>
      </c>
      <c r="B37" s="4" t="s">
        <v>721</v>
      </c>
      <c r="C37" s="4" t="s">
        <v>129</v>
      </c>
      <c r="D37" s="36"/>
    </row>
    <row r="38" spans="1:4" ht="30.6" customHeight="1" x14ac:dyDescent="0.3">
      <c r="A38" s="4" t="s">
        <v>92</v>
      </c>
      <c r="B38" s="4" t="s">
        <v>918</v>
      </c>
      <c r="C38" s="4" t="s">
        <v>129</v>
      </c>
      <c r="D38" s="36"/>
    </row>
    <row r="39" spans="1:4" ht="30.6" customHeight="1" x14ac:dyDescent="0.3">
      <c r="A39" s="4" t="s">
        <v>93</v>
      </c>
      <c r="B39" s="4" t="s">
        <v>340</v>
      </c>
      <c r="C39" s="4" t="s">
        <v>129</v>
      </c>
      <c r="D39" s="36"/>
    </row>
    <row r="40" spans="1:4" ht="30.6" customHeight="1" x14ac:dyDescent="0.3">
      <c r="A40" s="4" t="s">
        <v>94</v>
      </c>
      <c r="B40" s="4" t="s">
        <v>658</v>
      </c>
      <c r="C40" s="4" t="s">
        <v>129</v>
      </c>
      <c r="D40" s="36"/>
    </row>
    <row r="41" spans="1:4" ht="30.6" customHeight="1" x14ac:dyDescent="0.3">
      <c r="A41" s="4" t="s">
        <v>95</v>
      </c>
      <c r="B41" s="4" t="s">
        <v>1202</v>
      </c>
      <c r="C41" s="4" t="s">
        <v>129</v>
      </c>
      <c r="D41" s="36"/>
    </row>
    <row r="42" spans="1:4" ht="30.6" customHeight="1" x14ac:dyDescent="0.3">
      <c r="A42" s="4" t="s">
        <v>96</v>
      </c>
      <c r="B42" s="4" t="s">
        <v>415</v>
      </c>
      <c r="C42" s="4" t="s">
        <v>129</v>
      </c>
      <c r="D42" s="36"/>
    </row>
    <row r="43" spans="1:4" ht="30.6" customHeight="1" x14ac:dyDescent="0.3">
      <c r="A43" s="4" t="s">
        <v>97</v>
      </c>
      <c r="B43" s="4" t="s">
        <v>156</v>
      </c>
      <c r="C43" s="4" t="s">
        <v>129</v>
      </c>
      <c r="D43" s="36"/>
    </row>
    <row r="44" spans="1:4" ht="30.6" customHeight="1" x14ac:dyDescent="0.3">
      <c r="A44" s="4" t="s">
        <v>98</v>
      </c>
      <c r="B44" s="4" t="s">
        <v>1291</v>
      </c>
      <c r="C44" s="4" t="s">
        <v>129</v>
      </c>
      <c r="D44" s="36"/>
    </row>
    <row r="45" spans="1:4" ht="30.6" customHeight="1" x14ac:dyDescent="0.3">
      <c r="A45" s="4" t="s">
        <v>99</v>
      </c>
      <c r="B45" s="4" t="s">
        <v>312</v>
      </c>
      <c r="C45" s="4" t="s">
        <v>129</v>
      </c>
      <c r="D45" s="36"/>
    </row>
    <row r="46" spans="1:4" ht="30.6" customHeight="1" x14ac:dyDescent="0.3">
      <c r="A46" s="4" t="s">
        <v>100</v>
      </c>
      <c r="B46" s="4" t="s">
        <v>727</v>
      </c>
      <c r="C46" s="4" t="s">
        <v>129</v>
      </c>
      <c r="D46" s="36"/>
    </row>
    <row r="47" spans="1:4" ht="30.6" customHeight="1" x14ac:dyDescent="0.3">
      <c r="A47" s="4" t="s">
        <v>101</v>
      </c>
      <c r="B47" s="4" t="s">
        <v>925</v>
      </c>
      <c r="C47" s="4" t="s">
        <v>129</v>
      </c>
      <c r="D47" s="36"/>
    </row>
    <row r="48" spans="1:4" ht="30.6" customHeight="1" x14ac:dyDescent="0.3">
      <c r="A48" s="4" t="s">
        <v>102</v>
      </c>
      <c r="B48" s="4" t="s">
        <v>344</v>
      </c>
      <c r="C48" s="4" t="s">
        <v>129</v>
      </c>
      <c r="D48" s="36"/>
    </row>
    <row r="49" spans="1:4" ht="30.6" customHeight="1" x14ac:dyDescent="0.3">
      <c r="A49" s="4" t="s">
        <v>103</v>
      </c>
      <c r="B49" s="4" t="s">
        <v>664</v>
      </c>
      <c r="C49" s="4" t="s">
        <v>129</v>
      </c>
      <c r="D49" s="36"/>
    </row>
    <row r="50" spans="1:4" ht="30.6" customHeight="1" x14ac:dyDescent="0.3">
      <c r="A50" s="4" t="s">
        <v>104</v>
      </c>
      <c r="B50" s="4" t="s">
        <v>1206</v>
      </c>
      <c r="C50" s="4" t="s">
        <v>129</v>
      </c>
      <c r="D50" s="36"/>
    </row>
    <row r="51" spans="1:4" ht="30.6" customHeight="1" x14ac:dyDescent="0.3">
      <c r="A51" s="4" t="s">
        <v>105</v>
      </c>
      <c r="B51" s="4" t="s">
        <v>419</v>
      </c>
      <c r="C51" s="4" t="s">
        <v>129</v>
      </c>
      <c r="D51" s="36"/>
    </row>
    <row r="52" spans="1:4" ht="30.6" customHeight="1" x14ac:dyDescent="0.3">
      <c r="A52" s="4" t="s">
        <v>106</v>
      </c>
      <c r="B52" s="4" t="s">
        <v>159</v>
      </c>
      <c r="C52" s="4" t="s">
        <v>129</v>
      </c>
      <c r="D52" s="36"/>
    </row>
    <row r="53" spans="1:4" ht="30.6" customHeight="1" x14ac:dyDescent="0.3">
      <c r="A53" s="4" t="s">
        <v>107</v>
      </c>
      <c r="B53" s="4" t="s">
        <v>1295</v>
      </c>
      <c r="C53" s="4" t="s">
        <v>129</v>
      </c>
      <c r="D53" s="36"/>
    </row>
    <row r="54" spans="1:4" ht="30.6" customHeight="1" x14ac:dyDescent="0.3">
      <c r="A54" s="4" t="s">
        <v>108</v>
      </c>
      <c r="B54" s="4" t="s">
        <v>316</v>
      </c>
      <c r="C54" s="4" t="s">
        <v>129</v>
      </c>
      <c r="D54" s="36"/>
    </row>
    <row r="55" spans="1:4" ht="30.6" customHeight="1" x14ac:dyDescent="0.3">
      <c r="A55" s="4" t="s">
        <v>109</v>
      </c>
      <c r="B55" s="4" t="s">
        <v>733</v>
      </c>
      <c r="C55" s="4" t="s">
        <v>129</v>
      </c>
      <c r="D55" s="36"/>
    </row>
    <row r="56" spans="1:4" ht="30.6" customHeight="1" x14ac:dyDescent="0.3">
      <c r="A56" s="4" t="s">
        <v>110</v>
      </c>
      <c r="B56" s="4" t="s">
        <v>670</v>
      </c>
      <c r="C56" s="4" t="s">
        <v>129</v>
      </c>
      <c r="D56" s="36"/>
    </row>
    <row r="57" spans="1:4" ht="30.6" customHeight="1" x14ac:dyDescent="0.3">
      <c r="A57" s="4" t="s">
        <v>111</v>
      </c>
      <c r="B57" s="4" t="s">
        <v>1210</v>
      </c>
      <c r="C57" s="4" t="s">
        <v>129</v>
      </c>
      <c r="D57" s="36"/>
    </row>
    <row r="58" spans="1:4" ht="30.6" customHeight="1" x14ac:dyDescent="0.3">
      <c r="A58" s="4" t="s">
        <v>112</v>
      </c>
      <c r="B58" s="4" t="s">
        <v>423</v>
      </c>
      <c r="C58" s="4" t="s">
        <v>129</v>
      </c>
      <c r="D58" s="36"/>
    </row>
    <row r="59" spans="1:4" ht="30.6" customHeight="1" x14ac:dyDescent="0.3">
      <c r="A59" s="4" t="s">
        <v>113</v>
      </c>
      <c r="B59" s="4" t="s">
        <v>162</v>
      </c>
      <c r="C59" s="4" t="s">
        <v>129</v>
      </c>
      <c r="D59" s="36"/>
    </row>
    <row r="60" spans="1:4" ht="30.6" customHeight="1" x14ac:dyDescent="0.3">
      <c r="A60" s="4" t="s">
        <v>114</v>
      </c>
      <c r="B60" s="4" t="s">
        <v>1299</v>
      </c>
      <c r="C60" s="4" t="s">
        <v>129</v>
      </c>
      <c r="D60" s="36"/>
    </row>
    <row r="61" spans="1:4" ht="30.6" customHeight="1" x14ac:dyDescent="0.3">
      <c r="A61" s="4" t="s">
        <v>115</v>
      </c>
      <c r="B61" s="4" t="s">
        <v>932</v>
      </c>
      <c r="C61" s="4" t="s">
        <v>130</v>
      </c>
      <c r="D61" s="36"/>
    </row>
    <row r="62" spans="1:4" ht="30.6" customHeight="1" x14ac:dyDescent="0.3">
      <c r="A62" s="4" t="s">
        <v>116</v>
      </c>
      <c r="B62" s="4" t="s">
        <v>348</v>
      </c>
      <c r="C62" s="4" t="s">
        <v>130</v>
      </c>
      <c r="D62" s="36"/>
    </row>
    <row r="63" spans="1:4" ht="30.6" customHeight="1" x14ac:dyDescent="0.3">
      <c r="A63" s="4" t="s">
        <v>117</v>
      </c>
      <c r="B63" s="4" t="s">
        <v>320</v>
      </c>
      <c r="C63" s="4" t="s">
        <v>130</v>
      </c>
      <c r="D63" s="36"/>
    </row>
    <row r="64" spans="1:4" ht="30.6" customHeight="1" x14ac:dyDescent="0.3">
      <c r="A64" s="4" t="s">
        <v>118</v>
      </c>
      <c r="B64" s="4" t="s">
        <v>739</v>
      </c>
      <c r="C64" s="4" t="s">
        <v>130</v>
      </c>
      <c r="D64" s="36"/>
    </row>
    <row r="65" spans="1:4" ht="30.6" customHeight="1" x14ac:dyDescent="0.3">
      <c r="A65" s="4" t="s">
        <v>119</v>
      </c>
      <c r="B65" s="4" t="s">
        <v>676</v>
      </c>
      <c r="C65" s="4" t="s">
        <v>130</v>
      </c>
      <c r="D65" s="36"/>
    </row>
    <row r="66" spans="1:4" ht="30.6" customHeight="1" x14ac:dyDescent="0.3">
      <c r="A66" s="4" t="s">
        <v>120</v>
      </c>
      <c r="B66" s="4" t="s">
        <v>1214</v>
      </c>
      <c r="C66" s="4" t="s">
        <v>130</v>
      </c>
      <c r="D66" s="36"/>
    </row>
    <row r="67" spans="1:4" ht="30.6" customHeight="1" x14ac:dyDescent="0.3">
      <c r="A67" s="4" t="s">
        <v>121</v>
      </c>
      <c r="B67" s="4" t="s">
        <v>427</v>
      </c>
      <c r="C67" s="4" t="s">
        <v>130</v>
      </c>
      <c r="D67" s="36"/>
    </row>
    <row r="68" spans="1:4" ht="30.6" customHeight="1" x14ac:dyDescent="0.3">
      <c r="A68" s="4" t="s">
        <v>122</v>
      </c>
      <c r="B68" s="4" t="s">
        <v>165</v>
      </c>
      <c r="C68" s="4" t="s">
        <v>130</v>
      </c>
      <c r="D68" s="36"/>
    </row>
    <row r="69" spans="1:4" ht="30.6" customHeight="1" x14ac:dyDescent="0.3">
      <c r="A69" s="4" t="s">
        <v>123</v>
      </c>
      <c r="B69" s="4" t="s">
        <v>1303</v>
      </c>
      <c r="C69" s="4" t="s">
        <v>130</v>
      </c>
      <c r="D69" s="36"/>
    </row>
    <row r="70" spans="1:4" ht="30.6" customHeight="1" x14ac:dyDescent="0.3">
      <c r="A70" s="4" t="s">
        <v>124</v>
      </c>
      <c r="B70" s="4" t="s">
        <v>358</v>
      </c>
      <c r="C70" s="4" t="s">
        <v>130</v>
      </c>
      <c r="D70" s="36"/>
    </row>
    <row r="71" spans="1:4" ht="30.6" customHeight="1" x14ac:dyDescent="0.3">
      <c r="A71" s="4" t="s">
        <v>125</v>
      </c>
      <c r="B71" s="4" t="s">
        <v>1967</v>
      </c>
      <c r="C71" s="4" t="s">
        <v>131</v>
      </c>
      <c r="D71" s="36"/>
    </row>
    <row r="72" spans="1:4" ht="30.6" customHeight="1" x14ac:dyDescent="0.3">
      <c r="A72" s="4" t="s">
        <v>126</v>
      </c>
      <c r="B72" s="4" t="s">
        <v>1259</v>
      </c>
      <c r="C72" s="4" t="s">
        <v>131</v>
      </c>
      <c r="D72" s="36"/>
    </row>
    <row r="73" spans="1:4" ht="30.6" customHeight="1" x14ac:dyDescent="0.3">
      <c r="A73" s="4" t="s">
        <v>127</v>
      </c>
      <c r="B73" s="4" t="s">
        <v>1239</v>
      </c>
      <c r="C73" s="4" t="s">
        <v>131</v>
      </c>
      <c r="D73" s="36"/>
    </row>
  </sheetData>
  <autoFilter ref="A1:E73" xr:uid="{26155BBB-091E-409C-9C7B-EFA0C5C59FE9}"/>
  <conditionalFormatting sqref="A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X45"/>
  <sheetViews>
    <sheetView showGridLines="0" zoomScale="101" zoomScaleNormal="90" workbookViewId="0">
      <selection activeCell="S25" sqref="S25"/>
    </sheetView>
  </sheetViews>
  <sheetFormatPr defaultRowHeight="14.4" x14ac:dyDescent="0.3"/>
  <cols>
    <col min="1" max="1" width="0.6640625" customWidth="1"/>
    <col min="2" max="2" width="23.77734375" style="3" customWidth="1"/>
    <col min="3" max="3" width="13.6640625" style="3" customWidth="1"/>
    <col min="4" max="4" width="9.6640625" style="3" customWidth="1"/>
    <col min="5" max="5" width="15.5546875" style="3" customWidth="1"/>
    <col min="6" max="6" width="10.21875" style="3" customWidth="1"/>
    <col min="7" max="7" width="1.5546875" hidden="1" customWidth="1"/>
    <col min="8" max="14" width="8.33203125" customWidth="1"/>
    <col min="15" max="15" width="13.77734375" customWidth="1"/>
    <col min="16" max="16" width="3.21875" customWidth="1"/>
    <col min="17" max="17" width="16.33203125" hidden="1" customWidth="1"/>
    <col min="18" max="18" width="26.5546875" style="3" customWidth="1"/>
    <col min="19" max="19" width="16.88671875" bestFit="1" customWidth="1"/>
    <col min="20" max="20" width="12" bestFit="1" customWidth="1"/>
    <col min="21" max="21" width="19.5546875" customWidth="1"/>
    <col min="22" max="22" width="13.77734375" customWidth="1"/>
    <col min="23" max="23" width="23.21875" style="3" bestFit="1" customWidth="1"/>
    <col min="24" max="24" width="13.77734375" customWidth="1"/>
    <col min="25" max="25" width="14" customWidth="1"/>
  </cols>
  <sheetData>
    <row r="1" spans="2:24" ht="19.2" customHeight="1" x14ac:dyDescent="0.3"/>
    <row r="3" spans="2:24" ht="19.8" x14ac:dyDescent="0.3">
      <c r="B3" s="107" t="s">
        <v>7066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9"/>
    </row>
    <row r="4" spans="2:24" ht="30.6" customHeight="1" x14ac:dyDescent="0.3">
      <c r="B4" s="116" t="s">
        <v>16</v>
      </c>
      <c r="C4" s="116" t="s">
        <v>17</v>
      </c>
      <c r="D4" s="116" t="s">
        <v>18</v>
      </c>
      <c r="E4" s="116" t="s">
        <v>19</v>
      </c>
      <c r="F4" s="118" t="s">
        <v>20</v>
      </c>
      <c r="G4" s="72"/>
      <c r="H4" s="113" t="s">
        <v>7064</v>
      </c>
      <c r="I4" s="114"/>
      <c r="J4" s="114"/>
      <c r="K4" s="114"/>
      <c r="L4" s="114"/>
      <c r="M4" s="114"/>
      <c r="N4" s="114"/>
      <c r="O4" s="115"/>
    </row>
    <row r="5" spans="2:24" ht="22.8" customHeight="1" x14ac:dyDescent="0.3">
      <c r="B5" s="117"/>
      <c r="C5" s="117"/>
      <c r="D5" s="117"/>
      <c r="E5" s="117"/>
      <c r="F5" s="119"/>
      <c r="G5" s="72"/>
      <c r="H5" s="66" t="s">
        <v>7420</v>
      </c>
      <c r="I5" s="66" t="s">
        <v>7421</v>
      </c>
      <c r="J5" s="66" t="s">
        <v>7422</v>
      </c>
      <c r="K5" s="66" t="s">
        <v>7423</v>
      </c>
      <c r="L5" s="66" t="s">
        <v>7424</v>
      </c>
      <c r="M5" s="66" t="s">
        <v>7425</v>
      </c>
      <c r="N5" s="66" t="s">
        <v>7426</v>
      </c>
      <c r="O5" s="67" t="s">
        <v>9</v>
      </c>
    </row>
    <row r="6" spans="2:24" ht="25.05" customHeight="1" thickBot="1" x14ac:dyDescent="0.35">
      <c r="B6" s="7" t="s">
        <v>128</v>
      </c>
      <c r="C6" s="7">
        <v>23</v>
      </c>
      <c r="D6" s="7">
        <f>COUNTIFS('DETAILED ITR LIST'!AD:AD,"PS5 - Milestone B")</f>
        <v>1298</v>
      </c>
      <c r="E6" s="7">
        <f>COUNTIFS('DETAILED ITR LIST'!AD:AD,"PS5 - Milestone B",'DETAILED ITR LIST'!AC:AC,"Closed")</f>
        <v>429</v>
      </c>
      <c r="F6" s="7">
        <f t="shared" ref="F6:F23" si="0">D6-E6</f>
        <v>869</v>
      </c>
      <c r="H6" s="44"/>
      <c r="I6" s="44"/>
      <c r="J6" s="44"/>
      <c r="K6" s="44"/>
      <c r="L6" s="44"/>
      <c r="M6" s="44"/>
      <c r="N6" s="44"/>
      <c r="O6" s="43">
        <f>E6/D6</f>
        <v>0.33050847457627119</v>
      </c>
    </row>
    <row r="7" spans="2:24" ht="25.05" customHeight="1" thickBot="1" x14ac:dyDescent="0.35">
      <c r="B7" s="39" t="s">
        <v>51</v>
      </c>
      <c r="C7" s="39"/>
      <c r="D7" s="39">
        <f>COUNTIFS('DETAILED ITR LIST'!AD:AD,"PS5 - Milestone B",'DETAILED ITR LIST'!K:K,"E - Electrical")</f>
        <v>470</v>
      </c>
      <c r="E7" s="39">
        <f>COUNTIFS('DETAILED ITR LIST'!AD:AD,"PS5 - Milestone B",'DETAILED ITR LIST'!K:K,"E - Electrical",'DETAILED ITR LIST'!AC:AC,"CLOSED")</f>
        <v>176</v>
      </c>
      <c r="F7" s="39">
        <f t="shared" si="0"/>
        <v>294</v>
      </c>
      <c r="G7" s="38"/>
      <c r="H7" s="8">
        <v>15</v>
      </c>
      <c r="I7" s="8"/>
      <c r="J7" s="8"/>
      <c r="K7" s="8"/>
      <c r="L7" s="8">
        <v>31</v>
      </c>
      <c r="M7" s="8"/>
      <c r="N7" s="8"/>
      <c r="O7" s="8">
        <f>SUM(H7:N7)</f>
        <v>46</v>
      </c>
      <c r="R7" s="110" t="s">
        <v>6773</v>
      </c>
      <c r="S7" s="111"/>
      <c r="T7" s="111"/>
      <c r="U7" s="111"/>
      <c r="V7" s="111"/>
      <c r="W7" s="112"/>
    </row>
    <row r="8" spans="2:24" ht="25.05" customHeight="1" thickBot="1" x14ac:dyDescent="0.35">
      <c r="B8" s="39" t="s">
        <v>52</v>
      </c>
      <c r="C8" s="39"/>
      <c r="D8" s="39">
        <f>COUNTIFS('DETAILED ITR LIST'!AD:AD,"PS5 - Milestone B",'DETAILED ITR LIST'!K:K,"I - Instrumentation")</f>
        <v>421</v>
      </c>
      <c r="E8" s="39">
        <f>COUNTIFS('DETAILED ITR LIST'!AD:AD,"PS5 - Milestone B",'DETAILED ITR LIST'!K:K,"I - Instrumentation",'DETAILED ITR LIST'!AC:AC,"CLOSED")</f>
        <v>4</v>
      </c>
      <c r="F8" s="39">
        <f t="shared" si="0"/>
        <v>417</v>
      </c>
      <c r="G8" s="38"/>
      <c r="H8" s="8"/>
      <c r="I8" s="8"/>
      <c r="J8" s="8"/>
      <c r="K8" s="8"/>
      <c r="L8" s="8">
        <v>4</v>
      </c>
      <c r="M8" s="8"/>
      <c r="N8" s="8"/>
      <c r="O8" s="8">
        <f t="shared" ref="O8:O11" si="1">SUM(H8:N8)</f>
        <v>4</v>
      </c>
      <c r="R8" s="41" t="s">
        <v>6742</v>
      </c>
      <c r="S8" s="49" t="s">
        <v>6747</v>
      </c>
      <c r="T8" s="49" t="s">
        <v>6741</v>
      </c>
      <c r="U8" s="49" t="s">
        <v>6774</v>
      </c>
      <c r="V8" s="41" t="s">
        <v>6745</v>
      </c>
      <c r="W8" s="47" t="s">
        <v>7065</v>
      </c>
    </row>
    <row r="9" spans="2:24" ht="25.05" customHeight="1" thickBot="1" x14ac:dyDescent="0.35">
      <c r="B9" s="39" t="s">
        <v>53</v>
      </c>
      <c r="C9" s="39"/>
      <c r="D9" s="39">
        <f>COUNTIFS('DETAILED ITR LIST'!AD:AD,"PS5 - Milestone B",'DETAILED ITR LIST'!K:K,"M - Mechanical")</f>
        <v>58</v>
      </c>
      <c r="E9" s="39">
        <f>COUNTIFS('DETAILED ITR LIST'!AD:AD,"PS5 - Milestone B",'DETAILED ITR LIST'!K:K,"M - Mechanical",'DETAILED ITR LIST'!AC:AC,"CLOSED")</f>
        <v>58</v>
      </c>
      <c r="F9" s="39">
        <f t="shared" si="0"/>
        <v>0</v>
      </c>
      <c r="G9" s="38"/>
      <c r="H9" s="8"/>
      <c r="I9" s="8"/>
      <c r="J9" s="8"/>
      <c r="K9" s="8">
        <v>4</v>
      </c>
      <c r="L9" s="8"/>
      <c r="M9" s="8"/>
      <c r="N9" s="8"/>
      <c r="O9" s="8">
        <f t="shared" si="1"/>
        <v>4</v>
      </c>
      <c r="R9" s="50" t="s">
        <v>128</v>
      </c>
      <c r="S9" s="45">
        <f>COUNTIFS('DETAILED ITR LIST'!AD:AD,"PS5 - Milestone B")</f>
        <v>1298</v>
      </c>
      <c r="T9" s="45">
        <f>COUNTIFS('DETAILED ITR LIST'!AD:AD,"PS5 - Milestone B",'DETAILED ITR LIST'!AC:AC,"Closed")</f>
        <v>429</v>
      </c>
      <c r="U9" s="60">
        <f t="shared" ref="U9:U12" si="2">S9-T9</f>
        <v>869</v>
      </c>
      <c r="V9" s="51">
        <f t="shared" ref="V9:V12" si="3">T9/S9</f>
        <v>0.33050847457627119</v>
      </c>
      <c r="W9" s="45">
        <f>SUM(O7:O11)</f>
        <v>59</v>
      </c>
      <c r="X9" s="59"/>
    </row>
    <row r="10" spans="2:24" ht="25.05" customHeight="1" thickBot="1" x14ac:dyDescent="0.35">
      <c r="B10" s="39" t="s">
        <v>54</v>
      </c>
      <c r="C10" s="39"/>
      <c r="D10" s="39">
        <f>COUNTIFS('DETAILED ITR LIST'!AD:AD,"PS5 - Milestone B",'DETAILED ITR LIST'!K:K,"P - Piping &amp; Vessel")</f>
        <v>315</v>
      </c>
      <c r="E10" s="39">
        <f>COUNTIFS('DETAILED ITR LIST'!AD:AD,"PS5 - Milestone B",'DETAILED ITR LIST'!K:K,"P - Piping &amp; Vessel",'DETAILED ITR LIST'!AC:AC,"CLOSED")</f>
        <v>191</v>
      </c>
      <c r="F10" s="39">
        <f t="shared" si="0"/>
        <v>124</v>
      </c>
      <c r="G10" s="38"/>
      <c r="H10" s="8">
        <v>1</v>
      </c>
      <c r="I10" s="8"/>
      <c r="J10" s="8"/>
      <c r="K10" s="8"/>
      <c r="L10" s="8"/>
      <c r="M10" s="8">
        <v>4</v>
      </c>
      <c r="N10" s="8"/>
      <c r="O10" s="8">
        <f t="shared" si="1"/>
        <v>5</v>
      </c>
      <c r="R10" s="50" t="s">
        <v>129</v>
      </c>
      <c r="S10" s="45">
        <f>COUNTIFS('DETAILED ITR LIST'!AD:AD,"PS5 - Milestone D")</f>
        <v>2103</v>
      </c>
      <c r="T10" s="45">
        <f>COUNTIFS('DETAILED ITR LIST'!AD:AD,"PS5 - Milestone D",'DETAILED ITR LIST'!AC:AC,"Closed")</f>
        <v>518</v>
      </c>
      <c r="U10" s="60">
        <f t="shared" si="2"/>
        <v>1585</v>
      </c>
      <c r="V10" s="51">
        <f t="shared" si="3"/>
        <v>0.24631478839752735</v>
      </c>
      <c r="W10" s="45">
        <f>SUM(O13:O17)</f>
        <v>45</v>
      </c>
      <c r="X10" s="59"/>
    </row>
    <row r="11" spans="2:24" ht="25.05" customHeight="1" thickBot="1" x14ac:dyDescent="0.35">
      <c r="B11" s="39" t="s">
        <v>55</v>
      </c>
      <c r="C11" s="39"/>
      <c r="D11" s="39">
        <f>COUNTIFS('DETAILED ITR LIST'!AD:AD,"PS5 - Milestone B",'DETAILED ITR LIST'!K:K,"T - Telecom")</f>
        <v>34</v>
      </c>
      <c r="E11" s="39">
        <f>COUNTIFS('DETAILED ITR LIST'!AD:AD,"PS5 - Milestone B",'DETAILED ITR LIST'!K:K,"T - Telecom",'DETAILED ITR LIST'!AC:AC,"CLOSED")</f>
        <v>0</v>
      </c>
      <c r="F11" s="39">
        <f t="shared" si="0"/>
        <v>34</v>
      </c>
      <c r="G11" s="38"/>
      <c r="H11" s="8"/>
      <c r="I11" s="8"/>
      <c r="J11" s="8"/>
      <c r="K11" s="8"/>
      <c r="L11" s="8"/>
      <c r="M11" s="8"/>
      <c r="N11" s="8"/>
      <c r="O11" s="8">
        <f t="shared" si="1"/>
        <v>0</v>
      </c>
      <c r="R11" s="50" t="s">
        <v>130</v>
      </c>
      <c r="S11" s="45">
        <f>COUNTIFS('DETAILED ITR LIST'!AD:AD,"PS5 - Milestone E")</f>
        <v>589</v>
      </c>
      <c r="T11" s="45">
        <f>COUNTIFS('DETAILED ITR LIST'!AD:AD,"PS5 - Milestone E",'DETAILED ITR LIST'!AC:AC,"Closed")</f>
        <v>117</v>
      </c>
      <c r="U11" s="60">
        <f t="shared" si="2"/>
        <v>472</v>
      </c>
      <c r="V11" s="51">
        <f t="shared" si="3"/>
        <v>0.19864176570458403</v>
      </c>
      <c r="W11" s="45">
        <f>SUM(O19:O23)</f>
        <v>22</v>
      </c>
      <c r="X11" s="59"/>
    </row>
    <row r="12" spans="2:24" ht="25.05" customHeight="1" thickBot="1" x14ac:dyDescent="0.35">
      <c r="B12" s="7" t="s">
        <v>129</v>
      </c>
      <c r="C12" s="7">
        <v>36</v>
      </c>
      <c r="D12" s="7">
        <f>COUNTIFS('DETAILED ITR LIST'!AD:AD,"PS5 - Milestone D")</f>
        <v>2103</v>
      </c>
      <c r="E12" s="7">
        <f>COUNTIFS('DETAILED ITR LIST'!AD:AD,"PS5 - Milestone D",'DETAILED ITR LIST'!AC:AC,"Closed")</f>
        <v>518</v>
      </c>
      <c r="F12" s="7">
        <f t="shared" si="0"/>
        <v>1585</v>
      </c>
      <c r="H12" s="44"/>
      <c r="I12" s="44"/>
      <c r="J12" s="44"/>
      <c r="K12" s="44"/>
      <c r="L12" s="44"/>
      <c r="M12" s="44"/>
      <c r="N12" s="44"/>
      <c r="O12" s="43">
        <f>E12/D12</f>
        <v>0.24631478839752735</v>
      </c>
      <c r="R12" s="50" t="s">
        <v>131</v>
      </c>
      <c r="S12" s="45">
        <f>COUNTIFS('DETAILED ITR LIST'!AD:AD,"PS5 - Milestone H")</f>
        <v>154</v>
      </c>
      <c r="T12" s="45">
        <f>COUNTIFS('DETAILED ITR LIST'!AD:AD,"PS5 - Milestone H",'DETAILED ITR LIST'!AC:AC,"Closed")</f>
        <v>34</v>
      </c>
      <c r="U12" s="60">
        <f t="shared" si="2"/>
        <v>120</v>
      </c>
      <c r="V12" s="51">
        <f t="shared" si="3"/>
        <v>0.22077922077922077</v>
      </c>
      <c r="W12" s="45">
        <f>SUM(O25:O29)</f>
        <v>5</v>
      </c>
      <c r="X12" s="59"/>
    </row>
    <row r="13" spans="2:24" ht="25.05" customHeight="1" thickBot="1" x14ac:dyDescent="0.35">
      <c r="B13" s="39" t="s">
        <v>51</v>
      </c>
      <c r="C13" s="39"/>
      <c r="D13" s="39">
        <f>COUNTIFS('DETAILED ITR LIST'!AD:AD,"PS5 - Milestone D",'DETAILED ITR LIST'!K:K,"E - Electrical")</f>
        <v>752</v>
      </c>
      <c r="E13" s="39">
        <f>COUNTIFS('DETAILED ITR LIST'!AD:AD,"PS5 - Milestone D",'DETAILED ITR LIST'!K:K,"E - Electrical",'DETAILED ITR LIST'!AC:AC,"CLOSED")</f>
        <v>99</v>
      </c>
      <c r="F13" s="39">
        <f t="shared" si="0"/>
        <v>653</v>
      </c>
      <c r="G13" s="38"/>
      <c r="H13" s="8"/>
      <c r="I13" s="8"/>
      <c r="J13" s="8"/>
      <c r="K13" s="8"/>
      <c r="L13" s="8">
        <v>3</v>
      </c>
      <c r="M13" s="8"/>
      <c r="N13" s="8">
        <v>5</v>
      </c>
      <c r="O13" s="8">
        <f>SUM(H13:N13)</f>
        <v>8</v>
      </c>
      <c r="R13" s="42" t="s">
        <v>9</v>
      </c>
      <c r="S13" s="46">
        <f>SUM(S9:S12)</f>
        <v>4144</v>
      </c>
      <c r="T13" s="46">
        <f>SUM(T9:T12)</f>
        <v>1098</v>
      </c>
      <c r="U13" s="62">
        <f>S13-T13</f>
        <v>3046</v>
      </c>
      <c r="V13" s="52">
        <f>T13/S13</f>
        <v>0.26496138996138996</v>
      </c>
      <c r="W13" s="46">
        <f>SUM(W9:W12)</f>
        <v>131</v>
      </c>
      <c r="X13" s="59"/>
    </row>
    <row r="14" spans="2:24" ht="25.05" customHeight="1" thickBot="1" x14ac:dyDescent="0.35">
      <c r="B14" s="39" t="s">
        <v>52</v>
      </c>
      <c r="C14" s="39"/>
      <c r="D14" s="39">
        <f>COUNTIFS('DETAILED ITR LIST'!AD:AD,"PS5 - Milestone D",'DETAILED ITR LIST'!K:K,"I - Instrumentation")</f>
        <v>646</v>
      </c>
      <c r="E14" s="39">
        <f>COUNTIFS('DETAILED ITR LIST'!AD:AD,"PS5 - Milestone D",'DETAILED ITR LIST'!K:K,"I - Instrumentation",'DETAILED ITR LIST'!AC:AC,"CLOSED")</f>
        <v>11</v>
      </c>
      <c r="F14" s="39">
        <f t="shared" si="0"/>
        <v>635</v>
      </c>
      <c r="G14" s="38"/>
      <c r="H14" s="8"/>
      <c r="I14" s="8"/>
      <c r="J14" s="8"/>
      <c r="K14" s="8"/>
      <c r="L14" s="8">
        <v>11</v>
      </c>
      <c r="M14" s="8"/>
      <c r="N14" s="8"/>
      <c r="O14" s="8">
        <f t="shared" ref="O14:O17" si="4">SUM(H14:N14)</f>
        <v>11</v>
      </c>
      <c r="S14" s="3"/>
      <c r="T14" s="3"/>
      <c r="U14" s="3"/>
      <c r="V14" s="3"/>
      <c r="X14" s="59"/>
    </row>
    <row r="15" spans="2:24" ht="25.05" customHeight="1" thickBot="1" x14ac:dyDescent="0.35">
      <c r="B15" s="39" t="s">
        <v>53</v>
      </c>
      <c r="C15" s="39"/>
      <c r="D15" s="39">
        <f>COUNTIFS('DETAILED ITR LIST'!AD:AD,"PS5 - Milestone D",'DETAILED ITR LIST'!K:K,"M - Mechanical")</f>
        <v>109</v>
      </c>
      <c r="E15" s="39">
        <f>COUNTIFS('DETAILED ITR LIST'!AD:AD,"PS5 - Milestone D",'DETAILED ITR LIST'!K:K,"M - Mechanical",'DETAILED ITR LIST'!AC:AC,"CLOSED")</f>
        <v>109</v>
      </c>
      <c r="F15" s="39">
        <f t="shared" si="0"/>
        <v>0</v>
      </c>
      <c r="G15" s="38"/>
      <c r="H15" s="8"/>
      <c r="I15" s="8"/>
      <c r="J15" s="8"/>
      <c r="K15" s="8">
        <v>8</v>
      </c>
      <c r="L15" s="8"/>
      <c r="M15" s="8"/>
      <c r="N15" s="8"/>
      <c r="O15" s="8">
        <f t="shared" si="4"/>
        <v>8</v>
      </c>
      <c r="R15" s="110" t="s">
        <v>6748</v>
      </c>
      <c r="S15" s="111"/>
      <c r="T15" s="111"/>
      <c r="U15" s="111"/>
      <c r="V15" s="112"/>
      <c r="X15" s="59"/>
    </row>
    <row r="16" spans="2:24" ht="25.05" customHeight="1" thickBot="1" x14ac:dyDescent="0.35">
      <c r="B16" s="39" t="s">
        <v>54</v>
      </c>
      <c r="C16" s="39"/>
      <c r="D16" s="39">
        <f>COUNTIFS('DETAILED ITR LIST'!AD:AD,"PS5 - Milestone D",'DETAILED ITR LIST'!K:K,"P - Piping &amp; Vessel")</f>
        <v>516</v>
      </c>
      <c r="E16" s="39">
        <f>COUNTIFS('DETAILED ITR LIST'!AD:AD,"PS5 - Milestone D",'DETAILED ITR LIST'!K:K,"P - Piping &amp; Vessel",'DETAILED ITR LIST'!AC:AC,"CLOSED")</f>
        <v>299</v>
      </c>
      <c r="F16" s="39">
        <f t="shared" si="0"/>
        <v>217</v>
      </c>
      <c r="G16" s="38"/>
      <c r="H16" s="8"/>
      <c r="I16" s="8"/>
      <c r="J16" s="8"/>
      <c r="K16" s="8">
        <v>6</v>
      </c>
      <c r="L16" s="8">
        <v>1</v>
      </c>
      <c r="M16" s="8">
        <v>8</v>
      </c>
      <c r="N16" s="8">
        <v>3</v>
      </c>
      <c r="O16" s="8">
        <f t="shared" si="4"/>
        <v>18</v>
      </c>
      <c r="R16" s="48" t="s">
        <v>6742</v>
      </c>
      <c r="S16" s="49" t="s">
        <v>6747</v>
      </c>
      <c r="T16" s="49" t="s">
        <v>6741</v>
      </c>
      <c r="U16" s="49" t="s">
        <v>6774</v>
      </c>
      <c r="V16" s="49" t="s">
        <v>6745</v>
      </c>
      <c r="X16" s="59"/>
    </row>
    <row r="17" spans="2:24" ht="25.05" customHeight="1" thickBot="1" x14ac:dyDescent="0.35">
      <c r="B17" s="39" t="s">
        <v>55</v>
      </c>
      <c r="C17" s="39"/>
      <c r="D17" s="39">
        <f>COUNTIFS('DETAILED ITR LIST'!AD:AD,"PS5 - Milestone D",'DETAILED ITR LIST'!K:K,"T - Telecom")</f>
        <v>80</v>
      </c>
      <c r="E17" s="39">
        <f>COUNTIFS('DETAILED ITR LIST'!AD:AD,"PS5 - Milestone D",'DETAILED ITR LIST'!K:K,"T - Telecom",'DETAILED ITR LIST'!AC:AC,"CLOSED")</f>
        <v>0</v>
      </c>
      <c r="F17" s="39">
        <f t="shared" si="0"/>
        <v>80</v>
      </c>
      <c r="G17" s="38"/>
      <c r="H17" s="8"/>
      <c r="I17" s="8"/>
      <c r="J17" s="8"/>
      <c r="K17" s="8"/>
      <c r="L17" s="8"/>
      <c r="M17" s="8"/>
      <c r="N17" s="8"/>
      <c r="O17" s="8">
        <f t="shared" si="4"/>
        <v>0</v>
      </c>
      <c r="R17" s="53" t="s">
        <v>128</v>
      </c>
      <c r="S17" s="54">
        <f>COUNTIFS('DETAILED ITR LIST'!AD:AD,"PS5 - Milestone B",'DETAILED ITR LIST'!K:K,"P - Piping &amp; Vessel",'DETAILED ITR LIST'!F:F,"TP")</f>
        <v>225</v>
      </c>
      <c r="T17" s="54">
        <f>COUNTIFS('DETAILED ITR LIST'!AD:AD,"PS5 - Milestone B",'DETAILED ITR LIST'!K:K,"P - Piping &amp; Vessel",'DETAILED ITR LIST'!F:F,"TP",'DETAILED ITR LIST'!AC:AC,"CLOSED")</f>
        <v>158</v>
      </c>
      <c r="U17" s="61">
        <f>S17-T17</f>
        <v>67</v>
      </c>
      <c r="V17" s="55">
        <f>T17/S17</f>
        <v>0.70222222222222219</v>
      </c>
      <c r="X17" s="59"/>
    </row>
    <row r="18" spans="2:24" ht="25.05" customHeight="1" thickBot="1" x14ac:dyDescent="0.35">
      <c r="B18" s="7" t="s">
        <v>130</v>
      </c>
      <c r="C18" s="7">
        <v>10</v>
      </c>
      <c r="D18" s="7">
        <f>COUNTIFS('DETAILED ITR LIST'!AD:AD,"PS5 - Milestone E")</f>
        <v>589</v>
      </c>
      <c r="E18" s="7">
        <f>COUNTIFS('DETAILED ITR LIST'!AD:AD,"PS5 - Milestone E",'DETAILED ITR LIST'!AC:AC,"Closed")</f>
        <v>117</v>
      </c>
      <c r="F18" s="7">
        <f t="shared" si="0"/>
        <v>472</v>
      </c>
      <c r="H18" s="44"/>
      <c r="I18" s="44"/>
      <c r="J18" s="44"/>
      <c r="K18" s="44"/>
      <c r="L18" s="44"/>
      <c r="M18" s="44"/>
      <c r="N18" s="44"/>
      <c r="O18" s="43">
        <f>E18/D18</f>
        <v>0.19864176570458403</v>
      </c>
      <c r="R18" s="53" t="s">
        <v>129</v>
      </c>
      <c r="S18" s="54">
        <f>COUNTIFS('DETAILED ITR LIST'!AD:AD,"PS5 - Milestone D",'DETAILED ITR LIST'!K:K,"P - Piping &amp; Vessel",'DETAILED ITR LIST'!F:F,"TP")</f>
        <v>360</v>
      </c>
      <c r="T18" s="54">
        <f>COUNTIFS('DETAILED ITR LIST'!AD:AD,"PS5 - Milestone D",'DETAILED ITR LIST'!K:K,"P - Piping &amp; Vessel",'DETAILED ITR LIST'!F:F,"TP",'DETAILED ITR LIST'!AC:AC,"CLOSED")</f>
        <v>239</v>
      </c>
      <c r="U18" s="61">
        <f t="shared" ref="U18:U20" si="5">S18-T18</f>
        <v>121</v>
      </c>
      <c r="V18" s="55">
        <f t="shared" ref="V18:V21" si="6">T18/S18</f>
        <v>0.66388888888888886</v>
      </c>
      <c r="X18" s="59"/>
    </row>
    <row r="19" spans="2:24" ht="25.05" customHeight="1" thickBot="1" x14ac:dyDescent="0.35">
      <c r="B19" s="39" t="s">
        <v>51</v>
      </c>
      <c r="C19" s="39"/>
      <c r="D19" s="39">
        <f>COUNTIFS('DETAILED ITR LIST'!AD:AD,"PS5 - Milestone E",'DETAILED ITR LIST'!K:K,"E - Electrical")</f>
        <v>194</v>
      </c>
      <c r="E19" s="39">
        <f>COUNTIFS('DETAILED ITR LIST'!AD:AD,"PS5 - Milestone E",'DETAILED ITR LIST'!K:K,"E - Electrical",'DETAILED ITR LIST'!AC:AC,"CLOSED")</f>
        <v>18</v>
      </c>
      <c r="F19" s="39">
        <f t="shared" si="0"/>
        <v>176</v>
      </c>
      <c r="G19" s="38"/>
      <c r="H19" s="8"/>
      <c r="I19" s="8"/>
      <c r="J19" s="8"/>
      <c r="K19" s="8"/>
      <c r="L19" s="8">
        <v>1</v>
      </c>
      <c r="M19" s="8"/>
      <c r="N19" s="8"/>
      <c r="O19" s="8">
        <f t="shared" ref="O19:O23" si="7">SUM(H19:N19)</f>
        <v>1</v>
      </c>
      <c r="R19" s="53" t="s">
        <v>130</v>
      </c>
      <c r="S19" s="54">
        <f>COUNTIFS('DETAILED ITR LIST'!AD:AD,"PS5 - Milestone E",'DETAILED ITR LIST'!K:K,"P - Piping &amp; Vessel",'DETAILED ITR LIST'!F:F,"TP")</f>
        <v>90</v>
      </c>
      <c r="T19" s="54">
        <f>COUNTIFS('DETAILED ITR LIST'!AD:AD,"PS5 - Milestone E",'DETAILED ITR LIST'!K:K,"P - Piping &amp; Vessel",'DETAILED ITR LIST'!F:F,"TP",'DETAILED ITR LIST'!AC:AC,"CLOSED")</f>
        <v>52</v>
      </c>
      <c r="U19" s="61">
        <f t="shared" si="5"/>
        <v>38</v>
      </c>
      <c r="V19" s="55">
        <f t="shared" si="6"/>
        <v>0.57777777777777772</v>
      </c>
      <c r="W19"/>
    </row>
    <row r="20" spans="2:24" ht="25.05" customHeight="1" thickBot="1" x14ac:dyDescent="0.35">
      <c r="B20" s="39" t="s">
        <v>52</v>
      </c>
      <c r="C20" s="39"/>
      <c r="D20" s="39">
        <f>COUNTIFS('DETAILED ITR LIST'!AD:AD,"PS5 - Milestone E",'DETAILED ITR LIST'!K:K,"I - Instrumentation")</f>
        <v>223</v>
      </c>
      <c r="E20" s="39">
        <f>COUNTIFS('DETAILED ITR LIST'!AD:AD,"PS5 - Milestone E",'DETAILED ITR LIST'!K:K,"I - Instrumentation",'DETAILED ITR LIST'!AC:AC,"CLOSED")</f>
        <v>3</v>
      </c>
      <c r="F20" s="39">
        <f t="shared" si="0"/>
        <v>220</v>
      </c>
      <c r="G20" s="38"/>
      <c r="H20" s="8"/>
      <c r="I20" s="8"/>
      <c r="J20" s="8"/>
      <c r="K20" s="8"/>
      <c r="L20" s="8">
        <v>3</v>
      </c>
      <c r="M20" s="8"/>
      <c r="N20" s="8"/>
      <c r="O20" s="8">
        <f t="shared" si="7"/>
        <v>3</v>
      </c>
      <c r="R20" s="53" t="s">
        <v>131</v>
      </c>
      <c r="S20" s="54">
        <f>COUNTIFS('DETAILED ITR LIST'!AD:AD,"PS5 - Milestone H",'DETAILED ITR LIST'!K:K,"P - Piping &amp; Vessel",'DETAILED ITR LIST'!F:F,"TP")</f>
        <v>25</v>
      </c>
      <c r="T20" s="54">
        <f>COUNTIFS('DETAILED ITR LIST'!AD:AD,"PS5 - Milestone H",'DETAILED ITR LIST'!K:K,"P - Piping &amp; Vessel",'DETAILED ITR LIST'!F:F,"TP",'DETAILED ITR LIST'!AC:AC,"CLOSED")</f>
        <v>18</v>
      </c>
      <c r="U20" s="61">
        <f t="shared" si="5"/>
        <v>7</v>
      </c>
      <c r="V20" s="55">
        <f t="shared" si="6"/>
        <v>0.72</v>
      </c>
    </row>
    <row r="21" spans="2:24" ht="25.05" customHeight="1" thickBot="1" x14ac:dyDescent="0.35">
      <c r="B21" s="39" t="s">
        <v>53</v>
      </c>
      <c r="C21" s="39"/>
      <c r="D21" s="39">
        <f>COUNTIFS('DETAILED ITR LIST'!AD:AD,"PS5 - Milestone E",'DETAILED ITR LIST'!K:K,"M - Mechanical")</f>
        <v>29</v>
      </c>
      <c r="E21" s="39">
        <f>COUNTIFS('DETAILED ITR LIST'!AD:AD,"PS5 - Milestone E",'DETAILED ITR LIST'!K:K,"M - Mechanical",'DETAILED ITR LIST'!AC:AC,"CLOSED")</f>
        <v>29</v>
      </c>
      <c r="F21" s="39">
        <f t="shared" si="0"/>
        <v>0</v>
      </c>
      <c r="G21" s="38"/>
      <c r="H21" s="8"/>
      <c r="I21" s="8"/>
      <c r="J21" s="8"/>
      <c r="K21" s="8"/>
      <c r="L21" s="8"/>
      <c r="M21" s="8"/>
      <c r="N21" s="8"/>
      <c r="O21" s="8">
        <f t="shared" si="7"/>
        <v>0</v>
      </c>
      <c r="R21" s="56" t="s">
        <v>6744</v>
      </c>
      <c r="S21" s="63">
        <f>SUM(S17:S20)</f>
        <v>700</v>
      </c>
      <c r="T21" s="63">
        <f>SUM(T17:T20)</f>
        <v>467</v>
      </c>
      <c r="U21" s="64">
        <f>S21-T21</f>
        <v>233</v>
      </c>
      <c r="V21" s="57">
        <f t="shared" si="6"/>
        <v>0.66714285714285715</v>
      </c>
    </row>
    <row r="22" spans="2:24" ht="25.05" customHeight="1" x14ac:dyDescent="0.3">
      <c r="B22" s="39" t="s">
        <v>54</v>
      </c>
      <c r="C22" s="39"/>
      <c r="D22" s="39">
        <f>COUNTIFS('DETAILED ITR LIST'!AD:AD,"PS5 - Milestone E",'DETAILED ITR LIST'!K:K,"P - Piping &amp; Vessel")</f>
        <v>129</v>
      </c>
      <c r="E22" s="39">
        <f>COUNTIFS('DETAILED ITR LIST'!AD:AD,"PS5 - Milestone E",'DETAILED ITR LIST'!K:K,"P - Piping &amp; Vessel",'DETAILED ITR LIST'!AC:AC,"CLOSED")</f>
        <v>67</v>
      </c>
      <c r="F22" s="39">
        <f t="shared" si="0"/>
        <v>62</v>
      </c>
      <c r="G22" s="38"/>
      <c r="H22" s="8"/>
      <c r="I22" s="8"/>
      <c r="J22" s="8"/>
      <c r="K22" s="8">
        <v>3</v>
      </c>
      <c r="L22" s="8">
        <v>3</v>
      </c>
      <c r="M22" s="8">
        <v>7</v>
      </c>
      <c r="N22" s="8">
        <v>5</v>
      </c>
      <c r="O22" s="8">
        <f t="shared" si="7"/>
        <v>18</v>
      </c>
    </row>
    <row r="23" spans="2:24" ht="25.05" customHeight="1" x14ac:dyDescent="0.3">
      <c r="B23" s="39" t="s">
        <v>55</v>
      </c>
      <c r="C23" s="39"/>
      <c r="D23" s="39">
        <f>COUNTIFS('DETAILED ITR LIST'!AD:AD,"PS5 - Milestone E",'DETAILED ITR LIST'!K:K,"T - Telecom")</f>
        <v>14</v>
      </c>
      <c r="E23" s="39">
        <f>COUNTIFS('DETAILED ITR LIST'!AD:AD,"PS5 - Milestone E",'DETAILED ITR LIST'!K:K,"T - Telecom",'DETAILED ITR LIST'!AC:AC,"CLOSED")</f>
        <v>0</v>
      </c>
      <c r="F23" s="39">
        <f t="shared" si="0"/>
        <v>14</v>
      </c>
      <c r="G23" s="38"/>
      <c r="H23" s="8"/>
      <c r="I23" s="8"/>
      <c r="J23" s="8"/>
      <c r="K23" s="8"/>
      <c r="L23" s="8"/>
      <c r="M23" s="8"/>
      <c r="N23" s="8"/>
      <c r="O23" s="8">
        <f t="shared" si="7"/>
        <v>0</v>
      </c>
    </row>
    <row r="24" spans="2:24" ht="25.05" customHeight="1" x14ac:dyDescent="0.3">
      <c r="B24" s="7" t="s">
        <v>131</v>
      </c>
      <c r="C24" s="7">
        <v>3</v>
      </c>
      <c r="D24" s="7">
        <f>COUNTIFS('DETAILED ITR LIST'!AD:AD,"PS5 - Milestone H")</f>
        <v>154</v>
      </c>
      <c r="E24" s="7">
        <f>COUNTIFS('DETAILED ITR LIST'!AD:AD,"PS5 - Milestone H",'DETAILED ITR LIST'!AC:AC,"Closed")</f>
        <v>34</v>
      </c>
      <c r="F24" s="7">
        <f t="shared" ref="F24:F29" si="8">D24-E24</f>
        <v>120</v>
      </c>
      <c r="H24" s="44"/>
      <c r="I24" s="44"/>
      <c r="J24" s="44"/>
      <c r="K24" s="44"/>
      <c r="L24" s="44"/>
      <c r="M24" s="44"/>
      <c r="N24" s="44"/>
      <c r="O24" s="43">
        <f>E24/D24</f>
        <v>0.22077922077922077</v>
      </c>
      <c r="R24"/>
    </row>
    <row r="25" spans="2:24" ht="25.05" customHeight="1" x14ac:dyDescent="0.3">
      <c r="B25" s="39" t="s">
        <v>51</v>
      </c>
      <c r="C25" s="8"/>
      <c r="D25" s="39">
        <f>COUNTIFS('DETAILED ITR LIST'!AD:AD,"PS5 - Milestone H",'DETAILED ITR LIST'!K:K,"E - Electrical")</f>
        <v>35</v>
      </c>
      <c r="E25" s="39">
        <f>COUNTIFS('DETAILED ITR LIST'!AD:AD,"PS5 - Milestone H",'DETAILED ITR LIST'!K:K,"E - Electrical",'DETAILED ITR LIST'!AC:AC,"CLOSED")</f>
        <v>7</v>
      </c>
      <c r="F25" s="39">
        <f t="shared" si="8"/>
        <v>28</v>
      </c>
      <c r="G25" s="38"/>
      <c r="H25" s="8"/>
      <c r="I25" s="8"/>
      <c r="J25" s="8"/>
      <c r="K25" s="8"/>
      <c r="L25" s="8"/>
      <c r="M25" s="8"/>
      <c r="N25" s="8">
        <v>3</v>
      </c>
      <c r="O25" s="8">
        <f>SUM(H25:N25)</f>
        <v>3</v>
      </c>
    </row>
    <row r="26" spans="2:24" ht="25.05" customHeight="1" x14ac:dyDescent="0.3">
      <c r="B26" s="39" t="s">
        <v>52</v>
      </c>
      <c r="C26" s="39"/>
      <c r="D26" s="39">
        <f>COUNTIFS('DETAILED ITR LIST'!AD:AD,"PS5 - Milestone H",'DETAILED ITR LIST'!K:K,"I - Instrumentation")</f>
        <v>76</v>
      </c>
      <c r="E26" s="39">
        <f>COUNTIFS('DETAILED ITR LIST'!AD:AD,"PS5 - Milestone H",'DETAILED ITR LIST'!K:K,"I - Instrumentation",'DETAILED ITR LIST'!AC:AC,"CLOSED")</f>
        <v>0</v>
      </c>
      <c r="F26" s="39">
        <f t="shared" si="8"/>
        <v>76</v>
      </c>
      <c r="G26" s="38"/>
      <c r="H26" s="8"/>
      <c r="I26" s="8"/>
      <c r="J26" s="8"/>
      <c r="K26" s="8"/>
      <c r="L26" s="8"/>
      <c r="M26" s="8"/>
      <c r="N26" s="8"/>
      <c r="O26" s="8">
        <f t="shared" ref="O26:O29" si="9">SUM(H26:N26)</f>
        <v>0</v>
      </c>
    </row>
    <row r="27" spans="2:24" ht="25.05" customHeight="1" x14ac:dyDescent="0.3">
      <c r="B27" s="39" t="s">
        <v>53</v>
      </c>
      <c r="C27" s="39"/>
      <c r="D27" s="39">
        <f>COUNTIFS('DETAILED ITR LIST'!AD:AD,"PS5 - Milestone H",'DETAILED ITR LIST'!K:K,"M - Mechanical")</f>
        <v>6</v>
      </c>
      <c r="E27" s="39">
        <f>COUNTIFS('DETAILED ITR LIST'!AD:AD,"PS5 - Milestone H",'DETAILED ITR LIST'!K:K,"M - Mechanical",'DETAILED ITR LIST'!AC:AC,"CLOSED")</f>
        <v>6</v>
      </c>
      <c r="F27" s="39">
        <f t="shared" si="8"/>
        <v>0</v>
      </c>
      <c r="G27" s="38"/>
      <c r="H27" s="8"/>
      <c r="I27" s="8"/>
      <c r="J27" s="8"/>
      <c r="K27" s="8">
        <v>2</v>
      </c>
      <c r="L27" s="8"/>
      <c r="M27" s="8"/>
      <c r="N27" s="8"/>
      <c r="O27" s="8">
        <f t="shared" si="9"/>
        <v>2</v>
      </c>
    </row>
    <row r="28" spans="2:24" ht="25.05" customHeight="1" x14ac:dyDescent="0.3">
      <c r="B28" s="39" t="s">
        <v>54</v>
      </c>
      <c r="C28" s="39"/>
      <c r="D28" s="39">
        <f>COUNTIFS('DETAILED ITR LIST'!AD:AD,"PS5 - Milestone H",'DETAILED ITR LIST'!K:K,"P - Piping &amp; Vessel")</f>
        <v>35</v>
      </c>
      <c r="E28" s="39">
        <f>COUNTIFS('DETAILED ITR LIST'!AD:AD,"PS5 - Milestone H",'DETAILED ITR LIST'!K:K,"P - Piping &amp; Vessel",'DETAILED ITR LIST'!AC:AC,"CLOSED")</f>
        <v>21</v>
      </c>
      <c r="F28" s="39">
        <f t="shared" si="8"/>
        <v>14</v>
      </c>
      <c r="G28" s="38"/>
      <c r="H28" s="8"/>
      <c r="I28" s="8"/>
      <c r="J28" s="8"/>
      <c r="K28" s="8"/>
      <c r="L28" s="8"/>
      <c r="M28" s="8"/>
      <c r="N28" s="8"/>
      <c r="O28" s="8">
        <f t="shared" si="9"/>
        <v>0</v>
      </c>
    </row>
    <row r="29" spans="2:24" ht="25.05" customHeight="1" x14ac:dyDescent="0.3">
      <c r="B29" s="39" t="s">
        <v>55</v>
      </c>
      <c r="C29" s="39"/>
      <c r="D29" s="39">
        <f>COUNTIFS('DETAILED ITR LIST'!AD:AD,"PS5 - Milestone H",'DETAILED ITR LIST'!K:K,"T - Telecom")</f>
        <v>2</v>
      </c>
      <c r="E29" s="39">
        <f>COUNTIFS('DETAILED ITR LIST'!AD:AD,"PS5 - Milestone H",'DETAILED ITR LIST'!K:K,"T - Telecom",'DETAILED ITR LIST'!AC:AC,"CLOSED")</f>
        <v>0</v>
      </c>
      <c r="F29" s="39">
        <f t="shared" si="8"/>
        <v>2</v>
      </c>
      <c r="G29" s="38"/>
      <c r="H29" s="8"/>
      <c r="I29" s="8"/>
      <c r="J29" s="8"/>
      <c r="K29" s="8"/>
      <c r="L29" s="8"/>
      <c r="M29" s="8"/>
      <c r="N29" s="8"/>
      <c r="O29" s="8">
        <f t="shared" si="9"/>
        <v>0</v>
      </c>
    </row>
    <row r="30" spans="2:24" ht="25.05" customHeight="1" x14ac:dyDescent="0.3">
      <c r="B30" s="13" t="s">
        <v>15</v>
      </c>
      <c r="C30" s="12">
        <v>72</v>
      </c>
      <c r="D30" s="13">
        <f>SUM(D7:D11,D13:D17,D19:D23,D25:D29)</f>
        <v>4144</v>
      </c>
      <c r="E30" s="13">
        <f t="shared" ref="E30:F30" si="10">SUM(E7:E11,E13:E17,E19:E23,E25:E29)</f>
        <v>1098</v>
      </c>
      <c r="F30" s="74">
        <f t="shared" si="10"/>
        <v>3046</v>
      </c>
      <c r="G30" s="74">
        <f t="shared" ref="G30" si="11">SUM(G7:G11,G13:G17,G19:G23,G25:G29)</f>
        <v>0</v>
      </c>
      <c r="H30" s="75">
        <f t="shared" ref="H30" si="12">SUM(H7:H11,H13:H17,H19:H23,H25:H29)</f>
        <v>16</v>
      </c>
      <c r="I30" s="75">
        <f t="shared" ref="I30" si="13">SUM(I7:I11,I13:I17,I19:I23,I25:I29)</f>
        <v>0</v>
      </c>
      <c r="J30" s="75">
        <f t="shared" ref="J30" si="14">SUM(J7:J11,J13:J17,J19:J23,J25:J29)</f>
        <v>0</v>
      </c>
      <c r="K30" s="75">
        <f t="shared" ref="K30" si="15">SUM(K7:K11,K13:K17,K19:K23,K25:K29)</f>
        <v>23</v>
      </c>
      <c r="L30" s="75">
        <f>SUM(L7:L11,L13:L17,L19:L23,L25:L29)</f>
        <v>57</v>
      </c>
      <c r="M30" s="75">
        <f t="shared" ref="M30" si="16">SUM(M7:M11,M13:M17,M19:M23,M25:M29)</f>
        <v>19</v>
      </c>
      <c r="N30" s="75">
        <f t="shared" ref="N30" si="17">SUM(N7:N11,N13:N17,N19:N23,N25:N29)</f>
        <v>16</v>
      </c>
      <c r="O30" s="74">
        <f t="shared" ref="O30" si="18">SUM(O7:O11,O13:O17,O19:O23,O25:O29)</f>
        <v>131</v>
      </c>
    </row>
    <row r="31" spans="2:24" ht="25.05" customHeight="1" x14ac:dyDescent="0.3"/>
    <row r="32" spans="2:24" ht="25.05" customHeight="1" x14ac:dyDescent="0.3"/>
    <row r="33" ht="25.05" customHeight="1" x14ac:dyDescent="0.3"/>
    <row r="34" ht="25.05" customHeight="1" x14ac:dyDescent="0.3"/>
    <row r="35" ht="25.05" customHeight="1" x14ac:dyDescent="0.3"/>
    <row r="36" ht="25.05" customHeight="1" x14ac:dyDescent="0.3"/>
    <row r="37" ht="25.05" customHeight="1" x14ac:dyDescent="0.3"/>
    <row r="38" ht="25.05" customHeight="1" x14ac:dyDescent="0.3"/>
    <row r="39" ht="25.05" customHeight="1" x14ac:dyDescent="0.3"/>
    <row r="40" ht="25.05" customHeight="1" x14ac:dyDescent="0.3"/>
    <row r="41" ht="25.05" customHeight="1" x14ac:dyDescent="0.3"/>
    <row r="42" ht="25.05" customHeight="1" x14ac:dyDescent="0.3"/>
    <row r="43" ht="21.6" customHeight="1" x14ac:dyDescent="0.3"/>
    <row r="44" ht="21.6" customHeight="1" x14ac:dyDescent="0.3"/>
    <row r="45" ht="27" customHeight="1" x14ac:dyDescent="0.3"/>
  </sheetData>
  <mergeCells count="9">
    <mergeCell ref="B3:O3"/>
    <mergeCell ref="R15:V15"/>
    <mergeCell ref="H4:O4"/>
    <mergeCell ref="B4:B5"/>
    <mergeCell ref="C4:C5"/>
    <mergeCell ref="D4:D5"/>
    <mergeCell ref="E4:E5"/>
    <mergeCell ref="F4:F5"/>
    <mergeCell ref="R7:W7"/>
  </mergeCells>
  <phoneticPr fontId="17" type="noConversion"/>
  <pageMargins left="0.7" right="0.7" top="0.75" bottom="0.75" header="0.3" footer="0.3"/>
  <pageSetup paperSize="9" scale="47" fitToWidth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20CD-528F-4327-B07E-CD3D2024653C}">
  <dimension ref="A1:AF1664"/>
  <sheetViews>
    <sheetView zoomScale="110" zoomScaleNormal="110" workbookViewId="0">
      <selection activeCell="B8" sqref="B8"/>
    </sheetView>
  </sheetViews>
  <sheetFormatPr defaultRowHeight="14.4" x14ac:dyDescent="0.3"/>
  <cols>
    <col min="1" max="1" width="13.44140625" bestFit="1" customWidth="1"/>
    <col min="2" max="2" width="52.44140625" bestFit="1" customWidth="1"/>
    <col min="3" max="3" width="20.33203125" bestFit="1" customWidth="1"/>
    <col min="4" max="4" width="14.5546875" bestFit="1" customWidth="1"/>
    <col min="5" max="5" width="20.33203125" bestFit="1" customWidth="1"/>
    <col min="6" max="6" width="12.88671875" bestFit="1" customWidth="1"/>
    <col min="7" max="7" width="63.77734375" bestFit="1" customWidth="1"/>
    <col min="8" max="8" width="23.21875" bestFit="1" customWidth="1"/>
    <col min="9" max="9" width="11.109375" bestFit="1" customWidth="1"/>
    <col min="10" max="10" width="21.77734375" bestFit="1" customWidth="1"/>
    <col min="11" max="11" width="21.21875" bestFit="1" customWidth="1"/>
    <col min="12" max="12" width="58.109375" bestFit="1" customWidth="1"/>
    <col min="13" max="13" width="30.33203125" bestFit="1" customWidth="1"/>
    <col min="14" max="14" width="32.21875" bestFit="1" customWidth="1"/>
    <col min="15" max="15" width="16.44140625" bestFit="1" customWidth="1"/>
    <col min="16" max="16" width="20" bestFit="1" customWidth="1"/>
    <col min="17" max="17" width="14.88671875" bestFit="1" customWidth="1"/>
    <col min="18" max="18" width="24.21875" bestFit="1" customWidth="1"/>
    <col min="19" max="19" width="25.88671875" bestFit="1" customWidth="1"/>
    <col min="20" max="20" width="22.21875" bestFit="1" customWidth="1"/>
    <col min="21" max="21" width="33.5546875" bestFit="1" customWidth="1"/>
    <col min="22" max="22" width="57.77734375" bestFit="1" customWidth="1"/>
    <col min="23" max="23" width="15.44140625" bestFit="1" customWidth="1"/>
    <col min="24" max="24" width="14.5546875" bestFit="1" customWidth="1"/>
    <col min="25" max="26" width="9.33203125" bestFit="1" customWidth="1"/>
    <col min="27" max="27" width="38.6640625" bestFit="1" customWidth="1"/>
    <col min="28" max="28" width="16.21875" bestFit="1" customWidth="1"/>
    <col min="29" max="29" width="21.77734375" bestFit="1" customWidth="1"/>
    <col min="30" max="30" width="15.77734375" bestFit="1" customWidth="1"/>
    <col min="31" max="31" width="9" bestFit="1" customWidth="1"/>
    <col min="32" max="32" width="11.33203125" bestFit="1" customWidth="1"/>
  </cols>
  <sheetData>
    <row r="1" spans="1:32" ht="21" customHeight="1" x14ac:dyDescent="0.3">
      <c r="A1" s="102" t="s">
        <v>7443</v>
      </c>
      <c r="B1" s="102" t="s">
        <v>32</v>
      </c>
      <c r="C1" s="102" t="s">
        <v>33</v>
      </c>
      <c r="D1" s="102" t="s">
        <v>34</v>
      </c>
      <c r="E1" s="102" t="s">
        <v>35</v>
      </c>
      <c r="F1" s="102" t="s">
        <v>36</v>
      </c>
      <c r="G1" s="102" t="s">
        <v>21</v>
      </c>
      <c r="H1" s="102" t="s">
        <v>37</v>
      </c>
      <c r="I1" s="102" t="s">
        <v>6</v>
      </c>
      <c r="J1" s="102" t="s">
        <v>38</v>
      </c>
      <c r="K1" s="102" t="s">
        <v>39</v>
      </c>
      <c r="L1" s="102" t="s">
        <v>40</v>
      </c>
      <c r="M1" s="102" t="s">
        <v>26</v>
      </c>
      <c r="N1" s="102" t="s">
        <v>0</v>
      </c>
      <c r="O1" s="102" t="s">
        <v>41</v>
      </c>
      <c r="P1" s="102" t="s">
        <v>42</v>
      </c>
      <c r="Q1" s="102" t="s">
        <v>43</v>
      </c>
      <c r="R1" s="102" t="s">
        <v>44</v>
      </c>
      <c r="S1" s="102" t="s">
        <v>45</v>
      </c>
      <c r="T1" s="102" t="s">
        <v>23</v>
      </c>
      <c r="U1" s="102" t="s">
        <v>31</v>
      </c>
      <c r="V1" s="102" t="s">
        <v>30</v>
      </c>
      <c r="W1" s="102" t="s">
        <v>46</v>
      </c>
      <c r="X1" s="102" t="s">
        <v>47</v>
      </c>
      <c r="Y1" s="102" t="s">
        <v>28</v>
      </c>
      <c r="Z1" s="102" t="s">
        <v>28</v>
      </c>
      <c r="AA1" s="102" t="s">
        <v>48</v>
      </c>
      <c r="AB1" s="102" t="s">
        <v>49</v>
      </c>
      <c r="AC1" s="102" t="s">
        <v>50</v>
      </c>
      <c r="AD1" s="102" t="s">
        <v>28</v>
      </c>
      <c r="AE1" s="103" t="s">
        <v>7440</v>
      </c>
      <c r="AF1" s="103" t="s">
        <v>7441</v>
      </c>
    </row>
    <row r="2" spans="1:32" x14ac:dyDescent="0.3">
      <c r="A2" t="s">
        <v>144</v>
      </c>
      <c r="B2" t="s">
        <v>145</v>
      </c>
      <c r="G2" t="s">
        <v>141</v>
      </c>
      <c r="H2" t="s">
        <v>132</v>
      </c>
      <c r="I2" t="s">
        <v>1</v>
      </c>
      <c r="J2" t="s">
        <v>133</v>
      </c>
      <c r="K2" t="s">
        <v>51</v>
      </c>
      <c r="L2" t="s">
        <v>146</v>
      </c>
      <c r="M2" t="s">
        <v>134</v>
      </c>
      <c r="N2" t="s">
        <v>135</v>
      </c>
      <c r="Q2" t="s">
        <v>142</v>
      </c>
      <c r="U2" t="s">
        <v>137</v>
      </c>
      <c r="V2" t="s">
        <v>147</v>
      </c>
      <c r="X2" t="s">
        <v>70</v>
      </c>
      <c r="AA2" t="s">
        <v>143</v>
      </c>
      <c r="AB2" t="s">
        <v>1</v>
      </c>
      <c r="AC2" t="s">
        <v>138</v>
      </c>
      <c r="AD2" t="s">
        <v>128</v>
      </c>
      <c r="AE2" s="97">
        <f>VLOOKUP(A:A,SUMMERY!AA:AC,2,FALSE)</f>
        <v>46220</v>
      </c>
      <c r="AF2" s="6" t="str">
        <f>VLOOKUP(A:A,SUMMERY!AA:AC,3,FALSE)</f>
        <v>Priority-1</v>
      </c>
    </row>
    <row r="3" spans="1:32" x14ac:dyDescent="0.3">
      <c r="A3" t="s">
        <v>148</v>
      </c>
      <c r="B3" t="s">
        <v>149</v>
      </c>
      <c r="G3" t="s">
        <v>141</v>
      </c>
      <c r="H3" t="s">
        <v>132</v>
      </c>
      <c r="I3" t="s">
        <v>1</v>
      </c>
      <c r="J3" t="s">
        <v>133</v>
      </c>
      <c r="K3" t="s">
        <v>51</v>
      </c>
      <c r="L3" t="s">
        <v>146</v>
      </c>
      <c r="M3" t="s">
        <v>134</v>
      </c>
      <c r="N3" t="s">
        <v>135</v>
      </c>
      <c r="Q3" t="s">
        <v>142</v>
      </c>
      <c r="U3" t="s">
        <v>137</v>
      </c>
      <c r="V3" t="s">
        <v>150</v>
      </c>
      <c r="X3" t="s">
        <v>76</v>
      </c>
      <c r="AA3" t="s">
        <v>143</v>
      </c>
      <c r="AB3" t="s">
        <v>1</v>
      </c>
      <c r="AC3" t="s">
        <v>138</v>
      </c>
      <c r="AD3" t="s">
        <v>128</v>
      </c>
      <c r="AE3" s="97">
        <f>VLOOKUP(A:A,SUMMERY!AA:AC,2,FALSE)</f>
        <v>46233</v>
      </c>
      <c r="AF3" s="6" t="str">
        <f>VLOOKUP(A:A,SUMMERY!AA:AC,3,FALSE)</f>
        <v>Priority-1</v>
      </c>
    </row>
    <row r="4" spans="1:32" x14ac:dyDescent="0.3">
      <c r="A4" t="s">
        <v>171</v>
      </c>
      <c r="B4" t="s">
        <v>172</v>
      </c>
      <c r="G4" t="s">
        <v>167</v>
      </c>
      <c r="H4" t="s">
        <v>132</v>
      </c>
      <c r="I4" t="s">
        <v>1</v>
      </c>
      <c r="J4" t="s">
        <v>133</v>
      </c>
      <c r="K4" t="s">
        <v>51</v>
      </c>
      <c r="L4" t="s">
        <v>173</v>
      </c>
      <c r="M4" t="s">
        <v>134</v>
      </c>
      <c r="N4" t="s">
        <v>135</v>
      </c>
      <c r="Q4" t="s">
        <v>168</v>
      </c>
      <c r="T4" t="s">
        <v>169</v>
      </c>
      <c r="U4" t="s">
        <v>137</v>
      </c>
      <c r="V4" t="s">
        <v>147</v>
      </c>
      <c r="W4" s="9">
        <v>46088.478327858793</v>
      </c>
      <c r="X4" t="s">
        <v>70</v>
      </c>
      <c r="AA4" t="s">
        <v>170</v>
      </c>
      <c r="AB4" t="s">
        <v>1</v>
      </c>
      <c r="AC4" t="s">
        <v>24</v>
      </c>
      <c r="AD4" t="s">
        <v>128</v>
      </c>
      <c r="AE4" s="97">
        <f>VLOOKUP(A:A,SUMMERY!AA:AC,2,FALSE)</f>
        <v>46220</v>
      </c>
      <c r="AF4" s="6" t="str">
        <f>VLOOKUP(A:A,SUMMERY!AA:AC,3,FALSE)</f>
        <v>Priority-1</v>
      </c>
    </row>
    <row r="5" spans="1:32" x14ac:dyDescent="0.3">
      <c r="A5" t="s">
        <v>174</v>
      </c>
      <c r="B5" t="s">
        <v>175</v>
      </c>
      <c r="G5" t="s">
        <v>167</v>
      </c>
      <c r="H5" t="s">
        <v>132</v>
      </c>
      <c r="I5" t="s">
        <v>1</v>
      </c>
      <c r="J5" t="s">
        <v>133</v>
      </c>
      <c r="K5" t="s">
        <v>51</v>
      </c>
      <c r="L5" t="s">
        <v>176</v>
      </c>
      <c r="M5" t="s">
        <v>134</v>
      </c>
      <c r="N5" t="s">
        <v>135</v>
      </c>
      <c r="Q5" t="s">
        <v>168</v>
      </c>
      <c r="T5" t="s">
        <v>169</v>
      </c>
      <c r="U5" t="s">
        <v>137</v>
      </c>
      <c r="V5" t="s">
        <v>150</v>
      </c>
      <c r="W5" s="9">
        <v>46088.483443900463</v>
      </c>
      <c r="X5" t="s">
        <v>76</v>
      </c>
      <c r="AA5" t="s">
        <v>170</v>
      </c>
      <c r="AB5" t="s">
        <v>1</v>
      </c>
      <c r="AC5" t="s">
        <v>24</v>
      </c>
      <c r="AD5" t="s">
        <v>128</v>
      </c>
      <c r="AE5" s="97">
        <f>VLOOKUP(A:A,SUMMERY!AA:AC,2,FALSE)</f>
        <v>46233</v>
      </c>
      <c r="AF5" s="6" t="str">
        <f>VLOOKUP(A:A,SUMMERY!AA:AC,3,FALSE)</f>
        <v>Priority-1</v>
      </c>
    </row>
    <row r="6" spans="1:32" x14ac:dyDescent="0.3">
      <c r="A6" t="s">
        <v>192</v>
      </c>
      <c r="B6" t="s">
        <v>193</v>
      </c>
      <c r="G6" t="s">
        <v>167</v>
      </c>
      <c r="H6" t="s">
        <v>132</v>
      </c>
      <c r="I6" t="s">
        <v>1</v>
      </c>
      <c r="J6" t="s">
        <v>133</v>
      </c>
      <c r="K6" t="s">
        <v>51</v>
      </c>
      <c r="L6" t="s">
        <v>194</v>
      </c>
      <c r="M6" t="s">
        <v>134</v>
      </c>
      <c r="N6" t="s">
        <v>135</v>
      </c>
      <c r="Q6" t="s">
        <v>168</v>
      </c>
      <c r="T6" t="s">
        <v>169</v>
      </c>
      <c r="U6" t="s">
        <v>137</v>
      </c>
      <c r="V6" t="s">
        <v>147</v>
      </c>
      <c r="W6" s="9">
        <v>46136.342013541667</v>
      </c>
      <c r="X6" t="s">
        <v>70</v>
      </c>
      <c r="AA6" t="s">
        <v>170</v>
      </c>
      <c r="AB6" t="s">
        <v>1</v>
      </c>
      <c r="AC6" t="s">
        <v>24</v>
      </c>
      <c r="AD6" t="s">
        <v>128</v>
      </c>
      <c r="AE6" s="97">
        <f>VLOOKUP(A:A,SUMMERY!AA:AC,2,FALSE)</f>
        <v>46220</v>
      </c>
      <c r="AF6" s="6" t="str">
        <f>VLOOKUP(A:A,SUMMERY!AA:AC,3,FALSE)</f>
        <v>Priority-1</v>
      </c>
    </row>
    <row r="7" spans="1:32" x14ac:dyDescent="0.3">
      <c r="A7" t="s">
        <v>195</v>
      </c>
      <c r="B7" t="s">
        <v>196</v>
      </c>
      <c r="G7" t="s">
        <v>167</v>
      </c>
      <c r="H7" t="s">
        <v>132</v>
      </c>
      <c r="I7" t="s">
        <v>1</v>
      </c>
      <c r="J7" t="s">
        <v>133</v>
      </c>
      <c r="K7" t="s">
        <v>51</v>
      </c>
      <c r="L7" t="s">
        <v>194</v>
      </c>
      <c r="M7" t="s">
        <v>134</v>
      </c>
      <c r="N7" t="s">
        <v>135</v>
      </c>
      <c r="Q7" t="s">
        <v>168</v>
      </c>
      <c r="T7" t="s">
        <v>169</v>
      </c>
      <c r="U7" t="s">
        <v>137</v>
      </c>
      <c r="V7" t="s">
        <v>147</v>
      </c>
      <c r="W7" s="9">
        <v>46136.541063773147</v>
      </c>
      <c r="X7" t="s">
        <v>70</v>
      </c>
      <c r="AA7" t="s">
        <v>170</v>
      </c>
      <c r="AB7" t="s">
        <v>1</v>
      </c>
      <c r="AC7" t="s">
        <v>24</v>
      </c>
      <c r="AD7" t="s">
        <v>128</v>
      </c>
      <c r="AE7" s="97">
        <f>VLOOKUP(A:A,SUMMERY!AA:AC,2,FALSE)</f>
        <v>46220</v>
      </c>
      <c r="AF7" s="6" t="str">
        <f>VLOOKUP(A:A,SUMMERY!AA:AC,3,FALSE)</f>
        <v>Priority-1</v>
      </c>
    </row>
    <row r="8" spans="1:32" x14ac:dyDescent="0.3">
      <c r="A8" t="s">
        <v>197</v>
      </c>
      <c r="B8" t="s">
        <v>198</v>
      </c>
      <c r="G8" t="s">
        <v>167</v>
      </c>
      <c r="H8" t="s">
        <v>132</v>
      </c>
      <c r="I8" t="s">
        <v>1</v>
      </c>
      <c r="J8" t="s">
        <v>133</v>
      </c>
      <c r="K8" t="s">
        <v>51</v>
      </c>
      <c r="L8" t="s">
        <v>194</v>
      </c>
      <c r="M8" t="s">
        <v>134</v>
      </c>
      <c r="N8" t="s">
        <v>135</v>
      </c>
      <c r="Q8" t="s">
        <v>168</v>
      </c>
      <c r="T8" t="s">
        <v>169</v>
      </c>
      <c r="U8" t="s">
        <v>137</v>
      </c>
      <c r="V8" t="s">
        <v>147</v>
      </c>
      <c r="W8" s="9">
        <v>46136.541751932869</v>
      </c>
      <c r="X8" t="s">
        <v>70</v>
      </c>
      <c r="AA8" t="s">
        <v>170</v>
      </c>
      <c r="AB8" t="s">
        <v>1</v>
      </c>
      <c r="AC8" t="s">
        <v>24</v>
      </c>
      <c r="AD8" t="s">
        <v>128</v>
      </c>
      <c r="AE8" s="97">
        <f>VLOOKUP(A:A,SUMMERY!AA:AC,2,FALSE)</f>
        <v>46220</v>
      </c>
      <c r="AF8" s="6" t="str">
        <f>VLOOKUP(A:A,SUMMERY!AA:AC,3,FALSE)</f>
        <v>Priority-1</v>
      </c>
    </row>
    <row r="9" spans="1:32" x14ac:dyDescent="0.3">
      <c r="A9" t="s">
        <v>199</v>
      </c>
      <c r="B9" t="s">
        <v>200</v>
      </c>
      <c r="G9" t="s">
        <v>167</v>
      </c>
      <c r="H9" t="s">
        <v>132</v>
      </c>
      <c r="I9" t="s">
        <v>1</v>
      </c>
      <c r="J9" t="s">
        <v>133</v>
      </c>
      <c r="K9" t="s">
        <v>51</v>
      </c>
      <c r="L9" t="s">
        <v>201</v>
      </c>
      <c r="M9" t="s">
        <v>134</v>
      </c>
      <c r="N9" t="s">
        <v>135</v>
      </c>
      <c r="Q9" t="s">
        <v>168</v>
      </c>
      <c r="T9" t="s">
        <v>169</v>
      </c>
      <c r="U9" t="s">
        <v>137</v>
      </c>
      <c r="V9" t="s">
        <v>150</v>
      </c>
      <c r="W9" s="9">
        <v>46136.542070219904</v>
      </c>
      <c r="X9" t="s">
        <v>76</v>
      </c>
      <c r="AA9" t="s">
        <v>170</v>
      </c>
      <c r="AB9" t="s">
        <v>1</v>
      </c>
      <c r="AC9" t="s">
        <v>24</v>
      </c>
      <c r="AD9" t="s">
        <v>128</v>
      </c>
      <c r="AE9" s="97">
        <f>VLOOKUP(A:A,SUMMERY!AA:AC,2,FALSE)</f>
        <v>46233</v>
      </c>
      <c r="AF9" s="6" t="str">
        <f>VLOOKUP(A:A,SUMMERY!AA:AC,3,FALSE)</f>
        <v>Priority-1</v>
      </c>
    </row>
    <row r="10" spans="1:32" x14ac:dyDescent="0.3">
      <c r="A10" t="s">
        <v>202</v>
      </c>
      <c r="B10" t="s">
        <v>203</v>
      </c>
      <c r="G10" t="s">
        <v>167</v>
      </c>
      <c r="H10" t="s">
        <v>132</v>
      </c>
      <c r="I10" t="s">
        <v>1</v>
      </c>
      <c r="J10" t="s">
        <v>133</v>
      </c>
      <c r="K10" t="s">
        <v>51</v>
      </c>
      <c r="L10" t="s">
        <v>201</v>
      </c>
      <c r="M10" t="s">
        <v>134</v>
      </c>
      <c r="N10" t="s">
        <v>135</v>
      </c>
      <c r="Q10" t="s">
        <v>168</v>
      </c>
      <c r="T10" t="s">
        <v>169</v>
      </c>
      <c r="U10" t="s">
        <v>137</v>
      </c>
      <c r="V10" t="s">
        <v>150</v>
      </c>
      <c r="W10" s="9">
        <v>46136.542416238422</v>
      </c>
      <c r="X10" t="s">
        <v>76</v>
      </c>
      <c r="AA10" t="s">
        <v>170</v>
      </c>
      <c r="AB10" t="s">
        <v>1</v>
      </c>
      <c r="AC10" t="s">
        <v>24</v>
      </c>
      <c r="AD10" t="s">
        <v>128</v>
      </c>
      <c r="AE10" s="97">
        <f>VLOOKUP(A:A,SUMMERY!AA:AC,2,FALSE)</f>
        <v>46233</v>
      </c>
      <c r="AF10" s="6" t="str">
        <f>VLOOKUP(A:A,SUMMERY!AA:AC,3,FALSE)</f>
        <v>Priority-1</v>
      </c>
    </row>
    <row r="11" spans="1:32" x14ac:dyDescent="0.3">
      <c r="A11" t="s">
        <v>204</v>
      </c>
      <c r="B11" t="s">
        <v>205</v>
      </c>
      <c r="G11" t="s">
        <v>167</v>
      </c>
      <c r="H11" t="s">
        <v>132</v>
      </c>
      <c r="I11" t="s">
        <v>1</v>
      </c>
      <c r="J11" t="s">
        <v>133</v>
      </c>
      <c r="K11" t="s">
        <v>51</v>
      </c>
      <c r="L11" t="s">
        <v>201</v>
      </c>
      <c r="M11" t="s">
        <v>134</v>
      </c>
      <c r="N11" t="s">
        <v>135</v>
      </c>
      <c r="Q11" t="s">
        <v>168</v>
      </c>
      <c r="T11" t="s">
        <v>169</v>
      </c>
      <c r="U11" t="s">
        <v>137</v>
      </c>
      <c r="V11" t="s">
        <v>150</v>
      </c>
      <c r="W11" s="9">
        <v>46136.574899884261</v>
      </c>
      <c r="X11" t="s">
        <v>76</v>
      </c>
      <c r="AA11" t="s">
        <v>170</v>
      </c>
      <c r="AB11" t="s">
        <v>1</v>
      </c>
      <c r="AC11" t="s">
        <v>24</v>
      </c>
      <c r="AD11" t="s">
        <v>128</v>
      </c>
      <c r="AE11" s="97">
        <f>VLOOKUP(A:A,SUMMERY!AA:AC,2,FALSE)</f>
        <v>46233</v>
      </c>
      <c r="AF11" s="6" t="str">
        <f>VLOOKUP(A:A,SUMMERY!AA:AC,3,FALSE)</f>
        <v>Priority-1</v>
      </c>
    </row>
    <row r="12" spans="1:32" x14ac:dyDescent="0.3">
      <c r="A12" t="s">
        <v>241</v>
      </c>
      <c r="B12" t="s">
        <v>242</v>
      </c>
      <c r="G12" t="s">
        <v>167</v>
      </c>
      <c r="H12" t="s">
        <v>132</v>
      </c>
      <c r="I12" t="s">
        <v>1</v>
      </c>
      <c r="J12" t="s">
        <v>133</v>
      </c>
      <c r="K12" t="s">
        <v>51</v>
      </c>
      <c r="L12" t="s">
        <v>243</v>
      </c>
      <c r="M12" t="s">
        <v>134</v>
      </c>
      <c r="N12" t="s">
        <v>135</v>
      </c>
      <c r="Q12" t="s">
        <v>168</v>
      </c>
      <c r="T12" t="s">
        <v>169</v>
      </c>
      <c r="U12" t="s">
        <v>137</v>
      </c>
      <c r="V12" t="s">
        <v>147</v>
      </c>
      <c r="W12" s="9">
        <v>46071.541014849536</v>
      </c>
      <c r="X12" t="s">
        <v>70</v>
      </c>
      <c r="AA12" t="s">
        <v>170</v>
      </c>
      <c r="AB12" t="s">
        <v>1</v>
      </c>
      <c r="AC12" t="s">
        <v>24</v>
      </c>
      <c r="AD12" t="s">
        <v>128</v>
      </c>
      <c r="AE12" s="97">
        <f>VLOOKUP(A:A,SUMMERY!AA:AC,2,FALSE)</f>
        <v>46220</v>
      </c>
      <c r="AF12" s="6" t="str">
        <f>VLOOKUP(A:A,SUMMERY!AA:AC,3,FALSE)</f>
        <v>Priority-1</v>
      </c>
    </row>
    <row r="13" spans="1:32" x14ac:dyDescent="0.3">
      <c r="A13" t="s">
        <v>244</v>
      </c>
      <c r="B13" t="s">
        <v>245</v>
      </c>
      <c r="G13" t="s">
        <v>167</v>
      </c>
      <c r="H13" t="s">
        <v>132</v>
      </c>
      <c r="I13" t="s">
        <v>1</v>
      </c>
      <c r="J13" t="s">
        <v>133</v>
      </c>
      <c r="K13" t="s">
        <v>51</v>
      </c>
      <c r="L13" t="s">
        <v>243</v>
      </c>
      <c r="M13" t="s">
        <v>134</v>
      </c>
      <c r="N13" t="s">
        <v>135</v>
      </c>
      <c r="Q13" t="s">
        <v>168</v>
      </c>
      <c r="T13" t="s">
        <v>169</v>
      </c>
      <c r="U13" t="s">
        <v>137</v>
      </c>
      <c r="V13" t="s">
        <v>147</v>
      </c>
      <c r="W13" s="9">
        <v>46071.543937152775</v>
      </c>
      <c r="X13" t="s">
        <v>70</v>
      </c>
      <c r="AA13" t="s">
        <v>170</v>
      </c>
      <c r="AB13" t="s">
        <v>1</v>
      </c>
      <c r="AC13" t="s">
        <v>24</v>
      </c>
      <c r="AD13" t="s">
        <v>128</v>
      </c>
      <c r="AE13" s="97">
        <f>VLOOKUP(A:A,SUMMERY!AA:AC,2,FALSE)</f>
        <v>46220</v>
      </c>
      <c r="AF13" s="6" t="str">
        <f>VLOOKUP(A:A,SUMMERY!AA:AC,3,FALSE)</f>
        <v>Priority-1</v>
      </c>
    </row>
    <row r="14" spans="1:32" x14ac:dyDescent="0.3">
      <c r="A14" t="s">
        <v>246</v>
      </c>
      <c r="B14" t="s">
        <v>247</v>
      </c>
      <c r="G14" t="s">
        <v>167</v>
      </c>
      <c r="H14" t="s">
        <v>132</v>
      </c>
      <c r="I14" t="s">
        <v>1</v>
      </c>
      <c r="J14" t="s">
        <v>133</v>
      </c>
      <c r="K14" t="s">
        <v>51</v>
      </c>
      <c r="L14" t="s">
        <v>243</v>
      </c>
      <c r="M14" t="s">
        <v>134</v>
      </c>
      <c r="N14" t="s">
        <v>135</v>
      </c>
      <c r="Q14" t="s">
        <v>168</v>
      </c>
      <c r="T14" t="s">
        <v>169</v>
      </c>
      <c r="U14" t="s">
        <v>137</v>
      </c>
      <c r="V14" t="s">
        <v>147</v>
      </c>
      <c r="W14" s="9">
        <v>46071.545780671295</v>
      </c>
      <c r="X14" t="s">
        <v>70</v>
      </c>
      <c r="AA14" t="s">
        <v>170</v>
      </c>
      <c r="AB14" t="s">
        <v>1</v>
      </c>
      <c r="AC14" t="s">
        <v>24</v>
      </c>
      <c r="AD14" t="s">
        <v>128</v>
      </c>
      <c r="AE14" s="97">
        <f>VLOOKUP(A:A,SUMMERY!AA:AC,2,FALSE)</f>
        <v>46220</v>
      </c>
      <c r="AF14" s="6" t="str">
        <f>VLOOKUP(A:A,SUMMERY!AA:AC,3,FALSE)</f>
        <v>Priority-1</v>
      </c>
    </row>
    <row r="15" spans="1:32" x14ac:dyDescent="0.3">
      <c r="A15" t="s">
        <v>248</v>
      </c>
      <c r="B15" t="s">
        <v>249</v>
      </c>
      <c r="G15" t="s">
        <v>167</v>
      </c>
      <c r="H15" t="s">
        <v>132</v>
      </c>
      <c r="I15" t="s">
        <v>1</v>
      </c>
      <c r="J15" t="s">
        <v>133</v>
      </c>
      <c r="K15" t="s">
        <v>51</v>
      </c>
      <c r="L15" t="s">
        <v>250</v>
      </c>
      <c r="M15" t="s">
        <v>134</v>
      </c>
      <c r="N15" t="s">
        <v>135</v>
      </c>
      <c r="Q15" t="s">
        <v>168</v>
      </c>
      <c r="T15" t="s">
        <v>169</v>
      </c>
      <c r="U15" t="s">
        <v>137</v>
      </c>
      <c r="V15" t="s">
        <v>150</v>
      </c>
      <c r="W15" s="9">
        <v>46071.547703668984</v>
      </c>
      <c r="X15" t="s">
        <v>76</v>
      </c>
      <c r="AA15" t="s">
        <v>170</v>
      </c>
      <c r="AB15" t="s">
        <v>1</v>
      </c>
      <c r="AC15" t="s">
        <v>24</v>
      </c>
      <c r="AD15" t="s">
        <v>128</v>
      </c>
      <c r="AE15" s="97">
        <f>VLOOKUP(A:A,SUMMERY!AA:AC,2,FALSE)</f>
        <v>46233</v>
      </c>
      <c r="AF15" s="6" t="str">
        <f>VLOOKUP(A:A,SUMMERY!AA:AC,3,FALSE)</f>
        <v>Priority-1</v>
      </c>
    </row>
    <row r="16" spans="1:32" x14ac:dyDescent="0.3">
      <c r="A16" t="s">
        <v>251</v>
      </c>
      <c r="B16" t="s">
        <v>252</v>
      </c>
      <c r="G16" t="s">
        <v>167</v>
      </c>
      <c r="H16" t="s">
        <v>132</v>
      </c>
      <c r="I16" t="s">
        <v>1</v>
      </c>
      <c r="J16" t="s">
        <v>133</v>
      </c>
      <c r="K16" t="s">
        <v>51</v>
      </c>
      <c r="L16" t="s">
        <v>250</v>
      </c>
      <c r="M16" t="s">
        <v>134</v>
      </c>
      <c r="N16" t="s">
        <v>135</v>
      </c>
      <c r="Q16" t="s">
        <v>168</v>
      </c>
      <c r="T16" t="s">
        <v>169</v>
      </c>
      <c r="U16" t="s">
        <v>137</v>
      </c>
      <c r="V16" t="s">
        <v>150</v>
      </c>
      <c r="W16" s="9">
        <v>46071.548983252316</v>
      </c>
      <c r="X16" t="s">
        <v>76</v>
      </c>
      <c r="AA16" t="s">
        <v>170</v>
      </c>
      <c r="AB16" t="s">
        <v>1</v>
      </c>
      <c r="AC16" t="s">
        <v>24</v>
      </c>
      <c r="AD16" t="s">
        <v>128</v>
      </c>
      <c r="AE16" s="97">
        <f>VLOOKUP(A:A,SUMMERY!AA:AC,2,FALSE)</f>
        <v>46233</v>
      </c>
      <c r="AF16" s="6" t="str">
        <f>VLOOKUP(A:A,SUMMERY!AA:AC,3,FALSE)</f>
        <v>Priority-1</v>
      </c>
    </row>
    <row r="17" spans="1:32" x14ac:dyDescent="0.3">
      <c r="A17" t="s">
        <v>253</v>
      </c>
      <c r="B17" t="s">
        <v>254</v>
      </c>
      <c r="G17" t="s">
        <v>167</v>
      </c>
      <c r="H17" t="s">
        <v>132</v>
      </c>
      <c r="I17" t="s">
        <v>1</v>
      </c>
      <c r="J17" t="s">
        <v>133</v>
      </c>
      <c r="K17" t="s">
        <v>51</v>
      </c>
      <c r="L17" t="s">
        <v>250</v>
      </c>
      <c r="M17" t="s">
        <v>134</v>
      </c>
      <c r="N17" t="s">
        <v>135</v>
      </c>
      <c r="Q17" t="s">
        <v>168</v>
      </c>
      <c r="T17" t="s">
        <v>169</v>
      </c>
      <c r="U17" t="s">
        <v>137</v>
      </c>
      <c r="V17" t="s">
        <v>150</v>
      </c>
      <c r="W17" s="9">
        <v>46071.550859803239</v>
      </c>
      <c r="X17" t="s">
        <v>76</v>
      </c>
      <c r="AA17" t="s">
        <v>170</v>
      </c>
      <c r="AB17" t="s">
        <v>1</v>
      </c>
      <c r="AC17" t="s">
        <v>24</v>
      </c>
      <c r="AD17" t="s">
        <v>128</v>
      </c>
      <c r="AE17" s="97">
        <f>VLOOKUP(A:A,SUMMERY!AA:AC,2,FALSE)</f>
        <v>46233</v>
      </c>
      <c r="AF17" s="6" t="str">
        <f>VLOOKUP(A:A,SUMMERY!AA:AC,3,FALSE)</f>
        <v>Priority-1</v>
      </c>
    </row>
    <row r="18" spans="1:32" x14ac:dyDescent="0.3">
      <c r="A18" t="s">
        <v>293</v>
      </c>
      <c r="B18" t="s">
        <v>294</v>
      </c>
      <c r="G18" t="s">
        <v>290</v>
      </c>
      <c r="H18" t="s">
        <v>132</v>
      </c>
      <c r="I18" t="s">
        <v>1</v>
      </c>
      <c r="J18" t="s">
        <v>133</v>
      </c>
      <c r="K18" t="s">
        <v>51</v>
      </c>
      <c r="L18" t="s">
        <v>295</v>
      </c>
      <c r="M18" t="s">
        <v>134</v>
      </c>
      <c r="N18" t="s">
        <v>135</v>
      </c>
      <c r="Q18" t="s">
        <v>291</v>
      </c>
      <c r="S18" t="s">
        <v>291</v>
      </c>
      <c r="U18" t="s">
        <v>137</v>
      </c>
      <c r="V18" t="s">
        <v>296</v>
      </c>
      <c r="X18" t="s">
        <v>63</v>
      </c>
      <c r="AA18" t="s">
        <v>292</v>
      </c>
      <c r="AB18" t="s">
        <v>1</v>
      </c>
      <c r="AC18" t="s">
        <v>138</v>
      </c>
      <c r="AD18" t="s">
        <v>128</v>
      </c>
      <c r="AE18" s="97">
        <f>VLOOKUP(A:A,SUMMERY!AA:AC,2,FALSE)</f>
        <v>46220</v>
      </c>
      <c r="AF18" s="6" t="str">
        <f>VLOOKUP(A:A,SUMMERY!AA:AC,3,FALSE)</f>
        <v>Priority-1</v>
      </c>
    </row>
    <row r="19" spans="1:32" x14ac:dyDescent="0.3">
      <c r="A19" t="s">
        <v>297</v>
      </c>
      <c r="B19" t="s">
        <v>298</v>
      </c>
      <c r="G19" t="s">
        <v>290</v>
      </c>
      <c r="H19" t="s">
        <v>132</v>
      </c>
      <c r="I19" t="s">
        <v>1</v>
      </c>
      <c r="J19" t="s">
        <v>133</v>
      </c>
      <c r="K19" t="s">
        <v>51</v>
      </c>
      <c r="L19" t="s">
        <v>299</v>
      </c>
      <c r="M19" t="s">
        <v>134</v>
      </c>
      <c r="N19" t="s">
        <v>135</v>
      </c>
      <c r="Q19" t="s">
        <v>291</v>
      </c>
      <c r="S19" t="s">
        <v>291</v>
      </c>
      <c r="U19" t="s">
        <v>137</v>
      </c>
      <c r="V19" t="s">
        <v>300</v>
      </c>
      <c r="X19" t="s">
        <v>72</v>
      </c>
      <c r="AA19" t="s">
        <v>292</v>
      </c>
      <c r="AB19" t="s">
        <v>1</v>
      </c>
      <c r="AC19" t="s">
        <v>138</v>
      </c>
      <c r="AD19" t="s">
        <v>128</v>
      </c>
      <c r="AE19" s="97">
        <f>VLOOKUP(A:A,SUMMERY!AA:AC,2,FALSE)</f>
        <v>46234</v>
      </c>
      <c r="AF19" s="6" t="str">
        <f>VLOOKUP(A:A,SUMMERY!AA:AC,3,FALSE)</f>
        <v>Priority-1</v>
      </c>
    </row>
    <row r="20" spans="1:32" x14ac:dyDescent="0.3">
      <c r="A20" t="s">
        <v>321</v>
      </c>
      <c r="B20" t="s">
        <v>322</v>
      </c>
      <c r="G20" t="s">
        <v>290</v>
      </c>
      <c r="H20" t="s">
        <v>132</v>
      </c>
      <c r="I20" t="s">
        <v>1</v>
      </c>
      <c r="J20" t="s">
        <v>133</v>
      </c>
      <c r="K20" t="s">
        <v>51</v>
      </c>
      <c r="L20" t="s">
        <v>323</v>
      </c>
      <c r="M20" t="s">
        <v>134</v>
      </c>
      <c r="N20" t="s">
        <v>135</v>
      </c>
      <c r="Q20" t="s">
        <v>291</v>
      </c>
      <c r="S20" t="s">
        <v>291</v>
      </c>
      <c r="U20" t="s">
        <v>137</v>
      </c>
      <c r="V20" t="s">
        <v>324</v>
      </c>
      <c r="X20" t="s">
        <v>60</v>
      </c>
      <c r="AA20" t="s">
        <v>292</v>
      </c>
      <c r="AB20" t="s">
        <v>1</v>
      </c>
      <c r="AC20" t="s">
        <v>138</v>
      </c>
      <c r="AD20" t="s">
        <v>128</v>
      </c>
      <c r="AE20" s="97">
        <f>VLOOKUP(A:A,SUMMERY!AA:AC,2,FALSE)</f>
        <v>46220</v>
      </c>
      <c r="AF20" s="6" t="str">
        <f>VLOOKUP(A:A,SUMMERY!AA:AC,3,FALSE)</f>
        <v>Priority-1</v>
      </c>
    </row>
    <row r="21" spans="1:32" x14ac:dyDescent="0.3">
      <c r="A21" t="s">
        <v>325</v>
      </c>
      <c r="B21" t="s">
        <v>326</v>
      </c>
      <c r="G21" t="s">
        <v>290</v>
      </c>
      <c r="H21" t="s">
        <v>132</v>
      </c>
      <c r="I21" t="s">
        <v>1</v>
      </c>
      <c r="J21" t="s">
        <v>133</v>
      </c>
      <c r="K21" t="s">
        <v>51</v>
      </c>
      <c r="L21" t="s">
        <v>327</v>
      </c>
      <c r="M21" t="s">
        <v>134</v>
      </c>
      <c r="N21" t="s">
        <v>135</v>
      </c>
      <c r="Q21" t="s">
        <v>291</v>
      </c>
      <c r="S21" t="s">
        <v>291</v>
      </c>
      <c r="U21" t="s">
        <v>137</v>
      </c>
      <c r="V21" t="s">
        <v>328</v>
      </c>
      <c r="X21" t="s">
        <v>65</v>
      </c>
      <c r="AA21" t="s">
        <v>292</v>
      </c>
      <c r="AB21" t="s">
        <v>1</v>
      </c>
      <c r="AC21" t="s">
        <v>138</v>
      </c>
      <c r="AD21" t="s">
        <v>128</v>
      </c>
      <c r="AE21" s="97">
        <f>VLOOKUP(A:A,SUMMERY!AA:AC,2,FALSE)</f>
        <v>46233</v>
      </c>
      <c r="AF21" s="6" t="str">
        <f>VLOOKUP(A:A,SUMMERY!AA:AC,3,FALSE)</f>
        <v>Priority-1</v>
      </c>
    </row>
    <row r="22" spans="1:32" x14ac:dyDescent="0.3">
      <c r="A22" t="s">
        <v>349</v>
      </c>
      <c r="B22" t="s">
        <v>350</v>
      </c>
      <c r="G22" t="s">
        <v>290</v>
      </c>
      <c r="H22" t="s">
        <v>132</v>
      </c>
      <c r="I22" t="s">
        <v>1</v>
      </c>
      <c r="J22" t="s">
        <v>133</v>
      </c>
      <c r="K22" t="s">
        <v>51</v>
      </c>
      <c r="L22" t="s">
        <v>351</v>
      </c>
      <c r="M22" t="s">
        <v>134</v>
      </c>
      <c r="N22" t="s">
        <v>135</v>
      </c>
      <c r="Q22" t="s">
        <v>291</v>
      </c>
      <c r="S22" t="s">
        <v>291</v>
      </c>
      <c r="U22" t="s">
        <v>137</v>
      </c>
      <c r="V22" t="s">
        <v>352</v>
      </c>
      <c r="X22" t="s">
        <v>56</v>
      </c>
      <c r="AA22" t="s">
        <v>292</v>
      </c>
      <c r="AB22" t="s">
        <v>1</v>
      </c>
      <c r="AC22" t="s">
        <v>138</v>
      </c>
      <c r="AD22" t="s">
        <v>128</v>
      </c>
      <c r="AE22" s="97">
        <f>VLOOKUP(A:A,SUMMERY!AA:AC,2,FALSE)</f>
        <v>46233</v>
      </c>
      <c r="AF22" s="6" t="str">
        <f>VLOOKUP(A:A,SUMMERY!AA:AC,3,FALSE)</f>
        <v>Priority-1</v>
      </c>
    </row>
    <row r="23" spans="1:32" x14ac:dyDescent="0.3">
      <c r="A23" t="s">
        <v>353</v>
      </c>
      <c r="B23" t="s">
        <v>354</v>
      </c>
      <c r="G23" t="s">
        <v>290</v>
      </c>
      <c r="H23" t="s">
        <v>132</v>
      </c>
      <c r="I23" t="s">
        <v>1</v>
      </c>
      <c r="J23" t="s">
        <v>133</v>
      </c>
      <c r="K23" t="s">
        <v>51</v>
      </c>
      <c r="L23" t="s">
        <v>351</v>
      </c>
      <c r="M23" t="s">
        <v>134</v>
      </c>
      <c r="N23" t="s">
        <v>135</v>
      </c>
      <c r="Q23" t="s">
        <v>291</v>
      </c>
      <c r="S23" t="s">
        <v>291</v>
      </c>
      <c r="U23" t="s">
        <v>137</v>
      </c>
      <c r="V23" t="s">
        <v>352</v>
      </c>
      <c r="X23" t="s">
        <v>56</v>
      </c>
      <c r="AA23" t="s">
        <v>292</v>
      </c>
      <c r="AB23" t="s">
        <v>1</v>
      </c>
      <c r="AC23" t="s">
        <v>138</v>
      </c>
      <c r="AD23" t="s">
        <v>128</v>
      </c>
      <c r="AE23" s="97">
        <f>VLOOKUP(A:A,SUMMERY!AA:AC,2,FALSE)</f>
        <v>46233</v>
      </c>
      <c r="AF23" s="6" t="str">
        <f>VLOOKUP(A:A,SUMMERY!AA:AC,3,FALSE)</f>
        <v>Priority-1</v>
      </c>
    </row>
    <row r="24" spans="1:32" x14ac:dyDescent="0.3">
      <c r="A24" t="s">
        <v>6611</v>
      </c>
      <c r="B24" t="s">
        <v>6612</v>
      </c>
      <c r="G24" t="s">
        <v>290</v>
      </c>
      <c r="H24" t="s">
        <v>132</v>
      </c>
      <c r="I24" t="s">
        <v>1</v>
      </c>
      <c r="J24" t="s">
        <v>133</v>
      </c>
      <c r="K24" t="s">
        <v>51</v>
      </c>
      <c r="L24" t="s">
        <v>1278</v>
      </c>
      <c r="M24" t="s">
        <v>134</v>
      </c>
      <c r="N24" t="s">
        <v>135</v>
      </c>
      <c r="Q24" t="s">
        <v>291</v>
      </c>
      <c r="S24" t="s">
        <v>291</v>
      </c>
      <c r="U24" t="s">
        <v>137</v>
      </c>
      <c r="V24" t="s">
        <v>1279</v>
      </c>
      <c r="X24" t="s">
        <v>71</v>
      </c>
      <c r="AA24" t="s">
        <v>292</v>
      </c>
      <c r="AB24" t="s">
        <v>1</v>
      </c>
      <c r="AC24" t="s">
        <v>138</v>
      </c>
      <c r="AD24" t="s">
        <v>128</v>
      </c>
      <c r="AE24" s="97">
        <f>VLOOKUP(A:A,SUMMERY!AA:AC,2,FALSE)</f>
        <v>46233</v>
      </c>
      <c r="AF24" s="6" t="str">
        <f>VLOOKUP(A:A,SUMMERY!AA:AC,3,FALSE)</f>
        <v>Priority-1</v>
      </c>
    </row>
    <row r="25" spans="1:32" x14ac:dyDescent="0.3">
      <c r="A25" t="s">
        <v>6613</v>
      </c>
      <c r="B25" t="s">
        <v>6614</v>
      </c>
      <c r="G25" t="s">
        <v>290</v>
      </c>
      <c r="H25" t="s">
        <v>132</v>
      </c>
      <c r="I25" t="s">
        <v>1</v>
      </c>
      <c r="J25" t="s">
        <v>133</v>
      </c>
      <c r="K25" t="s">
        <v>51</v>
      </c>
      <c r="L25" t="s">
        <v>1278</v>
      </c>
      <c r="M25" t="s">
        <v>134</v>
      </c>
      <c r="N25" t="s">
        <v>135</v>
      </c>
      <c r="Q25" t="s">
        <v>291</v>
      </c>
      <c r="S25" t="s">
        <v>291</v>
      </c>
      <c r="U25" t="s">
        <v>137</v>
      </c>
      <c r="V25" t="s">
        <v>1279</v>
      </c>
      <c r="X25" t="s">
        <v>71</v>
      </c>
      <c r="AA25" t="s">
        <v>292</v>
      </c>
      <c r="AB25" t="s">
        <v>1</v>
      </c>
      <c r="AC25" t="s">
        <v>138</v>
      </c>
      <c r="AD25" t="s">
        <v>128</v>
      </c>
      <c r="AE25" s="97">
        <f>VLOOKUP(A:A,SUMMERY!AA:AC,2,FALSE)</f>
        <v>46233</v>
      </c>
      <c r="AF25" s="6" t="str">
        <f>VLOOKUP(A:A,SUMMERY!AA:AC,3,FALSE)</f>
        <v>Priority-1</v>
      </c>
    </row>
    <row r="26" spans="1:32" x14ac:dyDescent="0.3">
      <c r="A26" t="s">
        <v>6615</v>
      </c>
      <c r="B26" t="s">
        <v>6616</v>
      </c>
      <c r="G26" t="s">
        <v>290</v>
      </c>
      <c r="H26" t="s">
        <v>132</v>
      </c>
      <c r="I26" t="s">
        <v>1</v>
      </c>
      <c r="J26" t="s">
        <v>133</v>
      </c>
      <c r="K26" t="s">
        <v>51</v>
      </c>
      <c r="L26" t="s">
        <v>1282</v>
      </c>
      <c r="M26" t="s">
        <v>134</v>
      </c>
      <c r="N26" t="s">
        <v>135</v>
      </c>
      <c r="Q26" t="s">
        <v>291</v>
      </c>
      <c r="S26" t="s">
        <v>291</v>
      </c>
      <c r="U26" t="s">
        <v>137</v>
      </c>
      <c r="V26" t="s">
        <v>1283</v>
      </c>
      <c r="X26" t="s">
        <v>78</v>
      </c>
      <c r="AA26" t="s">
        <v>292</v>
      </c>
      <c r="AB26" t="s">
        <v>1</v>
      </c>
      <c r="AC26" t="s">
        <v>138</v>
      </c>
      <c r="AD26" t="s">
        <v>128</v>
      </c>
      <c r="AE26" s="97">
        <f>VLOOKUP(A:A,SUMMERY!AA:AC,2,FALSE)</f>
        <v>46234</v>
      </c>
      <c r="AF26" s="6" t="str">
        <f>VLOOKUP(A:A,SUMMERY!AA:AC,3,FALSE)</f>
        <v>Priority-1</v>
      </c>
    </row>
    <row r="27" spans="1:32" x14ac:dyDescent="0.3">
      <c r="A27" t="s">
        <v>6617</v>
      </c>
      <c r="B27" t="s">
        <v>6618</v>
      </c>
      <c r="G27" t="s">
        <v>290</v>
      </c>
      <c r="H27" t="s">
        <v>132</v>
      </c>
      <c r="I27" t="s">
        <v>1</v>
      </c>
      <c r="J27" t="s">
        <v>133</v>
      </c>
      <c r="K27" t="s">
        <v>51</v>
      </c>
      <c r="L27" t="s">
        <v>1282</v>
      </c>
      <c r="M27" t="s">
        <v>134</v>
      </c>
      <c r="N27" t="s">
        <v>135</v>
      </c>
      <c r="Q27" t="s">
        <v>291</v>
      </c>
      <c r="S27" t="s">
        <v>291</v>
      </c>
      <c r="U27" t="s">
        <v>137</v>
      </c>
      <c r="V27" t="s">
        <v>1283</v>
      </c>
      <c r="X27" t="s">
        <v>78</v>
      </c>
      <c r="AA27" t="s">
        <v>292</v>
      </c>
      <c r="AB27" t="s">
        <v>1</v>
      </c>
      <c r="AC27" t="s">
        <v>138</v>
      </c>
      <c r="AD27" t="s">
        <v>128</v>
      </c>
      <c r="AE27" s="97">
        <f>VLOOKUP(A:A,SUMMERY!AA:AC,2,FALSE)</f>
        <v>46234</v>
      </c>
      <c r="AF27" s="6" t="str">
        <f>VLOOKUP(A:A,SUMMERY!AA:AC,3,FALSE)</f>
        <v>Priority-1</v>
      </c>
    </row>
    <row r="28" spans="1:32" x14ac:dyDescent="0.3">
      <c r="A28" t="s">
        <v>6639</v>
      </c>
      <c r="B28" t="s">
        <v>6640</v>
      </c>
      <c r="G28" t="s">
        <v>290</v>
      </c>
      <c r="H28" t="s">
        <v>132</v>
      </c>
      <c r="I28" t="s">
        <v>1</v>
      </c>
      <c r="J28" t="s">
        <v>133</v>
      </c>
      <c r="K28" t="s">
        <v>51</v>
      </c>
      <c r="L28" t="s">
        <v>6641</v>
      </c>
      <c r="M28" t="s">
        <v>134</v>
      </c>
      <c r="N28" t="s">
        <v>135</v>
      </c>
      <c r="Q28" t="s">
        <v>291</v>
      </c>
      <c r="S28" t="s">
        <v>291</v>
      </c>
      <c r="U28" t="s">
        <v>137</v>
      </c>
      <c r="V28" t="s">
        <v>324</v>
      </c>
      <c r="X28" t="s">
        <v>60</v>
      </c>
      <c r="AA28" t="s">
        <v>292</v>
      </c>
      <c r="AB28" t="s">
        <v>1</v>
      </c>
      <c r="AC28" t="s">
        <v>138</v>
      </c>
      <c r="AD28" t="s">
        <v>128</v>
      </c>
      <c r="AE28" s="97">
        <f>VLOOKUP(A:A,SUMMERY!AA:AC,2,FALSE)</f>
        <v>46220</v>
      </c>
      <c r="AF28" s="6" t="str">
        <f>VLOOKUP(A:A,SUMMERY!AA:AC,3,FALSE)</f>
        <v>Priority-1</v>
      </c>
    </row>
    <row r="29" spans="1:32" x14ac:dyDescent="0.3">
      <c r="A29" t="s">
        <v>359</v>
      </c>
      <c r="B29" t="s">
        <v>360</v>
      </c>
      <c r="G29" t="s">
        <v>290</v>
      </c>
      <c r="H29" t="s">
        <v>132</v>
      </c>
      <c r="I29" t="s">
        <v>1</v>
      </c>
      <c r="J29" t="s">
        <v>133</v>
      </c>
      <c r="K29" t="s">
        <v>51</v>
      </c>
      <c r="L29" t="s">
        <v>361</v>
      </c>
      <c r="M29" t="s">
        <v>134</v>
      </c>
      <c r="N29" t="s">
        <v>135</v>
      </c>
      <c r="Q29" t="s">
        <v>291</v>
      </c>
      <c r="T29" t="s">
        <v>169</v>
      </c>
      <c r="U29" t="s">
        <v>137</v>
      </c>
      <c r="V29" t="s">
        <v>362</v>
      </c>
      <c r="X29" t="s">
        <v>58</v>
      </c>
      <c r="AA29" t="s">
        <v>292</v>
      </c>
      <c r="AB29" t="s">
        <v>1</v>
      </c>
      <c r="AC29" t="s">
        <v>138</v>
      </c>
      <c r="AD29" t="s">
        <v>128</v>
      </c>
      <c r="AE29" s="97">
        <f>VLOOKUP(A:A,SUMMERY!AA:AC,2,FALSE)</f>
        <v>46220</v>
      </c>
      <c r="AF29" s="6" t="str">
        <f>VLOOKUP(A:A,SUMMERY!AA:AC,3,FALSE)</f>
        <v>Priority-1</v>
      </c>
    </row>
    <row r="30" spans="1:32" x14ac:dyDescent="0.3">
      <c r="A30" t="s">
        <v>363</v>
      </c>
      <c r="B30" t="s">
        <v>364</v>
      </c>
      <c r="G30" t="s">
        <v>290</v>
      </c>
      <c r="H30" t="s">
        <v>132</v>
      </c>
      <c r="I30" t="s">
        <v>1</v>
      </c>
      <c r="J30" t="s">
        <v>133</v>
      </c>
      <c r="K30" t="s">
        <v>51</v>
      </c>
      <c r="L30" t="s">
        <v>361</v>
      </c>
      <c r="M30" t="s">
        <v>134</v>
      </c>
      <c r="N30" t="s">
        <v>135</v>
      </c>
      <c r="Q30" t="s">
        <v>291</v>
      </c>
      <c r="T30" t="s">
        <v>169</v>
      </c>
      <c r="U30" t="s">
        <v>137</v>
      </c>
      <c r="V30" t="s">
        <v>362</v>
      </c>
      <c r="X30" t="s">
        <v>58</v>
      </c>
      <c r="AA30" t="s">
        <v>292</v>
      </c>
      <c r="AB30" t="s">
        <v>1</v>
      </c>
      <c r="AC30" t="s">
        <v>138</v>
      </c>
      <c r="AD30" t="s">
        <v>128</v>
      </c>
      <c r="AE30" s="97">
        <f>VLOOKUP(A:A,SUMMERY!AA:AC,2,FALSE)</f>
        <v>46220</v>
      </c>
      <c r="AF30" s="6" t="str">
        <f>VLOOKUP(A:A,SUMMERY!AA:AC,3,FALSE)</f>
        <v>Priority-1</v>
      </c>
    </row>
    <row r="31" spans="1:32" x14ac:dyDescent="0.3">
      <c r="A31" t="s">
        <v>365</v>
      </c>
      <c r="B31" t="s">
        <v>366</v>
      </c>
      <c r="G31" t="s">
        <v>290</v>
      </c>
      <c r="H31" t="s">
        <v>132</v>
      </c>
      <c r="I31" t="s">
        <v>1</v>
      </c>
      <c r="J31" t="s">
        <v>133</v>
      </c>
      <c r="K31" t="s">
        <v>51</v>
      </c>
      <c r="L31" t="s">
        <v>367</v>
      </c>
      <c r="M31" t="s">
        <v>134</v>
      </c>
      <c r="N31" t="s">
        <v>135</v>
      </c>
      <c r="Q31" t="s">
        <v>291</v>
      </c>
      <c r="T31" t="s">
        <v>169</v>
      </c>
      <c r="U31" t="s">
        <v>137</v>
      </c>
      <c r="V31" t="s">
        <v>362</v>
      </c>
      <c r="X31" t="s">
        <v>58</v>
      </c>
      <c r="AA31" t="s">
        <v>292</v>
      </c>
      <c r="AB31" t="s">
        <v>1</v>
      </c>
      <c r="AC31" t="s">
        <v>138</v>
      </c>
      <c r="AD31" t="s">
        <v>128</v>
      </c>
      <c r="AE31" s="97">
        <f>VLOOKUP(A:A,SUMMERY!AA:AC,2,FALSE)</f>
        <v>46220</v>
      </c>
      <c r="AF31" s="6" t="str">
        <f>VLOOKUP(A:A,SUMMERY!AA:AC,3,FALSE)</f>
        <v>Priority-1</v>
      </c>
    </row>
    <row r="32" spans="1:32" x14ac:dyDescent="0.3">
      <c r="A32" t="s">
        <v>368</v>
      </c>
      <c r="B32" t="s">
        <v>369</v>
      </c>
      <c r="G32" t="s">
        <v>290</v>
      </c>
      <c r="H32" t="s">
        <v>132</v>
      </c>
      <c r="I32" t="s">
        <v>1</v>
      </c>
      <c r="J32" t="s">
        <v>133</v>
      </c>
      <c r="K32" t="s">
        <v>51</v>
      </c>
      <c r="L32" t="s">
        <v>370</v>
      </c>
      <c r="M32" t="s">
        <v>134</v>
      </c>
      <c r="N32" t="s">
        <v>135</v>
      </c>
      <c r="Q32" t="s">
        <v>291</v>
      </c>
      <c r="T32" t="s">
        <v>169</v>
      </c>
      <c r="U32" t="s">
        <v>137</v>
      </c>
      <c r="V32" t="s">
        <v>371</v>
      </c>
      <c r="X32" t="s">
        <v>57</v>
      </c>
      <c r="AA32" t="s">
        <v>292</v>
      </c>
      <c r="AB32" t="s">
        <v>1</v>
      </c>
      <c r="AC32" t="s">
        <v>138</v>
      </c>
      <c r="AD32" t="s">
        <v>128</v>
      </c>
      <c r="AE32" s="97">
        <f>VLOOKUP(A:A,SUMMERY!AA:AC,2,FALSE)</f>
        <v>46220</v>
      </c>
      <c r="AF32" s="6" t="str">
        <f>VLOOKUP(A:A,SUMMERY!AA:AC,3,FALSE)</f>
        <v>Priority-1</v>
      </c>
    </row>
    <row r="33" spans="1:32" x14ac:dyDescent="0.3">
      <c r="A33" t="s">
        <v>372</v>
      </c>
      <c r="B33" t="s">
        <v>373</v>
      </c>
      <c r="G33" t="s">
        <v>290</v>
      </c>
      <c r="H33" t="s">
        <v>132</v>
      </c>
      <c r="I33" t="s">
        <v>1</v>
      </c>
      <c r="J33" t="s">
        <v>133</v>
      </c>
      <c r="K33" t="s">
        <v>51</v>
      </c>
      <c r="L33" t="s">
        <v>370</v>
      </c>
      <c r="M33" t="s">
        <v>134</v>
      </c>
      <c r="N33" t="s">
        <v>135</v>
      </c>
      <c r="Q33" t="s">
        <v>291</v>
      </c>
      <c r="T33" t="s">
        <v>169</v>
      </c>
      <c r="U33" t="s">
        <v>137</v>
      </c>
      <c r="V33" t="s">
        <v>371</v>
      </c>
      <c r="X33" t="s">
        <v>57</v>
      </c>
      <c r="AA33" t="s">
        <v>292</v>
      </c>
      <c r="AB33" t="s">
        <v>1</v>
      </c>
      <c r="AC33" t="s">
        <v>138</v>
      </c>
      <c r="AD33" t="s">
        <v>128</v>
      </c>
      <c r="AE33" s="97">
        <f>VLOOKUP(A:A,SUMMERY!AA:AC,2,FALSE)</f>
        <v>46220</v>
      </c>
      <c r="AF33" s="6" t="str">
        <f>VLOOKUP(A:A,SUMMERY!AA:AC,3,FALSE)</f>
        <v>Priority-1</v>
      </c>
    </row>
    <row r="34" spans="1:32" x14ac:dyDescent="0.3">
      <c r="A34" t="s">
        <v>374</v>
      </c>
      <c r="B34" t="s">
        <v>375</v>
      </c>
      <c r="G34" t="s">
        <v>290</v>
      </c>
      <c r="H34" t="s">
        <v>132</v>
      </c>
      <c r="I34" t="s">
        <v>1</v>
      </c>
      <c r="J34" t="s">
        <v>133</v>
      </c>
      <c r="K34" t="s">
        <v>51</v>
      </c>
      <c r="L34" t="s">
        <v>370</v>
      </c>
      <c r="M34" t="s">
        <v>134</v>
      </c>
      <c r="N34" t="s">
        <v>135</v>
      </c>
      <c r="Q34" t="s">
        <v>291</v>
      </c>
      <c r="T34" t="s">
        <v>169</v>
      </c>
      <c r="U34" t="s">
        <v>137</v>
      </c>
      <c r="V34" t="s">
        <v>371</v>
      </c>
      <c r="X34" t="s">
        <v>57</v>
      </c>
      <c r="AA34" t="s">
        <v>292</v>
      </c>
      <c r="AB34" t="s">
        <v>1</v>
      </c>
      <c r="AC34" t="s">
        <v>138</v>
      </c>
      <c r="AD34" t="s">
        <v>128</v>
      </c>
      <c r="AE34" s="97">
        <f>VLOOKUP(A:A,SUMMERY!AA:AC,2,FALSE)</f>
        <v>46220</v>
      </c>
      <c r="AF34" s="6" t="str">
        <f>VLOOKUP(A:A,SUMMERY!AA:AC,3,FALSE)</f>
        <v>Priority-1</v>
      </c>
    </row>
    <row r="35" spans="1:32" x14ac:dyDescent="0.3">
      <c r="A35" t="s">
        <v>376</v>
      </c>
      <c r="B35" t="s">
        <v>377</v>
      </c>
      <c r="G35" t="s">
        <v>290</v>
      </c>
      <c r="H35" t="s">
        <v>132</v>
      </c>
      <c r="I35" t="s">
        <v>1</v>
      </c>
      <c r="J35" t="s">
        <v>133</v>
      </c>
      <c r="K35" t="s">
        <v>51</v>
      </c>
      <c r="L35" t="s">
        <v>378</v>
      </c>
      <c r="M35" t="s">
        <v>134</v>
      </c>
      <c r="N35" t="s">
        <v>135</v>
      </c>
      <c r="Q35" t="s">
        <v>291</v>
      </c>
      <c r="T35" t="s">
        <v>169</v>
      </c>
      <c r="U35" t="s">
        <v>137</v>
      </c>
      <c r="V35" t="s">
        <v>371</v>
      </c>
      <c r="X35" t="s">
        <v>57</v>
      </c>
      <c r="AA35" t="s">
        <v>292</v>
      </c>
      <c r="AB35" t="s">
        <v>1</v>
      </c>
      <c r="AC35" t="s">
        <v>138</v>
      </c>
      <c r="AD35" t="s">
        <v>128</v>
      </c>
      <c r="AE35" s="97">
        <f>VLOOKUP(A:A,SUMMERY!AA:AC,2,FALSE)</f>
        <v>46220</v>
      </c>
      <c r="AF35" s="6" t="str">
        <f>VLOOKUP(A:A,SUMMERY!AA:AC,3,FALSE)</f>
        <v>Priority-1</v>
      </c>
    </row>
    <row r="36" spans="1:32" x14ac:dyDescent="0.3">
      <c r="A36" t="s">
        <v>379</v>
      </c>
      <c r="B36" t="s">
        <v>380</v>
      </c>
      <c r="G36" t="s">
        <v>290</v>
      </c>
      <c r="H36" t="s">
        <v>132</v>
      </c>
      <c r="I36" t="s">
        <v>1</v>
      </c>
      <c r="J36" t="s">
        <v>133</v>
      </c>
      <c r="K36" t="s">
        <v>51</v>
      </c>
      <c r="L36" t="s">
        <v>381</v>
      </c>
      <c r="M36" t="s">
        <v>134</v>
      </c>
      <c r="N36" t="s">
        <v>135</v>
      </c>
      <c r="Q36" t="s">
        <v>291</v>
      </c>
      <c r="T36" t="s">
        <v>169</v>
      </c>
      <c r="U36" t="s">
        <v>137</v>
      </c>
      <c r="V36" t="s">
        <v>147</v>
      </c>
      <c r="X36" t="s">
        <v>70</v>
      </c>
      <c r="AA36" t="s">
        <v>292</v>
      </c>
      <c r="AB36" t="s">
        <v>1</v>
      </c>
      <c r="AC36" t="s">
        <v>138</v>
      </c>
      <c r="AD36" t="s">
        <v>128</v>
      </c>
      <c r="AE36" s="97">
        <f>VLOOKUP(A:A,SUMMERY!AA:AC,2,FALSE)</f>
        <v>46220</v>
      </c>
      <c r="AF36" s="6" t="str">
        <f>VLOOKUP(A:A,SUMMERY!AA:AC,3,FALSE)</f>
        <v>Priority-1</v>
      </c>
    </row>
    <row r="37" spans="1:32" x14ac:dyDescent="0.3">
      <c r="A37" t="s">
        <v>382</v>
      </c>
      <c r="B37" t="s">
        <v>383</v>
      </c>
      <c r="G37" t="s">
        <v>290</v>
      </c>
      <c r="H37" t="s">
        <v>132</v>
      </c>
      <c r="I37" t="s">
        <v>1</v>
      </c>
      <c r="J37" t="s">
        <v>133</v>
      </c>
      <c r="K37" t="s">
        <v>51</v>
      </c>
      <c r="L37" t="s">
        <v>384</v>
      </c>
      <c r="M37" t="s">
        <v>134</v>
      </c>
      <c r="N37" t="s">
        <v>135</v>
      </c>
      <c r="Q37" t="s">
        <v>291</v>
      </c>
      <c r="T37" t="s">
        <v>169</v>
      </c>
      <c r="U37" t="s">
        <v>137</v>
      </c>
      <c r="V37" t="s">
        <v>150</v>
      </c>
      <c r="X37" t="s">
        <v>76</v>
      </c>
      <c r="AA37" t="s">
        <v>292</v>
      </c>
      <c r="AB37" t="s">
        <v>1</v>
      </c>
      <c r="AC37" t="s">
        <v>138</v>
      </c>
      <c r="AD37" t="s">
        <v>128</v>
      </c>
      <c r="AE37" s="97">
        <f>VLOOKUP(A:A,SUMMERY!AA:AC,2,FALSE)</f>
        <v>46233</v>
      </c>
      <c r="AF37" s="6" t="str">
        <f>VLOOKUP(A:A,SUMMERY!AA:AC,3,FALSE)</f>
        <v>Priority-1</v>
      </c>
    </row>
    <row r="38" spans="1:32" x14ac:dyDescent="0.3">
      <c r="A38" t="s">
        <v>400</v>
      </c>
      <c r="B38" t="s">
        <v>401</v>
      </c>
      <c r="G38" t="s">
        <v>290</v>
      </c>
      <c r="H38" t="s">
        <v>132</v>
      </c>
      <c r="I38" t="s">
        <v>1</v>
      </c>
      <c r="J38" t="s">
        <v>133</v>
      </c>
      <c r="K38" t="s">
        <v>51</v>
      </c>
      <c r="L38" t="s">
        <v>402</v>
      </c>
      <c r="M38" t="s">
        <v>134</v>
      </c>
      <c r="N38" t="s">
        <v>135</v>
      </c>
      <c r="Q38" t="s">
        <v>291</v>
      </c>
      <c r="T38" t="s">
        <v>169</v>
      </c>
      <c r="U38" t="s">
        <v>137</v>
      </c>
      <c r="V38" t="s">
        <v>403</v>
      </c>
      <c r="X38" t="s">
        <v>68</v>
      </c>
      <c r="AA38" t="s">
        <v>292</v>
      </c>
      <c r="AB38" t="s">
        <v>1</v>
      </c>
      <c r="AC38" t="s">
        <v>138</v>
      </c>
      <c r="AD38" t="s">
        <v>128</v>
      </c>
      <c r="AE38" s="97">
        <f>VLOOKUP(A:A,SUMMERY!AA:AC,2,FALSE)</f>
        <v>46233</v>
      </c>
      <c r="AF38" s="6" t="str">
        <f>VLOOKUP(A:A,SUMMERY!AA:AC,3,FALSE)</f>
        <v>Priority-1</v>
      </c>
    </row>
    <row r="39" spans="1:32" x14ac:dyDescent="0.3">
      <c r="A39" t="s">
        <v>404</v>
      </c>
      <c r="B39" t="s">
        <v>405</v>
      </c>
      <c r="G39" t="s">
        <v>290</v>
      </c>
      <c r="H39" t="s">
        <v>132</v>
      </c>
      <c r="I39" t="s">
        <v>1</v>
      </c>
      <c r="J39" t="s">
        <v>133</v>
      </c>
      <c r="K39" t="s">
        <v>51</v>
      </c>
      <c r="L39" t="s">
        <v>406</v>
      </c>
      <c r="M39" t="s">
        <v>134</v>
      </c>
      <c r="N39" t="s">
        <v>135</v>
      </c>
      <c r="Q39" t="s">
        <v>291</v>
      </c>
      <c r="T39" t="s">
        <v>169</v>
      </c>
      <c r="U39" t="s">
        <v>137</v>
      </c>
      <c r="V39" t="s">
        <v>407</v>
      </c>
      <c r="X39" t="s">
        <v>77</v>
      </c>
      <c r="AA39" t="s">
        <v>292</v>
      </c>
      <c r="AB39" t="s">
        <v>1</v>
      </c>
      <c r="AC39" t="s">
        <v>138</v>
      </c>
      <c r="AD39" t="s">
        <v>128</v>
      </c>
      <c r="AE39" s="97">
        <f>VLOOKUP(A:A,SUMMERY!AA:AC,2,FALSE)</f>
        <v>46233</v>
      </c>
      <c r="AF39" s="6" t="str">
        <f>VLOOKUP(A:A,SUMMERY!AA:AC,3,FALSE)</f>
        <v>Priority-1</v>
      </c>
    </row>
    <row r="40" spans="1:32" x14ac:dyDescent="0.3">
      <c r="A40" t="s">
        <v>428</v>
      </c>
      <c r="B40" t="s">
        <v>429</v>
      </c>
      <c r="G40" t="s">
        <v>290</v>
      </c>
      <c r="H40" t="s">
        <v>132</v>
      </c>
      <c r="I40" t="s">
        <v>1</v>
      </c>
      <c r="J40" t="s">
        <v>133</v>
      </c>
      <c r="K40" t="s">
        <v>51</v>
      </c>
      <c r="L40" t="s">
        <v>430</v>
      </c>
      <c r="M40" t="s">
        <v>134</v>
      </c>
      <c r="N40" t="s">
        <v>135</v>
      </c>
      <c r="Q40" t="s">
        <v>291</v>
      </c>
      <c r="T40" t="s">
        <v>169</v>
      </c>
      <c r="U40" t="s">
        <v>137</v>
      </c>
      <c r="V40" t="s">
        <v>147</v>
      </c>
      <c r="X40" t="s">
        <v>70</v>
      </c>
      <c r="AA40" t="s">
        <v>292</v>
      </c>
      <c r="AB40" t="s">
        <v>1</v>
      </c>
      <c r="AC40" t="s">
        <v>138</v>
      </c>
      <c r="AD40" t="s">
        <v>128</v>
      </c>
      <c r="AE40" s="97">
        <f>VLOOKUP(A:A,SUMMERY!AA:AC,2,FALSE)</f>
        <v>46220</v>
      </c>
      <c r="AF40" s="6" t="str">
        <f>VLOOKUP(A:A,SUMMERY!AA:AC,3,FALSE)</f>
        <v>Priority-1</v>
      </c>
    </row>
    <row r="41" spans="1:32" x14ac:dyDescent="0.3">
      <c r="A41" t="s">
        <v>431</v>
      </c>
      <c r="B41" t="s">
        <v>432</v>
      </c>
      <c r="G41" t="s">
        <v>290</v>
      </c>
      <c r="H41" t="s">
        <v>132</v>
      </c>
      <c r="I41" t="s">
        <v>1</v>
      </c>
      <c r="J41" t="s">
        <v>133</v>
      </c>
      <c r="K41" t="s">
        <v>51</v>
      </c>
      <c r="L41" t="s">
        <v>433</v>
      </c>
      <c r="M41" t="s">
        <v>134</v>
      </c>
      <c r="N41" t="s">
        <v>135</v>
      </c>
      <c r="Q41" t="s">
        <v>291</v>
      </c>
      <c r="T41" t="s">
        <v>169</v>
      </c>
      <c r="U41" t="s">
        <v>137</v>
      </c>
      <c r="V41" t="s">
        <v>150</v>
      </c>
      <c r="X41" t="s">
        <v>76</v>
      </c>
      <c r="AA41" t="s">
        <v>292</v>
      </c>
      <c r="AB41" t="s">
        <v>1</v>
      </c>
      <c r="AC41" t="s">
        <v>138</v>
      </c>
      <c r="AD41" t="s">
        <v>128</v>
      </c>
      <c r="AE41" s="97">
        <f>VLOOKUP(A:A,SUMMERY!AA:AC,2,FALSE)</f>
        <v>46233</v>
      </c>
      <c r="AF41" s="6" t="str">
        <f>VLOOKUP(A:A,SUMMERY!AA:AC,3,FALSE)</f>
        <v>Priority-1</v>
      </c>
    </row>
    <row r="42" spans="1:32" x14ac:dyDescent="0.3">
      <c r="A42" t="s">
        <v>449</v>
      </c>
      <c r="B42" t="s">
        <v>450</v>
      </c>
      <c r="G42" t="s">
        <v>290</v>
      </c>
      <c r="H42" t="s">
        <v>132</v>
      </c>
      <c r="I42" t="s">
        <v>1</v>
      </c>
      <c r="J42" t="s">
        <v>133</v>
      </c>
      <c r="K42" t="s">
        <v>51</v>
      </c>
      <c r="L42" t="s">
        <v>451</v>
      </c>
      <c r="M42" t="s">
        <v>134</v>
      </c>
      <c r="N42" t="s">
        <v>135</v>
      </c>
      <c r="Q42" t="s">
        <v>291</v>
      </c>
      <c r="T42" t="s">
        <v>169</v>
      </c>
      <c r="U42" t="s">
        <v>137</v>
      </c>
      <c r="V42" t="s">
        <v>147</v>
      </c>
      <c r="X42" t="s">
        <v>70</v>
      </c>
      <c r="AA42" t="s">
        <v>292</v>
      </c>
      <c r="AB42" t="s">
        <v>1</v>
      </c>
      <c r="AC42" t="s">
        <v>138</v>
      </c>
      <c r="AD42" t="s">
        <v>128</v>
      </c>
      <c r="AE42" s="97">
        <f>VLOOKUP(A:A,SUMMERY!AA:AC,2,FALSE)</f>
        <v>46220</v>
      </c>
      <c r="AF42" s="6" t="str">
        <f>VLOOKUP(A:A,SUMMERY!AA:AC,3,FALSE)</f>
        <v>Priority-1</v>
      </c>
    </row>
    <row r="43" spans="1:32" x14ac:dyDescent="0.3">
      <c r="A43" t="s">
        <v>452</v>
      </c>
      <c r="B43" t="s">
        <v>453</v>
      </c>
      <c r="G43" t="s">
        <v>290</v>
      </c>
      <c r="H43" t="s">
        <v>132</v>
      </c>
      <c r="I43" t="s">
        <v>1</v>
      </c>
      <c r="J43" t="s">
        <v>133</v>
      </c>
      <c r="K43" t="s">
        <v>51</v>
      </c>
      <c r="L43" t="s">
        <v>451</v>
      </c>
      <c r="M43" t="s">
        <v>134</v>
      </c>
      <c r="N43" t="s">
        <v>135</v>
      </c>
      <c r="Q43" t="s">
        <v>291</v>
      </c>
      <c r="T43" t="s">
        <v>169</v>
      </c>
      <c r="U43" t="s">
        <v>137</v>
      </c>
      <c r="V43" t="s">
        <v>147</v>
      </c>
      <c r="X43" t="s">
        <v>70</v>
      </c>
      <c r="AA43" t="s">
        <v>292</v>
      </c>
      <c r="AB43" t="s">
        <v>1</v>
      </c>
      <c r="AC43" t="s">
        <v>138</v>
      </c>
      <c r="AD43" t="s">
        <v>128</v>
      </c>
      <c r="AE43" s="97">
        <f>VLOOKUP(A:A,SUMMERY!AA:AC,2,FALSE)</f>
        <v>46220</v>
      </c>
      <c r="AF43" s="6" t="str">
        <f>VLOOKUP(A:A,SUMMERY!AA:AC,3,FALSE)</f>
        <v>Priority-1</v>
      </c>
    </row>
    <row r="44" spans="1:32" x14ac:dyDescent="0.3">
      <c r="A44" t="s">
        <v>454</v>
      </c>
      <c r="B44" t="s">
        <v>455</v>
      </c>
      <c r="G44" t="s">
        <v>290</v>
      </c>
      <c r="H44" t="s">
        <v>132</v>
      </c>
      <c r="I44" t="s">
        <v>1</v>
      </c>
      <c r="J44" t="s">
        <v>133</v>
      </c>
      <c r="K44" t="s">
        <v>51</v>
      </c>
      <c r="L44" t="s">
        <v>451</v>
      </c>
      <c r="M44" t="s">
        <v>134</v>
      </c>
      <c r="N44" t="s">
        <v>135</v>
      </c>
      <c r="Q44" t="s">
        <v>291</v>
      </c>
      <c r="T44" t="s">
        <v>169</v>
      </c>
      <c r="U44" t="s">
        <v>137</v>
      </c>
      <c r="V44" t="s">
        <v>147</v>
      </c>
      <c r="X44" t="s">
        <v>70</v>
      </c>
      <c r="AA44" t="s">
        <v>292</v>
      </c>
      <c r="AB44" t="s">
        <v>1</v>
      </c>
      <c r="AC44" t="s">
        <v>138</v>
      </c>
      <c r="AD44" t="s">
        <v>128</v>
      </c>
      <c r="AE44" s="97">
        <f>VLOOKUP(A:A,SUMMERY!AA:AC,2,FALSE)</f>
        <v>46220</v>
      </c>
      <c r="AF44" s="6" t="str">
        <f>VLOOKUP(A:A,SUMMERY!AA:AC,3,FALSE)</f>
        <v>Priority-1</v>
      </c>
    </row>
    <row r="45" spans="1:32" x14ac:dyDescent="0.3">
      <c r="A45" t="s">
        <v>456</v>
      </c>
      <c r="B45" t="s">
        <v>457</v>
      </c>
      <c r="G45" t="s">
        <v>290</v>
      </c>
      <c r="H45" t="s">
        <v>132</v>
      </c>
      <c r="I45" t="s">
        <v>1</v>
      </c>
      <c r="J45" t="s">
        <v>133</v>
      </c>
      <c r="K45" t="s">
        <v>51</v>
      </c>
      <c r="L45" t="s">
        <v>451</v>
      </c>
      <c r="M45" t="s">
        <v>134</v>
      </c>
      <c r="N45" t="s">
        <v>135</v>
      </c>
      <c r="Q45" t="s">
        <v>291</v>
      </c>
      <c r="T45" t="s">
        <v>169</v>
      </c>
      <c r="U45" t="s">
        <v>137</v>
      </c>
      <c r="V45" t="s">
        <v>147</v>
      </c>
      <c r="X45" t="s">
        <v>70</v>
      </c>
      <c r="AA45" t="s">
        <v>292</v>
      </c>
      <c r="AB45" t="s">
        <v>1</v>
      </c>
      <c r="AC45" t="s">
        <v>138</v>
      </c>
      <c r="AD45" t="s">
        <v>128</v>
      </c>
      <c r="AE45" s="97">
        <f>VLOOKUP(A:A,SUMMERY!AA:AC,2,FALSE)</f>
        <v>46220</v>
      </c>
      <c r="AF45" s="6" t="str">
        <f>VLOOKUP(A:A,SUMMERY!AA:AC,3,FALSE)</f>
        <v>Priority-1</v>
      </c>
    </row>
    <row r="46" spans="1:32" x14ac:dyDescent="0.3">
      <c r="A46" t="s">
        <v>458</v>
      </c>
      <c r="B46" t="s">
        <v>459</v>
      </c>
      <c r="G46" t="s">
        <v>290</v>
      </c>
      <c r="H46" t="s">
        <v>132</v>
      </c>
      <c r="I46" t="s">
        <v>1</v>
      </c>
      <c r="J46" t="s">
        <v>133</v>
      </c>
      <c r="K46" t="s">
        <v>51</v>
      </c>
      <c r="L46" t="s">
        <v>451</v>
      </c>
      <c r="M46" t="s">
        <v>134</v>
      </c>
      <c r="N46" t="s">
        <v>135</v>
      </c>
      <c r="Q46" t="s">
        <v>291</v>
      </c>
      <c r="T46" t="s">
        <v>169</v>
      </c>
      <c r="U46" t="s">
        <v>137</v>
      </c>
      <c r="V46" t="s">
        <v>147</v>
      </c>
      <c r="X46" t="s">
        <v>70</v>
      </c>
      <c r="AA46" t="s">
        <v>292</v>
      </c>
      <c r="AB46" t="s">
        <v>1</v>
      </c>
      <c r="AC46" t="s">
        <v>138</v>
      </c>
      <c r="AD46" t="s">
        <v>128</v>
      </c>
      <c r="AE46" s="97">
        <f>VLOOKUP(A:A,SUMMERY!AA:AC,2,FALSE)</f>
        <v>46220</v>
      </c>
      <c r="AF46" s="6" t="str">
        <f>VLOOKUP(A:A,SUMMERY!AA:AC,3,FALSE)</f>
        <v>Priority-1</v>
      </c>
    </row>
    <row r="47" spans="1:32" x14ac:dyDescent="0.3">
      <c r="A47" t="s">
        <v>460</v>
      </c>
      <c r="B47" t="s">
        <v>461</v>
      </c>
      <c r="G47" t="s">
        <v>290</v>
      </c>
      <c r="H47" t="s">
        <v>132</v>
      </c>
      <c r="I47" t="s">
        <v>1</v>
      </c>
      <c r="J47" t="s">
        <v>133</v>
      </c>
      <c r="K47" t="s">
        <v>51</v>
      </c>
      <c r="L47" t="s">
        <v>451</v>
      </c>
      <c r="M47" t="s">
        <v>134</v>
      </c>
      <c r="N47" t="s">
        <v>135</v>
      </c>
      <c r="Q47" t="s">
        <v>291</v>
      </c>
      <c r="T47" t="s">
        <v>169</v>
      </c>
      <c r="U47" t="s">
        <v>137</v>
      </c>
      <c r="V47" t="s">
        <v>147</v>
      </c>
      <c r="X47" t="s">
        <v>70</v>
      </c>
      <c r="AA47" t="s">
        <v>292</v>
      </c>
      <c r="AB47" t="s">
        <v>1</v>
      </c>
      <c r="AC47" t="s">
        <v>138</v>
      </c>
      <c r="AD47" t="s">
        <v>128</v>
      </c>
      <c r="AE47" s="97">
        <f>VLOOKUP(A:A,SUMMERY!AA:AC,2,FALSE)</f>
        <v>46220</v>
      </c>
      <c r="AF47" s="6" t="str">
        <f>VLOOKUP(A:A,SUMMERY!AA:AC,3,FALSE)</f>
        <v>Priority-1</v>
      </c>
    </row>
    <row r="48" spans="1:32" x14ac:dyDescent="0.3">
      <c r="A48" t="s">
        <v>462</v>
      </c>
      <c r="B48" t="s">
        <v>463</v>
      </c>
      <c r="G48" t="s">
        <v>290</v>
      </c>
      <c r="H48" t="s">
        <v>132</v>
      </c>
      <c r="I48" t="s">
        <v>1</v>
      </c>
      <c r="J48" t="s">
        <v>133</v>
      </c>
      <c r="K48" t="s">
        <v>51</v>
      </c>
      <c r="L48" t="s">
        <v>464</v>
      </c>
      <c r="M48" t="s">
        <v>134</v>
      </c>
      <c r="N48" t="s">
        <v>135</v>
      </c>
      <c r="Q48" t="s">
        <v>291</v>
      </c>
      <c r="T48" t="s">
        <v>169</v>
      </c>
      <c r="U48" t="s">
        <v>137</v>
      </c>
      <c r="V48" t="s">
        <v>147</v>
      </c>
      <c r="X48" t="s">
        <v>70</v>
      </c>
      <c r="AA48" t="s">
        <v>292</v>
      </c>
      <c r="AB48" t="s">
        <v>1</v>
      </c>
      <c r="AC48" t="s">
        <v>138</v>
      </c>
      <c r="AD48" t="s">
        <v>128</v>
      </c>
      <c r="AE48" s="97">
        <f>VLOOKUP(A:A,SUMMERY!AA:AC,2,FALSE)</f>
        <v>46220</v>
      </c>
      <c r="AF48" s="6" t="str">
        <f>VLOOKUP(A:A,SUMMERY!AA:AC,3,FALSE)</f>
        <v>Priority-1</v>
      </c>
    </row>
    <row r="49" spans="1:32" x14ac:dyDescent="0.3">
      <c r="A49" t="s">
        <v>465</v>
      </c>
      <c r="B49" t="s">
        <v>466</v>
      </c>
      <c r="G49" t="s">
        <v>290</v>
      </c>
      <c r="H49" t="s">
        <v>132</v>
      </c>
      <c r="I49" t="s">
        <v>1</v>
      </c>
      <c r="J49" t="s">
        <v>133</v>
      </c>
      <c r="K49" t="s">
        <v>51</v>
      </c>
      <c r="L49" t="s">
        <v>464</v>
      </c>
      <c r="M49" t="s">
        <v>134</v>
      </c>
      <c r="N49" t="s">
        <v>135</v>
      </c>
      <c r="Q49" t="s">
        <v>291</v>
      </c>
      <c r="T49" t="s">
        <v>169</v>
      </c>
      <c r="U49" t="s">
        <v>137</v>
      </c>
      <c r="V49" t="s">
        <v>147</v>
      </c>
      <c r="X49" t="s">
        <v>70</v>
      </c>
      <c r="AA49" t="s">
        <v>292</v>
      </c>
      <c r="AB49" t="s">
        <v>1</v>
      </c>
      <c r="AC49" t="s">
        <v>138</v>
      </c>
      <c r="AD49" t="s">
        <v>128</v>
      </c>
      <c r="AE49" s="97">
        <f>VLOOKUP(A:A,SUMMERY!AA:AC,2,FALSE)</f>
        <v>46220</v>
      </c>
      <c r="AF49" s="6" t="str">
        <f>VLOOKUP(A:A,SUMMERY!AA:AC,3,FALSE)</f>
        <v>Priority-1</v>
      </c>
    </row>
    <row r="50" spans="1:32" x14ac:dyDescent="0.3">
      <c r="A50" t="s">
        <v>467</v>
      </c>
      <c r="B50" t="s">
        <v>468</v>
      </c>
      <c r="G50" t="s">
        <v>290</v>
      </c>
      <c r="H50" t="s">
        <v>132</v>
      </c>
      <c r="I50" t="s">
        <v>1</v>
      </c>
      <c r="J50" t="s">
        <v>133</v>
      </c>
      <c r="K50" t="s">
        <v>51</v>
      </c>
      <c r="L50" t="s">
        <v>464</v>
      </c>
      <c r="M50" t="s">
        <v>134</v>
      </c>
      <c r="N50" t="s">
        <v>135</v>
      </c>
      <c r="Q50" t="s">
        <v>291</v>
      </c>
      <c r="T50" t="s">
        <v>169</v>
      </c>
      <c r="U50" t="s">
        <v>137</v>
      </c>
      <c r="V50" t="s">
        <v>147</v>
      </c>
      <c r="X50" t="s">
        <v>70</v>
      </c>
      <c r="AA50" t="s">
        <v>292</v>
      </c>
      <c r="AB50" t="s">
        <v>1</v>
      </c>
      <c r="AC50" t="s">
        <v>138</v>
      </c>
      <c r="AD50" t="s">
        <v>128</v>
      </c>
      <c r="AE50" s="97">
        <f>VLOOKUP(A:A,SUMMERY!AA:AC,2,FALSE)</f>
        <v>46220</v>
      </c>
      <c r="AF50" s="6" t="str">
        <f>VLOOKUP(A:A,SUMMERY!AA:AC,3,FALSE)</f>
        <v>Priority-1</v>
      </c>
    </row>
    <row r="51" spans="1:32" x14ac:dyDescent="0.3">
      <c r="A51" t="s">
        <v>469</v>
      </c>
      <c r="B51" t="s">
        <v>470</v>
      </c>
      <c r="G51" t="s">
        <v>290</v>
      </c>
      <c r="H51" t="s">
        <v>132</v>
      </c>
      <c r="I51" t="s">
        <v>1</v>
      </c>
      <c r="J51" t="s">
        <v>133</v>
      </c>
      <c r="K51" t="s">
        <v>51</v>
      </c>
      <c r="L51" t="s">
        <v>464</v>
      </c>
      <c r="M51" t="s">
        <v>134</v>
      </c>
      <c r="N51" t="s">
        <v>135</v>
      </c>
      <c r="Q51" t="s">
        <v>291</v>
      </c>
      <c r="T51" t="s">
        <v>169</v>
      </c>
      <c r="U51" t="s">
        <v>137</v>
      </c>
      <c r="V51" t="s">
        <v>147</v>
      </c>
      <c r="X51" t="s">
        <v>70</v>
      </c>
      <c r="AA51" t="s">
        <v>292</v>
      </c>
      <c r="AB51" t="s">
        <v>1</v>
      </c>
      <c r="AC51" t="s">
        <v>138</v>
      </c>
      <c r="AD51" t="s">
        <v>128</v>
      </c>
      <c r="AE51" s="97">
        <f>VLOOKUP(A:A,SUMMERY!AA:AC,2,FALSE)</f>
        <v>46220</v>
      </c>
      <c r="AF51" s="6" t="str">
        <f>VLOOKUP(A:A,SUMMERY!AA:AC,3,FALSE)</f>
        <v>Priority-1</v>
      </c>
    </row>
    <row r="52" spans="1:32" x14ac:dyDescent="0.3">
      <c r="A52" t="s">
        <v>471</v>
      </c>
      <c r="B52" t="s">
        <v>472</v>
      </c>
      <c r="G52" t="s">
        <v>290</v>
      </c>
      <c r="H52" t="s">
        <v>132</v>
      </c>
      <c r="I52" t="s">
        <v>1</v>
      </c>
      <c r="J52" t="s">
        <v>133</v>
      </c>
      <c r="K52" t="s">
        <v>51</v>
      </c>
      <c r="L52" t="s">
        <v>464</v>
      </c>
      <c r="M52" t="s">
        <v>134</v>
      </c>
      <c r="N52" t="s">
        <v>135</v>
      </c>
      <c r="Q52" t="s">
        <v>291</v>
      </c>
      <c r="T52" t="s">
        <v>169</v>
      </c>
      <c r="U52" t="s">
        <v>137</v>
      </c>
      <c r="V52" t="s">
        <v>147</v>
      </c>
      <c r="X52" t="s">
        <v>70</v>
      </c>
      <c r="AA52" t="s">
        <v>292</v>
      </c>
      <c r="AB52" t="s">
        <v>1</v>
      </c>
      <c r="AC52" t="s">
        <v>138</v>
      </c>
      <c r="AD52" t="s">
        <v>128</v>
      </c>
      <c r="AE52" s="97">
        <f>VLOOKUP(A:A,SUMMERY!AA:AC,2,FALSE)</f>
        <v>46220</v>
      </c>
      <c r="AF52" s="6" t="str">
        <f>VLOOKUP(A:A,SUMMERY!AA:AC,3,FALSE)</f>
        <v>Priority-1</v>
      </c>
    </row>
    <row r="53" spans="1:32" x14ac:dyDescent="0.3">
      <c r="A53" t="s">
        <v>473</v>
      </c>
      <c r="B53" t="s">
        <v>474</v>
      </c>
      <c r="G53" t="s">
        <v>290</v>
      </c>
      <c r="H53" t="s">
        <v>132</v>
      </c>
      <c r="I53" t="s">
        <v>1</v>
      </c>
      <c r="J53" t="s">
        <v>133</v>
      </c>
      <c r="K53" t="s">
        <v>51</v>
      </c>
      <c r="L53" t="s">
        <v>464</v>
      </c>
      <c r="M53" t="s">
        <v>134</v>
      </c>
      <c r="N53" t="s">
        <v>135</v>
      </c>
      <c r="Q53" t="s">
        <v>291</v>
      </c>
      <c r="T53" t="s">
        <v>169</v>
      </c>
      <c r="U53" t="s">
        <v>137</v>
      </c>
      <c r="V53" t="s">
        <v>147</v>
      </c>
      <c r="X53" t="s">
        <v>70</v>
      </c>
      <c r="AA53" t="s">
        <v>292</v>
      </c>
      <c r="AB53" t="s">
        <v>1</v>
      </c>
      <c r="AC53" t="s">
        <v>138</v>
      </c>
      <c r="AD53" t="s">
        <v>128</v>
      </c>
      <c r="AE53" s="97">
        <f>VLOOKUP(A:A,SUMMERY!AA:AC,2,FALSE)</f>
        <v>46220</v>
      </c>
      <c r="AF53" s="6" t="str">
        <f>VLOOKUP(A:A,SUMMERY!AA:AC,3,FALSE)</f>
        <v>Priority-1</v>
      </c>
    </row>
    <row r="54" spans="1:32" x14ac:dyDescent="0.3">
      <c r="A54" t="s">
        <v>475</v>
      </c>
      <c r="B54" t="s">
        <v>476</v>
      </c>
      <c r="G54" t="s">
        <v>290</v>
      </c>
      <c r="H54" t="s">
        <v>132</v>
      </c>
      <c r="I54" t="s">
        <v>1</v>
      </c>
      <c r="J54" t="s">
        <v>133</v>
      </c>
      <c r="K54" t="s">
        <v>51</v>
      </c>
      <c r="L54" t="s">
        <v>477</v>
      </c>
      <c r="M54" t="s">
        <v>134</v>
      </c>
      <c r="N54" t="s">
        <v>135</v>
      </c>
      <c r="Q54" t="s">
        <v>291</v>
      </c>
      <c r="T54" t="s">
        <v>169</v>
      </c>
      <c r="U54" t="s">
        <v>137</v>
      </c>
      <c r="V54" t="s">
        <v>150</v>
      </c>
      <c r="X54" t="s">
        <v>76</v>
      </c>
      <c r="AA54" t="s">
        <v>292</v>
      </c>
      <c r="AB54" t="s">
        <v>1</v>
      </c>
      <c r="AC54" t="s">
        <v>138</v>
      </c>
      <c r="AD54" t="s">
        <v>128</v>
      </c>
      <c r="AE54" s="97">
        <f>VLOOKUP(A:A,SUMMERY!AA:AC,2,FALSE)</f>
        <v>46233</v>
      </c>
      <c r="AF54" s="6" t="str">
        <f>VLOOKUP(A:A,SUMMERY!AA:AC,3,FALSE)</f>
        <v>Priority-1</v>
      </c>
    </row>
    <row r="55" spans="1:32" x14ac:dyDescent="0.3">
      <c r="A55" t="s">
        <v>478</v>
      </c>
      <c r="B55" t="s">
        <v>479</v>
      </c>
      <c r="G55" t="s">
        <v>290</v>
      </c>
      <c r="H55" t="s">
        <v>132</v>
      </c>
      <c r="I55" t="s">
        <v>1</v>
      </c>
      <c r="J55" t="s">
        <v>133</v>
      </c>
      <c r="K55" t="s">
        <v>51</v>
      </c>
      <c r="L55" t="s">
        <v>477</v>
      </c>
      <c r="M55" t="s">
        <v>134</v>
      </c>
      <c r="N55" t="s">
        <v>135</v>
      </c>
      <c r="Q55" t="s">
        <v>291</v>
      </c>
      <c r="T55" t="s">
        <v>169</v>
      </c>
      <c r="U55" t="s">
        <v>137</v>
      </c>
      <c r="V55" t="s">
        <v>150</v>
      </c>
      <c r="X55" t="s">
        <v>76</v>
      </c>
      <c r="AA55" t="s">
        <v>292</v>
      </c>
      <c r="AB55" t="s">
        <v>1</v>
      </c>
      <c r="AC55" t="s">
        <v>138</v>
      </c>
      <c r="AD55" t="s">
        <v>128</v>
      </c>
      <c r="AE55" s="97">
        <f>VLOOKUP(A:A,SUMMERY!AA:AC,2,FALSE)</f>
        <v>46233</v>
      </c>
      <c r="AF55" s="6" t="str">
        <f>VLOOKUP(A:A,SUMMERY!AA:AC,3,FALSE)</f>
        <v>Priority-1</v>
      </c>
    </row>
    <row r="56" spans="1:32" x14ac:dyDescent="0.3">
      <c r="A56" t="s">
        <v>480</v>
      </c>
      <c r="B56" t="s">
        <v>481</v>
      </c>
      <c r="G56" t="s">
        <v>290</v>
      </c>
      <c r="H56" t="s">
        <v>132</v>
      </c>
      <c r="I56" t="s">
        <v>1</v>
      </c>
      <c r="J56" t="s">
        <v>133</v>
      </c>
      <c r="K56" t="s">
        <v>51</v>
      </c>
      <c r="L56" t="s">
        <v>477</v>
      </c>
      <c r="M56" t="s">
        <v>134</v>
      </c>
      <c r="N56" t="s">
        <v>135</v>
      </c>
      <c r="Q56" t="s">
        <v>291</v>
      </c>
      <c r="T56" t="s">
        <v>169</v>
      </c>
      <c r="U56" t="s">
        <v>137</v>
      </c>
      <c r="V56" t="s">
        <v>150</v>
      </c>
      <c r="X56" t="s">
        <v>76</v>
      </c>
      <c r="AA56" t="s">
        <v>292</v>
      </c>
      <c r="AB56" t="s">
        <v>1</v>
      </c>
      <c r="AC56" t="s">
        <v>138</v>
      </c>
      <c r="AD56" t="s">
        <v>128</v>
      </c>
      <c r="AE56" s="97">
        <f>VLOOKUP(A:A,SUMMERY!AA:AC,2,FALSE)</f>
        <v>46233</v>
      </c>
      <c r="AF56" s="6" t="str">
        <f>VLOOKUP(A:A,SUMMERY!AA:AC,3,FALSE)</f>
        <v>Priority-1</v>
      </c>
    </row>
    <row r="57" spans="1:32" x14ac:dyDescent="0.3">
      <c r="A57" t="s">
        <v>482</v>
      </c>
      <c r="B57" t="s">
        <v>483</v>
      </c>
      <c r="G57" t="s">
        <v>290</v>
      </c>
      <c r="H57" t="s">
        <v>132</v>
      </c>
      <c r="I57" t="s">
        <v>1</v>
      </c>
      <c r="J57" t="s">
        <v>133</v>
      </c>
      <c r="K57" t="s">
        <v>51</v>
      </c>
      <c r="L57" t="s">
        <v>477</v>
      </c>
      <c r="M57" t="s">
        <v>134</v>
      </c>
      <c r="N57" t="s">
        <v>135</v>
      </c>
      <c r="Q57" t="s">
        <v>291</v>
      </c>
      <c r="T57" t="s">
        <v>169</v>
      </c>
      <c r="U57" t="s">
        <v>137</v>
      </c>
      <c r="V57" t="s">
        <v>150</v>
      </c>
      <c r="X57" t="s">
        <v>76</v>
      </c>
      <c r="AA57" t="s">
        <v>292</v>
      </c>
      <c r="AB57" t="s">
        <v>1</v>
      </c>
      <c r="AC57" t="s">
        <v>138</v>
      </c>
      <c r="AD57" t="s">
        <v>128</v>
      </c>
      <c r="AE57" s="97">
        <f>VLOOKUP(A:A,SUMMERY!AA:AC,2,FALSE)</f>
        <v>46233</v>
      </c>
      <c r="AF57" s="6" t="str">
        <f>VLOOKUP(A:A,SUMMERY!AA:AC,3,FALSE)</f>
        <v>Priority-1</v>
      </c>
    </row>
    <row r="58" spans="1:32" x14ac:dyDescent="0.3">
      <c r="A58" t="s">
        <v>484</v>
      </c>
      <c r="B58" t="s">
        <v>485</v>
      </c>
      <c r="G58" t="s">
        <v>290</v>
      </c>
      <c r="H58" t="s">
        <v>132</v>
      </c>
      <c r="I58" t="s">
        <v>1</v>
      </c>
      <c r="J58" t="s">
        <v>133</v>
      </c>
      <c r="K58" t="s">
        <v>51</v>
      </c>
      <c r="L58" t="s">
        <v>477</v>
      </c>
      <c r="M58" t="s">
        <v>134</v>
      </c>
      <c r="N58" t="s">
        <v>135</v>
      </c>
      <c r="Q58" t="s">
        <v>291</v>
      </c>
      <c r="T58" t="s">
        <v>169</v>
      </c>
      <c r="U58" t="s">
        <v>137</v>
      </c>
      <c r="V58" t="s">
        <v>150</v>
      </c>
      <c r="X58" t="s">
        <v>76</v>
      </c>
      <c r="AA58" t="s">
        <v>292</v>
      </c>
      <c r="AB58" t="s">
        <v>1</v>
      </c>
      <c r="AC58" t="s">
        <v>138</v>
      </c>
      <c r="AD58" t="s">
        <v>128</v>
      </c>
      <c r="AE58" s="97">
        <f>VLOOKUP(A:A,SUMMERY!AA:AC,2,FALSE)</f>
        <v>46233</v>
      </c>
      <c r="AF58" s="6" t="str">
        <f>VLOOKUP(A:A,SUMMERY!AA:AC,3,FALSE)</f>
        <v>Priority-1</v>
      </c>
    </row>
    <row r="59" spans="1:32" x14ac:dyDescent="0.3">
      <c r="A59" t="s">
        <v>486</v>
      </c>
      <c r="B59" t="s">
        <v>487</v>
      </c>
      <c r="G59" t="s">
        <v>290</v>
      </c>
      <c r="H59" t="s">
        <v>132</v>
      </c>
      <c r="I59" t="s">
        <v>1</v>
      </c>
      <c r="J59" t="s">
        <v>133</v>
      </c>
      <c r="K59" t="s">
        <v>51</v>
      </c>
      <c r="L59" t="s">
        <v>477</v>
      </c>
      <c r="M59" t="s">
        <v>134</v>
      </c>
      <c r="N59" t="s">
        <v>135</v>
      </c>
      <c r="Q59" t="s">
        <v>291</v>
      </c>
      <c r="T59" t="s">
        <v>169</v>
      </c>
      <c r="U59" t="s">
        <v>137</v>
      </c>
      <c r="V59" t="s">
        <v>150</v>
      </c>
      <c r="X59" t="s">
        <v>76</v>
      </c>
      <c r="AA59" t="s">
        <v>292</v>
      </c>
      <c r="AB59" t="s">
        <v>1</v>
      </c>
      <c r="AC59" t="s">
        <v>138</v>
      </c>
      <c r="AD59" t="s">
        <v>128</v>
      </c>
      <c r="AE59" s="97">
        <f>VLOOKUP(A:A,SUMMERY!AA:AC,2,FALSE)</f>
        <v>46233</v>
      </c>
      <c r="AF59" s="6" t="str">
        <f>VLOOKUP(A:A,SUMMERY!AA:AC,3,FALSE)</f>
        <v>Priority-1</v>
      </c>
    </row>
    <row r="60" spans="1:32" x14ac:dyDescent="0.3">
      <c r="A60" t="s">
        <v>488</v>
      </c>
      <c r="B60" t="s">
        <v>489</v>
      </c>
      <c r="G60" t="s">
        <v>290</v>
      </c>
      <c r="H60" t="s">
        <v>132</v>
      </c>
      <c r="I60" t="s">
        <v>1</v>
      </c>
      <c r="J60" t="s">
        <v>133</v>
      </c>
      <c r="K60" t="s">
        <v>51</v>
      </c>
      <c r="L60" t="s">
        <v>490</v>
      </c>
      <c r="M60" t="s">
        <v>134</v>
      </c>
      <c r="N60" t="s">
        <v>135</v>
      </c>
      <c r="Q60" t="s">
        <v>291</v>
      </c>
      <c r="T60" t="s">
        <v>169</v>
      </c>
      <c r="U60" t="s">
        <v>137</v>
      </c>
      <c r="V60" t="s">
        <v>150</v>
      </c>
      <c r="X60" t="s">
        <v>76</v>
      </c>
      <c r="AA60" t="s">
        <v>292</v>
      </c>
      <c r="AB60" t="s">
        <v>1</v>
      </c>
      <c r="AC60" t="s">
        <v>138</v>
      </c>
      <c r="AD60" t="s">
        <v>128</v>
      </c>
      <c r="AE60" s="97">
        <f>VLOOKUP(A:A,SUMMERY!AA:AC,2,FALSE)</f>
        <v>46233</v>
      </c>
      <c r="AF60" s="6" t="str">
        <f>VLOOKUP(A:A,SUMMERY!AA:AC,3,FALSE)</f>
        <v>Priority-1</v>
      </c>
    </row>
    <row r="61" spans="1:32" x14ac:dyDescent="0.3">
      <c r="A61" t="s">
        <v>491</v>
      </c>
      <c r="B61" t="s">
        <v>492</v>
      </c>
      <c r="G61" t="s">
        <v>290</v>
      </c>
      <c r="H61" t="s">
        <v>132</v>
      </c>
      <c r="I61" t="s">
        <v>1</v>
      </c>
      <c r="J61" t="s">
        <v>133</v>
      </c>
      <c r="K61" t="s">
        <v>51</v>
      </c>
      <c r="L61" t="s">
        <v>490</v>
      </c>
      <c r="M61" t="s">
        <v>134</v>
      </c>
      <c r="N61" t="s">
        <v>135</v>
      </c>
      <c r="Q61" t="s">
        <v>291</v>
      </c>
      <c r="T61" t="s">
        <v>169</v>
      </c>
      <c r="U61" t="s">
        <v>137</v>
      </c>
      <c r="V61" t="s">
        <v>150</v>
      </c>
      <c r="X61" t="s">
        <v>76</v>
      </c>
      <c r="AA61" t="s">
        <v>292</v>
      </c>
      <c r="AB61" t="s">
        <v>1</v>
      </c>
      <c r="AC61" t="s">
        <v>138</v>
      </c>
      <c r="AD61" t="s">
        <v>128</v>
      </c>
      <c r="AE61" s="97">
        <f>VLOOKUP(A:A,SUMMERY!AA:AC,2,FALSE)</f>
        <v>46233</v>
      </c>
      <c r="AF61" s="6" t="str">
        <f>VLOOKUP(A:A,SUMMERY!AA:AC,3,FALSE)</f>
        <v>Priority-1</v>
      </c>
    </row>
    <row r="62" spans="1:32" x14ac:dyDescent="0.3">
      <c r="A62" t="s">
        <v>493</v>
      </c>
      <c r="B62" t="s">
        <v>494</v>
      </c>
      <c r="G62" t="s">
        <v>290</v>
      </c>
      <c r="H62" t="s">
        <v>132</v>
      </c>
      <c r="I62" t="s">
        <v>1</v>
      </c>
      <c r="J62" t="s">
        <v>133</v>
      </c>
      <c r="K62" t="s">
        <v>51</v>
      </c>
      <c r="L62" t="s">
        <v>490</v>
      </c>
      <c r="M62" t="s">
        <v>134</v>
      </c>
      <c r="N62" t="s">
        <v>135</v>
      </c>
      <c r="Q62" t="s">
        <v>291</v>
      </c>
      <c r="T62" t="s">
        <v>169</v>
      </c>
      <c r="U62" t="s">
        <v>137</v>
      </c>
      <c r="V62" t="s">
        <v>150</v>
      </c>
      <c r="X62" t="s">
        <v>76</v>
      </c>
      <c r="AA62" t="s">
        <v>292</v>
      </c>
      <c r="AB62" t="s">
        <v>1</v>
      </c>
      <c r="AC62" t="s">
        <v>138</v>
      </c>
      <c r="AD62" t="s">
        <v>128</v>
      </c>
      <c r="AE62" s="97">
        <f>VLOOKUP(A:A,SUMMERY!AA:AC,2,FALSE)</f>
        <v>46233</v>
      </c>
      <c r="AF62" s="6" t="str">
        <f>VLOOKUP(A:A,SUMMERY!AA:AC,3,FALSE)</f>
        <v>Priority-1</v>
      </c>
    </row>
    <row r="63" spans="1:32" x14ac:dyDescent="0.3">
      <c r="A63" t="s">
        <v>495</v>
      </c>
      <c r="B63" t="s">
        <v>496</v>
      </c>
      <c r="G63" t="s">
        <v>290</v>
      </c>
      <c r="H63" t="s">
        <v>132</v>
      </c>
      <c r="I63" t="s">
        <v>1</v>
      </c>
      <c r="J63" t="s">
        <v>133</v>
      </c>
      <c r="K63" t="s">
        <v>51</v>
      </c>
      <c r="L63" t="s">
        <v>490</v>
      </c>
      <c r="M63" t="s">
        <v>134</v>
      </c>
      <c r="N63" t="s">
        <v>135</v>
      </c>
      <c r="Q63" t="s">
        <v>291</v>
      </c>
      <c r="T63" t="s">
        <v>169</v>
      </c>
      <c r="U63" t="s">
        <v>137</v>
      </c>
      <c r="V63" t="s">
        <v>150</v>
      </c>
      <c r="X63" t="s">
        <v>76</v>
      </c>
      <c r="AA63" t="s">
        <v>292</v>
      </c>
      <c r="AB63" t="s">
        <v>1</v>
      </c>
      <c r="AC63" t="s">
        <v>138</v>
      </c>
      <c r="AD63" t="s">
        <v>128</v>
      </c>
      <c r="AE63" s="97">
        <f>VLOOKUP(A:A,SUMMERY!AA:AC,2,FALSE)</f>
        <v>46233</v>
      </c>
      <c r="AF63" s="6" t="str">
        <f>VLOOKUP(A:A,SUMMERY!AA:AC,3,FALSE)</f>
        <v>Priority-1</v>
      </c>
    </row>
    <row r="64" spans="1:32" x14ac:dyDescent="0.3">
      <c r="A64" t="s">
        <v>497</v>
      </c>
      <c r="B64" t="s">
        <v>498</v>
      </c>
      <c r="G64" t="s">
        <v>290</v>
      </c>
      <c r="H64" t="s">
        <v>132</v>
      </c>
      <c r="I64" t="s">
        <v>1</v>
      </c>
      <c r="J64" t="s">
        <v>133</v>
      </c>
      <c r="K64" t="s">
        <v>51</v>
      </c>
      <c r="L64" t="s">
        <v>490</v>
      </c>
      <c r="M64" t="s">
        <v>134</v>
      </c>
      <c r="N64" t="s">
        <v>135</v>
      </c>
      <c r="Q64" t="s">
        <v>291</v>
      </c>
      <c r="T64" t="s">
        <v>169</v>
      </c>
      <c r="U64" t="s">
        <v>137</v>
      </c>
      <c r="V64" t="s">
        <v>150</v>
      </c>
      <c r="X64" t="s">
        <v>76</v>
      </c>
      <c r="AA64" t="s">
        <v>292</v>
      </c>
      <c r="AB64" t="s">
        <v>1</v>
      </c>
      <c r="AC64" t="s">
        <v>138</v>
      </c>
      <c r="AD64" t="s">
        <v>128</v>
      </c>
      <c r="AE64" s="97">
        <f>VLOOKUP(A:A,SUMMERY!AA:AC,2,FALSE)</f>
        <v>46233</v>
      </c>
      <c r="AF64" s="6" t="str">
        <f>VLOOKUP(A:A,SUMMERY!AA:AC,3,FALSE)</f>
        <v>Priority-1</v>
      </c>
    </row>
    <row r="65" spans="1:32" x14ac:dyDescent="0.3">
      <c r="A65" t="s">
        <v>499</v>
      </c>
      <c r="B65" t="s">
        <v>500</v>
      </c>
      <c r="G65" t="s">
        <v>290</v>
      </c>
      <c r="H65" t="s">
        <v>132</v>
      </c>
      <c r="I65" t="s">
        <v>1</v>
      </c>
      <c r="J65" t="s">
        <v>133</v>
      </c>
      <c r="K65" t="s">
        <v>51</v>
      </c>
      <c r="L65" t="s">
        <v>490</v>
      </c>
      <c r="M65" t="s">
        <v>134</v>
      </c>
      <c r="N65" t="s">
        <v>135</v>
      </c>
      <c r="Q65" t="s">
        <v>291</v>
      </c>
      <c r="T65" t="s">
        <v>169</v>
      </c>
      <c r="U65" t="s">
        <v>137</v>
      </c>
      <c r="V65" t="s">
        <v>150</v>
      </c>
      <c r="X65" t="s">
        <v>76</v>
      </c>
      <c r="AA65" t="s">
        <v>292</v>
      </c>
      <c r="AB65" t="s">
        <v>1</v>
      </c>
      <c r="AC65" t="s">
        <v>138</v>
      </c>
      <c r="AD65" t="s">
        <v>128</v>
      </c>
      <c r="AE65" s="97">
        <f>VLOOKUP(A:A,SUMMERY!AA:AC,2,FALSE)</f>
        <v>46233</v>
      </c>
      <c r="AF65" s="6" t="str">
        <f>VLOOKUP(A:A,SUMMERY!AA:AC,3,FALSE)</f>
        <v>Priority-1</v>
      </c>
    </row>
    <row r="66" spans="1:32" x14ac:dyDescent="0.3">
      <c r="A66" t="s">
        <v>631</v>
      </c>
      <c r="B66" t="s">
        <v>632</v>
      </c>
      <c r="G66" t="s">
        <v>290</v>
      </c>
      <c r="H66" t="s">
        <v>132</v>
      </c>
      <c r="I66" t="s">
        <v>1</v>
      </c>
      <c r="J66" t="s">
        <v>133</v>
      </c>
      <c r="K66" t="s">
        <v>51</v>
      </c>
      <c r="L66" t="s">
        <v>633</v>
      </c>
      <c r="M66" t="s">
        <v>134</v>
      </c>
      <c r="N66" t="s">
        <v>135</v>
      </c>
      <c r="Q66" t="s">
        <v>291</v>
      </c>
      <c r="T66" t="s">
        <v>169</v>
      </c>
      <c r="U66" t="s">
        <v>137</v>
      </c>
      <c r="V66" t="s">
        <v>352</v>
      </c>
      <c r="X66" t="s">
        <v>56</v>
      </c>
      <c r="AA66" t="s">
        <v>292</v>
      </c>
      <c r="AB66" t="s">
        <v>1</v>
      </c>
      <c r="AC66" t="s">
        <v>138</v>
      </c>
      <c r="AD66" t="s">
        <v>128</v>
      </c>
      <c r="AE66" s="97">
        <f>VLOOKUP(A:A,SUMMERY!AA:AC,2,FALSE)</f>
        <v>46233</v>
      </c>
      <c r="AF66" s="6" t="str">
        <f>VLOOKUP(A:A,SUMMERY!AA:AC,3,FALSE)</f>
        <v>Priority-1</v>
      </c>
    </row>
    <row r="67" spans="1:32" x14ac:dyDescent="0.3">
      <c r="A67" t="s">
        <v>634</v>
      </c>
      <c r="B67" t="s">
        <v>635</v>
      </c>
      <c r="G67" t="s">
        <v>290</v>
      </c>
      <c r="H67" t="s">
        <v>132</v>
      </c>
      <c r="I67" t="s">
        <v>1</v>
      </c>
      <c r="J67" t="s">
        <v>133</v>
      </c>
      <c r="K67" t="s">
        <v>51</v>
      </c>
      <c r="L67" t="s">
        <v>636</v>
      </c>
      <c r="M67" t="s">
        <v>134</v>
      </c>
      <c r="N67" t="s">
        <v>135</v>
      </c>
      <c r="Q67" t="s">
        <v>291</v>
      </c>
      <c r="T67" t="s">
        <v>169</v>
      </c>
      <c r="U67" t="s">
        <v>137</v>
      </c>
      <c r="V67" t="s">
        <v>352</v>
      </c>
      <c r="X67" t="s">
        <v>56</v>
      </c>
      <c r="AA67" t="s">
        <v>292</v>
      </c>
      <c r="AB67" t="s">
        <v>1</v>
      </c>
      <c r="AC67" t="s">
        <v>138</v>
      </c>
      <c r="AD67" t="s">
        <v>128</v>
      </c>
      <c r="AE67" s="97">
        <f>VLOOKUP(A:A,SUMMERY!AA:AC,2,FALSE)</f>
        <v>46233</v>
      </c>
      <c r="AF67" s="6" t="str">
        <f>VLOOKUP(A:A,SUMMERY!AA:AC,3,FALSE)</f>
        <v>Priority-1</v>
      </c>
    </row>
    <row r="68" spans="1:32" x14ac:dyDescent="0.3">
      <c r="A68" t="s">
        <v>637</v>
      </c>
      <c r="B68" t="s">
        <v>638</v>
      </c>
      <c r="G68" t="s">
        <v>290</v>
      </c>
      <c r="H68" t="s">
        <v>132</v>
      </c>
      <c r="I68" t="s">
        <v>1</v>
      </c>
      <c r="J68" t="s">
        <v>133</v>
      </c>
      <c r="K68" t="s">
        <v>51</v>
      </c>
      <c r="L68" t="s">
        <v>639</v>
      </c>
      <c r="M68" t="s">
        <v>134</v>
      </c>
      <c r="N68" t="s">
        <v>135</v>
      </c>
      <c r="Q68" t="s">
        <v>291</v>
      </c>
      <c r="T68" t="s">
        <v>169</v>
      </c>
      <c r="U68" t="s">
        <v>137</v>
      </c>
      <c r="V68" t="s">
        <v>640</v>
      </c>
      <c r="X68" t="s">
        <v>66</v>
      </c>
      <c r="AA68" t="s">
        <v>292</v>
      </c>
      <c r="AB68" t="s">
        <v>1</v>
      </c>
      <c r="AC68" t="s">
        <v>138</v>
      </c>
      <c r="AD68" t="s">
        <v>128</v>
      </c>
      <c r="AE68" s="97">
        <f>VLOOKUP(A:A,SUMMERY!AA:AC,2,FALSE)</f>
        <v>46220</v>
      </c>
      <c r="AF68" s="6" t="str">
        <f>VLOOKUP(A:A,SUMMERY!AA:AC,3,FALSE)</f>
        <v>Priority-1</v>
      </c>
    </row>
    <row r="69" spans="1:32" x14ac:dyDescent="0.3">
      <c r="A69" t="s">
        <v>641</v>
      </c>
      <c r="B69" t="s">
        <v>642</v>
      </c>
      <c r="G69" t="s">
        <v>290</v>
      </c>
      <c r="H69" t="s">
        <v>132</v>
      </c>
      <c r="I69" t="s">
        <v>1</v>
      </c>
      <c r="J69" t="s">
        <v>133</v>
      </c>
      <c r="K69" t="s">
        <v>51</v>
      </c>
      <c r="L69" t="s">
        <v>639</v>
      </c>
      <c r="M69" t="s">
        <v>134</v>
      </c>
      <c r="N69" t="s">
        <v>135</v>
      </c>
      <c r="Q69" t="s">
        <v>291</v>
      </c>
      <c r="T69" t="s">
        <v>169</v>
      </c>
      <c r="U69" t="s">
        <v>137</v>
      </c>
      <c r="V69" t="s">
        <v>640</v>
      </c>
      <c r="X69" t="s">
        <v>66</v>
      </c>
      <c r="AA69" t="s">
        <v>292</v>
      </c>
      <c r="AB69" t="s">
        <v>1</v>
      </c>
      <c r="AC69" t="s">
        <v>138</v>
      </c>
      <c r="AD69" t="s">
        <v>128</v>
      </c>
      <c r="AE69" s="97">
        <f>VLOOKUP(A:A,SUMMERY!AA:AC,2,FALSE)</f>
        <v>46220</v>
      </c>
      <c r="AF69" s="6" t="str">
        <f>VLOOKUP(A:A,SUMMERY!AA:AC,3,FALSE)</f>
        <v>Priority-1</v>
      </c>
    </row>
    <row r="70" spans="1:32" x14ac:dyDescent="0.3">
      <c r="A70" t="s">
        <v>643</v>
      </c>
      <c r="B70" t="s">
        <v>644</v>
      </c>
      <c r="G70" t="s">
        <v>290</v>
      </c>
      <c r="H70" t="s">
        <v>132</v>
      </c>
      <c r="I70" t="s">
        <v>1</v>
      </c>
      <c r="J70" t="s">
        <v>133</v>
      </c>
      <c r="K70" t="s">
        <v>51</v>
      </c>
      <c r="L70" t="s">
        <v>645</v>
      </c>
      <c r="M70" t="s">
        <v>134</v>
      </c>
      <c r="N70" t="s">
        <v>135</v>
      </c>
      <c r="Q70" t="s">
        <v>291</v>
      </c>
      <c r="T70" t="s">
        <v>169</v>
      </c>
      <c r="U70" t="s">
        <v>137</v>
      </c>
      <c r="V70" t="s">
        <v>646</v>
      </c>
      <c r="X70" t="s">
        <v>74</v>
      </c>
      <c r="AA70" t="s">
        <v>292</v>
      </c>
      <c r="AB70" t="s">
        <v>1</v>
      </c>
      <c r="AC70" t="s">
        <v>138</v>
      </c>
      <c r="AD70" t="s">
        <v>128</v>
      </c>
      <c r="AE70" s="97">
        <f>VLOOKUP(A:A,SUMMERY!AA:AC,2,FALSE)</f>
        <v>46220</v>
      </c>
      <c r="AF70" s="6" t="str">
        <f>VLOOKUP(A:A,SUMMERY!AA:AC,3,FALSE)</f>
        <v>Priority-1</v>
      </c>
    </row>
    <row r="71" spans="1:32" x14ac:dyDescent="0.3">
      <c r="A71" t="s">
        <v>647</v>
      </c>
      <c r="B71" t="s">
        <v>648</v>
      </c>
      <c r="G71" t="s">
        <v>290</v>
      </c>
      <c r="H71" t="s">
        <v>132</v>
      </c>
      <c r="I71" t="s">
        <v>1</v>
      </c>
      <c r="J71" t="s">
        <v>133</v>
      </c>
      <c r="K71" t="s">
        <v>51</v>
      </c>
      <c r="L71" t="s">
        <v>645</v>
      </c>
      <c r="M71" t="s">
        <v>134</v>
      </c>
      <c r="N71" t="s">
        <v>135</v>
      </c>
      <c r="Q71" t="s">
        <v>291</v>
      </c>
      <c r="T71" t="s">
        <v>169</v>
      </c>
      <c r="U71" t="s">
        <v>137</v>
      </c>
      <c r="V71" t="s">
        <v>646</v>
      </c>
      <c r="X71" t="s">
        <v>74</v>
      </c>
      <c r="AA71" t="s">
        <v>292</v>
      </c>
      <c r="AB71" t="s">
        <v>1</v>
      </c>
      <c r="AC71" t="s">
        <v>138</v>
      </c>
      <c r="AD71" t="s">
        <v>128</v>
      </c>
      <c r="AE71" s="97">
        <f>VLOOKUP(A:A,SUMMERY!AA:AC,2,FALSE)</f>
        <v>46220</v>
      </c>
      <c r="AF71" s="6" t="str">
        <f>VLOOKUP(A:A,SUMMERY!AA:AC,3,FALSE)</f>
        <v>Priority-1</v>
      </c>
    </row>
    <row r="72" spans="1:32" x14ac:dyDescent="0.3">
      <c r="A72" t="s">
        <v>679</v>
      </c>
      <c r="B72" t="s">
        <v>680</v>
      </c>
      <c r="G72" t="s">
        <v>290</v>
      </c>
      <c r="H72" t="s">
        <v>132</v>
      </c>
      <c r="I72" t="s">
        <v>1</v>
      </c>
      <c r="J72" t="s">
        <v>133</v>
      </c>
      <c r="K72" t="s">
        <v>51</v>
      </c>
      <c r="L72" t="s">
        <v>681</v>
      </c>
      <c r="M72" t="s">
        <v>134</v>
      </c>
      <c r="N72" t="s">
        <v>135</v>
      </c>
      <c r="Q72" t="s">
        <v>291</v>
      </c>
      <c r="T72" t="s">
        <v>169</v>
      </c>
      <c r="U72" t="s">
        <v>137</v>
      </c>
      <c r="V72" t="s">
        <v>640</v>
      </c>
      <c r="X72" t="s">
        <v>66</v>
      </c>
      <c r="AA72" t="s">
        <v>292</v>
      </c>
      <c r="AB72" t="s">
        <v>1</v>
      </c>
      <c r="AC72" t="s">
        <v>138</v>
      </c>
      <c r="AD72" t="s">
        <v>128</v>
      </c>
      <c r="AE72" s="97">
        <f>VLOOKUP(A:A,SUMMERY!AA:AC,2,FALSE)</f>
        <v>46220</v>
      </c>
      <c r="AF72" s="6" t="str">
        <f>VLOOKUP(A:A,SUMMERY!AA:AC,3,FALSE)</f>
        <v>Priority-1</v>
      </c>
    </row>
    <row r="73" spans="1:32" x14ac:dyDescent="0.3">
      <c r="A73" t="s">
        <v>682</v>
      </c>
      <c r="B73" t="s">
        <v>683</v>
      </c>
      <c r="G73" t="s">
        <v>290</v>
      </c>
      <c r="H73" t="s">
        <v>132</v>
      </c>
      <c r="I73" t="s">
        <v>1</v>
      </c>
      <c r="J73" t="s">
        <v>133</v>
      </c>
      <c r="K73" t="s">
        <v>51</v>
      </c>
      <c r="L73" t="s">
        <v>684</v>
      </c>
      <c r="M73" t="s">
        <v>134</v>
      </c>
      <c r="N73" t="s">
        <v>135</v>
      </c>
      <c r="Q73" t="s">
        <v>291</v>
      </c>
      <c r="T73" t="s">
        <v>169</v>
      </c>
      <c r="U73" t="s">
        <v>137</v>
      </c>
      <c r="V73" t="s">
        <v>646</v>
      </c>
      <c r="X73" t="s">
        <v>74</v>
      </c>
      <c r="AA73" t="s">
        <v>292</v>
      </c>
      <c r="AB73" t="s">
        <v>1</v>
      </c>
      <c r="AC73" t="s">
        <v>138</v>
      </c>
      <c r="AD73" t="s">
        <v>128</v>
      </c>
      <c r="AE73" s="97">
        <f>VLOOKUP(A:A,SUMMERY!AA:AC,2,FALSE)</f>
        <v>46220</v>
      </c>
      <c r="AF73" s="6" t="str">
        <f>VLOOKUP(A:A,SUMMERY!AA:AC,3,FALSE)</f>
        <v>Priority-1</v>
      </c>
    </row>
    <row r="74" spans="1:32" x14ac:dyDescent="0.3">
      <c r="A74" t="s">
        <v>700</v>
      </c>
      <c r="B74" t="s">
        <v>701</v>
      </c>
      <c r="G74" t="s">
        <v>290</v>
      </c>
      <c r="H74" t="s">
        <v>132</v>
      </c>
      <c r="I74" t="s">
        <v>1</v>
      </c>
      <c r="J74" t="s">
        <v>133</v>
      </c>
      <c r="K74" t="s">
        <v>51</v>
      </c>
      <c r="L74" t="s">
        <v>702</v>
      </c>
      <c r="M74" t="s">
        <v>134</v>
      </c>
      <c r="N74" t="s">
        <v>135</v>
      </c>
      <c r="Q74" t="s">
        <v>291</v>
      </c>
      <c r="T74" t="s">
        <v>169</v>
      </c>
      <c r="U74" t="s">
        <v>137</v>
      </c>
      <c r="V74" t="s">
        <v>703</v>
      </c>
      <c r="X74" t="s">
        <v>62</v>
      </c>
      <c r="AA74" t="s">
        <v>292</v>
      </c>
      <c r="AB74" t="s">
        <v>1</v>
      </c>
      <c r="AC74" t="s">
        <v>138</v>
      </c>
      <c r="AD74" t="s">
        <v>128</v>
      </c>
      <c r="AE74" s="97">
        <f>VLOOKUP(A:A,SUMMERY!AA:AC,2,FALSE)</f>
        <v>46220</v>
      </c>
      <c r="AF74" s="6" t="str">
        <f>VLOOKUP(A:A,SUMMERY!AA:AC,3,FALSE)</f>
        <v>Priority-1</v>
      </c>
    </row>
    <row r="75" spans="1:32" x14ac:dyDescent="0.3">
      <c r="A75" t="s">
        <v>704</v>
      </c>
      <c r="B75" t="s">
        <v>705</v>
      </c>
      <c r="G75" t="s">
        <v>290</v>
      </c>
      <c r="H75" t="s">
        <v>132</v>
      </c>
      <c r="I75" t="s">
        <v>1</v>
      </c>
      <c r="J75" t="s">
        <v>133</v>
      </c>
      <c r="K75" t="s">
        <v>51</v>
      </c>
      <c r="L75" t="s">
        <v>702</v>
      </c>
      <c r="M75" t="s">
        <v>134</v>
      </c>
      <c r="N75" t="s">
        <v>135</v>
      </c>
      <c r="Q75" t="s">
        <v>291</v>
      </c>
      <c r="T75" t="s">
        <v>169</v>
      </c>
      <c r="U75" t="s">
        <v>137</v>
      </c>
      <c r="V75" t="s">
        <v>703</v>
      </c>
      <c r="X75" t="s">
        <v>62</v>
      </c>
      <c r="AA75" t="s">
        <v>292</v>
      </c>
      <c r="AB75" t="s">
        <v>1</v>
      </c>
      <c r="AC75" t="s">
        <v>138</v>
      </c>
      <c r="AD75" t="s">
        <v>128</v>
      </c>
      <c r="AE75" s="97">
        <f>VLOOKUP(A:A,SUMMERY!AA:AC,2,FALSE)</f>
        <v>46220</v>
      </c>
      <c r="AF75" s="6" t="str">
        <f>VLOOKUP(A:A,SUMMERY!AA:AC,3,FALSE)</f>
        <v>Priority-1</v>
      </c>
    </row>
    <row r="76" spans="1:32" x14ac:dyDescent="0.3">
      <c r="A76" t="s">
        <v>706</v>
      </c>
      <c r="B76" t="s">
        <v>707</v>
      </c>
      <c r="G76" t="s">
        <v>290</v>
      </c>
      <c r="H76" t="s">
        <v>132</v>
      </c>
      <c r="I76" t="s">
        <v>1</v>
      </c>
      <c r="J76" t="s">
        <v>133</v>
      </c>
      <c r="K76" t="s">
        <v>51</v>
      </c>
      <c r="L76" t="s">
        <v>708</v>
      </c>
      <c r="M76" t="s">
        <v>134</v>
      </c>
      <c r="N76" t="s">
        <v>135</v>
      </c>
      <c r="Q76" t="s">
        <v>291</v>
      </c>
      <c r="T76" t="s">
        <v>169</v>
      </c>
      <c r="U76" t="s">
        <v>137</v>
      </c>
      <c r="V76" t="s">
        <v>709</v>
      </c>
      <c r="X76" t="s">
        <v>73</v>
      </c>
      <c r="AA76" t="s">
        <v>292</v>
      </c>
      <c r="AB76" t="s">
        <v>1</v>
      </c>
      <c r="AC76" t="s">
        <v>138</v>
      </c>
      <c r="AD76" t="s">
        <v>128</v>
      </c>
      <c r="AE76" s="97">
        <f>VLOOKUP(A:A,SUMMERY!AA:AC,2,FALSE)</f>
        <v>46220</v>
      </c>
      <c r="AF76" s="6" t="str">
        <f>VLOOKUP(A:A,SUMMERY!AA:AC,3,FALSE)</f>
        <v>Priority-1</v>
      </c>
    </row>
    <row r="77" spans="1:32" x14ac:dyDescent="0.3">
      <c r="A77" t="s">
        <v>710</v>
      </c>
      <c r="B77" t="s">
        <v>711</v>
      </c>
      <c r="G77" t="s">
        <v>290</v>
      </c>
      <c r="H77" t="s">
        <v>132</v>
      </c>
      <c r="I77" t="s">
        <v>1</v>
      </c>
      <c r="J77" t="s">
        <v>133</v>
      </c>
      <c r="K77" t="s">
        <v>51</v>
      </c>
      <c r="L77" t="s">
        <v>708</v>
      </c>
      <c r="M77" t="s">
        <v>134</v>
      </c>
      <c r="N77" t="s">
        <v>135</v>
      </c>
      <c r="Q77" t="s">
        <v>291</v>
      </c>
      <c r="T77" t="s">
        <v>169</v>
      </c>
      <c r="U77" t="s">
        <v>137</v>
      </c>
      <c r="V77" t="s">
        <v>709</v>
      </c>
      <c r="X77" t="s">
        <v>73</v>
      </c>
      <c r="AA77" t="s">
        <v>292</v>
      </c>
      <c r="AB77" t="s">
        <v>1</v>
      </c>
      <c r="AC77" t="s">
        <v>138</v>
      </c>
      <c r="AD77" t="s">
        <v>128</v>
      </c>
      <c r="AE77" s="97">
        <f>VLOOKUP(A:A,SUMMERY!AA:AC,2,FALSE)</f>
        <v>46220</v>
      </c>
      <c r="AF77" s="6" t="str">
        <f>VLOOKUP(A:A,SUMMERY!AA:AC,3,FALSE)</f>
        <v>Priority-1</v>
      </c>
    </row>
    <row r="78" spans="1:32" x14ac:dyDescent="0.3">
      <c r="A78" t="s">
        <v>742</v>
      </c>
      <c r="B78" t="s">
        <v>743</v>
      </c>
      <c r="G78" t="s">
        <v>290</v>
      </c>
      <c r="H78" t="s">
        <v>132</v>
      </c>
      <c r="I78" t="s">
        <v>1</v>
      </c>
      <c r="J78" t="s">
        <v>133</v>
      </c>
      <c r="K78" t="s">
        <v>51</v>
      </c>
      <c r="L78" t="s">
        <v>744</v>
      </c>
      <c r="M78" t="s">
        <v>134</v>
      </c>
      <c r="N78" t="s">
        <v>135</v>
      </c>
      <c r="Q78" t="s">
        <v>291</v>
      </c>
      <c r="T78" t="s">
        <v>169</v>
      </c>
      <c r="U78" t="s">
        <v>137</v>
      </c>
      <c r="V78" t="s">
        <v>147</v>
      </c>
      <c r="X78" t="s">
        <v>70</v>
      </c>
      <c r="AA78" t="s">
        <v>292</v>
      </c>
      <c r="AB78" t="s">
        <v>1</v>
      </c>
      <c r="AC78" t="s">
        <v>138</v>
      </c>
      <c r="AD78" t="s">
        <v>128</v>
      </c>
      <c r="AE78" s="97">
        <f>VLOOKUP(A:A,SUMMERY!AA:AC,2,FALSE)</f>
        <v>46220</v>
      </c>
      <c r="AF78" s="6" t="str">
        <f>VLOOKUP(A:A,SUMMERY!AA:AC,3,FALSE)</f>
        <v>Priority-1</v>
      </c>
    </row>
    <row r="79" spans="1:32" x14ac:dyDescent="0.3">
      <c r="A79" t="s">
        <v>745</v>
      </c>
      <c r="B79" t="s">
        <v>746</v>
      </c>
      <c r="G79" t="s">
        <v>290</v>
      </c>
      <c r="H79" t="s">
        <v>132</v>
      </c>
      <c r="I79" t="s">
        <v>1</v>
      </c>
      <c r="J79" t="s">
        <v>133</v>
      </c>
      <c r="K79" t="s">
        <v>51</v>
      </c>
      <c r="L79" t="s">
        <v>747</v>
      </c>
      <c r="M79" t="s">
        <v>134</v>
      </c>
      <c r="N79" t="s">
        <v>135</v>
      </c>
      <c r="Q79" t="s">
        <v>291</v>
      </c>
      <c r="T79" t="s">
        <v>169</v>
      </c>
      <c r="U79" t="s">
        <v>137</v>
      </c>
      <c r="V79" t="s">
        <v>150</v>
      </c>
      <c r="X79" t="s">
        <v>76</v>
      </c>
      <c r="AA79" t="s">
        <v>292</v>
      </c>
      <c r="AB79" t="s">
        <v>1</v>
      </c>
      <c r="AC79" t="s">
        <v>138</v>
      </c>
      <c r="AD79" t="s">
        <v>128</v>
      </c>
      <c r="AE79" s="97">
        <f>VLOOKUP(A:A,SUMMERY!AA:AC,2,FALSE)</f>
        <v>46233</v>
      </c>
      <c r="AF79" s="6" t="str">
        <f>VLOOKUP(A:A,SUMMERY!AA:AC,3,FALSE)</f>
        <v>Priority-1</v>
      </c>
    </row>
    <row r="80" spans="1:32" x14ac:dyDescent="0.3">
      <c r="A80" t="s">
        <v>763</v>
      </c>
      <c r="B80" t="s">
        <v>764</v>
      </c>
      <c r="G80" t="s">
        <v>290</v>
      </c>
      <c r="H80" t="s">
        <v>132</v>
      </c>
      <c r="I80" t="s">
        <v>1</v>
      </c>
      <c r="J80" t="s">
        <v>133</v>
      </c>
      <c r="K80" t="s">
        <v>51</v>
      </c>
      <c r="L80" t="s">
        <v>765</v>
      </c>
      <c r="M80" t="s">
        <v>134</v>
      </c>
      <c r="N80" t="s">
        <v>135</v>
      </c>
      <c r="Q80" t="s">
        <v>291</v>
      </c>
      <c r="T80" t="s">
        <v>169</v>
      </c>
      <c r="U80" t="s">
        <v>137</v>
      </c>
      <c r="V80" t="s">
        <v>147</v>
      </c>
      <c r="X80" t="s">
        <v>70</v>
      </c>
      <c r="AA80" t="s">
        <v>292</v>
      </c>
      <c r="AB80" t="s">
        <v>1</v>
      </c>
      <c r="AC80" t="s">
        <v>138</v>
      </c>
      <c r="AD80" t="s">
        <v>128</v>
      </c>
      <c r="AE80" s="97">
        <f>VLOOKUP(A:A,SUMMERY!AA:AC,2,FALSE)</f>
        <v>46220</v>
      </c>
      <c r="AF80" s="6" t="str">
        <f>VLOOKUP(A:A,SUMMERY!AA:AC,3,FALSE)</f>
        <v>Priority-1</v>
      </c>
    </row>
    <row r="81" spans="1:32" x14ac:dyDescent="0.3">
      <c r="A81" t="s">
        <v>766</v>
      </c>
      <c r="B81" t="s">
        <v>767</v>
      </c>
      <c r="G81" t="s">
        <v>290</v>
      </c>
      <c r="H81" t="s">
        <v>132</v>
      </c>
      <c r="I81" t="s">
        <v>1</v>
      </c>
      <c r="J81" t="s">
        <v>133</v>
      </c>
      <c r="K81" t="s">
        <v>51</v>
      </c>
      <c r="L81" t="s">
        <v>765</v>
      </c>
      <c r="M81" t="s">
        <v>134</v>
      </c>
      <c r="N81" t="s">
        <v>135</v>
      </c>
      <c r="Q81" t="s">
        <v>291</v>
      </c>
      <c r="T81" t="s">
        <v>169</v>
      </c>
      <c r="U81" t="s">
        <v>137</v>
      </c>
      <c r="V81" t="s">
        <v>147</v>
      </c>
      <c r="X81" t="s">
        <v>70</v>
      </c>
      <c r="AA81" t="s">
        <v>292</v>
      </c>
      <c r="AB81" t="s">
        <v>1</v>
      </c>
      <c r="AC81" t="s">
        <v>138</v>
      </c>
      <c r="AD81" t="s">
        <v>128</v>
      </c>
      <c r="AE81" s="97">
        <f>VLOOKUP(A:A,SUMMERY!AA:AC,2,FALSE)</f>
        <v>46220</v>
      </c>
      <c r="AF81" s="6" t="str">
        <f>VLOOKUP(A:A,SUMMERY!AA:AC,3,FALSE)</f>
        <v>Priority-1</v>
      </c>
    </row>
    <row r="82" spans="1:32" x14ac:dyDescent="0.3">
      <c r="A82" t="s">
        <v>768</v>
      </c>
      <c r="B82" t="s">
        <v>769</v>
      </c>
      <c r="G82" t="s">
        <v>290</v>
      </c>
      <c r="H82" t="s">
        <v>132</v>
      </c>
      <c r="I82" t="s">
        <v>1</v>
      </c>
      <c r="J82" t="s">
        <v>133</v>
      </c>
      <c r="K82" t="s">
        <v>51</v>
      </c>
      <c r="L82" t="s">
        <v>765</v>
      </c>
      <c r="M82" t="s">
        <v>134</v>
      </c>
      <c r="N82" t="s">
        <v>135</v>
      </c>
      <c r="Q82" t="s">
        <v>291</v>
      </c>
      <c r="T82" t="s">
        <v>169</v>
      </c>
      <c r="U82" t="s">
        <v>137</v>
      </c>
      <c r="V82" t="s">
        <v>147</v>
      </c>
      <c r="X82" t="s">
        <v>70</v>
      </c>
      <c r="AA82" t="s">
        <v>292</v>
      </c>
      <c r="AB82" t="s">
        <v>1</v>
      </c>
      <c r="AC82" t="s">
        <v>138</v>
      </c>
      <c r="AD82" t="s">
        <v>128</v>
      </c>
      <c r="AE82" s="97">
        <f>VLOOKUP(A:A,SUMMERY!AA:AC,2,FALSE)</f>
        <v>46220</v>
      </c>
      <c r="AF82" s="6" t="str">
        <f>VLOOKUP(A:A,SUMMERY!AA:AC,3,FALSE)</f>
        <v>Priority-1</v>
      </c>
    </row>
    <row r="83" spans="1:32" x14ac:dyDescent="0.3">
      <c r="A83" t="s">
        <v>770</v>
      </c>
      <c r="B83" t="s">
        <v>771</v>
      </c>
      <c r="G83" t="s">
        <v>290</v>
      </c>
      <c r="H83" t="s">
        <v>132</v>
      </c>
      <c r="I83" t="s">
        <v>1</v>
      </c>
      <c r="J83" t="s">
        <v>133</v>
      </c>
      <c r="K83" t="s">
        <v>51</v>
      </c>
      <c r="L83" t="s">
        <v>772</v>
      </c>
      <c r="M83" t="s">
        <v>134</v>
      </c>
      <c r="N83" t="s">
        <v>135</v>
      </c>
      <c r="Q83" t="s">
        <v>291</v>
      </c>
      <c r="T83" t="s">
        <v>169</v>
      </c>
      <c r="U83" t="s">
        <v>137</v>
      </c>
      <c r="V83" t="s">
        <v>150</v>
      </c>
      <c r="X83" t="s">
        <v>76</v>
      </c>
      <c r="AA83" t="s">
        <v>292</v>
      </c>
      <c r="AB83" t="s">
        <v>1</v>
      </c>
      <c r="AC83" t="s">
        <v>138</v>
      </c>
      <c r="AD83" t="s">
        <v>128</v>
      </c>
      <c r="AE83" s="97">
        <f>VLOOKUP(A:A,SUMMERY!AA:AC,2,FALSE)</f>
        <v>46233</v>
      </c>
      <c r="AF83" s="6" t="str">
        <f>VLOOKUP(A:A,SUMMERY!AA:AC,3,FALSE)</f>
        <v>Priority-1</v>
      </c>
    </row>
    <row r="84" spans="1:32" x14ac:dyDescent="0.3">
      <c r="A84" t="s">
        <v>773</v>
      </c>
      <c r="B84" t="s">
        <v>774</v>
      </c>
      <c r="G84" t="s">
        <v>290</v>
      </c>
      <c r="H84" t="s">
        <v>132</v>
      </c>
      <c r="I84" t="s">
        <v>1</v>
      </c>
      <c r="J84" t="s">
        <v>133</v>
      </c>
      <c r="K84" t="s">
        <v>51</v>
      </c>
      <c r="L84" t="s">
        <v>772</v>
      </c>
      <c r="M84" t="s">
        <v>134</v>
      </c>
      <c r="N84" t="s">
        <v>135</v>
      </c>
      <c r="Q84" t="s">
        <v>291</v>
      </c>
      <c r="T84" t="s">
        <v>169</v>
      </c>
      <c r="U84" t="s">
        <v>137</v>
      </c>
      <c r="V84" t="s">
        <v>150</v>
      </c>
      <c r="X84" t="s">
        <v>76</v>
      </c>
      <c r="AA84" t="s">
        <v>292</v>
      </c>
      <c r="AB84" t="s">
        <v>1</v>
      </c>
      <c r="AC84" t="s">
        <v>138</v>
      </c>
      <c r="AD84" t="s">
        <v>128</v>
      </c>
      <c r="AE84" s="97">
        <f>VLOOKUP(A:A,SUMMERY!AA:AC,2,FALSE)</f>
        <v>46233</v>
      </c>
      <c r="AF84" s="6" t="str">
        <f>VLOOKUP(A:A,SUMMERY!AA:AC,3,FALSE)</f>
        <v>Priority-1</v>
      </c>
    </row>
    <row r="85" spans="1:32" x14ac:dyDescent="0.3">
      <c r="A85" t="s">
        <v>775</v>
      </c>
      <c r="B85" t="s">
        <v>776</v>
      </c>
      <c r="G85" t="s">
        <v>290</v>
      </c>
      <c r="H85" t="s">
        <v>132</v>
      </c>
      <c r="I85" t="s">
        <v>1</v>
      </c>
      <c r="J85" t="s">
        <v>133</v>
      </c>
      <c r="K85" t="s">
        <v>51</v>
      </c>
      <c r="L85" t="s">
        <v>772</v>
      </c>
      <c r="M85" t="s">
        <v>134</v>
      </c>
      <c r="N85" t="s">
        <v>135</v>
      </c>
      <c r="Q85" t="s">
        <v>291</v>
      </c>
      <c r="T85" t="s">
        <v>169</v>
      </c>
      <c r="U85" t="s">
        <v>137</v>
      </c>
      <c r="V85" t="s">
        <v>150</v>
      </c>
      <c r="X85" t="s">
        <v>76</v>
      </c>
      <c r="AA85" t="s">
        <v>292</v>
      </c>
      <c r="AB85" t="s">
        <v>1</v>
      </c>
      <c r="AC85" t="s">
        <v>138</v>
      </c>
      <c r="AD85" t="s">
        <v>128</v>
      </c>
      <c r="AE85" s="97">
        <f>VLOOKUP(A:A,SUMMERY!AA:AC,2,FALSE)</f>
        <v>46233</v>
      </c>
      <c r="AF85" s="6" t="str">
        <f>VLOOKUP(A:A,SUMMERY!AA:AC,3,FALSE)</f>
        <v>Priority-1</v>
      </c>
    </row>
    <row r="86" spans="1:32" x14ac:dyDescent="0.3">
      <c r="A86" t="s">
        <v>812</v>
      </c>
      <c r="B86" t="s">
        <v>813</v>
      </c>
      <c r="G86" t="s">
        <v>290</v>
      </c>
      <c r="H86" t="s">
        <v>132</v>
      </c>
      <c r="I86" t="s">
        <v>1</v>
      </c>
      <c r="J86" t="s">
        <v>133</v>
      </c>
      <c r="K86" t="s">
        <v>51</v>
      </c>
      <c r="L86" t="s">
        <v>814</v>
      </c>
      <c r="M86" t="s">
        <v>134</v>
      </c>
      <c r="N86" t="s">
        <v>135</v>
      </c>
      <c r="Q86" t="s">
        <v>291</v>
      </c>
      <c r="T86" t="s">
        <v>169</v>
      </c>
      <c r="U86" t="s">
        <v>137</v>
      </c>
      <c r="V86" t="s">
        <v>147</v>
      </c>
      <c r="X86" t="s">
        <v>70</v>
      </c>
      <c r="AA86" t="s">
        <v>292</v>
      </c>
      <c r="AB86" t="s">
        <v>1</v>
      </c>
      <c r="AC86" t="s">
        <v>138</v>
      </c>
      <c r="AD86" t="s">
        <v>128</v>
      </c>
      <c r="AE86" s="97">
        <f>VLOOKUP(A:A,SUMMERY!AA:AC,2,FALSE)</f>
        <v>46220</v>
      </c>
      <c r="AF86" s="6" t="str">
        <f>VLOOKUP(A:A,SUMMERY!AA:AC,3,FALSE)</f>
        <v>Priority-1</v>
      </c>
    </row>
    <row r="87" spans="1:32" x14ac:dyDescent="0.3">
      <c r="A87" t="s">
        <v>824</v>
      </c>
      <c r="B87" t="s">
        <v>825</v>
      </c>
      <c r="G87" t="s">
        <v>290</v>
      </c>
      <c r="H87" t="s">
        <v>132</v>
      </c>
      <c r="I87" t="s">
        <v>1</v>
      </c>
      <c r="J87" t="s">
        <v>133</v>
      </c>
      <c r="K87" t="s">
        <v>51</v>
      </c>
      <c r="L87" t="s">
        <v>826</v>
      </c>
      <c r="M87" t="s">
        <v>134</v>
      </c>
      <c r="N87" t="s">
        <v>135</v>
      </c>
      <c r="Q87" t="s">
        <v>291</v>
      </c>
      <c r="T87" t="s">
        <v>169</v>
      </c>
      <c r="U87" t="s">
        <v>137</v>
      </c>
      <c r="V87" t="s">
        <v>147</v>
      </c>
      <c r="X87" t="s">
        <v>70</v>
      </c>
      <c r="AA87" t="s">
        <v>292</v>
      </c>
      <c r="AB87" t="s">
        <v>1</v>
      </c>
      <c r="AC87" t="s">
        <v>138</v>
      </c>
      <c r="AD87" t="s">
        <v>128</v>
      </c>
      <c r="AE87" s="97">
        <f>VLOOKUP(A:A,SUMMERY!AA:AC,2,FALSE)</f>
        <v>46220</v>
      </c>
      <c r="AF87" s="6" t="str">
        <f>VLOOKUP(A:A,SUMMERY!AA:AC,3,FALSE)</f>
        <v>Priority-1</v>
      </c>
    </row>
    <row r="88" spans="1:32" x14ac:dyDescent="0.3">
      <c r="A88" t="s">
        <v>827</v>
      </c>
      <c r="B88" t="s">
        <v>828</v>
      </c>
      <c r="G88" t="s">
        <v>290</v>
      </c>
      <c r="H88" t="s">
        <v>132</v>
      </c>
      <c r="I88" t="s">
        <v>1</v>
      </c>
      <c r="J88" t="s">
        <v>133</v>
      </c>
      <c r="K88" t="s">
        <v>51</v>
      </c>
      <c r="L88" t="s">
        <v>829</v>
      </c>
      <c r="M88" t="s">
        <v>134</v>
      </c>
      <c r="N88" t="s">
        <v>135</v>
      </c>
      <c r="Q88" t="s">
        <v>291</v>
      </c>
      <c r="T88" t="s">
        <v>169</v>
      </c>
      <c r="U88" t="s">
        <v>137</v>
      </c>
      <c r="V88" t="s">
        <v>147</v>
      </c>
      <c r="X88" t="s">
        <v>70</v>
      </c>
      <c r="AA88" t="s">
        <v>292</v>
      </c>
      <c r="AB88" t="s">
        <v>1</v>
      </c>
      <c r="AC88" t="s">
        <v>138</v>
      </c>
      <c r="AD88" t="s">
        <v>128</v>
      </c>
      <c r="AE88" s="97">
        <f>VLOOKUP(A:A,SUMMERY!AA:AC,2,FALSE)</f>
        <v>46220</v>
      </c>
      <c r="AF88" s="6" t="str">
        <f>VLOOKUP(A:A,SUMMERY!AA:AC,3,FALSE)</f>
        <v>Priority-1</v>
      </c>
    </row>
    <row r="89" spans="1:32" x14ac:dyDescent="0.3">
      <c r="A89" t="s">
        <v>830</v>
      </c>
      <c r="B89" t="s">
        <v>831</v>
      </c>
      <c r="G89" t="s">
        <v>290</v>
      </c>
      <c r="H89" t="s">
        <v>132</v>
      </c>
      <c r="I89" t="s">
        <v>1</v>
      </c>
      <c r="J89" t="s">
        <v>133</v>
      </c>
      <c r="K89" t="s">
        <v>51</v>
      </c>
      <c r="L89" t="s">
        <v>832</v>
      </c>
      <c r="M89" t="s">
        <v>134</v>
      </c>
      <c r="N89" t="s">
        <v>135</v>
      </c>
      <c r="Q89" t="s">
        <v>291</v>
      </c>
      <c r="T89" t="s">
        <v>169</v>
      </c>
      <c r="U89" t="s">
        <v>137</v>
      </c>
      <c r="V89" t="s">
        <v>147</v>
      </c>
      <c r="X89" t="s">
        <v>70</v>
      </c>
      <c r="AA89" t="s">
        <v>292</v>
      </c>
      <c r="AB89" t="s">
        <v>1</v>
      </c>
      <c r="AC89" t="s">
        <v>138</v>
      </c>
      <c r="AD89" t="s">
        <v>128</v>
      </c>
      <c r="AE89" s="97">
        <f>VLOOKUP(A:A,SUMMERY!AA:AC,2,FALSE)</f>
        <v>46220</v>
      </c>
      <c r="AF89" s="6" t="str">
        <f>VLOOKUP(A:A,SUMMERY!AA:AC,3,FALSE)</f>
        <v>Priority-1</v>
      </c>
    </row>
    <row r="90" spans="1:32" x14ac:dyDescent="0.3">
      <c r="A90" t="s">
        <v>833</v>
      </c>
      <c r="B90" t="s">
        <v>834</v>
      </c>
      <c r="G90" t="s">
        <v>290</v>
      </c>
      <c r="H90" t="s">
        <v>132</v>
      </c>
      <c r="I90" t="s">
        <v>1</v>
      </c>
      <c r="J90" t="s">
        <v>133</v>
      </c>
      <c r="K90" t="s">
        <v>51</v>
      </c>
      <c r="L90" t="s">
        <v>835</v>
      </c>
      <c r="M90" t="s">
        <v>134</v>
      </c>
      <c r="N90" t="s">
        <v>135</v>
      </c>
      <c r="Q90" t="s">
        <v>291</v>
      </c>
      <c r="T90" t="s">
        <v>169</v>
      </c>
      <c r="U90" t="s">
        <v>137</v>
      </c>
      <c r="V90" t="s">
        <v>150</v>
      </c>
      <c r="X90" t="s">
        <v>76</v>
      </c>
      <c r="AA90" t="s">
        <v>292</v>
      </c>
      <c r="AB90" t="s">
        <v>1</v>
      </c>
      <c r="AC90" t="s">
        <v>138</v>
      </c>
      <c r="AD90" t="s">
        <v>128</v>
      </c>
      <c r="AE90" s="97">
        <f>VLOOKUP(A:A,SUMMERY!AA:AC,2,FALSE)</f>
        <v>46233</v>
      </c>
      <c r="AF90" s="6" t="str">
        <f>VLOOKUP(A:A,SUMMERY!AA:AC,3,FALSE)</f>
        <v>Priority-1</v>
      </c>
    </row>
    <row r="91" spans="1:32" x14ac:dyDescent="0.3">
      <c r="A91" t="s">
        <v>836</v>
      </c>
      <c r="B91" t="s">
        <v>837</v>
      </c>
      <c r="G91" t="s">
        <v>290</v>
      </c>
      <c r="H91" t="s">
        <v>132</v>
      </c>
      <c r="I91" t="s">
        <v>1</v>
      </c>
      <c r="J91" t="s">
        <v>133</v>
      </c>
      <c r="K91" t="s">
        <v>51</v>
      </c>
      <c r="L91" t="s">
        <v>838</v>
      </c>
      <c r="M91" t="s">
        <v>134</v>
      </c>
      <c r="N91" t="s">
        <v>135</v>
      </c>
      <c r="Q91" t="s">
        <v>291</v>
      </c>
      <c r="T91" t="s">
        <v>169</v>
      </c>
      <c r="U91" t="s">
        <v>137</v>
      </c>
      <c r="V91" t="s">
        <v>150</v>
      </c>
      <c r="X91" t="s">
        <v>76</v>
      </c>
      <c r="AA91" t="s">
        <v>292</v>
      </c>
      <c r="AB91" t="s">
        <v>1</v>
      </c>
      <c r="AC91" t="s">
        <v>138</v>
      </c>
      <c r="AD91" t="s">
        <v>128</v>
      </c>
      <c r="AE91" s="97">
        <f>VLOOKUP(A:A,SUMMERY!AA:AC,2,FALSE)</f>
        <v>46233</v>
      </c>
      <c r="AF91" s="6" t="str">
        <f>VLOOKUP(A:A,SUMMERY!AA:AC,3,FALSE)</f>
        <v>Priority-1</v>
      </c>
    </row>
    <row r="92" spans="1:32" x14ac:dyDescent="0.3">
      <c r="A92" t="s">
        <v>839</v>
      </c>
      <c r="B92" t="s">
        <v>840</v>
      </c>
      <c r="G92" t="s">
        <v>290</v>
      </c>
      <c r="H92" t="s">
        <v>132</v>
      </c>
      <c r="I92" t="s">
        <v>1</v>
      </c>
      <c r="J92" t="s">
        <v>133</v>
      </c>
      <c r="K92" t="s">
        <v>51</v>
      </c>
      <c r="L92" t="s">
        <v>841</v>
      </c>
      <c r="M92" t="s">
        <v>134</v>
      </c>
      <c r="N92" t="s">
        <v>135</v>
      </c>
      <c r="Q92" t="s">
        <v>291</v>
      </c>
      <c r="T92" t="s">
        <v>169</v>
      </c>
      <c r="U92" t="s">
        <v>137</v>
      </c>
      <c r="V92" t="s">
        <v>150</v>
      </c>
      <c r="X92" t="s">
        <v>76</v>
      </c>
      <c r="AA92" t="s">
        <v>292</v>
      </c>
      <c r="AB92" t="s">
        <v>1</v>
      </c>
      <c r="AC92" t="s">
        <v>138</v>
      </c>
      <c r="AD92" t="s">
        <v>128</v>
      </c>
      <c r="AE92" s="97">
        <f>VLOOKUP(A:A,SUMMERY!AA:AC,2,FALSE)</f>
        <v>46233</v>
      </c>
      <c r="AF92" s="6" t="str">
        <f>VLOOKUP(A:A,SUMMERY!AA:AC,3,FALSE)</f>
        <v>Priority-1</v>
      </c>
    </row>
    <row r="93" spans="1:32" x14ac:dyDescent="0.3">
      <c r="A93" t="s">
        <v>887</v>
      </c>
      <c r="B93" t="s">
        <v>888</v>
      </c>
      <c r="G93" t="s">
        <v>290</v>
      </c>
      <c r="H93" t="s">
        <v>132</v>
      </c>
      <c r="I93" t="s">
        <v>1</v>
      </c>
      <c r="J93" t="s">
        <v>133</v>
      </c>
      <c r="K93" t="s">
        <v>51</v>
      </c>
      <c r="L93" t="s">
        <v>889</v>
      </c>
      <c r="M93" t="s">
        <v>134</v>
      </c>
      <c r="N93" t="s">
        <v>135</v>
      </c>
      <c r="Q93" t="s">
        <v>291</v>
      </c>
      <c r="T93" t="s">
        <v>169</v>
      </c>
      <c r="U93" t="s">
        <v>137</v>
      </c>
      <c r="V93" t="s">
        <v>890</v>
      </c>
      <c r="X93" t="s">
        <v>59</v>
      </c>
      <c r="AA93" t="s">
        <v>292</v>
      </c>
      <c r="AB93" t="s">
        <v>1</v>
      </c>
      <c r="AC93" t="s">
        <v>138</v>
      </c>
      <c r="AD93" t="s">
        <v>128</v>
      </c>
      <c r="AE93" s="97">
        <f>VLOOKUP(A:A,SUMMERY!AA:AC,2,FALSE)</f>
        <v>46220</v>
      </c>
      <c r="AF93" s="6" t="str">
        <f>VLOOKUP(A:A,SUMMERY!AA:AC,3,FALSE)</f>
        <v>Priority-1</v>
      </c>
    </row>
    <row r="94" spans="1:32" x14ac:dyDescent="0.3">
      <c r="A94" t="s">
        <v>891</v>
      </c>
      <c r="B94" t="s">
        <v>892</v>
      </c>
      <c r="G94" t="s">
        <v>290</v>
      </c>
      <c r="H94" t="s">
        <v>132</v>
      </c>
      <c r="I94" t="s">
        <v>1</v>
      </c>
      <c r="J94" t="s">
        <v>133</v>
      </c>
      <c r="K94" t="s">
        <v>51</v>
      </c>
      <c r="L94" t="s">
        <v>893</v>
      </c>
      <c r="M94" t="s">
        <v>134</v>
      </c>
      <c r="N94" t="s">
        <v>135</v>
      </c>
      <c r="Q94" t="s">
        <v>291</v>
      </c>
      <c r="T94" t="s">
        <v>169</v>
      </c>
      <c r="U94" t="s">
        <v>137</v>
      </c>
      <c r="V94" t="s">
        <v>890</v>
      </c>
      <c r="X94" t="s">
        <v>59</v>
      </c>
      <c r="AA94" t="s">
        <v>292</v>
      </c>
      <c r="AB94" t="s">
        <v>1</v>
      </c>
      <c r="AC94" t="s">
        <v>138</v>
      </c>
      <c r="AD94" t="s">
        <v>128</v>
      </c>
      <c r="AE94" s="97">
        <f>VLOOKUP(A:A,SUMMERY!AA:AC,2,FALSE)</f>
        <v>46220</v>
      </c>
      <c r="AF94" s="6" t="str">
        <f>VLOOKUP(A:A,SUMMERY!AA:AC,3,FALSE)</f>
        <v>Priority-1</v>
      </c>
    </row>
    <row r="95" spans="1:32" x14ac:dyDescent="0.3">
      <c r="A95" t="s">
        <v>894</v>
      </c>
      <c r="B95" t="s">
        <v>895</v>
      </c>
      <c r="G95" t="s">
        <v>290</v>
      </c>
      <c r="H95" t="s">
        <v>132</v>
      </c>
      <c r="I95" t="s">
        <v>1</v>
      </c>
      <c r="J95" t="s">
        <v>133</v>
      </c>
      <c r="K95" t="s">
        <v>51</v>
      </c>
      <c r="L95" t="s">
        <v>896</v>
      </c>
      <c r="M95" t="s">
        <v>134</v>
      </c>
      <c r="N95" t="s">
        <v>135</v>
      </c>
      <c r="Q95" t="s">
        <v>291</v>
      </c>
      <c r="T95" t="s">
        <v>169</v>
      </c>
      <c r="U95" t="s">
        <v>137</v>
      </c>
      <c r="V95" t="s">
        <v>897</v>
      </c>
      <c r="X95" t="s">
        <v>64</v>
      </c>
      <c r="AA95" t="s">
        <v>292</v>
      </c>
      <c r="AB95" t="s">
        <v>1</v>
      </c>
      <c r="AC95" t="s">
        <v>138</v>
      </c>
      <c r="AD95" t="s">
        <v>128</v>
      </c>
      <c r="AE95" s="97">
        <f>VLOOKUP(A:A,SUMMERY!AA:AC,2,FALSE)</f>
        <v>46233</v>
      </c>
      <c r="AF95" s="6" t="str">
        <f>VLOOKUP(A:A,SUMMERY!AA:AC,3,FALSE)</f>
        <v>Priority-1</v>
      </c>
    </row>
    <row r="96" spans="1:32" x14ac:dyDescent="0.3">
      <c r="A96" t="s">
        <v>898</v>
      </c>
      <c r="B96" t="s">
        <v>899</v>
      </c>
      <c r="G96" t="s">
        <v>290</v>
      </c>
      <c r="H96" t="s">
        <v>132</v>
      </c>
      <c r="I96" t="s">
        <v>1</v>
      </c>
      <c r="J96" t="s">
        <v>133</v>
      </c>
      <c r="K96" t="s">
        <v>51</v>
      </c>
      <c r="L96" t="s">
        <v>900</v>
      </c>
      <c r="M96" t="s">
        <v>134</v>
      </c>
      <c r="N96" t="s">
        <v>135</v>
      </c>
      <c r="Q96" t="s">
        <v>291</v>
      </c>
      <c r="T96" t="s">
        <v>169</v>
      </c>
      <c r="U96" t="s">
        <v>137</v>
      </c>
      <c r="V96" t="s">
        <v>897</v>
      </c>
      <c r="X96" t="s">
        <v>64</v>
      </c>
      <c r="AA96" t="s">
        <v>292</v>
      </c>
      <c r="AB96" t="s">
        <v>1</v>
      </c>
      <c r="AC96" t="s">
        <v>138</v>
      </c>
      <c r="AD96" t="s">
        <v>128</v>
      </c>
      <c r="AE96" s="97">
        <f>VLOOKUP(A:A,SUMMERY!AA:AC,2,FALSE)</f>
        <v>46233</v>
      </c>
      <c r="AF96" s="6" t="str">
        <f>VLOOKUP(A:A,SUMMERY!AA:AC,3,FALSE)</f>
        <v>Priority-1</v>
      </c>
    </row>
    <row r="97" spans="1:32" x14ac:dyDescent="0.3">
      <c r="A97" t="s">
        <v>936</v>
      </c>
      <c r="B97" t="s">
        <v>937</v>
      </c>
      <c r="G97" t="s">
        <v>290</v>
      </c>
      <c r="H97" t="s">
        <v>132</v>
      </c>
      <c r="I97" t="s">
        <v>1</v>
      </c>
      <c r="J97" t="s">
        <v>133</v>
      </c>
      <c r="K97" t="s">
        <v>51</v>
      </c>
      <c r="L97" t="s">
        <v>938</v>
      </c>
      <c r="M97" t="s">
        <v>134</v>
      </c>
      <c r="N97" t="s">
        <v>135</v>
      </c>
      <c r="Q97" t="s">
        <v>291</v>
      </c>
      <c r="T97" t="s">
        <v>169</v>
      </c>
      <c r="U97" t="s">
        <v>137</v>
      </c>
      <c r="V97" t="s">
        <v>352</v>
      </c>
      <c r="X97" t="s">
        <v>56</v>
      </c>
      <c r="AA97" t="s">
        <v>292</v>
      </c>
      <c r="AB97" t="s">
        <v>1</v>
      </c>
      <c r="AC97" t="s">
        <v>138</v>
      </c>
      <c r="AD97" t="s">
        <v>128</v>
      </c>
      <c r="AE97" s="97">
        <f>VLOOKUP(A:A,SUMMERY!AA:AC,2,FALSE)</f>
        <v>46233</v>
      </c>
      <c r="AF97" s="6" t="str">
        <f>VLOOKUP(A:A,SUMMERY!AA:AC,3,FALSE)</f>
        <v>Priority-1</v>
      </c>
    </row>
    <row r="98" spans="1:32" x14ac:dyDescent="0.3">
      <c r="A98" t="s">
        <v>939</v>
      </c>
      <c r="B98" t="s">
        <v>940</v>
      </c>
      <c r="G98" t="s">
        <v>290</v>
      </c>
      <c r="H98" t="s">
        <v>132</v>
      </c>
      <c r="I98" t="s">
        <v>1</v>
      </c>
      <c r="J98" t="s">
        <v>133</v>
      </c>
      <c r="K98" t="s">
        <v>51</v>
      </c>
      <c r="L98" t="s">
        <v>941</v>
      </c>
      <c r="M98" t="s">
        <v>134</v>
      </c>
      <c r="N98" t="s">
        <v>135</v>
      </c>
      <c r="Q98" t="s">
        <v>291</v>
      </c>
      <c r="T98" t="s">
        <v>169</v>
      </c>
      <c r="U98" t="s">
        <v>137</v>
      </c>
      <c r="V98" t="s">
        <v>352</v>
      </c>
      <c r="X98" t="s">
        <v>56</v>
      </c>
      <c r="AA98" t="s">
        <v>292</v>
      </c>
      <c r="AB98" t="s">
        <v>1</v>
      </c>
      <c r="AC98" t="s">
        <v>138</v>
      </c>
      <c r="AD98" t="s">
        <v>128</v>
      </c>
      <c r="AE98" s="97">
        <f>VLOOKUP(A:A,SUMMERY!AA:AC,2,FALSE)</f>
        <v>46233</v>
      </c>
      <c r="AF98" s="6" t="str">
        <f>VLOOKUP(A:A,SUMMERY!AA:AC,3,FALSE)</f>
        <v>Priority-1</v>
      </c>
    </row>
    <row r="99" spans="1:32" x14ac:dyDescent="0.3">
      <c r="A99" t="s">
        <v>942</v>
      </c>
      <c r="B99" t="s">
        <v>943</v>
      </c>
      <c r="G99" t="s">
        <v>290</v>
      </c>
      <c r="H99" t="s">
        <v>132</v>
      </c>
      <c r="I99" t="s">
        <v>1</v>
      </c>
      <c r="J99" t="s">
        <v>133</v>
      </c>
      <c r="K99" t="s">
        <v>51</v>
      </c>
      <c r="L99" t="s">
        <v>323</v>
      </c>
      <c r="M99" t="s">
        <v>134</v>
      </c>
      <c r="N99" t="s">
        <v>135</v>
      </c>
      <c r="Q99" t="s">
        <v>291</v>
      </c>
      <c r="T99" t="s">
        <v>169</v>
      </c>
      <c r="U99" t="s">
        <v>137</v>
      </c>
      <c r="V99" t="s">
        <v>324</v>
      </c>
      <c r="X99" t="s">
        <v>60</v>
      </c>
      <c r="AA99" t="s">
        <v>292</v>
      </c>
      <c r="AB99" t="s">
        <v>1</v>
      </c>
      <c r="AC99" t="s">
        <v>138</v>
      </c>
      <c r="AD99" t="s">
        <v>128</v>
      </c>
      <c r="AE99" s="97">
        <f>VLOOKUP(A:A,SUMMERY!AA:AC,2,FALSE)</f>
        <v>46220</v>
      </c>
      <c r="AF99" s="6" t="str">
        <f>VLOOKUP(A:A,SUMMERY!AA:AC,3,FALSE)</f>
        <v>Priority-1</v>
      </c>
    </row>
    <row r="100" spans="1:32" x14ac:dyDescent="0.3">
      <c r="A100" t="s">
        <v>944</v>
      </c>
      <c r="B100" t="s">
        <v>945</v>
      </c>
      <c r="G100" t="s">
        <v>290</v>
      </c>
      <c r="H100" t="s">
        <v>132</v>
      </c>
      <c r="I100" t="s">
        <v>1</v>
      </c>
      <c r="J100" t="s">
        <v>133</v>
      </c>
      <c r="K100" t="s">
        <v>51</v>
      </c>
      <c r="L100" t="s">
        <v>323</v>
      </c>
      <c r="M100" t="s">
        <v>134</v>
      </c>
      <c r="N100" t="s">
        <v>135</v>
      </c>
      <c r="Q100" t="s">
        <v>291</v>
      </c>
      <c r="T100" t="s">
        <v>169</v>
      </c>
      <c r="U100" t="s">
        <v>137</v>
      </c>
      <c r="V100" t="s">
        <v>324</v>
      </c>
      <c r="X100" t="s">
        <v>60</v>
      </c>
      <c r="AA100" t="s">
        <v>292</v>
      </c>
      <c r="AB100" t="s">
        <v>1</v>
      </c>
      <c r="AC100" t="s">
        <v>138</v>
      </c>
      <c r="AD100" t="s">
        <v>128</v>
      </c>
      <c r="AE100" s="97">
        <f>VLOOKUP(A:A,SUMMERY!AA:AC,2,FALSE)</f>
        <v>46220</v>
      </c>
      <c r="AF100" s="6" t="str">
        <f>VLOOKUP(A:A,SUMMERY!AA:AC,3,FALSE)</f>
        <v>Priority-1</v>
      </c>
    </row>
    <row r="101" spans="1:32" x14ac:dyDescent="0.3">
      <c r="A101" t="s">
        <v>946</v>
      </c>
      <c r="B101" t="s">
        <v>947</v>
      </c>
      <c r="G101" t="s">
        <v>290</v>
      </c>
      <c r="H101" t="s">
        <v>132</v>
      </c>
      <c r="I101" t="s">
        <v>1</v>
      </c>
      <c r="J101" t="s">
        <v>133</v>
      </c>
      <c r="K101" t="s">
        <v>51</v>
      </c>
      <c r="L101" t="s">
        <v>323</v>
      </c>
      <c r="M101" t="s">
        <v>134</v>
      </c>
      <c r="N101" t="s">
        <v>135</v>
      </c>
      <c r="Q101" t="s">
        <v>291</v>
      </c>
      <c r="T101" t="s">
        <v>169</v>
      </c>
      <c r="U101" t="s">
        <v>137</v>
      </c>
      <c r="V101" t="s">
        <v>324</v>
      </c>
      <c r="X101" t="s">
        <v>60</v>
      </c>
      <c r="AA101" t="s">
        <v>292</v>
      </c>
      <c r="AB101" t="s">
        <v>1</v>
      </c>
      <c r="AC101" t="s">
        <v>138</v>
      </c>
      <c r="AD101" t="s">
        <v>128</v>
      </c>
      <c r="AE101" s="97">
        <f>VLOOKUP(A:A,SUMMERY!AA:AC,2,FALSE)</f>
        <v>46220</v>
      </c>
      <c r="AF101" s="6" t="str">
        <f>VLOOKUP(A:A,SUMMERY!AA:AC,3,FALSE)</f>
        <v>Priority-1</v>
      </c>
    </row>
    <row r="102" spans="1:32" x14ac:dyDescent="0.3">
      <c r="A102" t="s">
        <v>948</v>
      </c>
      <c r="B102" t="s">
        <v>949</v>
      </c>
      <c r="G102" t="s">
        <v>290</v>
      </c>
      <c r="H102" t="s">
        <v>132</v>
      </c>
      <c r="I102" t="s">
        <v>1</v>
      </c>
      <c r="J102" t="s">
        <v>133</v>
      </c>
      <c r="K102" t="s">
        <v>51</v>
      </c>
      <c r="L102" t="s">
        <v>323</v>
      </c>
      <c r="M102" t="s">
        <v>134</v>
      </c>
      <c r="N102" t="s">
        <v>135</v>
      </c>
      <c r="Q102" t="s">
        <v>291</v>
      </c>
      <c r="T102" t="s">
        <v>169</v>
      </c>
      <c r="U102" t="s">
        <v>137</v>
      </c>
      <c r="V102" t="s">
        <v>324</v>
      </c>
      <c r="X102" t="s">
        <v>60</v>
      </c>
      <c r="AA102" t="s">
        <v>292</v>
      </c>
      <c r="AB102" t="s">
        <v>1</v>
      </c>
      <c r="AC102" t="s">
        <v>138</v>
      </c>
      <c r="AD102" t="s">
        <v>128</v>
      </c>
      <c r="AE102" s="97">
        <f>VLOOKUP(A:A,SUMMERY!AA:AC,2,FALSE)</f>
        <v>46220</v>
      </c>
      <c r="AF102" s="6" t="str">
        <f>VLOOKUP(A:A,SUMMERY!AA:AC,3,FALSE)</f>
        <v>Priority-1</v>
      </c>
    </row>
    <row r="103" spans="1:32" x14ac:dyDescent="0.3">
      <c r="A103" t="s">
        <v>950</v>
      </c>
      <c r="B103" t="s">
        <v>951</v>
      </c>
      <c r="G103" t="s">
        <v>290</v>
      </c>
      <c r="H103" t="s">
        <v>132</v>
      </c>
      <c r="I103" t="s">
        <v>1</v>
      </c>
      <c r="J103" t="s">
        <v>133</v>
      </c>
      <c r="K103" t="s">
        <v>51</v>
      </c>
      <c r="L103" t="s">
        <v>952</v>
      </c>
      <c r="M103" t="s">
        <v>134</v>
      </c>
      <c r="N103" t="s">
        <v>135</v>
      </c>
      <c r="Q103" t="s">
        <v>291</v>
      </c>
      <c r="T103" t="s">
        <v>169</v>
      </c>
      <c r="U103" t="s">
        <v>137</v>
      </c>
      <c r="V103" t="s">
        <v>324</v>
      </c>
      <c r="X103" t="s">
        <v>60</v>
      </c>
      <c r="AA103" t="s">
        <v>292</v>
      </c>
      <c r="AB103" t="s">
        <v>1</v>
      </c>
      <c r="AC103" t="s">
        <v>138</v>
      </c>
      <c r="AD103" t="s">
        <v>128</v>
      </c>
      <c r="AE103" s="97">
        <f>VLOOKUP(A:A,SUMMERY!AA:AC,2,FALSE)</f>
        <v>46220</v>
      </c>
      <c r="AF103" s="6" t="str">
        <f>VLOOKUP(A:A,SUMMERY!AA:AC,3,FALSE)</f>
        <v>Priority-1</v>
      </c>
    </row>
    <row r="104" spans="1:32" x14ac:dyDescent="0.3">
      <c r="A104" t="s">
        <v>953</v>
      </c>
      <c r="B104" t="s">
        <v>954</v>
      </c>
      <c r="G104" t="s">
        <v>290</v>
      </c>
      <c r="H104" t="s">
        <v>132</v>
      </c>
      <c r="I104" t="s">
        <v>1</v>
      </c>
      <c r="J104" t="s">
        <v>133</v>
      </c>
      <c r="K104" t="s">
        <v>51</v>
      </c>
      <c r="L104" t="s">
        <v>955</v>
      </c>
      <c r="M104" t="s">
        <v>134</v>
      </c>
      <c r="N104" t="s">
        <v>135</v>
      </c>
      <c r="Q104" t="s">
        <v>291</v>
      </c>
      <c r="T104" t="s">
        <v>169</v>
      </c>
      <c r="U104" t="s">
        <v>137</v>
      </c>
      <c r="V104" t="s">
        <v>324</v>
      </c>
      <c r="X104" t="s">
        <v>60</v>
      </c>
      <c r="AA104" t="s">
        <v>292</v>
      </c>
      <c r="AB104" t="s">
        <v>1</v>
      </c>
      <c r="AC104" t="s">
        <v>138</v>
      </c>
      <c r="AD104" t="s">
        <v>128</v>
      </c>
      <c r="AE104" s="97">
        <f>VLOOKUP(A:A,SUMMERY!AA:AC,2,FALSE)</f>
        <v>46220</v>
      </c>
      <c r="AF104" s="6" t="str">
        <f>VLOOKUP(A:A,SUMMERY!AA:AC,3,FALSE)</f>
        <v>Priority-1</v>
      </c>
    </row>
    <row r="105" spans="1:32" x14ac:dyDescent="0.3">
      <c r="A105" t="s">
        <v>956</v>
      </c>
      <c r="B105" t="s">
        <v>957</v>
      </c>
      <c r="G105" t="s">
        <v>290</v>
      </c>
      <c r="H105" t="s">
        <v>132</v>
      </c>
      <c r="I105" t="s">
        <v>1</v>
      </c>
      <c r="J105" t="s">
        <v>133</v>
      </c>
      <c r="K105" t="s">
        <v>51</v>
      </c>
      <c r="L105" t="s">
        <v>327</v>
      </c>
      <c r="M105" t="s">
        <v>134</v>
      </c>
      <c r="N105" t="s">
        <v>135</v>
      </c>
      <c r="Q105" t="s">
        <v>291</v>
      </c>
      <c r="T105" t="s">
        <v>169</v>
      </c>
      <c r="U105" t="s">
        <v>137</v>
      </c>
      <c r="V105" t="s">
        <v>328</v>
      </c>
      <c r="X105" t="s">
        <v>65</v>
      </c>
      <c r="AA105" t="s">
        <v>292</v>
      </c>
      <c r="AB105" t="s">
        <v>1</v>
      </c>
      <c r="AC105" t="s">
        <v>138</v>
      </c>
      <c r="AD105" t="s">
        <v>128</v>
      </c>
      <c r="AE105" s="97">
        <f>VLOOKUP(A:A,SUMMERY!AA:AC,2,FALSE)</f>
        <v>46233</v>
      </c>
      <c r="AF105" s="6" t="str">
        <f>VLOOKUP(A:A,SUMMERY!AA:AC,3,FALSE)</f>
        <v>Priority-1</v>
      </c>
    </row>
    <row r="106" spans="1:32" x14ac:dyDescent="0.3">
      <c r="A106" t="s">
        <v>958</v>
      </c>
      <c r="B106" t="s">
        <v>959</v>
      </c>
      <c r="G106" t="s">
        <v>290</v>
      </c>
      <c r="H106" t="s">
        <v>132</v>
      </c>
      <c r="I106" t="s">
        <v>1</v>
      </c>
      <c r="J106" t="s">
        <v>133</v>
      </c>
      <c r="K106" t="s">
        <v>51</v>
      </c>
      <c r="L106" t="s">
        <v>327</v>
      </c>
      <c r="M106" t="s">
        <v>134</v>
      </c>
      <c r="N106" t="s">
        <v>135</v>
      </c>
      <c r="Q106" t="s">
        <v>291</v>
      </c>
      <c r="T106" t="s">
        <v>169</v>
      </c>
      <c r="U106" t="s">
        <v>137</v>
      </c>
      <c r="V106" t="s">
        <v>328</v>
      </c>
      <c r="X106" t="s">
        <v>65</v>
      </c>
      <c r="AA106" t="s">
        <v>292</v>
      </c>
      <c r="AB106" t="s">
        <v>1</v>
      </c>
      <c r="AC106" t="s">
        <v>138</v>
      </c>
      <c r="AD106" t="s">
        <v>128</v>
      </c>
      <c r="AE106" s="97">
        <f>VLOOKUP(A:A,SUMMERY!AA:AC,2,FALSE)</f>
        <v>46233</v>
      </c>
      <c r="AF106" s="6" t="str">
        <f>VLOOKUP(A:A,SUMMERY!AA:AC,3,FALSE)</f>
        <v>Priority-1</v>
      </c>
    </row>
    <row r="107" spans="1:32" x14ac:dyDescent="0.3">
      <c r="A107" t="s">
        <v>960</v>
      </c>
      <c r="B107" t="s">
        <v>961</v>
      </c>
      <c r="G107" t="s">
        <v>290</v>
      </c>
      <c r="H107" t="s">
        <v>132</v>
      </c>
      <c r="I107" t="s">
        <v>1</v>
      </c>
      <c r="J107" t="s">
        <v>133</v>
      </c>
      <c r="K107" t="s">
        <v>51</v>
      </c>
      <c r="L107" t="s">
        <v>327</v>
      </c>
      <c r="M107" t="s">
        <v>134</v>
      </c>
      <c r="N107" t="s">
        <v>135</v>
      </c>
      <c r="Q107" t="s">
        <v>291</v>
      </c>
      <c r="T107" t="s">
        <v>169</v>
      </c>
      <c r="U107" t="s">
        <v>137</v>
      </c>
      <c r="V107" t="s">
        <v>328</v>
      </c>
      <c r="X107" t="s">
        <v>65</v>
      </c>
      <c r="AA107" t="s">
        <v>292</v>
      </c>
      <c r="AB107" t="s">
        <v>1</v>
      </c>
      <c r="AC107" t="s">
        <v>138</v>
      </c>
      <c r="AD107" t="s">
        <v>128</v>
      </c>
      <c r="AE107" s="97">
        <f>VLOOKUP(A:A,SUMMERY!AA:AC,2,FALSE)</f>
        <v>46233</v>
      </c>
      <c r="AF107" s="6" t="str">
        <f>VLOOKUP(A:A,SUMMERY!AA:AC,3,FALSE)</f>
        <v>Priority-1</v>
      </c>
    </row>
    <row r="108" spans="1:32" x14ac:dyDescent="0.3">
      <c r="A108" t="s">
        <v>962</v>
      </c>
      <c r="B108" t="s">
        <v>963</v>
      </c>
      <c r="G108" t="s">
        <v>290</v>
      </c>
      <c r="H108" t="s">
        <v>132</v>
      </c>
      <c r="I108" t="s">
        <v>1</v>
      </c>
      <c r="J108" t="s">
        <v>133</v>
      </c>
      <c r="K108" t="s">
        <v>51</v>
      </c>
      <c r="L108" t="s">
        <v>327</v>
      </c>
      <c r="M108" t="s">
        <v>134</v>
      </c>
      <c r="N108" t="s">
        <v>135</v>
      </c>
      <c r="Q108" t="s">
        <v>291</v>
      </c>
      <c r="T108" t="s">
        <v>169</v>
      </c>
      <c r="U108" t="s">
        <v>137</v>
      </c>
      <c r="V108" t="s">
        <v>328</v>
      </c>
      <c r="X108" t="s">
        <v>65</v>
      </c>
      <c r="AA108" t="s">
        <v>292</v>
      </c>
      <c r="AB108" t="s">
        <v>1</v>
      </c>
      <c r="AC108" t="s">
        <v>138</v>
      </c>
      <c r="AD108" t="s">
        <v>128</v>
      </c>
      <c r="AE108" s="97">
        <f>VLOOKUP(A:A,SUMMERY!AA:AC,2,FALSE)</f>
        <v>46233</v>
      </c>
      <c r="AF108" s="6" t="str">
        <f>VLOOKUP(A:A,SUMMERY!AA:AC,3,FALSE)</f>
        <v>Priority-1</v>
      </c>
    </row>
    <row r="109" spans="1:32" x14ac:dyDescent="0.3">
      <c r="A109" t="s">
        <v>964</v>
      </c>
      <c r="B109" t="s">
        <v>965</v>
      </c>
      <c r="G109" t="s">
        <v>290</v>
      </c>
      <c r="H109" t="s">
        <v>132</v>
      </c>
      <c r="I109" t="s">
        <v>1</v>
      </c>
      <c r="J109" t="s">
        <v>133</v>
      </c>
      <c r="K109" t="s">
        <v>51</v>
      </c>
      <c r="L109" t="s">
        <v>966</v>
      </c>
      <c r="M109" t="s">
        <v>134</v>
      </c>
      <c r="N109" t="s">
        <v>135</v>
      </c>
      <c r="Q109" t="s">
        <v>291</v>
      </c>
      <c r="T109" t="s">
        <v>169</v>
      </c>
      <c r="U109" t="s">
        <v>137</v>
      </c>
      <c r="V109" t="s">
        <v>328</v>
      </c>
      <c r="X109" t="s">
        <v>65</v>
      </c>
      <c r="AA109" t="s">
        <v>292</v>
      </c>
      <c r="AB109" t="s">
        <v>1</v>
      </c>
      <c r="AC109" t="s">
        <v>138</v>
      </c>
      <c r="AD109" t="s">
        <v>128</v>
      </c>
      <c r="AE109" s="97">
        <f>VLOOKUP(A:A,SUMMERY!AA:AC,2,FALSE)</f>
        <v>46233</v>
      </c>
      <c r="AF109" s="6" t="str">
        <f>VLOOKUP(A:A,SUMMERY!AA:AC,3,FALSE)</f>
        <v>Priority-1</v>
      </c>
    </row>
    <row r="110" spans="1:32" x14ac:dyDescent="0.3">
      <c r="A110" t="s">
        <v>967</v>
      </c>
      <c r="B110" t="s">
        <v>968</v>
      </c>
      <c r="G110" t="s">
        <v>290</v>
      </c>
      <c r="H110" t="s">
        <v>132</v>
      </c>
      <c r="I110" t="s">
        <v>1</v>
      </c>
      <c r="J110" t="s">
        <v>133</v>
      </c>
      <c r="K110" t="s">
        <v>51</v>
      </c>
      <c r="L110" t="s">
        <v>969</v>
      </c>
      <c r="M110" t="s">
        <v>134</v>
      </c>
      <c r="N110" t="s">
        <v>135</v>
      </c>
      <c r="Q110" t="s">
        <v>291</v>
      </c>
      <c r="T110" t="s">
        <v>169</v>
      </c>
      <c r="U110" t="s">
        <v>137</v>
      </c>
      <c r="V110" t="s">
        <v>328</v>
      </c>
      <c r="X110" t="s">
        <v>65</v>
      </c>
      <c r="AA110" t="s">
        <v>292</v>
      </c>
      <c r="AB110" t="s">
        <v>1</v>
      </c>
      <c r="AC110" t="s">
        <v>138</v>
      </c>
      <c r="AD110" t="s">
        <v>128</v>
      </c>
      <c r="AE110" s="97">
        <f>VLOOKUP(A:A,SUMMERY!AA:AC,2,FALSE)</f>
        <v>46233</v>
      </c>
      <c r="AF110" s="6" t="str">
        <f>VLOOKUP(A:A,SUMMERY!AA:AC,3,FALSE)</f>
        <v>Priority-1</v>
      </c>
    </row>
    <row r="111" spans="1:32" x14ac:dyDescent="0.3">
      <c r="A111" t="s">
        <v>1040</v>
      </c>
      <c r="B111" t="s">
        <v>1041</v>
      </c>
      <c r="G111" t="s">
        <v>290</v>
      </c>
      <c r="H111" t="s">
        <v>132</v>
      </c>
      <c r="I111" t="s">
        <v>1</v>
      </c>
      <c r="J111" t="s">
        <v>133</v>
      </c>
      <c r="K111" t="s">
        <v>51</v>
      </c>
      <c r="L111" t="s">
        <v>1042</v>
      </c>
      <c r="M111" t="s">
        <v>134</v>
      </c>
      <c r="N111" t="s">
        <v>135</v>
      </c>
      <c r="Q111" t="s">
        <v>291</v>
      </c>
      <c r="T111" t="s">
        <v>169</v>
      </c>
      <c r="U111" t="s">
        <v>137</v>
      </c>
      <c r="V111" t="s">
        <v>352</v>
      </c>
      <c r="X111" t="s">
        <v>56</v>
      </c>
      <c r="AA111" t="s">
        <v>292</v>
      </c>
      <c r="AB111" t="s">
        <v>1</v>
      </c>
      <c r="AC111" t="s">
        <v>138</v>
      </c>
      <c r="AD111" t="s">
        <v>128</v>
      </c>
      <c r="AE111" s="97">
        <f>VLOOKUP(A:A,SUMMERY!AA:AC,2,FALSE)</f>
        <v>46233</v>
      </c>
      <c r="AF111" s="6" t="str">
        <f>VLOOKUP(A:A,SUMMERY!AA:AC,3,FALSE)</f>
        <v>Priority-1</v>
      </c>
    </row>
    <row r="112" spans="1:32" x14ac:dyDescent="0.3">
      <c r="A112" t="s">
        <v>1043</v>
      </c>
      <c r="B112" t="s">
        <v>1044</v>
      </c>
      <c r="G112" t="s">
        <v>290</v>
      </c>
      <c r="H112" t="s">
        <v>132</v>
      </c>
      <c r="I112" t="s">
        <v>1</v>
      </c>
      <c r="J112" t="s">
        <v>133</v>
      </c>
      <c r="K112" t="s">
        <v>51</v>
      </c>
      <c r="L112" t="s">
        <v>1045</v>
      </c>
      <c r="M112" t="s">
        <v>134</v>
      </c>
      <c r="N112" t="s">
        <v>135</v>
      </c>
      <c r="Q112" t="s">
        <v>291</v>
      </c>
      <c r="T112" t="s">
        <v>169</v>
      </c>
      <c r="U112" t="s">
        <v>137</v>
      </c>
      <c r="V112" t="s">
        <v>352</v>
      </c>
      <c r="X112" t="s">
        <v>56</v>
      </c>
      <c r="AA112" t="s">
        <v>292</v>
      </c>
      <c r="AB112" t="s">
        <v>1</v>
      </c>
      <c r="AC112" t="s">
        <v>138</v>
      </c>
      <c r="AD112" t="s">
        <v>128</v>
      </c>
      <c r="AE112" s="97">
        <f>VLOOKUP(A:A,SUMMERY!AA:AC,2,FALSE)</f>
        <v>46233</v>
      </c>
      <c r="AF112" s="6" t="str">
        <f>VLOOKUP(A:A,SUMMERY!AA:AC,3,FALSE)</f>
        <v>Priority-1</v>
      </c>
    </row>
    <row r="113" spans="1:32" x14ac:dyDescent="0.3">
      <c r="A113" t="s">
        <v>1046</v>
      </c>
      <c r="B113" t="s">
        <v>1047</v>
      </c>
      <c r="G113" t="s">
        <v>290</v>
      </c>
      <c r="H113" t="s">
        <v>132</v>
      </c>
      <c r="I113" t="s">
        <v>1</v>
      </c>
      <c r="J113" t="s">
        <v>133</v>
      </c>
      <c r="K113" t="s">
        <v>51</v>
      </c>
      <c r="L113" t="s">
        <v>351</v>
      </c>
      <c r="M113" t="s">
        <v>134</v>
      </c>
      <c r="N113" t="s">
        <v>135</v>
      </c>
      <c r="Q113" t="s">
        <v>291</v>
      </c>
      <c r="T113" t="s">
        <v>169</v>
      </c>
      <c r="U113" t="s">
        <v>137</v>
      </c>
      <c r="V113" t="s">
        <v>352</v>
      </c>
      <c r="X113" t="s">
        <v>56</v>
      </c>
      <c r="AA113" t="s">
        <v>292</v>
      </c>
      <c r="AB113" t="s">
        <v>1</v>
      </c>
      <c r="AC113" t="s">
        <v>138</v>
      </c>
      <c r="AD113" t="s">
        <v>128</v>
      </c>
      <c r="AE113" s="97">
        <f>VLOOKUP(A:A,SUMMERY!AA:AC,2,FALSE)</f>
        <v>46233</v>
      </c>
      <c r="AF113" s="6" t="str">
        <f>VLOOKUP(A:A,SUMMERY!AA:AC,3,FALSE)</f>
        <v>Priority-1</v>
      </c>
    </row>
    <row r="114" spans="1:32" x14ac:dyDescent="0.3">
      <c r="A114" t="s">
        <v>1048</v>
      </c>
      <c r="B114" t="s">
        <v>1049</v>
      </c>
      <c r="G114" t="s">
        <v>290</v>
      </c>
      <c r="H114" t="s">
        <v>132</v>
      </c>
      <c r="I114" t="s">
        <v>1</v>
      </c>
      <c r="J114" t="s">
        <v>133</v>
      </c>
      <c r="K114" t="s">
        <v>51</v>
      </c>
      <c r="L114" t="s">
        <v>351</v>
      </c>
      <c r="M114" t="s">
        <v>134</v>
      </c>
      <c r="N114" t="s">
        <v>135</v>
      </c>
      <c r="Q114" t="s">
        <v>291</v>
      </c>
      <c r="T114" t="s">
        <v>169</v>
      </c>
      <c r="U114" t="s">
        <v>137</v>
      </c>
      <c r="V114" t="s">
        <v>352</v>
      </c>
      <c r="X114" t="s">
        <v>56</v>
      </c>
      <c r="AA114" t="s">
        <v>292</v>
      </c>
      <c r="AB114" t="s">
        <v>1</v>
      </c>
      <c r="AC114" t="s">
        <v>138</v>
      </c>
      <c r="AD114" t="s">
        <v>128</v>
      </c>
      <c r="AE114" s="97">
        <f>VLOOKUP(A:A,SUMMERY!AA:AC,2,FALSE)</f>
        <v>46233</v>
      </c>
      <c r="AF114" s="6" t="str">
        <f>VLOOKUP(A:A,SUMMERY!AA:AC,3,FALSE)</f>
        <v>Priority-1</v>
      </c>
    </row>
    <row r="115" spans="1:32" x14ac:dyDescent="0.3">
      <c r="A115" t="s">
        <v>1050</v>
      </c>
      <c r="B115" t="s">
        <v>1051</v>
      </c>
      <c r="G115" t="s">
        <v>290</v>
      </c>
      <c r="H115" t="s">
        <v>132</v>
      </c>
      <c r="I115" t="s">
        <v>1</v>
      </c>
      <c r="J115" t="s">
        <v>133</v>
      </c>
      <c r="K115" t="s">
        <v>51</v>
      </c>
      <c r="L115" t="s">
        <v>351</v>
      </c>
      <c r="M115" t="s">
        <v>134</v>
      </c>
      <c r="N115" t="s">
        <v>135</v>
      </c>
      <c r="Q115" t="s">
        <v>291</v>
      </c>
      <c r="T115" t="s">
        <v>169</v>
      </c>
      <c r="U115" t="s">
        <v>137</v>
      </c>
      <c r="V115" t="s">
        <v>352</v>
      </c>
      <c r="X115" t="s">
        <v>56</v>
      </c>
      <c r="AA115" t="s">
        <v>292</v>
      </c>
      <c r="AB115" t="s">
        <v>1</v>
      </c>
      <c r="AC115" t="s">
        <v>138</v>
      </c>
      <c r="AD115" t="s">
        <v>128</v>
      </c>
      <c r="AE115" s="97">
        <f>VLOOKUP(A:A,SUMMERY!AA:AC,2,FALSE)</f>
        <v>46233</v>
      </c>
      <c r="AF115" s="6" t="str">
        <f>VLOOKUP(A:A,SUMMERY!AA:AC,3,FALSE)</f>
        <v>Priority-1</v>
      </c>
    </row>
    <row r="116" spans="1:32" x14ac:dyDescent="0.3">
      <c r="A116" t="s">
        <v>1052</v>
      </c>
      <c r="B116" t="s">
        <v>1053</v>
      </c>
      <c r="G116" t="s">
        <v>290</v>
      </c>
      <c r="H116" t="s">
        <v>132</v>
      </c>
      <c r="I116" t="s">
        <v>1</v>
      </c>
      <c r="J116" t="s">
        <v>133</v>
      </c>
      <c r="K116" t="s">
        <v>51</v>
      </c>
      <c r="L116" t="s">
        <v>351</v>
      </c>
      <c r="M116" t="s">
        <v>134</v>
      </c>
      <c r="N116" t="s">
        <v>135</v>
      </c>
      <c r="Q116" t="s">
        <v>291</v>
      </c>
      <c r="T116" t="s">
        <v>169</v>
      </c>
      <c r="U116" t="s">
        <v>137</v>
      </c>
      <c r="V116" t="s">
        <v>352</v>
      </c>
      <c r="X116" t="s">
        <v>56</v>
      </c>
      <c r="AA116" t="s">
        <v>292</v>
      </c>
      <c r="AB116" t="s">
        <v>1</v>
      </c>
      <c r="AC116" t="s">
        <v>138</v>
      </c>
      <c r="AD116" t="s">
        <v>128</v>
      </c>
      <c r="AE116" s="97">
        <f>VLOOKUP(A:A,SUMMERY!AA:AC,2,FALSE)</f>
        <v>46233</v>
      </c>
      <c r="AF116" s="6" t="str">
        <f>VLOOKUP(A:A,SUMMERY!AA:AC,3,FALSE)</f>
        <v>Priority-1</v>
      </c>
    </row>
    <row r="117" spans="1:32" x14ac:dyDescent="0.3">
      <c r="A117" t="s">
        <v>1054</v>
      </c>
      <c r="B117" t="s">
        <v>1055</v>
      </c>
      <c r="G117" t="s">
        <v>290</v>
      </c>
      <c r="H117" t="s">
        <v>132</v>
      </c>
      <c r="I117" t="s">
        <v>1</v>
      </c>
      <c r="J117" t="s">
        <v>133</v>
      </c>
      <c r="K117" t="s">
        <v>51</v>
      </c>
      <c r="L117" t="s">
        <v>351</v>
      </c>
      <c r="M117" t="s">
        <v>134</v>
      </c>
      <c r="N117" t="s">
        <v>135</v>
      </c>
      <c r="Q117" t="s">
        <v>291</v>
      </c>
      <c r="T117" t="s">
        <v>169</v>
      </c>
      <c r="U117" t="s">
        <v>137</v>
      </c>
      <c r="V117" t="s">
        <v>352</v>
      </c>
      <c r="X117" t="s">
        <v>56</v>
      </c>
      <c r="AA117" t="s">
        <v>292</v>
      </c>
      <c r="AB117" t="s">
        <v>1</v>
      </c>
      <c r="AC117" t="s">
        <v>138</v>
      </c>
      <c r="AD117" t="s">
        <v>128</v>
      </c>
      <c r="AE117" s="97">
        <f>VLOOKUP(A:A,SUMMERY!AA:AC,2,FALSE)</f>
        <v>46233</v>
      </c>
      <c r="AF117" s="6" t="str">
        <f>VLOOKUP(A:A,SUMMERY!AA:AC,3,FALSE)</f>
        <v>Priority-1</v>
      </c>
    </row>
    <row r="118" spans="1:32" x14ac:dyDescent="0.3">
      <c r="A118" t="s">
        <v>1056</v>
      </c>
      <c r="B118" t="s">
        <v>1057</v>
      </c>
      <c r="G118" t="s">
        <v>290</v>
      </c>
      <c r="H118" t="s">
        <v>132</v>
      </c>
      <c r="I118" t="s">
        <v>1</v>
      </c>
      <c r="J118" t="s">
        <v>133</v>
      </c>
      <c r="K118" t="s">
        <v>51</v>
      </c>
      <c r="L118" t="s">
        <v>351</v>
      </c>
      <c r="M118" t="s">
        <v>134</v>
      </c>
      <c r="N118" t="s">
        <v>135</v>
      </c>
      <c r="Q118" t="s">
        <v>291</v>
      </c>
      <c r="T118" t="s">
        <v>169</v>
      </c>
      <c r="U118" t="s">
        <v>137</v>
      </c>
      <c r="V118" t="s">
        <v>352</v>
      </c>
      <c r="X118" t="s">
        <v>56</v>
      </c>
      <c r="AA118" t="s">
        <v>292</v>
      </c>
      <c r="AB118" t="s">
        <v>1</v>
      </c>
      <c r="AC118" t="s">
        <v>138</v>
      </c>
      <c r="AD118" t="s">
        <v>128</v>
      </c>
      <c r="AE118" s="97">
        <f>VLOOKUP(A:A,SUMMERY!AA:AC,2,FALSE)</f>
        <v>46233</v>
      </c>
      <c r="AF118" s="6" t="str">
        <f>VLOOKUP(A:A,SUMMERY!AA:AC,3,FALSE)</f>
        <v>Priority-1</v>
      </c>
    </row>
    <row r="119" spans="1:32" x14ac:dyDescent="0.3">
      <c r="A119" t="s">
        <v>1058</v>
      </c>
      <c r="B119" t="s">
        <v>1059</v>
      </c>
      <c r="G119" t="s">
        <v>290</v>
      </c>
      <c r="H119" t="s">
        <v>132</v>
      </c>
      <c r="I119" t="s">
        <v>1</v>
      </c>
      <c r="J119" t="s">
        <v>133</v>
      </c>
      <c r="K119" t="s">
        <v>51</v>
      </c>
      <c r="L119" t="s">
        <v>351</v>
      </c>
      <c r="M119" t="s">
        <v>134</v>
      </c>
      <c r="N119" t="s">
        <v>135</v>
      </c>
      <c r="Q119" t="s">
        <v>291</v>
      </c>
      <c r="T119" t="s">
        <v>169</v>
      </c>
      <c r="U119" t="s">
        <v>137</v>
      </c>
      <c r="V119" t="s">
        <v>352</v>
      </c>
      <c r="X119" t="s">
        <v>56</v>
      </c>
      <c r="AA119" t="s">
        <v>292</v>
      </c>
      <c r="AB119" t="s">
        <v>1</v>
      </c>
      <c r="AC119" t="s">
        <v>138</v>
      </c>
      <c r="AD119" t="s">
        <v>128</v>
      </c>
      <c r="AE119" s="97">
        <f>VLOOKUP(A:A,SUMMERY!AA:AC,2,FALSE)</f>
        <v>46233</v>
      </c>
      <c r="AF119" s="6" t="str">
        <f>VLOOKUP(A:A,SUMMERY!AA:AC,3,FALSE)</f>
        <v>Priority-1</v>
      </c>
    </row>
    <row r="120" spans="1:32" x14ac:dyDescent="0.3">
      <c r="A120" t="s">
        <v>1060</v>
      </c>
      <c r="B120" t="s">
        <v>1061</v>
      </c>
      <c r="G120" t="s">
        <v>290</v>
      </c>
      <c r="H120" t="s">
        <v>132</v>
      </c>
      <c r="I120" t="s">
        <v>1</v>
      </c>
      <c r="J120" t="s">
        <v>133</v>
      </c>
      <c r="K120" t="s">
        <v>51</v>
      </c>
      <c r="L120" t="s">
        <v>351</v>
      </c>
      <c r="M120" t="s">
        <v>134</v>
      </c>
      <c r="N120" t="s">
        <v>135</v>
      </c>
      <c r="Q120" t="s">
        <v>291</v>
      </c>
      <c r="T120" t="s">
        <v>169</v>
      </c>
      <c r="U120" t="s">
        <v>137</v>
      </c>
      <c r="V120" t="s">
        <v>352</v>
      </c>
      <c r="X120" t="s">
        <v>56</v>
      </c>
      <c r="AA120" t="s">
        <v>292</v>
      </c>
      <c r="AB120" t="s">
        <v>1</v>
      </c>
      <c r="AC120" t="s">
        <v>138</v>
      </c>
      <c r="AD120" t="s">
        <v>128</v>
      </c>
      <c r="AE120" s="97">
        <f>VLOOKUP(A:A,SUMMERY!AA:AC,2,FALSE)</f>
        <v>46233</v>
      </c>
      <c r="AF120" s="6" t="str">
        <f>VLOOKUP(A:A,SUMMERY!AA:AC,3,FALSE)</f>
        <v>Priority-1</v>
      </c>
    </row>
    <row r="121" spans="1:32" x14ac:dyDescent="0.3">
      <c r="A121" t="s">
        <v>1062</v>
      </c>
      <c r="B121" t="s">
        <v>1063</v>
      </c>
      <c r="G121" t="s">
        <v>290</v>
      </c>
      <c r="H121" t="s">
        <v>132</v>
      </c>
      <c r="I121" t="s">
        <v>1</v>
      </c>
      <c r="J121" t="s">
        <v>133</v>
      </c>
      <c r="K121" t="s">
        <v>51</v>
      </c>
      <c r="L121" t="s">
        <v>1064</v>
      </c>
      <c r="M121" t="s">
        <v>134</v>
      </c>
      <c r="N121" t="s">
        <v>135</v>
      </c>
      <c r="Q121" t="s">
        <v>291</v>
      </c>
      <c r="T121" t="s">
        <v>169</v>
      </c>
      <c r="U121" t="s">
        <v>137</v>
      </c>
      <c r="V121" t="s">
        <v>403</v>
      </c>
      <c r="X121" t="s">
        <v>68</v>
      </c>
      <c r="AA121" t="s">
        <v>292</v>
      </c>
      <c r="AB121" t="s">
        <v>1</v>
      </c>
      <c r="AC121" t="s">
        <v>138</v>
      </c>
      <c r="AD121" t="s">
        <v>128</v>
      </c>
      <c r="AE121" s="97">
        <f>VLOOKUP(A:A,SUMMERY!AA:AC,2,FALSE)</f>
        <v>46233</v>
      </c>
      <c r="AF121" s="6" t="str">
        <f>VLOOKUP(A:A,SUMMERY!AA:AC,3,FALSE)</f>
        <v>Priority-1</v>
      </c>
    </row>
    <row r="122" spans="1:32" x14ac:dyDescent="0.3">
      <c r="A122" t="s">
        <v>1065</v>
      </c>
      <c r="B122" t="s">
        <v>1066</v>
      </c>
      <c r="G122" t="s">
        <v>290</v>
      </c>
      <c r="H122" t="s">
        <v>132</v>
      </c>
      <c r="I122" t="s">
        <v>1</v>
      </c>
      <c r="J122" t="s">
        <v>133</v>
      </c>
      <c r="K122" t="s">
        <v>51</v>
      </c>
      <c r="L122" t="s">
        <v>1067</v>
      </c>
      <c r="M122" t="s">
        <v>134</v>
      </c>
      <c r="N122" t="s">
        <v>135</v>
      </c>
      <c r="Q122" t="s">
        <v>291</v>
      </c>
      <c r="T122" t="s">
        <v>169</v>
      </c>
      <c r="U122" t="s">
        <v>137</v>
      </c>
      <c r="V122" t="s">
        <v>407</v>
      </c>
      <c r="X122" t="s">
        <v>77</v>
      </c>
      <c r="AA122" t="s">
        <v>292</v>
      </c>
      <c r="AB122" t="s">
        <v>1</v>
      </c>
      <c r="AC122" t="s">
        <v>138</v>
      </c>
      <c r="AD122" t="s">
        <v>128</v>
      </c>
      <c r="AE122" s="97">
        <f>VLOOKUP(A:A,SUMMERY!AA:AC,2,FALSE)</f>
        <v>46233</v>
      </c>
      <c r="AF122" s="6" t="str">
        <f>VLOOKUP(A:A,SUMMERY!AA:AC,3,FALSE)</f>
        <v>Priority-1</v>
      </c>
    </row>
    <row r="123" spans="1:32" x14ac:dyDescent="0.3">
      <c r="A123" t="s">
        <v>1083</v>
      </c>
      <c r="B123" t="s">
        <v>1084</v>
      </c>
      <c r="G123" t="s">
        <v>290</v>
      </c>
      <c r="H123" t="s">
        <v>132</v>
      </c>
      <c r="I123" t="s">
        <v>1</v>
      </c>
      <c r="J123" t="s">
        <v>133</v>
      </c>
      <c r="K123" t="s">
        <v>51</v>
      </c>
      <c r="L123" t="s">
        <v>295</v>
      </c>
      <c r="M123" t="s">
        <v>134</v>
      </c>
      <c r="N123" t="s">
        <v>135</v>
      </c>
      <c r="Q123" t="s">
        <v>291</v>
      </c>
      <c r="T123" t="s">
        <v>169</v>
      </c>
      <c r="U123" t="s">
        <v>137</v>
      </c>
      <c r="V123" t="s">
        <v>296</v>
      </c>
      <c r="X123" t="s">
        <v>63</v>
      </c>
      <c r="AA123" t="s">
        <v>292</v>
      </c>
      <c r="AB123" t="s">
        <v>1</v>
      </c>
      <c r="AC123" t="s">
        <v>138</v>
      </c>
      <c r="AD123" t="s">
        <v>128</v>
      </c>
      <c r="AE123" s="97">
        <f>VLOOKUP(A:A,SUMMERY!AA:AC,2,FALSE)</f>
        <v>46220</v>
      </c>
      <c r="AF123" s="6" t="str">
        <f>VLOOKUP(A:A,SUMMERY!AA:AC,3,FALSE)</f>
        <v>Priority-1</v>
      </c>
    </row>
    <row r="124" spans="1:32" x14ac:dyDescent="0.3">
      <c r="A124" t="s">
        <v>1085</v>
      </c>
      <c r="B124" t="s">
        <v>1086</v>
      </c>
      <c r="G124" t="s">
        <v>290</v>
      </c>
      <c r="H124" t="s">
        <v>132</v>
      </c>
      <c r="I124" t="s">
        <v>1</v>
      </c>
      <c r="J124" t="s">
        <v>133</v>
      </c>
      <c r="K124" t="s">
        <v>51</v>
      </c>
      <c r="L124" t="s">
        <v>1087</v>
      </c>
      <c r="M124" t="s">
        <v>134</v>
      </c>
      <c r="N124" t="s">
        <v>135</v>
      </c>
      <c r="Q124" t="s">
        <v>291</v>
      </c>
      <c r="T124" t="s">
        <v>169</v>
      </c>
      <c r="U124" t="s">
        <v>137</v>
      </c>
      <c r="V124" t="s">
        <v>296</v>
      </c>
      <c r="X124" t="s">
        <v>63</v>
      </c>
      <c r="AA124" t="s">
        <v>292</v>
      </c>
      <c r="AB124" t="s">
        <v>1</v>
      </c>
      <c r="AC124" t="s">
        <v>138</v>
      </c>
      <c r="AD124" t="s">
        <v>128</v>
      </c>
      <c r="AE124" s="97">
        <f>VLOOKUP(A:A,SUMMERY!AA:AC,2,FALSE)</f>
        <v>46220</v>
      </c>
      <c r="AF124" s="6" t="str">
        <f>VLOOKUP(A:A,SUMMERY!AA:AC,3,FALSE)</f>
        <v>Priority-1</v>
      </c>
    </row>
    <row r="125" spans="1:32" x14ac:dyDescent="0.3">
      <c r="A125" t="s">
        <v>1088</v>
      </c>
      <c r="B125" t="s">
        <v>1089</v>
      </c>
      <c r="G125" t="s">
        <v>290</v>
      </c>
      <c r="H125" t="s">
        <v>132</v>
      </c>
      <c r="I125" t="s">
        <v>1</v>
      </c>
      <c r="J125" t="s">
        <v>133</v>
      </c>
      <c r="K125" t="s">
        <v>51</v>
      </c>
      <c r="L125" t="s">
        <v>1090</v>
      </c>
      <c r="M125" t="s">
        <v>134</v>
      </c>
      <c r="N125" t="s">
        <v>135</v>
      </c>
      <c r="Q125" t="s">
        <v>291</v>
      </c>
      <c r="T125" t="s">
        <v>169</v>
      </c>
      <c r="U125" t="s">
        <v>137</v>
      </c>
      <c r="V125" t="s">
        <v>296</v>
      </c>
      <c r="X125" t="s">
        <v>63</v>
      </c>
      <c r="AA125" t="s">
        <v>292</v>
      </c>
      <c r="AB125" t="s">
        <v>1</v>
      </c>
      <c r="AC125" t="s">
        <v>138</v>
      </c>
      <c r="AD125" t="s">
        <v>128</v>
      </c>
      <c r="AE125" s="97">
        <f>VLOOKUP(A:A,SUMMERY!AA:AC,2,FALSE)</f>
        <v>46220</v>
      </c>
      <c r="AF125" s="6" t="str">
        <f>VLOOKUP(A:A,SUMMERY!AA:AC,3,FALSE)</f>
        <v>Priority-1</v>
      </c>
    </row>
    <row r="126" spans="1:32" x14ac:dyDescent="0.3">
      <c r="A126" t="s">
        <v>1091</v>
      </c>
      <c r="B126" t="s">
        <v>1092</v>
      </c>
      <c r="G126" t="s">
        <v>290</v>
      </c>
      <c r="H126" t="s">
        <v>132</v>
      </c>
      <c r="I126" t="s">
        <v>1</v>
      </c>
      <c r="J126" t="s">
        <v>133</v>
      </c>
      <c r="K126" t="s">
        <v>51</v>
      </c>
      <c r="L126" t="s">
        <v>299</v>
      </c>
      <c r="M126" t="s">
        <v>134</v>
      </c>
      <c r="N126" t="s">
        <v>135</v>
      </c>
      <c r="Q126" t="s">
        <v>291</v>
      </c>
      <c r="T126" t="s">
        <v>169</v>
      </c>
      <c r="U126" t="s">
        <v>137</v>
      </c>
      <c r="V126" t="s">
        <v>300</v>
      </c>
      <c r="X126" t="s">
        <v>72</v>
      </c>
      <c r="AA126" t="s">
        <v>292</v>
      </c>
      <c r="AB126" t="s">
        <v>1</v>
      </c>
      <c r="AC126" t="s">
        <v>138</v>
      </c>
      <c r="AD126" t="s">
        <v>128</v>
      </c>
      <c r="AE126" s="97">
        <f>VLOOKUP(A:A,SUMMERY!AA:AC,2,FALSE)</f>
        <v>46234</v>
      </c>
      <c r="AF126" s="6" t="str">
        <f>VLOOKUP(A:A,SUMMERY!AA:AC,3,FALSE)</f>
        <v>Priority-1</v>
      </c>
    </row>
    <row r="127" spans="1:32" x14ac:dyDescent="0.3">
      <c r="A127" t="s">
        <v>1093</v>
      </c>
      <c r="B127" t="s">
        <v>1094</v>
      </c>
      <c r="G127" t="s">
        <v>290</v>
      </c>
      <c r="H127" t="s">
        <v>132</v>
      </c>
      <c r="I127" t="s">
        <v>1</v>
      </c>
      <c r="J127" t="s">
        <v>133</v>
      </c>
      <c r="K127" t="s">
        <v>51</v>
      </c>
      <c r="L127" t="s">
        <v>1095</v>
      </c>
      <c r="M127" t="s">
        <v>134</v>
      </c>
      <c r="N127" t="s">
        <v>135</v>
      </c>
      <c r="Q127" t="s">
        <v>291</v>
      </c>
      <c r="T127" t="s">
        <v>169</v>
      </c>
      <c r="U127" t="s">
        <v>137</v>
      </c>
      <c r="V127" t="s">
        <v>300</v>
      </c>
      <c r="X127" t="s">
        <v>72</v>
      </c>
      <c r="AA127" t="s">
        <v>292</v>
      </c>
      <c r="AB127" t="s">
        <v>1</v>
      </c>
      <c r="AC127" t="s">
        <v>138</v>
      </c>
      <c r="AD127" t="s">
        <v>128</v>
      </c>
      <c r="AE127" s="97">
        <f>VLOOKUP(A:A,SUMMERY!AA:AC,2,FALSE)</f>
        <v>46234</v>
      </c>
      <c r="AF127" s="6" t="str">
        <f>VLOOKUP(A:A,SUMMERY!AA:AC,3,FALSE)</f>
        <v>Priority-1</v>
      </c>
    </row>
    <row r="128" spans="1:32" x14ac:dyDescent="0.3">
      <c r="A128" t="s">
        <v>1096</v>
      </c>
      <c r="B128" t="s">
        <v>1097</v>
      </c>
      <c r="G128" t="s">
        <v>290</v>
      </c>
      <c r="H128" t="s">
        <v>132</v>
      </c>
      <c r="I128" t="s">
        <v>1</v>
      </c>
      <c r="J128" t="s">
        <v>133</v>
      </c>
      <c r="K128" t="s">
        <v>51</v>
      </c>
      <c r="L128" t="s">
        <v>1098</v>
      </c>
      <c r="M128" t="s">
        <v>134</v>
      </c>
      <c r="N128" t="s">
        <v>135</v>
      </c>
      <c r="Q128" t="s">
        <v>291</v>
      </c>
      <c r="T128" t="s">
        <v>169</v>
      </c>
      <c r="U128" t="s">
        <v>137</v>
      </c>
      <c r="V128" t="s">
        <v>300</v>
      </c>
      <c r="X128" t="s">
        <v>72</v>
      </c>
      <c r="AA128" t="s">
        <v>292</v>
      </c>
      <c r="AB128" t="s">
        <v>1</v>
      </c>
      <c r="AC128" t="s">
        <v>138</v>
      </c>
      <c r="AD128" t="s">
        <v>128</v>
      </c>
      <c r="AE128" s="97">
        <f>VLOOKUP(A:A,SUMMERY!AA:AC,2,FALSE)</f>
        <v>46234</v>
      </c>
      <c r="AF128" s="6" t="str">
        <f>VLOOKUP(A:A,SUMMERY!AA:AC,3,FALSE)</f>
        <v>Priority-1</v>
      </c>
    </row>
    <row r="129" spans="1:32" x14ac:dyDescent="0.3">
      <c r="A129" t="s">
        <v>1139</v>
      </c>
      <c r="B129" t="s">
        <v>1140</v>
      </c>
      <c r="G129" t="s">
        <v>290</v>
      </c>
      <c r="H129" t="s">
        <v>132</v>
      </c>
      <c r="I129" t="s">
        <v>1</v>
      </c>
      <c r="J129" t="s">
        <v>133</v>
      </c>
      <c r="K129" t="s">
        <v>51</v>
      </c>
      <c r="L129" t="s">
        <v>1141</v>
      </c>
      <c r="M129" t="s">
        <v>134</v>
      </c>
      <c r="N129" t="s">
        <v>135</v>
      </c>
      <c r="Q129" t="s">
        <v>291</v>
      </c>
      <c r="T129" t="s">
        <v>169</v>
      </c>
      <c r="U129" t="s">
        <v>137</v>
      </c>
      <c r="V129" t="s">
        <v>352</v>
      </c>
      <c r="X129" t="s">
        <v>56</v>
      </c>
      <c r="AA129" t="s">
        <v>292</v>
      </c>
      <c r="AB129" t="s">
        <v>1</v>
      </c>
      <c r="AC129" t="s">
        <v>138</v>
      </c>
      <c r="AD129" t="s">
        <v>128</v>
      </c>
      <c r="AE129" s="97">
        <f>VLOOKUP(A:A,SUMMERY!AA:AC,2,FALSE)</f>
        <v>46233</v>
      </c>
      <c r="AF129" s="6" t="str">
        <f>VLOOKUP(A:A,SUMMERY!AA:AC,3,FALSE)</f>
        <v>Priority-1</v>
      </c>
    </row>
    <row r="130" spans="1:32" x14ac:dyDescent="0.3">
      <c r="A130" t="s">
        <v>1142</v>
      </c>
      <c r="B130" t="s">
        <v>1143</v>
      </c>
      <c r="G130" t="s">
        <v>290</v>
      </c>
      <c r="H130" t="s">
        <v>132</v>
      </c>
      <c r="I130" t="s">
        <v>1</v>
      </c>
      <c r="J130" t="s">
        <v>133</v>
      </c>
      <c r="K130" t="s">
        <v>51</v>
      </c>
      <c r="L130" t="s">
        <v>1144</v>
      </c>
      <c r="M130" t="s">
        <v>134</v>
      </c>
      <c r="N130" t="s">
        <v>135</v>
      </c>
      <c r="Q130" t="s">
        <v>291</v>
      </c>
      <c r="T130" t="s">
        <v>169</v>
      </c>
      <c r="U130" t="s">
        <v>137</v>
      </c>
      <c r="V130" t="s">
        <v>352</v>
      </c>
      <c r="X130" t="s">
        <v>56</v>
      </c>
      <c r="AA130" t="s">
        <v>292</v>
      </c>
      <c r="AB130" t="s">
        <v>1</v>
      </c>
      <c r="AC130" t="s">
        <v>138</v>
      </c>
      <c r="AD130" t="s">
        <v>128</v>
      </c>
      <c r="AE130" s="97">
        <f>VLOOKUP(A:A,SUMMERY!AA:AC,2,FALSE)</f>
        <v>46233</v>
      </c>
      <c r="AF130" s="6" t="str">
        <f>VLOOKUP(A:A,SUMMERY!AA:AC,3,FALSE)</f>
        <v>Priority-1</v>
      </c>
    </row>
    <row r="131" spans="1:32" x14ac:dyDescent="0.3">
      <c r="A131" t="s">
        <v>1145</v>
      </c>
      <c r="B131" t="s">
        <v>1146</v>
      </c>
      <c r="G131" t="s">
        <v>290</v>
      </c>
      <c r="H131" t="s">
        <v>132</v>
      </c>
      <c r="I131" t="s">
        <v>1</v>
      </c>
      <c r="J131" t="s">
        <v>133</v>
      </c>
      <c r="K131" t="s">
        <v>51</v>
      </c>
      <c r="L131" t="s">
        <v>1147</v>
      </c>
      <c r="M131" t="s">
        <v>134</v>
      </c>
      <c r="N131" t="s">
        <v>135</v>
      </c>
      <c r="Q131" t="s">
        <v>291</v>
      </c>
      <c r="T131" t="s">
        <v>169</v>
      </c>
      <c r="U131" t="s">
        <v>137</v>
      </c>
      <c r="V131" t="s">
        <v>352</v>
      </c>
      <c r="X131" t="s">
        <v>56</v>
      </c>
      <c r="AA131" t="s">
        <v>292</v>
      </c>
      <c r="AB131" t="s">
        <v>1</v>
      </c>
      <c r="AC131" t="s">
        <v>138</v>
      </c>
      <c r="AD131" t="s">
        <v>128</v>
      </c>
      <c r="AE131" s="97">
        <f>VLOOKUP(A:A,SUMMERY!AA:AC,2,FALSE)</f>
        <v>46233</v>
      </c>
      <c r="AF131" s="6" t="str">
        <f>VLOOKUP(A:A,SUMMERY!AA:AC,3,FALSE)</f>
        <v>Priority-1</v>
      </c>
    </row>
    <row r="132" spans="1:32" x14ac:dyDescent="0.3">
      <c r="A132" t="s">
        <v>1148</v>
      </c>
      <c r="B132" t="s">
        <v>1149</v>
      </c>
      <c r="G132" t="s">
        <v>290</v>
      </c>
      <c r="H132" t="s">
        <v>132</v>
      </c>
      <c r="I132" t="s">
        <v>1</v>
      </c>
      <c r="J132" t="s">
        <v>133</v>
      </c>
      <c r="K132" t="s">
        <v>51</v>
      </c>
      <c r="L132" t="s">
        <v>1150</v>
      </c>
      <c r="M132" t="s">
        <v>134</v>
      </c>
      <c r="N132" t="s">
        <v>135</v>
      </c>
      <c r="Q132" t="s">
        <v>291</v>
      </c>
      <c r="T132" t="s">
        <v>169</v>
      </c>
      <c r="U132" t="s">
        <v>137</v>
      </c>
      <c r="V132" t="s">
        <v>352</v>
      </c>
      <c r="X132" t="s">
        <v>56</v>
      </c>
      <c r="AA132" t="s">
        <v>292</v>
      </c>
      <c r="AB132" t="s">
        <v>1</v>
      </c>
      <c r="AC132" t="s">
        <v>138</v>
      </c>
      <c r="AD132" t="s">
        <v>128</v>
      </c>
      <c r="AE132" s="97">
        <f>VLOOKUP(A:A,SUMMERY!AA:AC,2,FALSE)</f>
        <v>46233</v>
      </c>
      <c r="AF132" s="6" t="str">
        <f>VLOOKUP(A:A,SUMMERY!AA:AC,3,FALSE)</f>
        <v>Priority-1</v>
      </c>
    </row>
    <row r="133" spans="1:32" x14ac:dyDescent="0.3">
      <c r="A133" t="s">
        <v>1151</v>
      </c>
      <c r="B133" t="s">
        <v>1152</v>
      </c>
      <c r="G133" t="s">
        <v>290</v>
      </c>
      <c r="H133" t="s">
        <v>132</v>
      </c>
      <c r="I133" t="s">
        <v>1</v>
      </c>
      <c r="J133" t="s">
        <v>133</v>
      </c>
      <c r="K133" t="s">
        <v>51</v>
      </c>
      <c r="L133" t="s">
        <v>1153</v>
      </c>
      <c r="M133" t="s">
        <v>134</v>
      </c>
      <c r="N133" t="s">
        <v>135</v>
      </c>
      <c r="Q133" t="s">
        <v>291</v>
      </c>
      <c r="T133" t="s">
        <v>169</v>
      </c>
      <c r="U133" t="s">
        <v>137</v>
      </c>
      <c r="V133" t="s">
        <v>352</v>
      </c>
      <c r="X133" t="s">
        <v>56</v>
      </c>
      <c r="AA133" t="s">
        <v>292</v>
      </c>
      <c r="AB133" t="s">
        <v>1</v>
      </c>
      <c r="AC133" t="s">
        <v>138</v>
      </c>
      <c r="AD133" t="s">
        <v>128</v>
      </c>
      <c r="AE133" s="97">
        <f>VLOOKUP(A:A,SUMMERY!AA:AC,2,FALSE)</f>
        <v>46233</v>
      </c>
      <c r="AF133" s="6" t="str">
        <f>VLOOKUP(A:A,SUMMERY!AA:AC,3,FALSE)</f>
        <v>Priority-1</v>
      </c>
    </row>
    <row r="134" spans="1:32" x14ac:dyDescent="0.3">
      <c r="A134" t="s">
        <v>1154</v>
      </c>
      <c r="B134" t="s">
        <v>1155</v>
      </c>
      <c r="G134" t="s">
        <v>290</v>
      </c>
      <c r="H134" t="s">
        <v>132</v>
      </c>
      <c r="I134" t="s">
        <v>1</v>
      </c>
      <c r="J134" t="s">
        <v>133</v>
      </c>
      <c r="K134" t="s">
        <v>51</v>
      </c>
      <c r="L134" t="s">
        <v>1156</v>
      </c>
      <c r="M134" t="s">
        <v>134</v>
      </c>
      <c r="N134" t="s">
        <v>135</v>
      </c>
      <c r="Q134" t="s">
        <v>291</v>
      </c>
      <c r="T134" t="s">
        <v>169</v>
      </c>
      <c r="U134" t="s">
        <v>137</v>
      </c>
      <c r="V134" t="s">
        <v>352</v>
      </c>
      <c r="X134" t="s">
        <v>56</v>
      </c>
      <c r="AA134" t="s">
        <v>292</v>
      </c>
      <c r="AB134" t="s">
        <v>1</v>
      </c>
      <c r="AC134" t="s">
        <v>138</v>
      </c>
      <c r="AD134" t="s">
        <v>128</v>
      </c>
      <c r="AE134" s="97">
        <f>VLOOKUP(A:A,SUMMERY!AA:AC,2,FALSE)</f>
        <v>46233</v>
      </c>
      <c r="AF134" s="6" t="str">
        <f>VLOOKUP(A:A,SUMMERY!AA:AC,3,FALSE)</f>
        <v>Priority-1</v>
      </c>
    </row>
    <row r="135" spans="1:32" x14ac:dyDescent="0.3">
      <c r="A135" t="s">
        <v>1157</v>
      </c>
      <c r="B135" t="s">
        <v>1158</v>
      </c>
      <c r="G135" t="s">
        <v>290</v>
      </c>
      <c r="H135" t="s">
        <v>132</v>
      </c>
      <c r="I135" t="s">
        <v>1</v>
      </c>
      <c r="J135" t="s">
        <v>133</v>
      </c>
      <c r="K135" t="s">
        <v>51</v>
      </c>
      <c r="L135" t="s">
        <v>1159</v>
      </c>
      <c r="M135" t="s">
        <v>134</v>
      </c>
      <c r="N135" t="s">
        <v>135</v>
      </c>
      <c r="Q135" t="s">
        <v>291</v>
      </c>
      <c r="T135" t="s">
        <v>169</v>
      </c>
      <c r="U135" t="s">
        <v>137</v>
      </c>
      <c r="V135" t="s">
        <v>147</v>
      </c>
      <c r="X135" t="s">
        <v>70</v>
      </c>
      <c r="AA135" t="s">
        <v>292</v>
      </c>
      <c r="AB135" t="s">
        <v>1</v>
      </c>
      <c r="AC135" t="s">
        <v>138</v>
      </c>
      <c r="AD135" t="s">
        <v>128</v>
      </c>
      <c r="AE135" s="97">
        <f>VLOOKUP(A:A,SUMMERY!AA:AC,2,FALSE)</f>
        <v>46220</v>
      </c>
      <c r="AF135" s="6" t="str">
        <f>VLOOKUP(A:A,SUMMERY!AA:AC,3,FALSE)</f>
        <v>Priority-1</v>
      </c>
    </row>
    <row r="136" spans="1:32" x14ac:dyDescent="0.3">
      <c r="A136" t="s">
        <v>1160</v>
      </c>
      <c r="B136" t="s">
        <v>1161</v>
      </c>
      <c r="G136" t="s">
        <v>290</v>
      </c>
      <c r="H136" t="s">
        <v>132</v>
      </c>
      <c r="I136" t="s">
        <v>1</v>
      </c>
      <c r="J136" t="s">
        <v>133</v>
      </c>
      <c r="K136" t="s">
        <v>51</v>
      </c>
      <c r="L136" t="s">
        <v>1162</v>
      </c>
      <c r="M136" t="s">
        <v>134</v>
      </c>
      <c r="N136" t="s">
        <v>135</v>
      </c>
      <c r="Q136" t="s">
        <v>291</v>
      </c>
      <c r="T136" t="s">
        <v>169</v>
      </c>
      <c r="U136" t="s">
        <v>137</v>
      </c>
      <c r="V136" t="s">
        <v>147</v>
      </c>
      <c r="X136" t="s">
        <v>70</v>
      </c>
      <c r="AA136" t="s">
        <v>292</v>
      </c>
      <c r="AB136" t="s">
        <v>1</v>
      </c>
      <c r="AC136" t="s">
        <v>138</v>
      </c>
      <c r="AD136" t="s">
        <v>128</v>
      </c>
      <c r="AE136" s="97">
        <f>VLOOKUP(A:A,SUMMERY!AA:AC,2,FALSE)</f>
        <v>46220</v>
      </c>
      <c r="AF136" s="6" t="str">
        <f>VLOOKUP(A:A,SUMMERY!AA:AC,3,FALSE)</f>
        <v>Priority-1</v>
      </c>
    </row>
    <row r="137" spans="1:32" x14ac:dyDescent="0.3">
      <c r="A137" t="s">
        <v>1169</v>
      </c>
      <c r="B137" t="s">
        <v>1170</v>
      </c>
      <c r="G137" t="s">
        <v>290</v>
      </c>
      <c r="H137" t="s">
        <v>132</v>
      </c>
      <c r="I137" t="s">
        <v>1</v>
      </c>
      <c r="J137" t="s">
        <v>133</v>
      </c>
      <c r="K137" t="s">
        <v>51</v>
      </c>
      <c r="L137" t="s">
        <v>1171</v>
      </c>
      <c r="M137" t="s">
        <v>134</v>
      </c>
      <c r="N137" t="s">
        <v>135</v>
      </c>
      <c r="Q137" t="s">
        <v>291</v>
      </c>
      <c r="T137" t="s">
        <v>169</v>
      </c>
      <c r="U137" t="s">
        <v>137</v>
      </c>
      <c r="V137" t="s">
        <v>162</v>
      </c>
      <c r="X137" t="s">
        <v>113</v>
      </c>
      <c r="AA137" t="s">
        <v>292</v>
      </c>
      <c r="AB137" t="s">
        <v>1</v>
      </c>
      <c r="AC137" t="s">
        <v>138</v>
      </c>
      <c r="AD137" t="s">
        <v>129</v>
      </c>
      <c r="AE137" s="97">
        <f>VLOOKUP(A:A,SUMMERY!AA:AC,2,FALSE)</f>
        <v>46234</v>
      </c>
      <c r="AF137" s="6" t="str">
        <f>VLOOKUP(A:A,SUMMERY!AA:AC,3,FALSE)</f>
        <v>Priority-1</v>
      </c>
    </row>
    <row r="138" spans="1:32" x14ac:dyDescent="0.3">
      <c r="A138" t="s">
        <v>1172</v>
      </c>
      <c r="B138" t="s">
        <v>1173</v>
      </c>
      <c r="G138" t="s">
        <v>290</v>
      </c>
      <c r="H138" t="s">
        <v>132</v>
      </c>
      <c r="I138" t="s">
        <v>1</v>
      </c>
      <c r="J138" t="s">
        <v>133</v>
      </c>
      <c r="K138" t="s">
        <v>51</v>
      </c>
      <c r="L138" t="s">
        <v>1174</v>
      </c>
      <c r="M138" t="s">
        <v>134</v>
      </c>
      <c r="N138" t="s">
        <v>135</v>
      </c>
      <c r="Q138" t="s">
        <v>291</v>
      </c>
      <c r="T138" t="s">
        <v>169</v>
      </c>
      <c r="U138" t="s">
        <v>137</v>
      </c>
      <c r="V138" t="s">
        <v>162</v>
      </c>
      <c r="X138" t="s">
        <v>113</v>
      </c>
      <c r="AA138" t="s">
        <v>292</v>
      </c>
      <c r="AB138" t="s">
        <v>1</v>
      </c>
      <c r="AC138" t="s">
        <v>138</v>
      </c>
      <c r="AD138" t="s">
        <v>129</v>
      </c>
      <c r="AE138" s="97">
        <f>VLOOKUP(A:A,SUMMERY!AA:AC,2,FALSE)</f>
        <v>46234</v>
      </c>
      <c r="AF138" s="6" t="str">
        <f>VLOOKUP(A:A,SUMMERY!AA:AC,3,FALSE)</f>
        <v>Priority-1</v>
      </c>
    </row>
    <row r="139" spans="1:32" x14ac:dyDescent="0.3">
      <c r="A139" t="s">
        <v>1175</v>
      </c>
      <c r="B139" t="s">
        <v>1176</v>
      </c>
      <c r="G139" t="s">
        <v>290</v>
      </c>
      <c r="H139" t="s">
        <v>132</v>
      </c>
      <c r="I139" t="s">
        <v>1</v>
      </c>
      <c r="J139" t="s">
        <v>133</v>
      </c>
      <c r="K139" t="s">
        <v>51</v>
      </c>
      <c r="L139" t="s">
        <v>1177</v>
      </c>
      <c r="M139" t="s">
        <v>134</v>
      </c>
      <c r="N139" t="s">
        <v>135</v>
      </c>
      <c r="Q139" t="s">
        <v>291</v>
      </c>
      <c r="T139" t="s">
        <v>169</v>
      </c>
      <c r="U139" t="s">
        <v>137</v>
      </c>
      <c r="V139" t="s">
        <v>352</v>
      </c>
      <c r="X139" t="s">
        <v>56</v>
      </c>
      <c r="AA139" t="s">
        <v>292</v>
      </c>
      <c r="AB139" t="s">
        <v>1</v>
      </c>
      <c r="AC139" t="s">
        <v>138</v>
      </c>
      <c r="AD139" t="s">
        <v>128</v>
      </c>
      <c r="AE139" s="97">
        <f>VLOOKUP(A:A,SUMMERY!AA:AC,2,FALSE)</f>
        <v>46233</v>
      </c>
      <c r="AF139" s="6" t="str">
        <f>VLOOKUP(A:A,SUMMERY!AA:AC,3,FALSE)</f>
        <v>Priority-1</v>
      </c>
    </row>
    <row r="140" spans="1:32" x14ac:dyDescent="0.3">
      <c r="A140" t="s">
        <v>1178</v>
      </c>
      <c r="B140" t="s">
        <v>1179</v>
      </c>
      <c r="G140" t="s">
        <v>290</v>
      </c>
      <c r="H140" t="s">
        <v>132</v>
      </c>
      <c r="I140" t="s">
        <v>1</v>
      </c>
      <c r="J140" t="s">
        <v>133</v>
      </c>
      <c r="K140" t="s">
        <v>51</v>
      </c>
      <c r="L140" t="s">
        <v>1180</v>
      </c>
      <c r="M140" t="s">
        <v>134</v>
      </c>
      <c r="N140" t="s">
        <v>135</v>
      </c>
      <c r="Q140" t="s">
        <v>291</v>
      </c>
      <c r="T140" t="s">
        <v>169</v>
      </c>
      <c r="U140" t="s">
        <v>137</v>
      </c>
      <c r="V140" t="s">
        <v>352</v>
      </c>
      <c r="X140" t="s">
        <v>56</v>
      </c>
      <c r="AA140" t="s">
        <v>292</v>
      </c>
      <c r="AB140" t="s">
        <v>1</v>
      </c>
      <c r="AC140" t="s">
        <v>138</v>
      </c>
      <c r="AD140" t="s">
        <v>128</v>
      </c>
      <c r="AE140" s="97">
        <f>VLOOKUP(A:A,SUMMERY!AA:AC,2,FALSE)</f>
        <v>46233</v>
      </c>
      <c r="AF140" s="6" t="str">
        <f>VLOOKUP(A:A,SUMMERY!AA:AC,3,FALSE)</f>
        <v>Priority-1</v>
      </c>
    </row>
    <row r="141" spans="1:32" x14ac:dyDescent="0.3">
      <c r="A141" t="s">
        <v>1181</v>
      </c>
      <c r="B141" t="s">
        <v>1182</v>
      </c>
      <c r="G141" t="s">
        <v>290</v>
      </c>
      <c r="H141" t="s">
        <v>132</v>
      </c>
      <c r="I141" t="s">
        <v>1</v>
      </c>
      <c r="J141" t="s">
        <v>133</v>
      </c>
      <c r="K141" t="s">
        <v>51</v>
      </c>
      <c r="L141" t="s">
        <v>1183</v>
      </c>
      <c r="M141" t="s">
        <v>134</v>
      </c>
      <c r="N141" t="s">
        <v>135</v>
      </c>
      <c r="Q141" t="s">
        <v>291</v>
      </c>
      <c r="T141" t="s">
        <v>169</v>
      </c>
      <c r="U141" t="s">
        <v>137</v>
      </c>
      <c r="V141" t="s">
        <v>358</v>
      </c>
      <c r="X141" t="s">
        <v>124</v>
      </c>
      <c r="AA141" t="s">
        <v>292</v>
      </c>
      <c r="AB141" t="s">
        <v>1</v>
      </c>
      <c r="AC141" t="s">
        <v>138</v>
      </c>
      <c r="AD141" t="s">
        <v>130</v>
      </c>
      <c r="AE141" s="97">
        <f>VLOOKUP(A:A,SUMMERY!AA:AC,2,FALSE)</f>
        <v>46234</v>
      </c>
      <c r="AF141" s="6" t="str">
        <f>VLOOKUP(A:A,SUMMERY!AA:AC,3,FALSE)</f>
        <v>Priority-1</v>
      </c>
    </row>
    <row r="142" spans="1:32" x14ac:dyDescent="0.3">
      <c r="A142" t="s">
        <v>1184</v>
      </c>
      <c r="B142" t="s">
        <v>1185</v>
      </c>
      <c r="G142" t="s">
        <v>290</v>
      </c>
      <c r="H142" t="s">
        <v>132</v>
      </c>
      <c r="I142" t="s">
        <v>1</v>
      </c>
      <c r="J142" t="s">
        <v>133</v>
      </c>
      <c r="K142" t="s">
        <v>51</v>
      </c>
      <c r="L142" t="s">
        <v>1186</v>
      </c>
      <c r="M142" t="s">
        <v>134</v>
      </c>
      <c r="N142" t="s">
        <v>135</v>
      </c>
      <c r="Q142" t="s">
        <v>291</v>
      </c>
      <c r="T142" t="s">
        <v>169</v>
      </c>
      <c r="U142" t="s">
        <v>137</v>
      </c>
      <c r="V142" t="s">
        <v>358</v>
      </c>
      <c r="X142" t="s">
        <v>124</v>
      </c>
      <c r="AA142" t="s">
        <v>292</v>
      </c>
      <c r="AB142" t="s">
        <v>1</v>
      </c>
      <c r="AC142" t="s">
        <v>138</v>
      </c>
      <c r="AD142" t="s">
        <v>130</v>
      </c>
      <c r="AE142" s="97">
        <f>VLOOKUP(A:A,SUMMERY!AA:AC,2,FALSE)</f>
        <v>46234</v>
      </c>
      <c r="AF142" s="6" t="str">
        <f>VLOOKUP(A:A,SUMMERY!AA:AC,3,FALSE)</f>
        <v>Priority-1</v>
      </c>
    </row>
    <row r="143" spans="1:32" x14ac:dyDescent="0.3">
      <c r="A143" t="s">
        <v>1187</v>
      </c>
      <c r="B143" t="s">
        <v>1188</v>
      </c>
      <c r="G143" t="s">
        <v>290</v>
      </c>
      <c r="H143" t="s">
        <v>132</v>
      </c>
      <c r="I143" t="s">
        <v>1</v>
      </c>
      <c r="J143" t="s">
        <v>133</v>
      </c>
      <c r="K143" t="s">
        <v>51</v>
      </c>
      <c r="L143" t="s">
        <v>1189</v>
      </c>
      <c r="M143" t="s">
        <v>134</v>
      </c>
      <c r="N143" t="s">
        <v>135</v>
      </c>
      <c r="Q143" t="s">
        <v>291</v>
      </c>
      <c r="T143" t="s">
        <v>169</v>
      </c>
      <c r="U143" t="s">
        <v>137</v>
      </c>
      <c r="V143" t="s">
        <v>1190</v>
      </c>
      <c r="X143" t="s">
        <v>67</v>
      </c>
      <c r="AA143" t="s">
        <v>292</v>
      </c>
      <c r="AB143" t="s">
        <v>1</v>
      </c>
      <c r="AC143" t="s">
        <v>138</v>
      </c>
      <c r="AD143" t="s">
        <v>128</v>
      </c>
      <c r="AE143" s="97">
        <f>VLOOKUP(A:A,SUMMERY!AA:AC,2,FALSE)</f>
        <v>46220</v>
      </c>
      <c r="AF143" s="6" t="str">
        <f>VLOOKUP(A:A,SUMMERY!AA:AC,3,FALSE)</f>
        <v>Priority-1</v>
      </c>
    </row>
    <row r="144" spans="1:32" x14ac:dyDescent="0.3">
      <c r="A144" t="s">
        <v>1191</v>
      </c>
      <c r="B144" t="s">
        <v>1192</v>
      </c>
      <c r="G144" t="s">
        <v>290</v>
      </c>
      <c r="H144" t="s">
        <v>132</v>
      </c>
      <c r="I144" t="s">
        <v>1</v>
      </c>
      <c r="J144" t="s">
        <v>133</v>
      </c>
      <c r="K144" t="s">
        <v>51</v>
      </c>
      <c r="L144" t="s">
        <v>1193</v>
      </c>
      <c r="M144" t="s">
        <v>134</v>
      </c>
      <c r="N144" t="s">
        <v>135</v>
      </c>
      <c r="Q144" t="s">
        <v>291</v>
      </c>
      <c r="T144" t="s">
        <v>169</v>
      </c>
      <c r="U144" t="s">
        <v>137</v>
      </c>
      <c r="V144" t="s">
        <v>1194</v>
      </c>
      <c r="X144" t="s">
        <v>75</v>
      </c>
      <c r="AA144" t="s">
        <v>292</v>
      </c>
      <c r="AB144" t="s">
        <v>1</v>
      </c>
      <c r="AC144" t="s">
        <v>138</v>
      </c>
      <c r="AD144" t="s">
        <v>128</v>
      </c>
      <c r="AE144" s="97">
        <f>VLOOKUP(A:A,SUMMERY!AA:AC,2,FALSE)</f>
        <v>46220</v>
      </c>
      <c r="AF144" s="6" t="str">
        <f>VLOOKUP(A:A,SUMMERY!AA:AC,3,FALSE)</f>
        <v>Priority-1</v>
      </c>
    </row>
    <row r="145" spans="1:32" x14ac:dyDescent="0.3">
      <c r="A145" t="s">
        <v>1215</v>
      </c>
      <c r="B145" t="s">
        <v>1216</v>
      </c>
      <c r="G145" t="s">
        <v>290</v>
      </c>
      <c r="H145" t="s">
        <v>132</v>
      </c>
      <c r="I145" t="s">
        <v>1</v>
      </c>
      <c r="J145" t="s">
        <v>133</v>
      </c>
      <c r="K145" t="s">
        <v>51</v>
      </c>
      <c r="L145" t="s">
        <v>1217</v>
      </c>
      <c r="M145" t="s">
        <v>134</v>
      </c>
      <c r="N145" t="s">
        <v>135</v>
      </c>
      <c r="Q145" t="s">
        <v>291</v>
      </c>
      <c r="T145" t="s">
        <v>169</v>
      </c>
      <c r="U145" t="s">
        <v>137</v>
      </c>
      <c r="V145" t="s">
        <v>147</v>
      </c>
      <c r="X145" t="s">
        <v>70</v>
      </c>
      <c r="AA145" t="s">
        <v>292</v>
      </c>
      <c r="AB145" t="s">
        <v>1</v>
      </c>
      <c r="AC145" t="s">
        <v>138</v>
      </c>
      <c r="AD145" t="s">
        <v>128</v>
      </c>
      <c r="AE145" s="97">
        <f>VLOOKUP(A:A,SUMMERY!AA:AC,2,FALSE)</f>
        <v>46220</v>
      </c>
      <c r="AF145" s="6" t="str">
        <f>VLOOKUP(A:A,SUMMERY!AA:AC,3,FALSE)</f>
        <v>Priority-1</v>
      </c>
    </row>
    <row r="146" spans="1:32" x14ac:dyDescent="0.3">
      <c r="A146" t="s">
        <v>1218</v>
      </c>
      <c r="B146" t="s">
        <v>1219</v>
      </c>
      <c r="G146" t="s">
        <v>290</v>
      </c>
      <c r="H146" t="s">
        <v>132</v>
      </c>
      <c r="I146" t="s">
        <v>1</v>
      </c>
      <c r="J146" t="s">
        <v>133</v>
      </c>
      <c r="K146" t="s">
        <v>51</v>
      </c>
      <c r="L146" t="s">
        <v>1220</v>
      </c>
      <c r="M146" t="s">
        <v>134</v>
      </c>
      <c r="N146" t="s">
        <v>135</v>
      </c>
      <c r="Q146" t="s">
        <v>291</v>
      </c>
      <c r="T146" t="s">
        <v>169</v>
      </c>
      <c r="U146" t="s">
        <v>137</v>
      </c>
      <c r="V146" t="s">
        <v>150</v>
      </c>
      <c r="X146" t="s">
        <v>76</v>
      </c>
      <c r="AA146" t="s">
        <v>292</v>
      </c>
      <c r="AB146" t="s">
        <v>1</v>
      </c>
      <c r="AC146" t="s">
        <v>138</v>
      </c>
      <c r="AD146" t="s">
        <v>128</v>
      </c>
      <c r="AE146" s="97">
        <f>VLOOKUP(A:A,SUMMERY!AA:AC,2,FALSE)</f>
        <v>46233</v>
      </c>
      <c r="AF146" s="6" t="str">
        <f>VLOOKUP(A:A,SUMMERY!AA:AC,3,FALSE)</f>
        <v>Priority-1</v>
      </c>
    </row>
    <row r="147" spans="1:32" x14ac:dyDescent="0.3">
      <c r="A147" t="s">
        <v>1236</v>
      </c>
      <c r="B147" t="s">
        <v>1237</v>
      </c>
      <c r="G147" t="s">
        <v>290</v>
      </c>
      <c r="H147" t="s">
        <v>132</v>
      </c>
      <c r="I147" t="s">
        <v>1</v>
      </c>
      <c r="J147" t="s">
        <v>133</v>
      </c>
      <c r="K147" t="s">
        <v>51</v>
      </c>
      <c r="L147" t="s">
        <v>1238</v>
      </c>
      <c r="M147" t="s">
        <v>134</v>
      </c>
      <c r="N147" t="s">
        <v>135</v>
      </c>
      <c r="Q147" t="s">
        <v>291</v>
      </c>
      <c r="T147" t="s">
        <v>169</v>
      </c>
      <c r="U147" t="s">
        <v>137</v>
      </c>
      <c r="V147" t="s">
        <v>1239</v>
      </c>
      <c r="X147" t="s">
        <v>127</v>
      </c>
      <c r="AA147" t="s">
        <v>292</v>
      </c>
      <c r="AB147" t="s">
        <v>1</v>
      </c>
      <c r="AC147" t="s">
        <v>138</v>
      </c>
      <c r="AD147" t="s">
        <v>131</v>
      </c>
      <c r="AE147" s="97">
        <f>VLOOKUP(A:A,SUMMERY!AA:AC,2,FALSE)</f>
        <v>46234</v>
      </c>
      <c r="AF147" s="6" t="str">
        <f>VLOOKUP(A:A,SUMMERY!AA:AC,3,FALSE)</f>
        <v>Priority-2</v>
      </c>
    </row>
    <row r="148" spans="1:32" x14ac:dyDescent="0.3">
      <c r="A148" t="s">
        <v>1240</v>
      </c>
      <c r="B148" t="s">
        <v>1241</v>
      </c>
      <c r="G148" t="s">
        <v>290</v>
      </c>
      <c r="H148" t="s">
        <v>132</v>
      </c>
      <c r="I148" t="s">
        <v>1</v>
      </c>
      <c r="J148" t="s">
        <v>133</v>
      </c>
      <c r="K148" t="s">
        <v>51</v>
      </c>
      <c r="L148" t="s">
        <v>1242</v>
      </c>
      <c r="M148" t="s">
        <v>134</v>
      </c>
      <c r="N148" t="s">
        <v>135</v>
      </c>
      <c r="Q148" t="s">
        <v>291</v>
      </c>
      <c r="T148" t="s">
        <v>169</v>
      </c>
      <c r="U148" t="s">
        <v>137</v>
      </c>
      <c r="V148" t="s">
        <v>1239</v>
      </c>
      <c r="X148" t="s">
        <v>127</v>
      </c>
      <c r="AA148" t="s">
        <v>292</v>
      </c>
      <c r="AB148" t="s">
        <v>1</v>
      </c>
      <c r="AC148" t="s">
        <v>138</v>
      </c>
      <c r="AD148" t="s">
        <v>131</v>
      </c>
      <c r="AE148" s="97">
        <f>VLOOKUP(A:A,SUMMERY!AA:AC,2,FALSE)</f>
        <v>46234</v>
      </c>
      <c r="AF148" s="6" t="str">
        <f>VLOOKUP(A:A,SUMMERY!AA:AC,3,FALSE)</f>
        <v>Priority-2</v>
      </c>
    </row>
    <row r="149" spans="1:32" x14ac:dyDescent="0.3">
      <c r="A149" t="s">
        <v>1243</v>
      </c>
      <c r="B149" t="s">
        <v>1244</v>
      </c>
      <c r="G149" t="s">
        <v>290</v>
      </c>
      <c r="H149" t="s">
        <v>132</v>
      </c>
      <c r="I149" t="s">
        <v>1</v>
      </c>
      <c r="J149" t="s">
        <v>133</v>
      </c>
      <c r="K149" t="s">
        <v>51</v>
      </c>
      <c r="L149" t="s">
        <v>1245</v>
      </c>
      <c r="M149" t="s">
        <v>134</v>
      </c>
      <c r="N149" t="s">
        <v>135</v>
      </c>
      <c r="Q149" t="s">
        <v>291</v>
      </c>
      <c r="T149" t="s">
        <v>169</v>
      </c>
      <c r="U149" t="s">
        <v>137</v>
      </c>
      <c r="V149" t="s">
        <v>1239</v>
      </c>
      <c r="X149" t="s">
        <v>127</v>
      </c>
      <c r="AA149" t="s">
        <v>292</v>
      </c>
      <c r="AB149" t="s">
        <v>1</v>
      </c>
      <c r="AC149" t="s">
        <v>138</v>
      </c>
      <c r="AD149" t="s">
        <v>131</v>
      </c>
      <c r="AE149" s="97">
        <f>VLOOKUP(A:A,SUMMERY!AA:AC,2,FALSE)</f>
        <v>46234</v>
      </c>
      <c r="AF149" s="6" t="str">
        <f>VLOOKUP(A:A,SUMMERY!AA:AC,3,FALSE)</f>
        <v>Priority-2</v>
      </c>
    </row>
    <row r="150" spans="1:32" x14ac:dyDescent="0.3">
      <c r="A150" t="s">
        <v>1246</v>
      </c>
      <c r="B150" t="s">
        <v>1247</v>
      </c>
      <c r="G150" t="s">
        <v>290</v>
      </c>
      <c r="H150" t="s">
        <v>132</v>
      </c>
      <c r="I150" t="s">
        <v>1</v>
      </c>
      <c r="J150" t="s">
        <v>133</v>
      </c>
      <c r="K150" t="s">
        <v>51</v>
      </c>
      <c r="L150" t="s">
        <v>1248</v>
      </c>
      <c r="M150" t="s">
        <v>134</v>
      </c>
      <c r="N150" t="s">
        <v>135</v>
      </c>
      <c r="Q150" t="s">
        <v>291</v>
      </c>
      <c r="T150" t="s">
        <v>169</v>
      </c>
      <c r="U150" t="s">
        <v>137</v>
      </c>
      <c r="V150" t="s">
        <v>1249</v>
      </c>
      <c r="X150" t="s">
        <v>61</v>
      </c>
      <c r="AA150" t="s">
        <v>292</v>
      </c>
      <c r="AB150" t="s">
        <v>1</v>
      </c>
      <c r="AC150" t="s">
        <v>138</v>
      </c>
      <c r="AD150" t="s">
        <v>128</v>
      </c>
      <c r="AE150" s="97">
        <f>VLOOKUP(A:A,SUMMERY!AA:AC,2,FALSE)</f>
        <v>46224</v>
      </c>
      <c r="AF150" s="6" t="str">
        <f>VLOOKUP(A:A,SUMMERY!AA:AC,3,FALSE)</f>
        <v>Priority-1</v>
      </c>
    </row>
    <row r="151" spans="1:32" x14ac:dyDescent="0.3">
      <c r="A151" t="s">
        <v>1250</v>
      </c>
      <c r="B151" t="s">
        <v>1251</v>
      </c>
      <c r="G151" t="s">
        <v>290</v>
      </c>
      <c r="H151" t="s">
        <v>132</v>
      </c>
      <c r="I151" t="s">
        <v>1</v>
      </c>
      <c r="J151" t="s">
        <v>133</v>
      </c>
      <c r="K151" t="s">
        <v>51</v>
      </c>
      <c r="L151" t="s">
        <v>1252</v>
      </c>
      <c r="M151" t="s">
        <v>134</v>
      </c>
      <c r="N151" t="s">
        <v>135</v>
      </c>
      <c r="Q151" t="s">
        <v>291</v>
      </c>
      <c r="T151" t="s">
        <v>169</v>
      </c>
      <c r="U151" t="s">
        <v>137</v>
      </c>
      <c r="V151" t="s">
        <v>1249</v>
      </c>
      <c r="X151" t="s">
        <v>61</v>
      </c>
      <c r="AA151" t="s">
        <v>292</v>
      </c>
      <c r="AB151" t="s">
        <v>1</v>
      </c>
      <c r="AC151" t="s">
        <v>138</v>
      </c>
      <c r="AD151" t="s">
        <v>128</v>
      </c>
      <c r="AE151" s="97">
        <f>VLOOKUP(A:A,SUMMERY!AA:AC,2,FALSE)</f>
        <v>46224</v>
      </c>
      <c r="AF151" s="6" t="str">
        <f>VLOOKUP(A:A,SUMMERY!AA:AC,3,FALSE)</f>
        <v>Priority-1</v>
      </c>
    </row>
    <row r="152" spans="1:32" x14ac:dyDescent="0.3">
      <c r="A152" t="s">
        <v>1253</v>
      </c>
      <c r="B152" t="s">
        <v>1254</v>
      </c>
      <c r="G152" t="s">
        <v>290</v>
      </c>
      <c r="H152" t="s">
        <v>132</v>
      </c>
      <c r="I152" t="s">
        <v>1</v>
      </c>
      <c r="J152" t="s">
        <v>133</v>
      </c>
      <c r="K152" t="s">
        <v>51</v>
      </c>
      <c r="L152" t="s">
        <v>1255</v>
      </c>
      <c r="M152" t="s">
        <v>134</v>
      </c>
      <c r="N152" t="s">
        <v>135</v>
      </c>
      <c r="Q152" t="s">
        <v>291</v>
      </c>
      <c r="T152" t="s">
        <v>169</v>
      </c>
      <c r="U152" t="s">
        <v>137</v>
      </c>
      <c r="V152" t="s">
        <v>1249</v>
      </c>
      <c r="X152" t="s">
        <v>61</v>
      </c>
      <c r="AA152" t="s">
        <v>292</v>
      </c>
      <c r="AB152" t="s">
        <v>1</v>
      </c>
      <c r="AC152" t="s">
        <v>138</v>
      </c>
      <c r="AD152" t="s">
        <v>128</v>
      </c>
      <c r="AE152" s="97">
        <f>VLOOKUP(A:A,SUMMERY!AA:AC,2,FALSE)</f>
        <v>46224</v>
      </c>
      <c r="AF152" s="6" t="str">
        <f>VLOOKUP(A:A,SUMMERY!AA:AC,3,FALSE)</f>
        <v>Priority-1</v>
      </c>
    </row>
    <row r="153" spans="1:32" ht="13.2" customHeight="1" x14ac:dyDescent="0.3">
      <c r="A153" t="s">
        <v>1256</v>
      </c>
      <c r="B153" t="s">
        <v>1257</v>
      </c>
      <c r="G153" t="s">
        <v>290</v>
      </c>
      <c r="H153" t="s">
        <v>132</v>
      </c>
      <c r="I153" t="s">
        <v>1</v>
      </c>
      <c r="J153" t="s">
        <v>133</v>
      </c>
      <c r="K153" t="s">
        <v>51</v>
      </c>
      <c r="L153" t="s">
        <v>1258</v>
      </c>
      <c r="M153" t="s">
        <v>134</v>
      </c>
      <c r="N153" t="s">
        <v>135</v>
      </c>
      <c r="Q153" t="s">
        <v>291</v>
      </c>
      <c r="T153" t="s">
        <v>169</v>
      </c>
      <c r="U153" t="s">
        <v>137</v>
      </c>
      <c r="V153" t="s">
        <v>1259</v>
      </c>
      <c r="X153" t="s">
        <v>126</v>
      </c>
      <c r="AA153" t="s">
        <v>292</v>
      </c>
      <c r="AB153" t="s">
        <v>1</v>
      </c>
      <c r="AC153" t="s">
        <v>138</v>
      </c>
      <c r="AD153" t="s">
        <v>131</v>
      </c>
      <c r="AE153" s="97">
        <f>VLOOKUP(A:A,SUMMERY!AA:AC,2,FALSE)</f>
        <v>46234</v>
      </c>
      <c r="AF153" s="6" t="str">
        <f>VLOOKUP(A:A,SUMMERY!AA:AC,3,FALSE)</f>
        <v>Priority-2</v>
      </c>
    </row>
    <row r="154" spans="1:32" x14ac:dyDescent="0.3">
      <c r="A154" t="s">
        <v>1260</v>
      </c>
      <c r="B154" t="s">
        <v>1261</v>
      </c>
      <c r="G154" t="s">
        <v>290</v>
      </c>
      <c r="H154" t="s">
        <v>132</v>
      </c>
      <c r="I154" t="s">
        <v>1</v>
      </c>
      <c r="J154" t="s">
        <v>133</v>
      </c>
      <c r="K154" t="s">
        <v>51</v>
      </c>
      <c r="L154" t="s">
        <v>1262</v>
      </c>
      <c r="M154" t="s">
        <v>134</v>
      </c>
      <c r="N154" t="s">
        <v>135</v>
      </c>
      <c r="Q154" t="s">
        <v>291</v>
      </c>
      <c r="T154" t="s">
        <v>169</v>
      </c>
      <c r="U154" t="s">
        <v>137</v>
      </c>
      <c r="V154" t="s">
        <v>1263</v>
      </c>
      <c r="X154" t="s">
        <v>69</v>
      </c>
      <c r="AA154" t="s">
        <v>292</v>
      </c>
      <c r="AB154" t="s">
        <v>1</v>
      </c>
      <c r="AC154" t="s">
        <v>138</v>
      </c>
      <c r="AD154" t="s">
        <v>128</v>
      </c>
      <c r="AE154" s="97">
        <f>VLOOKUP(A:A,SUMMERY!AA:AC,2,FALSE)</f>
        <v>46224</v>
      </c>
      <c r="AF154" s="6" t="str">
        <f>VLOOKUP(A:A,SUMMERY!AA:AC,3,FALSE)</f>
        <v>Priority-1</v>
      </c>
    </row>
    <row r="155" spans="1:32" x14ac:dyDescent="0.3">
      <c r="A155" t="s">
        <v>1264</v>
      </c>
      <c r="B155" t="s">
        <v>1265</v>
      </c>
      <c r="G155" t="s">
        <v>290</v>
      </c>
      <c r="H155" t="s">
        <v>132</v>
      </c>
      <c r="I155" t="s">
        <v>1</v>
      </c>
      <c r="J155" t="s">
        <v>133</v>
      </c>
      <c r="K155" t="s">
        <v>51</v>
      </c>
      <c r="L155" t="s">
        <v>1266</v>
      </c>
      <c r="M155" t="s">
        <v>134</v>
      </c>
      <c r="N155" t="s">
        <v>135</v>
      </c>
      <c r="Q155" t="s">
        <v>291</v>
      </c>
      <c r="T155" t="s">
        <v>169</v>
      </c>
      <c r="U155" t="s">
        <v>137</v>
      </c>
      <c r="V155" t="s">
        <v>1259</v>
      </c>
      <c r="X155" t="s">
        <v>126</v>
      </c>
      <c r="AA155" t="s">
        <v>292</v>
      </c>
      <c r="AB155" t="s">
        <v>1</v>
      </c>
      <c r="AC155" t="s">
        <v>138</v>
      </c>
      <c r="AD155" t="s">
        <v>131</v>
      </c>
      <c r="AE155" s="97">
        <f>VLOOKUP(A:A,SUMMERY!AA:AC,2,FALSE)</f>
        <v>46234</v>
      </c>
      <c r="AF155" s="6" t="str">
        <f>VLOOKUP(A:A,SUMMERY!AA:AC,3,FALSE)</f>
        <v>Priority-2</v>
      </c>
    </row>
    <row r="156" spans="1:32" x14ac:dyDescent="0.3">
      <c r="A156" t="s">
        <v>1267</v>
      </c>
      <c r="B156" t="s">
        <v>1268</v>
      </c>
      <c r="G156" t="s">
        <v>290</v>
      </c>
      <c r="H156" t="s">
        <v>132</v>
      </c>
      <c r="I156" t="s">
        <v>1</v>
      </c>
      <c r="J156" t="s">
        <v>133</v>
      </c>
      <c r="K156" t="s">
        <v>51</v>
      </c>
      <c r="L156" t="s">
        <v>1269</v>
      </c>
      <c r="M156" t="s">
        <v>134</v>
      </c>
      <c r="N156" t="s">
        <v>135</v>
      </c>
      <c r="Q156" t="s">
        <v>291</v>
      </c>
      <c r="T156" t="s">
        <v>169</v>
      </c>
      <c r="U156" t="s">
        <v>137</v>
      </c>
      <c r="V156" t="s">
        <v>1263</v>
      </c>
      <c r="X156" t="s">
        <v>69</v>
      </c>
      <c r="AA156" t="s">
        <v>292</v>
      </c>
      <c r="AB156" t="s">
        <v>1</v>
      </c>
      <c r="AC156" t="s">
        <v>138</v>
      </c>
      <c r="AD156" t="s">
        <v>128</v>
      </c>
      <c r="AE156" s="97">
        <f>VLOOKUP(A:A,SUMMERY!AA:AC,2,FALSE)</f>
        <v>46224</v>
      </c>
      <c r="AF156" s="6" t="str">
        <f>VLOOKUP(A:A,SUMMERY!AA:AC,3,FALSE)</f>
        <v>Priority-1</v>
      </c>
    </row>
    <row r="157" spans="1:32" x14ac:dyDescent="0.3">
      <c r="A157" t="s">
        <v>1270</v>
      </c>
      <c r="B157" t="s">
        <v>1271</v>
      </c>
      <c r="G157" t="s">
        <v>290</v>
      </c>
      <c r="H157" t="s">
        <v>132</v>
      </c>
      <c r="I157" t="s">
        <v>1</v>
      </c>
      <c r="J157" t="s">
        <v>133</v>
      </c>
      <c r="K157" t="s">
        <v>51</v>
      </c>
      <c r="L157" t="s">
        <v>1272</v>
      </c>
      <c r="M157" t="s">
        <v>134</v>
      </c>
      <c r="N157" t="s">
        <v>135</v>
      </c>
      <c r="Q157" t="s">
        <v>291</v>
      </c>
      <c r="T157" t="s">
        <v>169</v>
      </c>
      <c r="U157" t="s">
        <v>137</v>
      </c>
      <c r="V157" t="s">
        <v>1259</v>
      </c>
      <c r="X157" t="s">
        <v>126</v>
      </c>
      <c r="AA157" t="s">
        <v>292</v>
      </c>
      <c r="AB157" t="s">
        <v>1</v>
      </c>
      <c r="AC157" t="s">
        <v>138</v>
      </c>
      <c r="AD157" t="s">
        <v>131</v>
      </c>
      <c r="AE157" s="97">
        <f>VLOOKUP(A:A,SUMMERY!AA:AC,2,FALSE)</f>
        <v>46234</v>
      </c>
      <c r="AF157" s="6" t="str">
        <f>VLOOKUP(A:A,SUMMERY!AA:AC,3,FALSE)</f>
        <v>Priority-2</v>
      </c>
    </row>
    <row r="158" spans="1:32" x14ac:dyDescent="0.3">
      <c r="A158" t="s">
        <v>1273</v>
      </c>
      <c r="B158" t="s">
        <v>1274</v>
      </c>
      <c r="G158" t="s">
        <v>290</v>
      </c>
      <c r="H158" t="s">
        <v>132</v>
      </c>
      <c r="I158" t="s">
        <v>1</v>
      </c>
      <c r="J158" t="s">
        <v>133</v>
      </c>
      <c r="K158" t="s">
        <v>51</v>
      </c>
      <c r="L158" t="s">
        <v>1275</v>
      </c>
      <c r="M158" t="s">
        <v>134</v>
      </c>
      <c r="N158" t="s">
        <v>135</v>
      </c>
      <c r="Q158" t="s">
        <v>291</v>
      </c>
      <c r="T158" t="s">
        <v>169</v>
      </c>
      <c r="U158" t="s">
        <v>137</v>
      </c>
      <c r="V158" t="s">
        <v>1259</v>
      </c>
      <c r="X158" t="s">
        <v>126</v>
      </c>
      <c r="AA158" t="s">
        <v>292</v>
      </c>
      <c r="AB158" t="s">
        <v>1</v>
      </c>
      <c r="AC158" t="s">
        <v>138</v>
      </c>
      <c r="AD158" t="s">
        <v>131</v>
      </c>
      <c r="AE158" s="97">
        <f>VLOOKUP(A:A,SUMMERY!AA:AC,2,FALSE)</f>
        <v>46234</v>
      </c>
      <c r="AF158" s="6" t="str">
        <f>VLOOKUP(A:A,SUMMERY!AA:AC,3,FALSE)</f>
        <v>Priority-2</v>
      </c>
    </row>
    <row r="159" spans="1:32" x14ac:dyDescent="0.3">
      <c r="A159" t="s">
        <v>1276</v>
      </c>
      <c r="B159" t="s">
        <v>1277</v>
      </c>
      <c r="G159" t="s">
        <v>290</v>
      </c>
      <c r="H159" t="s">
        <v>132</v>
      </c>
      <c r="I159" t="s">
        <v>1</v>
      </c>
      <c r="J159" t="s">
        <v>133</v>
      </c>
      <c r="K159" t="s">
        <v>51</v>
      </c>
      <c r="L159" t="s">
        <v>1278</v>
      </c>
      <c r="M159" t="s">
        <v>134</v>
      </c>
      <c r="N159" t="s">
        <v>135</v>
      </c>
      <c r="Q159" t="s">
        <v>291</v>
      </c>
      <c r="U159" t="s">
        <v>137</v>
      </c>
      <c r="V159" t="s">
        <v>1279</v>
      </c>
      <c r="X159" t="s">
        <v>71</v>
      </c>
      <c r="AA159" t="s">
        <v>292</v>
      </c>
      <c r="AB159" t="s">
        <v>1</v>
      </c>
      <c r="AC159" t="s">
        <v>138</v>
      </c>
      <c r="AD159" t="s">
        <v>128</v>
      </c>
      <c r="AE159" s="97">
        <f>VLOOKUP(A:A,SUMMERY!AA:AC,2,FALSE)</f>
        <v>46233</v>
      </c>
      <c r="AF159" s="6" t="str">
        <f>VLOOKUP(A:A,SUMMERY!AA:AC,3,FALSE)</f>
        <v>Priority-1</v>
      </c>
    </row>
    <row r="160" spans="1:32" x14ac:dyDescent="0.3">
      <c r="A160" t="s">
        <v>1280</v>
      </c>
      <c r="B160" t="s">
        <v>1281</v>
      </c>
      <c r="G160" t="s">
        <v>290</v>
      </c>
      <c r="H160" t="s">
        <v>132</v>
      </c>
      <c r="I160" t="s">
        <v>1</v>
      </c>
      <c r="J160" t="s">
        <v>133</v>
      </c>
      <c r="K160" t="s">
        <v>51</v>
      </c>
      <c r="L160" t="s">
        <v>1282</v>
      </c>
      <c r="M160" t="s">
        <v>134</v>
      </c>
      <c r="N160" t="s">
        <v>135</v>
      </c>
      <c r="Q160" t="s">
        <v>291</v>
      </c>
      <c r="U160" t="s">
        <v>137</v>
      </c>
      <c r="V160" t="s">
        <v>1283</v>
      </c>
      <c r="X160" t="s">
        <v>78</v>
      </c>
      <c r="AA160" t="s">
        <v>292</v>
      </c>
      <c r="AB160" t="s">
        <v>1</v>
      </c>
      <c r="AC160" t="s">
        <v>138</v>
      </c>
      <c r="AD160" t="s">
        <v>128</v>
      </c>
      <c r="AE160" s="97">
        <f>VLOOKUP(A:A,SUMMERY!AA:AC,2,FALSE)</f>
        <v>46234</v>
      </c>
      <c r="AF160" s="6" t="str">
        <f>VLOOKUP(A:A,SUMMERY!AA:AC,3,FALSE)</f>
        <v>Priority-1</v>
      </c>
    </row>
    <row r="161" spans="1:32" x14ac:dyDescent="0.3">
      <c r="A161" t="s">
        <v>1304</v>
      </c>
      <c r="B161" t="s">
        <v>1305</v>
      </c>
      <c r="G161" t="s">
        <v>290</v>
      </c>
      <c r="H161" t="s">
        <v>132</v>
      </c>
      <c r="I161" t="s">
        <v>1</v>
      </c>
      <c r="J161" t="s">
        <v>133</v>
      </c>
      <c r="K161" t="s">
        <v>51</v>
      </c>
      <c r="L161" t="s">
        <v>1306</v>
      </c>
      <c r="M161" t="s">
        <v>134</v>
      </c>
      <c r="N161" t="s">
        <v>135</v>
      </c>
      <c r="Q161" t="s">
        <v>291</v>
      </c>
      <c r="U161" t="s">
        <v>137</v>
      </c>
      <c r="V161" t="s">
        <v>1279</v>
      </c>
      <c r="X161" t="s">
        <v>71</v>
      </c>
      <c r="AA161" t="s">
        <v>292</v>
      </c>
      <c r="AB161" t="s">
        <v>1</v>
      </c>
      <c r="AC161" t="s">
        <v>138</v>
      </c>
      <c r="AD161" t="s">
        <v>128</v>
      </c>
      <c r="AE161" s="97">
        <f>VLOOKUP(A:A,SUMMERY!AA:AC,2,FALSE)</f>
        <v>46233</v>
      </c>
      <c r="AF161" s="6" t="str">
        <f>VLOOKUP(A:A,SUMMERY!AA:AC,3,FALSE)</f>
        <v>Priority-1</v>
      </c>
    </row>
    <row r="162" spans="1:32" x14ac:dyDescent="0.3">
      <c r="A162" t="s">
        <v>1307</v>
      </c>
      <c r="B162" t="s">
        <v>1308</v>
      </c>
      <c r="G162" t="s">
        <v>290</v>
      </c>
      <c r="H162" t="s">
        <v>132</v>
      </c>
      <c r="I162" t="s">
        <v>1</v>
      </c>
      <c r="J162" t="s">
        <v>133</v>
      </c>
      <c r="K162" t="s">
        <v>51</v>
      </c>
      <c r="L162" t="s">
        <v>1309</v>
      </c>
      <c r="M162" t="s">
        <v>134</v>
      </c>
      <c r="N162" t="s">
        <v>135</v>
      </c>
      <c r="Q162" t="s">
        <v>291</v>
      </c>
      <c r="U162" t="s">
        <v>137</v>
      </c>
      <c r="V162" t="s">
        <v>1283</v>
      </c>
      <c r="X162" t="s">
        <v>78</v>
      </c>
      <c r="AA162" t="s">
        <v>292</v>
      </c>
      <c r="AB162" t="s">
        <v>1</v>
      </c>
      <c r="AC162" t="s">
        <v>138</v>
      </c>
      <c r="AD162" t="s">
        <v>128</v>
      </c>
      <c r="AE162" s="97">
        <f>VLOOKUP(A:A,SUMMERY!AA:AC,2,FALSE)</f>
        <v>46234</v>
      </c>
      <c r="AF162" s="6" t="str">
        <f>VLOOKUP(A:A,SUMMERY!AA:AC,3,FALSE)</f>
        <v>Priority-1</v>
      </c>
    </row>
    <row r="163" spans="1:32" x14ac:dyDescent="0.3">
      <c r="A163" t="s">
        <v>1325</v>
      </c>
      <c r="B163" t="s">
        <v>1326</v>
      </c>
      <c r="G163" t="s">
        <v>290</v>
      </c>
      <c r="H163" t="s">
        <v>132</v>
      </c>
      <c r="I163" t="s">
        <v>1</v>
      </c>
      <c r="J163" t="s">
        <v>133</v>
      </c>
      <c r="K163" t="s">
        <v>51</v>
      </c>
      <c r="L163" t="s">
        <v>1327</v>
      </c>
      <c r="M163" t="s">
        <v>134</v>
      </c>
      <c r="N163" t="s">
        <v>135</v>
      </c>
      <c r="Q163" t="s">
        <v>291</v>
      </c>
      <c r="U163" t="s">
        <v>137</v>
      </c>
      <c r="V163" t="s">
        <v>1279</v>
      </c>
      <c r="X163" t="s">
        <v>71</v>
      </c>
      <c r="AA163" t="s">
        <v>292</v>
      </c>
      <c r="AB163" t="s">
        <v>1</v>
      </c>
      <c r="AC163" t="s">
        <v>138</v>
      </c>
      <c r="AD163" t="s">
        <v>128</v>
      </c>
      <c r="AE163" s="97">
        <f>VLOOKUP(A:A,SUMMERY!AA:AC,2,FALSE)</f>
        <v>46233</v>
      </c>
      <c r="AF163" s="6" t="str">
        <f>VLOOKUP(A:A,SUMMERY!AA:AC,3,FALSE)</f>
        <v>Priority-1</v>
      </c>
    </row>
    <row r="164" spans="1:32" x14ac:dyDescent="0.3">
      <c r="A164" t="s">
        <v>1328</v>
      </c>
      <c r="B164" t="s">
        <v>1329</v>
      </c>
      <c r="G164" t="s">
        <v>290</v>
      </c>
      <c r="H164" t="s">
        <v>132</v>
      </c>
      <c r="I164" t="s">
        <v>1</v>
      </c>
      <c r="J164" t="s">
        <v>133</v>
      </c>
      <c r="K164" t="s">
        <v>51</v>
      </c>
      <c r="L164" t="s">
        <v>1330</v>
      </c>
      <c r="M164" t="s">
        <v>134</v>
      </c>
      <c r="N164" t="s">
        <v>135</v>
      </c>
      <c r="Q164" t="s">
        <v>291</v>
      </c>
      <c r="U164" t="s">
        <v>137</v>
      </c>
      <c r="V164" t="s">
        <v>1283</v>
      </c>
      <c r="X164" t="s">
        <v>78</v>
      </c>
      <c r="AA164" t="s">
        <v>292</v>
      </c>
      <c r="AB164" t="s">
        <v>1</v>
      </c>
      <c r="AC164" t="s">
        <v>138</v>
      </c>
      <c r="AD164" t="s">
        <v>128</v>
      </c>
      <c r="AE164" s="97">
        <f>VLOOKUP(A:A,SUMMERY!AA:AC,2,FALSE)</f>
        <v>46234</v>
      </c>
      <c r="AF164" s="6" t="str">
        <f>VLOOKUP(A:A,SUMMERY!AA:AC,3,FALSE)</f>
        <v>Priority-1</v>
      </c>
    </row>
    <row r="165" spans="1:32" x14ac:dyDescent="0.3">
      <c r="A165" t="s">
        <v>1346</v>
      </c>
      <c r="B165" t="s">
        <v>1347</v>
      </c>
      <c r="G165" t="s">
        <v>290</v>
      </c>
      <c r="H165" t="s">
        <v>132</v>
      </c>
      <c r="I165" t="s">
        <v>1</v>
      </c>
      <c r="J165" t="s">
        <v>133</v>
      </c>
      <c r="K165" t="s">
        <v>51</v>
      </c>
      <c r="L165" t="s">
        <v>1348</v>
      </c>
      <c r="M165" t="s">
        <v>134</v>
      </c>
      <c r="N165" t="s">
        <v>135</v>
      </c>
      <c r="Q165" t="s">
        <v>291</v>
      </c>
      <c r="U165" t="s">
        <v>137</v>
      </c>
      <c r="V165" t="s">
        <v>1279</v>
      </c>
      <c r="X165" t="s">
        <v>71</v>
      </c>
      <c r="AA165" t="s">
        <v>292</v>
      </c>
      <c r="AB165" t="s">
        <v>1</v>
      </c>
      <c r="AC165" t="s">
        <v>138</v>
      </c>
      <c r="AD165" t="s">
        <v>128</v>
      </c>
      <c r="AE165" s="97">
        <f>VLOOKUP(A:A,SUMMERY!AA:AC,2,FALSE)</f>
        <v>46233</v>
      </c>
      <c r="AF165" s="6" t="str">
        <f>VLOOKUP(A:A,SUMMERY!AA:AC,3,FALSE)</f>
        <v>Priority-1</v>
      </c>
    </row>
    <row r="166" spans="1:32" x14ac:dyDescent="0.3">
      <c r="A166" t="s">
        <v>1349</v>
      </c>
      <c r="B166" t="s">
        <v>1350</v>
      </c>
      <c r="G166" t="s">
        <v>290</v>
      </c>
      <c r="H166" t="s">
        <v>132</v>
      </c>
      <c r="I166" t="s">
        <v>1</v>
      </c>
      <c r="J166" t="s">
        <v>133</v>
      </c>
      <c r="K166" t="s">
        <v>51</v>
      </c>
      <c r="L166" t="s">
        <v>1348</v>
      </c>
      <c r="M166" t="s">
        <v>134</v>
      </c>
      <c r="N166" t="s">
        <v>135</v>
      </c>
      <c r="Q166" t="s">
        <v>291</v>
      </c>
      <c r="U166" t="s">
        <v>137</v>
      </c>
      <c r="V166" t="s">
        <v>1279</v>
      </c>
      <c r="X166" t="s">
        <v>71</v>
      </c>
      <c r="AA166" t="s">
        <v>292</v>
      </c>
      <c r="AB166" t="s">
        <v>1</v>
      </c>
      <c r="AC166" t="s">
        <v>138</v>
      </c>
      <c r="AD166" t="s">
        <v>128</v>
      </c>
      <c r="AE166" s="97">
        <f>VLOOKUP(A:A,SUMMERY!AA:AC,2,FALSE)</f>
        <v>46233</v>
      </c>
      <c r="AF166" s="6" t="str">
        <f>VLOOKUP(A:A,SUMMERY!AA:AC,3,FALSE)</f>
        <v>Priority-1</v>
      </c>
    </row>
    <row r="167" spans="1:32" x14ac:dyDescent="0.3">
      <c r="A167" t="s">
        <v>1351</v>
      </c>
      <c r="B167" t="s">
        <v>1352</v>
      </c>
      <c r="G167" t="s">
        <v>290</v>
      </c>
      <c r="H167" t="s">
        <v>132</v>
      </c>
      <c r="I167" t="s">
        <v>1</v>
      </c>
      <c r="J167" t="s">
        <v>133</v>
      </c>
      <c r="K167" t="s">
        <v>51</v>
      </c>
      <c r="L167" t="s">
        <v>1348</v>
      </c>
      <c r="M167" t="s">
        <v>134</v>
      </c>
      <c r="N167" t="s">
        <v>135</v>
      </c>
      <c r="Q167" t="s">
        <v>291</v>
      </c>
      <c r="U167" t="s">
        <v>137</v>
      </c>
      <c r="V167" t="s">
        <v>1279</v>
      </c>
      <c r="X167" t="s">
        <v>71</v>
      </c>
      <c r="AA167" t="s">
        <v>292</v>
      </c>
      <c r="AB167" t="s">
        <v>1</v>
      </c>
      <c r="AC167" t="s">
        <v>138</v>
      </c>
      <c r="AD167" t="s">
        <v>128</v>
      </c>
      <c r="AE167" s="97">
        <f>VLOOKUP(A:A,SUMMERY!AA:AC,2,FALSE)</f>
        <v>46233</v>
      </c>
      <c r="AF167" s="6" t="str">
        <f>VLOOKUP(A:A,SUMMERY!AA:AC,3,FALSE)</f>
        <v>Priority-1</v>
      </c>
    </row>
    <row r="168" spans="1:32" x14ac:dyDescent="0.3">
      <c r="A168" t="s">
        <v>1353</v>
      </c>
      <c r="B168" t="s">
        <v>1354</v>
      </c>
      <c r="G168" t="s">
        <v>290</v>
      </c>
      <c r="H168" t="s">
        <v>132</v>
      </c>
      <c r="I168" t="s">
        <v>1</v>
      </c>
      <c r="J168" t="s">
        <v>133</v>
      </c>
      <c r="K168" t="s">
        <v>51</v>
      </c>
      <c r="L168" t="s">
        <v>1348</v>
      </c>
      <c r="M168" t="s">
        <v>134</v>
      </c>
      <c r="N168" t="s">
        <v>135</v>
      </c>
      <c r="Q168" t="s">
        <v>291</v>
      </c>
      <c r="U168" t="s">
        <v>137</v>
      </c>
      <c r="V168" t="s">
        <v>1279</v>
      </c>
      <c r="X168" t="s">
        <v>71</v>
      </c>
      <c r="AA168" t="s">
        <v>292</v>
      </c>
      <c r="AB168" t="s">
        <v>1</v>
      </c>
      <c r="AC168" t="s">
        <v>138</v>
      </c>
      <c r="AD168" t="s">
        <v>128</v>
      </c>
      <c r="AE168" s="97">
        <f>VLOOKUP(A:A,SUMMERY!AA:AC,2,FALSE)</f>
        <v>46233</v>
      </c>
      <c r="AF168" s="6" t="str">
        <f>VLOOKUP(A:A,SUMMERY!AA:AC,3,FALSE)</f>
        <v>Priority-1</v>
      </c>
    </row>
    <row r="169" spans="1:32" x14ac:dyDescent="0.3">
      <c r="A169" t="s">
        <v>1355</v>
      </c>
      <c r="B169" t="s">
        <v>1356</v>
      </c>
      <c r="G169" t="s">
        <v>290</v>
      </c>
      <c r="H169" t="s">
        <v>132</v>
      </c>
      <c r="I169" t="s">
        <v>1</v>
      </c>
      <c r="J169" t="s">
        <v>133</v>
      </c>
      <c r="K169" t="s">
        <v>51</v>
      </c>
      <c r="L169" t="s">
        <v>1348</v>
      </c>
      <c r="M169" t="s">
        <v>134</v>
      </c>
      <c r="N169" t="s">
        <v>135</v>
      </c>
      <c r="Q169" t="s">
        <v>291</v>
      </c>
      <c r="U169" t="s">
        <v>137</v>
      </c>
      <c r="V169" t="s">
        <v>1279</v>
      </c>
      <c r="X169" t="s">
        <v>71</v>
      </c>
      <c r="AA169" t="s">
        <v>292</v>
      </c>
      <c r="AB169" t="s">
        <v>1</v>
      </c>
      <c r="AC169" t="s">
        <v>138</v>
      </c>
      <c r="AD169" t="s">
        <v>128</v>
      </c>
      <c r="AE169" s="97">
        <f>VLOOKUP(A:A,SUMMERY!AA:AC,2,FALSE)</f>
        <v>46233</v>
      </c>
      <c r="AF169" s="6" t="str">
        <f>VLOOKUP(A:A,SUMMERY!AA:AC,3,FALSE)</f>
        <v>Priority-1</v>
      </c>
    </row>
    <row r="170" spans="1:32" x14ac:dyDescent="0.3">
      <c r="A170" t="s">
        <v>1357</v>
      </c>
      <c r="B170" t="s">
        <v>1358</v>
      </c>
      <c r="G170" t="s">
        <v>290</v>
      </c>
      <c r="H170" t="s">
        <v>132</v>
      </c>
      <c r="I170" t="s">
        <v>1</v>
      </c>
      <c r="J170" t="s">
        <v>133</v>
      </c>
      <c r="K170" t="s">
        <v>51</v>
      </c>
      <c r="L170" t="s">
        <v>1348</v>
      </c>
      <c r="M170" t="s">
        <v>134</v>
      </c>
      <c r="N170" t="s">
        <v>135</v>
      </c>
      <c r="Q170" t="s">
        <v>291</v>
      </c>
      <c r="U170" t="s">
        <v>137</v>
      </c>
      <c r="V170" t="s">
        <v>1279</v>
      </c>
      <c r="X170" t="s">
        <v>71</v>
      </c>
      <c r="AA170" t="s">
        <v>292</v>
      </c>
      <c r="AB170" t="s">
        <v>1</v>
      </c>
      <c r="AC170" t="s">
        <v>138</v>
      </c>
      <c r="AD170" t="s">
        <v>128</v>
      </c>
      <c r="AE170" s="97">
        <f>VLOOKUP(A:A,SUMMERY!AA:AC,2,FALSE)</f>
        <v>46233</v>
      </c>
      <c r="AF170" s="6" t="str">
        <f>VLOOKUP(A:A,SUMMERY!AA:AC,3,FALSE)</f>
        <v>Priority-1</v>
      </c>
    </row>
    <row r="171" spans="1:32" x14ac:dyDescent="0.3">
      <c r="A171" t="s">
        <v>1359</v>
      </c>
      <c r="B171" t="s">
        <v>1360</v>
      </c>
      <c r="G171" t="s">
        <v>290</v>
      </c>
      <c r="H171" t="s">
        <v>132</v>
      </c>
      <c r="I171" t="s">
        <v>1</v>
      </c>
      <c r="J171" t="s">
        <v>133</v>
      </c>
      <c r="K171" t="s">
        <v>51</v>
      </c>
      <c r="L171" t="s">
        <v>1348</v>
      </c>
      <c r="M171" t="s">
        <v>134</v>
      </c>
      <c r="N171" t="s">
        <v>135</v>
      </c>
      <c r="Q171" t="s">
        <v>291</v>
      </c>
      <c r="U171" t="s">
        <v>137</v>
      </c>
      <c r="V171" t="s">
        <v>1279</v>
      </c>
      <c r="X171" t="s">
        <v>71</v>
      </c>
      <c r="AA171" t="s">
        <v>292</v>
      </c>
      <c r="AB171" t="s">
        <v>1</v>
      </c>
      <c r="AC171" t="s">
        <v>138</v>
      </c>
      <c r="AD171" t="s">
        <v>128</v>
      </c>
      <c r="AE171" s="97">
        <f>VLOOKUP(A:A,SUMMERY!AA:AC,2,FALSE)</f>
        <v>46233</v>
      </c>
      <c r="AF171" s="6" t="str">
        <f>VLOOKUP(A:A,SUMMERY!AA:AC,3,FALSE)</f>
        <v>Priority-1</v>
      </c>
    </row>
    <row r="172" spans="1:32" x14ac:dyDescent="0.3">
      <c r="A172" t="s">
        <v>1361</v>
      </c>
      <c r="B172" t="s">
        <v>1362</v>
      </c>
      <c r="G172" t="s">
        <v>290</v>
      </c>
      <c r="H172" t="s">
        <v>132</v>
      </c>
      <c r="I172" t="s">
        <v>1</v>
      </c>
      <c r="J172" t="s">
        <v>133</v>
      </c>
      <c r="K172" t="s">
        <v>51</v>
      </c>
      <c r="L172" t="s">
        <v>1348</v>
      </c>
      <c r="M172" t="s">
        <v>134</v>
      </c>
      <c r="N172" t="s">
        <v>135</v>
      </c>
      <c r="Q172" t="s">
        <v>291</v>
      </c>
      <c r="U172" t="s">
        <v>137</v>
      </c>
      <c r="V172" t="s">
        <v>1279</v>
      </c>
      <c r="X172" t="s">
        <v>71</v>
      </c>
      <c r="AA172" t="s">
        <v>292</v>
      </c>
      <c r="AB172" t="s">
        <v>1</v>
      </c>
      <c r="AC172" t="s">
        <v>138</v>
      </c>
      <c r="AD172" t="s">
        <v>128</v>
      </c>
      <c r="AE172" s="97">
        <f>VLOOKUP(A:A,SUMMERY!AA:AC,2,FALSE)</f>
        <v>46233</v>
      </c>
      <c r="AF172" s="6" t="str">
        <f>VLOOKUP(A:A,SUMMERY!AA:AC,3,FALSE)</f>
        <v>Priority-1</v>
      </c>
    </row>
    <row r="173" spans="1:32" x14ac:dyDescent="0.3">
      <c r="A173" t="s">
        <v>1363</v>
      </c>
      <c r="B173" t="s">
        <v>1364</v>
      </c>
      <c r="G173" t="s">
        <v>290</v>
      </c>
      <c r="H173" t="s">
        <v>132</v>
      </c>
      <c r="I173" t="s">
        <v>1</v>
      </c>
      <c r="J173" t="s">
        <v>133</v>
      </c>
      <c r="K173" t="s">
        <v>51</v>
      </c>
      <c r="L173" t="s">
        <v>1348</v>
      </c>
      <c r="M173" t="s">
        <v>134</v>
      </c>
      <c r="N173" t="s">
        <v>135</v>
      </c>
      <c r="Q173" t="s">
        <v>291</v>
      </c>
      <c r="U173" t="s">
        <v>137</v>
      </c>
      <c r="V173" t="s">
        <v>1279</v>
      </c>
      <c r="X173" t="s">
        <v>71</v>
      </c>
      <c r="AA173" t="s">
        <v>292</v>
      </c>
      <c r="AB173" t="s">
        <v>1</v>
      </c>
      <c r="AC173" t="s">
        <v>138</v>
      </c>
      <c r="AD173" t="s">
        <v>128</v>
      </c>
      <c r="AE173" s="97">
        <f>VLOOKUP(A:A,SUMMERY!AA:AC,2,FALSE)</f>
        <v>46233</v>
      </c>
      <c r="AF173" s="6" t="str">
        <f>VLOOKUP(A:A,SUMMERY!AA:AC,3,FALSE)</f>
        <v>Priority-1</v>
      </c>
    </row>
    <row r="174" spans="1:32" x14ac:dyDescent="0.3">
      <c r="A174" t="s">
        <v>1365</v>
      </c>
      <c r="B174" t="s">
        <v>1366</v>
      </c>
      <c r="G174" t="s">
        <v>290</v>
      </c>
      <c r="H174" t="s">
        <v>132</v>
      </c>
      <c r="I174" t="s">
        <v>1</v>
      </c>
      <c r="J174" t="s">
        <v>133</v>
      </c>
      <c r="K174" t="s">
        <v>51</v>
      </c>
      <c r="L174" t="s">
        <v>1348</v>
      </c>
      <c r="M174" t="s">
        <v>134</v>
      </c>
      <c r="N174" t="s">
        <v>135</v>
      </c>
      <c r="Q174" t="s">
        <v>291</v>
      </c>
      <c r="U174" t="s">
        <v>137</v>
      </c>
      <c r="V174" t="s">
        <v>1279</v>
      </c>
      <c r="X174" t="s">
        <v>71</v>
      </c>
      <c r="AA174" t="s">
        <v>292</v>
      </c>
      <c r="AB174" t="s">
        <v>1</v>
      </c>
      <c r="AC174" t="s">
        <v>138</v>
      </c>
      <c r="AD174" t="s">
        <v>128</v>
      </c>
      <c r="AE174" s="97">
        <f>VLOOKUP(A:A,SUMMERY!AA:AC,2,FALSE)</f>
        <v>46233</v>
      </c>
      <c r="AF174" s="6" t="str">
        <f>VLOOKUP(A:A,SUMMERY!AA:AC,3,FALSE)</f>
        <v>Priority-1</v>
      </c>
    </row>
    <row r="175" spans="1:32" x14ac:dyDescent="0.3">
      <c r="A175" t="s">
        <v>1367</v>
      </c>
      <c r="B175" t="s">
        <v>1368</v>
      </c>
      <c r="G175" t="s">
        <v>290</v>
      </c>
      <c r="H175" t="s">
        <v>132</v>
      </c>
      <c r="I175" t="s">
        <v>1</v>
      </c>
      <c r="J175" t="s">
        <v>133</v>
      </c>
      <c r="K175" t="s">
        <v>51</v>
      </c>
      <c r="L175" t="s">
        <v>1348</v>
      </c>
      <c r="M175" t="s">
        <v>134</v>
      </c>
      <c r="N175" t="s">
        <v>135</v>
      </c>
      <c r="Q175" t="s">
        <v>291</v>
      </c>
      <c r="U175" t="s">
        <v>137</v>
      </c>
      <c r="V175" t="s">
        <v>1279</v>
      </c>
      <c r="X175" t="s">
        <v>71</v>
      </c>
      <c r="AA175" t="s">
        <v>292</v>
      </c>
      <c r="AB175" t="s">
        <v>1</v>
      </c>
      <c r="AC175" t="s">
        <v>138</v>
      </c>
      <c r="AD175" t="s">
        <v>128</v>
      </c>
      <c r="AE175" s="97">
        <f>VLOOKUP(A:A,SUMMERY!AA:AC,2,FALSE)</f>
        <v>46233</v>
      </c>
      <c r="AF175" s="6" t="str">
        <f>VLOOKUP(A:A,SUMMERY!AA:AC,3,FALSE)</f>
        <v>Priority-1</v>
      </c>
    </row>
    <row r="176" spans="1:32" x14ac:dyDescent="0.3">
      <c r="A176" t="s">
        <v>1369</v>
      </c>
      <c r="B176" t="s">
        <v>1370</v>
      </c>
      <c r="G176" t="s">
        <v>290</v>
      </c>
      <c r="H176" t="s">
        <v>132</v>
      </c>
      <c r="I176" t="s">
        <v>1</v>
      </c>
      <c r="J176" t="s">
        <v>133</v>
      </c>
      <c r="K176" t="s">
        <v>51</v>
      </c>
      <c r="L176" t="s">
        <v>1371</v>
      </c>
      <c r="M176" t="s">
        <v>134</v>
      </c>
      <c r="N176" t="s">
        <v>135</v>
      </c>
      <c r="Q176" t="s">
        <v>291</v>
      </c>
      <c r="U176" t="s">
        <v>137</v>
      </c>
      <c r="V176" t="s">
        <v>1283</v>
      </c>
      <c r="X176" t="s">
        <v>78</v>
      </c>
      <c r="AA176" t="s">
        <v>292</v>
      </c>
      <c r="AB176" t="s">
        <v>1</v>
      </c>
      <c r="AC176" t="s">
        <v>138</v>
      </c>
      <c r="AD176" t="s">
        <v>128</v>
      </c>
      <c r="AE176" s="97">
        <f>VLOOKUP(A:A,SUMMERY!AA:AC,2,FALSE)</f>
        <v>46234</v>
      </c>
      <c r="AF176" s="6" t="str">
        <f>VLOOKUP(A:A,SUMMERY!AA:AC,3,FALSE)</f>
        <v>Priority-1</v>
      </c>
    </row>
    <row r="177" spans="1:32" x14ac:dyDescent="0.3">
      <c r="A177" t="s">
        <v>1372</v>
      </c>
      <c r="B177" t="s">
        <v>1373</v>
      </c>
      <c r="G177" t="s">
        <v>290</v>
      </c>
      <c r="H177" t="s">
        <v>132</v>
      </c>
      <c r="I177" t="s">
        <v>1</v>
      </c>
      <c r="J177" t="s">
        <v>133</v>
      </c>
      <c r="K177" t="s">
        <v>51</v>
      </c>
      <c r="L177" t="s">
        <v>1371</v>
      </c>
      <c r="M177" t="s">
        <v>134</v>
      </c>
      <c r="N177" t="s">
        <v>135</v>
      </c>
      <c r="Q177" t="s">
        <v>291</v>
      </c>
      <c r="U177" t="s">
        <v>137</v>
      </c>
      <c r="V177" t="s">
        <v>1283</v>
      </c>
      <c r="X177" t="s">
        <v>78</v>
      </c>
      <c r="AA177" t="s">
        <v>292</v>
      </c>
      <c r="AB177" t="s">
        <v>1</v>
      </c>
      <c r="AC177" t="s">
        <v>138</v>
      </c>
      <c r="AD177" t="s">
        <v>128</v>
      </c>
      <c r="AE177" s="97">
        <f>VLOOKUP(A:A,SUMMERY!AA:AC,2,FALSE)</f>
        <v>46234</v>
      </c>
      <c r="AF177" s="6" t="str">
        <f>VLOOKUP(A:A,SUMMERY!AA:AC,3,FALSE)</f>
        <v>Priority-1</v>
      </c>
    </row>
    <row r="178" spans="1:32" x14ac:dyDescent="0.3">
      <c r="A178" t="s">
        <v>1374</v>
      </c>
      <c r="B178" t="s">
        <v>1375</v>
      </c>
      <c r="G178" t="s">
        <v>290</v>
      </c>
      <c r="H178" t="s">
        <v>132</v>
      </c>
      <c r="I178" t="s">
        <v>1</v>
      </c>
      <c r="J178" t="s">
        <v>133</v>
      </c>
      <c r="K178" t="s">
        <v>51</v>
      </c>
      <c r="L178" t="s">
        <v>1371</v>
      </c>
      <c r="M178" t="s">
        <v>134</v>
      </c>
      <c r="N178" t="s">
        <v>135</v>
      </c>
      <c r="Q178" t="s">
        <v>291</v>
      </c>
      <c r="U178" t="s">
        <v>137</v>
      </c>
      <c r="V178" t="s">
        <v>1283</v>
      </c>
      <c r="X178" t="s">
        <v>78</v>
      </c>
      <c r="AA178" t="s">
        <v>292</v>
      </c>
      <c r="AB178" t="s">
        <v>1</v>
      </c>
      <c r="AC178" t="s">
        <v>138</v>
      </c>
      <c r="AD178" t="s">
        <v>128</v>
      </c>
      <c r="AE178" s="97">
        <f>VLOOKUP(A:A,SUMMERY!AA:AC,2,FALSE)</f>
        <v>46234</v>
      </c>
      <c r="AF178" s="6" t="str">
        <f>VLOOKUP(A:A,SUMMERY!AA:AC,3,FALSE)</f>
        <v>Priority-1</v>
      </c>
    </row>
    <row r="179" spans="1:32" x14ac:dyDescent="0.3">
      <c r="A179" t="s">
        <v>1376</v>
      </c>
      <c r="B179" t="s">
        <v>1377</v>
      </c>
      <c r="G179" t="s">
        <v>290</v>
      </c>
      <c r="H179" t="s">
        <v>132</v>
      </c>
      <c r="I179" t="s">
        <v>1</v>
      </c>
      <c r="J179" t="s">
        <v>133</v>
      </c>
      <c r="K179" t="s">
        <v>51</v>
      </c>
      <c r="L179" t="s">
        <v>1371</v>
      </c>
      <c r="M179" t="s">
        <v>134</v>
      </c>
      <c r="N179" t="s">
        <v>135</v>
      </c>
      <c r="Q179" t="s">
        <v>291</v>
      </c>
      <c r="U179" t="s">
        <v>137</v>
      </c>
      <c r="V179" t="s">
        <v>1283</v>
      </c>
      <c r="X179" t="s">
        <v>78</v>
      </c>
      <c r="AA179" t="s">
        <v>292</v>
      </c>
      <c r="AB179" t="s">
        <v>1</v>
      </c>
      <c r="AC179" t="s">
        <v>138</v>
      </c>
      <c r="AD179" t="s">
        <v>128</v>
      </c>
      <c r="AE179" s="97">
        <f>VLOOKUP(A:A,SUMMERY!AA:AC,2,FALSE)</f>
        <v>46234</v>
      </c>
      <c r="AF179" s="6" t="str">
        <f>VLOOKUP(A:A,SUMMERY!AA:AC,3,FALSE)</f>
        <v>Priority-1</v>
      </c>
    </row>
    <row r="180" spans="1:32" x14ac:dyDescent="0.3">
      <c r="A180" t="s">
        <v>1378</v>
      </c>
      <c r="B180" t="s">
        <v>1379</v>
      </c>
      <c r="G180" t="s">
        <v>290</v>
      </c>
      <c r="H180" t="s">
        <v>132</v>
      </c>
      <c r="I180" t="s">
        <v>1</v>
      </c>
      <c r="J180" t="s">
        <v>133</v>
      </c>
      <c r="K180" t="s">
        <v>51</v>
      </c>
      <c r="L180" t="s">
        <v>1371</v>
      </c>
      <c r="M180" t="s">
        <v>134</v>
      </c>
      <c r="N180" t="s">
        <v>135</v>
      </c>
      <c r="Q180" t="s">
        <v>291</v>
      </c>
      <c r="U180" t="s">
        <v>137</v>
      </c>
      <c r="V180" t="s">
        <v>1283</v>
      </c>
      <c r="X180" t="s">
        <v>78</v>
      </c>
      <c r="AA180" t="s">
        <v>292</v>
      </c>
      <c r="AB180" t="s">
        <v>1</v>
      </c>
      <c r="AC180" t="s">
        <v>138</v>
      </c>
      <c r="AD180" t="s">
        <v>128</v>
      </c>
      <c r="AE180" s="97">
        <f>VLOOKUP(A:A,SUMMERY!AA:AC,2,FALSE)</f>
        <v>46234</v>
      </c>
      <c r="AF180" s="6" t="str">
        <f>VLOOKUP(A:A,SUMMERY!AA:AC,3,FALSE)</f>
        <v>Priority-1</v>
      </c>
    </row>
    <row r="181" spans="1:32" x14ac:dyDescent="0.3">
      <c r="A181" t="s">
        <v>1380</v>
      </c>
      <c r="B181" t="s">
        <v>1381</v>
      </c>
      <c r="G181" t="s">
        <v>290</v>
      </c>
      <c r="H181" t="s">
        <v>132</v>
      </c>
      <c r="I181" t="s">
        <v>1</v>
      </c>
      <c r="J181" t="s">
        <v>133</v>
      </c>
      <c r="K181" t="s">
        <v>51</v>
      </c>
      <c r="L181" t="s">
        <v>1371</v>
      </c>
      <c r="M181" t="s">
        <v>134</v>
      </c>
      <c r="N181" t="s">
        <v>135</v>
      </c>
      <c r="Q181" t="s">
        <v>291</v>
      </c>
      <c r="U181" t="s">
        <v>137</v>
      </c>
      <c r="V181" t="s">
        <v>1283</v>
      </c>
      <c r="X181" t="s">
        <v>78</v>
      </c>
      <c r="AA181" t="s">
        <v>292</v>
      </c>
      <c r="AB181" t="s">
        <v>1</v>
      </c>
      <c r="AC181" t="s">
        <v>138</v>
      </c>
      <c r="AD181" t="s">
        <v>128</v>
      </c>
      <c r="AE181" s="97">
        <f>VLOOKUP(A:A,SUMMERY!AA:AC,2,FALSE)</f>
        <v>46234</v>
      </c>
      <c r="AF181" s="6" t="str">
        <f>VLOOKUP(A:A,SUMMERY!AA:AC,3,FALSE)</f>
        <v>Priority-1</v>
      </c>
    </row>
    <row r="182" spans="1:32" x14ac:dyDescent="0.3">
      <c r="A182" t="s">
        <v>1382</v>
      </c>
      <c r="B182" t="s">
        <v>1383</v>
      </c>
      <c r="G182" t="s">
        <v>290</v>
      </c>
      <c r="H182" t="s">
        <v>132</v>
      </c>
      <c r="I182" t="s">
        <v>1</v>
      </c>
      <c r="J182" t="s">
        <v>133</v>
      </c>
      <c r="K182" t="s">
        <v>51</v>
      </c>
      <c r="L182" t="s">
        <v>1371</v>
      </c>
      <c r="M182" t="s">
        <v>134</v>
      </c>
      <c r="N182" t="s">
        <v>135</v>
      </c>
      <c r="Q182" t="s">
        <v>291</v>
      </c>
      <c r="U182" t="s">
        <v>137</v>
      </c>
      <c r="V182" t="s">
        <v>1283</v>
      </c>
      <c r="X182" t="s">
        <v>78</v>
      </c>
      <c r="AA182" t="s">
        <v>292</v>
      </c>
      <c r="AB182" t="s">
        <v>1</v>
      </c>
      <c r="AC182" t="s">
        <v>138</v>
      </c>
      <c r="AD182" t="s">
        <v>128</v>
      </c>
      <c r="AE182" s="97">
        <f>VLOOKUP(A:A,SUMMERY!AA:AC,2,FALSE)</f>
        <v>46234</v>
      </c>
      <c r="AF182" s="6" t="str">
        <f>VLOOKUP(A:A,SUMMERY!AA:AC,3,FALSE)</f>
        <v>Priority-1</v>
      </c>
    </row>
    <row r="183" spans="1:32" x14ac:dyDescent="0.3">
      <c r="A183" t="s">
        <v>1384</v>
      </c>
      <c r="B183" t="s">
        <v>1385</v>
      </c>
      <c r="G183" t="s">
        <v>290</v>
      </c>
      <c r="H183" t="s">
        <v>132</v>
      </c>
      <c r="I183" t="s">
        <v>1</v>
      </c>
      <c r="J183" t="s">
        <v>133</v>
      </c>
      <c r="K183" t="s">
        <v>51</v>
      </c>
      <c r="L183" t="s">
        <v>1371</v>
      </c>
      <c r="M183" t="s">
        <v>134</v>
      </c>
      <c r="N183" t="s">
        <v>135</v>
      </c>
      <c r="Q183" t="s">
        <v>291</v>
      </c>
      <c r="U183" t="s">
        <v>137</v>
      </c>
      <c r="V183" t="s">
        <v>1283</v>
      </c>
      <c r="X183" t="s">
        <v>78</v>
      </c>
      <c r="AA183" t="s">
        <v>292</v>
      </c>
      <c r="AB183" t="s">
        <v>1</v>
      </c>
      <c r="AC183" t="s">
        <v>138</v>
      </c>
      <c r="AD183" t="s">
        <v>128</v>
      </c>
      <c r="AE183" s="97">
        <f>VLOOKUP(A:A,SUMMERY!AA:AC,2,FALSE)</f>
        <v>46234</v>
      </c>
      <c r="AF183" s="6" t="str">
        <f>VLOOKUP(A:A,SUMMERY!AA:AC,3,FALSE)</f>
        <v>Priority-1</v>
      </c>
    </row>
    <row r="184" spans="1:32" x14ac:dyDescent="0.3">
      <c r="A184" t="s">
        <v>1386</v>
      </c>
      <c r="B184" t="s">
        <v>1387</v>
      </c>
      <c r="G184" t="s">
        <v>290</v>
      </c>
      <c r="H184" t="s">
        <v>132</v>
      </c>
      <c r="I184" t="s">
        <v>1</v>
      </c>
      <c r="J184" t="s">
        <v>133</v>
      </c>
      <c r="K184" t="s">
        <v>51</v>
      </c>
      <c r="L184" t="s">
        <v>1371</v>
      </c>
      <c r="M184" t="s">
        <v>134</v>
      </c>
      <c r="N184" t="s">
        <v>135</v>
      </c>
      <c r="Q184" t="s">
        <v>291</v>
      </c>
      <c r="U184" t="s">
        <v>137</v>
      </c>
      <c r="V184" t="s">
        <v>1283</v>
      </c>
      <c r="X184" t="s">
        <v>78</v>
      </c>
      <c r="AA184" t="s">
        <v>292</v>
      </c>
      <c r="AB184" t="s">
        <v>1</v>
      </c>
      <c r="AC184" t="s">
        <v>138</v>
      </c>
      <c r="AD184" t="s">
        <v>128</v>
      </c>
      <c r="AE184" s="97">
        <f>VLOOKUP(A:A,SUMMERY!AA:AC,2,FALSE)</f>
        <v>46234</v>
      </c>
      <c r="AF184" s="6" t="str">
        <f>VLOOKUP(A:A,SUMMERY!AA:AC,3,FALSE)</f>
        <v>Priority-1</v>
      </c>
    </row>
    <row r="185" spans="1:32" x14ac:dyDescent="0.3">
      <c r="A185" t="s">
        <v>1388</v>
      </c>
      <c r="B185" t="s">
        <v>1389</v>
      </c>
      <c r="G185" t="s">
        <v>290</v>
      </c>
      <c r="H185" t="s">
        <v>132</v>
      </c>
      <c r="I185" t="s">
        <v>1</v>
      </c>
      <c r="J185" t="s">
        <v>133</v>
      </c>
      <c r="K185" t="s">
        <v>51</v>
      </c>
      <c r="L185" t="s">
        <v>1371</v>
      </c>
      <c r="M185" t="s">
        <v>134</v>
      </c>
      <c r="N185" t="s">
        <v>135</v>
      </c>
      <c r="Q185" t="s">
        <v>291</v>
      </c>
      <c r="U185" t="s">
        <v>137</v>
      </c>
      <c r="V185" t="s">
        <v>1283</v>
      </c>
      <c r="X185" t="s">
        <v>78</v>
      </c>
      <c r="AA185" t="s">
        <v>292</v>
      </c>
      <c r="AB185" t="s">
        <v>1</v>
      </c>
      <c r="AC185" t="s">
        <v>138</v>
      </c>
      <c r="AD185" t="s">
        <v>128</v>
      </c>
      <c r="AE185" s="97">
        <f>VLOOKUP(A:A,SUMMERY!AA:AC,2,FALSE)</f>
        <v>46234</v>
      </c>
      <c r="AF185" s="6" t="str">
        <f>VLOOKUP(A:A,SUMMERY!AA:AC,3,FALSE)</f>
        <v>Priority-1</v>
      </c>
    </row>
    <row r="186" spans="1:32" x14ac:dyDescent="0.3">
      <c r="A186" t="s">
        <v>1390</v>
      </c>
      <c r="B186" t="s">
        <v>1391</v>
      </c>
      <c r="G186" t="s">
        <v>290</v>
      </c>
      <c r="H186" t="s">
        <v>132</v>
      </c>
      <c r="I186" t="s">
        <v>1</v>
      </c>
      <c r="J186" t="s">
        <v>133</v>
      </c>
      <c r="K186" t="s">
        <v>51</v>
      </c>
      <c r="L186" t="s">
        <v>1371</v>
      </c>
      <c r="M186" t="s">
        <v>134</v>
      </c>
      <c r="N186" t="s">
        <v>135</v>
      </c>
      <c r="Q186" t="s">
        <v>291</v>
      </c>
      <c r="U186" t="s">
        <v>137</v>
      </c>
      <c r="V186" t="s">
        <v>1283</v>
      </c>
      <c r="X186" t="s">
        <v>78</v>
      </c>
      <c r="AA186" t="s">
        <v>292</v>
      </c>
      <c r="AB186" t="s">
        <v>1</v>
      </c>
      <c r="AC186" t="s">
        <v>138</v>
      </c>
      <c r="AD186" t="s">
        <v>128</v>
      </c>
      <c r="AE186" s="97">
        <f>VLOOKUP(A:A,SUMMERY!AA:AC,2,FALSE)</f>
        <v>46234</v>
      </c>
      <c r="AF186" s="6" t="str">
        <f>VLOOKUP(A:A,SUMMERY!AA:AC,3,FALSE)</f>
        <v>Priority-1</v>
      </c>
    </row>
    <row r="187" spans="1:32" x14ac:dyDescent="0.3">
      <c r="A187" t="s">
        <v>1507</v>
      </c>
      <c r="B187" t="s">
        <v>1508</v>
      </c>
      <c r="G187" t="s">
        <v>290</v>
      </c>
      <c r="H187" t="s">
        <v>132</v>
      </c>
      <c r="I187" t="s">
        <v>1</v>
      </c>
      <c r="J187" t="s">
        <v>133</v>
      </c>
      <c r="K187" t="s">
        <v>51</v>
      </c>
      <c r="L187" t="s">
        <v>1509</v>
      </c>
      <c r="M187" t="s">
        <v>134</v>
      </c>
      <c r="N187" t="s">
        <v>135</v>
      </c>
      <c r="Q187" t="s">
        <v>291</v>
      </c>
      <c r="U187" t="s">
        <v>137</v>
      </c>
      <c r="V187" t="s">
        <v>1279</v>
      </c>
      <c r="X187" t="s">
        <v>71</v>
      </c>
      <c r="AA187" t="s">
        <v>292</v>
      </c>
      <c r="AB187" t="s">
        <v>1</v>
      </c>
      <c r="AC187" t="s">
        <v>138</v>
      </c>
      <c r="AD187" t="s">
        <v>128</v>
      </c>
      <c r="AE187" s="97">
        <f>VLOOKUP(A:A,SUMMERY!AA:AC,2,FALSE)</f>
        <v>46233</v>
      </c>
      <c r="AF187" s="6" t="str">
        <f>VLOOKUP(A:A,SUMMERY!AA:AC,3,FALSE)</f>
        <v>Priority-1</v>
      </c>
    </row>
    <row r="188" spans="1:32" x14ac:dyDescent="0.3">
      <c r="A188" t="s">
        <v>1510</v>
      </c>
      <c r="B188" t="s">
        <v>1511</v>
      </c>
      <c r="G188" t="s">
        <v>290</v>
      </c>
      <c r="H188" t="s">
        <v>132</v>
      </c>
      <c r="I188" t="s">
        <v>1</v>
      </c>
      <c r="J188" t="s">
        <v>133</v>
      </c>
      <c r="K188" t="s">
        <v>51</v>
      </c>
      <c r="L188" t="s">
        <v>1512</v>
      </c>
      <c r="M188" t="s">
        <v>134</v>
      </c>
      <c r="N188" t="s">
        <v>135</v>
      </c>
      <c r="Q188" t="s">
        <v>291</v>
      </c>
      <c r="U188" t="s">
        <v>137</v>
      </c>
      <c r="V188" t="s">
        <v>1283</v>
      </c>
      <c r="X188" t="s">
        <v>78</v>
      </c>
      <c r="AA188" t="s">
        <v>292</v>
      </c>
      <c r="AB188" t="s">
        <v>1</v>
      </c>
      <c r="AC188" t="s">
        <v>138</v>
      </c>
      <c r="AD188" t="s">
        <v>128</v>
      </c>
      <c r="AE188" s="97">
        <f>VLOOKUP(A:A,SUMMERY!AA:AC,2,FALSE)</f>
        <v>46234</v>
      </c>
      <c r="AF188" s="6" t="str">
        <f>VLOOKUP(A:A,SUMMERY!AA:AC,3,FALSE)</f>
        <v>Priority-1</v>
      </c>
    </row>
    <row r="189" spans="1:32" x14ac:dyDescent="0.3">
      <c r="A189" t="s">
        <v>1528</v>
      </c>
      <c r="B189" t="s">
        <v>1529</v>
      </c>
      <c r="G189" t="s">
        <v>290</v>
      </c>
      <c r="H189" t="s">
        <v>132</v>
      </c>
      <c r="I189" t="s">
        <v>1</v>
      </c>
      <c r="J189" t="s">
        <v>133</v>
      </c>
      <c r="K189" t="s">
        <v>51</v>
      </c>
      <c r="L189" t="s">
        <v>1530</v>
      </c>
      <c r="M189" t="s">
        <v>134</v>
      </c>
      <c r="N189" t="s">
        <v>135</v>
      </c>
      <c r="Q189" t="s">
        <v>291</v>
      </c>
      <c r="U189" t="s">
        <v>137</v>
      </c>
      <c r="V189" t="s">
        <v>1279</v>
      </c>
      <c r="X189" t="s">
        <v>71</v>
      </c>
      <c r="AA189" t="s">
        <v>292</v>
      </c>
      <c r="AB189" t="s">
        <v>1</v>
      </c>
      <c r="AC189" t="s">
        <v>138</v>
      </c>
      <c r="AD189" t="s">
        <v>128</v>
      </c>
      <c r="AE189" s="97">
        <f>VLOOKUP(A:A,SUMMERY!AA:AC,2,FALSE)</f>
        <v>46233</v>
      </c>
      <c r="AF189" s="6" t="str">
        <f>VLOOKUP(A:A,SUMMERY!AA:AC,3,FALSE)</f>
        <v>Priority-1</v>
      </c>
    </row>
    <row r="190" spans="1:32" x14ac:dyDescent="0.3">
      <c r="A190" t="s">
        <v>1531</v>
      </c>
      <c r="B190" t="s">
        <v>1532</v>
      </c>
      <c r="G190" t="s">
        <v>290</v>
      </c>
      <c r="H190" t="s">
        <v>132</v>
      </c>
      <c r="I190" t="s">
        <v>1</v>
      </c>
      <c r="J190" t="s">
        <v>133</v>
      </c>
      <c r="K190" t="s">
        <v>51</v>
      </c>
      <c r="L190" t="s">
        <v>1533</v>
      </c>
      <c r="M190" t="s">
        <v>134</v>
      </c>
      <c r="N190" t="s">
        <v>135</v>
      </c>
      <c r="Q190" t="s">
        <v>291</v>
      </c>
      <c r="U190" t="s">
        <v>137</v>
      </c>
      <c r="V190" t="s">
        <v>1283</v>
      </c>
      <c r="X190" t="s">
        <v>78</v>
      </c>
      <c r="AA190" t="s">
        <v>292</v>
      </c>
      <c r="AB190" t="s">
        <v>1</v>
      </c>
      <c r="AC190" t="s">
        <v>138</v>
      </c>
      <c r="AD190" t="s">
        <v>128</v>
      </c>
      <c r="AE190" s="97">
        <f>VLOOKUP(A:A,SUMMERY!AA:AC,2,FALSE)</f>
        <v>46234</v>
      </c>
      <c r="AF190" s="6" t="str">
        <f>VLOOKUP(A:A,SUMMERY!AA:AC,3,FALSE)</f>
        <v>Priority-1</v>
      </c>
    </row>
    <row r="191" spans="1:32" x14ac:dyDescent="0.3">
      <c r="A191" t="s">
        <v>1549</v>
      </c>
      <c r="B191" t="s">
        <v>1550</v>
      </c>
      <c r="G191" t="s">
        <v>290</v>
      </c>
      <c r="H191" t="s">
        <v>132</v>
      </c>
      <c r="I191" t="s">
        <v>1</v>
      </c>
      <c r="J191" t="s">
        <v>133</v>
      </c>
      <c r="K191" t="s">
        <v>51</v>
      </c>
      <c r="L191" t="s">
        <v>1551</v>
      </c>
      <c r="M191" t="s">
        <v>134</v>
      </c>
      <c r="N191" t="s">
        <v>135</v>
      </c>
      <c r="Q191" t="s">
        <v>291</v>
      </c>
      <c r="U191" t="s">
        <v>137</v>
      </c>
      <c r="V191" t="s">
        <v>1259</v>
      </c>
      <c r="X191" t="s">
        <v>126</v>
      </c>
      <c r="AA191" t="s">
        <v>292</v>
      </c>
      <c r="AB191" t="s">
        <v>1</v>
      </c>
      <c r="AC191" t="s">
        <v>138</v>
      </c>
      <c r="AD191" t="s">
        <v>131</v>
      </c>
      <c r="AE191" s="97">
        <f>VLOOKUP(A:A,SUMMERY!AA:AC,2,FALSE)</f>
        <v>46234</v>
      </c>
      <c r="AF191" s="6" t="str">
        <f>VLOOKUP(A:A,SUMMERY!AA:AC,3,FALSE)</f>
        <v>Priority-2</v>
      </c>
    </row>
    <row r="192" spans="1:32" x14ac:dyDescent="0.3">
      <c r="A192" t="s">
        <v>1552</v>
      </c>
      <c r="B192" t="s">
        <v>1553</v>
      </c>
      <c r="G192" t="s">
        <v>290</v>
      </c>
      <c r="H192" t="s">
        <v>132</v>
      </c>
      <c r="I192" t="s">
        <v>1</v>
      </c>
      <c r="J192" t="s">
        <v>133</v>
      </c>
      <c r="K192" t="s">
        <v>51</v>
      </c>
      <c r="L192" t="s">
        <v>1551</v>
      </c>
      <c r="M192" t="s">
        <v>134</v>
      </c>
      <c r="N192" t="s">
        <v>135</v>
      </c>
      <c r="Q192" t="s">
        <v>291</v>
      </c>
      <c r="U192" t="s">
        <v>137</v>
      </c>
      <c r="V192" t="s">
        <v>1259</v>
      </c>
      <c r="X192" t="s">
        <v>126</v>
      </c>
      <c r="AA192" t="s">
        <v>292</v>
      </c>
      <c r="AB192" t="s">
        <v>1</v>
      </c>
      <c r="AC192" t="s">
        <v>138</v>
      </c>
      <c r="AD192" t="s">
        <v>131</v>
      </c>
      <c r="AE192" s="97">
        <f>VLOOKUP(A:A,SUMMERY!AA:AC,2,FALSE)</f>
        <v>46234</v>
      </c>
      <c r="AF192" s="6" t="str">
        <f>VLOOKUP(A:A,SUMMERY!AA:AC,3,FALSE)</f>
        <v>Priority-2</v>
      </c>
    </row>
    <row r="193" spans="1:32" x14ac:dyDescent="0.3">
      <c r="A193" t="s">
        <v>1554</v>
      </c>
      <c r="B193" t="s">
        <v>1555</v>
      </c>
      <c r="G193" t="s">
        <v>290</v>
      </c>
      <c r="H193" t="s">
        <v>132</v>
      </c>
      <c r="I193" t="s">
        <v>1</v>
      </c>
      <c r="J193" t="s">
        <v>133</v>
      </c>
      <c r="K193" t="s">
        <v>51</v>
      </c>
      <c r="L193" t="s">
        <v>1551</v>
      </c>
      <c r="M193" t="s">
        <v>134</v>
      </c>
      <c r="N193" t="s">
        <v>135</v>
      </c>
      <c r="Q193" t="s">
        <v>291</v>
      </c>
      <c r="U193" t="s">
        <v>137</v>
      </c>
      <c r="V193" t="s">
        <v>1259</v>
      </c>
      <c r="X193" t="s">
        <v>126</v>
      </c>
      <c r="AA193" t="s">
        <v>292</v>
      </c>
      <c r="AB193" t="s">
        <v>1</v>
      </c>
      <c r="AC193" t="s">
        <v>138</v>
      </c>
      <c r="AD193" t="s">
        <v>131</v>
      </c>
      <c r="AE193" s="97">
        <f>VLOOKUP(A:A,SUMMERY!AA:AC,2,FALSE)</f>
        <v>46234</v>
      </c>
      <c r="AF193" s="6" t="str">
        <f>VLOOKUP(A:A,SUMMERY!AA:AC,3,FALSE)</f>
        <v>Priority-2</v>
      </c>
    </row>
    <row r="194" spans="1:32" x14ac:dyDescent="0.3">
      <c r="A194" t="s">
        <v>1556</v>
      </c>
      <c r="B194" t="s">
        <v>1557</v>
      </c>
      <c r="G194" t="s">
        <v>290</v>
      </c>
      <c r="H194" t="s">
        <v>132</v>
      </c>
      <c r="I194" t="s">
        <v>1</v>
      </c>
      <c r="J194" t="s">
        <v>133</v>
      </c>
      <c r="K194" t="s">
        <v>51</v>
      </c>
      <c r="L194" t="s">
        <v>1558</v>
      </c>
      <c r="M194" t="s">
        <v>134</v>
      </c>
      <c r="N194" t="s">
        <v>135</v>
      </c>
      <c r="Q194" t="s">
        <v>291</v>
      </c>
      <c r="U194" t="s">
        <v>137</v>
      </c>
      <c r="V194" t="s">
        <v>1259</v>
      </c>
      <c r="X194" t="s">
        <v>126</v>
      </c>
      <c r="AA194" t="s">
        <v>292</v>
      </c>
      <c r="AB194" t="s">
        <v>1</v>
      </c>
      <c r="AC194" t="s">
        <v>138</v>
      </c>
      <c r="AD194" t="s">
        <v>131</v>
      </c>
      <c r="AE194" s="97">
        <f>VLOOKUP(A:A,SUMMERY!AA:AC,2,FALSE)</f>
        <v>46234</v>
      </c>
      <c r="AF194" s="6" t="str">
        <f>VLOOKUP(A:A,SUMMERY!AA:AC,3,FALSE)</f>
        <v>Priority-2</v>
      </c>
    </row>
    <row r="195" spans="1:32" x14ac:dyDescent="0.3">
      <c r="A195" t="s">
        <v>1559</v>
      </c>
      <c r="B195" t="s">
        <v>1560</v>
      </c>
      <c r="G195" t="s">
        <v>290</v>
      </c>
      <c r="H195" t="s">
        <v>132</v>
      </c>
      <c r="I195" t="s">
        <v>1</v>
      </c>
      <c r="J195" t="s">
        <v>133</v>
      </c>
      <c r="K195" t="s">
        <v>51</v>
      </c>
      <c r="L195" t="s">
        <v>1558</v>
      </c>
      <c r="M195" t="s">
        <v>134</v>
      </c>
      <c r="N195" t="s">
        <v>135</v>
      </c>
      <c r="Q195" t="s">
        <v>291</v>
      </c>
      <c r="U195" t="s">
        <v>137</v>
      </c>
      <c r="V195" t="s">
        <v>1259</v>
      </c>
      <c r="X195" t="s">
        <v>126</v>
      </c>
      <c r="AA195" t="s">
        <v>292</v>
      </c>
      <c r="AB195" t="s">
        <v>1</v>
      </c>
      <c r="AC195" t="s">
        <v>138</v>
      </c>
      <c r="AD195" t="s">
        <v>131</v>
      </c>
      <c r="AE195" s="97">
        <f>VLOOKUP(A:A,SUMMERY!AA:AC,2,FALSE)</f>
        <v>46234</v>
      </c>
      <c r="AF195" s="6" t="str">
        <f>VLOOKUP(A:A,SUMMERY!AA:AC,3,FALSE)</f>
        <v>Priority-2</v>
      </c>
    </row>
    <row r="196" spans="1:32" x14ac:dyDescent="0.3">
      <c r="A196" t="s">
        <v>1561</v>
      </c>
      <c r="B196" t="s">
        <v>1562</v>
      </c>
      <c r="G196" t="s">
        <v>290</v>
      </c>
      <c r="H196" t="s">
        <v>132</v>
      </c>
      <c r="I196" t="s">
        <v>1</v>
      </c>
      <c r="J196" t="s">
        <v>133</v>
      </c>
      <c r="K196" t="s">
        <v>51</v>
      </c>
      <c r="L196" t="s">
        <v>1558</v>
      </c>
      <c r="M196" t="s">
        <v>134</v>
      </c>
      <c r="N196" t="s">
        <v>135</v>
      </c>
      <c r="Q196" t="s">
        <v>291</v>
      </c>
      <c r="U196" t="s">
        <v>137</v>
      </c>
      <c r="V196" t="s">
        <v>1259</v>
      </c>
      <c r="X196" t="s">
        <v>126</v>
      </c>
      <c r="AA196" t="s">
        <v>292</v>
      </c>
      <c r="AB196" t="s">
        <v>1</v>
      </c>
      <c r="AC196" t="s">
        <v>138</v>
      </c>
      <c r="AD196" t="s">
        <v>131</v>
      </c>
      <c r="AE196" s="97">
        <f>VLOOKUP(A:A,SUMMERY!AA:AC,2,FALSE)</f>
        <v>46234</v>
      </c>
      <c r="AF196" s="6" t="str">
        <f>VLOOKUP(A:A,SUMMERY!AA:AC,3,FALSE)</f>
        <v>Priority-2</v>
      </c>
    </row>
    <row r="197" spans="1:32" x14ac:dyDescent="0.3">
      <c r="A197" t="s">
        <v>1563</v>
      </c>
      <c r="B197" t="s">
        <v>1564</v>
      </c>
      <c r="G197" t="s">
        <v>290</v>
      </c>
      <c r="H197" t="s">
        <v>132</v>
      </c>
      <c r="I197" t="s">
        <v>1</v>
      </c>
      <c r="J197" t="s">
        <v>133</v>
      </c>
      <c r="K197" t="s">
        <v>51</v>
      </c>
      <c r="L197" t="s">
        <v>1558</v>
      </c>
      <c r="M197" t="s">
        <v>134</v>
      </c>
      <c r="N197" t="s">
        <v>135</v>
      </c>
      <c r="Q197" t="s">
        <v>291</v>
      </c>
      <c r="U197" t="s">
        <v>137</v>
      </c>
      <c r="V197" t="s">
        <v>1259</v>
      </c>
      <c r="X197" t="s">
        <v>126</v>
      </c>
      <c r="AA197" t="s">
        <v>292</v>
      </c>
      <c r="AB197" t="s">
        <v>1</v>
      </c>
      <c r="AC197" t="s">
        <v>138</v>
      </c>
      <c r="AD197" t="s">
        <v>131</v>
      </c>
      <c r="AE197" s="97">
        <f>VLOOKUP(A:A,SUMMERY!AA:AC,2,FALSE)</f>
        <v>46234</v>
      </c>
      <c r="AF197" s="6" t="str">
        <f>VLOOKUP(A:A,SUMMERY!AA:AC,3,FALSE)</f>
        <v>Priority-2</v>
      </c>
    </row>
    <row r="198" spans="1:32" x14ac:dyDescent="0.3">
      <c r="A198" t="s">
        <v>1565</v>
      </c>
      <c r="B198" t="s">
        <v>1566</v>
      </c>
      <c r="G198" t="s">
        <v>290</v>
      </c>
      <c r="H198" t="s">
        <v>132</v>
      </c>
      <c r="I198" t="s">
        <v>1</v>
      </c>
      <c r="J198" t="s">
        <v>133</v>
      </c>
      <c r="K198" t="s">
        <v>51</v>
      </c>
      <c r="L198" t="s">
        <v>1567</v>
      </c>
      <c r="M198" t="s">
        <v>134</v>
      </c>
      <c r="N198" t="s">
        <v>135</v>
      </c>
      <c r="Q198" t="s">
        <v>291</v>
      </c>
      <c r="U198" t="s">
        <v>137</v>
      </c>
      <c r="V198" t="s">
        <v>1259</v>
      </c>
      <c r="X198" t="s">
        <v>126</v>
      </c>
      <c r="AA198" t="s">
        <v>292</v>
      </c>
      <c r="AB198" t="s">
        <v>1</v>
      </c>
      <c r="AC198" t="s">
        <v>138</v>
      </c>
      <c r="AD198" t="s">
        <v>131</v>
      </c>
      <c r="AE198" s="97">
        <f>VLOOKUP(A:A,SUMMERY!AA:AC,2,FALSE)</f>
        <v>46234</v>
      </c>
      <c r="AF198" s="6" t="str">
        <f>VLOOKUP(A:A,SUMMERY!AA:AC,3,FALSE)</f>
        <v>Priority-2</v>
      </c>
    </row>
    <row r="199" spans="1:32" x14ac:dyDescent="0.3">
      <c r="A199" t="s">
        <v>1568</v>
      </c>
      <c r="B199" t="s">
        <v>1569</v>
      </c>
      <c r="G199" t="s">
        <v>290</v>
      </c>
      <c r="H199" t="s">
        <v>132</v>
      </c>
      <c r="I199" t="s">
        <v>1</v>
      </c>
      <c r="J199" t="s">
        <v>133</v>
      </c>
      <c r="K199" t="s">
        <v>51</v>
      </c>
      <c r="L199" t="s">
        <v>1570</v>
      </c>
      <c r="M199" t="s">
        <v>134</v>
      </c>
      <c r="N199" t="s">
        <v>135</v>
      </c>
      <c r="Q199" t="s">
        <v>291</v>
      </c>
      <c r="U199" t="s">
        <v>137</v>
      </c>
      <c r="V199" t="s">
        <v>1263</v>
      </c>
      <c r="X199" t="s">
        <v>69</v>
      </c>
      <c r="AA199" t="s">
        <v>292</v>
      </c>
      <c r="AB199" t="s">
        <v>1</v>
      </c>
      <c r="AC199" t="s">
        <v>138</v>
      </c>
      <c r="AD199" t="s">
        <v>128</v>
      </c>
      <c r="AE199" s="97">
        <f>VLOOKUP(A:A,SUMMERY!AA:AC,2,FALSE)</f>
        <v>46224</v>
      </c>
      <c r="AF199" s="6" t="str">
        <f>VLOOKUP(A:A,SUMMERY!AA:AC,3,FALSE)</f>
        <v>Priority-1</v>
      </c>
    </row>
    <row r="200" spans="1:32" x14ac:dyDescent="0.3">
      <c r="A200" t="s">
        <v>1571</v>
      </c>
      <c r="B200" t="s">
        <v>1572</v>
      </c>
      <c r="G200" t="s">
        <v>290</v>
      </c>
      <c r="H200" t="s">
        <v>132</v>
      </c>
      <c r="I200" t="s">
        <v>1</v>
      </c>
      <c r="J200" t="s">
        <v>133</v>
      </c>
      <c r="K200" t="s">
        <v>51</v>
      </c>
      <c r="L200" t="s">
        <v>1570</v>
      </c>
      <c r="M200" t="s">
        <v>134</v>
      </c>
      <c r="N200" t="s">
        <v>135</v>
      </c>
      <c r="Q200" t="s">
        <v>291</v>
      </c>
      <c r="U200" t="s">
        <v>137</v>
      </c>
      <c r="V200" t="s">
        <v>1263</v>
      </c>
      <c r="X200" t="s">
        <v>69</v>
      </c>
      <c r="AA200" t="s">
        <v>292</v>
      </c>
      <c r="AB200" t="s">
        <v>1</v>
      </c>
      <c r="AC200" t="s">
        <v>138</v>
      </c>
      <c r="AD200" t="s">
        <v>128</v>
      </c>
      <c r="AE200" s="97">
        <f>VLOOKUP(A:A,SUMMERY!AA:AC,2,FALSE)</f>
        <v>46224</v>
      </c>
      <c r="AF200" s="6" t="str">
        <f>VLOOKUP(A:A,SUMMERY!AA:AC,3,FALSE)</f>
        <v>Priority-1</v>
      </c>
    </row>
    <row r="201" spans="1:32" x14ac:dyDescent="0.3">
      <c r="A201" t="s">
        <v>1573</v>
      </c>
      <c r="B201" t="s">
        <v>1574</v>
      </c>
      <c r="G201" t="s">
        <v>290</v>
      </c>
      <c r="H201" t="s">
        <v>132</v>
      </c>
      <c r="I201" t="s">
        <v>1</v>
      </c>
      <c r="J201" t="s">
        <v>133</v>
      </c>
      <c r="K201" t="s">
        <v>51</v>
      </c>
      <c r="L201" t="s">
        <v>1570</v>
      </c>
      <c r="M201" t="s">
        <v>134</v>
      </c>
      <c r="N201" t="s">
        <v>135</v>
      </c>
      <c r="Q201" t="s">
        <v>291</v>
      </c>
      <c r="U201" t="s">
        <v>137</v>
      </c>
      <c r="V201" t="s">
        <v>1263</v>
      </c>
      <c r="X201" t="s">
        <v>69</v>
      </c>
      <c r="AA201" t="s">
        <v>292</v>
      </c>
      <c r="AB201" t="s">
        <v>1</v>
      </c>
      <c r="AC201" t="s">
        <v>138</v>
      </c>
      <c r="AD201" t="s">
        <v>128</v>
      </c>
      <c r="AE201" s="97">
        <f>VLOOKUP(A:A,SUMMERY!AA:AC,2,FALSE)</f>
        <v>46224</v>
      </c>
      <c r="AF201" s="6" t="str">
        <f>VLOOKUP(A:A,SUMMERY!AA:AC,3,FALSE)</f>
        <v>Priority-1</v>
      </c>
    </row>
    <row r="202" spans="1:32" x14ac:dyDescent="0.3">
      <c r="A202" t="s">
        <v>1575</v>
      </c>
      <c r="B202" t="s">
        <v>1576</v>
      </c>
      <c r="G202" t="s">
        <v>290</v>
      </c>
      <c r="H202" t="s">
        <v>132</v>
      </c>
      <c r="I202" t="s">
        <v>1</v>
      </c>
      <c r="J202" t="s">
        <v>133</v>
      </c>
      <c r="K202" t="s">
        <v>51</v>
      </c>
      <c r="L202" t="s">
        <v>1577</v>
      </c>
      <c r="M202" t="s">
        <v>134</v>
      </c>
      <c r="N202" t="s">
        <v>135</v>
      </c>
      <c r="Q202" t="s">
        <v>291</v>
      </c>
      <c r="U202" t="s">
        <v>137</v>
      </c>
      <c r="V202" t="s">
        <v>1263</v>
      </c>
      <c r="X202" t="s">
        <v>69</v>
      </c>
      <c r="AA202" t="s">
        <v>292</v>
      </c>
      <c r="AB202" t="s">
        <v>1</v>
      </c>
      <c r="AC202" t="s">
        <v>138</v>
      </c>
      <c r="AD202" t="s">
        <v>128</v>
      </c>
      <c r="AE202" s="97">
        <f>VLOOKUP(A:A,SUMMERY!AA:AC,2,FALSE)</f>
        <v>46224</v>
      </c>
      <c r="AF202" s="6" t="str">
        <f>VLOOKUP(A:A,SUMMERY!AA:AC,3,FALSE)</f>
        <v>Priority-1</v>
      </c>
    </row>
    <row r="203" spans="1:32" x14ac:dyDescent="0.3">
      <c r="A203" t="s">
        <v>1580</v>
      </c>
      <c r="B203" t="s">
        <v>1581</v>
      </c>
      <c r="G203" t="s">
        <v>1578</v>
      </c>
      <c r="H203" t="s">
        <v>132</v>
      </c>
      <c r="I203" t="s">
        <v>1</v>
      </c>
      <c r="J203" t="s">
        <v>133</v>
      </c>
      <c r="K203" t="s">
        <v>51</v>
      </c>
      <c r="L203" t="s">
        <v>832</v>
      </c>
      <c r="M203" t="s">
        <v>134</v>
      </c>
      <c r="N203" t="s">
        <v>135</v>
      </c>
      <c r="Q203" t="s">
        <v>168</v>
      </c>
      <c r="T203" t="s">
        <v>169</v>
      </c>
      <c r="U203" t="s">
        <v>137</v>
      </c>
      <c r="V203" t="s">
        <v>147</v>
      </c>
      <c r="X203" t="s">
        <v>70</v>
      </c>
      <c r="AA203" t="s">
        <v>1579</v>
      </c>
      <c r="AB203" t="s">
        <v>1</v>
      </c>
      <c r="AC203" t="s">
        <v>138</v>
      </c>
      <c r="AD203" t="s">
        <v>128</v>
      </c>
      <c r="AE203" s="97">
        <f>VLOOKUP(A:A,SUMMERY!AA:AC,2,FALSE)</f>
        <v>46220</v>
      </c>
      <c r="AF203" s="6" t="str">
        <f>VLOOKUP(A:A,SUMMERY!AA:AC,3,FALSE)</f>
        <v>Priority-1</v>
      </c>
    </row>
    <row r="204" spans="1:32" x14ac:dyDescent="0.3">
      <c r="A204" t="s">
        <v>1582</v>
      </c>
      <c r="B204" t="s">
        <v>1583</v>
      </c>
      <c r="G204" t="s">
        <v>1578</v>
      </c>
      <c r="H204" t="s">
        <v>132</v>
      </c>
      <c r="I204" t="s">
        <v>1</v>
      </c>
      <c r="J204" t="s">
        <v>133</v>
      </c>
      <c r="K204" t="s">
        <v>51</v>
      </c>
      <c r="L204" t="s">
        <v>832</v>
      </c>
      <c r="M204" t="s">
        <v>134</v>
      </c>
      <c r="N204" t="s">
        <v>135</v>
      </c>
      <c r="Q204" t="s">
        <v>168</v>
      </c>
      <c r="T204" t="s">
        <v>169</v>
      </c>
      <c r="U204" t="s">
        <v>137</v>
      </c>
      <c r="V204" t="s">
        <v>147</v>
      </c>
      <c r="X204" t="s">
        <v>70</v>
      </c>
      <c r="AA204" t="s">
        <v>1579</v>
      </c>
      <c r="AB204" t="s">
        <v>1</v>
      </c>
      <c r="AC204" t="s">
        <v>138</v>
      </c>
      <c r="AD204" t="s">
        <v>128</v>
      </c>
      <c r="AE204" s="97">
        <f>VLOOKUP(A:A,SUMMERY!AA:AC,2,FALSE)</f>
        <v>46220</v>
      </c>
      <c r="AF204" s="6" t="str">
        <f>VLOOKUP(A:A,SUMMERY!AA:AC,3,FALSE)</f>
        <v>Priority-1</v>
      </c>
    </row>
    <row r="205" spans="1:32" x14ac:dyDescent="0.3">
      <c r="A205" t="s">
        <v>1584</v>
      </c>
      <c r="B205" t="s">
        <v>1585</v>
      </c>
      <c r="G205" t="s">
        <v>1578</v>
      </c>
      <c r="H205" t="s">
        <v>132</v>
      </c>
      <c r="I205" t="s">
        <v>1</v>
      </c>
      <c r="J205" t="s">
        <v>133</v>
      </c>
      <c r="K205" t="s">
        <v>51</v>
      </c>
      <c r="L205" t="s">
        <v>832</v>
      </c>
      <c r="M205" t="s">
        <v>134</v>
      </c>
      <c r="N205" t="s">
        <v>135</v>
      </c>
      <c r="Q205" t="s">
        <v>168</v>
      </c>
      <c r="T205" t="s">
        <v>169</v>
      </c>
      <c r="U205" t="s">
        <v>137</v>
      </c>
      <c r="V205" t="s">
        <v>147</v>
      </c>
      <c r="X205" t="s">
        <v>70</v>
      </c>
      <c r="AA205" t="s">
        <v>1579</v>
      </c>
      <c r="AB205" t="s">
        <v>1</v>
      </c>
      <c r="AC205" t="s">
        <v>138</v>
      </c>
      <c r="AD205" t="s">
        <v>128</v>
      </c>
      <c r="AE205" s="97">
        <f>VLOOKUP(A:A,SUMMERY!AA:AC,2,FALSE)</f>
        <v>46220</v>
      </c>
      <c r="AF205" s="6" t="str">
        <f>VLOOKUP(A:A,SUMMERY!AA:AC,3,FALSE)</f>
        <v>Priority-1</v>
      </c>
    </row>
    <row r="206" spans="1:32" x14ac:dyDescent="0.3">
      <c r="A206" t="s">
        <v>1586</v>
      </c>
      <c r="B206" t="s">
        <v>1587</v>
      </c>
      <c r="G206" t="s">
        <v>1578</v>
      </c>
      <c r="H206" t="s">
        <v>132</v>
      </c>
      <c r="I206" t="s">
        <v>1</v>
      </c>
      <c r="J206" t="s">
        <v>133</v>
      </c>
      <c r="K206" t="s">
        <v>51</v>
      </c>
      <c r="L206" t="s">
        <v>841</v>
      </c>
      <c r="M206" t="s">
        <v>134</v>
      </c>
      <c r="N206" t="s">
        <v>135</v>
      </c>
      <c r="Q206" t="s">
        <v>168</v>
      </c>
      <c r="T206" t="s">
        <v>169</v>
      </c>
      <c r="U206" t="s">
        <v>137</v>
      </c>
      <c r="V206" t="s">
        <v>150</v>
      </c>
      <c r="X206" t="s">
        <v>76</v>
      </c>
      <c r="AA206" t="s">
        <v>1579</v>
      </c>
      <c r="AB206" t="s">
        <v>1</v>
      </c>
      <c r="AC206" t="s">
        <v>138</v>
      </c>
      <c r="AD206" t="s">
        <v>128</v>
      </c>
      <c r="AE206" s="97">
        <f>VLOOKUP(A:A,SUMMERY!AA:AC,2,FALSE)</f>
        <v>46233</v>
      </c>
      <c r="AF206" s="6" t="str">
        <f>VLOOKUP(A:A,SUMMERY!AA:AC,3,FALSE)</f>
        <v>Priority-1</v>
      </c>
    </row>
    <row r="207" spans="1:32" x14ac:dyDescent="0.3">
      <c r="A207" t="s">
        <v>1588</v>
      </c>
      <c r="B207" t="s">
        <v>1589</v>
      </c>
      <c r="G207" t="s">
        <v>1578</v>
      </c>
      <c r="H207" t="s">
        <v>132</v>
      </c>
      <c r="I207" t="s">
        <v>1</v>
      </c>
      <c r="J207" t="s">
        <v>133</v>
      </c>
      <c r="K207" t="s">
        <v>51</v>
      </c>
      <c r="L207" t="s">
        <v>841</v>
      </c>
      <c r="M207" t="s">
        <v>134</v>
      </c>
      <c r="N207" t="s">
        <v>135</v>
      </c>
      <c r="Q207" t="s">
        <v>168</v>
      </c>
      <c r="T207" t="s">
        <v>169</v>
      </c>
      <c r="U207" t="s">
        <v>137</v>
      </c>
      <c r="V207" t="s">
        <v>150</v>
      </c>
      <c r="X207" t="s">
        <v>76</v>
      </c>
      <c r="AA207" t="s">
        <v>1579</v>
      </c>
      <c r="AB207" t="s">
        <v>1</v>
      </c>
      <c r="AC207" t="s">
        <v>138</v>
      </c>
      <c r="AD207" t="s">
        <v>128</v>
      </c>
      <c r="AE207" s="97">
        <f>VLOOKUP(A:A,SUMMERY!AA:AC,2,FALSE)</f>
        <v>46233</v>
      </c>
      <c r="AF207" s="6" t="str">
        <f>VLOOKUP(A:A,SUMMERY!AA:AC,3,FALSE)</f>
        <v>Priority-1</v>
      </c>
    </row>
    <row r="208" spans="1:32" x14ac:dyDescent="0.3">
      <c r="A208" t="s">
        <v>1590</v>
      </c>
      <c r="B208" t="s">
        <v>1591</v>
      </c>
      <c r="G208" t="s">
        <v>1578</v>
      </c>
      <c r="H208" t="s">
        <v>132</v>
      </c>
      <c r="I208" t="s">
        <v>1</v>
      </c>
      <c r="J208" t="s">
        <v>133</v>
      </c>
      <c r="K208" t="s">
        <v>51</v>
      </c>
      <c r="L208" t="s">
        <v>841</v>
      </c>
      <c r="M208" t="s">
        <v>134</v>
      </c>
      <c r="N208" t="s">
        <v>135</v>
      </c>
      <c r="Q208" t="s">
        <v>168</v>
      </c>
      <c r="T208" t="s">
        <v>169</v>
      </c>
      <c r="U208" t="s">
        <v>137</v>
      </c>
      <c r="V208" t="s">
        <v>150</v>
      </c>
      <c r="X208" t="s">
        <v>76</v>
      </c>
      <c r="AA208" t="s">
        <v>1579</v>
      </c>
      <c r="AB208" t="s">
        <v>1</v>
      </c>
      <c r="AC208" t="s">
        <v>138</v>
      </c>
      <c r="AD208" t="s">
        <v>128</v>
      </c>
      <c r="AE208" s="97">
        <f>VLOOKUP(A:A,SUMMERY!AA:AC,2,FALSE)</f>
        <v>46233</v>
      </c>
      <c r="AF208" s="6" t="str">
        <f>VLOOKUP(A:A,SUMMERY!AA:AC,3,FALSE)</f>
        <v>Priority-1</v>
      </c>
    </row>
    <row r="209" spans="1:32" x14ac:dyDescent="0.3">
      <c r="A209" t="s">
        <v>1622</v>
      </c>
      <c r="B209" t="s">
        <v>1623</v>
      </c>
      <c r="G209" t="s">
        <v>1578</v>
      </c>
      <c r="H209" t="s">
        <v>132</v>
      </c>
      <c r="I209" t="s">
        <v>1</v>
      </c>
      <c r="J209" t="s">
        <v>133</v>
      </c>
      <c r="K209" t="s">
        <v>51</v>
      </c>
      <c r="L209" t="s">
        <v>1624</v>
      </c>
      <c r="M209" t="s">
        <v>134</v>
      </c>
      <c r="N209" t="s">
        <v>135</v>
      </c>
      <c r="Q209" t="s">
        <v>168</v>
      </c>
      <c r="T209" t="s">
        <v>169</v>
      </c>
      <c r="U209" t="s">
        <v>137</v>
      </c>
      <c r="V209" t="s">
        <v>147</v>
      </c>
      <c r="X209" t="s">
        <v>70</v>
      </c>
      <c r="AA209" t="s">
        <v>1579</v>
      </c>
      <c r="AB209" t="s">
        <v>1</v>
      </c>
      <c r="AC209" t="s">
        <v>138</v>
      </c>
      <c r="AD209" t="s">
        <v>128</v>
      </c>
      <c r="AE209" s="97">
        <f>VLOOKUP(A:A,SUMMERY!AA:AC,2,FALSE)</f>
        <v>46220</v>
      </c>
      <c r="AF209" s="6" t="str">
        <f>VLOOKUP(A:A,SUMMERY!AA:AC,3,FALSE)</f>
        <v>Priority-1</v>
      </c>
    </row>
    <row r="210" spans="1:32" x14ac:dyDescent="0.3">
      <c r="A210" t="s">
        <v>1625</v>
      </c>
      <c r="B210" t="s">
        <v>1626</v>
      </c>
      <c r="G210" t="s">
        <v>1578</v>
      </c>
      <c r="H210" t="s">
        <v>132</v>
      </c>
      <c r="I210" t="s">
        <v>1</v>
      </c>
      <c r="J210" t="s">
        <v>133</v>
      </c>
      <c r="K210" t="s">
        <v>51</v>
      </c>
      <c r="L210" t="s">
        <v>1624</v>
      </c>
      <c r="M210" t="s">
        <v>134</v>
      </c>
      <c r="N210" t="s">
        <v>135</v>
      </c>
      <c r="Q210" t="s">
        <v>168</v>
      </c>
      <c r="T210" t="s">
        <v>169</v>
      </c>
      <c r="U210" t="s">
        <v>137</v>
      </c>
      <c r="V210" t="s">
        <v>147</v>
      </c>
      <c r="X210" t="s">
        <v>70</v>
      </c>
      <c r="AA210" t="s">
        <v>1579</v>
      </c>
      <c r="AB210" t="s">
        <v>1</v>
      </c>
      <c r="AC210" t="s">
        <v>138</v>
      </c>
      <c r="AD210" t="s">
        <v>128</v>
      </c>
      <c r="AE210" s="97">
        <f>VLOOKUP(A:A,SUMMERY!AA:AC,2,FALSE)</f>
        <v>46220</v>
      </c>
      <c r="AF210" s="6" t="str">
        <f>VLOOKUP(A:A,SUMMERY!AA:AC,3,FALSE)</f>
        <v>Priority-1</v>
      </c>
    </row>
    <row r="211" spans="1:32" x14ac:dyDescent="0.3">
      <c r="A211" t="s">
        <v>1627</v>
      </c>
      <c r="B211" t="s">
        <v>1628</v>
      </c>
      <c r="G211" t="s">
        <v>1578</v>
      </c>
      <c r="H211" t="s">
        <v>132</v>
      </c>
      <c r="I211" t="s">
        <v>1</v>
      </c>
      <c r="J211" t="s">
        <v>133</v>
      </c>
      <c r="K211" t="s">
        <v>51</v>
      </c>
      <c r="L211" t="s">
        <v>1629</v>
      </c>
      <c r="M211" t="s">
        <v>134</v>
      </c>
      <c r="N211" t="s">
        <v>135</v>
      </c>
      <c r="Q211" t="s">
        <v>168</v>
      </c>
      <c r="T211" t="s">
        <v>169</v>
      </c>
      <c r="U211" t="s">
        <v>137</v>
      </c>
      <c r="V211" t="s">
        <v>147</v>
      </c>
      <c r="X211" t="s">
        <v>70</v>
      </c>
      <c r="AA211" t="s">
        <v>1579</v>
      </c>
      <c r="AB211" t="s">
        <v>1</v>
      </c>
      <c r="AC211" t="s">
        <v>138</v>
      </c>
      <c r="AD211" t="s">
        <v>128</v>
      </c>
      <c r="AE211" s="97">
        <f>VLOOKUP(A:A,SUMMERY!AA:AC,2,FALSE)</f>
        <v>46220</v>
      </c>
      <c r="AF211" s="6" t="str">
        <f>VLOOKUP(A:A,SUMMERY!AA:AC,3,FALSE)</f>
        <v>Priority-1</v>
      </c>
    </row>
    <row r="212" spans="1:32" x14ac:dyDescent="0.3">
      <c r="A212" t="s">
        <v>1630</v>
      </c>
      <c r="B212" t="s">
        <v>1631</v>
      </c>
      <c r="G212" t="s">
        <v>1578</v>
      </c>
      <c r="H212" t="s">
        <v>132</v>
      </c>
      <c r="I212" t="s">
        <v>1</v>
      </c>
      <c r="J212" t="s">
        <v>133</v>
      </c>
      <c r="K212" t="s">
        <v>51</v>
      </c>
      <c r="L212" t="s">
        <v>1624</v>
      </c>
      <c r="M212" t="s">
        <v>134</v>
      </c>
      <c r="N212" t="s">
        <v>135</v>
      </c>
      <c r="Q212" t="s">
        <v>168</v>
      </c>
      <c r="T212" t="s">
        <v>169</v>
      </c>
      <c r="U212" t="s">
        <v>137</v>
      </c>
      <c r="V212" t="s">
        <v>147</v>
      </c>
      <c r="X212" t="s">
        <v>70</v>
      </c>
      <c r="AA212" t="s">
        <v>1579</v>
      </c>
      <c r="AB212" t="s">
        <v>1</v>
      </c>
      <c r="AC212" t="s">
        <v>138</v>
      </c>
      <c r="AD212" t="s">
        <v>128</v>
      </c>
      <c r="AE212" s="97">
        <f>VLOOKUP(A:A,SUMMERY!AA:AC,2,FALSE)</f>
        <v>46220</v>
      </c>
      <c r="AF212" s="6" t="str">
        <f>VLOOKUP(A:A,SUMMERY!AA:AC,3,FALSE)</f>
        <v>Priority-1</v>
      </c>
    </row>
    <row r="213" spans="1:32" x14ac:dyDescent="0.3">
      <c r="A213" t="s">
        <v>1636</v>
      </c>
      <c r="B213" t="s">
        <v>1637</v>
      </c>
      <c r="G213" t="s">
        <v>1578</v>
      </c>
      <c r="H213" t="s">
        <v>132</v>
      </c>
      <c r="I213" t="s">
        <v>1</v>
      </c>
      <c r="J213" t="s">
        <v>133</v>
      </c>
      <c r="K213" t="s">
        <v>51</v>
      </c>
      <c r="L213" t="s">
        <v>1638</v>
      </c>
      <c r="M213" t="s">
        <v>134</v>
      </c>
      <c r="N213" t="s">
        <v>135</v>
      </c>
      <c r="Q213" t="s">
        <v>168</v>
      </c>
      <c r="T213" t="s">
        <v>169</v>
      </c>
      <c r="U213" t="s">
        <v>137</v>
      </c>
      <c r="V213" t="s">
        <v>147</v>
      </c>
      <c r="X213" t="s">
        <v>70</v>
      </c>
      <c r="AA213" t="s">
        <v>1579</v>
      </c>
      <c r="AB213" t="s">
        <v>1</v>
      </c>
      <c r="AC213" t="s">
        <v>138</v>
      </c>
      <c r="AD213" t="s">
        <v>128</v>
      </c>
      <c r="AE213" s="97">
        <f>VLOOKUP(A:A,SUMMERY!AA:AC,2,FALSE)</f>
        <v>46220</v>
      </c>
      <c r="AF213" s="6" t="str">
        <f>VLOOKUP(A:A,SUMMERY!AA:AC,3,FALSE)</f>
        <v>Priority-1</v>
      </c>
    </row>
    <row r="214" spans="1:32" x14ac:dyDescent="0.3">
      <c r="A214" t="s">
        <v>1639</v>
      </c>
      <c r="B214" t="s">
        <v>1640</v>
      </c>
      <c r="G214" t="s">
        <v>1578</v>
      </c>
      <c r="H214" t="s">
        <v>132</v>
      </c>
      <c r="I214" t="s">
        <v>1</v>
      </c>
      <c r="J214" t="s">
        <v>133</v>
      </c>
      <c r="K214" t="s">
        <v>51</v>
      </c>
      <c r="L214" t="s">
        <v>1641</v>
      </c>
      <c r="M214" t="s">
        <v>134</v>
      </c>
      <c r="N214" t="s">
        <v>135</v>
      </c>
      <c r="Q214" t="s">
        <v>168</v>
      </c>
      <c r="T214" t="s">
        <v>169</v>
      </c>
      <c r="U214" t="s">
        <v>137</v>
      </c>
      <c r="V214" t="s">
        <v>147</v>
      </c>
      <c r="X214" t="s">
        <v>70</v>
      </c>
      <c r="AA214" t="s">
        <v>1579</v>
      </c>
      <c r="AB214" t="s">
        <v>1</v>
      </c>
      <c r="AC214" t="s">
        <v>138</v>
      </c>
      <c r="AD214" t="s">
        <v>128</v>
      </c>
      <c r="AE214" s="97">
        <f>VLOOKUP(A:A,SUMMERY!AA:AC,2,FALSE)</f>
        <v>46220</v>
      </c>
      <c r="AF214" s="6" t="str">
        <f>VLOOKUP(A:A,SUMMERY!AA:AC,3,FALSE)</f>
        <v>Priority-1</v>
      </c>
    </row>
    <row r="215" spans="1:32" x14ac:dyDescent="0.3">
      <c r="A215" t="s">
        <v>1642</v>
      </c>
      <c r="B215" t="s">
        <v>1643</v>
      </c>
      <c r="G215" t="s">
        <v>1578</v>
      </c>
      <c r="H215" t="s">
        <v>132</v>
      </c>
      <c r="I215" t="s">
        <v>1</v>
      </c>
      <c r="J215" t="s">
        <v>133</v>
      </c>
      <c r="K215" t="s">
        <v>51</v>
      </c>
      <c r="L215" t="s">
        <v>1644</v>
      </c>
      <c r="M215" t="s">
        <v>134</v>
      </c>
      <c r="N215" t="s">
        <v>135</v>
      </c>
      <c r="Q215" t="s">
        <v>168</v>
      </c>
      <c r="T215" t="s">
        <v>169</v>
      </c>
      <c r="U215" t="s">
        <v>137</v>
      </c>
      <c r="V215" t="s">
        <v>150</v>
      </c>
      <c r="X215" t="s">
        <v>76</v>
      </c>
      <c r="AA215" t="s">
        <v>1579</v>
      </c>
      <c r="AB215" t="s">
        <v>1</v>
      </c>
      <c r="AC215" t="s">
        <v>138</v>
      </c>
      <c r="AD215" t="s">
        <v>128</v>
      </c>
      <c r="AE215" s="97">
        <f>VLOOKUP(A:A,SUMMERY!AA:AC,2,FALSE)</f>
        <v>46233</v>
      </c>
      <c r="AF215" s="6" t="str">
        <f>VLOOKUP(A:A,SUMMERY!AA:AC,3,FALSE)</f>
        <v>Priority-1</v>
      </c>
    </row>
    <row r="216" spans="1:32" x14ac:dyDescent="0.3">
      <c r="A216" t="s">
        <v>1645</v>
      </c>
      <c r="B216" t="s">
        <v>1646</v>
      </c>
      <c r="G216" t="s">
        <v>1578</v>
      </c>
      <c r="H216" t="s">
        <v>132</v>
      </c>
      <c r="I216" t="s">
        <v>1</v>
      </c>
      <c r="J216" t="s">
        <v>133</v>
      </c>
      <c r="K216" t="s">
        <v>51</v>
      </c>
      <c r="L216" t="s">
        <v>1644</v>
      </c>
      <c r="M216" t="s">
        <v>134</v>
      </c>
      <c r="N216" t="s">
        <v>135</v>
      </c>
      <c r="Q216" t="s">
        <v>168</v>
      </c>
      <c r="T216" t="s">
        <v>169</v>
      </c>
      <c r="U216" t="s">
        <v>137</v>
      </c>
      <c r="V216" t="s">
        <v>150</v>
      </c>
      <c r="X216" t="s">
        <v>76</v>
      </c>
      <c r="AA216" t="s">
        <v>1579</v>
      </c>
      <c r="AB216" t="s">
        <v>1</v>
      </c>
      <c r="AC216" t="s">
        <v>138</v>
      </c>
      <c r="AD216" t="s">
        <v>128</v>
      </c>
      <c r="AE216" s="97">
        <f>VLOOKUP(A:A,SUMMERY!AA:AC,2,FALSE)</f>
        <v>46233</v>
      </c>
      <c r="AF216" s="6" t="str">
        <f>VLOOKUP(A:A,SUMMERY!AA:AC,3,FALSE)</f>
        <v>Priority-1</v>
      </c>
    </row>
    <row r="217" spans="1:32" x14ac:dyDescent="0.3">
      <c r="A217" t="s">
        <v>1647</v>
      </c>
      <c r="B217" t="s">
        <v>1648</v>
      </c>
      <c r="G217" t="s">
        <v>1578</v>
      </c>
      <c r="H217" t="s">
        <v>132</v>
      </c>
      <c r="I217" t="s">
        <v>1</v>
      </c>
      <c r="J217" t="s">
        <v>133</v>
      </c>
      <c r="K217" t="s">
        <v>51</v>
      </c>
      <c r="L217" t="s">
        <v>1649</v>
      </c>
      <c r="M217" t="s">
        <v>134</v>
      </c>
      <c r="N217" t="s">
        <v>135</v>
      </c>
      <c r="Q217" t="s">
        <v>168</v>
      </c>
      <c r="T217" t="s">
        <v>169</v>
      </c>
      <c r="U217" t="s">
        <v>137</v>
      </c>
      <c r="V217" t="s">
        <v>150</v>
      </c>
      <c r="X217" t="s">
        <v>76</v>
      </c>
      <c r="AA217" t="s">
        <v>1579</v>
      </c>
      <c r="AB217" t="s">
        <v>1</v>
      </c>
      <c r="AC217" t="s">
        <v>138</v>
      </c>
      <c r="AD217" t="s">
        <v>128</v>
      </c>
      <c r="AE217" s="97">
        <f>VLOOKUP(A:A,SUMMERY!AA:AC,2,FALSE)</f>
        <v>46233</v>
      </c>
      <c r="AF217" s="6" t="str">
        <f>VLOOKUP(A:A,SUMMERY!AA:AC,3,FALSE)</f>
        <v>Priority-1</v>
      </c>
    </row>
    <row r="218" spans="1:32" x14ac:dyDescent="0.3">
      <c r="A218" t="s">
        <v>1650</v>
      </c>
      <c r="B218" t="s">
        <v>1651</v>
      </c>
      <c r="G218" t="s">
        <v>1578</v>
      </c>
      <c r="H218" t="s">
        <v>132</v>
      </c>
      <c r="I218" t="s">
        <v>1</v>
      </c>
      <c r="J218" t="s">
        <v>133</v>
      </c>
      <c r="K218" t="s">
        <v>51</v>
      </c>
      <c r="L218" t="s">
        <v>1644</v>
      </c>
      <c r="M218" t="s">
        <v>134</v>
      </c>
      <c r="N218" t="s">
        <v>135</v>
      </c>
      <c r="Q218" t="s">
        <v>168</v>
      </c>
      <c r="T218" t="s">
        <v>169</v>
      </c>
      <c r="U218" t="s">
        <v>137</v>
      </c>
      <c r="V218" t="s">
        <v>150</v>
      </c>
      <c r="X218" t="s">
        <v>76</v>
      </c>
      <c r="AA218" t="s">
        <v>1579</v>
      </c>
      <c r="AB218" t="s">
        <v>1</v>
      </c>
      <c r="AC218" t="s">
        <v>138</v>
      </c>
      <c r="AD218" t="s">
        <v>128</v>
      </c>
      <c r="AE218" s="97">
        <f>VLOOKUP(A:A,SUMMERY!AA:AC,2,FALSE)</f>
        <v>46233</v>
      </c>
      <c r="AF218" s="6" t="str">
        <f>VLOOKUP(A:A,SUMMERY!AA:AC,3,FALSE)</f>
        <v>Priority-1</v>
      </c>
    </row>
    <row r="219" spans="1:32" x14ac:dyDescent="0.3">
      <c r="A219" t="s">
        <v>1656</v>
      </c>
      <c r="B219" t="s">
        <v>1657</v>
      </c>
      <c r="G219" t="s">
        <v>1578</v>
      </c>
      <c r="H219" t="s">
        <v>132</v>
      </c>
      <c r="I219" t="s">
        <v>1</v>
      </c>
      <c r="J219" t="s">
        <v>133</v>
      </c>
      <c r="K219" t="s">
        <v>51</v>
      </c>
      <c r="L219" t="s">
        <v>1658</v>
      </c>
      <c r="M219" t="s">
        <v>134</v>
      </c>
      <c r="N219" t="s">
        <v>135</v>
      </c>
      <c r="Q219" t="s">
        <v>168</v>
      </c>
      <c r="T219" t="s">
        <v>169</v>
      </c>
      <c r="U219" t="s">
        <v>137</v>
      </c>
      <c r="V219" t="s">
        <v>150</v>
      </c>
      <c r="X219" t="s">
        <v>76</v>
      </c>
      <c r="AA219" t="s">
        <v>1579</v>
      </c>
      <c r="AB219" t="s">
        <v>1</v>
      </c>
      <c r="AC219" t="s">
        <v>138</v>
      </c>
      <c r="AD219" t="s">
        <v>128</v>
      </c>
      <c r="AE219" s="97">
        <f>VLOOKUP(A:A,SUMMERY!AA:AC,2,FALSE)</f>
        <v>46233</v>
      </c>
      <c r="AF219" s="6" t="str">
        <f>VLOOKUP(A:A,SUMMERY!AA:AC,3,FALSE)</f>
        <v>Priority-1</v>
      </c>
    </row>
    <row r="220" spans="1:32" x14ac:dyDescent="0.3">
      <c r="A220" t="s">
        <v>1659</v>
      </c>
      <c r="B220" t="s">
        <v>1660</v>
      </c>
      <c r="G220" t="s">
        <v>1578</v>
      </c>
      <c r="H220" t="s">
        <v>132</v>
      </c>
      <c r="I220" t="s">
        <v>1</v>
      </c>
      <c r="J220" t="s">
        <v>133</v>
      </c>
      <c r="K220" t="s">
        <v>51</v>
      </c>
      <c r="L220" t="s">
        <v>1661</v>
      </c>
      <c r="M220" t="s">
        <v>134</v>
      </c>
      <c r="N220" t="s">
        <v>135</v>
      </c>
      <c r="Q220" t="s">
        <v>168</v>
      </c>
      <c r="T220" t="s">
        <v>169</v>
      </c>
      <c r="U220" t="s">
        <v>137</v>
      </c>
      <c r="V220" t="s">
        <v>150</v>
      </c>
      <c r="X220" t="s">
        <v>76</v>
      </c>
      <c r="AA220" t="s">
        <v>1579</v>
      </c>
      <c r="AB220" t="s">
        <v>1</v>
      </c>
      <c r="AC220" t="s">
        <v>138</v>
      </c>
      <c r="AD220" t="s">
        <v>128</v>
      </c>
      <c r="AE220" s="97">
        <f>VLOOKUP(A:A,SUMMERY!AA:AC,2,FALSE)</f>
        <v>46233</v>
      </c>
      <c r="AF220" s="6" t="str">
        <f>VLOOKUP(A:A,SUMMERY!AA:AC,3,FALSE)</f>
        <v>Priority-1</v>
      </c>
    </row>
    <row r="221" spans="1:32" x14ac:dyDescent="0.3">
      <c r="A221" t="s">
        <v>1769</v>
      </c>
      <c r="B221" t="s">
        <v>1770</v>
      </c>
      <c r="G221" t="s">
        <v>1767</v>
      </c>
      <c r="H221" t="s">
        <v>132</v>
      </c>
      <c r="I221" t="s">
        <v>1</v>
      </c>
      <c r="J221" t="s">
        <v>133</v>
      </c>
      <c r="K221" t="s">
        <v>51</v>
      </c>
      <c r="L221" t="s">
        <v>1771</v>
      </c>
      <c r="M221" t="s">
        <v>134</v>
      </c>
      <c r="N221" t="s">
        <v>135</v>
      </c>
      <c r="Q221" t="s">
        <v>136</v>
      </c>
      <c r="U221" t="s">
        <v>137</v>
      </c>
      <c r="V221" t="s">
        <v>147</v>
      </c>
      <c r="X221" t="s">
        <v>70</v>
      </c>
      <c r="AA221" t="s">
        <v>1768</v>
      </c>
      <c r="AB221" t="s">
        <v>1</v>
      </c>
      <c r="AC221" t="s">
        <v>138</v>
      </c>
      <c r="AD221" t="s">
        <v>128</v>
      </c>
      <c r="AE221" s="97">
        <f>VLOOKUP(A:A,SUMMERY!AA:AC,2,FALSE)</f>
        <v>46220</v>
      </c>
      <c r="AF221" s="6" t="str">
        <f>VLOOKUP(A:A,SUMMERY!AA:AC,3,FALSE)</f>
        <v>Priority-1</v>
      </c>
    </row>
    <row r="222" spans="1:32" x14ac:dyDescent="0.3">
      <c r="A222" t="s">
        <v>1772</v>
      </c>
      <c r="B222" t="s">
        <v>1773</v>
      </c>
      <c r="G222" t="s">
        <v>1767</v>
      </c>
      <c r="H222" t="s">
        <v>132</v>
      </c>
      <c r="I222" t="s">
        <v>1</v>
      </c>
      <c r="J222" t="s">
        <v>133</v>
      </c>
      <c r="K222" t="s">
        <v>51</v>
      </c>
      <c r="L222" t="s">
        <v>1774</v>
      </c>
      <c r="M222" t="s">
        <v>134</v>
      </c>
      <c r="N222" t="s">
        <v>135</v>
      </c>
      <c r="Q222" t="s">
        <v>136</v>
      </c>
      <c r="U222" t="s">
        <v>137</v>
      </c>
      <c r="V222" t="s">
        <v>150</v>
      </c>
      <c r="X222" t="s">
        <v>76</v>
      </c>
      <c r="AA222" t="s">
        <v>1768</v>
      </c>
      <c r="AB222" t="s">
        <v>1</v>
      </c>
      <c r="AC222" t="s">
        <v>138</v>
      </c>
      <c r="AD222" t="s">
        <v>128</v>
      </c>
      <c r="AE222" s="97">
        <f>VLOOKUP(A:A,SUMMERY!AA:AC,2,FALSE)</f>
        <v>46233</v>
      </c>
      <c r="AF222" s="6" t="str">
        <f>VLOOKUP(A:A,SUMMERY!AA:AC,3,FALSE)</f>
        <v>Priority-1</v>
      </c>
    </row>
    <row r="223" spans="1:32" x14ac:dyDescent="0.3">
      <c r="A223" t="s">
        <v>7075</v>
      </c>
      <c r="B223" t="s">
        <v>7076</v>
      </c>
      <c r="G223" t="s">
        <v>7069</v>
      </c>
      <c r="H223" t="s">
        <v>132</v>
      </c>
      <c r="I223" t="s">
        <v>1</v>
      </c>
      <c r="J223" t="s">
        <v>133</v>
      </c>
      <c r="K223" t="s">
        <v>51</v>
      </c>
      <c r="L223" t="s">
        <v>7070</v>
      </c>
      <c r="M223" t="s">
        <v>134</v>
      </c>
      <c r="N223" t="s">
        <v>135</v>
      </c>
      <c r="Q223" t="s">
        <v>139</v>
      </c>
      <c r="S223" t="s">
        <v>139</v>
      </c>
      <c r="T223" t="s">
        <v>7077</v>
      </c>
      <c r="U223" t="s">
        <v>137</v>
      </c>
      <c r="V223" t="s">
        <v>7071</v>
      </c>
      <c r="X223" t="s">
        <v>7072</v>
      </c>
      <c r="AA223" t="s">
        <v>7073</v>
      </c>
      <c r="AB223" t="s">
        <v>1</v>
      </c>
      <c r="AC223" t="s">
        <v>3733</v>
      </c>
      <c r="AD223" t="s">
        <v>7074</v>
      </c>
      <c r="AE223" s="97">
        <f>VLOOKUP(A:A,SUMMERY!AA:AC,2,FALSE)</f>
        <v>46223</v>
      </c>
      <c r="AF223" s="6" t="str">
        <f>VLOOKUP(A:A,SUMMERY!AA:AC,3,FALSE)</f>
        <v>Priority-1</v>
      </c>
    </row>
    <row r="224" spans="1:32" x14ac:dyDescent="0.3">
      <c r="A224" t="s">
        <v>7078</v>
      </c>
      <c r="B224" t="s">
        <v>7079</v>
      </c>
      <c r="G224" t="s">
        <v>7069</v>
      </c>
      <c r="H224" t="s">
        <v>132</v>
      </c>
      <c r="I224" t="s">
        <v>1</v>
      </c>
      <c r="J224" t="s">
        <v>133</v>
      </c>
      <c r="K224" t="s">
        <v>51</v>
      </c>
      <c r="L224" t="s">
        <v>7070</v>
      </c>
      <c r="M224" t="s">
        <v>134</v>
      </c>
      <c r="N224" t="s">
        <v>135</v>
      </c>
      <c r="Q224" t="s">
        <v>139</v>
      </c>
      <c r="T224" t="s">
        <v>7080</v>
      </c>
      <c r="U224" t="s">
        <v>137</v>
      </c>
      <c r="V224" t="s">
        <v>7071</v>
      </c>
      <c r="X224" t="s">
        <v>7072</v>
      </c>
      <c r="AA224" t="s">
        <v>7073</v>
      </c>
      <c r="AB224" t="s">
        <v>1</v>
      </c>
      <c r="AC224" t="s">
        <v>3733</v>
      </c>
      <c r="AD224" t="s">
        <v>7074</v>
      </c>
      <c r="AE224" s="97">
        <f>VLOOKUP(A:A,SUMMERY!AA:AC,2,FALSE)</f>
        <v>46223</v>
      </c>
      <c r="AF224" s="6" t="str">
        <f>VLOOKUP(A:A,SUMMERY!AA:AC,3,FALSE)</f>
        <v>Priority-1</v>
      </c>
    </row>
    <row r="225" spans="1:32" x14ac:dyDescent="0.3">
      <c r="A225" t="s">
        <v>7081</v>
      </c>
      <c r="B225" t="s">
        <v>7082</v>
      </c>
      <c r="G225" t="s">
        <v>7069</v>
      </c>
      <c r="H225" t="s">
        <v>132</v>
      </c>
      <c r="I225" t="s">
        <v>1</v>
      </c>
      <c r="J225" t="s">
        <v>133</v>
      </c>
      <c r="K225" t="s">
        <v>51</v>
      </c>
      <c r="L225" t="s">
        <v>7070</v>
      </c>
      <c r="M225" t="s">
        <v>134</v>
      </c>
      <c r="N225" t="s">
        <v>135</v>
      </c>
      <c r="Q225" t="s">
        <v>139</v>
      </c>
      <c r="T225" t="s">
        <v>7083</v>
      </c>
      <c r="U225" t="s">
        <v>137</v>
      </c>
      <c r="V225" t="s">
        <v>7071</v>
      </c>
      <c r="X225" t="s">
        <v>7072</v>
      </c>
      <c r="AA225" t="s">
        <v>7073</v>
      </c>
      <c r="AB225" t="s">
        <v>1</v>
      </c>
      <c r="AC225" t="s">
        <v>3733</v>
      </c>
      <c r="AD225" t="s">
        <v>7074</v>
      </c>
      <c r="AE225" s="97">
        <f>VLOOKUP(A:A,SUMMERY!AA:AC,2,FALSE)</f>
        <v>46223</v>
      </c>
      <c r="AF225" s="6" t="str">
        <f>VLOOKUP(A:A,SUMMERY!AA:AC,3,FALSE)</f>
        <v>Priority-1</v>
      </c>
    </row>
    <row r="226" spans="1:32" x14ac:dyDescent="0.3">
      <c r="A226" t="s">
        <v>7084</v>
      </c>
      <c r="B226" t="s">
        <v>7085</v>
      </c>
      <c r="G226" t="s">
        <v>7069</v>
      </c>
      <c r="H226" t="s">
        <v>132</v>
      </c>
      <c r="I226" t="s">
        <v>1</v>
      </c>
      <c r="J226" t="s">
        <v>133</v>
      </c>
      <c r="K226" t="s">
        <v>51</v>
      </c>
      <c r="L226" t="s">
        <v>7086</v>
      </c>
      <c r="M226" t="s">
        <v>134</v>
      </c>
      <c r="N226" t="s">
        <v>135</v>
      </c>
      <c r="Q226" t="s">
        <v>139</v>
      </c>
      <c r="T226" t="s">
        <v>7087</v>
      </c>
      <c r="U226" t="s">
        <v>137</v>
      </c>
      <c r="V226" t="s">
        <v>7088</v>
      </c>
      <c r="X226" t="s">
        <v>7089</v>
      </c>
      <c r="AA226" t="s">
        <v>7073</v>
      </c>
      <c r="AB226" t="s">
        <v>1</v>
      </c>
      <c r="AC226" t="s">
        <v>138</v>
      </c>
      <c r="AD226" t="s">
        <v>128</v>
      </c>
      <c r="AE226" s="97">
        <f>VLOOKUP(A:A,SUMMERY!AA:AC,2,FALSE)</f>
        <v>46194</v>
      </c>
      <c r="AF226" s="6" t="str">
        <f>VLOOKUP(A:A,SUMMERY!AA:AC,3,FALSE)</f>
        <v>Priority-1</v>
      </c>
    </row>
    <row r="227" spans="1:32" x14ac:dyDescent="0.3">
      <c r="A227" t="s">
        <v>1791</v>
      </c>
      <c r="B227" t="s">
        <v>1792</v>
      </c>
      <c r="G227" t="s">
        <v>1793</v>
      </c>
      <c r="H227" t="s">
        <v>132</v>
      </c>
      <c r="I227" t="s">
        <v>1</v>
      </c>
      <c r="J227" t="s">
        <v>133</v>
      </c>
      <c r="K227" t="s">
        <v>51</v>
      </c>
      <c r="L227" t="s">
        <v>1794</v>
      </c>
      <c r="M227" t="s">
        <v>134</v>
      </c>
      <c r="N227" t="s">
        <v>135</v>
      </c>
      <c r="Q227" t="s">
        <v>1765</v>
      </c>
      <c r="U227" t="s">
        <v>137</v>
      </c>
      <c r="V227" t="s">
        <v>890</v>
      </c>
      <c r="X227" t="s">
        <v>59</v>
      </c>
      <c r="AA227" t="s">
        <v>1795</v>
      </c>
      <c r="AB227" t="s">
        <v>1</v>
      </c>
      <c r="AC227" t="s">
        <v>138</v>
      </c>
      <c r="AD227" t="s">
        <v>128</v>
      </c>
      <c r="AE227" s="97">
        <f>VLOOKUP(A:A,SUMMERY!AA:AC,2,FALSE)</f>
        <v>46220</v>
      </c>
      <c r="AF227" s="6" t="str">
        <f>VLOOKUP(A:A,SUMMERY!AA:AC,3,FALSE)</f>
        <v>Priority-1</v>
      </c>
    </row>
    <row r="228" spans="1:32" x14ac:dyDescent="0.3">
      <c r="A228" t="s">
        <v>1796</v>
      </c>
      <c r="B228" t="s">
        <v>1797</v>
      </c>
      <c r="G228" t="s">
        <v>1793</v>
      </c>
      <c r="H228" t="s">
        <v>132</v>
      </c>
      <c r="I228" t="s">
        <v>1</v>
      </c>
      <c r="J228" t="s">
        <v>133</v>
      </c>
      <c r="K228" t="s">
        <v>51</v>
      </c>
      <c r="L228" t="s">
        <v>1798</v>
      </c>
      <c r="M228" t="s">
        <v>134</v>
      </c>
      <c r="N228" t="s">
        <v>135</v>
      </c>
      <c r="Q228" t="s">
        <v>1765</v>
      </c>
      <c r="U228" t="s">
        <v>137</v>
      </c>
      <c r="V228" t="s">
        <v>897</v>
      </c>
      <c r="X228" t="s">
        <v>64</v>
      </c>
      <c r="AA228" t="s">
        <v>1795</v>
      </c>
      <c r="AB228" t="s">
        <v>1</v>
      </c>
      <c r="AC228" t="s">
        <v>138</v>
      </c>
      <c r="AD228" t="s">
        <v>128</v>
      </c>
      <c r="AE228" s="97">
        <f>VLOOKUP(A:A,SUMMERY!AA:AC,2,FALSE)</f>
        <v>46233</v>
      </c>
      <c r="AF228" s="6" t="str">
        <f>VLOOKUP(A:A,SUMMERY!AA:AC,3,FALSE)</f>
        <v>Priority-1</v>
      </c>
    </row>
    <row r="229" spans="1:32" x14ac:dyDescent="0.3">
      <c r="A229" t="s">
        <v>1814</v>
      </c>
      <c r="B229" t="s">
        <v>1815</v>
      </c>
      <c r="G229" t="s">
        <v>1793</v>
      </c>
      <c r="H229" t="s">
        <v>132</v>
      </c>
      <c r="I229" t="s">
        <v>1</v>
      </c>
      <c r="J229" t="s">
        <v>133</v>
      </c>
      <c r="K229" t="s">
        <v>51</v>
      </c>
      <c r="L229" t="s">
        <v>1816</v>
      </c>
      <c r="M229" t="s">
        <v>134</v>
      </c>
      <c r="N229" t="s">
        <v>135</v>
      </c>
      <c r="Q229" t="s">
        <v>1765</v>
      </c>
      <c r="U229" t="s">
        <v>137</v>
      </c>
      <c r="V229" t="s">
        <v>352</v>
      </c>
      <c r="X229" t="s">
        <v>56</v>
      </c>
      <c r="AA229" t="s">
        <v>1795</v>
      </c>
      <c r="AB229" t="s">
        <v>1</v>
      </c>
      <c r="AC229" t="s">
        <v>138</v>
      </c>
      <c r="AD229" t="s">
        <v>128</v>
      </c>
      <c r="AE229" s="97">
        <f>VLOOKUP(A:A,SUMMERY!AA:AC,2,FALSE)</f>
        <v>46233</v>
      </c>
      <c r="AF229" s="6" t="str">
        <f>VLOOKUP(A:A,SUMMERY!AA:AC,3,FALSE)</f>
        <v>Priority-1</v>
      </c>
    </row>
    <row r="230" spans="1:32" x14ac:dyDescent="0.3">
      <c r="A230" t="s">
        <v>1817</v>
      </c>
      <c r="B230" t="s">
        <v>1818</v>
      </c>
      <c r="G230" t="s">
        <v>1793</v>
      </c>
      <c r="H230" t="s">
        <v>132</v>
      </c>
      <c r="I230" t="s">
        <v>1</v>
      </c>
      <c r="J230" t="s">
        <v>133</v>
      </c>
      <c r="K230" t="s">
        <v>51</v>
      </c>
      <c r="L230" t="s">
        <v>1819</v>
      </c>
      <c r="M230" t="s">
        <v>134</v>
      </c>
      <c r="N230" t="s">
        <v>135</v>
      </c>
      <c r="Q230" t="s">
        <v>1765</v>
      </c>
      <c r="U230" t="s">
        <v>137</v>
      </c>
      <c r="V230" t="s">
        <v>324</v>
      </c>
      <c r="X230" t="s">
        <v>60</v>
      </c>
      <c r="AA230" t="s">
        <v>1795</v>
      </c>
      <c r="AB230" t="s">
        <v>1</v>
      </c>
      <c r="AC230" t="s">
        <v>138</v>
      </c>
      <c r="AD230" t="s">
        <v>128</v>
      </c>
      <c r="AE230" s="97">
        <f>VLOOKUP(A:A,SUMMERY!AA:AC,2,FALSE)</f>
        <v>46220</v>
      </c>
      <c r="AF230" s="6" t="str">
        <f>VLOOKUP(A:A,SUMMERY!AA:AC,3,FALSE)</f>
        <v>Priority-1</v>
      </c>
    </row>
    <row r="231" spans="1:32" x14ac:dyDescent="0.3">
      <c r="A231" t="s">
        <v>1820</v>
      </c>
      <c r="B231" t="s">
        <v>1821</v>
      </c>
      <c r="G231" t="s">
        <v>1793</v>
      </c>
      <c r="H231" t="s">
        <v>132</v>
      </c>
      <c r="I231" t="s">
        <v>1</v>
      </c>
      <c r="J231" t="s">
        <v>133</v>
      </c>
      <c r="K231" t="s">
        <v>51</v>
      </c>
      <c r="L231" t="s">
        <v>1822</v>
      </c>
      <c r="M231" t="s">
        <v>134</v>
      </c>
      <c r="N231" t="s">
        <v>135</v>
      </c>
      <c r="Q231" t="s">
        <v>1765</v>
      </c>
      <c r="U231" t="s">
        <v>137</v>
      </c>
      <c r="V231" t="s">
        <v>328</v>
      </c>
      <c r="X231" t="s">
        <v>65</v>
      </c>
      <c r="AA231" t="s">
        <v>1795</v>
      </c>
      <c r="AB231" t="s">
        <v>1</v>
      </c>
      <c r="AC231" t="s">
        <v>138</v>
      </c>
      <c r="AD231" t="s">
        <v>128</v>
      </c>
      <c r="AE231" s="97">
        <f>VLOOKUP(A:A,SUMMERY!AA:AC,2,FALSE)</f>
        <v>46233</v>
      </c>
      <c r="AF231" s="6" t="str">
        <f>VLOOKUP(A:A,SUMMERY!AA:AC,3,FALSE)</f>
        <v>Priority-1</v>
      </c>
    </row>
    <row r="232" spans="1:32" x14ac:dyDescent="0.3">
      <c r="A232" t="s">
        <v>1838</v>
      </c>
      <c r="B232" t="s">
        <v>1839</v>
      </c>
      <c r="G232" t="s">
        <v>1793</v>
      </c>
      <c r="H232" t="s">
        <v>132</v>
      </c>
      <c r="I232" t="s">
        <v>1</v>
      </c>
      <c r="J232" t="s">
        <v>133</v>
      </c>
      <c r="K232" t="s">
        <v>51</v>
      </c>
      <c r="L232" t="s">
        <v>1840</v>
      </c>
      <c r="M232" t="s">
        <v>134</v>
      </c>
      <c r="N232" t="s">
        <v>135</v>
      </c>
      <c r="Q232" t="s">
        <v>1765</v>
      </c>
      <c r="U232" t="s">
        <v>137</v>
      </c>
      <c r="V232" t="s">
        <v>352</v>
      </c>
      <c r="X232" t="s">
        <v>56</v>
      </c>
      <c r="AA232" t="s">
        <v>1795</v>
      </c>
      <c r="AB232" t="s">
        <v>1</v>
      </c>
      <c r="AC232" t="s">
        <v>138</v>
      </c>
      <c r="AD232" t="s">
        <v>128</v>
      </c>
      <c r="AE232" s="97">
        <f>VLOOKUP(A:A,SUMMERY!AA:AC,2,FALSE)</f>
        <v>46233</v>
      </c>
      <c r="AF232" s="6" t="str">
        <f>VLOOKUP(A:A,SUMMERY!AA:AC,3,FALSE)</f>
        <v>Priority-1</v>
      </c>
    </row>
    <row r="233" spans="1:32" x14ac:dyDescent="0.3">
      <c r="A233" t="s">
        <v>1841</v>
      </c>
      <c r="B233" t="s">
        <v>1842</v>
      </c>
      <c r="G233" t="s">
        <v>1793</v>
      </c>
      <c r="H233" t="s">
        <v>132</v>
      </c>
      <c r="I233" t="s">
        <v>1</v>
      </c>
      <c r="J233" t="s">
        <v>133</v>
      </c>
      <c r="K233" t="s">
        <v>51</v>
      </c>
      <c r="L233" t="s">
        <v>1843</v>
      </c>
      <c r="M233" t="s">
        <v>134</v>
      </c>
      <c r="N233" t="s">
        <v>135</v>
      </c>
      <c r="Q233" t="s">
        <v>1765</v>
      </c>
      <c r="U233" t="s">
        <v>137</v>
      </c>
      <c r="V233" t="s">
        <v>147</v>
      </c>
      <c r="X233" t="s">
        <v>70</v>
      </c>
      <c r="AA233" t="s">
        <v>1795</v>
      </c>
      <c r="AB233" t="s">
        <v>1</v>
      </c>
      <c r="AC233" t="s">
        <v>138</v>
      </c>
      <c r="AD233" t="s">
        <v>128</v>
      </c>
      <c r="AE233" s="97">
        <f>VLOOKUP(A:A,SUMMERY!AA:AC,2,FALSE)</f>
        <v>46220</v>
      </c>
      <c r="AF233" s="6" t="str">
        <f>VLOOKUP(A:A,SUMMERY!AA:AC,3,FALSE)</f>
        <v>Priority-1</v>
      </c>
    </row>
    <row r="234" spans="1:32" x14ac:dyDescent="0.3">
      <c r="A234" t="s">
        <v>1844</v>
      </c>
      <c r="B234" t="s">
        <v>1845</v>
      </c>
      <c r="G234" t="s">
        <v>1793</v>
      </c>
      <c r="H234" t="s">
        <v>132</v>
      </c>
      <c r="I234" t="s">
        <v>1</v>
      </c>
      <c r="J234" t="s">
        <v>133</v>
      </c>
      <c r="K234" t="s">
        <v>51</v>
      </c>
      <c r="L234" t="s">
        <v>1843</v>
      </c>
      <c r="M234" t="s">
        <v>134</v>
      </c>
      <c r="N234" t="s">
        <v>135</v>
      </c>
      <c r="Q234" t="s">
        <v>1765</v>
      </c>
      <c r="U234" t="s">
        <v>137</v>
      </c>
      <c r="V234" t="s">
        <v>150</v>
      </c>
      <c r="X234" t="s">
        <v>76</v>
      </c>
      <c r="AA234" t="s">
        <v>1795</v>
      </c>
      <c r="AB234" t="s">
        <v>1</v>
      </c>
      <c r="AC234" t="s">
        <v>138</v>
      </c>
      <c r="AD234" t="s">
        <v>128</v>
      </c>
      <c r="AE234" s="97">
        <f>VLOOKUP(A:A,SUMMERY!AA:AC,2,FALSE)</f>
        <v>46233</v>
      </c>
      <c r="AF234" s="6" t="str">
        <f>VLOOKUP(A:A,SUMMERY!AA:AC,3,FALSE)</f>
        <v>Priority-1</v>
      </c>
    </row>
    <row r="235" spans="1:32" x14ac:dyDescent="0.3">
      <c r="A235" t="s">
        <v>1856</v>
      </c>
      <c r="B235" t="s">
        <v>1857</v>
      </c>
      <c r="G235" t="s">
        <v>1793</v>
      </c>
      <c r="H235" t="s">
        <v>132</v>
      </c>
      <c r="I235" t="s">
        <v>1</v>
      </c>
      <c r="J235" t="s">
        <v>133</v>
      </c>
      <c r="K235" t="s">
        <v>51</v>
      </c>
      <c r="L235" t="s">
        <v>1858</v>
      </c>
      <c r="M235" t="s">
        <v>134</v>
      </c>
      <c r="N235" t="s">
        <v>135</v>
      </c>
      <c r="Q235" t="s">
        <v>1765</v>
      </c>
      <c r="U235" t="s">
        <v>137</v>
      </c>
      <c r="V235" t="s">
        <v>296</v>
      </c>
      <c r="X235" t="s">
        <v>63</v>
      </c>
      <c r="AA235" t="s">
        <v>1795</v>
      </c>
      <c r="AB235" t="s">
        <v>1</v>
      </c>
      <c r="AC235" t="s">
        <v>138</v>
      </c>
      <c r="AD235" t="s">
        <v>128</v>
      </c>
      <c r="AE235" s="97">
        <f>VLOOKUP(A:A,SUMMERY!AA:AC,2,FALSE)</f>
        <v>46220</v>
      </c>
      <c r="AF235" s="6" t="str">
        <f>VLOOKUP(A:A,SUMMERY!AA:AC,3,FALSE)</f>
        <v>Priority-1</v>
      </c>
    </row>
    <row r="236" spans="1:32" x14ac:dyDescent="0.3">
      <c r="A236" t="s">
        <v>1859</v>
      </c>
      <c r="B236" t="s">
        <v>1860</v>
      </c>
      <c r="G236" t="s">
        <v>1793</v>
      </c>
      <c r="H236" t="s">
        <v>132</v>
      </c>
      <c r="I236" t="s">
        <v>1</v>
      </c>
      <c r="J236" t="s">
        <v>133</v>
      </c>
      <c r="K236" t="s">
        <v>51</v>
      </c>
      <c r="L236" t="s">
        <v>1861</v>
      </c>
      <c r="M236" t="s">
        <v>134</v>
      </c>
      <c r="N236" t="s">
        <v>135</v>
      </c>
      <c r="Q236" t="s">
        <v>1765</v>
      </c>
      <c r="U236" t="s">
        <v>137</v>
      </c>
      <c r="V236" t="s">
        <v>300</v>
      </c>
      <c r="X236" t="s">
        <v>72</v>
      </c>
      <c r="AA236" t="s">
        <v>1795</v>
      </c>
      <c r="AB236" t="s">
        <v>1</v>
      </c>
      <c r="AC236" t="s">
        <v>138</v>
      </c>
      <c r="AD236" t="s">
        <v>128</v>
      </c>
      <c r="AE236" s="97">
        <f>VLOOKUP(A:A,SUMMERY!AA:AC,2,FALSE)</f>
        <v>46234</v>
      </c>
      <c r="AF236" s="6" t="str">
        <f>VLOOKUP(A:A,SUMMERY!AA:AC,3,FALSE)</f>
        <v>Priority-1</v>
      </c>
    </row>
    <row r="237" spans="1:32" x14ac:dyDescent="0.3">
      <c r="A237" t="s">
        <v>1877</v>
      </c>
      <c r="B237" t="s">
        <v>1878</v>
      </c>
      <c r="G237" t="s">
        <v>1793</v>
      </c>
      <c r="H237" t="s">
        <v>132</v>
      </c>
      <c r="I237" t="s">
        <v>1</v>
      </c>
      <c r="J237" t="s">
        <v>133</v>
      </c>
      <c r="K237" t="s">
        <v>51</v>
      </c>
      <c r="L237" t="s">
        <v>1879</v>
      </c>
      <c r="M237" t="s">
        <v>134</v>
      </c>
      <c r="N237" t="s">
        <v>135</v>
      </c>
      <c r="Q237" t="s">
        <v>1765</v>
      </c>
      <c r="U237" t="s">
        <v>137</v>
      </c>
      <c r="V237" t="s">
        <v>1239</v>
      </c>
      <c r="X237" t="s">
        <v>127</v>
      </c>
      <c r="AA237" t="s">
        <v>1795</v>
      </c>
      <c r="AB237" t="s">
        <v>1</v>
      </c>
      <c r="AC237" t="s">
        <v>138</v>
      </c>
      <c r="AD237" t="s">
        <v>131</v>
      </c>
      <c r="AE237" s="97">
        <f>VLOOKUP(A:A,SUMMERY!AA:AC,2,FALSE)</f>
        <v>46234</v>
      </c>
      <c r="AF237" s="6" t="str">
        <f>VLOOKUP(A:A,SUMMERY!AA:AC,3,FALSE)</f>
        <v>Priority-2</v>
      </c>
    </row>
    <row r="238" spans="1:32" x14ac:dyDescent="0.3">
      <c r="A238" t="s">
        <v>1880</v>
      </c>
      <c r="B238" t="s">
        <v>1881</v>
      </c>
      <c r="G238" t="s">
        <v>1793</v>
      </c>
      <c r="H238" t="s">
        <v>132</v>
      </c>
      <c r="I238" t="s">
        <v>1</v>
      </c>
      <c r="J238" t="s">
        <v>133</v>
      </c>
      <c r="K238" t="s">
        <v>51</v>
      </c>
      <c r="L238" t="s">
        <v>1882</v>
      </c>
      <c r="M238" t="s">
        <v>134</v>
      </c>
      <c r="N238" t="s">
        <v>135</v>
      </c>
      <c r="Q238" t="s">
        <v>1765</v>
      </c>
      <c r="U238" t="s">
        <v>137</v>
      </c>
      <c r="V238" t="s">
        <v>1249</v>
      </c>
      <c r="X238" t="s">
        <v>61</v>
      </c>
      <c r="AA238" t="s">
        <v>1795</v>
      </c>
      <c r="AB238" t="s">
        <v>1</v>
      </c>
      <c r="AC238" t="s">
        <v>138</v>
      </c>
      <c r="AD238" t="s">
        <v>128</v>
      </c>
      <c r="AE238" s="97">
        <f>VLOOKUP(A:A,SUMMERY!AA:AC,2,FALSE)</f>
        <v>46224</v>
      </c>
      <c r="AF238" s="6" t="str">
        <f>VLOOKUP(A:A,SUMMERY!AA:AC,3,FALSE)</f>
        <v>Priority-1</v>
      </c>
    </row>
    <row r="239" spans="1:32" x14ac:dyDescent="0.3">
      <c r="A239" t="s">
        <v>1885</v>
      </c>
      <c r="B239" t="s">
        <v>1886</v>
      </c>
      <c r="G239" t="s">
        <v>1883</v>
      </c>
      <c r="H239" t="s">
        <v>132</v>
      </c>
      <c r="I239" t="s">
        <v>1</v>
      </c>
      <c r="J239" t="s">
        <v>133</v>
      </c>
      <c r="K239" t="s">
        <v>51</v>
      </c>
      <c r="L239" t="s">
        <v>1887</v>
      </c>
      <c r="M239" t="s">
        <v>134</v>
      </c>
      <c r="N239" t="s">
        <v>135</v>
      </c>
      <c r="Q239" t="s">
        <v>140</v>
      </c>
      <c r="T239" t="s">
        <v>1888</v>
      </c>
      <c r="U239" t="s">
        <v>137</v>
      </c>
      <c r="V239" t="s">
        <v>147</v>
      </c>
      <c r="X239" t="s">
        <v>70</v>
      </c>
      <c r="AA239" t="s">
        <v>1884</v>
      </c>
      <c r="AB239" t="s">
        <v>3</v>
      </c>
      <c r="AC239" t="s">
        <v>138</v>
      </c>
      <c r="AD239" t="s">
        <v>128</v>
      </c>
      <c r="AE239" s="97">
        <f>VLOOKUP(A:A,SUMMERY!AA:AC,2,FALSE)</f>
        <v>46220</v>
      </c>
      <c r="AF239" s="6" t="str">
        <f>VLOOKUP(A:A,SUMMERY!AA:AC,3,FALSE)</f>
        <v>Priority-1</v>
      </c>
    </row>
    <row r="240" spans="1:32" x14ac:dyDescent="0.3">
      <c r="A240" t="s">
        <v>1889</v>
      </c>
      <c r="B240" t="s">
        <v>1890</v>
      </c>
      <c r="G240" t="s">
        <v>1883</v>
      </c>
      <c r="H240" t="s">
        <v>132</v>
      </c>
      <c r="I240" t="s">
        <v>1</v>
      </c>
      <c r="J240" t="s">
        <v>133</v>
      </c>
      <c r="K240" t="s">
        <v>51</v>
      </c>
      <c r="L240" t="s">
        <v>1891</v>
      </c>
      <c r="M240" t="s">
        <v>134</v>
      </c>
      <c r="N240" t="s">
        <v>135</v>
      </c>
      <c r="Q240" t="s">
        <v>140</v>
      </c>
      <c r="T240" t="s">
        <v>1892</v>
      </c>
      <c r="U240" t="s">
        <v>137</v>
      </c>
      <c r="V240" t="s">
        <v>150</v>
      </c>
      <c r="X240" t="s">
        <v>76</v>
      </c>
      <c r="AA240" t="s">
        <v>1884</v>
      </c>
      <c r="AB240" t="s">
        <v>3</v>
      </c>
      <c r="AC240" t="s">
        <v>138</v>
      </c>
      <c r="AD240" t="s">
        <v>128</v>
      </c>
      <c r="AE240" s="97">
        <f>VLOOKUP(A:A,SUMMERY!AA:AC,2,FALSE)</f>
        <v>46233</v>
      </c>
      <c r="AF240" s="6" t="str">
        <f>VLOOKUP(A:A,SUMMERY!AA:AC,3,FALSE)</f>
        <v>Priority-1</v>
      </c>
    </row>
    <row r="241" spans="1:32" x14ac:dyDescent="0.3">
      <c r="A241" t="s">
        <v>1913</v>
      </c>
      <c r="B241" t="s">
        <v>1914</v>
      </c>
      <c r="G241" t="s">
        <v>1883</v>
      </c>
      <c r="H241" t="s">
        <v>132</v>
      </c>
      <c r="I241" t="s">
        <v>1</v>
      </c>
      <c r="J241" t="s">
        <v>133</v>
      </c>
      <c r="K241" t="s">
        <v>51</v>
      </c>
      <c r="L241" t="s">
        <v>1915</v>
      </c>
      <c r="M241" t="s">
        <v>134</v>
      </c>
      <c r="N241" t="s">
        <v>135</v>
      </c>
      <c r="Q241" t="s">
        <v>140</v>
      </c>
      <c r="T241" t="s">
        <v>1916</v>
      </c>
      <c r="U241" t="s">
        <v>137</v>
      </c>
      <c r="V241" t="s">
        <v>362</v>
      </c>
      <c r="X241" t="s">
        <v>58</v>
      </c>
      <c r="AA241" t="s">
        <v>1884</v>
      </c>
      <c r="AB241" t="s">
        <v>3</v>
      </c>
      <c r="AC241" t="s">
        <v>138</v>
      </c>
      <c r="AD241" t="s">
        <v>128</v>
      </c>
      <c r="AE241" s="97">
        <f>VLOOKUP(A:A,SUMMERY!AA:AC,2,FALSE)</f>
        <v>46220</v>
      </c>
      <c r="AF241" s="6" t="str">
        <f>VLOOKUP(A:A,SUMMERY!AA:AC,3,FALSE)</f>
        <v>Priority-1</v>
      </c>
    </row>
    <row r="242" spans="1:32" x14ac:dyDescent="0.3">
      <c r="A242" t="s">
        <v>1917</v>
      </c>
      <c r="B242" t="s">
        <v>1918</v>
      </c>
      <c r="G242" t="s">
        <v>1883</v>
      </c>
      <c r="H242" t="s">
        <v>132</v>
      </c>
      <c r="I242" t="s">
        <v>1</v>
      </c>
      <c r="J242" t="s">
        <v>133</v>
      </c>
      <c r="K242" t="s">
        <v>51</v>
      </c>
      <c r="L242" t="s">
        <v>1919</v>
      </c>
      <c r="M242" t="s">
        <v>134</v>
      </c>
      <c r="N242" t="s">
        <v>135</v>
      </c>
      <c r="Q242" t="s">
        <v>140</v>
      </c>
      <c r="T242" t="s">
        <v>1920</v>
      </c>
      <c r="U242" t="s">
        <v>137</v>
      </c>
      <c r="V242" t="s">
        <v>403</v>
      </c>
      <c r="X242" t="s">
        <v>68</v>
      </c>
      <c r="AA242" t="s">
        <v>1884</v>
      </c>
      <c r="AB242" t="s">
        <v>3</v>
      </c>
      <c r="AC242" t="s">
        <v>138</v>
      </c>
      <c r="AD242" t="s">
        <v>128</v>
      </c>
      <c r="AE242" s="97">
        <f>VLOOKUP(A:A,SUMMERY!AA:AC,2,FALSE)</f>
        <v>46233</v>
      </c>
      <c r="AF242" s="6" t="str">
        <f>VLOOKUP(A:A,SUMMERY!AA:AC,3,FALSE)</f>
        <v>Priority-1</v>
      </c>
    </row>
    <row r="243" spans="1:32" x14ac:dyDescent="0.3">
      <c r="A243" t="s">
        <v>1921</v>
      </c>
      <c r="B243" t="s">
        <v>1922</v>
      </c>
      <c r="G243" t="s">
        <v>1883</v>
      </c>
      <c r="H243" t="s">
        <v>132</v>
      </c>
      <c r="I243" t="s">
        <v>1</v>
      </c>
      <c r="J243" t="s">
        <v>133</v>
      </c>
      <c r="K243" t="s">
        <v>51</v>
      </c>
      <c r="L243" t="s">
        <v>1919</v>
      </c>
      <c r="M243" t="s">
        <v>134</v>
      </c>
      <c r="N243" t="s">
        <v>135</v>
      </c>
      <c r="Q243" t="s">
        <v>140</v>
      </c>
      <c r="T243" t="s">
        <v>1920</v>
      </c>
      <c r="U243" t="s">
        <v>137</v>
      </c>
      <c r="V243" t="s">
        <v>407</v>
      </c>
      <c r="X243" t="s">
        <v>77</v>
      </c>
      <c r="AA243" t="s">
        <v>1884</v>
      </c>
      <c r="AB243" t="s">
        <v>3</v>
      </c>
      <c r="AC243" t="s">
        <v>138</v>
      </c>
      <c r="AD243" t="s">
        <v>128</v>
      </c>
      <c r="AE243" s="97">
        <f>VLOOKUP(A:A,SUMMERY!AA:AC,2,FALSE)</f>
        <v>46233</v>
      </c>
      <c r="AF243" s="6" t="str">
        <f>VLOOKUP(A:A,SUMMERY!AA:AC,3,FALSE)</f>
        <v>Priority-1</v>
      </c>
    </row>
    <row r="244" spans="1:32" x14ac:dyDescent="0.3">
      <c r="A244" t="s">
        <v>1933</v>
      </c>
      <c r="B244" t="s">
        <v>1934</v>
      </c>
      <c r="G244" t="s">
        <v>1883</v>
      </c>
      <c r="H244" t="s">
        <v>132</v>
      </c>
      <c r="I244" t="s">
        <v>1</v>
      </c>
      <c r="J244" t="s">
        <v>133</v>
      </c>
      <c r="K244" t="s">
        <v>51</v>
      </c>
      <c r="L244" t="s">
        <v>1935</v>
      </c>
      <c r="M244" t="s">
        <v>134</v>
      </c>
      <c r="N244" t="s">
        <v>135</v>
      </c>
      <c r="Q244" t="s">
        <v>140</v>
      </c>
      <c r="T244" t="s">
        <v>1936</v>
      </c>
      <c r="U244" t="s">
        <v>137</v>
      </c>
      <c r="V244" t="s">
        <v>640</v>
      </c>
      <c r="X244" t="s">
        <v>66</v>
      </c>
      <c r="AA244" t="s">
        <v>1884</v>
      </c>
      <c r="AB244" t="s">
        <v>3</v>
      </c>
      <c r="AC244" t="s">
        <v>138</v>
      </c>
      <c r="AD244" t="s">
        <v>128</v>
      </c>
      <c r="AE244" s="97">
        <f>VLOOKUP(A:A,SUMMERY!AA:AC,2,FALSE)</f>
        <v>46220</v>
      </c>
      <c r="AF244" s="6" t="str">
        <f>VLOOKUP(A:A,SUMMERY!AA:AC,3,FALSE)</f>
        <v>Priority-1</v>
      </c>
    </row>
    <row r="245" spans="1:32" x14ac:dyDescent="0.3">
      <c r="A245" t="s">
        <v>1937</v>
      </c>
      <c r="B245" t="s">
        <v>1938</v>
      </c>
      <c r="G245" t="s">
        <v>1883</v>
      </c>
      <c r="H245" t="s">
        <v>132</v>
      </c>
      <c r="I245" t="s">
        <v>1</v>
      </c>
      <c r="J245" t="s">
        <v>133</v>
      </c>
      <c r="K245" t="s">
        <v>51</v>
      </c>
      <c r="L245" t="s">
        <v>1935</v>
      </c>
      <c r="M245" t="s">
        <v>134</v>
      </c>
      <c r="N245" t="s">
        <v>135</v>
      </c>
      <c r="Q245" t="s">
        <v>140</v>
      </c>
      <c r="T245" t="s">
        <v>1936</v>
      </c>
      <c r="U245" t="s">
        <v>137</v>
      </c>
      <c r="V245" t="s">
        <v>646</v>
      </c>
      <c r="X245" t="s">
        <v>74</v>
      </c>
      <c r="AA245" t="s">
        <v>1884</v>
      </c>
      <c r="AB245" t="s">
        <v>3</v>
      </c>
      <c r="AC245" t="s">
        <v>138</v>
      </c>
      <c r="AD245" t="s">
        <v>128</v>
      </c>
      <c r="AE245" s="97">
        <f>VLOOKUP(A:A,SUMMERY!AA:AC,2,FALSE)</f>
        <v>46220</v>
      </c>
      <c r="AF245" s="6" t="str">
        <f>VLOOKUP(A:A,SUMMERY!AA:AC,3,FALSE)</f>
        <v>Priority-1</v>
      </c>
    </row>
    <row r="246" spans="1:32" x14ac:dyDescent="0.3">
      <c r="A246" t="s">
        <v>1947</v>
      </c>
      <c r="B246" t="s">
        <v>1948</v>
      </c>
      <c r="G246" t="s">
        <v>1883</v>
      </c>
      <c r="H246" t="s">
        <v>132</v>
      </c>
      <c r="I246" t="s">
        <v>1</v>
      </c>
      <c r="J246" t="s">
        <v>133</v>
      </c>
      <c r="K246" t="s">
        <v>51</v>
      </c>
      <c r="L246" t="s">
        <v>1949</v>
      </c>
      <c r="M246" t="s">
        <v>134</v>
      </c>
      <c r="N246" t="s">
        <v>135</v>
      </c>
      <c r="Q246" t="s">
        <v>140</v>
      </c>
      <c r="T246" t="s">
        <v>1950</v>
      </c>
      <c r="U246" t="s">
        <v>137</v>
      </c>
      <c r="V246" t="s">
        <v>1190</v>
      </c>
      <c r="X246" t="s">
        <v>67</v>
      </c>
      <c r="AA246" t="s">
        <v>1884</v>
      </c>
      <c r="AB246" t="s">
        <v>3</v>
      </c>
      <c r="AC246" t="s">
        <v>138</v>
      </c>
      <c r="AD246" t="s">
        <v>128</v>
      </c>
      <c r="AE246" s="97">
        <f>VLOOKUP(A:A,SUMMERY!AA:AC,2,FALSE)</f>
        <v>46220</v>
      </c>
      <c r="AF246" s="6" t="str">
        <f>VLOOKUP(A:A,SUMMERY!AA:AC,3,FALSE)</f>
        <v>Priority-1</v>
      </c>
    </row>
    <row r="247" spans="1:32" x14ac:dyDescent="0.3">
      <c r="A247" t="s">
        <v>1951</v>
      </c>
      <c r="B247" t="s">
        <v>1952</v>
      </c>
      <c r="G247" t="s">
        <v>1883</v>
      </c>
      <c r="H247" t="s">
        <v>132</v>
      </c>
      <c r="I247" t="s">
        <v>1</v>
      </c>
      <c r="J247" t="s">
        <v>133</v>
      </c>
      <c r="K247" t="s">
        <v>51</v>
      </c>
      <c r="L247" t="s">
        <v>1949</v>
      </c>
      <c r="M247" t="s">
        <v>134</v>
      </c>
      <c r="N247" t="s">
        <v>135</v>
      </c>
      <c r="Q247" t="s">
        <v>140</v>
      </c>
      <c r="T247" t="s">
        <v>1950</v>
      </c>
      <c r="U247" t="s">
        <v>137</v>
      </c>
      <c r="V247" t="s">
        <v>1194</v>
      </c>
      <c r="X247" t="s">
        <v>75</v>
      </c>
      <c r="AA247" t="s">
        <v>1884</v>
      </c>
      <c r="AB247" t="s">
        <v>3</v>
      </c>
      <c r="AC247" t="s">
        <v>138</v>
      </c>
      <c r="AD247" t="s">
        <v>128</v>
      </c>
      <c r="AE247" s="97">
        <f>VLOOKUP(A:A,SUMMERY!AA:AC,2,FALSE)</f>
        <v>46220</v>
      </c>
      <c r="AF247" s="6" t="str">
        <f>VLOOKUP(A:A,SUMMERY!AA:AC,3,FALSE)</f>
        <v>Priority-1</v>
      </c>
    </row>
    <row r="248" spans="1:32" x14ac:dyDescent="0.3">
      <c r="A248" t="s">
        <v>1963</v>
      </c>
      <c r="B248" t="s">
        <v>1964</v>
      </c>
      <c r="G248" t="s">
        <v>1883</v>
      </c>
      <c r="H248" t="s">
        <v>132</v>
      </c>
      <c r="I248" t="s">
        <v>1</v>
      </c>
      <c r="J248" t="s">
        <v>133</v>
      </c>
      <c r="K248" t="s">
        <v>51</v>
      </c>
      <c r="L248" t="s">
        <v>1965</v>
      </c>
      <c r="M248" t="s">
        <v>134</v>
      </c>
      <c r="N248" t="s">
        <v>135</v>
      </c>
      <c r="Q248" t="s">
        <v>140</v>
      </c>
      <c r="T248" t="s">
        <v>1966</v>
      </c>
      <c r="U248" t="s">
        <v>137</v>
      </c>
      <c r="V248" t="s">
        <v>1967</v>
      </c>
      <c r="X248" t="s">
        <v>125</v>
      </c>
      <c r="AA248" t="s">
        <v>1884</v>
      </c>
      <c r="AB248" t="s">
        <v>3</v>
      </c>
      <c r="AC248" t="s">
        <v>138</v>
      </c>
      <c r="AD248" t="s">
        <v>131</v>
      </c>
      <c r="AE248" s="97">
        <f>VLOOKUP(A:A,SUMMERY!AA:AC,2,FALSE)</f>
        <v>46234</v>
      </c>
      <c r="AF248" s="6" t="str">
        <f>VLOOKUP(A:A,SUMMERY!AA:AC,3,FALSE)</f>
        <v>Priority-2</v>
      </c>
    </row>
    <row r="249" spans="1:32" x14ac:dyDescent="0.3">
      <c r="A249" t="s">
        <v>1968</v>
      </c>
      <c r="B249" t="s">
        <v>1969</v>
      </c>
      <c r="G249" t="s">
        <v>1883</v>
      </c>
      <c r="H249" t="s">
        <v>132</v>
      </c>
      <c r="I249" t="s">
        <v>1</v>
      </c>
      <c r="J249" t="s">
        <v>133</v>
      </c>
      <c r="K249" t="s">
        <v>51</v>
      </c>
      <c r="L249" t="s">
        <v>1970</v>
      </c>
      <c r="M249" t="s">
        <v>134</v>
      </c>
      <c r="N249" t="s">
        <v>135</v>
      </c>
      <c r="Q249" t="s">
        <v>140</v>
      </c>
      <c r="T249" t="s">
        <v>1966</v>
      </c>
      <c r="U249" t="s">
        <v>137</v>
      </c>
      <c r="V249" t="s">
        <v>1967</v>
      </c>
      <c r="X249" t="s">
        <v>125</v>
      </c>
      <c r="AA249" t="s">
        <v>1884</v>
      </c>
      <c r="AB249" t="s">
        <v>3</v>
      </c>
      <c r="AC249" t="s">
        <v>138</v>
      </c>
      <c r="AD249" t="s">
        <v>131</v>
      </c>
      <c r="AE249" s="97">
        <f>VLOOKUP(A:A,SUMMERY!AA:AC,2,FALSE)</f>
        <v>46234</v>
      </c>
      <c r="AF249" s="6" t="str">
        <f>VLOOKUP(A:A,SUMMERY!AA:AC,3,FALSE)</f>
        <v>Priority-2</v>
      </c>
    </row>
    <row r="250" spans="1:32" x14ac:dyDescent="0.3">
      <c r="A250" t="s">
        <v>1971</v>
      </c>
      <c r="B250" t="s">
        <v>1972</v>
      </c>
      <c r="G250" t="s">
        <v>1883</v>
      </c>
      <c r="H250" t="s">
        <v>132</v>
      </c>
      <c r="I250" t="s">
        <v>1</v>
      </c>
      <c r="J250" t="s">
        <v>133</v>
      </c>
      <c r="K250" t="s">
        <v>51</v>
      </c>
      <c r="L250" t="s">
        <v>1973</v>
      </c>
      <c r="M250" t="s">
        <v>134</v>
      </c>
      <c r="N250" t="s">
        <v>135</v>
      </c>
      <c r="Q250" t="s">
        <v>140</v>
      </c>
      <c r="T250" t="s">
        <v>1974</v>
      </c>
      <c r="U250" t="s">
        <v>137</v>
      </c>
      <c r="V250" t="s">
        <v>703</v>
      </c>
      <c r="X250" t="s">
        <v>62</v>
      </c>
      <c r="AA250" t="s">
        <v>1884</v>
      </c>
      <c r="AB250" t="s">
        <v>3</v>
      </c>
      <c r="AC250" t="s">
        <v>138</v>
      </c>
      <c r="AD250" t="s">
        <v>128</v>
      </c>
      <c r="AE250" s="97">
        <f>VLOOKUP(A:A,SUMMERY!AA:AC,2,FALSE)</f>
        <v>46220</v>
      </c>
      <c r="AF250" s="6" t="str">
        <f>VLOOKUP(A:A,SUMMERY!AA:AC,3,FALSE)</f>
        <v>Priority-1</v>
      </c>
    </row>
    <row r="251" spans="1:32" x14ac:dyDescent="0.3">
      <c r="A251" t="s">
        <v>1975</v>
      </c>
      <c r="B251" t="s">
        <v>1976</v>
      </c>
      <c r="G251" t="s">
        <v>1883</v>
      </c>
      <c r="H251" t="s">
        <v>132</v>
      </c>
      <c r="I251" t="s">
        <v>1</v>
      </c>
      <c r="J251" t="s">
        <v>133</v>
      </c>
      <c r="K251" t="s">
        <v>51</v>
      </c>
      <c r="L251" t="s">
        <v>1973</v>
      </c>
      <c r="M251" t="s">
        <v>134</v>
      </c>
      <c r="N251" t="s">
        <v>135</v>
      </c>
      <c r="Q251" t="s">
        <v>140</v>
      </c>
      <c r="T251" t="s">
        <v>1974</v>
      </c>
      <c r="U251" t="s">
        <v>137</v>
      </c>
      <c r="V251" t="s">
        <v>703</v>
      </c>
      <c r="X251" t="s">
        <v>62</v>
      </c>
      <c r="AA251" t="s">
        <v>1884</v>
      </c>
      <c r="AB251" t="s">
        <v>3</v>
      </c>
      <c r="AC251" t="s">
        <v>138</v>
      </c>
      <c r="AD251" t="s">
        <v>128</v>
      </c>
      <c r="AE251" s="97">
        <f>VLOOKUP(A:A,SUMMERY!AA:AC,2,FALSE)</f>
        <v>46220</v>
      </c>
      <c r="AF251" s="6" t="str">
        <f>VLOOKUP(A:A,SUMMERY!AA:AC,3,FALSE)</f>
        <v>Priority-1</v>
      </c>
    </row>
    <row r="252" spans="1:32" x14ac:dyDescent="0.3">
      <c r="A252" t="s">
        <v>1977</v>
      </c>
      <c r="B252" t="s">
        <v>1978</v>
      </c>
      <c r="G252" t="s">
        <v>1883</v>
      </c>
      <c r="H252" t="s">
        <v>132</v>
      </c>
      <c r="I252" t="s">
        <v>1</v>
      </c>
      <c r="J252" t="s">
        <v>133</v>
      </c>
      <c r="K252" t="s">
        <v>51</v>
      </c>
      <c r="L252" t="s">
        <v>1979</v>
      </c>
      <c r="M252" t="s">
        <v>134</v>
      </c>
      <c r="N252" t="s">
        <v>135</v>
      </c>
      <c r="Q252" t="s">
        <v>140</v>
      </c>
      <c r="T252" t="s">
        <v>1888</v>
      </c>
      <c r="U252" t="s">
        <v>137</v>
      </c>
      <c r="V252" t="s">
        <v>147</v>
      </c>
      <c r="X252" t="s">
        <v>70</v>
      </c>
      <c r="AA252" t="s">
        <v>1884</v>
      </c>
      <c r="AB252" t="s">
        <v>3</v>
      </c>
      <c r="AC252" t="s">
        <v>138</v>
      </c>
      <c r="AD252" t="s">
        <v>128</v>
      </c>
      <c r="AE252" s="97">
        <f>VLOOKUP(A:A,SUMMERY!AA:AC,2,FALSE)</f>
        <v>46220</v>
      </c>
      <c r="AF252" s="6" t="str">
        <f>VLOOKUP(A:A,SUMMERY!AA:AC,3,FALSE)</f>
        <v>Priority-1</v>
      </c>
    </row>
    <row r="253" spans="1:32" x14ac:dyDescent="0.3">
      <c r="A253" t="s">
        <v>1980</v>
      </c>
      <c r="B253" t="s">
        <v>1981</v>
      </c>
      <c r="G253" t="s">
        <v>1883</v>
      </c>
      <c r="H253" t="s">
        <v>132</v>
      </c>
      <c r="I253" t="s">
        <v>1</v>
      </c>
      <c r="J253" t="s">
        <v>133</v>
      </c>
      <c r="K253" t="s">
        <v>51</v>
      </c>
      <c r="L253" t="s">
        <v>1979</v>
      </c>
      <c r="M253" t="s">
        <v>134</v>
      </c>
      <c r="N253" t="s">
        <v>135</v>
      </c>
      <c r="Q253" t="s">
        <v>140</v>
      </c>
      <c r="T253" t="s">
        <v>1892</v>
      </c>
      <c r="U253" t="s">
        <v>137</v>
      </c>
      <c r="V253" t="s">
        <v>150</v>
      </c>
      <c r="X253" t="s">
        <v>76</v>
      </c>
      <c r="AA253" t="s">
        <v>1884</v>
      </c>
      <c r="AB253" t="s">
        <v>3</v>
      </c>
      <c r="AC253" t="s">
        <v>138</v>
      </c>
      <c r="AD253" t="s">
        <v>128</v>
      </c>
      <c r="AE253" s="97">
        <f>VLOOKUP(A:A,SUMMERY!AA:AC,2,FALSE)</f>
        <v>46233</v>
      </c>
      <c r="AF253" s="6" t="str">
        <f>VLOOKUP(A:A,SUMMERY!AA:AC,3,FALSE)</f>
        <v>Priority-1</v>
      </c>
    </row>
    <row r="254" spans="1:32" x14ac:dyDescent="0.3">
      <c r="A254" t="s">
        <v>1992</v>
      </c>
      <c r="B254" t="s">
        <v>1993</v>
      </c>
      <c r="G254" t="s">
        <v>1883</v>
      </c>
      <c r="H254" t="s">
        <v>132</v>
      </c>
      <c r="I254" t="s">
        <v>1</v>
      </c>
      <c r="J254" t="s">
        <v>133</v>
      </c>
      <c r="K254" t="s">
        <v>51</v>
      </c>
      <c r="L254" t="s">
        <v>1979</v>
      </c>
      <c r="M254" t="s">
        <v>134</v>
      </c>
      <c r="N254" t="s">
        <v>135</v>
      </c>
      <c r="Q254" t="s">
        <v>140</v>
      </c>
      <c r="T254" t="s">
        <v>1888</v>
      </c>
      <c r="U254" t="s">
        <v>137</v>
      </c>
      <c r="V254" t="s">
        <v>147</v>
      </c>
      <c r="X254" t="s">
        <v>70</v>
      </c>
      <c r="AA254" t="s">
        <v>1884</v>
      </c>
      <c r="AB254" t="s">
        <v>3</v>
      </c>
      <c r="AC254" t="s">
        <v>138</v>
      </c>
      <c r="AD254" t="s">
        <v>128</v>
      </c>
      <c r="AE254" s="97">
        <f>VLOOKUP(A:A,SUMMERY!AA:AC,2,FALSE)</f>
        <v>46220</v>
      </c>
      <c r="AF254" s="6" t="str">
        <f>VLOOKUP(A:A,SUMMERY!AA:AC,3,FALSE)</f>
        <v>Priority-1</v>
      </c>
    </row>
    <row r="255" spans="1:32" x14ac:dyDescent="0.3">
      <c r="A255" t="s">
        <v>1994</v>
      </c>
      <c r="B255" t="s">
        <v>1995</v>
      </c>
      <c r="G255" t="s">
        <v>1883</v>
      </c>
      <c r="H255" t="s">
        <v>132</v>
      </c>
      <c r="I255" t="s">
        <v>1</v>
      </c>
      <c r="J255" t="s">
        <v>133</v>
      </c>
      <c r="K255" t="s">
        <v>51</v>
      </c>
      <c r="L255" t="s">
        <v>1979</v>
      </c>
      <c r="M255" t="s">
        <v>134</v>
      </c>
      <c r="N255" t="s">
        <v>135</v>
      </c>
      <c r="Q255" t="s">
        <v>140</v>
      </c>
      <c r="T255" t="s">
        <v>1892</v>
      </c>
      <c r="U255" t="s">
        <v>137</v>
      </c>
      <c r="V255" t="s">
        <v>150</v>
      </c>
      <c r="X255" t="s">
        <v>76</v>
      </c>
      <c r="AA255" t="s">
        <v>1884</v>
      </c>
      <c r="AB255" t="s">
        <v>3</v>
      </c>
      <c r="AC255" t="s">
        <v>138</v>
      </c>
      <c r="AD255" t="s">
        <v>128</v>
      </c>
      <c r="AE255" s="97">
        <f>VLOOKUP(A:A,SUMMERY!AA:AC,2,FALSE)</f>
        <v>46233</v>
      </c>
      <c r="AF255" s="6" t="str">
        <f>VLOOKUP(A:A,SUMMERY!AA:AC,3,FALSE)</f>
        <v>Priority-1</v>
      </c>
    </row>
    <row r="256" spans="1:32" x14ac:dyDescent="0.3">
      <c r="A256" t="s">
        <v>2006</v>
      </c>
      <c r="B256" t="s">
        <v>2007</v>
      </c>
      <c r="G256" t="s">
        <v>1883</v>
      </c>
      <c r="H256" t="s">
        <v>132</v>
      </c>
      <c r="I256" t="s">
        <v>1</v>
      </c>
      <c r="J256" t="s">
        <v>133</v>
      </c>
      <c r="K256" t="s">
        <v>51</v>
      </c>
      <c r="L256" t="s">
        <v>1973</v>
      </c>
      <c r="M256" t="s">
        <v>134</v>
      </c>
      <c r="N256" t="s">
        <v>135</v>
      </c>
      <c r="Q256" t="s">
        <v>140</v>
      </c>
      <c r="T256" t="s">
        <v>1974</v>
      </c>
      <c r="U256" t="s">
        <v>137</v>
      </c>
      <c r="V256" t="s">
        <v>709</v>
      </c>
      <c r="X256" t="s">
        <v>73</v>
      </c>
      <c r="AA256" t="s">
        <v>1884</v>
      </c>
      <c r="AB256" t="s">
        <v>3</v>
      </c>
      <c r="AC256" t="s">
        <v>138</v>
      </c>
      <c r="AD256" t="s">
        <v>128</v>
      </c>
      <c r="AE256" s="97">
        <f>VLOOKUP(A:A,SUMMERY!AA:AC,2,FALSE)</f>
        <v>46220</v>
      </c>
      <c r="AF256" s="6" t="str">
        <f>VLOOKUP(A:A,SUMMERY!AA:AC,3,FALSE)</f>
        <v>Priority-1</v>
      </c>
    </row>
    <row r="257" spans="1:32" x14ac:dyDescent="0.3">
      <c r="A257" t="s">
        <v>2008</v>
      </c>
      <c r="B257" t="s">
        <v>2009</v>
      </c>
      <c r="G257" t="s">
        <v>1883</v>
      </c>
      <c r="H257" t="s">
        <v>132</v>
      </c>
      <c r="I257" t="s">
        <v>1</v>
      </c>
      <c r="J257" t="s">
        <v>133</v>
      </c>
      <c r="K257" t="s">
        <v>51</v>
      </c>
      <c r="L257" t="s">
        <v>1973</v>
      </c>
      <c r="M257" t="s">
        <v>134</v>
      </c>
      <c r="N257" t="s">
        <v>135</v>
      </c>
      <c r="Q257" t="s">
        <v>140</v>
      </c>
      <c r="T257" t="s">
        <v>1974</v>
      </c>
      <c r="U257" t="s">
        <v>137</v>
      </c>
      <c r="V257" t="s">
        <v>709</v>
      </c>
      <c r="X257" t="s">
        <v>73</v>
      </c>
      <c r="AA257" t="s">
        <v>1884</v>
      </c>
      <c r="AB257" t="s">
        <v>3</v>
      </c>
      <c r="AC257" t="s">
        <v>138</v>
      </c>
      <c r="AD257" t="s">
        <v>128</v>
      </c>
      <c r="AE257" s="97">
        <f>VLOOKUP(A:A,SUMMERY!AA:AC,2,FALSE)</f>
        <v>46220</v>
      </c>
      <c r="AF257" s="6" t="str">
        <f>VLOOKUP(A:A,SUMMERY!AA:AC,3,FALSE)</f>
        <v>Priority-1</v>
      </c>
    </row>
    <row r="258" spans="1:32" x14ac:dyDescent="0.3">
      <c r="A258" t="s">
        <v>2030</v>
      </c>
      <c r="B258" t="s">
        <v>2031</v>
      </c>
      <c r="G258" t="s">
        <v>1883</v>
      </c>
      <c r="H258" t="s">
        <v>132</v>
      </c>
      <c r="I258" t="s">
        <v>1</v>
      </c>
      <c r="J258" t="s">
        <v>133</v>
      </c>
      <c r="K258" t="s">
        <v>51</v>
      </c>
      <c r="L258" t="s">
        <v>2032</v>
      </c>
      <c r="M258" t="s">
        <v>134</v>
      </c>
      <c r="N258" t="s">
        <v>135</v>
      </c>
      <c r="Q258" t="s">
        <v>140</v>
      </c>
      <c r="T258" t="s">
        <v>1936</v>
      </c>
      <c r="U258" t="s">
        <v>137</v>
      </c>
      <c r="V258" t="s">
        <v>640</v>
      </c>
      <c r="X258" t="s">
        <v>66</v>
      </c>
      <c r="AA258" t="s">
        <v>1884</v>
      </c>
      <c r="AB258" t="s">
        <v>3</v>
      </c>
      <c r="AC258" t="s">
        <v>138</v>
      </c>
      <c r="AD258" t="s">
        <v>128</v>
      </c>
      <c r="AE258" s="97">
        <f>VLOOKUP(A:A,SUMMERY!AA:AC,2,FALSE)</f>
        <v>46220</v>
      </c>
      <c r="AF258" s="6" t="str">
        <f>VLOOKUP(A:A,SUMMERY!AA:AC,3,FALSE)</f>
        <v>Priority-1</v>
      </c>
    </row>
    <row r="259" spans="1:32" x14ac:dyDescent="0.3">
      <c r="A259" t="s">
        <v>2033</v>
      </c>
      <c r="B259" t="s">
        <v>2034</v>
      </c>
      <c r="G259" t="s">
        <v>1883</v>
      </c>
      <c r="H259" t="s">
        <v>132</v>
      </c>
      <c r="I259" t="s">
        <v>1</v>
      </c>
      <c r="J259" t="s">
        <v>133</v>
      </c>
      <c r="K259" t="s">
        <v>51</v>
      </c>
      <c r="L259" t="s">
        <v>2032</v>
      </c>
      <c r="M259" t="s">
        <v>134</v>
      </c>
      <c r="N259" t="s">
        <v>135</v>
      </c>
      <c r="Q259" t="s">
        <v>140</v>
      </c>
      <c r="T259" t="s">
        <v>1936</v>
      </c>
      <c r="U259" t="s">
        <v>137</v>
      </c>
      <c r="V259" t="s">
        <v>646</v>
      </c>
      <c r="X259" t="s">
        <v>74</v>
      </c>
      <c r="AA259" t="s">
        <v>1884</v>
      </c>
      <c r="AB259" t="s">
        <v>3</v>
      </c>
      <c r="AC259" t="s">
        <v>138</v>
      </c>
      <c r="AD259" t="s">
        <v>128</v>
      </c>
      <c r="AE259" s="97">
        <f>VLOOKUP(A:A,SUMMERY!AA:AC,2,FALSE)</f>
        <v>46220</v>
      </c>
      <c r="AF259" s="6" t="str">
        <f>VLOOKUP(A:A,SUMMERY!AA:AC,3,FALSE)</f>
        <v>Priority-1</v>
      </c>
    </row>
    <row r="260" spans="1:32" x14ac:dyDescent="0.3">
      <c r="A260" t="s">
        <v>2045</v>
      </c>
      <c r="B260" t="s">
        <v>2046</v>
      </c>
      <c r="G260" t="s">
        <v>1883</v>
      </c>
      <c r="H260" t="s">
        <v>132</v>
      </c>
      <c r="I260" t="s">
        <v>1</v>
      </c>
      <c r="J260" t="s">
        <v>133</v>
      </c>
      <c r="K260" t="s">
        <v>51</v>
      </c>
      <c r="L260" t="s">
        <v>1979</v>
      </c>
      <c r="M260" t="s">
        <v>134</v>
      </c>
      <c r="N260" t="s">
        <v>135</v>
      </c>
      <c r="Q260" t="s">
        <v>140</v>
      </c>
      <c r="T260" t="s">
        <v>2047</v>
      </c>
      <c r="U260" t="s">
        <v>137</v>
      </c>
      <c r="V260" t="s">
        <v>1279</v>
      </c>
      <c r="X260" t="s">
        <v>71</v>
      </c>
      <c r="AA260" t="s">
        <v>1884</v>
      </c>
      <c r="AB260" t="s">
        <v>3</v>
      </c>
      <c r="AC260" t="s">
        <v>138</v>
      </c>
      <c r="AD260" t="s">
        <v>128</v>
      </c>
      <c r="AE260" s="97">
        <f>VLOOKUP(A:A,SUMMERY!AA:AC,2,FALSE)</f>
        <v>46233</v>
      </c>
      <c r="AF260" s="6" t="str">
        <f>VLOOKUP(A:A,SUMMERY!AA:AC,3,FALSE)</f>
        <v>Priority-1</v>
      </c>
    </row>
    <row r="261" spans="1:32" x14ac:dyDescent="0.3">
      <c r="A261" t="s">
        <v>2048</v>
      </c>
      <c r="B261" t="s">
        <v>2049</v>
      </c>
      <c r="G261" t="s">
        <v>1883</v>
      </c>
      <c r="H261" t="s">
        <v>132</v>
      </c>
      <c r="I261" t="s">
        <v>1</v>
      </c>
      <c r="J261" t="s">
        <v>133</v>
      </c>
      <c r="K261" t="s">
        <v>51</v>
      </c>
      <c r="L261" t="s">
        <v>1979</v>
      </c>
      <c r="M261" t="s">
        <v>134</v>
      </c>
      <c r="N261" t="s">
        <v>135</v>
      </c>
      <c r="Q261" t="s">
        <v>140</v>
      </c>
      <c r="T261" t="s">
        <v>2047</v>
      </c>
      <c r="U261" t="s">
        <v>137</v>
      </c>
      <c r="V261" t="s">
        <v>1283</v>
      </c>
      <c r="X261" t="s">
        <v>78</v>
      </c>
      <c r="AA261" t="s">
        <v>1884</v>
      </c>
      <c r="AB261" t="s">
        <v>3</v>
      </c>
      <c r="AC261" t="s">
        <v>138</v>
      </c>
      <c r="AD261" t="s">
        <v>128</v>
      </c>
      <c r="AE261" s="97">
        <f>VLOOKUP(A:A,SUMMERY!AA:AC,2,FALSE)</f>
        <v>46234</v>
      </c>
      <c r="AF261" s="6" t="str">
        <f>VLOOKUP(A:A,SUMMERY!AA:AC,3,FALSE)</f>
        <v>Priority-1</v>
      </c>
    </row>
    <row r="262" spans="1:32" x14ac:dyDescent="0.3">
      <c r="A262" t="s">
        <v>2061</v>
      </c>
      <c r="B262" t="s">
        <v>2062</v>
      </c>
      <c r="G262" t="s">
        <v>1883</v>
      </c>
      <c r="H262" t="s">
        <v>132</v>
      </c>
      <c r="I262" t="s">
        <v>1</v>
      </c>
      <c r="J262" t="s">
        <v>133</v>
      </c>
      <c r="K262" t="s">
        <v>51</v>
      </c>
      <c r="L262" t="s">
        <v>2063</v>
      </c>
      <c r="M262" t="s">
        <v>134</v>
      </c>
      <c r="N262" t="s">
        <v>135</v>
      </c>
      <c r="Q262" t="s">
        <v>140</v>
      </c>
      <c r="T262" t="s">
        <v>2064</v>
      </c>
      <c r="U262" t="s">
        <v>137</v>
      </c>
      <c r="V262" t="s">
        <v>703</v>
      </c>
      <c r="X262" t="s">
        <v>62</v>
      </c>
      <c r="AA262" t="s">
        <v>1884</v>
      </c>
      <c r="AB262" t="s">
        <v>3</v>
      </c>
      <c r="AC262" t="s">
        <v>138</v>
      </c>
      <c r="AD262" t="s">
        <v>128</v>
      </c>
      <c r="AE262" s="97">
        <f>VLOOKUP(A:A,SUMMERY!AA:AC,2,FALSE)</f>
        <v>46220</v>
      </c>
      <c r="AF262" s="6" t="str">
        <f>VLOOKUP(A:A,SUMMERY!AA:AC,3,FALSE)</f>
        <v>Priority-1</v>
      </c>
    </row>
    <row r="263" spans="1:32" x14ac:dyDescent="0.3">
      <c r="A263" t="s">
        <v>2065</v>
      </c>
      <c r="B263" t="s">
        <v>2066</v>
      </c>
      <c r="G263" t="s">
        <v>1883</v>
      </c>
      <c r="H263" t="s">
        <v>132</v>
      </c>
      <c r="I263" t="s">
        <v>1</v>
      </c>
      <c r="J263" t="s">
        <v>133</v>
      </c>
      <c r="K263" t="s">
        <v>51</v>
      </c>
      <c r="L263" t="s">
        <v>2063</v>
      </c>
      <c r="M263" t="s">
        <v>134</v>
      </c>
      <c r="N263" t="s">
        <v>135</v>
      </c>
      <c r="Q263" t="s">
        <v>140</v>
      </c>
      <c r="T263" t="s">
        <v>2064</v>
      </c>
      <c r="U263" t="s">
        <v>137</v>
      </c>
      <c r="V263" t="s">
        <v>709</v>
      </c>
      <c r="X263" t="s">
        <v>73</v>
      </c>
      <c r="AA263" t="s">
        <v>1884</v>
      </c>
      <c r="AB263" t="s">
        <v>3</v>
      </c>
      <c r="AC263" t="s">
        <v>138</v>
      </c>
      <c r="AD263" t="s">
        <v>128</v>
      </c>
      <c r="AE263" s="97">
        <f>VLOOKUP(A:A,SUMMERY!AA:AC,2,FALSE)</f>
        <v>46220</v>
      </c>
      <c r="AF263" s="6" t="str">
        <f>VLOOKUP(A:A,SUMMERY!AA:AC,3,FALSE)</f>
        <v>Priority-1</v>
      </c>
    </row>
    <row r="264" spans="1:32" x14ac:dyDescent="0.3">
      <c r="A264" t="s">
        <v>2077</v>
      </c>
      <c r="B264" t="s">
        <v>2078</v>
      </c>
      <c r="G264" t="s">
        <v>1883</v>
      </c>
      <c r="H264" t="s">
        <v>132</v>
      </c>
      <c r="I264" t="s">
        <v>1</v>
      </c>
      <c r="J264" t="s">
        <v>133</v>
      </c>
      <c r="K264" t="s">
        <v>51</v>
      </c>
      <c r="L264" t="s">
        <v>2063</v>
      </c>
      <c r="M264" t="s">
        <v>134</v>
      </c>
      <c r="N264" t="s">
        <v>135</v>
      </c>
      <c r="Q264" t="s">
        <v>140</v>
      </c>
      <c r="T264" t="s">
        <v>2079</v>
      </c>
      <c r="U264" t="s">
        <v>137</v>
      </c>
      <c r="V264" t="s">
        <v>703</v>
      </c>
      <c r="X264" t="s">
        <v>62</v>
      </c>
      <c r="AA264" t="s">
        <v>1884</v>
      </c>
      <c r="AB264" t="s">
        <v>3</v>
      </c>
      <c r="AC264" t="s">
        <v>138</v>
      </c>
      <c r="AD264" t="s">
        <v>128</v>
      </c>
      <c r="AE264" s="97">
        <f>VLOOKUP(A:A,SUMMERY!AA:AC,2,FALSE)</f>
        <v>46220</v>
      </c>
      <c r="AF264" s="6" t="str">
        <f>VLOOKUP(A:A,SUMMERY!AA:AC,3,FALSE)</f>
        <v>Priority-1</v>
      </c>
    </row>
    <row r="265" spans="1:32" x14ac:dyDescent="0.3">
      <c r="A265" t="s">
        <v>2080</v>
      </c>
      <c r="B265" t="s">
        <v>2081</v>
      </c>
      <c r="G265" t="s">
        <v>1883</v>
      </c>
      <c r="H265" t="s">
        <v>132</v>
      </c>
      <c r="I265" t="s">
        <v>1</v>
      </c>
      <c r="J265" t="s">
        <v>133</v>
      </c>
      <c r="K265" t="s">
        <v>51</v>
      </c>
      <c r="L265" t="s">
        <v>2063</v>
      </c>
      <c r="M265" t="s">
        <v>134</v>
      </c>
      <c r="N265" t="s">
        <v>135</v>
      </c>
      <c r="Q265" t="s">
        <v>140</v>
      </c>
      <c r="T265" t="s">
        <v>2079</v>
      </c>
      <c r="U265" t="s">
        <v>137</v>
      </c>
      <c r="V265" t="s">
        <v>709</v>
      </c>
      <c r="X265" t="s">
        <v>73</v>
      </c>
      <c r="AA265" t="s">
        <v>1884</v>
      </c>
      <c r="AB265" t="s">
        <v>3</v>
      </c>
      <c r="AC265" t="s">
        <v>138</v>
      </c>
      <c r="AD265" t="s">
        <v>128</v>
      </c>
      <c r="AE265" s="97">
        <f>VLOOKUP(A:A,SUMMERY!AA:AC,2,FALSE)</f>
        <v>46220</v>
      </c>
      <c r="AF265" s="6" t="str">
        <f>VLOOKUP(A:A,SUMMERY!AA:AC,3,FALSE)</f>
        <v>Priority-1</v>
      </c>
    </row>
    <row r="266" spans="1:32" x14ac:dyDescent="0.3">
      <c r="A266" t="s">
        <v>2092</v>
      </c>
      <c r="B266" t="s">
        <v>2093</v>
      </c>
      <c r="G266" t="s">
        <v>1883</v>
      </c>
      <c r="H266" t="s">
        <v>132</v>
      </c>
      <c r="I266" t="s">
        <v>1</v>
      </c>
      <c r="J266" t="s">
        <v>133</v>
      </c>
      <c r="K266" t="s">
        <v>51</v>
      </c>
      <c r="L266" t="s">
        <v>2094</v>
      </c>
      <c r="M266" t="s">
        <v>134</v>
      </c>
      <c r="N266" t="s">
        <v>135</v>
      </c>
      <c r="Q266" t="s">
        <v>140</v>
      </c>
      <c r="T266" t="s">
        <v>2095</v>
      </c>
      <c r="U266" t="s">
        <v>137</v>
      </c>
      <c r="V266" t="s">
        <v>371</v>
      </c>
      <c r="X266" t="s">
        <v>57</v>
      </c>
      <c r="AA266" t="s">
        <v>1884</v>
      </c>
      <c r="AB266" t="s">
        <v>3</v>
      </c>
      <c r="AC266" t="s">
        <v>138</v>
      </c>
      <c r="AD266" t="s">
        <v>128</v>
      </c>
      <c r="AE266" s="97">
        <f>VLOOKUP(A:A,SUMMERY!AA:AC,2,FALSE)</f>
        <v>46220</v>
      </c>
      <c r="AF266" s="6" t="str">
        <f>VLOOKUP(A:A,SUMMERY!AA:AC,3,FALSE)</f>
        <v>Priority-1</v>
      </c>
    </row>
    <row r="267" spans="1:32" x14ac:dyDescent="0.3">
      <c r="A267" t="s">
        <v>2096</v>
      </c>
      <c r="B267" t="s">
        <v>2097</v>
      </c>
      <c r="G267" t="s">
        <v>1883</v>
      </c>
      <c r="H267" t="s">
        <v>132</v>
      </c>
      <c r="I267" t="s">
        <v>1</v>
      </c>
      <c r="J267" t="s">
        <v>133</v>
      </c>
      <c r="K267" t="s">
        <v>51</v>
      </c>
      <c r="L267" t="s">
        <v>2098</v>
      </c>
      <c r="M267" t="s">
        <v>134</v>
      </c>
      <c r="N267" t="s">
        <v>135</v>
      </c>
      <c r="Q267" t="s">
        <v>140</v>
      </c>
      <c r="T267" t="s">
        <v>1888</v>
      </c>
      <c r="U267" t="s">
        <v>137</v>
      </c>
      <c r="V267" t="s">
        <v>147</v>
      </c>
      <c r="X267" t="s">
        <v>70</v>
      </c>
      <c r="AA267" t="s">
        <v>1884</v>
      </c>
      <c r="AB267" t="s">
        <v>3</v>
      </c>
      <c r="AC267" t="s">
        <v>138</v>
      </c>
      <c r="AD267" t="s">
        <v>128</v>
      </c>
      <c r="AE267" s="97">
        <f>VLOOKUP(A:A,SUMMERY!AA:AC,2,FALSE)</f>
        <v>46220</v>
      </c>
      <c r="AF267" s="6" t="str">
        <f>VLOOKUP(A:A,SUMMERY!AA:AC,3,FALSE)</f>
        <v>Priority-1</v>
      </c>
    </row>
    <row r="268" spans="1:32" x14ac:dyDescent="0.3">
      <c r="A268" t="s">
        <v>2099</v>
      </c>
      <c r="B268" t="s">
        <v>2100</v>
      </c>
      <c r="G268" t="s">
        <v>1883</v>
      </c>
      <c r="H268" t="s">
        <v>132</v>
      </c>
      <c r="I268" t="s">
        <v>1</v>
      </c>
      <c r="J268" t="s">
        <v>133</v>
      </c>
      <c r="K268" t="s">
        <v>51</v>
      </c>
      <c r="L268" t="s">
        <v>2098</v>
      </c>
      <c r="M268" t="s">
        <v>134</v>
      </c>
      <c r="N268" t="s">
        <v>135</v>
      </c>
      <c r="Q268" t="s">
        <v>140</v>
      </c>
      <c r="T268" t="s">
        <v>1892</v>
      </c>
      <c r="U268" t="s">
        <v>137</v>
      </c>
      <c r="V268" t="s">
        <v>150</v>
      </c>
      <c r="X268" t="s">
        <v>76</v>
      </c>
      <c r="AA268" t="s">
        <v>1884</v>
      </c>
      <c r="AB268" t="s">
        <v>3</v>
      </c>
      <c r="AC268" t="s">
        <v>138</v>
      </c>
      <c r="AD268" t="s">
        <v>128</v>
      </c>
      <c r="AE268" s="97">
        <f>VLOOKUP(A:A,SUMMERY!AA:AC,2,FALSE)</f>
        <v>46233</v>
      </c>
      <c r="AF268" s="6" t="str">
        <f>VLOOKUP(A:A,SUMMERY!AA:AC,3,FALSE)</f>
        <v>Priority-1</v>
      </c>
    </row>
    <row r="269" spans="1:32" x14ac:dyDescent="0.3">
      <c r="A269" t="s">
        <v>2113</v>
      </c>
      <c r="B269" t="s">
        <v>2114</v>
      </c>
      <c r="G269" t="s">
        <v>1883</v>
      </c>
      <c r="H269" t="s">
        <v>132</v>
      </c>
      <c r="I269" t="s">
        <v>1</v>
      </c>
      <c r="J269" t="s">
        <v>133</v>
      </c>
      <c r="K269" t="s">
        <v>51</v>
      </c>
      <c r="L269" t="s">
        <v>2115</v>
      </c>
      <c r="M269" t="s">
        <v>134</v>
      </c>
      <c r="N269" t="s">
        <v>135</v>
      </c>
      <c r="Q269" t="s">
        <v>140</v>
      </c>
      <c r="T269" t="s">
        <v>2047</v>
      </c>
      <c r="U269" t="s">
        <v>137</v>
      </c>
      <c r="V269" t="s">
        <v>1279</v>
      </c>
      <c r="X269" t="s">
        <v>71</v>
      </c>
      <c r="AA269" t="s">
        <v>1884</v>
      </c>
      <c r="AB269" t="s">
        <v>3</v>
      </c>
      <c r="AC269" t="s">
        <v>138</v>
      </c>
      <c r="AD269" t="s">
        <v>128</v>
      </c>
      <c r="AE269" s="97">
        <f>VLOOKUP(A:A,SUMMERY!AA:AC,2,FALSE)</f>
        <v>46233</v>
      </c>
      <c r="AF269" s="6" t="str">
        <f>VLOOKUP(A:A,SUMMERY!AA:AC,3,FALSE)</f>
        <v>Priority-1</v>
      </c>
    </row>
    <row r="270" spans="1:32" x14ac:dyDescent="0.3">
      <c r="A270" t="s">
        <v>2116</v>
      </c>
      <c r="B270" t="s">
        <v>2117</v>
      </c>
      <c r="G270" t="s">
        <v>1883</v>
      </c>
      <c r="H270" t="s">
        <v>132</v>
      </c>
      <c r="I270" t="s">
        <v>1</v>
      </c>
      <c r="J270" t="s">
        <v>133</v>
      </c>
      <c r="K270" t="s">
        <v>51</v>
      </c>
      <c r="L270" t="s">
        <v>2115</v>
      </c>
      <c r="M270" t="s">
        <v>134</v>
      </c>
      <c r="N270" t="s">
        <v>135</v>
      </c>
      <c r="Q270" t="s">
        <v>140</v>
      </c>
      <c r="T270" t="s">
        <v>2047</v>
      </c>
      <c r="U270" t="s">
        <v>137</v>
      </c>
      <c r="V270" t="s">
        <v>1283</v>
      </c>
      <c r="X270" t="s">
        <v>78</v>
      </c>
      <c r="AA270" t="s">
        <v>1884</v>
      </c>
      <c r="AB270" t="s">
        <v>3</v>
      </c>
      <c r="AC270" t="s">
        <v>138</v>
      </c>
      <c r="AD270" t="s">
        <v>128</v>
      </c>
      <c r="AE270" s="97">
        <f>VLOOKUP(A:A,SUMMERY!AA:AC,2,FALSE)</f>
        <v>46234</v>
      </c>
      <c r="AF270" s="6" t="str">
        <f>VLOOKUP(A:A,SUMMERY!AA:AC,3,FALSE)</f>
        <v>Priority-1</v>
      </c>
    </row>
    <row r="271" spans="1:32" x14ac:dyDescent="0.3">
      <c r="A271" t="s">
        <v>2129</v>
      </c>
      <c r="B271" t="s">
        <v>2130</v>
      </c>
      <c r="G271" t="s">
        <v>1883</v>
      </c>
      <c r="H271" t="s">
        <v>132</v>
      </c>
      <c r="I271" t="s">
        <v>1</v>
      </c>
      <c r="J271" t="s">
        <v>133</v>
      </c>
      <c r="K271" t="s">
        <v>51</v>
      </c>
      <c r="L271" t="s">
        <v>2131</v>
      </c>
      <c r="M271" t="s">
        <v>134</v>
      </c>
      <c r="N271" t="s">
        <v>135</v>
      </c>
      <c r="Q271" t="s">
        <v>140</v>
      </c>
      <c r="T271" t="s">
        <v>2132</v>
      </c>
      <c r="U271" t="s">
        <v>137</v>
      </c>
      <c r="V271" t="s">
        <v>1259</v>
      </c>
      <c r="X271" t="s">
        <v>126</v>
      </c>
      <c r="AA271" t="s">
        <v>1884</v>
      </c>
      <c r="AB271" t="s">
        <v>3</v>
      </c>
      <c r="AC271" t="s">
        <v>138</v>
      </c>
      <c r="AD271" t="s">
        <v>131</v>
      </c>
      <c r="AE271" s="97">
        <f>VLOOKUP(A:A,SUMMERY!AA:AC,2,FALSE)</f>
        <v>46234</v>
      </c>
      <c r="AF271" s="6" t="str">
        <f>VLOOKUP(A:A,SUMMERY!AA:AC,3,FALSE)</f>
        <v>Priority-2</v>
      </c>
    </row>
    <row r="272" spans="1:32" x14ac:dyDescent="0.3">
      <c r="A272" t="s">
        <v>2133</v>
      </c>
      <c r="B272" t="s">
        <v>2134</v>
      </c>
      <c r="G272" t="s">
        <v>1883</v>
      </c>
      <c r="H272" t="s">
        <v>132</v>
      </c>
      <c r="I272" t="s">
        <v>1</v>
      </c>
      <c r="J272" t="s">
        <v>133</v>
      </c>
      <c r="K272" t="s">
        <v>51</v>
      </c>
      <c r="L272" t="s">
        <v>2135</v>
      </c>
      <c r="M272" t="s">
        <v>134</v>
      </c>
      <c r="N272" t="s">
        <v>135</v>
      </c>
      <c r="Q272" t="s">
        <v>140</v>
      </c>
      <c r="T272" t="s">
        <v>2136</v>
      </c>
      <c r="U272" t="s">
        <v>137</v>
      </c>
      <c r="V272" t="s">
        <v>1263</v>
      </c>
      <c r="X272" t="s">
        <v>69</v>
      </c>
      <c r="AA272" t="s">
        <v>1884</v>
      </c>
      <c r="AB272" t="s">
        <v>3</v>
      </c>
      <c r="AC272" t="s">
        <v>138</v>
      </c>
      <c r="AD272" t="s">
        <v>128</v>
      </c>
      <c r="AE272" s="97">
        <f>VLOOKUP(A:A,SUMMERY!AA:AC,2,FALSE)</f>
        <v>46224</v>
      </c>
      <c r="AF272" s="6" t="str">
        <f>VLOOKUP(A:A,SUMMERY!AA:AC,3,FALSE)</f>
        <v>Priority-1</v>
      </c>
    </row>
    <row r="273" spans="1:32" x14ac:dyDescent="0.3">
      <c r="A273" t="s">
        <v>2137</v>
      </c>
      <c r="B273" t="s">
        <v>2138</v>
      </c>
      <c r="G273" t="s">
        <v>1883</v>
      </c>
      <c r="H273" t="s">
        <v>132</v>
      </c>
      <c r="I273" t="s">
        <v>1</v>
      </c>
      <c r="J273" t="s">
        <v>133</v>
      </c>
      <c r="K273" t="s">
        <v>51</v>
      </c>
      <c r="L273" t="s">
        <v>2139</v>
      </c>
      <c r="M273" t="s">
        <v>134</v>
      </c>
      <c r="N273" t="s">
        <v>135</v>
      </c>
      <c r="Q273" t="s">
        <v>140</v>
      </c>
      <c r="T273" t="s">
        <v>1936</v>
      </c>
      <c r="U273" t="s">
        <v>137</v>
      </c>
      <c r="V273" t="s">
        <v>640</v>
      </c>
      <c r="X273" t="s">
        <v>66</v>
      </c>
      <c r="AA273" t="s">
        <v>1884</v>
      </c>
      <c r="AB273" t="s">
        <v>3</v>
      </c>
      <c r="AC273" t="s">
        <v>138</v>
      </c>
      <c r="AD273" t="s">
        <v>128</v>
      </c>
      <c r="AE273" s="97">
        <f>VLOOKUP(A:A,SUMMERY!AA:AC,2,FALSE)</f>
        <v>46220</v>
      </c>
      <c r="AF273" s="6" t="str">
        <f>VLOOKUP(A:A,SUMMERY!AA:AC,3,FALSE)</f>
        <v>Priority-1</v>
      </c>
    </row>
    <row r="274" spans="1:32" x14ac:dyDescent="0.3">
      <c r="A274" t="s">
        <v>2140</v>
      </c>
      <c r="B274" t="s">
        <v>2141</v>
      </c>
      <c r="G274" t="s">
        <v>1883</v>
      </c>
      <c r="H274" t="s">
        <v>132</v>
      </c>
      <c r="I274" t="s">
        <v>1</v>
      </c>
      <c r="J274" t="s">
        <v>133</v>
      </c>
      <c r="K274" t="s">
        <v>51</v>
      </c>
      <c r="L274" t="s">
        <v>2139</v>
      </c>
      <c r="M274" t="s">
        <v>134</v>
      </c>
      <c r="N274" t="s">
        <v>135</v>
      </c>
      <c r="Q274" t="s">
        <v>140</v>
      </c>
      <c r="T274" t="s">
        <v>1936</v>
      </c>
      <c r="U274" t="s">
        <v>137</v>
      </c>
      <c r="V274" t="s">
        <v>646</v>
      </c>
      <c r="X274" t="s">
        <v>74</v>
      </c>
      <c r="AA274" t="s">
        <v>1884</v>
      </c>
      <c r="AB274" t="s">
        <v>3</v>
      </c>
      <c r="AC274" t="s">
        <v>138</v>
      </c>
      <c r="AD274" t="s">
        <v>128</v>
      </c>
      <c r="AE274" s="97">
        <f>VLOOKUP(A:A,SUMMERY!AA:AC,2,FALSE)</f>
        <v>46220</v>
      </c>
      <c r="AF274" s="6" t="str">
        <f>VLOOKUP(A:A,SUMMERY!AA:AC,3,FALSE)</f>
        <v>Priority-1</v>
      </c>
    </row>
    <row r="275" spans="1:32" x14ac:dyDescent="0.3">
      <c r="A275" t="s">
        <v>6775</v>
      </c>
      <c r="B275" t="s">
        <v>6776</v>
      </c>
      <c r="G275" t="s">
        <v>2162</v>
      </c>
      <c r="H275" t="s">
        <v>132</v>
      </c>
      <c r="I275" t="s">
        <v>2</v>
      </c>
      <c r="J275" t="s">
        <v>133</v>
      </c>
      <c r="K275" t="s">
        <v>52</v>
      </c>
      <c r="L275" t="s">
        <v>6777</v>
      </c>
      <c r="M275" t="s">
        <v>134</v>
      </c>
      <c r="N275" t="s">
        <v>135</v>
      </c>
      <c r="Q275" t="s">
        <v>168</v>
      </c>
      <c r="S275" t="s">
        <v>168</v>
      </c>
      <c r="U275" t="s">
        <v>137</v>
      </c>
      <c r="V275" t="s">
        <v>147</v>
      </c>
      <c r="X275" t="s">
        <v>70</v>
      </c>
      <c r="AA275" t="s">
        <v>2163</v>
      </c>
      <c r="AB275" t="s">
        <v>2</v>
      </c>
      <c r="AC275" t="s">
        <v>138</v>
      </c>
      <c r="AD275" t="s">
        <v>128</v>
      </c>
      <c r="AE275" s="97">
        <f>VLOOKUP(A:A,SUMMERY!AA:AC,2,FALSE)</f>
        <v>46220</v>
      </c>
      <c r="AF275" s="6" t="str">
        <f>VLOOKUP(A:A,SUMMERY!AA:AC,3,FALSE)</f>
        <v>Priority-1</v>
      </c>
    </row>
    <row r="276" spans="1:32" x14ac:dyDescent="0.3">
      <c r="A276" t="s">
        <v>6778</v>
      </c>
      <c r="B276" t="s">
        <v>6779</v>
      </c>
      <c r="G276" t="s">
        <v>2162</v>
      </c>
      <c r="H276" t="s">
        <v>132</v>
      </c>
      <c r="I276" t="s">
        <v>2</v>
      </c>
      <c r="J276" t="s">
        <v>133</v>
      </c>
      <c r="K276" t="s">
        <v>52</v>
      </c>
      <c r="L276" t="s">
        <v>6780</v>
      </c>
      <c r="M276" t="s">
        <v>134</v>
      </c>
      <c r="N276" t="s">
        <v>135</v>
      </c>
      <c r="Q276" t="s">
        <v>168</v>
      </c>
      <c r="S276" t="s">
        <v>168</v>
      </c>
      <c r="U276" t="s">
        <v>137</v>
      </c>
      <c r="V276" t="s">
        <v>150</v>
      </c>
      <c r="X276" t="s">
        <v>76</v>
      </c>
      <c r="AA276" t="s">
        <v>2163</v>
      </c>
      <c r="AB276" t="s">
        <v>2</v>
      </c>
      <c r="AC276" t="s">
        <v>138</v>
      </c>
      <c r="AD276" t="s">
        <v>128</v>
      </c>
      <c r="AE276" s="97">
        <f>VLOOKUP(A:A,SUMMERY!AA:AC,2,FALSE)</f>
        <v>46233</v>
      </c>
      <c r="AF276" s="6" t="str">
        <f>VLOOKUP(A:A,SUMMERY!AA:AC,3,FALSE)</f>
        <v>Priority-1</v>
      </c>
    </row>
    <row r="277" spans="1:32" x14ac:dyDescent="0.3">
      <c r="A277" t="s">
        <v>6796</v>
      </c>
      <c r="B277" t="s">
        <v>6797</v>
      </c>
      <c r="G277" t="s">
        <v>2162</v>
      </c>
      <c r="H277" t="s">
        <v>132</v>
      </c>
      <c r="I277" t="s">
        <v>2</v>
      </c>
      <c r="J277" t="s">
        <v>133</v>
      </c>
      <c r="K277" t="s">
        <v>52</v>
      </c>
      <c r="L277" t="s">
        <v>2273</v>
      </c>
      <c r="M277" t="s">
        <v>134</v>
      </c>
      <c r="N277" t="s">
        <v>135</v>
      </c>
      <c r="Q277" t="s">
        <v>168</v>
      </c>
      <c r="S277" t="s">
        <v>168</v>
      </c>
      <c r="U277" t="s">
        <v>137</v>
      </c>
      <c r="V277" t="s">
        <v>352</v>
      </c>
      <c r="X277" t="s">
        <v>56</v>
      </c>
      <c r="AA277" t="s">
        <v>2163</v>
      </c>
      <c r="AB277" t="s">
        <v>2</v>
      </c>
      <c r="AC277" t="s">
        <v>138</v>
      </c>
      <c r="AD277" t="s">
        <v>128</v>
      </c>
      <c r="AE277" s="97">
        <f>VLOOKUP(A:A,SUMMERY!AA:AC,2,FALSE)</f>
        <v>46233</v>
      </c>
      <c r="AF277" s="6" t="str">
        <f>VLOOKUP(A:A,SUMMERY!AA:AC,3,FALSE)</f>
        <v>Priority-1</v>
      </c>
    </row>
    <row r="278" spans="1:32" x14ac:dyDescent="0.3">
      <c r="A278" t="s">
        <v>6798</v>
      </c>
      <c r="B278" t="s">
        <v>6799</v>
      </c>
      <c r="G278" t="s">
        <v>2162</v>
      </c>
      <c r="H278" t="s">
        <v>132</v>
      </c>
      <c r="I278" t="s">
        <v>2</v>
      </c>
      <c r="J278" t="s">
        <v>133</v>
      </c>
      <c r="K278" t="s">
        <v>52</v>
      </c>
      <c r="L278" t="s">
        <v>6800</v>
      </c>
      <c r="M278" t="s">
        <v>134</v>
      </c>
      <c r="N278" t="s">
        <v>135</v>
      </c>
      <c r="Q278" t="s">
        <v>168</v>
      </c>
      <c r="S278" t="s">
        <v>168</v>
      </c>
      <c r="U278" t="s">
        <v>137</v>
      </c>
      <c r="V278" t="s">
        <v>147</v>
      </c>
      <c r="X278" t="s">
        <v>70</v>
      </c>
      <c r="AA278" t="s">
        <v>2163</v>
      </c>
      <c r="AB278" t="s">
        <v>2</v>
      </c>
      <c r="AC278" t="s">
        <v>138</v>
      </c>
      <c r="AD278" t="s">
        <v>128</v>
      </c>
      <c r="AE278" s="97">
        <f>VLOOKUP(A:A,SUMMERY!AA:AC,2,FALSE)</f>
        <v>46220</v>
      </c>
      <c r="AF278" s="6" t="str">
        <f>VLOOKUP(A:A,SUMMERY!AA:AC,3,FALSE)</f>
        <v>Priority-1</v>
      </c>
    </row>
    <row r="279" spans="1:32" x14ac:dyDescent="0.3">
      <c r="A279" t="s">
        <v>6801</v>
      </c>
      <c r="B279" t="s">
        <v>6802</v>
      </c>
      <c r="G279" t="s">
        <v>2162</v>
      </c>
      <c r="H279" t="s">
        <v>132</v>
      </c>
      <c r="I279" t="s">
        <v>2</v>
      </c>
      <c r="J279" t="s">
        <v>133</v>
      </c>
      <c r="K279" t="s">
        <v>52</v>
      </c>
      <c r="L279" t="s">
        <v>6800</v>
      </c>
      <c r="M279" t="s">
        <v>134</v>
      </c>
      <c r="N279" t="s">
        <v>135</v>
      </c>
      <c r="Q279" t="s">
        <v>168</v>
      </c>
      <c r="S279" t="s">
        <v>168</v>
      </c>
      <c r="U279" t="s">
        <v>137</v>
      </c>
      <c r="V279" t="s">
        <v>147</v>
      </c>
      <c r="X279" t="s">
        <v>70</v>
      </c>
      <c r="AA279" t="s">
        <v>2163</v>
      </c>
      <c r="AB279" t="s">
        <v>2</v>
      </c>
      <c r="AC279" t="s">
        <v>138</v>
      </c>
      <c r="AD279" t="s">
        <v>128</v>
      </c>
      <c r="AE279" s="97">
        <f>VLOOKUP(A:A,SUMMERY!AA:AC,2,FALSE)</f>
        <v>46220</v>
      </c>
      <c r="AF279" s="6" t="str">
        <f>VLOOKUP(A:A,SUMMERY!AA:AC,3,FALSE)</f>
        <v>Priority-1</v>
      </c>
    </row>
    <row r="280" spans="1:32" x14ac:dyDescent="0.3">
      <c r="A280" t="s">
        <v>6803</v>
      </c>
      <c r="B280" t="s">
        <v>6804</v>
      </c>
      <c r="G280" t="s">
        <v>2162</v>
      </c>
      <c r="H280" t="s">
        <v>132</v>
      </c>
      <c r="I280" t="s">
        <v>2</v>
      </c>
      <c r="J280" t="s">
        <v>133</v>
      </c>
      <c r="K280" t="s">
        <v>52</v>
      </c>
      <c r="L280" t="s">
        <v>6800</v>
      </c>
      <c r="M280" t="s">
        <v>134</v>
      </c>
      <c r="N280" t="s">
        <v>135</v>
      </c>
      <c r="Q280" t="s">
        <v>168</v>
      </c>
      <c r="S280" t="s">
        <v>168</v>
      </c>
      <c r="U280" t="s">
        <v>137</v>
      </c>
      <c r="V280" t="s">
        <v>147</v>
      </c>
      <c r="X280" t="s">
        <v>70</v>
      </c>
      <c r="AA280" t="s">
        <v>2163</v>
      </c>
      <c r="AB280" t="s">
        <v>2</v>
      </c>
      <c r="AC280" t="s">
        <v>138</v>
      </c>
      <c r="AD280" t="s">
        <v>128</v>
      </c>
      <c r="AE280" s="97">
        <f>VLOOKUP(A:A,SUMMERY!AA:AC,2,FALSE)</f>
        <v>46220</v>
      </c>
      <c r="AF280" s="6" t="str">
        <f>VLOOKUP(A:A,SUMMERY!AA:AC,3,FALSE)</f>
        <v>Priority-1</v>
      </c>
    </row>
    <row r="281" spans="1:32" x14ac:dyDescent="0.3">
      <c r="A281" t="s">
        <v>6805</v>
      </c>
      <c r="B281" t="s">
        <v>6806</v>
      </c>
      <c r="G281" t="s">
        <v>2162</v>
      </c>
      <c r="H281" t="s">
        <v>132</v>
      </c>
      <c r="I281" t="s">
        <v>2</v>
      </c>
      <c r="J281" t="s">
        <v>133</v>
      </c>
      <c r="K281" t="s">
        <v>52</v>
      </c>
      <c r="L281" t="s">
        <v>6807</v>
      </c>
      <c r="M281" t="s">
        <v>134</v>
      </c>
      <c r="N281" t="s">
        <v>135</v>
      </c>
      <c r="Q281" t="s">
        <v>168</v>
      </c>
      <c r="S281" t="s">
        <v>168</v>
      </c>
      <c r="U281" t="s">
        <v>137</v>
      </c>
      <c r="V281" t="s">
        <v>150</v>
      </c>
      <c r="X281" t="s">
        <v>76</v>
      </c>
      <c r="AA281" t="s">
        <v>2163</v>
      </c>
      <c r="AB281" t="s">
        <v>2</v>
      </c>
      <c r="AC281" t="s">
        <v>138</v>
      </c>
      <c r="AD281" t="s">
        <v>128</v>
      </c>
      <c r="AE281" s="97">
        <f>VLOOKUP(A:A,SUMMERY!AA:AC,2,FALSE)</f>
        <v>46233</v>
      </c>
      <c r="AF281" s="6" t="str">
        <f>VLOOKUP(A:A,SUMMERY!AA:AC,3,FALSE)</f>
        <v>Priority-1</v>
      </c>
    </row>
    <row r="282" spans="1:32" x14ac:dyDescent="0.3">
      <c r="A282" t="s">
        <v>6808</v>
      </c>
      <c r="B282" t="s">
        <v>6809</v>
      </c>
      <c r="G282" t="s">
        <v>2162</v>
      </c>
      <c r="H282" t="s">
        <v>132</v>
      </c>
      <c r="I282" t="s">
        <v>2</v>
      </c>
      <c r="J282" t="s">
        <v>133</v>
      </c>
      <c r="K282" t="s">
        <v>52</v>
      </c>
      <c r="L282" t="s">
        <v>6807</v>
      </c>
      <c r="M282" t="s">
        <v>134</v>
      </c>
      <c r="N282" t="s">
        <v>135</v>
      </c>
      <c r="Q282" t="s">
        <v>168</v>
      </c>
      <c r="S282" t="s">
        <v>168</v>
      </c>
      <c r="U282" t="s">
        <v>137</v>
      </c>
      <c r="V282" t="s">
        <v>150</v>
      </c>
      <c r="X282" t="s">
        <v>76</v>
      </c>
      <c r="AA282" t="s">
        <v>2163</v>
      </c>
      <c r="AB282" t="s">
        <v>2</v>
      </c>
      <c r="AC282" t="s">
        <v>138</v>
      </c>
      <c r="AD282" t="s">
        <v>128</v>
      </c>
      <c r="AE282" s="97">
        <f>VLOOKUP(A:A,SUMMERY!AA:AC,2,FALSE)</f>
        <v>46233</v>
      </c>
      <c r="AF282" s="6" t="str">
        <f>VLOOKUP(A:A,SUMMERY!AA:AC,3,FALSE)</f>
        <v>Priority-1</v>
      </c>
    </row>
    <row r="283" spans="1:32" x14ac:dyDescent="0.3">
      <c r="A283" t="s">
        <v>6810</v>
      </c>
      <c r="B283" t="s">
        <v>6811</v>
      </c>
      <c r="G283" t="s">
        <v>2162</v>
      </c>
      <c r="H283" t="s">
        <v>132</v>
      </c>
      <c r="I283" t="s">
        <v>2</v>
      </c>
      <c r="J283" t="s">
        <v>133</v>
      </c>
      <c r="K283" t="s">
        <v>52</v>
      </c>
      <c r="L283" t="s">
        <v>6807</v>
      </c>
      <c r="M283" t="s">
        <v>134</v>
      </c>
      <c r="N283" t="s">
        <v>135</v>
      </c>
      <c r="Q283" t="s">
        <v>168</v>
      </c>
      <c r="S283" t="s">
        <v>168</v>
      </c>
      <c r="U283" t="s">
        <v>137</v>
      </c>
      <c r="V283" t="s">
        <v>150</v>
      </c>
      <c r="X283" t="s">
        <v>76</v>
      </c>
      <c r="AA283" t="s">
        <v>2163</v>
      </c>
      <c r="AB283" t="s">
        <v>2</v>
      </c>
      <c r="AC283" t="s">
        <v>138</v>
      </c>
      <c r="AD283" t="s">
        <v>128</v>
      </c>
      <c r="AE283" s="97">
        <f>VLOOKUP(A:A,SUMMERY!AA:AC,2,FALSE)</f>
        <v>46233</v>
      </c>
      <c r="AF283" s="6" t="str">
        <f>VLOOKUP(A:A,SUMMERY!AA:AC,3,FALSE)</f>
        <v>Priority-1</v>
      </c>
    </row>
    <row r="284" spans="1:32" x14ac:dyDescent="0.3">
      <c r="A284" t="s">
        <v>6847</v>
      </c>
      <c r="B284" t="s">
        <v>6848</v>
      </c>
      <c r="G284" t="s">
        <v>2162</v>
      </c>
      <c r="H284" t="s">
        <v>132</v>
      </c>
      <c r="I284" t="s">
        <v>2</v>
      </c>
      <c r="J284" t="s">
        <v>133</v>
      </c>
      <c r="K284" t="s">
        <v>52</v>
      </c>
      <c r="L284" t="s">
        <v>6849</v>
      </c>
      <c r="M284" t="s">
        <v>134</v>
      </c>
      <c r="N284" t="s">
        <v>135</v>
      </c>
      <c r="Q284" t="s">
        <v>168</v>
      </c>
      <c r="S284" t="s">
        <v>168</v>
      </c>
      <c r="U284" t="s">
        <v>137</v>
      </c>
      <c r="V284" t="s">
        <v>324</v>
      </c>
      <c r="X284" t="s">
        <v>60</v>
      </c>
      <c r="AA284" t="s">
        <v>2163</v>
      </c>
      <c r="AB284" t="s">
        <v>2</v>
      </c>
      <c r="AC284" t="s">
        <v>138</v>
      </c>
      <c r="AD284" t="s">
        <v>128</v>
      </c>
      <c r="AE284" s="97">
        <f>VLOOKUP(A:A,SUMMERY!AA:AC,2,FALSE)</f>
        <v>46220</v>
      </c>
      <c r="AF284" s="6" t="str">
        <f>VLOOKUP(A:A,SUMMERY!AA:AC,3,FALSE)</f>
        <v>Priority-1</v>
      </c>
    </row>
    <row r="285" spans="1:32" x14ac:dyDescent="0.3">
      <c r="A285" t="s">
        <v>6850</v>
      </c>
      <c r="B285" t="s">
        <v>6851</v>
      </c>
      <c r="G285" t="s">
        <v>2162</v>
      </c>
      <c r="H285" t="s">
        <v>132</v>
      </c>
      <c r="I285" t="s">
        <v>2</v>
      </c>
      <c r="J285" t="s">
        <v>133</v>
      </c>
      <c r="K285" t="s">
        <v>52</v>
      </c>
      <c r="L285" t="s">
        <v>6849</v>
      </c>
      <c r="M285" t="s">
        <v>134</v>
      </c>
      <c r="N285" t="s">
        <v>135</v>
      </c>
      <c r="Q285" t="s">
        <v>168</v>
      </c>
      <c r="S285" t="s">
        <v>168</v>
      </c>
      <c r="U285" t="s">
        <v>137</v>
      </c>
      <c r="V285" t="s">
        <v>324</v>
      </c>
      <c r="X285" t="s">
        <v>60</v>
      </c>
      <c r="AA285" t="s">
        <v>2163</v>
      </c>
      <c r="AB285" t="s">
        <v>2</v>
      </c>
      <c r="AC285" t="s">
        <v>138</v>
      </c>
      <c r="AD285" t="s">
        <v>128</v>
      </c>
      <c r="AE285" s="97">
        <f>VLOOKUP(A:A,SUMMERY!AA:AC,2,FALSE)</f>
        <v>46220</v>
      </c>
      <c r="AF285" s="6" t="str">
        <f>VLOOKUP(A:A,SUMMERY!AA:AC,3,FALSE)</f>
        <v>Priority-1</v>
      </c>
    </row>
    <row r="286" spans="1:32" x14ac:dyDescent="0.3">
      <c r="A286" t="s">
        <v>6852</v>
      </c>
      <c r="B286" t="s">
        <v>6853</v>
      </c>
      <c r="G286" t="s">
        <v>2162</v>
      </c>
      <c r="H286" t="s">
        <v>132</v>
      </c>
      <c r="I286" t="s">
        <v>2</v>
      </c>
      <c r="J286" t="s">
        <v>133</v>
      </c>
      <c r="K286" t="s">
        <v>52</v>
      </c>
      <c r="L286" t="s">
        <v>6854</v>
      </c>
      <c r="M286" t="s">
        <v>134</v>
      </c>
      <c r="N286" t="s">
        <v>135</v>
      </c>
      <c r="Q286" t="s">
        <v>168</v>
      </c>
      <c r="S286" t="s">
        <v>168</v>
      </c>
      <c r="U286" t="s">
        <v>137</v>
      </c>
      <c r="V286" t="s">
        <v>328</v>
      </c>
      <c r="X286" t="s">
        <v>65</v>
      </c>
      <c r="AA286" t="s">
        <v>2163</v>
      </c>
      <c r="AB286" t="s">
        <v>2</v>
      </c>
      <c r="AC286" t="s">
        <v>138</v>
      </c>
      <c r="AD286" t="s">
        <v>128</v>
      </c>
      <c r="AE286" s="97">
        <f>VLOOKUP(A:A,SUMMERY!AA:AC,2,FALSE)</f>
        <v>46233</v>
      </c>
      <c r="AF286" s="6" t="str">
        <f>VLOOKUP(A:A,SUMMERY!AA:AC,3,FALSE)</f>
        <v>Priority-1</v>
      </c>
    </row>
    <row r="287" spans="1:32" x14ac:dyDescent="0.3">
      <c r="A287" t="s">
        <v>6855</v>
      </c>
      <c r="B287" t="s">
        <v>6856</v>
      </c>
      <c r="G287" t="s">
        <v>2162</v>
      </c>
      <c r="H287" t="s">
        <v>132</v>
      </c>
      <c r="I287" t="s">
        <v>2</v>
      </c>
      <c r="J287" t="s">
        <v>133</v>
      </c>
      <c r="K287" t="s">
        <v>52</v>
      </c>
      <c r="L287" t="s">
        <v>6854</v>
      </c>
      <c r="M287" t="s">
        <v>134</v>
      </c>
      <c r="N287" t="s">
        <v>135</v>
      </c>
      <c r="Q287" t="s">
        <v>168</v>
      </c>
      <c r="S287" t="s">
        <v>168</v>
      </c>
      <c r="U287" t="s">
        <v>137</v>
      </c>
      <c r="V287" t="s">
        <v>328</v>
      </c>
      <c r="X287" t="s">
        <v>65</v>
      </c>
      <c r="AA287" t="s">
        <v>2163</v>
      </c>
      <c r="AB287" t="s">
        <v>2</v>
      </c>
      <c r="AC287" t="s">
        <v>138</v>
      </c>
      <c r="AD287" t="s">
        <v>128</v>
      </c>
      <c r="AE287" s="97">
        <f>VLOOKUP(A:A,SUMMERY!AA:AC,2,FALSE)</f>
        <v>46233</v>
      </c>
      <c r="AF287" s="6" t="str">
        <f>VLOOKUP(A:A,SUMMERY!AA:AC,3,FALSE)</f>
        <v>Priority-1</v>
      </c>
    </row>
    <row r="288" spans="1:32" x14ac:dyDescent="0.3">
      <c r="A288" t="s">
        <v>6882</v>
      </c>
      <c r="B288" t="s">
        <v>6883</v>
      </c>
      <c r="G288" t="s">
        <v>2162</v>
      </c>
      <c r="H288" t="s">
        <v>132</v>
      </c>
      <c r="I288" t="s">
        <v>2</v>
      </c>
      <c r="J288" t="s">
        <v>133</v>
      </c>
      <c r="K288" t="s">
        <v>52</v>
      </c>
      <c r="L288" t="s">
        <v>6884</v>
      </c>
      <c r="M288" t="s">
        <v>134</v>
      </c>
      <c r="N288" t="s">
        <v>135</v>
      </c>
      <c r="Q288" t="s">
        <v>168</v>
      </c>
      <c r="S288" t="s">
        <v>168</v>
      </c>
      <c r="U288" t="s">
        <v>137</v>
      </c>
      <c r="V288" t="s">
        <v>352</v>
      </c>
      <c r="X288" t="s">
        <v>56</v>
      </c>
      <c r="AA288" t="s">
        <v>2163</v>
      </c>
      <c r="AB288" t="s">
        <v>2</v>
      </c>
      <c r="AC288" t="s">
        <v>138</v>
      </c>
      <c r="AD288" t="s">
        <v>128</v>
      </c>
      <c r="AE288" s="97">
        <f>VLOOKUP(A:A,SUMMERY!AA:AC,2,FALSE)</f>
        <v>46233</v>
      </c>
      <c r="AF288" s="6" t="str">
        <f>VLOOKUP(A:A,SUMMERY!AA:AC,3,FALSE)</f>
        <v>Priority-1</v>
      </c>
    </row>
    <row r="289" spans="1:32" x14ac:dyDescent="0.3">
      <c r="A289" t="s">
        <v>6885</v>
      </c>
      <c r="B289" t="s">
        <v>6886</v>
      </c>
      <c r="G289" t="s">
        <v>2162</v>
      </c>
      <c r="H289" t="s">
        <v>132</v>
      </c>
      <c r="I289" t="s">
        <v>2</v>
      </c>
      <c r="J289" t="s">
        <v>133</v>
      </c>
      <c r="K289" t="s">
        <v>52</v>
      </c>
      <c r="L289" t="s">
        <v>6884</v>
      </c>
      <c r="M289" t="s">
        <v>134</v>
      </c>
      <c r="N289" t="s">
        <v>135</v>
      </c>
      <c r="Q289" t="s">
        <v>168</v>
      </c>
      <c r="S289" t="s">
        <v>168</v>
      </c>
      <c r="U289" t="s">
        <v>137</v>
      </c>
      <c r="V289" t="s">
        <v>352</v>
      </c>
      <c r="X289" t="s">
        <v>56</v>
      </c>
      <c r="AA289" t="s">
        <v>2163</v>
      </c>
      <c r="AB289" t="s">
        <v>2</v>
      </c>
      <c r="AC289" t="s">
        <v>138</v>
      </c>
      <c r="AD289" t="s">
        <v>128</v>
      </c>
      <c r="AE289" s="97">
        <f>VLOOKUP(A:A,SUMMERY!AA:AC,2,FALSE)</f>
        <v>46233</v>
      </c>
      <c r="AF289" s="6" t="str">
        <f>VLOOKUP(A:A,SUMMERY!AA:AC,3,FALSE)</f>
        <v>Priority-1</v>
      </c>
    </row>
    <row r="290" spans="1:32" x14ac:dyDescent="0.3">
      <c r="A290" t="s">
        <v>6887</v>
      </c>
      <c r="B290" t="s">
        <v>6888</v>
      </c>
      <c r="G290" t="s">
        <v>2162</v>
      </c>
      <c r="H290" t="s">
        <v>132</v>
      </c>
      <c r="I290" t="s">
        <v>2</v>
      </c>
      <c r="J290" t="s">
        <v>133</v>
      </c>
      <c r="K290" t="s">
        <v>52</v>
      </c>
      <c r="L290" t="s">
        <v>3182</v>
      </c>
      <c r="M290" t="s">
        <v>134</v>
      </c>
      <c r="N290" t="s">
        <v>135</v>
      </c>
      <c r="Q290" t="s">
        <v>168</v>
      </c>
      <c r="S290" t="s">
        <v>168</v>
      </c>
      <c r="U290" t="s">
        <v>137</v>
      </c>
      <c r="V290" t="s">
        <v>352</v>
      </c>
      <c r="X290" t="s">
        <v>56</v>
      </c>
      <c r="AA290" t="s">
        <v>2163</v>
      </c>
      <c r="AB290" t="s">
        <v>2</v>
      </c>
      <c r="AC290" t="s">
        <v>138</v>
      </c>
      <c r="AD290" t="s">
        <v>128</v>
      </c>
      <c r="AE290" s="97">
        <f>VLOOKUP(A:A,SUMMERY!AA:AC,2,FALSE)</f>
        <v>46233</v>
      </c>
      <c r="AF290" s="6" t="str">
        <f>VLOOKUP(A:A,SUMMERY!AA:AC,3,FALSE)</f>
        <v>Priority-1</v>
      </c>
    </row>
    <row r="291" spans="1:32" x14ac:dyDescent="0.3">
      <c r="A291" t="s">
        <v>6889</v>
      </c>
      <c r="B291" t="s">
        <v>6890</v>
      </c>
      <c r="G291" t="s">
        <v>2162</v>
      </c>
      <c r="H291" t="s">
        <v>132</v>
      </c>
      <c r="I291" t="s">
        <v>2</v>
      </c>
      <c r="J291" t="s">
        <v>133</v>
      </c>
      <c r="K291" t="s">
        <v>52</v>
      </c>
      <c r="L291" t="s">
        <v>3182</v>
      </c>
      <c r="M291" t="s">
        <v>134</v>
      </c>
      <c r="N291" t="s">
        <v>135</v>
      </c>
      <c r="Q291" t="s">
        <v>168</v>
      </c>
      <c r="S291" t="s">
        <v>168</v>
      </c>
      <c r="U291" t="s">
        <v>137</v>
      </c>
      <c r="V291" t="s">
        <v>352</v>
      </c>
      <c r="X291" t="s">
        <v>56</v>
      </c>
      <c r="AA291" t="s">
        <v>2163</v>
      </c>
      <c r="AB291" t="s">
        <v>2</v>
      </c>
      <c r="AC291" t="s">
        <v>138</v>
      </c>
      <c r="AD291" t="s">
        <v>128</v>
      </c>
      <c r="AE291" s="97">
        <f>VLOOKUP(A:A,SUMMERY!AA:AC,2,FALSE)</f>
        <v>46233</v>
      </c>
      <c r="AF291" s="6" t="str">
        <f>VLOOKUP(A:A,SUMMERY!AA:AC,3,FALSE)</f>
        <v>Priority-1</v>
      </c>
    </row>
    <row r="292" spans="1:32" x14ac:dyDescent="0.3">
      <c r="A292" t="s">
        <v>6891</v>
      </c>
      <c r="B292" t="s">
        <v>6892</v>
      </c>
      <c r="G292" t="s">
        <v>2162</v>
      </c>
      <c r="H292" t="s">
        <v>132</v>
      </c>
      <c r="I292" t="s">
        <v>2</v>
      </c>
      <c r="J292" t="s">
        <v>133</v>
      </c>
      <c r="K292" t="s">
        <v>52</v>
      </c>
      <c r="L292" t="s">
        <v>6893</v>
      </c>
      <c r="M292" t="s">
        <v>134</v>
      </c>
      <c r="N292" t="s">
        <v>135</v>
      </c>
      <c r="Q292" t="s">
        <v>168</v>
      </c>
      <c r="S292" t="s">
        <v>168</v>
      </c>
      <c r="U292" t="s">
        <v>137</v>
      </c>
      <c r="V292" t="s">
        <v>1279</v>
      </c>
      <c r="X292" t="s">
        <v>71</v>
      </c>
      <c r="AA292" t="s">
        <v>2163</v>
      </c>
      <c r="AB292" t="s">
        <v>2</v>
      </c>
      <c r="AC292" t="s">
        <v>138</v>
      </c>
      <c r="AD292" t="s">
        <v>128</v>
      </c>
      <c r="AE292" s="97">
        <f>VLOOKUP(A:A,SUMMERY!AA:AC,2,FALSE)</f>
        <v>46233</v>
      </c>
      <c r="AF292" s="6" t="str">
        <f>VLOOKUP(A:A,SUMMERY!AA:AC,3,FALSE)</f>
        <v>Priority-1</v>
      </c>
    </row>
    <row r="293" spans="1:32" x14ac:dyDescent="0.3">
      <c r="A293" t="s">
        <v>6894</v>
      </c>
      <c r="B293" t="s">
        <v>6895</v>
      </c>
      <c r="G293" t="s">
        <v>2162</v>
      </c>
      <c r="H293" t="s">
        <v>132</v>
      </c>
      <c r="I293" t="s">
        <v>2</v>
      </c>
      <c r="J293" t="s">
        <v>133</v>
      </c>
      <c r="K293" t="s">
        <v>52</v>
      </c>
      <c r="L293" t="s">
        <v>6896</v>
      </c>
      <c r="M293" t="s">
        <v>134</v>
      </c>
      <c r="N293" t="s">
        <v>135</v>
      </c>
      <c r="Q293" t="s">
        <v>168</v>
      </c>
      <c r="S293" t="s">
        <v>168</v>
      </c>
      <c r="U293" t="s">
        <v>137</v>
      </c>
      <c r="V293" t="s">
        <v>1283</v>
      </c>
      <c r="X293" t="s">
        <v>78</v>
      </c>
      <c r="AA293" t="s">
        <v>2163</v>
      </c>
      <c r="AB293" t="s">
        <v>2</v>
      </c>
      <c r="AC293" t="s">
        <v>138</v>
      </c>
      <c r="AD293" t="s">
        <v>128</v>
      </c>
      <c r="AE293" s="97">
        <f>VLOOKUP(A:A,SUMMERY!AA:AC,2,FALSE)</f>
        <v>46234</v>
      </c>
      <c r="AF293" s="6" t="str">
        <f>VLOOKUP(A:A,SUMMERY!AA:AC,3,FALSE)</f>
        <v>Priority-1</v>
      </c>
    </row>
    <row r="294" spans="1:32" x14ac:dyDescent="0.3">
      <c r="A294" t="s">
        <v>6912</v>
      </c>
      <c r="B294" t="s">
        <v>6913</v>
      </c>
      <c r="G294" t="s">
        <v>2162</v>
      </c>
      <c r="H294" t="s">
        <v>132</v>
      </c>
      <c r="I294" t="s">
        <v>2</v>
      </c>
      <c r="J294" t="s">
        <v>133</v>
      </c>
      <c r="K294" t="s">
        <v>52</v>
      </c>
      <c r="L294" t="s">
        <v>6893</v>
      </c>
      <c r="M294" t="s">
        <v>134</v>
      </c>
      <c r="N294" t="s">
        <v>135</v>
      </c>
      <c r="Q294" t="s">
        <v>168</v>
      </c>
      <c r="S294" t="s">
        <v>168</v>
      </c>
      <c r="U294" t="s">
        <v>137</v>
      </c>
      <c r="V294" t="s">
        <v>1279</v>
      </c>
      <c r="X294" t="s">
        <v>71</v>
      </c>
      <c r="AA294" t="s">
        <v>2163</v>
      </c>
      <c r="AB294" t="s">
        <v>2</v>
      </c>
      <c r="AC294" t="s">
        <v>138</v>
      </c>
      <c r="AD294" t="s">
        <v>128</v>
      </c>
      <c r="AE294" s="97">
        <f>VLOOKUP(A:A,SUMMERY!AA:AC,2,FALSE)</f>
        <v>46233</v>
      </c>
      <c r="AF294" s="6" t="str">
        <f>VLOOKUP(A:A,SUMMERY!AA:AC,3,FALSE)</f>
        <v>Priority-1</v>
      </c>
    </row>
    <row r="295" spans="1:32" x14ac:dyDescent="0.3">
      <c r="A295" t="s">
        <v>6914</v>
      </c>
      <c r="B295" t="s">
        <v>6915</v>
      </c>
      <c r="G295" t="s">
        <v>2162</v>
      </c>
      <c r="H295" t="s">
        <v>132</v>
      </c>
      <c r="I295" t="s">
        <v>2</v>
      </c>
      <c r="J295" t="s">
        <v>133</v>
      </c>
      <c r="K295" t="s">
        <v>52</v>
      </c>
      <c r="L295" t="s">
        <v>6896</v>
      </c>
      <c r="M295" t="s">
        <v>134</v>
      </c>
      <c r="N295" t="s">
        <v>135</v>
      </c>
      <c r="Q295" t="s">
        <v>168</v>
      </c>
      <c r="S295" t="s">
        <v>168</v>
      </c>
      <c r="U295" t="s">
        <v>137</v>
      </c>
      <c r="V295" t="s">
        <v>1283</v>
      </c>
      <c r="X295" t="s">
        <v>78</v>
      </c>
      <c r="AA295" t="s">
        <v>2163</v>
      </c>
      <c r="AB295" t="s">
        <v>2</v>
      </c>
      <c r="AC295" t="s">
        <v>138</v>
      </c>
      <c r="AD295" t="s">
        <v>128</v>
      </c>
      <c r="AE295" s="97">
        <f>VLOOKUP(A:A,SUMMERY!AA:AC,2,FALSE)</f>
        <v>46234</v>
      </c>
      <c r="AF295" s="6" t="str">
        <f>VLOOKUP(A:A,SUMMERY!AA:AC,3,FALSE)</f>
        <v>Priority-1</v>
      </c>
    </row>
    <row r="296" spans="1:32" x14ac:dyDescent="0.3">
      <c r="A296" t="s">
        <v>2200</v>
      </c>
      <c r="B296" t="s">
        <v>2201</v>
      </c>
      <c r="G296" t="s">
        <v>2162</v>
      </c>
      <c r="H296" t="s">
        <v>132</v>
      </c>
      <c r="I296" t="s">
        <v>2</v>
      </c>
      <c r="J296" t="s">
        <v>133</v>
      </c>
      <c r="K296" t="s">
        <v>52</v>
      </c>
      <c r="L296" t="s">
        <v>2202</v>
      </c>
      <c r="M296" t="s">
        <v>134</v>
      </c>
      <c r="N296" t="s">
        <v>135</v>
      </c>
      <c r="Q296" t="s">
        <v>168</v>
      </c>
      <c r="T296" t="s">
        <v>2165</v>
      </c>
      <c r="U296" t="s">
        <v>137</v>
      </c>
      <c r="V296" t="s">
        <v>362</v>
      </c>
      <c r="X296" t="s">
        <v>58</v>
      </c>
      <c r="AA296" t="s">
        <v>2163</v>
      </c>
      <c r="AB296" t="s">
        <v>2</v>
      </c>
      <c r="AC296" t="s">
        <v>138</v>
      </c>
      <c r="AD296" t="s">
        <v>128</v>
      </c>
      <c r="AE296" s="97">
        <f>VLOOKUP(A:A,SUMMERY!AA:AC,2,FALSE)</f>
        <v>46220</v>
      </c>
      <c r="AF296" s="6" t="str">
        <f>VLOOKUP(A:A,SUMMERY!AA:AC,3,FALSE)</f>
        <v>Priority-1</v>
      </c>
    </row>
    <row r="297" spans="1:32" x14ac:dyDescent="0.3">
      <c r="A297" t="s">
        <v>2203</v>
      </c>
      <c r="B297" t="s">
        <v>2204</v>
      </c>
      <c r="G297" t="s">
        <v>2162</v>
      </c>
      <c r="H297" t="s">
        <v>132</v>
      </c>
      <c r="I297" t="s">
        <v>2</v>
      </c>
      <c r="J297" t="s">
        <v>133</v>
      </c>
      <c r="K297" t="s">
        <v>52</v>
      </c>
      <c r="L297" t="s">
        <v>2205</v>
      </c>
      <c r="M297" t="s">
        <v>134</v>
      </c>
      <c r="N297" t="s">
        <v>135</v>
      </c>
      <c r="Q297" t="s">
        <v>168</v>
      </c>
      <c r="T297" t="s">
        <v>2165</v>
      </c>
      <c r="U297" t="s">
        <v>137</v>
      </c>
      <c r="V297" t="s">
        <v>371</v>
      </c>
      <c r="X297" t="s">
        <v>57</v>
      </c>
      <c r="AA297" t="s">
        <v>2163</v>
      </c>
      <c r="AB297" t="s">
        <v>2</v>
      </c>
      <c r="AC297" t="s">
        <v>138</v>
      </c>
      <c r="AD297" t="s">
        <v>128</v>
      </c>
      <c r="AE297" s="97">
        <f>VLOOKUP(A:A,SUMMERY!AA:AC,2,FALSE)</f>
        <v>46220</v>
      </c>
      <c r="AF297" s="6" t="str">
        <f>VLOOKUP(A:A,SUMMERY!AA:AC,3,FALSE)</f>
        <v>Priority-1</v>
      </c>
    </row>
    <row r="298" spans="1:32" x14ac:dyDescent="0.3">
      <c r="A298" t="s">
        <v>2206</v>
      </c>
      <c r="B298" t="s">
        <v>2207</v>
      </c>
      <c r="G298" t="s">
        <v>2162</v>
      </c>
      <c r="H298" t="s">
        <v>132</v>
      </c>
      <c r="I298" t="s">
        <v>2</v>
      </c>
      <c r="J298" t="s">
        <v>133</v>
      </c>
      <c r="K298" t="s">
        <v>52</v>
      </c>
      <c r="L298" t="s">
        <v>2208</v>
      </c>
      <c r="M298" t="s">
        <v>134</v>
      </c>
      <c r="N298" t="s">
        <v>135</v>
      </c>
      <c r="Q298" t="s">
        <v>168</v>
      </c>
      <c r="T298" t="s">
        <v>2165</v>
      </c>
      <c r="U298" t="s">
        <v>137</v>
      </c>
      <c r="V298" t="s">
        <v>403</v>
      </c>
      <c r="X298" t="s">
        <v>68</v>
      </c>
      <c r="AA298" t="s">
        <v>2163</v>
      </c>
      <c r="AB298" t="s">
        <v>2</v>
      </c>
      <c r="AC298" t="s">
        <v>138</v>
      </c>
      <c r="AD298" t="s">
        <v>128</v>
      </c>
      <c r="AE298" s="97">
        <f>VLOOKUP(A:A,SUMMERY!AA:AC,2,FALSE)</f>
        <v>46233</v>
      </c>
      <c r="AF298" s="6" t="str">
        <f>VLOOKUP(A:A,SUMMERY!AA:AC,3,FALSE)</f>
        <v>Priority-1</v>
      </c>
    </row>
    <row r="299" spans="1:32" x14ac:dyDescent="0.3">
      <c r="A299" t="s">
        <v>2209</v>
      </c>
      <c r="B299" t="s">
        <v>2210</v>
      </c>
      <c r="G299" t="s">
        <v>2162</v>
      </c>
      <c r="H299" t="s">
        <v>132</v>
      </c>
      <c r="I299" t="s">
        <v>2</v>
      </c>
      <c r="J299" t="s">
        <v>133</v>
      </c>
      <c r="K299" t="s">
        <v>52</v>
      </c>
      <c r="L299" t="s">
        <v>2211</v>
      </c>
      <c r="M299" t="s">
        <v>134</v>
      </c>
      <c r="N299" t="s">
        <v>135</v>
      </c>
      <c r="Q299" t="s">
        <v>168</v>
      </c>
      <c r="T299" t="s">
        <v>2165</v>
      </c>
      <c r="U299" t="s">
        <v>137</v>
      </c>
      <c r="V299" t="s">
        <v>407</v>
      </c>
      <c r="X299" t="s">
        <v>77</v>
      </c>
      <c r="AA299" t="s">
        <v>2163</v>
      </c>
      <c r="AB299" t="s">
        <v>2</v>
      </c>
      <c r="AC299" t="s">
        <v>138</v>
      </c>
      <c r="AD299" t="s">
        <v>128</v>
      </c>
      <c r="AE299" s="97">
        <f>VLOOKUP(A:A,SUMMERY!AA:AC,2,FALSE)</f>
        <v>46233</v>
      </c>
      <c r="AF299" s="6" t="str">
        <f>VLOOKUP(A:A,SUMMERY!AA:AC,3,FALSE)</f>
        <v>Priority-1</v>
      </c>
    </row>
    <row r="300" spans="1:32" x14ac:dyDescent="0.3">
      <c r="A300" t="s">
        <v>2227</v>
      </c>
      <c r="B300" t="s">
        <v>2228</v>
      </c>
      <c r="G300" t="s">
        <v>2162</v>
      </c>
      <c r="H300" t="s">
        <v>132</v>
      </c>
      <c r="I300" t="s">
        <v>2</v>
      </c>
      <c r="J300" t="s">
        <v>133</v>
      </c>
      <c r="K300" t="s">
        <v>52</v>
      </c>
      <c r="L300" t="s">
        <v>2229</v>
      </c>
      <c r="M300" t="s">
        <v>134</v>
      </c>
      <c r="N300" t="s">
        <v>135</v>
      </c>
      <c r="Q300" t="s">
        <v>168</v>
      </c>
      <c r="T300" t="s">
        <v>2165</v>
      </c>
      <c r="U300" t="s">
        <v>137</v>
      </c>
      <c r="V300" t="s">
        <v>147</v>
      </c>
      <c r="X300" t="s">
        <v>70</v>
      </c>
      <c r="AA300" t="s">
        <v>2163</v>
      </c>
      <c r="AB300" t="s">
        <v>2</v>
      </c>
      <c r="AC300" t="s">
        <v>138</v>
      </c>
      <c r="AD300" t="s">
        <v>128</v>
      </c>
      <c r="AE300" s="97">
        <f>VLOOKUP(A:A,SUMMERY!AA:AC,2,FALSE)</f>
        <v>46220</v>
      </c>
      <c r="AF300" s="6" t="str">
        <f>VLOOKUP(A:A,SUMMERY!AA:AC,3,FALSE)</f>
        <v>Priority-1</v>
      </c>
    </row>
    <row r="301" spans="1:32" x14ac:dyDescent="0.3">
      <c r="A301" t="s">
        <v>2230</v>
      </c>
      <c r="B301" t="s">
        <v>2231</v>
      </c>
      <c r="G301" t="s">
        <v>2162</v>
      </c>
      <c r="H301" t="s">
        <v>132</v>
      </c>
      <c r="I301" t="s">
        <v>2</v>
      </c>
      <c r="J301" t="s">
        <v>133</v>
      </c>
      <c r="K301" t="s">
        <v>52</v>
      </c>
      <c r="L301" t="s">
        <v>2229</v>
      </c>
      <c r="M301" t="s">
        <v>134</v>
      </c>
      <c r="N301" t="s">
        <v>135</v>
      </c>
      <c r="Q301" t="s">
        <v>168</v>
      </c>
      <c r="T301" t="s">
        <v>2165</v>
      </c>
      <c r="U301" t="s">
        <v>137</v>
      </c>
      <c r="V301" t="s">
        <v>147</v>
      </c>
      <c r="X301" t="s">
        <v>70</v>
      </c>
      <c r="AA301" t="s">
        <v>2163</v>
      </c>
      <c r="AB301" t="s">
        <v>2</v>
      </c>
      <c r="AC301" t="s">
        <v>138</v>
      </c>
      <c r="AD301" t="s">
        <v>128</v>
      </c>
      <c r="AE301" s="97">
        <f>VLOOKUP(A:A,SUMMERY!AA:AC,2,FALSE)</f>
        <v>46220</v>
      </c>
      <c r="AF301" s="6" t="str">
        <f>VLOOKUP(A:A,SUMMERY!AA:AC,3,FALSE)</f>
        <v>Priority-1</v>
      </c>
    </row>
    <row r="302" spans="1:32" x14ac:dyDescent="0.3">
      <c r="A302" t="s">
        <v>2232</v>
      </c>
      <c r="B302" t="s">
        <v>2233</v>
      </c>
      <c r="G302" t="s">
        <v>2162</v>
      </c>
      <c r="H302" t="s">
        <v>132</v>
      </c>
      <c r="I302" t="s">
        <v>2</v>
      </c>
      <c r="J302" t="s">
        <v>133</v>
      </c>
      <c r="K302" t="s">
        <v>52</v>
      </c>
      <c r="L302" t="s">
        <v>2234</v>
      </c>
      <c r="M302" t="s">
        <v>134</v>
      </c>
      <c r="N302" t="s">
        <v>135</v>
      </c>
      <c r="Q302" t="s">
        <v>168</v>
      </c>
      <c r="T302" t="s">
        <v>2165</v>
      </c>
      <c r="U302" t="s">
        <v>137</v>
      </c>
      <c r="V302" t="s">
        <v>150</v>
      </c>
      <c r="X302" t="s">
        <v>76</v>
      </c>
      <c r="AA302" t="s">
        <v>2163</v>
      </c>
      <c r="AB302" t="s">
        <v>2</v>
      </c>
      <c r="AC302" t="s">
        <v>138</v>
      </c>
      <c r="AD302" t="s">
        <v>128</v>
      </c>
      <c r="AE302" s="97">
        <f>VLOOKUP(A:A,SUMMERY!AA:AC,2,FALSE)</f>
        <v>46233</v>
      </c>
      <c r="AF302" s="6" t="str">
        <f>VLOOKUP(A:A,SUMMERY!AA:AC,3,FALSE)</f>
        <v>Priority-1</v>
      </c>
    </row>
    <row r="303" spans="1:32" x14ac:dyDescent="0.3">
      <c r="A303" t="s">
        <v>2235</v>
      </c>
      <c r="B303" t="s">
        <v>2236</v>
      </c>
      <c r="G303" t="s">
        <v>2162</v>
      </c>
      <c r="H303" t="s">
        <v>132</v>
      </c>
      <c r="I303" t="s">
        <v>2</v>
      </c>
      <c r="J303" t="s">
        <v>133</v>
      </c>
      <c r="K303" t="s">
        <v>52</v>
      </c>
      <c r="L303" t="s">
        <v>2234</v>
      </c>
      <c r="M303" t="s">
        <v>134</v>
      </c>
      <c r="N303" t="s">
        <v>135</v>
      </c>
      <c r="Q303" t="s">
        <v>168</v>
      </c>
      <c r="T303" t="s">
        <v>2165</v>
      </c>
      <c r="U303" t="s">
        <v>137</v>
      </c>
      <c r="V303" t="s">
        <v>150</v>
      </c>
      <c r="X303" t="s">
        <v>76</v>
      </c>
      <c r="AA303" t="s">
        <v>2163</v>
      </c>
      <c r="AB303" t="s">
        <v>2</v>
      </c>
      <c r="AC303" t="s">
        <v>138</v>
      </c>
      <c r="AD303" t="s">
        <v>128</v>
      </c>
      <c r="AE303" s="97">
        <f>VLOOKUP(A:A,SUMMERY!AA:AC,2,FALSE)</f>
        <v>46233</v>
      </c>
      <c r="AF303" s="6" t="str">
        <f>VLOOKUP(A:A,SUMMERY!AA:AC,3,FALSE)</f>
        <v>Priority-1</v>
      </c>
    </row>
    <row r="304" spans="1:32" x14ac:dyDescent="0.3">
      <c r="A304" t="s">
        <v>2262</v>
      </c>
      <c r="B304" t="s">
        <v>2263</v>
      </c>
      <c r="G304" t="s">
        <v>2162</v>
      </c>
      <c r="H304" t="s">
        <v>132</v>
      </c>
      <c r="I304" t="s">
        <v>2</v>
      </c>
      <c r="J304" t="s">
        <v>133</v>
      </c>
      <c r="K304" t="s">
        <v>52</v>
      </c>
      <c r="L304" t="s">
        <v>2264</v>
      </c>
      <c r="M304" t="s">
        <v>134</v>
      </c>
      <c r="N304" t="s">
        <v>135</v>
      </c>
      <c r="Q304" t="s">
        <v>168</v>
      </c>
      <c r="T304" t="s">
        <v>2165</v>
      </c>
      <c r="U304" t="s">
        <v>137</v>
      </c>
      <c r="V304" t="s">
        <v>352</v>
      </c>
      <c r="X304" t="s">
        <v>56</v>
      </c>
      <c r="AA304" t="s">
        <v>2163</v>
      </c>
      <c r="AB304" t="s">
        <v>2</v>
      </c>
      <c r="AC304" t="s">
        <v>138</v>
      </c>
      <c r="AD304" t="s">
        <v>128</v>
      </c>
      <c r="AE304" s="97">
        <f>VLOOKUP(A:A,SUMMERY!AA:AC,2,FALSE)</f>
        <v>46233</v>
      </c>
      <c r="AF304" s="6" t="str">
        <f>VLOOKUP(A:A,SUMMERY!AA:AC,3,FALSE)</f>
        <v>Priority-1</v>
      </c>
    </row>
    <row r="305" spans="1:32" x14ac:dyDescent="0.3">
      <c r="A305" t="s">
        <v>2265</v>
      </c>
      <c r="B305" t="s">
        <v>2266</v>
      </c>
      <c r="G305" t="s">
        <v>2162</v>
      </c>
      <c r="H305" t="s">
        <v>132</v>
      </c>
      <c r="I305" t="s">
        <v>2</v>
      </c>
      <c r="J305" t="s">
        <v>133</v>
      </c>
      <c r="K305" t="s">
        <v>52</v>
      </c>
      <c r="L305" t="s">
        <v>2264</v>
      </c>
      <c r="M305" t="s">
        <v>134</v>
      </c>
      <c r="N305" t="s">
        <v>135</v>
      </c>
      <c r="Q305" t="s">
        <v>168</v>
      </c>
      <c r="T305" t="s">
        <v>2165</v>
      </c>
      <c r="U305" t="s">
        <v>137</v>
      </c>
      <c r="V305" t="s">
        <v>352</v>
      </c>
      <c r="X305" t="s">
        <v>56</v>
      </c>
      <c r="AA305" t="s">
        <v>2163</v>
      </c>
      <c r="AB305" t="s">
        <v>2</v>
      </c>
      <c r="AC305" t="s">
        <v>138</v>
      </c>
      <c r="AD305" t="s">
        <v>128</v>
      </c>
      <c r="AE305" s="97">
        <f>VLOOKUP(A:A,SUMMERY!AA:AC,2,FALSE)</f>
        <v>46233</v>
      </c>
      <c r="AF305" s="6" t="str">
        <f>VLOOKUP(A:A,SUMMERY!AA:AC,3,FALSE)</f>
        <v>Priority-1</v>
      </c>
    </row>
    <row r="306" spans="1:32" x14ac:dyDescent="0.3">
      <c r="A306" t="s">
        <v>2267</v>
      </c>
      <c r="B306" t="s">
        <v>2268</v>
      </c>
      <c r="G306" t="s">
        <v>2162</v>
      </c>
      <c r="H306" t="s">
        <v>132</v>
      </c>
      <c r="I306" t="s">
        <v>2</v>
      </c>
      <c r="J306" t="s">
        <v>133</v>
      </c>
      <c r="K306" t="s">
        <v>52</v>
      </c>
      <c r="L306" t="s">
        <v>2264</v>
      </c>
      <c r="M306" t="s">
        <v>134</v>
      </c>
      <c r="N306" t="s">
        <v>135</v>
      </c>
      <c r="Q306" t="s">
        <v>168</v>
      </c>
      <c r="T306" t="s">
        <v>2165</v>
      </c>
      <c r="U306" t="s">
        <v>137</v>
      </c>
      <c r="V306" t="s">
        <v>352</v>
      </c>
      <c r="X306" t="s">
        <v>56</v>
      </c>
      <c r="AA306" t="s">
        <v>2163</v>
      </c>
      <c r="AB306" t="s">
        <v>2</v>
      </c>
      <c r="AC306" t="s">
        <v>138</v>
      </c>
      <c r="AD306" t="s">
        <v>128</v>
      </c>
      <c r="AE306" s="97">
        <f>VLOOKUP(A:A,SUMMERY!AA:AC,2,FALSE)</f>
        <v>46233</v>
      </c>
      <c r="AF306" s="6" t="str">
        <f>VLOOKUP(A:A,SUMMERY!AA:AC,3,FALSE)</f>
        <v>Priority-1</v>
      </c>
    </row>
    <row r="307" spans="1:32" x14ac:dyDescent="0.3">
      <c r="A307" t="s">
        <v>2269</v>
      </c>
      <c r="B307" t="s">
        <v>2270</v>
      </c>
      <c r="G307" t="s">
        <v>2162</v>
      </c>
      <c r="H307" t="s">
        <v>132</v>
      </c>
      <c r="I307" t="s">
        <v>2</v>
      </c>
      <c r="J307" t="s">
        <v>133</v>
      </c>
      <c r="K307" t="s">
        <v>52</v>
      </c>
      <c r="L307" t="s">
        <v>2264</v>
      </c>
      <c r="M307" t="s">
        <v>134</v>
      </c>
      <c r="N307" t="s">
        <v>135</v>
      </c>
      <c r="Q307" t="s">
        <v>168</v>
      </c>
      <c r="T307" t="s">
        <v>2165</v>
      </c>
      <c r="U307" t="s">
        <v>137</v>
      </c>
      <c r="V307" t="s">
        <v>352</v>
      </c>
      <c r="X307" t="s">
        <v>56</v>
      </c>
      <c r="AA307" t="s">
        <v>2163</v>
      </c>
      <c r="AB307" t="s">
        <v>2</v>
      </c>
      <c r="AC307" t="s">
        <v>138</v>
      </c>
      <c r="AD307" t="s">
        <v>128</v>
      </c>
      <c r="AE307" s="97">
        <f>VLOOKUP(A:A,SUMMERY!AA:AC,2,FALSE)</f>
        <v>46233</v>
      </c>
      <c r="AF307" s="6" t="str">
        <f>VLOOKUP(A:A,SUMMERY!AA:AC,3,FALSE)</f>
        <v>Priority-1</v>
      </c>
    </row>
    <row r="308" spans="1:32" x14ac:dyDescent="0.3">
      <c r="A308" t="s">
        <v>2271</v>
      </c>
      <c r="B308" t="s">
        <v>2272</v>
      </c>
      <c r="G308" t="s">
        <v>2162</v>
      </c>
      <c r="H308" t="s">
        <v>132</v>
      </c>
      <c r="I308" t="s">
        <v>2</v>
      </c>
      <c r="J308" t="s">
        <v>133</v>
      </c>
      <c r="K308" t="s">
        <v>52</v>
      </c>
      <c r="L308" t="s">
        <v>2273</v>
      </c>
      <c r="M308" t="s">
        <v>134</v>
      </c>
      <c r="N308" t="s">
        <v>135</v>
      </c>
      <c r="Q308" t="s">
        <v>168</v>
      </c>
      <c r="T308" t="s">
        <v>2165</v>
      </c>
      <c r="U308" t="s">
        <v>137</v>
      </c>
      <c r="V308" t="s">
        <v>352</v>
      </c>
      <c r="X308" t="s">
        <v>56</v>
      </c>
      <c r="AA308" t="s">
        <v>2163</v>
      </c>
      <c r="AB308" t="s">
        <v>2</v>
      </c>
      <c r="AC308" t="s">
        <v>138</v>
      </c>
      <c r="AD308" t="s">
        <v>128</v>
      </c>
      <c r="AE308" s="97">
        <f>VLOOKUP(A:A,SUMMERY!AA:AC,2,FALSE)</f>
        <v>46233</v>
      </c>
      <c r="AF308" s="6" t="str">
        <f>VLOOKUP(A:A,SUMMERY!AA:AC,3,FALSE)</f>
        <v>Priority-1</v>
      </c>
    </row>
    <row r="309" spans="1:32" x14ac:dyDescent="0.3">
      <c r="A309" t="s">
        <v>2274</v>
      </c>
      <c r="B309" t="s">
        <v>2275</v>
      </c>
      <c r="G309" t="s">
        <v>2162</v>
      </c>
      <c r="H309" t="s">
        <v>132</v>
      </c>
      <c r="I309" t="s">
        <v>2</v>
      </c>
      <c r="J309" t="s">
        <v>133</v>
      </c>
      <c r="K309" t="s">
        <v>52</v>
      </c>
      <c r="L309" t="s">
        <v>2273</v>
      </c>
      <c r="M309" t="s">
        <v>134</v>
      </c>
      <c r="N309" t="s">
        <v>135</v>
      </c>
      <c r="Q309" t="s">
        <v>168</v>
      </c>
      <c r="T309" t="s">
        <v>2165</v>
      </c>
      <c r="U309" t="s">
        <v>137</v>
      </c>
      <c r="V309" t="s">
        <v>352</v>
      </c>
      <c r="X309" t="s">
        <v>56</v>
      </c>
      <c r="AA309" t="s">
        <v>2163</v>
      </c>
      <c r="AB309" t="s">
        <v>2</v>
      </c>
      <c r="AC309" t="s">
        <v>138</v>
      </c>
      <c r="AD309" t="s">
        <v>128</v>
      </c>
      <c r="AE309" s="97">
        <f>VLOOKUP(A:A,SUMMERY!AA:AC,2,FALSE)</f>
        <v>46233</v>
      </c>
      <c r="AF309" s="6" t="str">
        <f>VLOOKUP(A:A,SUMMERY!AA:AC,3,FALSE)</f>
        <v>Priority-1</v>
      </c>
    </row>
    <row r="310" spans="1:32" x14ac:dyDescent="0.3">
      <c r="A310" t="s">
        <v>2276</v>
      </c>
      <c r="B310" t="s">
        <v>2277</v>
      </c>
      <c r="G310" t="s">
        <v>2162</v>
      </c>
      <c r="H310" t="s">
        <v>132</v>
      </c>
      <c r="I310" t="s">
        <v>2</v>
      </c>
      <c r="J310" t="s">
        <v>133</v>
      </c>
      <c r="K310" t="s">
        <v>52</v>
      </c>
      <c r="L310" t="s">
        <v>2278</v>
      </c>
      <c r="M310" t="s">
        <v>134</v>
      </c>
      <c r="N310" t="s">
        <v>135</v>
      </c>
      <c r="Q310" t="s">
        <v>168</v>
      </c>
      <c r="T310" t="s">
        <v>2165</v>
      </c>
      <c r="U310" t="s">
        <v>137</v>
      </c>
      <c r="V310" t="s">
        <v>147</v>
      </c>
      <c r="X310" t="s">
        <v>70</v>
      </c>
      <c r="AA310" t="s">
        <v>2163</v>
      </c>
      <c r="AB310" t="s">
        <v>2</v>
      </c>
      <c r="AC310" t="s">
        <v>138</v>
      </c>
      <c r="AD310" t="s">
        <v>128</v>
      </c>
      <c r="AE310" s="97">
        <f>VLOOKUP(A:A,SUMMERY!AA:AC,2,FALSE)</f>
        <v>46220</v>
      </c>
      <c r="AF310" s="6" t="str">
        <f>VLOOKUP(A:A,SUMMERY!AA:AC,3,FALSE)</f>
        <v>Priority-1</v>
      </c>
    </row>
    <row r="311" spans="1:32" x14ac:dyDescent="0.3">
      <c r="A311" t="s">
        <v>2279</v>
      </c>
      <c r="B311" t="s">
        <v>2280</v>
      </c>
      <c r="G311" t="s">
        <v>2162</v>
      </c>
      <c r="H311" t="s">
        <v>132</v>
      </c>
      <c r="I311" t="s">
        <v>2</v>
      </c>
      <c r="J311" t="s">
        <v>133</v>
      </c>
      <c r="K311" t="s">
        <v>52</v>
      </c>
      <c r="L311" t="s">
        <v>2281</v>
      </c>
      <c r="M311" t="s">
        <v>134</v>
      </c>
      <c r="N311" t="s">
        <v>135</v>
      </c>
      <c r="Q311" t="s">
        <v>168</v>
      </c>
      <c r="T311" t="s">
        <v>2165</v>
      </c>
      <c r="U311" t="s">
        <v>137</v>
      </c>
      <c r="V311" t="s">
        <v>150</v>
      </c>
      <c r="X311" t="s">
        <v>76</v>
      </c>
      <c r="AA311" t="s">
        <v>2163</v>
      </c>
      <c r="AB311" t="s">
        <v>2</v>
      </c>
      <c r="AC311" t="s">
        <v>138</v>
      </c>
      <c r="AD311" t="s">
        <v>128</v>
      </c>
      <c r="AE311" s="97">
        <f>VLOOKUP(A:A,SUMMERY!AA:AC,2,FALSE)</f>
        <v>46233</v>
      </c>
      <c r="AF311" s="6" t="str">
        <f>VLOOKUP(A:A,SUMMERY!AA:AC,3,FALSE)</f>
        <v>Priority-1</v>
      </c>
    </row>
    <row r="312" spans="1:32" x14ac:dyDescent="0.3">
      <c r="A312" t="s">
        <v>2297</v>
      </c>
      <c r="B312" t="s">
        <v>2298</v>
      </c>
      <c r="G312" t="s">
        <v>2162</v>
      </c>
      <c r="H312" t="s">
        <v>132</v>
      </c>
      <c r="I312" t="s">
        <v>2</v>
      </c>
      <c r="J312" t="s">
        <v>133</v>
      </c>
      <c r="K312" t="s">
        <v>52</v>
      </c>
      <c r="L312" t="s">
        <v>2299</v>
      </c>
      <c r="M312" t="s">
        <v>134</v>
      </c>
      <c r="N312" t="s">
        <v>135</v>
      </c>
      <c r="Q312" t="s">
        <v>168</v>
      </c>
      <c r="T312" t="s">
        <v>2165</v>
      </c>
      <c r="U312" t="s">
        <v>137</v>
      </c>
      <c r="V312" t="s">
        <v>147</v>
      </c>
      <c r="X312" t="s">
        <v>70</v>
      </c>
      <c r="AA312" t="s">
        <v>2163</v>
      </c>
      <c r="AB312" t="s">
        <v>2</v>
      </c>
      <c r="AC312" t="s">
        <v>138</v>
      </c>
      <c r="AD312" t="s">
        <v>128</v>
      </c>
      <c r="AE312" s="97">
        <f>VLOOKUP(A:A,SUMMERY!AA:AC,2,FALSE)</f>
        <v>46220</v>
      </c>
      <c r="AF312" s="6" t="str">
        <f>VLOOKUP(A:A,SUMMERY!AA:AC,3,FALSE)</f>
        <v>Priority-1</v>
      </c>
    </row>
    <row r="313" spans="1:32" x14ac:dyDescent="0.3">
      <c r="A313" t="s">
        <v>2300</v>
      </c>
      <c r="B313" t="s">
        <v>2301</v>
      </c>
      <c r="G313" t="s">
        <v>2162</v>
      </c>
      <c r="H313" t="s">
        <v>132</v>
      </c>
      <c r="I313" t="s">
        <v>2</v>
      </c>
      <c r="J313" t="s">
        <v>133</v>
      </c>
      <c r="K313" t="s">
        <v>52</v>
      </c>
      <c r="L313" t="s">
        <v>2299</v>
      </c>
      <c r="M313" t="s">
        <v>134</v>
      </c>
      <c r="N313" t="s">
        <v>135</v>
      </c>
      <c r="Q313" t="s">
        <v>168</v>
      </c>
      <c r="T313" t="s">
        <v>2165</v>
      </c>
      <c r="U313" t="s">
        <v>137</v>
      </c>
      <c r="V313" t="s">
        <v>147</v>
      </c>
      <c r="X313" t="s">
        <v>70</v>
      </c>
      <c r="AA313" t="s">
        <v>2163</v>
      </c>
      <c r="AB313" t="s">
        <v>2</v>
      </c>
      <c r="AC313" t="s">
        <v>138</v>
      </c>
      <c r="AD313" t="s">
        <v>128</v>
      </c>
      <c r="AE313" s="97">
        <f>VLOOKUP(A:A,SUMMERY!AA:AC,2,FALSE)</f>
        <v>46220</v>
      </c>
      <c r="AF313" s="6" t="str">
        <f>VLOOKUP(A:A,SUMMERY!AA:AC,3,FALSE)</f>
        <v>Priority-1</v>
      </c>
    </row>
    <row r="314" spans="1:32" x14ac:dyDescent="0.3">
      <c r="A314" t="s">
        <v>2302</v>
      </c>
      <c r="B314" t="s">
        <v>2303</v>
      </c>
      <c r="G314" t="s">
        <v>2162</v>
      </c>
      <c r="H314" t="s">
        <v>132</v>
      </c>
      <c r="I314" t="s">
        <v>2</v>
      </c>
      <c r="J314" t="s">
        <v>133</v>
      </c>
      <c r="K314" t="s">
        <v>52</v>
      </c>
      <c r="L314" t="s">
        <v>2304</v>
      </c>
      <c r="M314" t="s">
        <v>134</v>
      </c>
      <c r="N314" t="s">
        <v>135</v>
      </c>
      <c r="Q314" t="s">
        <v>168</v>
      </c>
      <c r="T314" t="s">
        <v>2165</v>
      </c>
      <c r="U314" t="s">
        <v>137</v>
      </c>
      <c r="V314" t="s">
        <v>150</v>
      </c>
      <c r="X314" t="s">
        <v>76</v>
      </c>
      <c r="AA314" t="s">
        <v>2163</v>
      </c>
      <c r="AB314" t="s">
        <v>2</v>
      </c>
      <c r="AC314" t="s">
        <v>138</v>
      </c>
      <c r="AD314" t="s">
        <v>128</v>
      </c>
      <c r="AE314" s="97">
        <f>VLOOKUP(A:A,SUMMERY!AA:AC,2,FALSE)</f>
        <v>46233</v>
      </c>
      <c r="AF314" s="6" t="str">
        <f>VLOOKUP(A:A,SUMMERY!AA:AC,3,FALSE)</f>
        <v>Priority-1</v>
      </c>
    </row>
    <row r="315" spans="1:32" x14ac:dyDescent="0.3">
      <c r="A315" t="s">
        <v>2305</v>
      </c>
      <c r="B315" t="s">
        <v>2306</v>
      </c>
      <c r="G315" t="s">
        <v>2162</v>
      </c>
      <c r="H315" t="s">
        <v>132</v>
      </c>
      <c r="I315" t="s">
        <v>2</v>
      </c>
      <c r="J315" t="s">
        <v>133</v>
      </c>
      <c r="K315" t="s">
        <v>52</v>
      </c>
      <c r="L315" t="s">
        <v>2304</v>
      </c>
      <c r="M315" t="s">
        <v>134</v>
      </c>
      <c r="N315" t="s">
        <v>135</v>
      </c>
      <c r="Q315" t="s">
        <v>168</v>
      </c>
      <c r="T315" t="s">
        <v>2165</v>
      </c>
      <c r="U315" t="s">
        <v>137</v>
      </c>
      <c r="V315" t="s">
        <v>150</v>
      </c>
      <c r="X315" t="s">
        <v>76</v>
      </c>
      <c r="AA315" t="s">
        <v>2163</v>
      </c>
      <c r="AB315" t="s">
        <v>2</v>
      </c>
      <c r="AC315" t="s">
        <v>138</v>
      </c>
      <c r="AD315" t="s">
        <v>128</v>
      </c>
      <c r="AE315" s="97">
        <f>VLOOKUP(A:A,SUMMERY!AA:AC,2,FALSE)</f>
        <v>46233</v>
      </c>
      <c r="AF315" s="6" t="str">
        <f>VLOOKUP(A:A,SUMMERY!AA:AC,3,FALSE)</f>
        <v>Priority-1</v>
      </c>
    </row>
    <row r="316" spans="1:32" x14ac:dyDescent="0.3">
      <c r="A316" t="s">
        <v>2332</v>
      </c>
      <c r="B316" t="s">
        <v>2333</v>
      </c>
      <c r="G316" t="s">
        <v>2162</v>
      </c>
      <c r="H316" t="s">
        <v>132</v>
      </c>
      <c r="I316" t="s">
        <v>2</v>
      </c>
      <c r="J316" t="s">
        <v>133</v>
      </c>
      <c r="K316" t="s">
        <v>52</v>
      </c>
      <c r="L316" t="s">
        <v>2334</v>
      </c>
      <c r="M316" t="s">
        <v>134</v>
      </c>
      <c r="N316" t="s">
        <v>135</v>
      </c>
      <c r="Q316" t="s">
        <v>168</v>
      </c>
      <c r="T316" t="s">
        <v>2165</v>
      </c>
      <c r="U316" t="s">
        <v>137</v>
      </c>
      <c r="V316" t="s">
        <v>890</v>
      </c>
      <c r="X316" t="s">
        <v>59</v>
      </c>
      <c r="AA316" t="s">
        <v>2163</v>
      </c>
      <c r="AB316" t="s">
        <v>2</v>
      </c>
      <c r="AC316" t="s">
        <v>138</v>
      </c>
      <c r="AD316" t="s">
        <v>128</v>
      </c>
      <c r="AE316" s="97">
        <f>VLOOKUP(A:A,SUMMERY!AA:AC,2,FALSE)</f>
        <v>46220</v>
      </c>
      <c r="AF316" s="6" t="str">
        <f>VLOOKUP(A:A,SUMMERY!AA:AC,3,FALSE)</f>
        <v>Priority-1</v>
      </c>
    </row>
    <row r="317" spans="1:32" x14ac:dyDescent="0.3">
      <c r="A317" t="s">
        <v>2335</v>
      </c>
      <c r="B317" t="s">
        <v>2336</v>
      </c>
      <c r="G317" t="s">
        <v>2162</v>
      </c>
      <c r="H317" t="s">
        <v>132</v>
      </c>
      <c r="I317" t="s">
        <v>2</v>
      </c>
      <c r="J317" t="s">
        <v>133</v>
      </c>
      <c r="K317" t="s">
        <v>52</v>
      </c>
      <c r="L317" t="s">
        <v>1348</v>
      </c>
      <c r="M317" t="s">
        <v>134</v>
      </c>
      <c r="N317" t="s">
        <v>135</v>
      </c>
      <c r="Q317" t="s">
        <v>168</v>
      </c>
      <c r="T317" t="s">
        <v>2165</v>
      </c>
      <c r="U317" t="s">
        <v>137</v>
      </c>
      <c r="V317" t="s">
        <v>296</v>
      </c>
      <c r="X317" t="s">
        <v>63</v>
      </c>
      <c r="AA317" t="s">
        <v>2163</v>
      </c>
      <c r="AB317" t="s">
        <v>2</v>
      </c>
      <c r="AC317" t="s">
        <v>138</v>
      </c>
      <c r="AD317" t="s">
        <v>128</v>
      </c>
      <c r="AE317" s="97">
        <f>VLOOKUP(A:A,SUMMERY!AA:AC,2,FALSE)</f>
        <v>46220</v>
      </c>
      <c r="AF317" s="6" t="str">
        <f>VLOOKUP(A:A,SUMMERY!AA:AC,3,FALSE)</f>
        <v>Priority-1</v>
      </c>
    </row>
    <row r="318" spans="1:32" x14ac:dyDescent="0.3">
      <c r="A318" t="s">
        <v>2337</v>
      </c>
      <c r="B318" t="s">
        <v>2338</v>
      </c>
      <c r="G318" t="s">
        <v>2162</v>
      </c>
      <c r="H318" t="s">
        <v>132</v>
      </c>
      <c r="I318" t="s">
        <v>2</v>
      </c>
      <c r="J318" t="s">
        <v>133</v>
      </c>
      <c r="K318" t="s">
        <v>52</v>
      </c>
      <c r="L318" t="s">
        <v>1348</v>
      </c>
      <c r="M318" t="s">
        <v>134</v>
      </c>
      <c r="N318" t="s">
        <v>135</v>
      </c>
      <c r="Q318" t="s">
        <v>168</v>
      </c>
      <c r="T318" t="s">
        <v>2165</v>
      </c>
      <c r="U318" t="s">
        <v>137</v>
      </c>
      <c r="V318" t="s">
        <v>296</v>
      </c>
      <c r="X318" t="s">
        <v>63</v>
      </c>
      <c r="AA318" t="s">
        <v>2163</v>
      </c>
      <c r="AB318" t="s">
        <v>2</v>
      </c>
      <c r="AC318" t="s">
        <v>138</v>
      </c>
      <c r="AD318" t="s">
        <v>128</v>
      </c>
      <c r="AE318" s="97">
        <f>VLOOKUP(A:A,SUMMERY!AA:AC,2,FALSE)</f>
        <v>46220</v>
      </c>
      <c r="AF318" s="6" t="str">
        <f>VLOOKUP(A:A,SUMMERY!AA:AC,3,FALSE)</f>
        <v>Priority-1</v>
      </c>
    </row>
    <row r="319" spans="1:32" x14ac:dyDescent="0.3">
      <c r="A319" t="s">
        <v>2339</v>
      </c>
      <c r="B319" t="s">
        <v>2340</v>
      </c>
      <c r="G319" t="s">
        <v>2162</v>
      </c>
      <c r="H319" t="s">
        <v>132</v>
      </c>
      <c r="I319" t="s">
        <v>2</v>
      </c>
      <c r="J319" t="s">
        <v>133</v>
      </c>
      <c r="K319" t="s">
        <v>52</v>
      </c>
      <c r="L319" t="s">
        <v>1348</v>
      </c>
      <c r="M319" t="s">
        <v>134</v>
      </c>
      <c r="N319" t="s">
        <v>135</v>
      </c>
      <c r="Q319" t="s">
        <v>168</v>
      </c>
      <c r="T319" t="s">
        <v>2165</v>
      </c>
      <c r="U319" t="s">
        <v>137</v>
      </c>
      <c r="V319" t="s">
        <v>296</v>
      </c>
      <c r="X319" t="s">
        <v>63</v>
      </c>
      <c r="AA319" t="s">
        <v>2163</v>
      </c>
      <c r="AB319" t="s">
        <v>2</v>
      </c>
      <c r="AC319" t="s">
        <v>138</v>
      </c>
      <c r="AD319" t="s">
        <v>128</v>
      </c>
      <c r="AE319" s="97">
        <f>VLOOKUP(A:A,SUMMERY!AA:AC,2,FALSE)</f>
        <v>46220</v>
      </c>
      <c r="AF319" s="6" t="str">
        <f>VLOOKUP(A:A,SUMMERY!AA:AC,3,FALSE)</f>
        <v>Priority-1</v>
      </c>
    </row>
    <row r="320" spans="1:32" x14ac:dyDescent="0.3">
      <c r="A320" t="s">
        <v>2341</v>
      </c>
      <c r="B320" t="s">
        <v>2342</v>
      </c>
      <c r="G320" t="s">
        <v>2162</v>
      </c>
      <c r="H320" t="s">
        <v>132</v>
      </c>
      <c r="I320" t="s">
        <v>2</v>
      </c>
      <c r="J320" t="s">
        <v>133</v>
      </c>
      <c r="K320" t="s">
        <v>52</v>
      </c>
      <c r="L320" t="s">
        <v>1348</v>
      </c>
      <c r="M320" t="s">
        <v>134</v>
      </c>
      <c r="N320" t="s">
        <v>135</v>
      </c>
      <c r="Q320" t="s">
        <v>168</v>
      </c>
      <c r="T320" t="s">
        <v>2165</v>
      </c>
      <c r="U320" t="s">
        <v>137</v>
      </c>
      <c r="V320" t="s">
        <v>296</v>
      </c>
      <c r="X320" t="s">
        <v>63</v>
      </c>
      <c r="AA320" t="s">
        <v>2163</v>
      </c>
      <c r="AB320" t="s">
        <v>2</v>
      </c>
      <c r="AC320" t="s">
        <v>138</v>
      </c>
      <c r="AD320" t="s">
        <v>128</v>
      </c>
      <c r="AE320" s="97">
        <f>VLOOKUP(A:A,SUMMERY!AA:AC,2,FALSE)</f>
        <v>46220</v>
      </c>
      <c r="AF320" s="6" t="str">
        <f>VLOOKUP(A:A,SUMMERY!AA:AC,3,FALSE)</f>
        <v>Priority-1</v>
      </c>
    </row>
    <row r="321" spans="1:32" x14ac:dyDescent="0.3">
      <c r="A321" t="s">
        <v>2343</v>
      </c>
      <c r="B321" t="s">
        <v>2344</v>
      </c>
      <c r="G321" t="s">
        <v>2162</v>
      </c>
      <c r="H321" t="s">
        <v>132</v>
      </c>
      <c r="I321" t="s">
        <v>2</v>
      </c>
      <c r="J321" t="s">
        <v>133</v>
      </c>
      <c r="K321" t="s">
        <v>52</v>
      </c>
      <c r="L321" t="s">
        <v>1348</v>
      </c>
      <c r="M321" t="s">
        <v>134</v>
      </c>
      <c r="N321" t="s">
        <v>135</v>
      </c>
      <c r="Q321" t="s">
        <v>168</v>
      </c>
      <c r="T321" t="s">
        <v>2165</v>
      </c>
      <c r="U321" t="s">
        <v>137</v>
      </c>
      <c r="V321" t="s">
        <v>296</v>
      </c>
      <c r="X321" t="s">
        <v>63</v>
      </c>
      <c r="AA321" t="s">
        <v>2163</v>
      </c>
      <c r="AB321" t="s">
        <v>2</v>
      </c>
      <c r="AC321" t="s">
        <v>138</v>
      </c>
      <c r="AD321" t="s">
        <v>128</v>
      </c>
      <c r="AE321" s="97">
        <f>VLOOKUP(A:A,SUMMERY!AA:AC,2,FALSE)</f>
        <v>46220</v>
      </c>
      <c r="AF321" s="6" t="str">
        <f>VLOOKUP(A:A,SUMMERY!AA:AC,3,FALSE)</f>
        <v>Priority-1</v>
      </c>
    </row>
    <row r="322" spans="1:32" x14ac:dyDescent="0.3">
      <c r="A322" t="s">
        <v>2345</v>
      </c>
      <c r="B322" t="s">
        <v>2346</v>
      </c>
      <c r="G322" t="s">
        <v>2162</v>
      </c>
      <c r="H322" t="s">
        <v>132</v>
      </c>
      <c r="I322" t="s">
        <v>2</v>
      </c>
      <c r="J322" t="s">
        <v>133</v>
      </c>
      <c r="K322" t="s">
        <v>52</v>
      </c>
      <c r="L322" t="s">
        <v>2347</v>
      </c>
      <c r="M322" t="s">
        <v>134</v>
      </c>
      <c r="N322" t="s">
        <v>135</v>
      </c>
      <c r="Q322" t="s">
        <v>168</v>
      </c>
      <c r="T322" t="s">
        <v>2165</v>
      </c>
      <c r="U322" t="s">
        <v>137</v>
      </c>
      <c r="V322" t="s">
        <v>897</v>
      </c>
      <c r="X322" t="s">
        <v>64</v>
      </c>
      <c r="AA322" t="s">
        <v>2163</v>
      </c>
      <c r="AB322" t="s">
        <v>2</v>
      </c>
      <c r="AC322" t="s">
        <v>138</v>
      </c>
      <c r="AD322" t="s">
        <v>128</v>
      </c>
      <c r="AE322" s="97">
        <f>VLOOKUP(A:A,SUMMERY!AA:AC,2,FALSE)</f>
        <v>46233</v>
      </c>
      <c r="AF322" s="6" t="str">
        <f>VLOOKUP(A:A,SUMMERY!AA:AC,3,FALSE)</f>
        <v>Priority-1</v>
      </c>
    </row>
    <row r="323" spans="1:32" x14ac:dyDescent="0.3">
      <c r="A323" t="s">
        <v>2348</v>
      </c>
      <c r="B323" t="s">
        <v>2349</v>
      </c>
      <c r="G323" t="s">
        <v>2162</v>
      </c>
      <c r="H323" t="s">
        <v>132</v>
      </c>
      <c r="I323" t="s">
        <v>2</v>
      </c>
      <c r="J323" t="s">
        <v>133</v>
      </c>
      <c r="K323" t="s">
        <v>52</v>
      </c>
      <c r="L323" t="s">
        <v>1371</v>
      </c>
      <c r="M323" t="s">
        <v>134</v>
      </c>
      <c r="N323" t="s">
        <v>135</v>
      </c>
      <c r="Q323" t="s">
        <v>168</v>
      </c>
      <c r="T323" t="s">
        <v>2165</v>
      </c>
      <c r="U323" t="s">
        <v>137</v>
      </c>
      <c r="V323" t="s">
        <v>300</v>
      </c>
      <c r="X323" t="s">
        <v>72</v>
      </c>
      <c r="AA323" t="s">
        <v>2163</v>
      </c>
      <c r="AB323" t="s">
        <v>2</v>
      </c>
      <c r="AC323" t="s">
        <v>138</v>
      </c>
      <c r="AD323" t="s">
        <v>128</v>
      </c>
      <c r="AE323" s="97">
        <f>VLOOKUP(A:A,SUMMERY!AA:AC,2,FALSE)</f>
        <v>46234</v>
      </c>
      <c r="AF323" s="6" t="str">
        <f>VLOOKUP(A:A,SUMMERY!AA:AC,3,FALSE)</f>
        <v>Priority-1</v>
      </c>
    </row>
    <row r="324" spans="1:32" x14ac:dyDescent="0.3">
      <c r="A324" t="s">
        <v>2350</v>
      </c>
      <c r="B324" t="s">
        <v>2351</v>
      </c>
      <c r="G324" t="s">
        <v>2162</v>
      </c>
      <c r="H324" t="s">
        <v>132</v>
      </c>
      <c r="I324" t="s">
        <v>2</v>
      </c>
      <c r="J324" t="s">
        <v>133</v>
      </c>
      <c r="K324" t="s">
        <v>52</v>
      </c>
      <c r="L324" t="s">
        <v>1371</v>
      </c>
      <c r="M324" t="s">
        <v>134</v>
      </c>
      <c r="N324" t="s">
        <v>135</v>
      </c>
      <c r="Q324" t="s">
        <v>168</v>
      </c>
      <c r="T324" t="s">
        <v>2165</v>
      </c>
      <c r="U324" t="s">
        <v>137</v>
      </c>
      <c r="V324" t="s">
        <v>300</v>
      </c>
      <c r="X324" t="s">
        <v>72</v>
      </c>
      <c r="AA324" t="s">
        <v>2163</v>
      </c>
      <c r="AB324" t="s">
        <v>2</v>
      </c>
      <c r="AC324" t="s">
        <v>138</v>
      </c>
      <c r="AD324" t="s">
        <v>128</v>
      </c>
      <c r="AE324" s="97">
        <f>VLOOKUP(A:A,SUMMERY!AA:AC,2,FALSE)</f>
        <v>46234</v>
      </c>
      <c r="AF324" s="6" t="str">
        <f>VLOOKUP(A:A,SUMMERY!AA:AC,3,FALSE)</f>
        <v>Priority-1</v>
      </c>
    </row>
    <row r="325" spans="1:32" x14ac:dyDescent="0.3">
      <c r="A325" t="s">
        <v>2352</v>
      </c>
      <c r="B325" t="s">
        <v>2353</v>
      </c>
      <c r="G325" t="s">
        <v>2162</v>
      </c>
      <c r="H325" t="s">
        <v>132</v>
      </c>
      <c r="I325" t="s">
        <v>2</v>
      </c>
      <c r="J325" t="s">
        <v>133</v>
      </c>
      <c r="K325" t="s">
        <v>52</v>
      </c>
      <c r="L325" t="s">
        <v>1371</v>
      </c>
      <c r="M325" t="s">
        <v>134</v>
      </c>
      <c r="N325" t="s">
        <v>135</v>
      </c>
      <c r="Q325" t="s">
        <v>168</v>
      </c>
      <c r="T325" t="s">
        <v>2165</v>
      </c>
      <c r="U325" t="s">
        <v>137</v>
      </c>
      <c r="V325" t="s">
        <v>300</v>
      </c>
      <c r="X325" t="s">
        <v>72</v>
      </c>
      <c r="AA325" t="s">
        <v>2163</v>
      </c>
      <c r="AB325" t="s">
        <v>2</v>
      </c>
      <c r="AC325" t="s">
        <v>138</v>
      </c>
      <c r="AD325" t="s">
        <v>128</v>
      </c>
      <c r="AE325" s="97">
        <f>VLOOKUP(A:A,SUMMERY!AA:AC,2,FALSE)</f>
        <v>46234</v>
      </c>
      <c r="AF325" s="6" t="str">
        <f>VLOOKUP(A:A,SUMMERY!AA:AC,3,FALSE)</f>
        <v>Priority-1</v>
      </c>
    </row>
    <row r="326" spans="1:32" x14ac:dyDescent="0.3">
      <c r="A326" t="s">
        <v>2354</v>
      </c>
      <c r="B326" t="s">
        <v>2355</v>
      </c>
      <c r="G326" t="s">
        <v>2162</v>
      </c>
      <c r="H326" t="s">
        <v>132</v>
      </c>
      <c r="I326" t="s">
        <v>2</v>
      </c>
      <c r="J326" t="s">
        <v>133</v>
      </c>
      <c r="K326" t="s">
        <v>52</v>
      </c>
      <c r="L326" t="s">
        <v>1371</v>
      </c>
      <c r="M326" t="s">
        <v>134</v>
      </c>
      <c r="N326" t="s">
        <v>135</v>
      </c>
      <c r="Q326" t="s">
        <v>168</v>
      </c>
      <c r="T326" t="s">
        <v>2165</v>
      </c>
      <c r="U326" t="s">
        <v>137</v>
      </c>
      <c r="V326" t="s">
        <v>300</v>
      </c>
      <c r="X326" t="s">
        <v>72</v>
      </c>
      <c r="AA326" t="s">
        <v>2163</v>
      </c>
      <c r="AB326" t="s">
        <v>2</v>
      </c>
      <c r="AC326" t="s">
        <v>138</v>
      </c>
      <c r="AD326" t="s">
        <v>128</v>
      </c>
      <c r="AE326" s="97">
        <f>VLOOKUP(A:A,SUMMERY!AA:AC,2,FALSE)</f>
        <v>46234</v>
      </c>
      <c r="AF326" s="6" t="str">
        <f>VLOOKUP(A:A,SUMMERY!AA:AC,3,FALSE)</f>
        <v>Priority-1</v>
      </c>
    </row>
    <row r="327" spans="1:32" x14ac:dyDescent="0.3">
      <c r="A327" t="s">
        <v>2356</v>
      </c>
      <c r="B327" t="s">
        <v>2357</v>
      </c>
      <c r="G327" t="s">
        <v>2162</v>
      </c>
      <c r="H327" t="s">
        <v>132</v>
      </c>
      <c r="I327" t="s">
        <v>2</v>
      </c>
      <c r="J327" t="s">
        <v>133</v>
      </c>
      <c r="K327" t="s">
        <v>52</v>
      </c>
      <c r="L327" t="s">
        <v>1371</v>
      </c>
      <c r="M327" t="s">
        <v>134</v>
      </c>
      <c r="N327" t="s">
        <v>135</v>
      </c>
      <c r="Q327" t="s">
        <v>168</v>
      </c>
      <c r="T327" t="s">
        <v>2165</v>
      </c>
      <c r="U327" t="s">
        <v>137</v>
      </c>
      <c r="V327" t="s">
        <v>300</v>
      </c>
      <c r="X327" t="s">
        <v>72</v>
      </c>
      <c r="AA327" t="s">
        <v>2163</v>
      </c>
      <c r="AB327" t="s">
        <v>2</v>
      </c>
      <c r="AC327" t="s">
        <v>138</v>
      </c>
      <c r="AD327" t="s">
        <v>128</v>
      </c>
      <c r="AE327" s="97">
        <f>VLOOKUP(A:A,SUMMERY!AA:AC,2,FALSE)</f>
        <v>46234</v>
      </c>
      <c r="AF327" s="6" t="str">
        <f>VLOOKUP(A:A,SUMMERY!AA:AC,3,FALSE)</f>
        <v>Priority-1</v>
      </c>
    </row>
    <row r="328" spans="1:32" x14ac:dyDescent="0.3">
      <c r="A328" t="s">
        <v>2423</v>
      </c>
      <c r="B328" t="s">
        <v>2424</v>
      </c>
      <c r="G328" t="s">
        <v>2162</v>
      </c>
      <c r="H328" t="s">
        <v>132</v>
      </c>
      <c r="I328" t="s">
        <v>2</v>
      </c>
      <c r="J328" t="s">
        <v>133</v>
      </c>
      <c r="K328" t="s">
        <v>52</v>
      </c>
      <c r="L328" t="s">
        <v>2425</v>
      </c>
      <c r="M328" t="s">
        <v>134</v>
      </c>
      <c r="N328" t="s">
        <v>135</v>
      </c>
      <c r="Q328" t="s">
        <v>168</v>
      </c>
      <c r="T328" t="s">
        <v>2165</v>
      </c>
      <c r="U328" t="s">
        <v>137</v>
      </c>
      <c r="V328" t="s">
        <v>147</v>
      </c>
      <c r="X328" t="s">
        <v>70</v>
      </c>
      <c r="AA328" t="s">
        <v>2163</v>
      </c>
      <c r="AB328" t="s">
        <v>2</v>
      </c>
      <c r="AC328" t="s">
        <v>138</v>
      </c>
      <c r="AD328" t="s">
        <v>128</v>
      </c>
      <c r="AE328" s="97">
        <f>VLOOKUP(A:A,SUMMERY!AA:AC,2,FALSE)</f>
        <v>46220</v>
      </c>
      <c r="AF328" s="6" t="str">
        <f>VLOOKUP(A:A,SUMMERY!AA:AC,3,FALSE)</f>
        <v>Priority-1</v>
      </c>
    </row>
    <row r="329" spans="1:32" x14ac:dyDescent="0.3">
      <c r="A329" t="s">
        <v>2426</v>
      </c>
      <c r="B329" t="s">
        <v>2427</v>
      </c>
      <c r="G329" t="s">
        <v>2162</v>
      </c>
      <c r="H329" t="s">
        <v>132</v>
      </c>
      <c r="I329" t="s">
        <v>2</v>
      </c>
      <c r="J329" t="s">
        <v>133</v>
      </c>
      <c r="K329" t="s">
        <v>52</v>
      </c>
      <c r="L329" t="s">
        <v>2428</v>
      </c>
      <c r="M329" t="s">
        <v>134</v>
      </c>
      <c r="N329" t="s">
        <v>135</v>
      </c>
      <c r="Q329" t="s">
        <v>168</v>
      </c>
      <c r="T329" t="s">
        <v>2165</v>
      </c>
      <c r="U329" t="s">
        <v>137</v>
      </c>
      <c r="V329" t="s">
        <v>147</v>
      </c>
      <c r="X329" t="s">
        <v>70</v>
      </c>
      <c r="AA329" t="s">
        <v>2163</v>
      </c>
      <c r="AB329" t="s">
        <v>2</v>
      </c>
      <c r="AC329" t="s">
        <v>138</v>
      </c>
      <c r="AD329" t="s">
        <v>128</v>
      </c>
      <c r="AE329" s="97">
        <f>VLOOKUP(A:A,SUMMERY!AA:AC,2,FALSE)</f>
        <v>46220</v>
      </c>
      <c r="AF329" s="6" t="str">
        <f>VLOOKUP(A:A,SUMMERY!AA:AC,3,FALSE)</f>
        <v>Priority-1</v>
      </c>
    </row>
    <row r="330" spans="1:32" x14ac:dyDescent="0.3">
      <c r="A330" t="s">
        <v>2429</v>
      </c>
      <c r="B330" t="s">
        <v>2430</v>
      </c>
      <c r="G330" t="s">
        <v>2162</v>
      </c>
      <c r="H330" t="s">
        <v>132</v>
      </c>
      <c r="I330" t="s">
        <v>2</v>
      </c>
      <c r="J330" t="s">
        <v>133</v>
      </c>
      <c r="K330" t="s">
        <v>52</v>
      </c>
      <c r="L330" t="s">
        <v>2431</v>
      </c>
      <c r="M330" t="s">
        <v>134</v>
      </c>
      <c r="N330" t="s">
        <v>135</v>
      </c>
      <c r="Q330" t="s">
        <v>168</v>
      </c>
      <c r="T330" t="s">
        <v>2165</v>
      </c>
      <c r="U330" t="s">
        <v>137</v>
      </c>
      <c r="V330" t="s">
        <v>147</v>
      </c>
      <c r="X330" t="s">
        <v>70</v>
      </c>
      <c r="AA330" t="s">
        <v>2163</v>
      </c>
      <c r="AB330" t="s">
        <v>2</v>
      </c>
      <c r="AC330" t="s">
        <v>138</v>
      </c>
      <c r="AD330" t="s">
        <v>128</v>
      </c>
      <c r="AE330" s="97">
        <f>VLOOKUP(A:A,SUMMERY!AA:AC,2,FALSE)</f>
        <v>46220</v>
      </c>
      <c r="AF330" s="6" t="str">
        <f>VLOOKUP(A:A,SUMMERY!AA:AC,3,FALSE)</f>
        <v>Priority-1</v>
      </c>
    </row>
    <row r="331" spans="1:32" x14ac:dyDescent="0.3">
      <c r="A331" t="s">
        <v>2432</v>
      </c>
      <c r="B331" t="s">
        <v>2433</v>
      </c>
      <c r="G331" t="s">
        <v>2162</v>
      </c>
      <c r="H331" t="s">
        <v>132</v>
      </c>
      <c r="I331" t="s">
        <v>2</v>
      </c>
      <c r="J331" t="s">
        <v>133</v>
      </c>
      <c r="K331" t="s">
        <v>52</v>
      </c>
      <c r="L331" t="s">
        <v>2434</v>
      </c>
      <c r="M331" t="s">
        <v>134</v>
      </c>
      <c r="N331" t="s">
        <v>135</v>
      </c>
      <c r="Q331" t="s">
        <v>168</v>
      </c>
      <c r="T331" t="s">
        <v>2165</v>
      </c>
      <c r="U331" t="s">
        <v>137</v>
      </c>
      <c r="V331" t="s">
        <v>147</v>
      </c>
      <c r="X331" t="s">
        <v>70</v>
      </c>
      <c r="AA331" t="s">
        <v>2163</v>
      </c>
      <c r="AB331" t="s">
        <v>2</v>
      </c>
      <c r="AC331" t="s">
        <v>138</v>
      </c>
      <c r="AD331" t="s">
        <v>128</v>
      </c>
      <c r="AE331" s="97">
        <f>VLOOKUP(A:A,SUMMERY!AA:AC,2,FALSE)</f>
        <v>46220</v>
      </c>
      <c r="AF331" s="6" t="str">
        <f>VLOOKUP(A:A,SUMMERY!AA:AC,3,FALSE)</f>
        <v>Priority-1</v>
      </c>
    </row>
    <row r="332" spans="1:32" x14ac:dyDescent="0.3">
      <c r="A332" t="s">
        <v>2435</v>
      </c>
      <c r="B332" t="s">
        <v>2436</v>
      </c>
      <c r="G332" t="s">
        <v>2162</v>
      </c>
      <c r="H332" t="s">
        <v>132</v>
      </c>
      <c r="I332" t="s">
        <v>2</v>
      </c>
      <c r="J332" t="s">
        <v>133</v>
      </c>
      <c r="K332" t="s">
        <v>52</v>
      </c>
      <c r="L332" t="s">
        <v>2437</v>
      </c>
      <c r="M332" t="s">
        <v>134</v>
      </c>
      <c r="N332" t="s">
        <v>135</v>
      </c>
      <c r="Q332" t="s">
        <v>168</v>
      </c>
      <c r="T332" t="s">
        <v>2165</v>
      </c>
      <c r="U332" t="s">
        <v>137</v>
      </c>
      <c r="V332" t="s">
        <v>150</v>
      </c>
      <c r="X332" t="s">
        <v>76</v>
      </c>
      <c r="AA332" t="s">
        <v>2163</v>
      </c>
      <c r="AB332" t="s">
        <v>2</v>
      </c>
      <c r="AC332" t="s">
        <v>138</v>
      </c>
      <c r="AD332" t="s">
        <v>128</v>
      </c>
      <c r="AE332" s="97">
        <f>VLOOKUP(A:A,SUMMERY!AA:AC,2,FALSE)</f>
        <v>46233</v>
      </c>
      <c r="AF332" s="6" t="str">
        <f>VLOOKUP(A:A,SUMMERY!AA:AC,3,FALSE)</f>
        <v>Priority-1</v>
      </c>
    </row>
    <row r="333" spans="1:32" x14ac:dyDescent="0.3">
      <c r="A333" t="s">
        <v>2438</v>
      </c>
      <c r="B333" t="s">
        <v>2439</v>
      </c>
      <c r="G333" t="s">
        <v>2162</v>
      </c>
      <c r="H333" t="s">
        <v>132</v>
      </c>
      <c r="I333" t="s">
        <v>2</v>
      </c>
      <c r="J333" t="s">
        <v>133</v>
      </c>
      <c r="K333" t="s">
        <v>52</v>
      </c>
      <c r="L333" t="s">
        <v>2440</v>
      </c>
      <c r="M333" t="s">
        <v>134</v>
      </c>
      <c r="N333" t="s">
        <v>135</v>
      </c>
      <c r="Q333" t="s">
        <v>168</v>
      </c>
      <c r="T333" t="s">
        <v>2165</v>
      </c>
      <c r="U333" t="s">
        <v>137</v>
      </c>
      <c r="V333" t="s">
        <v>150</v>
      </c>
      <c r="X333" t="s">
        <v>76</v>
      </c>
      <c r="AA333" t="s">
        <v>2163</v>
      </c>
      <c r="AB333" t="s">
        <v>2</v>
      </c>
      <c r="AC333" t="s">
        <v>138</v>
      </c>
      <c r="AD333" t="s">
        <v>128</v>
      </c>
      <c r="AE333" s="97">
        <f>VLOOKUP(A:A,SUMMERY!AA:AC,2,FALSE)</f>
        <v>46233</v>
      </c>
      <c r="AF333" s="6" t="str">
        <f>VLOOKUP(A:A,SUMMERY!AA:AC,3,FALSE)</f>
        <v>Priority-1</v>
      </c>
    </row>
    <row r="334" spans="1:32" x14ac:dyDescent="0.3">
      <c r="A334" t="s">
        <v>2441</v>
      </c>
      <c r="B334" t="s">
        <v>2442</v>
      </c>
      <c r="G334" t="s">
        <v>2162</v>
      </c>
      <c r="H334" t="s">
        <v>132</v>
      </c>
      <c r="I334" t="s">
        <v>2</v>
      </c>
      <c r="J334" t="s">
        <v>133</v>
      </c>
      <c r="K334" t="s">
        <v>52</v>
      </c>
      <c r="L334" t="s">
        <v>2443</v>
      </c>
      <c r="M334" t="s">
        <v>134</v>
      </c>
      <c r="N334" t="s">
        <v>135</v>
      </c>
      <c r="Q334" t="s">
        <v>168</v>
      </c>
      <c r="T334" t="s">
        <v>2165</v>
      </c>
      <c r="U334" t="s">
        <v>137</v>
      </c>
      <c r="V334" t="s">
        <v>150</v>
      </c>
      <c r="X334" t="s">
        <v>76</v>
      </c>
      <c r="AA334" t="s">
        <v>2163</v>
      </c>
      <c r="AB334" t="s">
        <v>2</v>
      </c>
      <c r="AC334" t="s">
        <v>138</v>
      </c>
      <c r="AD334" t="s">
        <v>128</v>
      </c>
      <c r="AE334" s="97">
        <f>VLOOKUP(A:A,SUMMERY!AA:AC,2,FALSE)</f>
        <v>46233</v>
      </c>
      <c r="AF334" s="6" t="str">
        <f>VLOOKUP(A:A,SUMMERY!AA:AC,3,FALSE)</f>
        <v>Priority-1</v>
      </c>
    </row>
    <row r="335" spans="1:32" x14ac:dyDescent="0.3">
      <c r="A335" t="s">
        <v>2444</v>
      </c>
      <c r="B335" t="s">
        <v>2445</v>
      </c>
      <c r="G335" t="s">
        <v>2162</v>
      </c>
      <c r="H335" t="s">
        <v>132</v>
      </c>
      <c r="I335" t="s">
        <v>2</v>
      </c>
      <c r="J335" t="s">
        <v>133</v>
      </c>
      <c r="K335" t="s">
        <v>52</v>
      </c>
      <c r="L335" t="s">
        <v>2446</v>
      </c>
      <c r="M335" t="s">
        <v>134</v>
      </c>
      <c r="N335" t="s">
        <v>135</v>
      </c>
      <c r="Q335" t="s">
        <v>168</v>
      </c>
      <c r="T335" t="s">
        <v>2165</v>
      </c>
      <c r="U335" t="s">
        <v>137</v>
      </c>
      <c r="V335" t="s">
        <v>150</v>
      </c>
      <c r="X335" t="s">
        <v>76</v>
      </c>
      <c r="AA335" t="s">
        <v>2163</v>
      </c>
      <c r="AB335" t="s">
        <v>2</v>
      </c>
      <c r="AC335" t="s">
        <v>138</v>
      </c>
      <c r="AD335" t="s">
        <v>128</v>
      </c>
      <c r="AE335" s="97">
        <f>VLOOKUP(A:A,SUMMERY!AA:AC,2,FALSE)</f>
        <v>46233</v>
      </c>
      <c r="AF335" s="6" t="str">
        <f>VLOOKUP(A:A,SUMMERY!AA:AC,3,FALSE)</f>
        <v>Priority-1</v>
      </c>
    </row>
    <row r="336" spans="1:32" x14ac:dyDescent="0.3">
      <c r="A336" t="s">
        <v>2507</v>
      </c>
      <c r="B336" t="s">
        <v>2508</v>
      </c>
      <c r="G336" t="s">
        <v>2162</v>
      </c>
      <c r="H336" t="s">
        <v>132</v>
      </c>
      <c r="I336" t="s">
        <v>2</v>
      </c>
      <c r="J336" t="s">
        <v>133</v>
      </c>
      <c r="K336" t="s">
        <v>52</v>
      </c>
      <c r="L336" t="s">
        <v>2509</v>
      </c>
      <c r="M336" t="s">
        <v>134</v>
      </c>
      <c r="N336" t="s">
        <v>135</v>
      </c>
      <c r="Q336" t="s">
        <v>168</v>
      </c>
      <c r="T336" t="s">
        <v>2165</v>
      </c>
      <c r="U336" t="s">
        <v>137</v>
      </c>
      <c r="V336" t="s">
        <v>147</v>
      </c>
      <c r="X336" t="s">
        <v>70</v>
      </c>
      <c r="AA336" t="s">
        <v>2163</v>
      </c>
      <c r="AB336" t="s">
        <v>2</v>
      </c>
      <c r="AC336" t="s">
        <v>138</v>
      </c>
      <c r="AD336" t="s">
        <v>128</v>
      </c>
      <c r="AE336" s="97">
        <f>VLOOKUP(A:A,SUMMERY!AA:AC,2,FALSE)</f>
        <v>46220</v>
      </c>
      <c r="AF336" s="6" t="str">
        <f>VLOOKUP(A:A,SUMMERY!AA:AC,3,FALSE)</f>
        <v>Priority-1</v>
      </c>
    </row>
    <row r="337" spans="1:32" x14ac:dyDescent="0.3">
      <c r="A337" t="s">
        <v>2510</v>
      </c>
      <c r="B337" t="s">
        <v>2511</v>
      </c>
      <c r="G337" t="s">
        <v>2162</v>
      </c>
      <c r="H337" t="s">
        <v>132</v>
      </c>
      <c r="I337" t="s">
        <v>2</v>
      </c>
      <c r="J337" t="s">
        <v>133</v>
      </c>
      <c r="K337" t="s">
        <v>52</v>
      </c>
      <c r="L337" t="s">
        <v>2509</v>
      </c>
      <c r="M337" t="s">
        <v>134</v>
      </c>
      <c r="N337" t="s">
        <v>135</v>
      </c>
      <c r="Q337" t="s">
        <v>168</v>
      </c>
      <c r="T337" t="s">
        <v>2165</v>
      </c>
      <c r="U337" t="s">
        <v>137</v>
      </c>
      <c r="V337" t="s">
        <v>147</v>
      </c>
      <c r="X337" t="s">
        <v>70</v>
      </c>
      <c r="AA337" t="s">
        <v>2163</v>
      </c>
      <c r="AB337" t="s">
        <v>2</v>
      </c>
      <c r="AC337" t="s">
        <v>138</v>
      </c>
      <c r="AD337" t="s">
        <v>128</v>
      </c>
      <c r="AE337" s="97">
        <f>VLOOKUP(A:A,SUMMERY!AA:AC,2,FALSE)</f>
        <v>46220</v>
      </c>
      <c r="AF337" s="6" t="str">
        <f>VLOOKUP(A:A,SUMMERY!AA:AC,3,FALSE)</f>
        <v>Priority-1</v>
      </c>
    </row>
    <row r="338" spans="1:32" x14ac:dyDescent="0.3">
      <c r="A338" t="s">
        <v>2512</v>
      </c>
      <c r="B338" t="s">
        <v>2513</v>
      </c>
      <c r="G338" t="s">
        <v>2162</v>
      </c>
      <c r="H338" t="s">
        <v>132</v>
      </c>
      <c r="I338" t="s">
        <v>2</v>
      </c>
      <c r="J338" t="s">
        <v>133</v>
      </c>
      <c r="K338" t="s">
        <v>52</v>
      </c>
      <c r="L338" t="s">
        <v>2509</v>
      </c>
      <c r="M338" t="s">
        <v>134</v>
      </c>
      <c r="N338" t="s">
        <v>135</v>
      </c>
      <c r="Q338" t="s">
        <v>168</v>
      </c>
      <c r="T338" t="s">
        <v>2165</v>
      </c>
      <c r="U338" t="s">
        <v>137</v>
      </c>
      <c r="V338" t="s">
        <v>147</v>
      </c>
      <c r="X338" t="s">
        <v>70</v>
      </c>
      <c r="AA338" t="s">
        <v>2163</v>
      </c>
      <c r="AB338" t="s">
        <v>2</v>
      </c>
      <c r="AC338" t="s">
        <v>138</v>
      </c>
      <c r="AD338" t="s">
        <v>128</v>
      </c>
      <c r="AE338" s="97">
        <f>VLOOKUP(A:A,SUMMERY!AA:AC,2,FALSE)</f>
        <v>46220</v>
      </c>
      <c r="AF338" s="6" t="str">
        <f>VLOOKUP(A:A,SUMMERY!AA:AC,3,FALSE)</f>
        <v>Priority-1</v>
      </c>
    </row>
    <row r="339" spans="1:32" x14ac:dyDescent="0.3">
      <c r="A339" t="s">
        <v>2514</v>
      </c>
      <c r="B339" t="s">
        <v>2515</v>
      </c>
      <c r="G339" t="s">
        <v>2162</v>
      </c>
      <c r="H339" t="s">
        <v>132</v>
      </c>
      <c r="I339" t="s">
        <v>2</v>
      </c>
      <c r="J339" t="s">
        <v>133</v>
      </c>
      <c r="K339" t="s">
        <v>52</v>
      </c>
      <c r="L339" t="s">
        <v>2516</v>
      </c>
      <c r="M339" t="s">
        <v>134</v>
      </c>
      <c r="N339" t="s">
        <v>135</v>
      </c>
      <c r="Q339" t="s">
        <v>168</v>
      </c>
      <c r="T339" t="s">
        <v>2165</v>
      </c>
      <c r="U339" t="s">
        <v>137</v>
      </c>
      <c r="V339" t="s">
        <v>147</v>
      </c>
      <c r="X339" t="s">
        <v>70</v>
      </c>
      <c r="AA339" t="s">
        <v>2163</v>
      </c>
      <c r="AB339" t="s">
        <v>2</v>
      </c>
      <c r="AC339" t="s">
        <v>138</v>
      </c>
      <c r="AD339" t="s">
        <v>128</v>
      </c>
      <c r="AE339" s="97">
        <f>VLOOKUP(A:A,SUMMERY!AA:AC,2,FALSE)</f>
        <v>46220</v>
      </c>
      <c r="AF339" s="6" t="str">
        <f>VLOOKUP(A:A,SUMMERY!AA:AC,3,FALSE)</f>
        <v>Priority-1</v>
      </c>
    </row>
    <row r="340" spans="1:32" x14ac:dyDescent="0.3">
      <c r="A340" t="s">
        <v>2517</v>
      </c>
      <c r="B340" t="s">
        <v>2518</v>
      </c>
      <c r="G340" t="s">
        <v>2162</v>
      </c>
      <c r="H340" t="s">
        <v>132</v>
      </c>
      <c r="I340" t="s">
        <v>2</v>
      </c>
      <c r="J340" t="s">
        <v>133</v>
      </c>
      <c r="K340" t="s">
        <v>52</v>
      </c>
      <c r="L340" t="s">
        <v>2519</v>
      </c>
      <c r="M340" t="s">
        <v>134</v>
      </c>
      <c r="N340" t="s">
        <v>135</v>
      </c>
      <c r="Q340" t="s">
        <v>168</v>
      </c>
      <c r="T340" t="s">
        <v>2165</v>
      </c>
      <c r="U340" t="s">
        <v>137</v>
      </c>
      <c r="V340" t="s">
        <v>150</v>
      </c>
      <c r="X340" t="s">
        <v>76</v>
      </c>
      <c r="AA340" t="s">
        <v>2163</v>
      </c>
      <c r="AB340" t="s">
        <v>2</v>
      </c>
      <c r="AC340" t="s">
        <v>138</v>
      </c>
      <c r="AD340" t="s">
        <v>128</v>
      </c>
      <c r="AE340" s="97">
        <f>VLOOKUP(A:A,SUMMERY!AA:AC,2,FALSE)</f>
        <v>46233</v>
      </c>
      <c r="AF340" s="6" t="str">
        <f>VLOOKUP(A:A,SUMMERY!AA:AC,3,FALSE)</f>
        <v>Priority-1</v>
      </c>
    </row>
    <row r="341" spans="1:32" x14ac:dyDescent="0.3">
      <c r="A341" t="s">
        <v>2520</v>
      </c>
      <c r="B341" t="s">
        <v>2521</v>
      </c>
      <c r="G341" t="s">
        <v>2162</v>
      </c>
      <c r="H341" t="s">
        <v>132</v>
      </c>
      <c r="I341" t="s">
        <v>2</v>
      </c>
      <c r="J341" t="s">
        <v>133</v>
      </c>
      <c r="K341" t="s">
        <v>52</v>
      </c>
      <c r="L341" t="s">
        <v>2519</v>
      </c>
      <c r="M341" t="s">
        <v>134</v>
      </c>
      <c r="N341" t="s">
        <v>135</v>
      </c>
      <c r="Q341" t="s">
        <v>168</v>
      </c>
      <c r="T341" t="s">
        <v>2165</v>
      </c>
      <c r="U341" t="s">
        <v>137</v>
      </c>
      <c r="V341" t="s">
        <v>150</v>
      </c>
      <c r="X341" t="s">
        <v>76</v>
      </c>
      <c r="AA341" t="s">
        <v>2163</v>
      </c>
      <c r="AB341" t="s">
        <v>2</v>
      </c>
      <c r="AC341" t="s">
        <v>138</v>
      </c>
      <c r="AD341" t="s">
        <v>128</v>
      </c>
      <c r="AE341" s="97">
        <f>VLOOKUP(A:A,SUMMERY!AA:AC,2,FALSE)</f>
        <v>46233</v>
      </c>
      <c r="AF341" s="6" t="str">
        <f>VLOOKUP(A:A,SUMMERY!AA:AC,3,FALSE)</f>
        <v>Priority-1</v>
      </c>
    </row>
    <row r="342" spans="1:32" x14ac:dyDescent="0.3">
      <c r="A342" t="s">
        <v>2522</v>
      </c>
      <c r="B342" t="s">
        <v>2523</v>
      </c>
      <c r="G342" t="s">
        <v>2162</v>
      </c>
      <c r="H342" t="s">
        <v>132</v>
      </c>
      <c r="I342" t="s">
        <v>2</v>
      </c>
      <c r="J342" t="s">
        <v>133</v>
      </c>
      <c r="K342" t="s">
        <v>52</v>
      </c>
      <c r="L342" t="s">
        <v>2519</v>
      </c>
      <c r="M342" t="s">
        <v>134</v>
      </c>
      <c r="N342" t="s">
        <v>135</v>
      </c>
      <c r="Q342" t="s">
        <v>168</v>
      </c>
      <c r="T342" t="s">
        <v>2165</v>
      </c>
      <c r="U342" t="s">
        <v>137</v>
      </c>
      <c r="V342" t="s">
        <v>150</v>
      </c>
      <c r="X342" t="s">
        <v>76</v>
      </c>
      <c r="AA342" t="s">
        <v>2163</v>
      </c>
      <c r="AB342" t="s">
        <v>2</v>
      </c>
      <c r="AC342" t="s">
        <v>138</v>
      </c>
      <c r="AD342" t="s">
        <v>128</v>
      </c>
      <c r="AE342" s="97">
        <f>VLOOKUP(A:A,SUMMERY!AA:AC,2,FALSE)</f>
        <v>46233</v>
      </c>
      <c r="AF342" s="6" t="str">
        <f>VLOOKUP(A:A,SUMMERY!AA:AC,3,FALSE)</f>
        <v>Priority-1</v>
      </c>
    </row>
    <row r="343" spans="1:32" x14ac:dyDescent="0.3">
      <c r="A343" t="s">
        <v>2524</v>
      </c>
      <c r="B343" t="s">
        <v>2525</v>
      </c>
      <c r="G343" t="s">
        <v>2162</v>
      </c>
      <c r="H343" t="s">
        <v>132</v>
      </c>
      <c r="I343" t="s">
        <v>2</v>
      </c>
      <c r="J343" t="s">
        <v>133</v>
      </c>
      <c r="K343" t="s">
        <v>52</v>
      </c>
      <c r="L343" t="s">
        <v>2526</v>
      </c>
      <c r="M343" t="s">
        <v>134</v>
      </c>
      <c r="N343" t="s">
        <v>135</v>
      </c>
      <c r="Q343" t="s">
        <v>168</v>
      </c>
      <c r="T343" t="s">
        <v>2165</v>
      </c>
      <c r="U343" t="s">
        <v>137</v>
      </c>
      <c r="V343" t="s">
        <v>150</v>
      </c>
      <c r="X343" t="s">
        <v>76</v>
      </c>
      <c r="AA343" t="s">
        <v>2163</v>
      </c>
      <c r="AB343" t="s">
        <v>2</v>
      </c>
      <c r="AC343" t="s">
        <v>138</v>
      </c>
      <c r="AD343" t="s">
        <v>128</v>
      </c>
      <c r="AE343" s="97">
        <f>VLOOKUP(A:A,SUMMERY!AA:AC,2,FALSE)</f>
        <v>46233</v>
      </c>
      <c r="AF343" s="6" t="str">
        <f>VLOOKUP(A:A,SUMMERY!AA:AC,3,FALSE)</f>
        <v>Priority-1</v>
      </c>
    </row>
    <row r="344" spans="1:32" x14ac:dyDescent="0.3">
      <c r="A344" t="s">
        <v>2577</v>
      </c>
      <c r="B344" t="s">
        <v>2578</v>
      </c>
      <c r="G344" t="s">
        <v>2162</v>
      </c>
      <c r="H344" t="s">
        <v>132</v>
      </c>
      <c r="I344" t="s">
        <v>2</v>
      </c>
      <c r="J344" t="s">
        <v>133</v>
      </c>
      <c r="K344" t="s">
        <v>52</v>
      </c>
      <c r="L344" t="s">
        <v>1509</v>
      </c>
      <c r="M344" t="s">
        <v>134</v>
      </c>
      <c r="N344" t="s">
        <v>135</v>
      </c>
      <c r="Q344" t="s">
        <v>168</v>
      </c>
      <c r="T344" t="s">
        <v>2165</v>
      </c>
      <c r="U344" t="s">
        <v>137</v>
      </c>
      <c r="V344" t="s">
        <v>1279</v>
      </c>
      <c r="X344" t="s">
        <v>71</v>
      </c>
      <c r="AA344" t="s">
        <v>2163</v>
      </c>
      <c r="AB344" t="s">
        <v>2</v>
      </c>
      <c r="AC344" t="s">
        <v>138</v>
      </c>
      <c r="AD344" t="s">
        <v>128</v>
      </c>
      <c r="AE344" s="97">
        <f>VLOOKUP(A:A,SUMMERY!AA:AC,2,FALSE)</f>
        <v>46233</v>
      </c>
      <c r="AF344" s="6" t="str">
        <f>VLOOKUP(A:A,SUMMERY!AA:AC,3,FALSE)</f>
        <v>Priority-1</v>
      </c>
    </row>
    <row r="345" spans="1:32" x14ac:dyDescent="0.3">
      <c r="A345" t="s">
        <v>2579</v>
      </c>
      <c r="B345" t="s">
        <v>2580</v>
      </c>
      <c r="G345" t="s">
        <v>2162</v>
      </c>
      <c r="H345" t="s">
        <v>132</v>
      </c>
      <c r="I345" t="s">
        <v>2</v>
      </c>
      <c r="J345" t="s">
        <v>133</v>
      </c>
      <c r="K345" t="s">
        <v>52</v>
      </c>
      <c r="L345" t="s">
        <v>1512</v>
      </c>
      <c r="M345" t="s">
        <v>134</v>
      </c>
      <c r="N345" t="s">
        <v>135</v>
      </c>
      <c r="Q345" t="s">
        <v>168</v>
      </c>
      <c r="T345" t="s">
        <v>2165</v>
      </c>
      <c r="U345" t="s">
        <v>137</v>
      </c>
      <c r="V345" t="s">
        <v>1283</v>
      </c>
      <c r="X345" t="s">
        <v>78</v>
      </c>
      <c r="AA345" t="s">
        <v>2163</v>
      </c>
      <c r="AB345" t="s">
        <v>2</v>
      </c>
      <c r="AC345" t="s">
        <v>138</v>
      </c>
      <c r="AD345" t="s">
        <v>128</v>
      </c>
      <c r="AE345" s="97">
        <f>VLOOKUP(A:A,SUMMERY!AA:AC,2,FALSE)</f>
        <v>46234</v>
      </c>
      <c r="AF345" s="6" t="str">
        <f>VLOOKUP(A:A,SUMMERY!AA:AC,3,FALSE)</f>
        <v>Priority-1</v>
      </c>
    </row>
    <row r="346" spans="1:32" x14ac:dyDescent="0.3">
      <c r="A346" t="s">
        <v>2591</v>
      </c>
      <c r="B346" t="s">
        <v>2592</v>
      </c>
      <c r="G346" t="s">
        <v>2162</v>
      </c>
      <c r="H346" t="s">
        <v>132</v>
      </c>
      <c r="I346" t="s">
        <v>2</v>
      </c>
      <c r="J346" t="s">
        <v>133</v>
      </c>
      <c r="K346" t="s">
        <v>52</v>
      </c>
      <c r="L346" t="s">
        <v>2593</v>
      </c>
      <c r="M346" t="s">
        <v>134</v>
      </c>
      <c r="N346" t="s">
        <v>135</v>
      </c>
      <c r="Q346" t="s">
        <v>168</v>
      </c>
      <c r="T346" t="s">
        <v>2165</v>
      </c>
      <c r="U346" t="s">
        <v>137</v>
      </c>
      <c r="V346" t="s">
        <v>147</v>
      </c>
      <c r="X346" t="s">
        <v>70</v>
      </c>
      <c r="AA346" t="s">
        <v>2163</v>
      </c>
      <c r="AB346" t="s">
        <v>2</v>
      </c>
      <c r="AC346" t="s">
        <v>138</v>
      </c>
      <c r="AD346" t="s">
        <v>128</v>
      </c>
      <c r="AE346" s="97">
        <f>VLOOKUP(A:A,SUMMERY!AA:AC,2,FALSE)</f>
        <v>46220</v>
      </c>
      <c r="AF346" s="6" t="str">
        <f>VLOOKUP(A:A,SUMMERY!AA:AC,3,FALSE)</f>
        <v>Priority-1</v>
      </c>
    </row>
    <row r="347" spans="1:32" x14ac:dyDescent="0.3">
      <c r="A347" t="s">
        <v>2594</v>
      </c>
      <c r="B347" t="s">
        <v>2595</v>
      </c>
      <c r="G347" t="s">
        <v>2162</v>
      </c>
      <c r="H347" t="s">
        <v>132</v>
      </c>
      <c r="I347" t="s">
        <v>2</v>
      </c>
      <c r="J347" t="s">
        <v>133</v>
      </c>
      <c r="K347" t="s">
        <v>52</v>
      </c>
      <c r="L347" t="s">
        <v>2593</v>
      </c>
      <c r="M347" t="s">
        <v>134</v>
      </c>
      <c r="N347" t="s">
        <v>135</v>
      </c>
      <c r="Q347" t="s">
        <v>168</v>
      </c>
      <c r="T347" t="s">
        <v>2165</v>
      </c>
      <c r="U347" t="s">
        <v>137</v>
      </c>
      <c r="V347" t="s">
        <v>147</v>
      </c>
      <c r="X347" t="s">
        <v>70</v>
      </c>
      <c r="AA347" t="s">
        <v>2163</v>
      </c>
      <c r="AB347" t="s">
        <v>2</v>
      </c>
      <c r="AC347" t="s">
        <v>138</v>
      </c>
      <c r="AD347" t="s">
        <v>128</v>
      </c>
      <c r="AE347" s="97">
        <f>VLOOKUP(A:A,SUMMERY!AA:AC,2,FALSE)</f>
        <v>46220</v>
      </c>
      <c r="AF347" s="6" t="str">
        <f>VLOOKUP(A:A,SUMMERY!AA:AC,3,FALSE)</f>
        <v>Priority-1</v>
      </c>
    </row>
    <row r="348" spans="1:32" x14ac:dyDescent="0.3">
      <c r="A348" t="s">
        <v>2596</v>
      </c>
      <c r="B348" t="s">
        <v>2597</v>
      </c>
      <c r="G348" t="s">
        <v>2162</v>
      </c>
      <c r="H348" t="s">
        <v>132</v>
      </c>
      <c r="I348" t="s">
        <v>2</v>
      </c>
      <c r="J348" t="s">
        <v>133</v>
      </c>
      <c r="K348" t="s">
        <v>52</v>
      </c>
      <c r="L348" t="s">
        <v>2598</v>
      </c>
      <c r="M348" t="s">
        <v>134</v>
      </c>
      <c r="N348" t="s">
        <v>135</v>
      </c>
      <c r="Q348" t="s">
        <v>168</v>
      </c>
      <c r="T348" t="s">
        <v>2165</v>
      </c>
      <c r="U348" t="s">
        <v>137</v>
      </c>
      <c r="V348" t="s">
        <v>150</v>
      </c>
      <c r="X348" t="s">
        <v>76</v>
      </c>
      <c r="AA348" t="s">
        <v>2163</v>
      </c>
      <c r="AB348" t="s">
        <v>2</v>
      </c>
      <c r="AC348" t="s">
        <v>138</v>
      </c>
      <c r="AD348" t="s">
        <v>128</v>
      </c>
      <c r="AE348" s="97">
        <f>VLOOKUP(A:A,SUMMERY!AA:AC,2,FALSE)</f>
        <v>46233</v>
      </c>
      <c r="AF348" s="6" t="str">
        <f>VLOOKUP(A:A,SUMMERY!AA:AC,3,FALSE)</f>
        <v>Priority-1</v>
      </c>
    </row>
    <row r="349" spans="1:32" x14ac:dyDescent="0.3">
      <c r="A349" t="s">
        <v>2599</v>
      </c>
      <c r="B349" t="s">
        <v>2600</v>
      </c>
      <c r="G349" t="s">
        <v>2162</v>
      </c>
      <c r="H349" t="s">
        <v>132</v>
      </c>
      <c r="I349" t="s">
        <v>2</v>
      </c>
      <c r="J349" t="s">
        <v>133</v>
      </c>
      <c r="K349" t="s">
        <v>52</v>
      </c>
      <c r="L349" t="s">
        <v>2598</v>
      </c>
      <c r="M349" t="s">
        <v>134</v>
      </c>
      <c r="N349" t="s">
        <v>135</v>
      </c>
      <c r="Q349" t="s">
        <v>168</v>
      </c>
      <c r="T349" t="s">
        <v>2165</v>
      </c>
      <c r="U349" t="s">
        <v>137</v>
      </c>
      <c r="V349" t="s">
        <v>150</v>
      </c>
      <c r="X349" t="s">
        <v>76</v>
      </c>
      <c r="AA349" t="s">
        <v>2163</v>
      </c>
      <c r="AB349" t="s">
        <v>2</v>
      </c>
      <c r="AC349" t="s">
        <v>138</v>
      </c>
      <c r="AD349" t="s">
        <v>128</v>
      </c>
      <c r="AE349" s="97">
        <f>VLOOKUP(A:A,SUMMERY!AA:AC,2,FALSE)</f>
        <v>46233</v>
      </c>
      <c r="AF349" s="6" t="str">
        <f>VLOOKUP(A:A,SUMMERY!AA:AC,3,FALSE)</f>
        <v>Priority-1</v>
      </c>
    </row>
    <row r="350" spans="1:32" x14ac:dyDescent="0.3">
      <c r="A350" t="s">
        <v>2626</v>
      </c>
      <c r="B350" t="s">
        <v>2627</v>
      </c>
      <c r="G350" t="s">
        <v>2162</v>
      </c>
      <c r="H350" t="s">
        <v>132</v>
      </c>
      <c r="I350" t="s">
        <v>2</v>
      </c>
      <c r="J350" t="s">
        <v>133</v>
      </c>
      <c r="K350" t="s">
        <v>52</v>
      </c>
      <c r="L350" t="s">
        <v>2628</v>
      </c>
      <c r="M350" t="s">
        <v>134</v>
      </c>
      <c r="N350" t="s">
        <v>135</v>
      </c>
      <c r="Q350" t="s">
        <v>168</v>
      </c>
      <c r="T350" t="s">
        <v>2165</v>
      </c>
      <c r="U350" t="s">
        <v>137</v>
      </c>
      <c r="V350" t="s">
        <v>150</v>
      </c>
      <c r="X350" t="s">
        <v>76</v>
      </c>
      <c r="AA350" t="s">
        <v>2163</v>
      </c>
      <c r="AB350" t="s">
        <v>2</v>
      </c>
      <c r="AC350" t="s">
        <v>138</v>
      </c>
      <c r="AD350" t="s">
        <v>128</v>
      </c>
      <c r="AE350" s="97">
        <f>VLOOKUP(A:A,SUMMERY!AA:AC,2,FALSE)</f>
        <v>46233</v>
      </c>
      <c r="AF350" s="6" t="str">
        <f>VLOOKUP(A:A,SUMMERY!AA:AC,3,FALSE)</f>
        <v>Priority-1</v>
      </c>
    </row>
    <row r="351" spans="1:32" x14ac:dyDescent="0.3">
      <c r="A351" t="s">
        <v>2644</v>
      </c>
      <c r="B351" t="s">
        <v>2645</v>
      </c>
      <c r="G351" t="s">
        <v>2162</v>
      </c>
      <c r="H351" t="s">
        <v>132</v>
      </c>
      <c r="I351" t="s">
        <v>2</v>
      </c>
      <c r="J351" t="s">
        <v>133</v>
      </c>
      <c r="K351" t="s">
        <v>52</v>
      </c>
      <c r="L351" t="s">
        <v>2646</v>
      </c>
      <c r="M351" t="s">
        <v>134</v>
      </c>
      <c r="N351" t="s">
        <v>135</v>
      </c>
      <c r="Q351" t="s">
        <v>168</v>
      </c>
      <c r="T351" t="s">
        <v>2165</v>
      </c>
      <c r="U351" t="s">
        <v>137</v>
      </c>
      <c r="V351" t="s">
        <v>890</v>
      </c>
      <c r="X351" t="s">
        <v>59</v>
      </c>
      <c r="AA351" t="s">
        <v>2163</v>
      </c>
      <c r="AB351" t="s">
        <v>2</v>
      </c>
      <c r="AC351" t="s">
        <v>138</v>
      </c>
      <c r="AD351" t="s">
        <v>128</v>
      </c>
      <c r="AE351" s="97">
        <f>VLOOKUP(A:A,SUMMERY!AA:AC,2,FALSE)</f>
        <v>46220</v>
      </c>
      <c r="AF351" s="6" t="str">
        <f>VLOOKUP(A:A,SUMMERY!AA:AC,3,FALSE)</f>
        <v>Priority-1</v>
      </c>
    </row>
    <row r="352" spans="1:32" x14ac:dyDescent="0.3">
      <c r="A352" t="s">
        <v>2647</v>
      </c>
      <c r="B352" t="s">
        <v>2648</v>
      </c>
      <c r="G352" t="s">
        <v>2162</v>
      </c>
      <c r="H352" t="s">
        <v>132</v>
      </c>
      <c r="I352" t="s">
        <v>2</v>
      </c>
      <c r="J352" t="s">
        <v>133</v>
      </c>
      <c r="K352" t="s">
        <v>52</v>
      </c>
      <c r="L352" t="s">
        <v>2646</v>
      </c>
      <c r="M352" t="s">
        <v>134</v>
      </c>
      <c r="N352" t="s">
        <v>135</v>
      </c>
      <c r="Q352" t="s">
        <v>168</v>
      </c>
      <c r="T352" t="s">
        <v>2165</v>
      </c>
      <c r="U352" t="s">
        <v>137</v>
      </c>
      <c r="V352" t="s">
        <v>890</v>
      </c>
      <c r="X352" t="s">
        <v>59</v>
      </c>
      <c r="AA352" t="s">
        <v>2163</v>
      </c>
      <c r="AB352" t="s">
        <v>2</v>
      </c>
      <c r="AC352" t="s">
        <v>138</v>
      </c>
      <c r="AD352" t="s">
        <v>128</v>
      </c>
      <c r="AE352" s="97">
        <f>VLOOKUP(A:A,SUMMERY!AA:AC,2,FALSE)</f>
        <v>46220</v>
      </c>
      <c r="AF352" s="6" t="str">
        <f>VLOOKUP(A:A,SUMMERY!AA:AC,3,FALSE)</f>
        <v>Priority-1</v>
      </c>
    </row>
    <row r="353" spans="1:32" x14ac:dyDescent="0.3">
      <c r="A353" t="s">
        <v>2649</v>
      </c>
      <c r="B353" t="s">
        <v>2650</v>
      </c>
      <c r="G353" t="s">
        <v>2162</v>
      </c>
      <c r="H353" t="s">
        <v>132</v>
      </c>
      <c r="I353" t="s">
        <v>2</v>
      </c>
      <c r="J353" t="s">
        <v>133</v>
      </c>
      <c r="K353" t="s">
        <v>52</v>
      </c>
      <c r="L353" t="s">
        <v>2646</v>
      </c>
      <c r="M353" t="s">
        <v>134</v>
      </c>
      <c r="N353" t="s">
        <v>135</v>
      </c>
      <c r="Q353" t="s">
        <v>168</v>
      </c>
      <c r="T353" t="s">
        <v>2165</v>
      </c>
      <c r="U353" t="s">
        <v>137</v>
      </c>
      <c r="V353" t="s">
        <v>890</v>
      </c>
      <c r="X353" t="s">
        <v>59</v>
      </c>
      <c r="AA353" t="s">
        <v>2163</v>
      </c>
      <c r="AB353" t="s">
        <v>2</v>
      </c>
      <c r="AC353" t="s">
        <v>138</v>
      </c>
      <c r="AD353" t="s">
        <v>128</v>
      </c>
      <c r="AE353" s="97">
        <f>VLOOKUP(A:A,SUMMERY!AA:AC,2,FALSE)</f>
        <v>46220</v>
      </c>
      <c r="AF353" s="6" t="str">
        <f>VLOOKUP(A:A,SUMMERY!AA:AC,3,FALSE)</f>
        <v>Priority-1</v>
      </c>
    </row>
    <row r="354" spans="1:32" x14ac:dyDescent="0.3">
      <c r="A354" t="s">
        <v>2651</v>
      </c>
      <c r="B354" t="s">
        <v>2652</v>
      </c>
      <c r="G354" t="s">
        <v>2162</v>
      </c>
      <c r="H354" t="s">
        <v>132</v>
      </c>
      <c r="I354" t="s">
        <v>2</v>
      </c>
      <c r="J354" t="s">
        <v>133</v>
      </c>
      <c r="K354" t="s">
        <v>52</v>
      </c>
      <c r="L354" t="s">
        <v>2646</v>
      </c>
      <c r="M354" t="s">
        <v>134</v>
      </c>
      <c r="N354" t="s">
        <v>135</v>
      </c>
      <c r="Q354" t="s">
        <v>168</v>
      </c>
      <c r="T354" t="s">
        <v>2165</v>
      </c>
      <c r="U354" t="s">
        <v>137</v>
      </c>
      <c r="V354" t="s">
        <v>890</v>
      </c>
      <c r="X354" t="s">
        <v>59</v>
      </c>
      <c r="AA354" t="s">
        <v>2163</v>
      </c>
      <c r="AB354" t="s">
        <v>2</v>
      </c>
      <c r="AC354" t="s">
        <v>138</v>
      </c>
      <c r="AD354" t="s">
        <v>128</v>
      </c>
      <c r="AE354" s="97">
        <f>VLOOKUP(A:A,SUMMERY!AA:AC,2,FALSE)</f>
        <v>46220</v>
      </c>
      <c r="AF354" s="6" t="str">
        <f>VLOOKUP(A:A,SUMMERY!AA:AC,3,FALSE)</f>
        <v>Priority-1</v>
      </c>
    </row>
    <row r="355" spans="1:32" x14ac:dyDescent="0.3">
      <c r="A355" t="s">
        <v>2653</v>
      </c>
      <c r="B355" t="s">
        <v>2654</v>
      </c>
      <c r="G355" t="s">
        <v>2162</v>
      </c>
      <c r="H355" t="s">
        <v>132</v>
      </c>
      <c r="I355" t="s">
        <v>2</v>
      </c>
      <c r="J355" t="s">
        <v>133</v>
      </c>
      <c r="K355" t="s">
        <v>52</v>
      </c>
      <c r="L355" t="s">
        <v>2646</v>
      </c>
      <c r="M355" t="s">
        <v>134</v>
      </c>
      <c r="N355" t="s">
        <v>135</v>
      </c>
      <c r="Q355" t="s">
        <v>168</v>
      </c>
      <c r="T355" t="s">
        <v>2165</v>
      </c>
      <c r="U355" t="s">
        <v>137</v>
      </c>
      <c r="V355" t="s">
        <v>890</v>
      </c>
      <c r="X355" t="s">
        <v>59</v>
      </c>
      <c r="AA355" t="s">
        <v>2163</v>
      </c>
      <c r="AB355" t="s">
        <v>2</v>
      </c>
      <c r="AC355" t="s">
        <v>138</v>
      </c>
      <c r="AD355" t="s">
        <v>128</v>
      </c>
      <c r="AE355" s="97">
        <f>VLOOKUP(A:A,SUMMERY!AA:AC,2,FALSE)</f>
        <v>46220</v>
      </c>
      <c r="AF355" s="6" t="str">
        <f>VLOOKUP(A:A,SUMMERY!AA:AC,3,FALSE)</f>
        <v>Priority-1</v>
      </c>
    </row>
    <row r="356" spans="1:32" x14ac:dyDescent="0.3">
      <c r="A356" t="s">
        <v>2655</v>
      </c>
      <c r="B356" t="s">
        <v>2656</v>
      </c>
      <c r="G356" t="s">
        <v>2162</v>
      </c>
      <c r="H356" t="s">
        <v>132</v>
      </c>
      <c r="I356" t="s">
        <v>2</v>
      </c>
      <c r="J356" t="s">
        <v>133</v>
      </c>
      <c r="K356" t="s">
        <v>52</v>
      </c>
      <c r="L356" t="s">
        <v>1638</v>
      </c>
      <c r="M356" t="s">
        <v>134</v>
      </c>
      <c r="N356" t="s">
        <v>135</v>
      </c>
      <c r="Q356" t="s">
        <v>168</v>
      </c>
      <c r="T356" t="s">
        <v>2165</v>
      </c>
      <c r="U356" t="s">
        <v>137</v>
      </c>
      <c r="V356" t="s">
        <v>890</v>
      </c>
      <c r="X356" t="s">
        <v>59</v>
      </c>
      <c r="AA356" t="s">
        <v>2163</v>
      </c>
      <c r="AB356" t="s">
        <v>2</v>
      </c>
      <c r="AC356" t="s">
        <v>138</v>
      </c>
      <c r="AD356" t="s">
        <v>128</v>
      </c>
      <c r="AE356" s="97">
        <f>VLOOKUP(A:A,SUMMERY!AA:AC,2,FALSE)</f>
        <v>46220</v>
      </c>
      <c r="AF356" s="6" t="str">
        <f>VLOOKUP(A:A,SUMMERY!AA:AC,3,FALSE)</f>
        <v>Priority-1</v>
      </c>
    </row>
    <row r="357" spans="1:32" x14ac:dyDescent="0.3">
      <c r="A357" t="s">
        <v>2657</v>
      </c>
      <c r="B357" t="s">
        <v>2658</v>
      </c>
      <c r="G357" t="s">
        <v>2162</v>
      </c>
      <c r="H357" t="s">
        <v>132</v>
      </c>
      <c r="I357" t="s">
        <v>2</v>
      </c>
      <c r="J357" t="s">
        <v>133</v>
      </c>
      <c r="K357" t="s">
        <v>52</v>
      </c>
      <c r="L357" t="s">
        <v>1638</v>
      </c>
      <c r="M357" t="s">
        <v>134</v>
      </c>
      <c r="N357" t="s">
        <v>135</v>
      </c>
      <c r="Q357" t="s">
        <v>168</v>
      </c>
      <c r="T357" t="s">
        <v>2165</v>
      </c>
      <c r="U357" t="s">
        <v>137</v>
      </c>
      <c r="V357" t="s">
        <v>890</v>
      </c>
      <c r="X357" t="s">
        <v>59</v>
      </c>
      <c r="AA357" t="s">
        <v>2163</v>
      </c>
      <c r="AB357" t="s">
        <v>2</v>
      </c>
      <c r="AC357" t="s">
        <v>138</v>
      </c>
      <c r="AD357" t="s">
        <v>128</v>
      </c>
      <c r="AE357" s="97">
        <f>VLOOKUP(A:A,SUMMERY!AA:AC,2,FALSE)</f>
        <v>46220</v>
      </c>
      <c r="AF357" s="6" t="str">
        <f>VLOOKUP(A:A,SUMMERY!AA:AC,3,FALSE)</f>
        <v>Priority-1</v>
      </c>
    </row>
    <row r="358" spans="1:32" x14ac:dyDescent="0.3">
      <c r="A358" t="s">
        <v>2659</v>
      </c>
      <c r="B358" t="s">
        <v>2660</v>
      </c>
      <c r="G358" t="s">
        <v>2162</v>
      </c>
      <c r="H358" t="s">
        <v>132</v>
      </c>
      <c r="I358" t="s">
        <v>2</v>
      </c>
      <c r="J358" t="s">
        <v>133</v>
      </c>
      <c r="K358" t="s">
        <v>52</v>
      </c>
      <c r="L358" t="s">
        <v>1638</v>
      </c>
      <c r="M358" t="s">
        <v>134</v>
      </c>
      <c r="N358" t="s">
        <v>135</v>
      </c>
      <c r="Q358" t="s">
        <v>168</v>
      </c>
      <c r="T358" t="s">
        <v>2165</v>
      </c>
      <c r="U358" t="s">
        <v>137</v>
      </c>
      <c r="V358" t="s">
        <v>890</v>
      </c>
      <c r="X358" t="s">
        <v>59</v>
      </c>
      <c r="AA358" t="s">
        <v>2163</v>
      </c>
      <c r="AB358" t="s">
        <v>2</v>
      </c>
      <c r="AC358" t="s">
        <v>138</v>
      </c>
      <c r="AD358" t="s">
        <v>128</v>
      </c>
      <c r="AE358" s="97">
        <f>VLOOKUP(A:A,SUMMERY!AA:AC,2,FALSE)</f>
        <v>46220</v>
      </c>
      <c r="AF358" s="6" t="str">
        <f>VLOOKUP(A:A,SUMMERY!AA:AC,3,FALSE)</f>
        <v>Priority-1</v>
      </c>
    </row>
    <row r="359" spans="1:32" x14ac:dyDescent="0.3">
      <c r="A359" t="s">
        <v>2661</v>
      </c>
      <c r="B359" t="s">
        <v>2662</v>
      </c>
      <c r="G359" t="s">
        <v>2162</v>
      </c>
      <c r="H359" t="s">
        <v>132</v>
      </c>
      <c r="I359" t="s">
        <v>2</v>
      </c>
      <c r="J359" t="s">
        <v>133</v>
      </c>
      <c r="K359" t="s">
        <v>52</v>
      </c>
      <c r="L359" t="s">
        <v>1638</v>
      </c>
      <c r="M359" t="s">
        <v>134</v>
      </c>
      <c r="N359" t="s">
        <v>135</v>
      </c>
      <c r="Q359" t="s">
        <v>168</v>
      </c>
      <c r="T359" t="s">
        <v>2165</v>
      </c>
      <c r="U359" t="s">
        <v>137</v>
      </c>
      <c r="V359" t="s">
        <v>890</v>
      </c>
      <c r="X359" t="s">
        <v>59</v>
      </c>
      <c r="AA359" t="s">
        <v>2163</v>
      </c>
      <c r="AB359" t="s">
        <v>2</v>
      </c>
      <c r="AC359" t="s">
        <v>138</v>
      </c>
      <c r="AD359" t="s">
        <v>128</v>
      </c>
      <c r="AE359" s="97">
        <f>VLOOKUP(A:A,SUMMERY!AA:AC,2,FALSE)</f>
        <v>46220</v>
      </c>
      <c r="AF359" s="6" t="str">
        <f>VLOOKUP(A:A,SUMMERY!AA:AC,3,FALSE)</f>
        <v>Priority-1</v>
      </c>
    </row>
    <row r="360" spans="1:32" x14ac:dyDescent="0.3">
      <c r="A360" t="s">
        <v>2663</v>
      </c>
      <c r="B360" t="s">
        <v>2664</v>
      </c>
      <c r="G360" t="s">
        <v>2162</v>
      </c>
      <c r="H360" t="s">
        <v>132</v>
      </c>
      <c r="I360" t="s">
        <v>2</v>
      </c>
      <c r="J360" t="s">
        <v>133</v>
      </c>
      <c r="K360" t="s">
        <v>52</v>
      </c>
      <c r="L360" t="s">
        <v>1641</v>
      </c>
      <c r="M360" t="s">
        <v>134</v>
      </c>
      <c r="N360" t="s">
        <v>135</v>
      </c>
      <c r="Q360" t="s">
        <v>168</v>
      </c>
      <c r="T360" t="s">
        <v>2165</v>
      </c>
      <c r="U360" t="s">
        <v>137</v>
      </c>
      <c r="V360" t="s">
        <v>890</v>
      </c>
      <c r="X360" t="s">
        <v>59</v>
      </c>
      <c r="AA360" t="s">
        <v>2163</v>
      </c>
      <c r="AB360" t="s">
        <v>2</v>
      </c>
      <c r="AC360" t="s">
        <v>138</v>
      </c>
      <c r="AD360" t="s">
        <v>128</v>
      </c>
      <c r="AE360" s="97">
        <f>VLOOKUP(A:A,SUMMERY!AA:AC,2,FALSE)</f>
        <v>46220</v>
      </c>
      <c r="AF360" s="6" t="str">
        <f>VLOOKUP(A:A,SUMMERY!AA:AC,3,FALSE)</f>
        <v>Priority-1</v>
      </c>
    </row>
    <row r="361" spans="1:32" x14ac:dyDescent="0.3">
      <c r="A361" t="s">
        <v>2665</v>
      </c>
      <c r="B361" t="s">
        <v>2666</v>
      </c>
      <c r="G361" t="s">
        <v>2162</v>
      </c>
      <c r="H361" t="s">
        <v>132</v>
      </c>
      <c r="I361" t="s">
        <v>2</v>
      </c>
      <c r="J361" t="s">
        <v>133</v>
      </c>
      <c r="K361" t="s">
        <v>52</v>
      </c>
      <c r="L361" t="s">
        <v>1641</v>
      </c>
      <c r="M361" t="s">
        <v>134</v>
      </c>
      <c r="N361" t="s">
        <v>135</v>
      </c>
      <c r="Q361" t="s">
        <v>168</v>
      </c>
      <c r="T361" t="s">
        <v>2165</v>
      </c>
      <c r="U361" t="s">
        <v>137</v>
      </c>
      <c r="V361" t="s">
        <v>890</v>
      </c>
      <c r="X361" t="s">
        <v>59</v>
      </c>
      <c r="AA361" t="s">
        <v>2163</v>
      </c>
      <c r="AB361" t="s">
        <v>2</v>
      </c>
      <c r="AC361" t="s">
        <v>138</v>
      </c>
      <c r="AD361" t="s">
        <v>128</v>
      </c>
      <c r="AE361" s="97">
        <f>VLOOKUP(A:A,SUMMERY!AA:AC,2,FALSE)</f>
        <v>46220</v>
      </c>
      <c r="AF361" s="6" t="str">
        <f>VLOOKUP(A:A,SUMMERY!AA:AC,3,FALSE)</f>
        <v>Priority-1</v>
      </c>
    </row>
    <row r="362" spans="1:32" x14ac:dyDescent="0.3">
      <c r="A362" t="s">
        <v>2667</v>
      </c>
      <c r="B362" t="s">
        <v>2668</v>
      </c>
      <c r="G362" t="s">
        <v>2162</v>
      </c>
      <c r="H362" t="s">
        <v>132</v>
      </c>
      <c r="I362" t="s">
        <v>2</v>
      </c>
      <c r="J362" t="s">
        <v>133</v>
      </c>
      <c r="K362" t="s">
        <v>52</v>
      </c>
      <c r="L362" t="s">
        <v>1638</v>
      </c>
      <c r="M362" t="s">
        <v>134</v>
      </c>
      <c r="N362" t="s">
        <v>135</v>
      </c>
      <c r="Q362" t="s">
        <v>168</v>
      </c>
      <c r="T362" t="s">
        <v>2165</v>
      </c>
      <c r="U362" t="s">
        <v>137</v>
      </c>
      <c r="V362" t="s">
        <v>890</v>
      </c>
      <c r="X362" t="s">
        <v>59</v>
      </c>
      <c r="AA362" t="s">
        <v>2163</v>
      </c>
      <c r="AB362" t="s">
        <v>2</v>
      </c>
      <c r="AC362" t="s">
        <v>138</v>
      </c>
      <c r="AD362" t="s">
        <v>128</v>
      </c>
      <c r="AE362" s="97">
        <f>VLOOKUP(A:A,SUMMERY!AA:AC,2,FALSE)</f>
        <v>46220</v>
      </c>
      <c r="AF362" s="6" t="str">
        <f>VLOOKUP(A:A,SUMMERY!AA:AC,3,FALSE)</f>
        <v>Priority-1</v>
      </c>
    </row>
    <row r="363" spans="1:32" x14ac:dyDescent="0.3">
      <c r="A363" t="s">
        <v>2669</v>
      </c>
      <c r="B363" t="s">
        <v>2670</v>
      </c>
      <c r="G363" t="s">
        <v>2162</v>
      </c>
      <c r="H363" t="s">
        <v>132</v>
      </c>
      <c r="I363" t="s">
        <v>2</v>
      </c>
      <c r="J363" t="s">
        <v>133</v>
      </c>
      <c r="K363" t="s">
        <v>52</v>
      </c>
      <c r="L363" t="s">
        <v>1638</v>
      </c>
      <c r="M363" t="s">
        <v>134</v>
      </c>
      <c r="N363" t="s">
        <v>135</v>
      </c>
      <c r="Q363" t="s">
        <v>168</v>
      </c>
      <c r="T363" t="s">
        <v>2165</v>
      </c>
      <c r="U363" t="s">
        <v>137</v>
      </c>
      <c r="V363" t="s">
        <v>890</v>
      </c>
      <c r="X363" t="s">
        <v>59</v>
      </c>
      <c r="AA363" t="s">
        <v>2163</v>
      </c>
      <c r="AB363" t="s">
        <v>2</v>
      </c>
      <c r="AC363" t="s">
        <v>138</v>
      </c>
      <c r="AD363" t="s">
        <v>128</v>
      </c>
      <c r="AE363" s="97">
        <f>VLOOKUP(A:A,SUMMERY!AA:AC,2,FALSE)</f>
        <v>46220</v>
      </c>
      <c r="AF363" s="6" t="str">
        <f>VLOOKUP(A:A,SUMMERY!AA:AC,3,FALSE)</f>
        <v>Priority-1</v>
      </c>
    </row>
    <row r="364" spans="1:32" x14ac:dyDescent="0.3">
      <c r="A364" t="s">
        <v>2671</v>
      </c>
      <c r="B364" t="s">
        <v>2672</v>
      </c>
      <c r="G364" t="s">
        <v>2162</v>
      </c>
      <c r="H364" t="s">
        <v>132</v>
      </c>
      <c r="I364" t="s">
        <v>2</v>
      </c>
      <c r="J364" t="s">
        <v>133</v>
      </c>
      <c r="K364" t="s">
        <v>52</v>
      </c>
      <c r="L364" t="s">
        <v>1638</v>
      </c>
      <c r="M364" t="s">
        <v>134</v>
      </c>
      <c r="N364" t="s">
        <v>135</v>
      </c>
      <c r="Q364" t="s">
        <v>168</v>
      </c>
      <c r="T364" t="s">
        <v>2165</v>
      </c>
      <c r="U364" t="s">
        <v>137</v>
      </c>
      <c r="V364" t="s">
        <v>890</v>
      </c>
      <c r="X364" t="s">
        <v>59</v>
      </c>
      <c r="AA364" t="s">
        <v>2163</v>
      </c>
      <c r="AB364" t="s">
        <v>2</v>
      </c>
      <c r="AC364" t="s">
        <v>138</v>
      </c>
      <c r="AD364" t="s">
        <v>128</v>
      </c>
      <c r="AE364" s="97">
        <f>VLOOKUP(A:A,SUMMERY!AA:AC,2,FALSE)</f>
        <v>46220</v>
      </c>
      <c r="AF364" s="6" t="str">
        <f>VLOOKUP(A:A,SUMMERY!AA:AC,3,FALSE)</f>
        <v>Priority-1</v>
      </c>
    </row>
    <row r="365" spans="1:32" x14ac:dyDescent="0.3">
      <c r="A365" t="s">
        <v>2681</v>
      </c>
      <c r="B365" t="s">
        <v>2682</v>
      </c>
      <c r="G365" t="s">
        <v>2162</v>
      </c>
      <c r="H365" t="s">
        <v>132</v>
      </c>
      <c r="I365" t="s">
        <v>2</v>
      </c>
      <c r="J365" t="s">
        <v>133</v>
      </c>
      <c r="K365" t="s">
        <v>52</v>
      </c>
      <c r="L365" t="s">
        <v>2683</v>
      </c>
      <c r="M365" t="s">
        <v>134</v>
      </c>
      <c r="N365" t="s">
        <v>135</v>
      </c>
      <c r="Q365" t="s">
        <v>168</v>
      </c>
      <c r="T365" t="s">
        <v>2165</v>
      </c>
      <c r="U365" t="s">
        <v>137</v>
      </c>
      <c r="V365" t="s">
        <v>890</v>
      </c>
      <c r="X365" t="s">
        <v>59</v>
      </c>
      <c r="AA365" t="s">
        <v>2163</v>
      </c>
      <c r="AB365" t="s">
        <v>2</v>
      </c>
      <c r="AC365" t="s">
        <v>138</v>
      </c>
      <c r="AD365" t="s">
        <v>128</v>
      </c>
      <c r="AE365" s="97">
        <f>VLOOKUP(A:A,SUMMERY!AA:AC,2,FALSE)</f>
        <v>46220</v>
      </c>
      <c r="AF365" s="6" t="str">
        <f>VLOOKUP(A:A,SUMMERY!AA:AC,3,FALSE)</f>
        <v>Priority-1</v>
      </c>
    </row>
    <row r="366" spans="1:32" x14ac:dyDescent="0.3">
      <c r="A366" t="s">
        <v>2684</v>
      </c>
      <c r="B366" t="s">
        <v>2685</v>
      </c>
      <c r="G366" t="s">
        <v>2162</v>
      </c>
      <c r="H366" t="s">
        <v>132</v>
      </c>
      <c r="I366" t="s">
        <v>2</v>
      </c>
      <c r="J366" t="s">
        <v>133</v>
      </c>
      <c r="K366" t="s">
        <v>52</v>
      </c>
      <c r="L366" t="s">
        <v>2686</v>
      </c>
      <c r="M366" t="s">
        <v>134</v>
      </c>
      <c r="N366" t="s">
        <v>135</v>
      </c>
      <c r="Q366" t="s">
        <v>168</v>
      </c>
      <c r="T366" t="s">
        <v>2165</v>
      </c>
      <c r="U366" t="s">
        <v>137</v>
      </c>
      <c r="V366" t="s">
        <v>890</v>
      </c>
      <c r="X366" t="s">
        <v>59</v>
      </c>
      <c r="AA366" t="s">
        <v>2163</v>
      </c>
      <c r="AB366" t="s">
        <v>2</v>
      </c>
      <c r="AC366" t="s">
        <v>138</v>
      </c>
      <c r="AD366" t="s">
        <v>128</v>
      </c>
      <c r="AE366" s="97">
        <f>VLOOKUP(A:A,SUMMERY!AA:AC,2,FALSE)</f>
        <v>46220</v>
      </c>
      <c r="AF366" s="6" t="str">
        <f>VLOOKUP(A:A,SUMMERY!AA:AC,3,FALSE)</f>
        <v>Priority-1</v>
      </c>
    </row>
    <row r="367" spans="1:32" x14ac:dyDescent="0.3">
      <c r="A367" t="s">
        <v>2687</v>
      </c>
      <c r="B367" t="s">
        <v>2688</v>
      </c>
      <c r="G367" t="s">
        <v>2162</v>
      </c>
      <c r="H367" t="s">
        <v>132</v>
      </c>
      <c r="I367" t="s">
        <v>2</v>
      </c>
      <c r="J367" t="s">
        <v>133</v>
      </c>
      <c r="K367" t="s">
        <v>52</v>
      </c>
      <c r="L367" t="s">
        <v>2689</v>
      </c>
      <c r="M367" t="s">
        <v>134</v>
      </c>
      <c r="N367" t="s">
        <v>135</v>
      </c>
      <c r="Q367" t="s">
        <v>168</v>
      </c>
      <c r="T367" t="s">
        <v>2165</v>
      </c>
      <c r="U367" t="s">
        <v>137</v>
      </c>
      <c r="V367" t="s">
        <v>897</v>
      </c>
      <c r="X367" t="s">
        <v>64</v>
      </c>
      <c r="AA367" t="s">
        <v>2163</v>
      </c>
      <c r="AB367" t="s">
        <v>2</v>
      </c>
      <c r="AC367" t="s">
        <v>138</v>
      </c>
      <c r="AD367" t="s">
        <v>128</v>
      </c>
      <c r="AE367" s="97">
        <f>VLOOKUP(A:A,SUMMERY!AA:AC,2,FALSE)</f>
        <v>46233</v>
      </c>
      <c r="AF367" s="6" t="str">
        <f>VLOOKUP(A:A,SUMMERY!AA:AC,3,FALSE)</f>
        <v>Priority-1</v>
      </c>
    </row>
    <row r="368" spans="1:32" x14ac:dyDescent="0.3">
      <c r="A368" t="s">
        <v>2690</v>
      </c>
      <c r="B368" t="s">
        <v>2691</v>
      </c>
      <c r="G368" t="s">
        <v>2162</v>
      </c>
      <c r="H368" t="s">
        <v>132</v>
      </c>
      <c r="I368" t="s">
        <v>2</v>
      </c>
      <c r="J368" t="s">
        <v>133</v>
      </c>
      <c r="K368" t="s">
        <v>52</v>
      </c>
      <c r="L368" t="s">
        <v>2689</v>
      </c>
      <c r="M368" t="s">
        <v>134</v>
      </c>
      <c r="N368" t="s">
        <v>135</v>
      </c>
      <c r="Q368" t="s">
        <v>168</v>
      </c>
      <c r="T368" t="s">
        <v>2165</v>
      </c>
      <c r="U368" t="s">
        <v>137</v>
      </c>
      <c r="V368" t="s">
        <v>897</v>
      </c>
      <c r="X368" t="s">
        <v>64</v>
      </c>
      <c r="AA368" t="s">
        <v>2163</v>
      </c>
      <c r="AB368" t="s">
        <v>2</v>
      </c>
      <c r="AC368" t="s">
        <v>138</v>
      </c>
      <c r="AD368" t="s">
        <v>128</v>
      </c>
      <c r="AE368" s="97">
        <f>VLOOKUP(A:A,SUMMERY!AA:AC,2,FALSE)</f>
        <v>46233</v>
      </c>
      <c r="AF368" s="6" t="str">
        <f>VLOOKUP(A:A,SUMMERY!AA:AC,3,FALSE)</f>
        <v>Priority-1</v>
      </c>
    </row>
    <row r="369" spans="1:32" x14ac:dyDescent="0.3">
      <c r="A369" t="s">
        <v>2692</v>
      </c>
      <c r="B369" t="s">
        <v>2693</v>
      </c>
      <c r="G369" t="s">
        <v>2162</v>
      </c>
      <c r="H369" t="s">
        <v>132</v>
      </c>
      <c r="I369" t="s">
        <v>2</v>
      </c>
      <c r="J369" t="s">
        <v>133</v>
      </c>
      <c r="K369" t="s">
        <v>52</v>
      </c>
      <c r="L369" t="s">
        <v>2689</v>
      </c>
      <c r="M369" t="s">
        <v>134</v>
      </c>
      <c r="N369" t="s">
        <v>135</v>
      </c>
      <c r="Q369" t="s">
        <v>168</v>
      </c>
      <c r="T369" t="s">
        <v>2165</v>
      </c>
      <c r="U369" t="s">
        <v>137</v>
      </c>
      <c r="V369" t="s">
        <v>897</v>
      </c>
      <c r="X369" t="s">
        <v>64</v>
      </c>
      <c r="AA369" t="s">
        <v>2163</v>
      </c>
      <c r="AB369" t="s">
        <v>2</v>
      </c>
      <c r="AC369" t="s">
        <v>138</v>
      </c>
      <c r="AD369" t="s">
        <v>128</v>
      </c>
      <c r="AE369" s="97">
        <f>VLOOKUP(A:A,SUMMERY!AA:AC,2,FALSE)</f>
        <v>46233</v>
      </c>
      <c r="AF369" s="6" t="str">
        <f>VLOOKUP(A:A,SUMMERY!AA:AC,3,FALSE)</f>
        <v>Priority-1</v>
      </c>
    </row>
    <row r="370" spans="1:32" x14ac:dyDescent="0.3">
      <c r="A370" t="s">
        <v>2694</v>
      </c>
      <c r="B370" t="s">
        <v>2695</v>
      </c>
      <c r="G370" t="s">
        <v>2162</v>
      </c>
      <c r="H370" t="s">
        <v>132</v>
      </c>
      <c r="I370" t="s">
        <v>2</v>
      </c>
      <c r="J370" t="s">
        <v>133</v>
      </c>
      <c r="K370" t="s">
        <v>52</v>
      </c>
      <c r="L370" t="s">
        <v>2689</v>
      </c>
      <c r="M370" t="s">
        <v>134</v>
      </c>
      <c r="N370" t="s">
        <v>135</v>
      </c>
      <c r="Q370" t="s">
        <v>168</v>
      </c>
      <c r="T370" t="s">
        <v>2165</v>
      </c>
      <c r="U370" t="s">
        <v>137</v>
      </c>
      <c r="V370" t="s">
        <v>897</v>
      </c>
      <c r="X370" t="s">
        <v>64</v>
      </c>
      <c r="AA370" t="s">
        <v>2163</v>
      </c>
      <c r="AB370" t="s">
        <v>2</v>
      </c>
      <c r="AC370" t="s">
        <v>138</v>
      </c>
      <c r="AD370" t="s">
        <v>128</v>
      </c>
      <c r="AE370" s="97">
        <f>VLOOKUP(A:A,SUMMERY!AA:AC,2,FALSE)</f>
        <v>46233</v>
      </c>
      <c r="AF370" s="6" t="str">
        <f>VLOOKUP(A:A,SUMMERY!AA:AC,3,FALSE)</f>
        <v>Priority-1</v>
      </c>
    </row>
    <row r="371" spans="1:32" x14ac:dyDescent="0.3">
      <c r="A371" t="s">
        <v>2696</v>
      </c>
      <c r="B371" t="s">
        <v>2697</v>
      </c>
      <c r="G371" t="s">
        <v>2162</v>
      </c>
      <c r="H371" t="s">
        <v>132</v>
      </c>
      <c r="I371" t="s">
        <v>2</v>
      </c>
      <c r="J371" t="s">
        <v>133</v>
      </c>
      <c r="K371" t="s">
        <v>52</v>
      </c>
      <c r="L371" t="s">
        <v>2689</v>
      </c>
      <c r="M371" t="s">
        <v>134</v>
      </c>
      <c r="N371" t="s">
        <v>135</v>
      </c>
      <c r="Q371" t="s">
        <v>168</v>
      </c>
      <c r="T371" t="s">
        <v>2165</v>
      </c>
      <c r="U371" t="s">
        <v>137</v>
      </c>
      <c r="V371" t="s">
        <v>897</v>
      </c>
      <c r="X371" t="s">
        <v>64</v>
      </c>
      <c r="AA371" t="s">
        <v>2163</v>
      </c>
      <c r="AB371" t="s">
        <v>2</v>
      </c>
      <c r="AC371" t="s">
        <v>138</v>
      </c>
      <c r="AD371" t="s">
        <v>128</v>
      </c>
      <c r="AE371" s="97">
        <f>VLOOKUP(A:A,SUMMERY!AA:AC,2,FALSE)</f>
        <v>46233</v>
      </c>
      <c r="AF371" s="6" t="str">
        <f>VLOOKUP(A:A,SUMMERY!AA:AC,3,FALSE)</f>
        <v>Priority-1</v>
      </c>
    </row>
    <row r="372" spans="1:32" x14ac:dyDescent="0.3">
      <c r="A372" t="s">
        <v>2698</v>
      </c>
      <c r="B372" t="s">
        <v>2699</v>
      </c>
      <c r="G372" t="s">
        <v>2162</v>
      </c>
      <c r="H372" t="s">
        <v>132</v>
      </c>
      <c r="I372" t="s">
        <v>2</v>
      </c>
      <c r="J372" t="s">
        <v>133</v>
      </c>
      <c r="K372" t="s">
        <v>52</v>
      </c>
      <c r="L372" t="s">
        <v>1658</v>
      </c>
      <c r="M372" t="s">
        <v>134</v>
      </c>
      <c r="N372" t="s">
        <v>135</v>
      </c>
      <c r="Q372" t="s">
        <v>168</v>
      </c>
      <c r="T372" t="s">
        <v>2165</v>
      </c>
      <c r="U372" t="s">
        <v>137</v>
      </c>
      <c r="V372" t="s">
        <v>897</v>
      </c>
      <c r="X372" t="s">
        <v>64</v>
      </c>
      <c r="AA372" t="s">
        <v>2163</v>
      </c>
      <c r="AB372" t="s">
        <v>2</v>
      </c>
      <c r="AC372" t="s">
        <v>138</v>
      </c>
      <c r="AD372" t="s">
        <v>128</v>
      </c>
      <c r="AE372" s="97">
        <f>VLOOKUP(A:A,SUMMERY!AA:AC,2,FALSE)</f>
        <v>46233</v>
      </c>
      <c r="AF372" s="6" t="str">
        <f>VLOOKUP(A:A,SUMMERY!AA:AC,3,FALSE)</f>
        <v>Priority-1</v>
      </c>
    </row>
    <row r="373" spans="1:32" x14ac:dyDescent="0.3">
      <c r="A373" t="s">
        <v>2700</v>
      </c>
      <c r="B373" t="s">
        <v>2701</v>
      </c>
      <c r="G373" t="s">
        <v>2162</v>
      </c>
      <c r="H373" t="s">
        <v>132</v>
      </c>
      <c r="I373" t="s">
        <v>2</v>
      </c>
      <c r="J373" t="s">
        <v>133</v>
      </c>
      <c r="K373" t="s">
        <v>52</v>
      </c>
      <c r="L373" t="s">
        <v>1658</v>
      </c>
      <c r="M373" t="s">
        <v>134</v>
      </c>
      <c r="N373" t="s">
        <v>135</v>
      </c>
      <c r="Q373" t="s">
        <v>168</v>
      </c>
      <c r="T373" t="s">
        <v>2165</v>
      </c>
      <c r="U373" t="s">
        <v>137</v>
      </c>
      <c r="V373" t="s">
        <v>897</v>
      </c>
      <c r="X373" t="s">
        <v>64</v>
      </c>
      <c r="AA373" t="s">
        <v>2163</v>
      </c>
      <c r="AB373" t="s">
        <v>2</v>
      </c>
      <c r="AC373" t="s">
        <v>138</v>
      </c>
      <c r="AD373" t="s">
        <v>128</v>
      </c>
      <c r="AE373" s="97">
        <f>VLOOKUP(A:A,SUMMERY!AA:AC,2,FALSE)</f>
        <v>46233</v>
      </c>
      <c r="AF373" s="6" t="str">
        <f>VLOOKUP(A:A,SUMMERY!AA:AC,3,FALSE)</f>
        <v>Priority-1</v>
      </c>
    </row>
    <row r="374" spans="1:32" x14ac:dyDescent="0.3">
      <c r="A374" t="s">
        <v>2702</v>
      </c>
      <c r="B374" t="s">
        <v>2703</v>
      </c>
      <c r="G374" t="s">
        <v>2162</v>
      </c>
      <c r="H374" t="s">
        <v>132</v>
      </c>
      <c r="I374" t="s">
        <v>2</v>
      </c>
      <c r="J374" t="s">
        <v>133</v>
      </c>
      <c r="K374" t="s">
        <v>52</v>
      </c>
      <c r="L374" t="s">
        <v>1658</v>
      </c>
      <c r="M374" t="s">
        <v>134</v>
      </c>
      <c r="N374" t="s">
        <v>135</v>
      </c>
      <c r="Q374" t="s">
        <v>168</v>
      </c>
      <c r="T374" t="s">
        <v>2165</v>
      </c>
      <c r="U374" t="s">
        <v>137</v>
      </c>
      <c r="V374" t="s">
        <v>897</v>
      </c>
      <c r="X374" t="s">
        <v>64</v>
      </c>
      <c r="AA374" t="s">
        <v>2163</v>
      </c>
      <c r="AB374" t="s">
        <v>2</v>
      </c>
      <c r="AC374" t="s">
        <v>138</v>
      </c>
      <c r="AD374" t="s">
        <v>128</v>
      </c>
      <c r="AE374" s="97">
        <f>VLOOKUP(A:A,SUMMERY!AA:AC,2,FALSE)</f>
        <v>46233</v>
      </c>
      <c r="AF374" s="6" t="str">
        <f>VLOOKUP(A:A,SUMMERY!AA:AC,3,FALSE)</f>
        <v>Priority-1</v>
      </c>
    </row>
    <row r="375" spans="1:32" x14ac:dyDescent="0.3">
      <c r="A375" t="s">
        <v>2704</v>
      </c>
      <c r="B375" t="s">
        <v>2705</v>
      </c>
      <c r="G375" t="s">
        <v>2162</v>
      </c>
      <c r="H375" t="s">
        <v>132</v>
      </c>
      <c r="I375" t="s">
        <v>2</v>
      </c>
      <c r="J375" t="s">
        <v>133</v>
      </c>
      <c r="K375" t="s">
        <v>52</v>
      </c>
      <c r="L375" t="s">
        <v>1658</v>
      </c>
      <c r="M375" t="s">
        <v>134</v>
      </c>
      <c r="N375" t="s">
        <v>135</v>
      </c>
      <c r="Q375" t="s">
        <v>168</v>
      </c>
      <c r="T375" t="s">
        <v>2165</v>
      </c>
      <c r="U375" t="s">
        <v>137</v>
      </c>
      <c r="V375" t="s">
        <v>897</v>
      </c>
      <c r="X375" t="s">
        <v>64</v>
      </c>
      <c r="AA375" t="s">
        <v>2163</v>
      </c>
      <c r="AB375" t="s">
        <v>2</v>
      </c>
      <c r="AC375" t="s">
        <v>138</v>
      </c>
      <c r="AD375" t="s">
        <v>128</v>
      </c>
      <c r="AE375" s="97">
        <f>VLOOKUP(A:A,SUMMERY!AA:AC,2,FALSE)</f>
        <v>46233</v>
      </c>
      <c r="AF375" s="6" t="str">
        <f>VLOOKUP(A:A,SUMMERY!AA:AC,3,FALSE)</f>
        <v>Priority-1</v>
      </c>
    </row>
    <row r="376" spans="1:32" x14ac:dyDescent="0.3">
      <c r="A376" t="s">
        <v>2706</v>
      </c>
      <c r="B376" t="s">
        <v>2707</v>
      </c>
      <c r="G376" t="s">
        <v>2162</v>
      </c>
      <c r="H376" t="s">
        <v>132</v>
      </c>
      <c r="I376" t="s">
        <v>2</v>
      </c>
      <c r="J376" t="s">
        <v>133</v>
      </c>
      <c r="K376" t="s">
        <v>52</v>
      </c>
      <c r="L376" t="s">
        <v>1661</v>
      </c>
      <c r="M376" t="s">
        <v>134</v>
      </c>
      <c r="N376" t="s">
        <v>135</v>
      </c>
      <c r="Q376" t="s">
        <v>168</v>
      </c>
      <c r="T376" t="s">
        <v>2165</v>
      </c>
      <c r="U376" t="s">
        <v>137</v>
      </c>
      <c r="V376" t="s">
        <v>897</v>
      </c>
      <c r="X376" t="s">
        <v>64</v>
      </c>
      <c r="AA376" t="s">
        <v>2163</v>
      </c>
      <c r="AB376" t="s">
        <v>2</v>
      </c>
      <c r="AC376" t="s">
        <v>138</v>
      </c>
      <c r="AD376" t="s">
        <v>128</v>
      </c>
      <c r="AE376" s="97">
        <f>VLOOKUP(A:A,SUMMERY!AA:AC,2,FALSE)</f>
        <v>46233</v>
      </c>
      <c r="AF376" s="6" t="str">
        <f>VLOOKUP(A:A,SUMMERY!AA:AC,3,FALSE)</f>
        <v>Priority-1</v>
      </c>
    </row>
    <row r="377" spans="1:32" x14ac:dyDescent="0.3">
      <c r="A377" t="s">
        <v>2708</v>
      </c>
      <c r="B377" t="s">
        <v>2709</v>
      </c>
      <c r="G377" t="s">
        <v>2162</v>
      </c>
      <c r="H377" t="s">
        <v>132</v>
      </c>
      <c r="I377" t="s">
        <v>2</v>
      </c>
      <c r="J377" t="s">
        <v>133</v>
      </c>
      <c r="K377" t="s">
        <v>52</v>
      </c>
      <c r="L377" t="s">
        <v>1661</v>
      </c>
      <c r="M377" t="s">
        <v>134</v>
      </c>
      <c r="N377" t="s">
        <v>135</v>
      </c>
      <c r="Q377" t="s">
        <v>168</v>
      </c>
      <c r="T377" t="s">
        <v>2165</v>
      </c>
      <c r="U377" t="s">
        <v>137</v>
      </c>
      <c r="V377" t="s">
        <v>897</v>
      </c>
      <c r="X377" t="s">
        <v>64</v>
      </c>
      <c r="AA377" t="s">
        <v>2163</v>
      </c>
      <c r="AB377" t="s">
        <v>2</v>
      </c>
      <c r="AC377" t="s">
        <v>138</v>
      </c>
      <c r="AD377" t="s">
        <v>128</v>
      </c>
      <c r="AE377" s="97">
        <f>VLOOKUP(A:A,SUMMERY!AA:AC,2,FALSE)</f>
        <v>46233</v>
      </c>
      <c r="AF377" s="6" t="str">
        <f>VLOOKUP(A:A,SUMMERY!AA:AC,3,FALSE)</f>
        <v>Priority-1</v>
      </c>
    </row>
    <row r="378" spans="1:32" x14ac:dyDescent="0.3">
      <c r="A378" t="s">
        <v>2710</v>
      </c>
      <c r="B378" t="s">
        <v>2711</v>
      </c>
      <c r="G378" t="s">
        <v>2162</v>
      </c>
      <c r="H378" t="s">
        <v>132</v>
      </c>
      <c r="I378" t="s">
        <v>2</v>
      </c>
      <c r="J378" t="s">
        <v>133</v>
      </c>
      <c r="K378" t="s">
        <v>52</v>
      </c>
      <c r="L378" t="s">
        <v>1658</v>
      </c>
      <c r="M378" t="s">
        <v>134</v>
      </c>
      <c r="N378" t="s">
        <v>135</v>
      </c>
      <c r="Q378" t="s">
        <v>168</v>
      </c>
      <c r="T378" t="s">
        <v>2165</v>
      </c>
      <c r="U378" t="s">
        <v>137</v>
      </c>
      <c r="V378" t="s">
        <v>897</v>
      </c>
      <c r="X378" t="s">
        <v>64</v>
      </c>
      <c r="AA378" t="s">
        <v>2163</v>
      </c>
      <c r="AB378" t="s">
        <v>2</v>
      </c>
      <c r="AC378" t="s">
        <v>138</v>
      </c>
      <c r="AD378" t="s">
        <v>128</v>
      </c>
      <c r="AE378" s="97">
        <f>VLOOKUP(A:A,SUMMERY!AA:AC,2,FALSE)</f>
        <v>46233</v>
      </c>
      <c r="AF378" s="6" t="str">
        <f>VLOOKUP(A:A,SUMMERY!AA:AC,3,FALSE)</f>
        <v>Priority-1</v>
      </c>
    </row>
    <row r="379" spans="1:32" x14ac:dyDescent="0.3">
      <c r="A379" t="s">
        <v>2712</v>
      </c>
      <c r="B379" t="s">
        <v>2713</v>
      </c>
      <c r="G379" t="s">
        <v>2162</v>
      </c>
      <c r="H379" t="s">
        <v>132</v>
      </c>
      <c r="I379" t="s">
        <v>2</v>
      </c>
      <c r="J379" t="s">
        <v>133</v>
      </c>
      <c r="K379" t="s">
        <v>52</v>
      </c>
      <c r="L379" t="s">
        <v>1658</v>
      </c>
      <c r="M379" t="s">
        <v>134</v>
      </c>
      <c r="N379" t="s">
        <v>135</v>
      </c>
      <c r="Q379" t="s">
        <v>168</v>
      </c>
      <c r="T379" t="s">
        <v>2165</v>
      </c>
      <c r="U379" t="s">
        <v>137</v>
      </c>
      <c r="V379" t="s">
        <v>897</v>
      </c>
      <c r="X379" t="s">
        <v>64</v>
      </c>
      <c r="AA379" t="s">
        <v>2163</v>
      </c>
      <c r="AB379" t="s">
        <v>2</v>
      </c>
      <c r="AC379" t="s">
        <v>138</v>
      </c>
      <c r="AD379" t="s">
        <v>128</v>
      </c>
      <c r="AE379" s="97">
        <f>VLOOKUP(A:A,SUMMERY!AA:AC,2,FALSE)</f>
        <v>46233</v>
      </c>
      <c r="AF379" s="6" t="str">
        <f>VLOOKUP(A:A,SUMMERY!AA:AC,3,FALSE)</f>
        <v>Priority-1</v>
      </c>
    </row>
    <row r="380" spans="1:32" x14ac:dyDescent="0.3">
      <c r="A380" t="s">
        <v>2714</v>
      </c>
      <c r="B380" t="s">
        <v>2715</v>
      </c>
      <c r="G380" t="s">
        <v>2162</v>
      </c>
      <c r="H380" t="s">
        <v>132</v>
      </c>
      <c r="I380" t="s">
        <v>2</v>
      </c>
      <c r="J380" t="s">
        <v>133</v>
      </c>
      <c r="K380" t="s">
        <v>52</v>
      </c>
      <c r="L380" t="s">
        <v>1658</v>
      </c>
      <c r="M380" t="s">
        <v>134</v>
      </c>
      <c r="N380" t="s">
        <v>135</v>
      </c>
      <c r="Q380" t="s">
        <v>168</v>
      </c>
      <c r="T380" t="s">
        <v>2165</v>
      </c>
      <c r="U380" t="s">
        <v>137</v>
      </c>
      <c r="V380" t="s">
        <v>897</v>
      </c>
      <c r="X380" t="s">
        <v>64</v>
      </c>
      <c r="AA380" t="s">
        <v>2163</v>
      </c>
      <c r="AB380" t="s">
        <v>2</v>
      </c>
      <c r="AC380" t="s">
        <v>138</v>
      </c>
      <c r="AD380" t="s">
        <v>128</v>
      </c>
      <c r="AE380" s="97">
        <f>VLOOKUP(A:A,SUMMERY!AA:AC,2,FALSE)</f>
        <v>46233</v>
      </c>
      <c r="AF380" s="6" t="str">
        <f>VLOOKUP(A:A,SUMMERY!AA:AC,3,FALSE)</f>
        <v>Priority-1</v>
      </c>
    </row>
    <row r="381" spans="1:32" x14ac:dyDescent="0.3">
      <c r="A381" t="s">
        <v>2724</v>
      </c>
      <c r="B381" t="s">
        <v>2725</v>
      </c>
      <c r="G381" t="s">
        <v>2162</v>
      </c>
      <c r="H381" t="s">
        <v>132</v>
      </c>
      <c r="I381" t="s">
        <v>2</v>
      </c>
      <c r="J381" t="s">
        <v>133</v>
      </c>
      <c r="K381" t="s">
        <v>52</v>
      </c>
      <c r="L381" t="s">
        <v>2726</v>
      </c>
      <c r="M381" t="s">
        <v>134</v>
      </c>
      <c r="N381" t="s">
        <v>135</v>
      </c>
      <c r="Q381" t="s">
        <v>168</v>
      </c>
      <c r="T381" t="s">
        <v>2165</v>
      </c>
      <c r="U381" t="s">
        <v>137</v>
      </c>
      <c r="V381" t="s">
        <v>897</v>
      </c>
      <c r="X381" t="s">
        <v>64</v>
      </c>
      <c r="AA381" t="s">
        <v>2163</v>
      </c>
      <c r="AB381" t="s">
        <v>2</v>
      </c>
      <c r="AC381" t="s">
        <v>138</v>
      </c>
      <c r="AD381" t="s">
        <v>128</v>
      </c>
      <c r="AE381" s="97">
        <f>VLOOKUP(A:A,SUMMERY!AA:AC,2,FALSE)</f>
        <v>46233</v>
      </c>
      <c r="AF381" s="6" t="str">
        <f>VLOOKUP(A:A,SUMMERY!AA:AC,3,FALSE)</f>
        <v>Priority-1</v>
      </c>
    </row>
    <row r="382" spans="1:32" x14ac:dyDescent="0.3">
      <c r="A382" t="s">
        <v>2727</v>
      </c>
      <c r="B382" t="s">
        <v>2728</v>
      </c>
      <c r="G382" t="s">
        <v>2162</v>
      </c>
      <c r="H382" t="s">
        <v>132</v>
      </c>
      <c r="I382" t="s">
        <v>2</v>
      </c>
      <c r="J382" t="s">
        <v>133</v>
      </c>
      <c r="K382" t="s">
        <v>52</v>
      </c>
      <c r="L382" t="s">
        <v>2729</v>
      </c>
      <c r="M382" t="s">
        <v>134</v>
      </c>
      <c r="N382" t="s">
        <v>135</v>
      </c>
      <c r="Q382" t="s">
        <v>168</v>
      </c>
      <c r="T382" t="s">
        <v>2165</v>
      </c>
      <c r="U382" t="s">
        <v>137</v>
      </c>
      <c r="V382" t="s">
        <v>897</v>
      </c>
      <c r="X382" t="s">
        <v>64</v>
      </c>
      <c r="AA382" t="s">
        <v>2163</v>
      </c>
      <c r="AB382" t="s">
        <v>2</v>
      </c>
      <c r="AC382" t="s">
        <v>138</v>
      </c>
      <c r="AD382" t="s">
        <v>128</v>
      </c>
      <c r="AE382" s="97">
        <f>VLOOKUP(A:A,SUMMERY!AA:AC,2,FALSE)</f>
        <v>46233</v>
      </c>
      <c r="AF382" s="6" t="str">
        <f>VLOOKUP(A:A,SUMMERY!AA:AC,3,FALSE)</f>
        <v>Priority-1</v>
      </c>
    </row>
    <row r="383" spans="1:32" x14ac:dyDescent="0.3">
      <c r="A383" t="s">
        <v>2950</v>
      </c>
      <c r="B383" t="s">
        <v>2951</v>
      </c>
      <c r="G383" t="s">
        <v>2162</v>
      </c>
      <c r="H383" t="s">
        <v>132</v>
      </c>
      <c r="I383" t="s">
        <v>2</v>
      </c>
      <c r="J383" t="s">
        <v>133</v>
      </c>
      <c r="K383" t="s">
        <v>52</v>
      </c>
      <c r="L383" t="s">
        <v>2952</v>
      </c>
      <c r="M383" t="s">
        <v>134</v>
      </c>
      <c r="N383" t="s">
        <v>135</v>
      </c>
      <c r="Q383" t="s">
        <v>168</v>
      </c>
      <c r="T383" t="s">
        <v>2165</v>
      </c>
      <c r="U383" t="s">
        <v>137</v>
      </c>
      <c r="V383" t="s">
        <v>352</v>
      </c>
      <c r="X383" t="s">
        <v>56</v>
      </c>
      <c r="AA383" t="s">
        <v>2163</v>
      </c>
      <c r="AB383" t="s">
        <v>2</v>
      </c>
      <c r="AC383" t="s">
        <v>138</v>
      </c>
      <c r="AD383" t="s">
        <v>128</v>
      </c>
      <c r="AE383" s="97">
        <f>VLOOKUP(A:A,SUMMERY!AA:AC,2,FALSE)</f>
        <v>46233</v>
      </c>
      <c r="AF383" s="6" t="str">
        <f>VLOOKUP(A:A,SUMMERY!AA:AC,3,FALSE)</f>
        <v>Priority-1</v>
      </c>
    </row>
    <row r="384" spans="1:32" x14ac:dyDescent="0.3">
      <c r="A384" t="s">
        <v>2953</v>
      </c>
      <c r="B384" t="s">
        <v>2954</v>
      </c>
      <c r="G384" t="s">
        <v>2162</v>
      </c>
      <c r="H384" t="s">
        <v>132</v>
      </c>
      <c r="I384" t="s">
        <v>2</v>
      </c>
      <c r="J384" t="s">
        <v>133</v>
      </c>
      <c r="K384" t="s">
        <v>52</v>
      </c>
      <c r="L384" t="s">
        <v>2955</v>
      </c>
      <c r="M384" t="s">
        <v>134</v>
      </c>
      <c r="N384" t="s">
        <v>135</v>
      </c>
      <c r="Q384" t="s">
        <v>168</v>
      </c>
      <c r="T384" t="s">
        <v>2165</v>
      </c>
      <c r="U384" t="s">
        <v>137</v>
      </c>
      <c r="V384" t="s">
        <v>352</v>
      </c>
      <c r="X384" t="s">
        <v>56</v>
      </c>
      <c r="AA384" t="s">
        <v>2163</v>
      </c>
      <c r="AB384" t="s">
        <v>2</v>
      </c>
      <c r="AC384" t="s">
        <v>138</v>
      </c>
      <c r="AD384" t="s">
        <v>128</v>
      </c>
      <c r="AE384" s="97">
        <f>VLOOKUP(A:A,SUMMERY!AA:AC,2,FALSE)</f>
        <v>46233</v>
      </c>
      <c r="AF384" s="6" t="str">
        <f>VLOOKUP(A:A,SUMMERY!AA:AC,3,FALSE)</f>
        <v>Priority-1</v>
      </c>
    </row>
    <row r="385" spans="1:32" x14ac:dyDescent="0.3">
      <c r="A385" t="s">
        <v>2956</v>
      </c>
      <c r="B385" t="s">
        <v>2957</v>
      </c>
      <c r="G385" t="s">
        <v>2162</v>
      </c>
      <c r="H385" t="s">
        <v>132</v>
      </c>
      <c r="I385" t="s">
        <v>2</v>
      </c>
      <c r="J385" t="s">
        <v>133</v>
      </c>
      <c r="K385" t="s">
        <v>52</v>
      </c>
      <c r="L385" t="s">
        <v>2958</v>
      </c>
      <c r="M385" t="s">
        <v>134</v>
      </c>
      <c r="N385" t="s">
        <v>135</v>
      </c>
      <c r="Q385" t="s">
        <v>168</v>
      </c>
      <c r="T385" t="s">
        <v>2165</v>
      </c>
      <c r="U385" t="s">
        <v>137</v>
      </c>
      <c r="V385" t="s">
        <v>352</v>
      </c>
      <c r="X385" t="s">
        <v>56</v>
      </c>
      <c r="AA385" t="s">
        <v>2163</v>
      </c>
      <c r="AB385" t="s">
        <v>2</v>
      </c>
      <c r="AC385" t="s">
        <v>138</v>
      </c>
      <c r="AD385" t="s">
        <v>128</v>
      </c>
      <c r="AE385" s="97">
        <f>VLOOKUP(A:A,SUMMERY!AA:AC,2,FALSE)</f>
        <v>46233</v>
      </c>
      <c r="AF385" s="6" t="str">
        <f>VLOOKUP(A:A,SUMMERY!AA:AC,3,FALSE)</f>
        <v>Priority-1</v>
      </c>
    </row>
    <row r="386" spans="1:32" x14ac:dyDescent="0.3">
      <c r="A386" t="s">
        <v>2959</v>
      </c>
      <c r="B386" t="s">
        <v>2960</v>
      </c>
      <c r="G386" t="s">
        <v>2162</v>
      </c>
      <c r="H386" t="s">
        <v>132</v>
      </c>
      <c r="I386" t="s">
        <v>2</v>
      </c>
      <c r="J386" t="s">
        <v>133</v>
      </c>
      <c r="K386" t="s">
        <v>52</v>
      </c>
      <c r="L386" t="s">
        <v>2961</v>
      </c>
      <c r="M386" t="s">
        <v>134</v>
      </c>
      <c r="N386" t="s">
        <v>135</v>
      </c>
      <c r="Q386" t="s">
        <v>168</v>
      </c>
      <c r="T386" t="s">
        <v>2165</v>
      </c>
      <c r="U386" t="s">
        <v>137</v>
      </c>
      <c r="V386" t="s">
        <v>352</v>
      </c>
      <c r="X386" t="s">
        <v>56</v>
      </c>
      <c r="AA386" t="s">
        <v>2163</v>
      </c>
      <c r="AB386" t="s">
        <v>2</v>
      </c>
      <c r="AC386" t="s">
        <v>138</v>
      </c>
      <c r="AD386" t="s">
        <v>128</v>
      </c>
      <c r="AE386" s="97">
        <f>VLOOKUP(A:A,SUMMERY!AA:AC,2,FALSE)</f>
        <v>46233</v>
      </c>
      <c r="AF386" s="6" t="str">
        <f>VLOOKUP(A:A,SUMMERY!AA:AC,3,FALSE)</f>
        <v>Priority-1</v>
      </c>
    </row>
    <row r="387" spans="1:32" x14ac:dyDescent="0.3">
      <c r="A387" t="s">
        <v>2962</v>
      </c>
      <c r="B387" t="s">
        <v>2963</v>
      </c>
      <c r="G387" t="s">
        <v>2162</v>
      </c>
      <c r="H387" t="s">
        <v>132</v>
      </c>
      <c r="I387" t="s">
        <v>2</v>
      </c>
      <c r="J387" t="s">
        <v>133</v>
      </c>
      <c r="K387" t="s">
        <v>52</v>
      </c>
      <c r="L387" t="s">
        <v>2964</v>
      </c>
      <c r="M387" t="s">
        <v>134</v>
      </c>
      <c r="N387" t="s">
        <v>135</v>
      </c>
      <c r="Q387" t="s">
        <v>168</v>
      </c>
      <c r="T387" t="s">
        <v>2165</v>
      </c>
      <c r="U387" t="s">
        <v>137</v>
      </c>
      <c r="V387" t="s">
        <v>352</v>
      </c>
      <c r="X387" t="s">
        <v>56</v>
      </c>
      <c r="AA387" t="s">
        <v>2163</v>
      </c>
      <c r="AB387" t="s">
        <v>2</v>
      </c>
      <c r="AC387" t="s">
        <v>138</v>
      </c>
      <c r="AD387" t="s">
        <v>128</v>
      </c>
      <c r="AE387" s="97">
        <f>VLOOKUP(A:A,SUMMERY!AA:AC,2,FALSE)</f>
        <v>46233</v>
      </c>
      <c r="AF387" s="6" t="str">
        <f>VLOOKUP(A:A,SUMMERY!AA:AC,3,FALSE)</f>
        <v>Priority-1</v>
      </c>
    </row>
    <row r="388" spans="1:32" x14ac:dyDescent="0.3">
      <c r="A388" t="s">
        <v>2965</v>
      </c>
      <c r="B388" t="s">
        <v>2966</v>
      </c>
      <c r="G388" t="s">
        <v>2162</v>
      </c>
      <c r="H388" t="s">
        <v>132</v>
      </c>
      <c r="I388" t="s">
        <v>2</v>
      </c>
      <c r="J388" t="s">
        <v>133</v>
      </c>
      <c r="K388" t="s">
        <v>52</v>
      </c>
      <c r="L388" t="s">
        <v>2967</v>
      </c>
      <c r="M388" t="s">
        <v>134</v>
      </c>
      <c r="N388" t="s">
        <v>135</v>
      </c>
      <c r="Q388" t="s">
        <v>168</v>
      </c>
      <c r="T388" t="s">
        <v>2165</v>
      </c>
      <c r="U388" t="s">
        <v>137</v>
      </c>
      <c r="V388" t="s">
        <v>352</v>
      </c>
      <c r="X388" t="s">
        <v>56</v>
      </c>
      <c r="AA388" t="s">
        <v>2163</v>
      </c>
      <c r="AB388" t="s">
        <v>2</v>
      </c>
      <c r="AC388" t="s">
        <v>138</v>
      </c>
      <c r="AD388" t="s">
        <v>128</v>
      </c>
      <c r="AE388" s="97">
        <f>VLOOKUP(A:A,SUMMERY!AA:AC,2,FALSE)</f>
        <v>46233</v>
      </c>
      <c r="AF388" s="6" t="str">
        <f>VLOOKUP(A:A,SUMMERY!AA:AC,3,FALSE)</f>
        <v>Priority-1</v>
      </c>
    </row>
    <row r="389" spans="1:32" x14ac:dyDescent="0.3">
      <c r="A389" t="s">
        <v>2968</v>
      </c>
      <c r="B389" t="s">
        <v>2969</v>
      </c>
      <c r="G389" t="s">
        <v>2162</v>
      </c>
      <c r="H389" t="s">
        <v>132</v>
      </c>
      <c r="I389" t="s">
        <v>2</v>
      </c>
      <c r="J389" t="s">
        <v>133</v>
      </c>
      <c r="K389" t="s">
        <v>52</v>
      </c>
      <c r="L389" t="s">
        <v>2970</v>
      </c>
      <c r="M389" t="s">
        <v>134</v>
      </c>
      <c r="N389" t="s">
        <v>135</v>
      </c>
      <c r="Q389" t="s">
        <v>168</v>
      </c>
      <c r="T389" t="s">
        <v>2165</v>
      </c>
      <c r="U389" t="s">
        <v>137</v>
      </c>
      <c r="V389" t="s">
        <v>352</v>
      </c>
      <c r="X389" t="s">
        <v>56</v>
      </c>
      <c r="AA389" t="s">
        <v>2163</v>
      </c>
      <c r="AB389" t="s">
        <v>2</v>
      </c>
      <c r="AC389" t="s">
        <v>138</v>
      </c>
      <c r="AD389" t="s">
        <v>128</v>
      </c>
      <c r="AE389" s="97">
        <f>VLOOKUP(A:A,SUMMERY!AA:AC,2,FALSE)</f>
        <v>46233</v>
      </c>
      <c r="AF389" s="6" t="str">
        <f>VLOOKUP(A:A,SUMMERY!AA:AC,3,FALSE)</f>
        <v>Priority-1</v>
      </c>
    </row>
    <row r="390" spans="1:32" x14ac:dyDescent="0.3">
      <c r="A390" t="s">
        <v>2977</v>
      </c>
      <c r="B390" t="s">
        <v>2978</v>
      </c>
      <c r="G390" t="s">
        <v>2162</v>
      </c>
      <c r="H390" t="s">
        <v>132</v>
      </c>
      <c r="I390" t="s">
        <v>2</v>
      </c>
      <c r="J390" t="s">
        <v>133</v>
      </c>
      <c r="K390" t="s">
        <v>52</v>
      </c>
      <c r="L390" t="s">
        <v>2979</v>
      </c>
      <c r="M390" t="s">
        <v>134</v>
      </c>
      <c r="N390" t="s">
        <v>135</v>
      </c>
      <c r="Q390" t="s">
        <v>168</v>
      </c>
      <c r="T390" t="s">
        <v>2165</v>
      </c>
      <c r="U390" t="s">
        <v>137</v>
      </c>
      <c r="V390" t="s">
        <v>403</v>
      </c>
      <c r="X390" t="s">
        <v>68</v>
      </c>
      <c r="AA390" t="s">
        <v>2163</v>
      </c>
      <c r="AB390" t="s">
        <v>2</v>
      </c>
      <c r="AC390" t="s">
        <v>138</v>
      </c>
      <c r="AD390" t="s">
        <v>128</v>
      </c>
      <c r="AE390" s="97">
        <f>VLOOKUP(A:A,SUMMERY!AA:AC,2,FALSE)</f>
        <v>46233</v>
      </c>
      <c r="AF390" s="6" t="str">
        <f>VLOOKUP(A:A,SUMMERY!AA:AC,3,FALSE)</f>
        <v>Priority-1</v>
      </c>
    </row>
    <row r="391" spans="1:32" x14ac:dyDescent="0.3">
      <c r="A391" t="s">
        <v>2980</v>
      </c>
      <c r="B391" t="s">
        <v>2981</v>
      </c>
      <c r="G391" t="s">
        <v>2162</v>
      </c>
      <c r="H391" t="s">
        <v>132</v>
      </c>
      <c r="I391" t="s">
        <v>2</v>
      </c>
      <c r="J391" t="s">
        <v>133</v>
      </c>
      <c r="K391" t="s">
        <v>52</v>
      </c>
      <c r="L391" t="s">
        <v>2979</v>
      </c>
      <c r="M391" t="s">
        <v>134</v>
      </c>
      <c r="N391" t="s">
        <v>135</v>
      </c>
      <c r="Q391" t="s">
        <v>168</v>
      </c>
      <c r="T391" t="s">
        <v>2165</v>
      </c>
      <c r="U391" t="s">
        <v>137</v>
      </c>
      <c r="V391" t="s">
        <v>403</v>
      </c>
      <c r="X391" t="s">
        <v>68</v>
      </c>
      <c r="AA391" t="s">
        <v>2163</v>
      </c>
      <c r="AB391" t="s">
        <v>2</v>
      </c>
      <c r="AC391" t="s">
        <v>138</v>
      </c>
      <c r="AD391" t="s">
        <v>128</v>
      </c>
      <c r="AE391" s="97">
        <f>VLOOKUP(A:A,SUMMERY!AA:AC,2,FALSE)</f>
        <v>46233</v>
      </c>
      <c r="AF391" s="6" t="str">
        <f>VLOOKUP(A:A,SUMMERY!AA:AC,3,FALSE)</f>
        <v>Priority-1</v>
      </c>
    </row>
    <row r="392" spans="1:32" x14ac:dyDescent="0.3">
      <c r="A392" t="s">
        <v>2982</v>
      </c>
      <c r="B392" t="s">
        <v>2983</v>
      </c>
      <c r="G392" t="s">
        <v>2162</v>
      </c>
      <c r="H392" t="s">
        <v>132</v>
      </c>
      <c r="I392" t="s">
        <v>2</v>
      </c>
      <c r="J392" t="s">
        <v>133</v>
      </c>
      <c r="K392" t="s">
        <v>52</v>
      </c>
      <c r="L392" t="s">
        <v>2979</v>
      </c>
      <c r="M392" t="s">
        <v>134</v>
      </c>
      <c r="N392" t="s">
        <v>135</v>
      </c>
      <c r="Q392" t="s">
        <v>168</v>
      </c>
      <c r="T392" t="s">
        <v>2165</v>
      </c>
      <c r="U392" t="s">
        <v>137</v>
      </c>
      <c r="V392" t="s">
        <v>403</v>
      </c>
      <c r="X392" t="s">
        <v>68</v>
      </c>
      <c r="AA392" t="s">
        <v>2163</v>
      </c>
      <c r="AB392" t="s">
        <v>2</v>
      </c>
      <c r="AC392" t="s">
        <v>138</v>
      </c>
      <c r="AD392" t="s">
        <v>128</v>
      </c>
      <c r="AE392" s="97">
        <f>VLOOKUP(A:A,SUMMERY!AA:AC,2,FALSE)</f>
        <v>46233</v>
      </c>
      <c r="AF392" s="6" t="str">
        <f>VLOOKUP(A:A,SUMMERY!AA:AC,3,FALSE)</f>
        <v>Priority-1</v>
      </c>
    </row>
    <row r="393" spans="1:32" x14ac:dyDescent="0.3">
      <c r="A393" t="s">
        <v>2984</v>
      </c>
      <c r="B393" t="s">
        <v>2985</v>
      </c>
      <c r="G393" t="s">
        <v>2162</v>
      </c>
      <c r="H393" t="s">
        <v>132</v>
      </c>
      <c r="I393" t="s">
        <v>2</v>
      </c>
      <c r="J393" t="s">
        <v>133</v>
      </c>
      <c r="K393" t="s">
        <v>52</v>
      </c>
      <c r="L393" t="s">
        <v>2979</v>
      </c>
      <c r="M393" t="s">
        <v>134</v>
      </c>
      <c r="N393" t="s">
        <v>135</v>
      </c>
      <c r="Q393" t="s">
        <v>168</v>
      </c>
      <c r="T393" t="s">
        <v>2165</v>
      </c>
      <c r="U393" t="s">
        <v>137</v>
      </c>
      <c r="V393" t="s">
        <v>403</v>
      </c>
      <c r="X393" t="s">
        <v>68</v>
      </c>
      <c r="AA393" t="s">
        <v>2163</v>
      </c>
      <c r="AB393" t="s">
        <v>2</v>
      </c>
      <c r="AC393" t="s">
        <v>138</v>
      </c>
      <c r="AD393" t="s">
        <v>128</v>
      </c>
      <c r="AE393" s="97">
        <f>VLOOKUP(A:A,SUMMERY!AA:AC,2,FALSE)</f>
        <v>46233</v>
      </c>
      <c r="AF393" s="6" t="str">
        <f>VLOOKUP(A:A,SUMMERY!AA:AC,3,FALSE)</f>
        <v>Priority-1</v>
      </c>
    </row>
    <row r="394" spans="1:32" x14ac:dyDescent="0.3">
      <c r="A394" t="s">
        <v>2986</v>
      </c>
      <c r="B394" t="s">
        <v>2987</v>
      </c>
      <c r="G394" t="s">
        <v>2162</v>
      </c>
      <c r="H394" t="s">
        <v>132</v>
      </c>
      <c r="I394" t="s">
        <v>2</v>
      </c>
      <c r="J394" t="s">
        <v>133</v>
      </c>
      <c r="K394" t="s">
        <v>52</v>
      </c>
      <c r="L394" t="s">
        <v>2988</v>
      </c>
      <c r="M394" t="s">
        <v>134</v>
      </c>
      <c r="N394" t="s">
        <v>135</v>
      </c>
      <c r="Q394" t="s">
        <v>168</v>
      </c>
      <c r="T394" t="s">
        <v>2165</v>
      </c>
      <c r="U394" t="s">
        <v>137</v>
      </c>
      <c r="V394" t="s">
        <v>407</v>
      </c>
      <c r="X394" t="s">
        <v>77</v>
      </c>
      <c r="AA394" t="s">
        <v>2163</v>
      </c>
      <c r="AB394" t="s">
        <v>2</v>
      </c>
      <c r="AC394" t="s">
        <v>138</v>
      </c>
      <c r="AD394" t="s">
        <v>128</v>
      </c>
      <c r="AE394" s="97">
        <f>VLOOKUP(A:A,SUMMERY!AA:AC,2,FALSE)</f>
        <v>46233</v>
      </c>
      <c r="AF394" s="6" t="str">
        <f>VLOOKUP(A:A,SUMMERY!AA:AC,3,FALSE)</f>
        <v>Priority-1</v>
      </c>
    </row>
    <row r="395" spans="1:32" x14ac:dyDescent="0.3">
      <c r="A395" t="s">
        <v>2989</v>
      </c>
      <c r="B395" t="s">
        <v>2990</v>
      </c>
      <c r="G395" t="s">
        <v>2162</v>
      </c>
      <c r="H395" t="s">
        <v>132</v>
      </c>
      <c r="I395" t="s">
        <v>2</v>
      </c>
      <c r="J395" t="s">
        <v>133</v>
      </c>
      <c r="K395" t="s">
        <v>52</v>
      </c>
      <c r="L395" t="s">
        <v>2988</v>
      </c>
      <c r="M395" t="s">
        <v>134</v>
      </c>
      <c r="N395" t="s">
        <v>135</v>
      </c>
      <c r="Q395" t="s">
        <v>168</v>
      </c>
      <c r="T395" t="s">
        <v>2165</v>
      </c>
      <c r="U395" t="s">
        <v>137</v>
      </c>
      <c r="V395" t="s">
        <v>407</v>
      </c>
      <c r="X395" t="s">
        <v>77</v>
      </c>
      <c r="AA395" t="s">
        <v>2163</v>
      </c>
      <c r="AB395" t="s">
        <v>2</v>
      </c>
      <c r="AC395" t="s">
        <v>138</v>
      </c>
      <c r="AD395" t="s">
        <v>128</v>
      </c>
      <c r="AE395" s="97">
        <f>VLOOKUP(A:A,SUMMERY!AA:AC,2,FALSE)</f>
        <v>46233</v>
      </c>
      <c r="AF395" s="6" t="str">
        <f>VLOOKUP(A:A,SUMMERY!AA:AC,3,FALSE)</f>
        <v>Priority-1</v>
      </c>
    </row>
    <row r="396" spans="1:32" x14ac:dyDescent="0.3">
      <c r="A396" t="s">
        <v>2991</v>
      </c>
      <c r="B396" t="s">
        <v>2992</v>
      </c>
      <c r="G396" t="s">
        <v>2162</v>
      </c>
      <c r="H396" t="s">
        <v>132</v>
      </c>
      <c r="I396" t="s">
        <v>2</v>
      </c>
      <c r="J396" t="s">
        <v>133</v>
      </c>
      <c r="K396" t="s">
        <v>52</v>
      </c>
      <c r="L396" t="s">
        <v>2988</v>
      </c>
      <c r="M396" t="s">
        <v>134</v>
      </c>
      <c r="N396" t="s">
        <v>135</v>
      </c>
      <c r="Q396" t="s">
        <v>168</v>
      </c>
      <c r="T396" t="s">
        <v>2165</v>
      </c>
      <c r="U396" t="s">
        <v>137</v>
      </c>
      <c r="V396" t="s">
        <v>407</v>
      </c>
      <c r="X396" t="s">
        <v>77</v>
      </c>
      <c r="AA396" t="s">
        <v>2163</v>
      </c>
      <c r="AB396" t="s">
        <v>2</v>
      </c>
      <c r="AC396" t="s">
        <v>138</v>
      </c>
      <c r="AD396" t="s">
        <v>128</v>
      </c>
      <c r="AE396" s="97">
        <f>VLOOKUP(A:A,SUMMERY!AA:AC,2,FALSE)</f>
        <v>46233</v>
      </c>
      <c r="AF396" s="6" t="str">
        <f>VLOOKUP(A:A,SUMMERY!AA:AC,3,FALSE)</f>
        <v>Priority-1</v>
      </c>
    </row>
    <row r="397" spans="1:32" x14ac:dyDescent="0.3">
      <c r="A397" t="s">
        <v>2993</v>
      </c>
      <c r="B397" t="s">
        <v>2994</v>
      </c>
      <c r="G397" t="s">
        <v>2162</v>
      </c>
      <c r="H397" t="s">
        <v>132</v>
      </c>
      <c r="I397" t="s">
        <v>2</v>
      </c>
      <c r="J397" t="s">
        <v>133</v>
      </c>
      <c r="K397" t="s">
        <v>52</v>
      </c>
      <c r="L397" t="s">
        <v>2988</v>
      </c>
      <c r="M397" t="s">
        <v>134</v>
      </c>
      <c r="N397" t="s">
        <v>135</v>
      </c>
      <c r="Q397" t="s">
        <v>168</v>
      </c>
      <c r="T397" t="s">
        <v>2165</v>
      </c>
      <c r="U397" t="s">
        <v>137</v>
      </c>
      <c r="V397" t="s">
        <v>407</v>
      </c>
      <c r="X397" t="s">
        <v>77</v>
      </c>
      <c r="AA397" t="s">
        <v>2163</v>
      </c>
      <c r="AB397" t="s">
        <v>2</v>
      </c>
      <c r="AC397" t="s">
        <v>138</v>
      </c>
      <c r="AD397" t="s">
        <v>128</v>
      </c>
      <c r="AE397" s="97">
        <f>VLOOKUP(A:A,SUMMERY!AA:AC,2,FALSE)</f>
        <v>46233</v>
      </c>
      <c r="AF397" s="6" t="str">
        <f>VLOOKUP(A:A,SUMMERY!AA:AC,3,FALSE)</f>
        <v>Priority-1</v>
      </c>
    </row>
    <row r="398" spans="1:32" x14ac:dyDescent="0.3">
      <c r="A398" t="s">
        <v>3040</v>
      </c>
      <c r="B398" t="s">
        <v>3041</v>
      </c>
      <c r="G398" t="s">
        <v>2162</v>
      </c>
      <c r="H398" t="s">
        <v>132</v>
      </c>
      <c r="I398" t="s">
        <v>2</v>
      </c>
      <c r="J398" t="s">
        <v>133</v>
      </c>
      <c r="K398" t="s">
        <v>52</v>
      </c>
      <c r="L398" t="s">
        <v>3042</v>
      </c>
      <c r="M398" t="s">
        <v>134</v>
      </c>
      <c r="N398" t="s">
        <v>135</v>
      </c>
      <c r="Q398" t="s">
        <v>168</v>
      </c>
      <c r="T398" t="s">
        <v>2165</v>
      </c>
      <c r="U398" t="s">
        <v>137</v>
      </c>
      <c r="V398" t="s">
        <v>296</v>
      </c>
      <c r="X398" t="s">
        <v>63</v>
      </c>
      <c r="AA398" t="s">
        <v>2163</v>
      </c>
      <c r="AB398" t="s">
        <v>2</v>
      </c>
      <c r="AC398" t="s">
        <v>138</v>
      </c>
      <c r="AD398" t="s">
        <v>128</v>
      </c>
      <c r="AE398" s="97">
        <f>VLOOKUP(A:A,SUMMERY!AA:AC,2,FALSE)</f>
        <v>46220</v>
      </c>
      <c r="AF398" s="6" t="str">
        <f>VLOOKUP(A:A,SUMMERY!AA:AC,3,FALSE)</f>
        <v>Priority-1</v>
      </c>
    </row>
    <row r="399" spans="1:32" x14ac:dyDescent="0.3">
      <c r="A399" t="s">
        <v>3043</v>
      </c>
      <c r="B399" t="s">
        <v>3044</v>
      </c>
      <c r="G399" t="s">
        <v>2162</v>
      </c>
      <c r="H399" t="s">
        <v>132</v>
      </c>
      <c r="I399" t="s">
        <v>2</v>
      </c>
      <c r="J399" t="s">
        <v>133</v>
      </c>
      <c r="K399" t="s">
        <v>52</v>
      </c>
      <c r="L399" t="s">
        <v>3042</v>
      </c>
      <c r="M399" t="s">
        <v>134</v>
      </c>
      <c r="N399" t="s">
        <v>135</v>
      </c>
      <c r="Q399" t="s">
        <v>168</v>
      </c>
      <c r="T399" t="s">
        <v>2165</v>
      </c>
      <c r="U399" t="s">
        <v>137</v>
      </c>
      <c r="V399" t="s">
        <v>296</v>
      </c>
      <c r="X399" t="s">
        <v>63</v>
      </c>
      <c r="AA399" t="s">
        <v>2163</v>
      </c>
      <c r="AB399" t="s">
        <v>2</v>
      </c>
      <c r="AC399" t="s">
        <v>138</v>
      </c>
      <c r="AD399" t="s">
        <v>128</v>
      </c>
      <c r="AE399" s="97">
        <f>VLOOKUP(A:A,SUMMERY!AA:AC,2,FALSE)</f>
        <v>46220</v>
      </c>
      <c r="AF399" s="6" t="str">
        <f>VLOOKUP(A:A,SUMMERY!AA:AC,3,FALSE)</f>
        <v>Priority-1</v>
      </c>
    </row>
    <row r="400" spans="1:32" x14ac:dyDescent="0.3">
      <c r="A400" t="s">
        <v>3045</v>
      </c>
      <c r="B400" t="s">
        <v>3046</v>
      </c>
      <c r="G400" t="s">
        <v>2162</v>
      </c>
      <c r="H400" t="s">
        <v>132</v>
      </c>
      <c r="I400" t="s">
        <v>2</v>
      </c>
      <c r="J400" t="s">
        <v>133</v>
      </c>
      <c r="K400" t="s">
        <v>52</v>
      </c>
      <c r="L400" t="s">
        <v>3042</v>
      </c>
      <c r="M400" t="s">
        <v>134</v>
      </c>
      <c r="N400" t="s">
        <v>135</v>
      </c>
      <c r="Q400" t="s">
        <v>168</v>
      </c>
      <c r="T400" t="s">
        <v>2165</v>
      </c>
      <c r="U400" t="s">
        <v>137</v>
      </c>
      <c r="V400" t="s">
        <v>296</v>
      </c>
      <c r="X400" t="s">
        <v>63</v>
      </c>
      <c r="AA400" t="s">
        <v>2163</v>
      </c>
      <c r="AB400" t="s">
        <v>2</v>
      </c>
      <c r="AC400" t="s">
        <v>138</v>
      </c>
      <c r="AD400" t="s">
        <v>128</v>
      </c>
      <c r="AE400" s="97">
        <f>VLOOKUP(A:A,SUMMERY!AA:AC,2,FALSE)</f>
        <v>46220</v>
      </c>
      <c r="AF400" s="6" t="str">
        <f>VLOOKUP(A:A,SUMMERY!AA:AC,3,FALSE)</f>
        <v>Priority-1</v>
      </c>
    </row>
    <row r="401" spans="1:32" x14ac:dyDescent="0.3">
      <c r="A401" t="s">
        <v>3047</v>
      </c>
      <c r="B401" t="s">
        <v>3048</v>
      </c>
      <c r="G401" t="s">
        <v>2162</v>
      </c>
      <c r="H401" t="s">
        <v>132</v>
      </c>
      <c r="I401" t="s">
        <v>2</v>
      </c>
      <c r="J401" t="s">
        <v>133</v>
      </c>
      <c r="K401" t="s">
        <v>52</v>
      </c>
      <c r="L401" t="s">
        <v>3042</v>
      </c>
      <c r="M401" t="s">
        <v>134</v>
      </c>
      <c r="N401" t="s">
        <v>135</v>
      </c>
      <c r="Q401" t="s">
        <v>168</v>
      </c>
      <c r="T401" t="s">
        <v>2165</v>
      </c>
      <c r="U401" t="s">
        <v>137</v>
      </c>
      <c r="V401" t="s">
        <v>296</v>
      </c>
      <c r="X401" t="s">
        <v>63</v>
      </c>
      <c r="AA401" t="s">
        <v>2163</v>
      </c>
      <c r="AB401" t="s">
        <v>2</v>
      </c>
      <c r="AC401" t="s">
        <v>138</v>
      </c>
      <c r="AD401" t="s">
        <v>128</v>
      </c>
      <c r="AE401" s="97">
        <f>VLOOKUP(A:A,SUMMERY!AA:AC,2,FALSE)</f>
        <v>46220</v>
      </c>
      <c r="AF401" s="6" t="str">
        <f>VLOOKUP(A:A,SUMMERY!AA:AC,3,FALSE)</f>
        <v>Priority-1</v>
      </c>
    </row>
    <row r="402" spans="1:32" x14ac:dyDescent="0.3">
      <c r="A402" t="s">
        <v>3049</v>
      </c>
      <c r="B402" t="s">
        <v>3050</v>
      </c>
      <c r="G402" t="s">
        <v>2162</v>
      </c>
      <c r="H402" t="s">
        <v>132</v>
      </c>
      <c r="I402" t="s">
        <v>2</v>
      </c>
      <c r="J402" t="s">
        <v>133</v>
      </c>
      <c r="K402" t="s">
        <v>52</v>
      </c>
      <c r="L402" t="s">
        <v>3042</v>
      </c>
      <c r="M402" t="s">
        <v>134</v>
      </c>
      <c r="N402" t="s">
        <v>135</v>
      </c>
      <c r="Q402" t="s">
        <v>168</v>
      </c>
      <c r="T402" t="s">
        <v>2165</v>
      </c>
      <c r="U402" t="s">
        <v>137</v>
      </c>
      <c r="V402" t="s">
        <v>296</v>
      </c>
      <c r="X402" t="s">
        <v>63</v>
      </c>
      <c r="AA402" t="s">
        <v>2163</v>
      </c>
      <c r="AB402" t="s">
        <v>2</v>
      </c>
      <c r="AC402" t="s">
        <v>138</v>
      </c>
      <c r="AD402" t="s">
        <v>128</v>
      </c>
      <c r="AE402" s="97">
        <f>VLOOKUP(A:A,SUMMERY!AA:AC,2,FALSE)</f>
        <v>46220</v>
      </c>
      <c r="AF402" s="6" t="str">
        <f>VLOOKUP(A:A,SUMMERY!AA:AC,3,FALSE)</f>
        <v>Priority-1</v>
      </c>
    </row>
    <row r="403" spans="1:32" x14ac:dyDescent="0.3">
      <c r="A403" t="s">
        <v>3051</v>
      </c>
      <c r="B403" t="s">
        <v>3052</v>
      </c>
      <c r="G403" t="s">
        <v>2162</v>
      </c>
      <c r="H403" t="s">
        <v>132</v>
      </c>
      <c r="I403" t="s">
        <v>2</v>
      </c>
      <c r="J403" t="s">
        <v>133</v>
      </c>
      <c r="K403" t="s">
        <v>52</v>
      </c>
      <c r="L403" t="s">
        <v>3042</v>
      </c>
      <c r="M403" t="s">
        <v>134</v>
      </c>
      <c r="N403" t="s">
        <v>135</v>
      </c>
      <c r="Q403" t="s">
        <v>168</v>
      </c>
      <c r="T403" t="s">
        <v>2165</v>
      </c>
      <c r="U403" t="s">
        <v>137</v>
      </c>
      <c r="V403" t="s">
        <v>296</v>
      </c>
      <c r="X403" t="s">
        <v>63</v>
      </c>
      <c r="AA403" t="s">
        <v>2163</v>
      </c>
      <c r="AB403" t="s">
        <v>2</v>
      </c>
      <c r="AC403" t="s">
        <v>138</v>
      </c>
      <c r="AD403" t="s">
        <v>128</v>
      </c>
      <c r="AE403" s="97">
        <f>VLOOKUP(A:A,SUMMERY!AA:AC,2,FALSE)</f>
        <v>46220</v>
      </c>
      <c r="AF403" s="6" t="str">
        <f>VLOOKUP(A:A,SUMMERY!AA:AC,3,FALSE)</f>
        <v>Priority-1</v>
      </c>
    </row>
    <row r="404" spans="1:32" x14ac:dyDescent="0.3">
      <c r="A404" t="s">
        <v>3053</v>
      </c>
      <c r="B404" t="s">
        <v>3054</v>
      </c>
      <c r="G404" t="s">
        <v>2162</v>
      </c>
      <c r="H404" t="s">
        <v>132</v>
      </c>
      <c r="I404" t="s">
        <v>2</v>
      </c>
      <c r="J404" t="s">
        <v>133</v>
      </c>
      <c r="K404" t="s">
        <v>52</v>
      </c>
      <c r="L404" t="s">
        <v>3055</v>
      </c>
      <c r="M404" t="s">
        <v>134</v>
      </c>
      <c r="N404" t="s">
        <v>135</v>
      </c>
      <c r="Q404" t="s">
        <v>168</v>
      </c>
      <c r="T404" t="s">
        <v>2165</v>
      </c>
      <c r="U404" t="s">
        <v>137</v>
      </c>
      <c r="V404" t="s">
        <v>300</v>
      </c>
      <c r="X404" t="s">
        <v>72</v>
      </c>
      <c r="AA404" t="s">
        <v>2163</v>
      </c>
      <c r="AB404" t="s">
        <v>2</v>
      </c>
      <c r="AC404" t="s">
        <v>138</v>
      </c>
      <c r="AD404" t="s">
        <v>128</v>
      </c>
      <c r="AE404" s="97">
        <f>VLOOKUP(A:A,SUMMERY!AA:AC,2,FALSE)</f>
        <v>46234</v>
      </c>
      <c r="AF404" s="6" t="str">
        <f>VLOOKUP(A:A,SUMMERY!AA:AC,3,FALSE)</f>
        <v>Priority-1</v>
      </c>
    </row>
    <row r="405" spans="1:32" x14ac:dyDescent="0.3">
      <c r="A405" t="s">
        <v>3056</v>
      </c>
      <c r="B405" t="s">
        <v>3057</v>
      </c>
      <c r="G405" t="s">
        <v>2162</v>
      </c>
      <c r="H405" t="s">
        <v>132</v>
      </c>
      <c r="I405" t="s">
        <v>2</v>
      </c>
      <c r="J405" t="s">
        <v>133</v>
      </c>
      <c r="K405" t="s">
        <v>52</v>
      </c>
      <c r="L405" t="s">
        <v>3055</v>
      </c>
      <c r="M405" t="s">
        <v>134</v>
      </c>
      <c r="N405" t="s">
        <v>135</v>
      </c>
      <c r="Q405" t="s">
        <v>168</v>
      </c>
      <c r="T405" t="s">
        <v>2165</v>
      </c>
      <c r="U405" t="s">
        <v>137</v>
      </c>
      <c r="V405" t="s">
        <v>300</v>
      </c>
      <c r="X405" t="s">
        <v>72</v>
      </c>
      <c r="AA405" t="s">
        <v>2163</v>
      </c>
      <c r="AB405" t="s">
        <v>2</v>
      </c>
      <c r="AC405" t="s">
        <v>138</v>
      </c>
      <c r="AD405" t="s">
        <v>128</v>
      </c>
      <c r="AE405" s="97">
        <f>VLOOKUP(A:A,SUMMERY!AA:AC,2,FALSE)</f>
        <v>46234</v>
      </c>
      <c r="AF405" s="6" t="str">
        <f>VLOOKUP(A:A,SUMMERY!AA:AC,3,FALSE)</f>
        <v>Priority-1</v>
      </c>
    </row>
    <row r="406" spans="1:32" x14ac:dyDescent="0.3">
      <c r="A406" t="s">
        <v>3058</v>
      </c>
      <c r="B406" t="s">
        <v>3059</v>
      </c>
      <c r="G406" t="s">
        <v>2162</v>
      </c>
      <c r="H406" t="s">
        <v>132</v>
      </c>
      <c r="I406" t="s">
        <v>2</v>
      </c>
      <c r="J406" t="s">
        <v>133</v>
      </c>
      <c r="K406" t="s">
        <v>52</v>
      </c>
      <c r="L406" t="s">
        <v>3055</v>
      </c>
      <c r="M406" t="s">
        <v>134</v>
      </c>
      <c r="N406" t="s">
        <v>135</v>
      </c>
      <c r="Q406" t="s">
        <v>168</v>
      </c>
      <c r="T406" t="s">
        <v>2165</v>
      </c>
      <c r="U406" t="s">
        <v>137</v>
      </c>
      <c r="V406" t="s">
        <v>300</v>
      </c>
      <c r="X406" t="s">
        <v>72</v>
      </c>
      <c r="AA406" t="s">
        <v>2163</v>
      </c>
      <c r="AB406" t="s">
        <v>2</v>
      </c>
      <c r="AC406" t="s">
        <v>138</v>
      </c>
      <c r="AD406" t="s">
        <v>128</v>
      </c>
      <c r="AE406" s="97">
        <f>VLOOKUP(A:A,SUMMERY!AA:AC,2,FALSE)</f>
        <v>46234</v>
      </c>
      <c r="AF406" s="6" t="str">
        <f>VLOOKUP(A:A,SUMMERY!AA:AC,3,FALSE)</f>
        <v>Priority-1</v>
      </c>
    </row>
    <row r="407" spans="1:32" x14ac:dyDescent="0.3">
      <c r="A407" t="s">
        <v>3060</v>
      </c>
      <c r="B407" t="s">
        <v>3061</v>
      </c>
      <c r="G407" t="s">
        <v>2162</v>
      </c>
      <c r="H407" t="s">
        <v>132</v>
      </c>
      <c r="I407" t="s">
        <v>2</v>
      </c>
      <c r="J407" t="s">
        <v>133</v>
      </c>
      <c r="K407" t="s">
        <v>52</v>
      </c>
      <c r="L407" t="s">
        <v>3055</v>
      </c>
      <c r="M407" t="s">
        <v>134</v>
      </c>
      <c r="N407" t="s">
        <v>135</v>
      </c>
      <c r="Q407" t="s">
        <v>168</v>
      </c>
      <c r="T407" t="s">
        <v>2165</v>
      </c>
      <c r="U407" t="s">
        <v>137</v>
      </c>
      <c r="V407" t="s">
        <v>300</v>
      </c>
      <c r="X407" t="s">
        <v>72</v>
      </c>
      <c r="AA407" t="s">
        <v>2163</v>
      </c>
      <c r="AB407" t="s">
        <v>2</v>
      </c>
      <c r="AC407" t="s">
        <v>138</v>
      </c>
      <c r="AD407" t="s">
        <v>128</v>
      </c>
      <c r="AE407" s="97">
        <f>VLOOKUP(A:A,SUMMERY!AA:AC,2,FALSE)</f>
        <v>46234</v>
      </c>
      <c r="AF407" s="6" t="str">
        <f>VLOOKUP(A:A,SUMMERY!AA:AC,3,FALSE)</f>
        <v>Priority-1</v>
      </c>
    </row>
    <row r="408" spans="1:32" x14ac:dyDescent="0.3">
      <c r="A408" t="s">
        <v>3062</v>
      </c>
      <c r="B408" t="s">
        <v>3063</v>
      </c>
      <c r="G408" t="s">
        <v>2162</v>
      </c>
      <c r="H408" t="s">
        <v>132</v>
      </c>
      <c r="I408" t="s">
        <v>2</v>
      </c>
      <c r="J408" t="s">
        <v>133</v>
      </c>
      <c r="K408" t="s">
        <v>52</v>
      </c>
      <c r="L408" t="s">
        <v>3055</v>
      </c>
      <c r="M408" t="s">
        <v>134</v>
      </c>
      <c r="N408" t="s">
        <v>135</v>
      </c>
      <c r="Q408" t="s">
        <v>168</v>
      </c>
      <c r="T408" t="s">
        <v>2165</v>
      </c>
      <c r="U408" t="s">
        <v>137</v>
      </c>
      <c r="V408" t="s">
        <v>300</v>
      </c>
      <c r="X408" t="s">
        <v>72</v>
      </c>
      <c r="AA408" t="s">
        <v>2163</v>
      </c>
      <c r="AB408" t="s">
        <v>2</v>
      </c>
      <c r="AC408" t="s">
        <v>138</v>
      </c>
      <c r="AD408" t="s">
        <v>128</v>
      </c>
      <c r="AE408" s="97">
        <f>VLOOKUP(A:A,SUMMERY!AA:AC,2,FALSE)</f>
        <v>46234</v>
      </c>
      <c r="AF408" s="6" t="str">
        <f>VLOOKUP(A:A,SUMMERY!AA:AC,3,FALSE)</f>
        <v>Priority-1</v>
      </c>
    </row>
    <row r="409" spans="1:32" x14ac:dyDescent="0.3">
      <c r="A409" t="s">
        <v>3064</v>
      </c>
      <c r="B409" t="s">
        <v>3065</v>
      </c>
      <c r="G409" t="s">
        <v>2162</v>
      </c>
      <c r="H409" t="s">
        <v>132</v>
      </c>
      <c r="I409" t="s">
        <v>2</v>
      </c>
      <c r="J409" t="s">
        <v>133</v>
      </c>
      <c r="K409" t="s">
        <v>52</v>
      </c>
      <c r="L409" t="s">
        <v>3055</v>
      </c>
      <c r="M409" t="s">
        <v>134</v>
      </c>
      <c r="N409" t="s">
        <v>135</v>
      </c>
      <c r="Q409" t="s">
        <v>168</v>
      </c>
      <c r="T409" t="s">
        <v>2165</v>
      </c>
      <c r="U409" t="s">
        <v>137</v>
      </c>
      <c r="V409" t="s">
        <v>300</v>
      </c>
      <c r="X409" t="s">
        <v>72</v>
      </c>
      <c r="AA409" t="s">
        <v>2163</v>
      </c>
      <c r="AB409" t="s">
        <v>2</v>
      </c>
      <c r="AC409" t="s">
        <v>138</v>
      </c>
      <c r="AD409" t="s">
        <v>128</v>
      </c>
      <c r="AE409" s="97">
        <f>VLOOKUP(A:A,SUMMERY!AA:AC,2,FALSE)</f>
        <v>46234</v>
      </c>
      <c r="AF409" s="6" t="str">
        <f>VLOOKUP(A:A,SUMMERY!AA:AC,3,FALSE)</f>
        <v>Priority-1</v>
      </c>
    </row>
    <row r="410" spans="1:32" x14ac:dyDescent="0.3">
      <c r="A410" t="s">
        <v>3131</v>
      </c>
      <c r="B410" t="s">
        <v>3132</v>
      </c>
      <c r="G410" t="s">
        <v>2162</v>
      </c>
      <c r="H410" t="s">
        <v>132</v>
      </c>
      <c r="I410" t="s">
        <v>2</v>
      </c>
      <c r="J410" t="s">
        <v>133</v>
      </c>
      <c r="K410" t="s">
        <v>52</v>
      </c>
      <c r="L410" t="s">
        <v>3133</v>
      </c>
      <c r="M410" t="s">
        <v>134</v>
      </c>
      <c r="N410" t="s">
        <v>135</v>
      </c>
      <c r="Q410" t="s">
        <v>168</v>
      </c>
      <c r="T410" t="s">
        <v>2165</v>
      </c>
      <c r="U410" t="s">
        <v>137</v>
      </c>
      <c r="V410" t="s">
        <v>147</v>
      </c>
      <c r="X410" t="s">
        <v>70</v>
      </c>
      <c r="AA410" t="s">
        <v>2163</v>
      </c>
      <c r="AB410" t="s">
        <v>2</v>
      </c>
      <c r="AC410" t="s">
        <v>138</v>
      </c>
      <c r="AD410" t="s">
        <v>128</v>
      </c>
      <c r="AE410" s="97">
        <f>VLOOKUP(A:A,SUMMERY!AA:AC,2,FALSE)</f>
        <v>46220</v>
      </c>
      <c r="AF410" s="6" t="str">
        <f>VLOOKUP(A:A,SUMMERY!AA:AC,3,FALSE)</f>
        <v>Priority-1</v>
      </c>
    </row>
    <row r="411" spans="1:32" x14ac:dyDescent="0.3">
      <c r="A411" t="s">
        <v>3134</v>
      </c>
      <c r="B411" t="s">
        <v>3135</v>
      </c>
      <c r="G411" t="s">
        <v>2162</v>
      </c>
      <c r="H411" t="s">
        <v>132</v>
      </c>
      <c r="I411" t="s">
        <v>2</v>
      </c>
      <c r="J411" t="s">
        <v>133</v>
      </c>
      <c r="K411" t="s">
        <v>52</v>
      </c>
      <c r="L411" t="s">
        <v>3133</v>
      </c>
      <c r="M411" t="s">
        <v>134</v>
      </c>
      <c r="N411" t="s">
        <v>135</v>
      </c>
      <c r="Q411" t="s">
        <v>168</v>
      </c>
      <c r="T411" t="s">
        <v>2165</v>
      </c>
      <c r="U411" t="s">
        <v>137</v>
      </c>
      <c r="V411" t="s">
        <v>147</v>
      </c>
      <c r="X411" t="s">
        <v>70</v>
      </c>
      <c r="AA411" t="s">
        <v>2163</v>
      </c>
      <c r="AB411" t="s">
        <v>2</v>
      </c>
      <c r="AC411" t="s">
        <v>138</v>
      </c>
      <c r="AD411" t="s">
        <v>128</v>
      </c>
      <c r="AE411" s="97">
        <f>VLOOKUP(A:A,SUMMERY!AA:AC,2,FALSE)</f>
        <v>46220</v>
      </c>
      <c r="AF411" s="6" t="str">
        <f>VLOOKUP(A:A,SUMMERY!AA:AC,3,FALSE)</f>
        <v>Priority-1</v>
      </c>
    </row>
    <row r="412" spans="1:32" x14ac:dyDescent="0.3">
      <c r="A412" t="s">
        <v>3136</v>
      </c>
      <c r="B412" t="s">
        <v>3137</v>
      </c>
      <c r="G412" t="s">
        <v>2162</v>
      </c>
      <c r="H412" t="s">
        <v>132</v>
      </c>
      <c r="I412" t="s">
        <v>2</v>
      </c>
      <c r="J412" t="s">
        <v>133</v>
      </c>
      <c r="K412" t="s">
        <v>52</v>
      </c>
      <c r="L412" t="s">
        <v>3133</v>
      </c>
      <c r="M412" t="s">
        <v>134</v>
      </c>
      <c r="N412" t="s">
        <v>135</v>
      </c>
      <c r="Q412" t="s">
        <v>168</v>
      </c>
      <c r="T412" t="s">
        <v>2165</v>
      </c>
      <c r="U412" t="s">
        <v>137</v>
      </c>
      <c r="V412" t="s">
        <v>147</v>
      </c>
      <c r="X412" t="s">
        <v>70</v>
      </c>
      <c r="AA412" t="s">
        <v>2163</v>
      </c>
      <c r="AB412" t="s">
        <v>2</v>
      </c>
      <c r="AC412" t="s">
        <v>138</v>
      </c>
      <c r="AD412" t="s">
        <v>128</v>
      </c>
      <c r="AE412" s="97">
        <f>VLOOKUP(A:A,SUMMERY!AA:AC,2,FALSE)</f>
        <v>46220</v>
      </c>
      <c r="AF412" s="6" t="str">
        <f>VLOOKUP(A:A,SUMMERY!AA:AC,3,FALSE)</f>
        <v>Priority-1</v>
      </c>
    </row>
    <row r="413" spans="1:32" x14ac:dyDescent="0.3">
      <c r="A413" t="s">
        <v>3138</v>
      </c>
      <c r="B413" t="s">
        <v>3139</v>
      </c>
      <c r="G413" t="s">
        <v>2162</v>
      </c>
      <c r="H413" t="s">
        <v>132</v>
      </c>
      <c r="I413" t="s">
        <v>2</v>
      </c>
      <c r="J413" t="s">
        <v>133</v>
      </c>
      <c r="K413" t="s">
        <v>52</v>
      </c>
      <c r="L413" t="s">
        <v>3140</v>
      </c>
      <c r="M413" t="s">
        <v>134</v>
      </c>
      <c r="N413" t="s">
        <v>135</v>
      </c>
      <c r="Q413" t="s">
        <v>168</v>
      </c>
      <c r="T413" t="s">
        <v>2165</v>
      </c>
      <c r="U413" t="s">
        <v>137</v>
      </c>
      <c r="V413" t="s">
        <v>147</v>
      </c>
      <c r="X413" t="s">
        <v>70</v>
      </c>
      <c r="AA413" t="s">
        <v>2163</v>
      </c>
      <c r="AB413" t="s">
        <v>2</v>
      </c>
      <c r="AC413" t="s">
        <v>138</v>
      </c>
      <c r="AD413" t="s">
        <v>128</v>
      </c>
      <c r="AE413" s="97">
        <f>VLOOKUP(A:A,SUMMERY!AA:AC,2,FALSE)</f>
        <v>46220</v>
      </c>
      <c r="AF413" s="6" t="str">
        <f>VLOOKUP(A:A,SUMMERY!AA:AC,3,FALSE)</f>
        <v>Priority-1</v>
      </c>
    </row>
    <row r="414" spans="1:32" x14ac:dyDescent="0.3">
      <c r="A414" t="s">
        <v>3141</v>
      </c>
      <c r="B414" t="s">
        <v>3142</v>
      </c>
      <c r="G414" t="s">
        <v>2162</v>
      </c>
      <c r="H414" t="s">
        <v>132</v>
      </c>
      <c r="I414" t="s">
        <v>2</v>
      </c>
      <c r="J414" t="s">
        <v>133</v>
      </c>
      <c r="K414" t="s">
        <v>52</v>
      </c>
      <c r="L414" t="s">
        <v>3140</v>
      </c>
      <c r="M414" t="s">
        <v>134</v>
      </c>
      <c r="N414" t="s">
        <v>135</v>
      </c>
      <c r="Q414" t="s">
        <v>168</v>
      </c>
      <c r="T414" t="s">
        <v>2165</v>
      </c>
      <c r="U414" t="s">
        <v>137</v>
      </c>
      <c r="V414" t="s">
        <v>147</v>
      </c>
      <c r="X414" t="s">
        <v>70</v>
      </c>
      <c r="AA414" t="s">
        <v>2163</v>
      </c>
      <c r="AB414" t="s">
        <v>2</v>
      </c>
      <c r="AC414" t="s">
        <v>138</v>
      </c>
      <c r="AD414" t="s">
        <v>128</v>
      </c>
      <c r="AE414" s="97">
        <f>VLOOKUP(A:A,SUMMERY!AA:AC,2,FALSE)</f>
        <v>46220</v>
      </c>
      <c r="AF414" s="6" t="str">
        <f>VLOOKUP(A:A,SUMMERY!AA:AC,3,FALSE)</f>
        <v>Priority-1</v>
      </c>
    </row>
    <row r="415" spans="1:32" x14ac:dyDescent="0.3">
      <c r="A415" t="s">
        <v>3143</v>
      </c>
      <c r="B415" t="s">
        <v>3144</v>
      </c>
      <c r="G415" t="s">
        <v>2162</v>
      </c>
      <c r="H415" t="s">
        <v>132</v>
      </c>
      <c r="I415" t="s">
        <v>2</v>
      </c>
      <c r="J415" t="s">
        <v>133</v>
      </c>
      <c r="K415" t="s">
        <v>52</v>
      </c>
      <c r="L415" t="s">
        <v>3140</v>
      </c>
      <c r="M415" t="s">
        <v>134</v>
      </c>
      <c r="N415" t="s">
        <v>135</v>
      </c>
      <c r="Q415" t="s">
        <v>168</v>
      </c>
      <c r="T415" t="s">
        <v>2165</v>
      </c>
      <c r="U415" t="s">
        <v>137</v>
      </c>
      <c r="V415" t="s">
        <v>147</v>
      </c>
      <c r="X415" t="s">
        <v>70</v>
      </c>
      <c r="AA415" t="s">
        <v>2163</v>
      </c>
      <c r="AB415" t="s">
        <v>2</v>
      </c>
      <c r="AC415" t="s">
        <v>138</v>
      </c>
      <c r="AD415" t="s">
        <v>128</v>
      </c>
      <c r="AE415" s="97">
        <f>VLOOKUP(A:A,SUMMERY!AA:AC,2,FALSE)</f>
        <v>46220</v>
      </c>
      <c r="AF415" s="6" t="str">
        <f>VLOOKUP(A:A,SUMMERY!AA:AC,3,FALSE)</f>
        <v>Priority-1</v>
      </c>
    </row>
    <row r="416" spans="1:32" x14ac:dyDescent="0.3">
      <c r="A416" t="s">
        <v>3145</v>
      </c>
      <c r="B416" t="s">
        <v>3146</v>
      </c>
      <c r="G416" t="s">
        <v>2162</v>
      </c>
      <c r="H416" t="s">
        <v>132</v>
      </c>
      <c r="I416" t="s">
        <v>2</v>
      </c>
      <c r="J416" t="s">
        <v>133</v>
      </c>
      <c r="K416" t="s">
        <v>52</v>
      </c>
      <c r="L416" t="s">
        <v>3147</v>
      </c>
      <c r="M416" t="s">
        <v>134</v>
      </c>
      <c r="N416" t="s">
        <v>135</v>
      </c>
      <c r="Q416" t="s">
        <v>168</v>
      </c>
      <c r="T416" t="s">
        <v>2165</v>
      </c>
      <c r="U416" t="s">
        <v>137</v>
      </c>
      <c r="V416" t="s">
        <v>147</v>
      </c>
      <c r="X416" t="s">
        <v>70</v>
      </c>
      <c r="AA416" t="s">
        <v>2163</v>
      </c>
      <c r="AB416" t="s">
        <v>2</v>
      </c>
      <c r="AC416" t="s">
        <v>138</v>
      </c>
      <c r="AD416" t="s">
        <v>128</v>
      </c>
      <c r="AE416" s="97">
        <f>VLOOKUP(A:A,SUMMERY!AA:AC,2,FALSE)</f>
        <v>46220</v>
      </c>
      <c r="AF416" s="6" t="str">
        <f>VLOOKUP(A:A,SUMMERY!AA:AC,3,FALSE)</f>
        <v>Priority-1</v>
      </c>
    </row>
    <row r="417" spans="1:32" x14ac:dyDescent="0.3">
      <c r="A417" t="s">
        <v>3148</v>
      </c>
      <c r="B417" t="s">
        <v>3149</v>
      </c>
      <c r="G417" t="s">
        <v>2162</v>
      </c>
      <c r="H417" t="s">
        <v>132</v>
      </c>
      <c r="I417" t="s">
        <v>2</v>
      </c>
      <c r="J417" t="s">
        <v>133</v>
      </c>
      <c r="K417" t="s">
        <v>52</v>
      </c>
      <c r="L417" t="s">
        <v>3147</v>
      </c>
      <c r="M417" t="s">
        <v>134</v>
      </c>
      <c r="N417" t="s">
        <v>135</v>
      </c>
      <c r="Q417" t="s">
        <v>168</v>
      </c>
      <c r="T417" t="s">
        <v>2165</v>
      </c>
      <c r="U417" t="s">
        <v>137</v>
      </c>
      <c r="V417" t="s">
        <v>147</v>
      </c>
      <c r="X417" t="s">
        <v>70</v>
      </c>
      <c r="AA417" t="s">
        <v>2163</v>
      </c>
      <c r="AB417" t="s">
        <v>2</v>
      </c>
      <c r="AC417" t="s">
        <v>138</v>
      </c>
      <c r="AD417" t="s">
        <v>128</v>
      </c>
      <c r="AE417" s="97">
        <f>VLOOKUP(A:A,SUMMERY!AA:AC,2,FALSE)</f>
        <v>46220</v>
      </c>
      <c r="AF417" s="6" t="str">
        <f>VLOOKUP(A:A,SUMMERY!AA:AC,3,FALSE)</f>
        <v>Priority-1</v>
      </c>
    </row>
    <row r="418" spans="1:32" x14ac:dyDescent="0.3">
      <c r="A418" t="s">
        <v>3150</v>
      </c>
      <c r="B418" t="s">
        <v>3151</v>
      </c>
      <c r="G418" t="s">
        <v>2162</v>
      </c>
      <c r="H418" t="s">
        <v>132</v>
      </c>
      <c r="I418" t="s">
        <v>2</v>
      </c>
      <c r="J418" t="s">
        <v>133</v>
      </c>
      <c r="K418" t="s">
        <v>52</v>
      </c>
      <c r="L418" t="s">
        <v>3147</v>
      </c>
      <c r="M418" t="s">
        <v>134</v>
      </c>
      <c r="N418" t="s">
        <v>135</v>
      </c>
      <c r="Q418" t="s">
        <v>168</v>
      </c>
      <c r="T418" t="s">
        <v>2165</v>
      </c>
      <c r="U418" t="s">
        <v>137</v>
      </c>
      <c r="V418" t="s">
        <v>147</v>
      </c>
      <c r="X418" t="s">
        <v>70</v>
      </c>
      <c r="AA418" t="s">
        <v>2163</v>
      </c>
      <c r="AB418" t="s">
        <v>2</v>
      </c>
      <c r="AC418" t="s">
        <v>138</v>
      </c>
      <c r="AD418" t="s">
        <v>128</v>
      </c>
      <c r="AE418" s="97">
        <f>VLOOKUP(A:A,SUMMERY!AA:AC,2,FALSE)</f>
        <v>46220</v>
      </c>
      <c r="AF418" s="6" t="str">
        <f>VLOOKUP(A:A,SUMMERY!AA:AC,3,FALSE)</f>
        <v>Priority-1</v>
      </c>
    </row>
    <row r="419" spans="1:32" x14ac:dyDescent="0.3">
      <c r="A419" t="s">
        <v>3166</v>
      </c>
      <c r="B419" t="s">
        <v>3167</v>
      </c>
      <c r="G419" t="s">
        <v>2162</v>
      </c>
      <c r="H419" t="s">
        <v>132</v>
      </c>
      <c r="I419" t="s">
        <v>2</v>
      </c>
      <c r="J419" t="s">
        <v>133</v>
      </c>
      <c r="K419" t="s">
        <v>52</v>
      </c>
      <c r="L419" t="s">
        <v>3168</v>
      </c>
      <c r="M419" t="s">
        <v>134</v>
      </c>
      <c r="N419" t="s">
        <v>135</v>
      </c>
      <c r="Q419" t="s">
        <v>168</v>
      </c>
      <c r="T419" t="s">
        <v>2165</v>
      </c>
      <c r="U419" t="s">
        <v>137</v>
      </c>
      <c r="V419" t="s">
        <v>162</v>
      </c>
      <c r="X419" t="s">
        <v>113</v>
      </c>
      <c r="AA419" t="s">
        <v>2163</v>
      </c>
      <c r="AB419" t="s">
        <v>2</v>
      </c>
      <c r="AC419" t="s">
        <v>138</v>
      </c>
      <c r="AD419" t="s">
        <v>129</v>
      </c>
      <c r="AE419" s="97">
        <f>VLOOKUP(A:A,SUMMERY!AA:AC,2,FALSE)</f>
        <v>46234</v>
      </c>
      <c r="AF419" s="6" t="str">
        <f>VLOOKUP(A:A,SUMMERY!AA:AC,3,FALSE)</f>
        <v>Priority-1</v>
      </c>
    </row>
    <row r="420" spans="1:32" x14ac:dyDescent="0.3">
      <c r="A420" t="s">
        <v>3169</v>
      </c>
      <c r="B420" t="s">
        <v>3170</v>
      </c>
      <c r="G420" t="s">
        <v>2162</v>
      </c>
      <c r="H420" t="s">
        <v>132</v>
      </c>
      <c r="I420" t="s">
        <v>2</v>
      </c>
      <c r="J420" t="s">
        <v>133</v>
      </c>
      <c r="K420" t="s">
        <v>52</v>
      </c>
      <c r="L420" t="s">
        <v>3168</v>
      </c>
      <c r="M420" t="s">
        <v>134</v>
      </c>
      <c r="N420" t="s">
        <v>135</v>
      </c>
      <c r="Q420" t="s">
        <v>168</v>
      </c>
      <c r="T420" t="s">
        <v>2165</v>
      </c>
      <c r="U420" t="s">
        <v>137</v>
      </c>
      <c r="V420" t="s">
        <v>162</v>
      </c>
      <c r="X420" t="s">
        <v>113</v>
      </c>
      <c r="AA420" t="s">
        <v>2163</v>
      </c>
      <c r="AB420" t="s">
        <v>2</v>
      </c>
      <c r="AC420" t="s">
        <v>138</v>
      </c>
      <c r="AD420" t="s">
        <v>129</v>
      </c>
      <c r="AE420" s="97">
        <f>VLOOKUP(A:A,SUMMERY!AA:AC,2,FALSE)</f>
        <v>46234</v>
      </c>
      <c r="AF420" s="6" t="str">
        <f>VLOOKUP(A:A,SUMMERY!AA:AC,3,FALSE)</f>
        <v>Priority-1</v>
      </c>
    </row>
    <row r="421" spans="1:32" x14ac:dyDescent="0.3">
      <c r="A421" t="s">
        <v>3171</v>
      </c>
      <c r="B421" t="s">
        <v>3172</v>
      </c>
      <c r="G421" t="s">
        <v>2162</v>
      </c>
      <c r="H421" t="s">
        <v>132</v>
      </c>
      <c r="I421" t="s">
        <v>2</v>
      </c>
      <c r="J421" t="s">
        <v>133</v>
      </c>
      <c r="K421" t="s">
        <v>52</v>
      </c>
      <c r="L421" t="s">
        <v>3168</v>
      </c>
      <c r="M421" t="s">
        <v>134</v>
      </c>
      <c r="N421" t="s">
        <v>135</v>
      </c>
      <c r="Q421" t="s">
        <v>168</v>
      </c>
      <c r="T421" t="s">
        <v>2165</v>
      </c>
      <c r="U421" t="s">
        <v>137</v>
      </c>
      <c r="V421" t="s">
        <v>162</v>
      </c>
      <c r="X421" t="s">
        <v>113</v>
      </c>
      <c r="AA421" t="s">
        <v>2163</v>
      </c>
      <c r="AB421" t="s">
        <v>2</v>
      </c>
      <c r="AC421" t="s">
        <v>138</v>
      </c>
      <c r="AD421" t="s">
        <v>129</v>
      </c>
      <c r="AE421" s="97">
        <f>VLOOKUP(A:A,SUMMERY!AA:AC,2,FALSE)</f>
        <v>46234</v>
      </c>
      <c r="AF421" s="6" t="str">
        <f>VLOOKUP(A:A,SUMMERY!AA:AC,3,FALSE)</f>
        <v>Priority-1</v>
      </c>
    </row>
    <row r="422" spans="1:32" x14ac:dyDescent="0.3">
      <c r="A422" t="s">
        <v>3173</v>
      </c>
      <c r="B422" t="s">
        <v>3174</v>
      </c>
      <c r="G422" t="s">
        <v>2162</v>
      </c>
      <c r="H422" t="s">
        <v>132</v>
      </c>
      <c r="I422" t="s">
        <v>2</v>
      </c>
      <c r="J422" t="s">
        <v>133</v>
      </c>
      <c r="K422" t="s">
        <v>52</v>
      </c>
      <c r="L422" t="s">
        <v>3175</v>
      </c>
      <c r="M422" t="s">
        <v>134</v>
      </c>
      <c r="N422" t="s">
        <v>135</v>
      </c>
      <c r="Q422" t="s">
        <v>168</v>
      </c>
      <c r="T422" t="s">
        <v>2165</v>
      </c>
      <c r="U422" t="s">
        <v>137</v>
      </c>
      <c r="V422" t="s">
        <v>162</v>
      </c>
      <c r="X422" t="s">
        <v>113</v>
      </c>
      <c r="AA422" t="s">
        <v>2163</v>
      </c>
      <c r="AB422" t="s">
        <v>2</v>
      </c>
      <c r="AC422" t="s">
        <v>138</v>
      </c>
      <c r="AD422" t="s">
        <v>129</v>
      </c>
      <c r="AE422" s="97">
        <f>VLOOKUP(A:A,SUMMERY!AA:AC,2,FALSE)</f>
        <v>46234</v>
      </c>
      <c r="AF422" s="6" t="str">
        <f>VLOOKUP(A:A,SUMMERY!AA:AC,3,FALSE)</f>
        <v>Priority-1</v>
      </c>
    </row>
    <row r="423" spans="1:32" x14ac:dyDescent="0.3">
      <c r="A423" t="s">
        <v>3176</v>
      </c>
      <c r="B423" t="s">
        <v>3177</v>
      </c>
      <c r="G423" t="s">
        <v>2162</v>
      </c>
      <c r="H423" t="s">
        <v>132</v>
      </c>
      <c r="I423" t="s">
        <v>2</v>
      </c>
      <c r="J423" t="s">
        <v>133</v>
      </c>
      <c r="K423" t="s">
        <v>52</v>
      </c>
      <c r="L423" t="s">
        <v>3175</v>
      </c>
      <c r="M423" t="s">
        <v>134</v>
      </c>
      <c r="N423" t="s">
        <v>135</v>
      </c>
      <c r="Q423" t="s">
        <v>168</v>
      </c>
      <c r="T423" t="s">
        <v>2165</v>
      </c>
      <c r="U423" t="s">
        <v>137</v>
      </c>
      <c r="V423" t="s">
        <v>162</v>
      </c>
      <c r="X423" t="s">
        <v>113</v>
      </c>
      <c r="AA423" t="s">
        <v>2163</v>
      </c>
      <c r="AB423" t="s">
        <v>2</v>
      </c>
      <c r="AC423" t="s">
        <v>138</v>
      </c>
      <c r="AD423" t="s">
        <v>129</v>
      </c>
      <c r="AE423" s="97">
        <f>VLOOKUP(A:A,SUMMERY!AA:AC,2,FALSE)</f>
        <v>46234</v>
      </c>
      <c r="AF423" s="6" t="str">
        <f>VLOOKUP(A:A,SUMMERY!AA:AC,3,FALSE)</f>
        <v>Priority-1</v>
      </c>
    </row>
    <row r="424" spans="1:32" x14ac:dyDescent="0.3">
      <c r="A424" t="s">
        <v>3178</v>
      </c>
      <c r="B424" t="s">
        <v>3179</v>
      </c>
      <c r="G424" t="s">
        <v>2162</v>
      </c>
      <c r="H424" t="s">
        <v>132</v>
      </c>
      <c r="I424" t="s">
        <v>2</v>
      </c>
      <c r="J424" t="s">
        <v>133</v>
      </c>
      <c r="K424" t="s">
        <v>52</v>
      </c>
      <c r="L424" t="s">
        <v>3175</v>
      </c>
      <c r="M424" t="s">
        <v>134</v>
      </c>
      <c r="N424" t="s">
        <v>135</v>
      </c>
      <c r="Q424" t="s">
        <v>168</v>
      </c>
      <c r="T424" t="s">
        <v>2165</v>
      </c>
      <c r="U424" t="s">
        <v>137</v>
      </c>
      <c r="V424" t="s">
        <v>162</v>
      </c>
      <c r="X424" t="s">
        <v>113</v>
      </c>
      <c r="AA424" t="s">
        <v>2163</v>
      </c>
      <c r="AB424" t="s">
        <v>2</v>
      </c>
      <c r="AC424" t="s">
        <v>138</v>
      </c>
      <c r="AD424" t="s">
        <v>129</v>
      </c>
      <c r="AE424" s="97">
        <f>VLOOKUP(A:A,SUMMERY!AA:AC,2,FALSE)</f>
        <v>46234</v>
      </c>
      <c r="AF424" s="6" t="str">
        <f>VLOOKUP(A:A,SUMMERY!AA:AC,3,FALSE)</f>
        <v>Priority-1</v>
      </c>
    </row>
    <row r="425" spans="1:32" x14ac:dyDescent="0.3">
      <c r="A425" t="s">
        <v>3180</v>
      </c>
      <c r="B425" t="s">
        <v>3181</v>
      </c>
      <c r="G425" t="s">
        <v>2162</v>
      </c>
      <c r="H425" t="s">
        <v>132</v>
      </c>
      <c r="I425" t="s">
        <v>2</v>
      </c>
      <c r="J425" t="s">
        <v>133</v>
      </c>
      <c r="K425" t="s">
        <v>52</v>
      </c>
      <c r="L425" t="s">
        <v>3182</v>
      </c>
      <c r="M425" t="s">
        <v>134</v>
      </c>
      <c r="N425" t="s">
        <v>135</v>
      </c>
      <c r="Q425" t="s">
        <v>168</v>
      </c>
      <c r="T425" t="s">
        <v>2165</v>
      </c>
      <c r="U425" t="s">
        <v>137</v>
      </c>
      <c r="V425" t="s">
        <v>352</v>
      </c>
      <c r="X425" t="s">
        <v>56</v>
      </c>
      <c r="AA425" t="s">
        <v>2163</v>
      </c>
      <c r="AB425" t="s">
        <v>2</v>
      </c>
      <c r="AC425" t="s">
        <v>138</v>
      </c>
      <c r="AD425" t="s">
        <v>128</v>
      </c>
      <c r="AE425" s="97">
        <f>VLOOKUP(A:A,SUMMERY!AA:AC,2,FALSE)</f>
        <v>46233</v>
      </c>
      <c r="AF425" s="6" t="str">
        <f>VLOOKUP(A:A,SUMMERY!AA:AC,3,FALSE)</f>
        <v>Priority-1</v>
      </c>
    </row>
    <row r="426" spans="1:32" x14ac:dyDescent="0.3">
      <c r="A426" t="s">
        <v>3183</v>
      </c>
      <c r="B426" t="s">
        <v>3184</v>
      </c>
      <c r="G426" t="s">
        <v>2162</v>
      </c>
      <c r="H426" t="s">
        <v>132</v>
      </c>
      <c r="I426" t="s">
        <v>2</v>
      </c>
      <c r="J426" t="s">
        <v>133</v>
      </c>
      <c r="K426" t="s">
        <v>52</v>
      </c>
      <c r="L426" t="s">
        <v>3185</v>
      </c>
      <c r="M426" t="s">
        <v>134</v>
      </c>
      <c r="N426" t="s">
        <v>135</v>
      </c>
      <c r="Q426" t="s">
        <v>168</v>
      </c>
      <c r="T426" t="s">
        <v>2165</v>
      </c>
      <c r="U426" t="s">
        <v>137</v>
      </c>
      <c r="V426" t="s">
        <v>358</v>
      </c>
      <c r="X426" t="s">
        <v>124</v>
      </c>
      <c r="AA426" t="s">
        <v>2163</v>
      </c>
      <c r="AB426" t="s">
        <v>2</v>
      </c>
      <c r="AC426" t="s">
        <v>138</v>
      </c>
      <c r="AD426" t="s">
        <v>130</v>
      </c>
      <c r="AE426" s="97">
        <f>VLOOKUP(A:A,SUMMERY!AA:AC,2,FALSE)</f>
        <v>46234</v>
      </c>
      <c r="AF426" s="6" t="str">
        <f>VLOOKUP(A:A,SUMMERY!AA:AC,3,FALSE)</f>
        <v>Priority-1</v>
      </c>
    </row>
    <row r="427" spans="1:32" x14ac:dyDescent="0.3">
      <c r="A427" t="s">
        <v>3186</v>
      </c>
      <c r="B427" t="s">
        <v>3187</v>
      </c>
      <c r="G427" t="s">
        <v>2162</v>
      </c>
      <c r="H427" t="s">
        <v>132</v>
      </c>
      <c r="I427" t="s">
        <v>2</v>
      </c>
      <c r="J427" t="s">
        <v>133</v>
      </c>
      <c r="K427" t="s">
        <v>52</v>
      </c>
      <c r="L427" t="s">
        <v>3188</v>
      </c>
      <c r="M427" t="s">
        <v>134</v>
      </c>
      <c r="N427" t="s">
        <v>135</v>
      </c>
      <c r="Q427" t="s">
        <v>168</v>
      </c>
      <c r="T427" t="s">
        <v>2165</v>
      </c>
      <c r="U427" t="s">
        <v>137</v>
      </c>
      <c r="V427" t="s">
        <v>358</v>
      </c>
      <c r="X427" t="s">
        <v>124</v>
      </c>
      <c r="AA427" t="s">
        <v>2163</v>
      </c>
      <c r="AB427" t="s">
        <v>2</v>
      </c>
      <c r="AC427" t="s">
        <v>138</v>
      </c>
      <c r="AD427" t="s">
        <v>130</v>
      </c>
      <c r="AE427" s="97">
        <f>VLOOKUP(A:A,SUMMERY!AA:AC,2,FALSE)</f>
        <v>46234</v>
      </c>
      <c r="AF427" s="6" t="str">
        <f>VLOOKUP(A:A,SUMMERY!AA:AC,3,FALSE)</f>
        <v>Priority-1</v>
      </c>
    </row>
    <row r="428" spans="1:32" x14ac:dyDescent="0.3">
      <c r="A428" t="s">
        <v>3189</v>
      </c>
      <c r="B428" t="s">
        <v>3190</v>
      </c>
      <c r="G428" t="s">
        <v>2162</v>
      </c>
      <c r="H428" t="s">
        <v>132</v>
      </c>
      <c r="I428" t="s">
        <v>2</v>
      </c>
      <c r="J428" t="s">
        <v>133</v>
      </c>
      <c r="K428" t="s">
        <v>52</v>
      </c>
      <c r="L428" t="s">
        <v>3191</v>
      </c>
      <c r="M428" t="s">
        <v>134</v>
      </c>
      <c r="N428" t="s">
        <v>135</v>
      </c>
      <c r="Q428" t="s">
        <v>168</v>
      </c>
      <c r="T428" t="s">
        <v>2165</v>
      </c>
      <c r="U428" t="s">
        <v>137</v>
      </c>
      <c r="V428" t="s">
        <v>358</v>
      </c>
      <c r="X428" t="s">
        <v>124</v>
      </c>
      <c r="AA428" t="s">
        <v>2163</v>
      </c>
      <c r="AB428" t="s">
        <v>2</v>
      </c>
      <c r="AC428" t="s">
        <v>138</v>
      </c>
      <c r="AD428" t="s">
        <v>130</v>
      </c>
      <c r="AE428" s="97">
        <f>VLOOKUP(A:A,SUMMERY!AA:AC,2,FALSE)</f>
        <v>46234</v>
      </c>
      <c r="AF428" s="6" t="str">
        <f>VLOOKUP(A:A,SUMMERY!AA:AC,3,FALSE)</f>
        <v>Priority-1</v>
      </c>
    </row>
    <row r="429" spans="1:32" x14ac:dyDescent="0.3">
      <c r="A429" t="s">
        <v>3192</v>
      </c>
      <c r="B429" t="s">
        <v>3193</v>
      </c>
      <c r="G429" t="s">
        <v>2162</v>
      </c>
      <c r="H429" t="s">
        <v>132</v>
      </c>
      <c r="I429" t="s">
        <v>2</v>
      </c>
      <c r="J429" t="s">
        <v>133</v>
      </c>
      <c r="K429" t="s">
        <v>52</v>
      </c>
      <c r="L429" t="s">
        <v>3194</v>
      </c>
      <c r="M429" t="s">
        <v>134</v>
      </c>
      <c r="N429" t="s">
        <v>135</v>
      </c>
      <c r="Q429" t="s">
        <v>168</v>
      </c>
      <c r="T429" t="s">
        <v>2165</v>
      </c>
      <c r="U429" t="s">
        <v>137</v>
      </c>
      <c r="V429" t="s">
        <v>358</v>
      </c>
      <c r="X429" t="s">
        <v>124</v>
      </c>
      <c r="AA429" t="s">
        <v>2163</v>
      </c>
      <c r="AB429" t="s">
        <v>2</v>
      </c>
      <c r="AC429" t="s">
        <v>138</v>
      </c>
      <c r="AD429" t="s">
        <v>130</v>
      </c>
      <c r="AE429" s="97">
        <f>VLOOKUP(A:A,SUMMERY!AA:AC,2,FALSE)</f>
        <v>46234</v>
      </c>
      <c r="AF429" s="6" t="str">
        <f>VLOOKUP(A:A,SUMMERY!AA:AC,3,FALSE)</f>
        <v>Priority-1</v>
      </c>
    </row>
    <row r="430" spans="1:32" x14ac:dyDescent="0.3">
      <c r="A430" t="s">
        <v>3195</v>
      </c>
      <c r="B430" t="s">
        <v>3196</v>
      </c>
      <c r="G430" t="s">
        <v>2162</v>
      </c>
      <c r="H430" t="s">
        <v>132</v>
      </c>
      <c r="I430" t="s">
        <v>2</v>
      </c>
      <c r="J430" t="s">
        <v>133</v>
      </c>
      <c r="K430" t="s">
        <v>52</v>
      </c>
      <c r="L430" t="s">
        <v>3197</v>
      </c>
      <c r="M430" t="s">
        <v>134</v>
      </c>
      <c r="N430" t="s">
        <v>135</v>
      </c>
      <c r="Q430" t="s">
        <v>168</v>
      </c>
      <c r="T430" t="s">
        <v>2165</v>
      </c>
      <c r="U430" t="s">
        <v>137</v>
      </c>
      <c r="V430" t="s">
        <v>358</v>
      </c>
      <c r="X430" t="s">
        <v>124</v>
      </c>
      <c r="AA430" t="s">
        <v>2163</v>
      </c>
      <c r="AB430" t="s">
        <v>2</v>
      </c>
      <c r="AC430" t="s">
        <v>138</v>
      </c>
      <c r="AD430" t="s">
        <v>130</v>
      </c>
      <c r="AE430" s="97">
        <f>VLOOKUP(A:A,SUMMERY!AA:AC,2,FALSE)</f>
        <v>46234</v>
      </c>
      <c r="AF430" s="6" t="str">
        <f>VLOOKUP(A:A,SUMMERY!AA:AC,3,FALSE)</f>
        <v>Priority-1</v>
      </c>
    </row>
    <row r="431" spans="1:32" x14ac:dyDescent="0.3">
      <c r="A431" t="s">
        <v>3198</v>
      </c>
      <c r="B431" t="s">
        <v>3199</v>
      </c>
      <c r="G431" t="s">
        <v>2162</v>
      </c>
      <c r="H431" t="s">
        <v>132</v>
      </c>
      <c r="I431" t="s">
        <v>2</v>
      </c>
      <c r="J431" t="s">
        <v>133</v>
      </c>
      <c r="K431" t="s">
        <v>52</v>
      </c>
      <c r="L431" t="s">
        <v>3200</v>
      </c>
      <c r="M431" t="s">
        <v>134</v>
      </c>
      <c r="N431" t="s">
        <v>135</v>
      </c>
      <c r="Q431" t="s">
        <v>168</v>
      </c>
      <c r="T431" t="s">
        <v>2165</v>
      </c>
      <c r="U431" t="s">
        <v>137</v>
      </c>
      <c r="V431" t="s">
        <v>358</v>
      </c>
      <c r="X431" t="s">
        <v>124</v>
      </c>
      <c r="AA431" t="s">
        <v>2163</v>
      </c>
      <c r="AB431" t="s">
        <v>2</v>
      </c>
      <c r="AC431" t="s">
        <v>138</v>
      </c>
      <c r="AD431" t="s">
        <v>130</v>
      </c>
      <c r="AE431" s="97">
        <f>VLOOKUP(A:A,SUMMERY!AA:AC,2,FALSE)</f>
        <v>46234</v>
      </c>
      <c r="AF431" s="6" t="str">
        <f>VLOOKUP(A:A,SUMMERY!AA:AC,3,FALSE)</f>
        <v>Priority-1</v>
      </c>
    </row>
    <row r="432" spans="1:32" x14ac:dyDescent="0.3">
      <c r="A432" t="s">
        <v>3201</v>
      </c>
      <c r="B432" t="s">
        <v>3202</v>
      </c>
      <c r="G432" t="s">
        <v>2162</v>
      </c>
      <c r="H432" t="s">
        <v>132</v>
      </c>
      <c r="I432" t="s">
        <v>2</v>
      </c>
      <c r="J432" t="s">
        <v>133</v>
      </c>
      <c r="K432" t="s">
        <v>52</v>
      </c>
      <c r="L432" t="s">
        <v>3203</v>
      </c>
      <c r="M432" t="s">
        <v>134</v>
      </c>
      <c r="N432" t="s">
        <v>135</v>
      </c>
      <c r="Q432" t="s">
        <v>168</v>
      </c>
      <c r="T432" t="s">
        <v>2165</v>
      </c>
      <c r="U432" t="s">
        <v>137</v>
      </c>
      <c r="V432" t="s">
        <v>358</v>
      </c>
      <c r="X432" t="s">
        <v>124</v>
      </c>
      <c r="AA432" t="s">
        <v>2163</v>
      </c>
      <c r="AB432" t="s">
        <v>2</v>
      </c>
      <c r="AC432" t="s">
        <v>138</v>
      </c>
      <c r="AD432" t="s">
        <v>130</v>
      </c>
      <c r="AE432" s="97">
        <f>VLOOKUP(A:A,SUMMERY!AA:AC,2,FALSE)</f>
        <v>46234</v>
      </c>
      <c r="AF432" s="6" t="str">
        <f>VLOOKUP(A:A,SUMMERY!AA:AC,3,FALSE)</f>
        <v>Priority-1</v>
      </c>
    </row>
    <row r="433" spans="1:32" x14ac:dyDescent="0.3">
      <c r="A433" t="s">
        <v>3204</v>
      </c>
      <c r="B433" t="s">
        <v>3205</v>
      </c>
      <c r="G433" t="s">
        <v>2162</v>
      </c>
      <c r="H433" t="s">
        <v>132</v>
      </c>
      <c r="I433" t="s">
        <v>2</v>
      </c>
      <c r="J433" t="s">
        <v>133</v>
      </c>
      <c r="K433" t="s">
        <v>52</v>
      </c>
      <c r="L433" t="s">
        <v>3206</v>
      </c>
      <c r="M433" t="s">
        <v>134</v>
      </c>
      <c r="N433" t="s">
        <v>135</v>
      </c>
      <c r="Q433" t="s">
        <v>168</v>
      </c>
      <c r="T433" t="s">
        <v>2165</v>
      </c>
      <c r="U433" t="s">
        <v>137</v>
      </c>
      <c r="V433" t="s">
        <v>358</v>
      </c>
      <c r="X433" t="s">
        <v>124</v>
      </c>
      <c r="AA433" t="s">
        <v>2163</v>
      </c>
      <c r="AB433" t="s">
        <v>2</v>
      </c>
      <c r="AC433" t="s">
        <v>138</v>
      </c>
      <c r="AD433" t="s">
        <v>130</v>
      </c>
      <c r="AE433" s="97">
        <f>VLOOKUP(A:A,SUMMERY!AA:AC,2,FALSE)</f>
        <v>46234</v>
      </c>
      <c r="AF433" s="6" t="str">
        <f>VLOOKUP(A:A,SUMMERY!AA:AC,3,FALSE)</f>
        <v>Priority-1</v>
      </c>
    </row>
    <row r="434" spans="1:32" x14ac:dyDescent="0.3">
      <c r="A434" t="s">
        <v>3207</v>
      </c>
      <c r="B434" t="s">
        <v>3208</v>
      </c>
      <c r="G434" t="s">
        <v>2162</v>
      </c>
      <c r="H434" t="s">
        <v>132</v>
      </c>
      <c r="I434" t="s">
        <v>2</v>
      </c>
      <c r="J434" t="s">
        <v>133</v>
      </c>
      <c r="K434" t="s">
        <v>52</v>
      </c>
      <c r="L434" t="s">
        <v>3185</v>
      </c>
      <c r="M434" t="s">
        <v>134</v>
      </c>
      <c r="N434" t="s">
        <v>135</v>
      </c>
      <c r="Q434" t="s">
        <v>168</v>
      </c>
      <c r="T434" t="s">
        <v>2165</v>
      </c>
      <c r="U434" t="s">
        <v>137</v>
      </c>
      <c r="V434" t="s">
        <v>358</v>
      </c>
      <c r="X434" t="s">
        <v>124</v>
      </c>
      <c r="AA434" t="s">
        <v>2163</v>
      </c>
      <c r="AB434" t="s">
        <v>2</v>
      </c>
      <c r="AC434" t="s">
        <v>138</v>
      </c>
      <c r="AD434" t="s">
        <v>130</v>
      </c>
      <c r="AE434" s="97">
        <f>VLOOKUP(A:A,SUMMERY!AA:AC,2,FALSE)</f>
        <v>46234</v>
      </c>
      <c r="AF434" s="6" t="str">
        <f>VLOOKUP(A:A,SUMMERY!AA:AC,3,FALSE)</f>
        <v>Priority-1</v>
      </c>
    </row>
    <row r="435" spans="1:32" x14ac:dyDescent="0.3">
      <c r="A435" t="s">
        <v>3209</v>
      </c>
      <c r="B435" t="s">
        <v>3210</v>
      </c>
      <c r="G435" t="s">
        <v>2162</v>
      </c>
      <c r="H435" t="s">
        <v>132</v>
      </c>
      <c r="I435" t="s">
        <v>2</v>
      </c>
      <c r="J435" t="s">
        <v>133</v>
      </c>
      <c r="K435" t="s">
        <v>52</v>
      </c>
      <c r="L435" t="s">
        <v>3188</v>
      </c>
      <c r="M435" t="s">
        <v>134</v>
      </c>
      <c r="N435" t="s">
        <v>135</v>
      </c>
      <c r="Q435" t="s">
        <v>168</v>
      </c>
      <c r="T435" t="s">
        <v>2165</v>
      </c>
      <c r="U435" t="s">
        <v>137</v>
      </c>
      <c r="V435" t="s">
        <v>358</v>
      </c>
      <c r="X435" t="s">
        <v>124</v>
      </c>
      <c r="AA435" t="s">
        <v>2163</v>
      </c>
      <c r="AB435" t="s">
        <v>2</v>
      </c>
      <c r="AC435" t="s">
        <v>138</v>
      </c>
      <c r="AD435" t="s">
        <v>130</v>
      </c>
      <c r="AE435" s="97">
        <f>VLOOKUP(A:A,SUMMERY!AA:AC,2,FALSE)</f>
        <v>46234</v>
      </c>
      <c r="AF435" s="6" t="str">
        <f>VLOOKUP(A:A,SUMMERY!AA:AC,3,FALSE)</f>
        <v>Priority-1</v>
      </c>
    </row>
    <row r="436" spans="1:32" x14ac:dyDescent="0.3">
      <c r="A436" t="s">
        <v>3211</v>
      </c>
      <c r="B436" t="s">
        <v>3212</v>
      </c>
      <c r="G436" t="s">
        <v>2162</v>
      </c>
      <c r="H436" t="s">
        <v>132</v>
      </c>
      <c r="I436" t="s">
        <v>2</v>
      </c>
      <c r="J436" t="s">
        <v>133</v>
      </c>
      <c r="K436" t="s">
        <v>52</v>
      </c>
      <c r="L436" t="s">
        <v>3191</v>
      </c>
      <c r="M436" t="s">
        <v>134</v>
      </c>
      <c r="N436" t="s">
        <v>135</v>
      </c>
      <c r="Q436" t="s">
        <v>168</v>
      </c>
      <c r="T436" t="s">
        <v>2165</v>
      </c>
      <c r="U436" t="s">
        <v>137</v>
      </c>
      <c r="V436" t="s">
        <v>358</v>
      </c>
      <c r="X436" t="s">
        <v>124</v>
      </c>
      <c r="AA436" t="s">
        <v>2163</v>
      </c>
      <c r="AB436" t="s">
        <v>2</v>
      </c>
      <c r="AC436" t="s">
        <v>138</v>
      </c>
      <c r="AD436" t="s">
        <v>130</v>
      </c>
      <c r="AE436" s="97">
        <f>VLOOKUP(A:A,SUMMERY!AA:AC,2,FALSE)</f>
        <v>46234</v>
      </c>
      <c r="AF436" s="6" t="str">
        <f>VLOOKUP(A:A,SUMMERY!AA:AC,3,FALSE)</f>
        <v>Priority-1</v>
      </c>
    </row>
    <row r="437" spans="1:32" x14ac:dyDescent="0.3">
      <c r="A437" t="s">
        <v>3213</v>
      </c>
      <c r="B437" t="s">
        <v>3214</v>
      </c>
      <c r="G437" t="s">
        <v>2162</v>
      </c>
      <c r="H437" t="s">
        <v>132</v>
      </c>
      <c r="I437" t="s">
        <v>2</v>
      </c>
      <c r="J437" t="s">
        <v>133</v>
      </c>
      <c r="K437" t="s">
        <v>52</v>
      </c>
      <c r="L437" t="s">
        <v>3194</v>
      </c>
      <c r="M437" t="s">
        <v>134</v>
      </c>
      <c r="N437" t="s">
        <v>135</v>
      </c>
      <c r="Q437" t="s">
        <v>168</v>
      </c>
      <c r="T437" t="s">
        <v>2165</v>
      </c>
      <c r="U437" t="s">
        <v>137</v>
      </c>
      <c r="V437" t="s">
        <v>358</v>
      </c>
      <c r="X437" t="s">
        <v>124</v>
      </c>
      <c r="AA437" t="s">
        <v>2163</v>
      </c>
      <c r="AB437" t="s">
        <v>2</v>
      </c>
      <c r="AC437" t="s">
        <v>138</v>
      </c>
      <c r="AD437" t="s">
        <v>130</v>
      </c>
      <c r="AE437" s="97">
        <f>VLOOKUP(A:A,SUMMERY!AA:AC,2,FALSE)</f>
        <v>46234</v>
      </c>
      <c r="AF437" s="6" t="str">
        <f>VLOOKUP(A:A,SUMMERY!AA:AC,3,FALSE)</f>
        <v>Priority-1</v>
      </c>
    </row>
    <row r="438" spans="1:32" x14ac:dyDescent="0.3">
      <c r="A438" t="s">
        <v>3215</v>
      </c>
      <c r="B438" t="s">
        <v>3216</v>
      </c>
      <c r="G438" t="s">
        <v>2162</v>
      </c>
      <c r="H438" t="s">
        <v>132</v>
      </c>
      <c r="I438" t="s">
        <v>2</v>
      </c>
      <c r="J438" t="s">
        <v>133</v>
      </c>
      <c r="K438" t="s">
        <v>52</v>
      </c>
      <c r="L438" t="s">
        <v>3197</v>
      </c>
      <c r="M438" t="s">
        <v>134</v>
      </c>
      <c r="N438" t="s">
        <v>135</v>
      </c>
      <c r="Q438" t="s">
        <v>168</v>
      </c>
      <c r="T438" t="s">
        <v>2165</v>
      </c>
      <c r="U438" t="s">
        <v>137</v>
      </c>
      <c r="V438" t="s">
        <v>358</v>
      </c>
      <c r="X438" t="s">
        <v>124</v>
      </c>
      <c r="AA438" t="s">
        <v>2163</v>
      </c>
      <c r="AB438" t="s">
        <v>2</v>
      </c>
      <c r="AC438" t="s">
        <v>138</v>
      </c>
      <c r="AD438" t="s">
        <v>130</v>
      </c>
      <c r="AE438" s="97">
        <f>VLOOKUP(A:A,SUMMERY!AA:AC,2,FALSE)</f>
        <v>46234</v>
      </c>
      <c r="AF438" s="6" t="str">
        <f>VLOOKUP(A:A,SUMMERY!AA:AC,3,FALSE)</f>
        <v>Priority-1</v>
      </c>
    </row>
    <row r="439" spans="1:32" x14ac:dyDescent="0.3">
      <c r="A439" t="s">
        <v>3217</v>
      </c>
      <c r="B439" t="s">
        <v>3218</v>
      </c>
      <c r="G439" t="s">
        <v>2162</v>
      </c>
      <c r="H439" t="s">
        <v>132</v>
      </c>
      <c r="I439" t="s">
        <v>2</v>
      </c>
      <c r="J439" t="s">
        <v>133</v>
      </c>
      <c r="K439" t="s">
        <v>52</v>
      </c>
      <c r="L439" t="s">
        <v>3200</v>
      </c>
      <c r="M439" t="s">
        <v>134</v>
      </c>
      <c r="N439" t="s">
        <v>135</v>
      </c>
      <c r="Q439" t="s">
        <v>168</v>
      </c>
      <c r="T439" t="s">
        <v>2165</v>
      </c>
      <c r="U439" t="s">
        <v>137</v>
      </c>
      <c r="V439" t="s">
        <v>358</v>
      </c>
      <c r="X439" t="s">
        <v>124</v>
      </c>
      <c r="AA439" t="s">
        <v>2163</v>
      </c>
      <c r="AB439" t="s">
        <v>2</v>
      </c>
      <c r="AC439" t="s">
        <v>138</v>
      </c>
      <c r="AD439" t="s">
        <v>130</v>
      </c>
      <c r="AE439" s="97">
        <f>VLOOKUP(A:A,SUMMERY!AA:AC,2,FALSE)</f>
        <v>46234</v>
      </c>
      <c r="AF439" s="6" t="str">
        <f>VLOOKUP(A:A,SUMMERY!AA:AC,3,FALSE)</f>
        <v>Priority-1</v>
      </c>
    </row>
    <row r="440" spans="1:32" x14ac:dyDescent="0.3">
      <c r="A440" t="s">
        <v>3219</v>
      </c>
      <c r="B440" t="s">
        <v>3220</v>
      </c>
      <c r="G440" t="s">
        <v>2162</v>
      </c>
      <c r="H440" t="s">
        <v>132</v>
      </c>
      <c r="I440" t="s">
        <v>2</v>
      </c>
      <c r="J440" t="s">
        <v>133</v>
      </c>
      <c r="K440" t="s">
        <v>52</v>
      </c>
      <c r="L440" t="s">
        <v>3203</v>
      </c>
      <c r="M440" t="s">
        <v>134</v>
      </c>
      <c r="N440" t="s">
        <v>135</v>
      </c>
      <c r="Q440" t="s">
        <v>168</v>
      </c>
      <c r="T440" t="s">
        <v>2165</v>
      </c>
      <c r="U440" t="s">
        <v>137</v>
      </c>
      <c r="V440" t="s">
        <v>358</v>
      </c>
      <c r="X440" t="s">
        <v>124</v>
      </c>
      <c r="AA440" t="s">
        <v>2163</v>
      </c>
      <c r="AB440" t="s">
        <v>2</v>
      </c>
      <c r="AC440" t="s">
        <v>138</v>
      </c>
      <c r="AD440" t="s">
        <v>130</v>
      </c>
      <c r="AE440" s="97">
        <f>VLOOKUP(A:A,SUMMERY!AA:AC,2,FALSE)</f>
        <v>46234</v>
      </c>
      <c r="AF440" s="6" t="str">
        <f>VLOOKUP(A:A,SUMMERY!AA:AC,3,FALSE)</f>
        <v>Priority-1</v>
      </c>
    </row>
    <row r="441" spans="1:32" x14ac:dyDescent="0.3">
      <c r="A441" t="s">
        <v>3223</v>
      </c>
      <c r="B441" t="s">
        <v>3224</v>
      </c>
      <c r="G441" t="s">
        <v>2162</v>
      </c>
      <c r="H441" t="s">
        <v>132</v>
      </c>
      <c r="I441" t="s">
        <v>2</v>
      </c>
      <c r="J441" t="s">
        <v>133</v>
      </c>
      <c r="K441" t="s">
        <v>52</v>
      </c>
      <c r="L441" t="s">
        <v>3225</v>
      </c>
      <c r="M441" t="s">
        <v>134</v>
      </c>
      <c r="N441" t="s">
        <v>135</v>
      </c>
      <c r="Q441" t="s">
        <v>168</v>
      </c>
      <c r="T441" t="s">
        <v>2165</v>
      </c>
      <c r="U441" t="s">
        <v>137</v>
      </c>
      <c r="V441" t="s">
        <v>1190</v>
      </c>
      <c r="X441" t="s">
        <v>67</v>
      </c>
      <c r="AA441" t="s">
        <v>2163</v>
      </c>
      <c r="AB441" t="s">
        <v>2</v>
      </c>
      <c r="AC441" t="s">
        <v>138</v>
      </c>
      <c r="AD441" t="s">
        <v>128</v>
      </c>
      <c r="AE441" s="97">
        <f>VLOOKUP(A:A,SUMMERY!AA:AC,2,FALSE)</f>
        <v>46220</v>
      </c>
      <c r="AF441" s="6" t="str">
        <f>VLOOKUP(A:A,SUMMERY!AA:AC,3,FALSE)</f>
        <v>Priority-1</v>
      </c>
    </row>
    <row r="442" spans="1:32" x14ac:dyDescent="0.3">
      <c r="A442" t="s">
        <v>3226</v>
      </c>
      <c r="B442" t="s">
        <v>3227</v>
      </c>
      <c r="G442" t="s">
        <v>2162</v>
      </c>
      <c r="H442" t="s">
        <v>132</v>
      </c>
      <c r="I442" t="s">
        <v>2</v>
      </c>
      <c r="J442" t="s">
        <v>133</v>
      </c>
      <c r="K442" t="s">
        <v>52</v>
      </c>
      <c r="L442" t="s">
        <v>3228</v>
      </c>
      <c r="M442" t="s">
        <v>134</v>
      </c>
      <c r="N442" t="s">
        <v>135</v>
      </c>
      <c r="Q442" t="s">
        <v>168</v>
      </c>
      <c r="T442" t="s">
        <v>2165</v>
      </c>
      <c r="U442" t="s">
        <v>137</v>
      </c>
      <c r="V442" t="s">
        <v>1194</v>
      </c>
      <c r="X442" t="s">
        <v>75</v>
      </c>
      <c r="AA442" t="s">
        <v>2163</v>
      </c>
      <c r="AB442" t="s">
        <v>2</v>
      </c>
      <c r="AC442" t="s">
        <v>138</v>
      </c>
      <c r="AD442" t="s">
        <v>128</v>
      </c>
      <c r="AE442" s="97">
        <f>VLOOKUP(A:A,SUMMERY!AA:AC,2,FALSE)</f>
        <v>46220</v>
      </c>
      <c r="AF442" s="6" t="str">
        <f>VLOOKUP(A:A,SUMMERY!AA:AC,3,FALSE)</f>
        <v>Priority-1</v>
      </c>
    </row>
    <row r="443" spans="1:32" x14ac:dyDescent="0.3">
      <c r="A443" t="s">
        <v>3244</v>
      </c>
      <c r="B443" t="s">
        <v>3245</v>
      </c>
      <c r="G443" t="s">
        <v>2162</v>
      </c>
      <c r="H443" t="s">
        <v>132</v>
      </c>
      <c r="I443" t="s">
        <v>2</v>
      </c>
      <c r="J443" t="s">
        <v>133</v>
      </c>
      <c r="K443" t="s">
        <v>52</v>
      </c>
      <c r="L443" t="s">
        <v>3246</v>
      </c>
      <c r="M443" t="s">
        <v>134</v>
      </c>
      <c r="N443" t="s">
        <v>135</v>
      </c>
      <c r="Q443" t="s">
        <v>168</v>
      </c>
      <c r="T443" t="s">
        <v>2165</v>
      </c>
      <c r="U443" t="s">
        <v>137</v>
      </c>
      <c r="V443" t="s">
        <v>147</v>
      </c>
      <c r="X443" t="s">
        <v>70</v>
      </c>
      <c r="AA443" t="s">
        <v>2163</v>
      </c>
      <c r="AB443" t="s">
        <v>2</v>
      </c>
      <c r="AC443" t="s">
        <v>138</v>
      </c>
      <c r="AD443" t="s">
        <v>128</v>
      </c>
      <c r="AE443" s="97">
        <f>VLOOKUP(A:A,SUMMERY!AA:AC,2,FALSE)</f>
        <v>46220</v>
      </c>
      <c r="AF443" s="6" t="str">
        <f>VLOOKUP(A:A,SUMMERY!AA:AC,3,FALSE)</f>
        <v>Priority-1</v>
      </c>
    </row>
    <row r="444" spans="1:32" x14ac:dyDescent="0.3">
      <c r="A444" t="s">
        <v>3247</v>
      </c>
      <c r="B444" t="s">
        <v>3248</v>
      </c>
      <c r="G444" t="s">
        <v>2162</v>
      </c>
      <c r="H444" t="s">
        <v>132</v>
      </c>
      <c r="I444" t="s">
        <v>2</v>
      </c>
      <c r="J444" t="s">
        <v>133</v>
      </c>
      <c r="K444" t="s">
        <v>52</v>
      </c>
      <c r="L444" t="s">
        <v>3246</v>
      </c>
      <c r="M444" t="s">
        <v>134</v>
      </c>
      <c r="N444" t="s">
        <v>135</v>
      </c>
      <c r="Q444" t="s">
        <v>168</v>
      </c>
      <c r="T444" t="s">
        <v>2165</v>
      </c>
      <c r="U444" t="s">
        <v>137</v>
      </c>
      <c r="V444" t="s">
        <v>147</v>
      </c>
      <c r="X444" t="s">
        <v>70</v>
      </c>
      <c r="AA444" t="s">
        <v>2163</v>
      </c>
      <c r="AB444" t="s">
        <v>2</v>
      </c>
      <c r="AC444" t="s">
        <v>138</v>
      </c>
      <c r="AD444" t="s">
        <v>128</v>
      </c>
      <c r="AE444" s="97">
        <f>VLOOKUP(A:A,SUMMERY!AA:AC,2,FALSE)</f>
        <v>46220</v>
      </c>
      <c r="AF444" s="6" t="str">
        <f>VLOOKUP(A:A,SUMMERY!AA:AC,3,FALSE)</f>
        <v>Priority-1</v>
      </c>
    </row>
    <row r="445" spans="1:32" x14ac:dyDescent="0.3">
      <c r="A445" t="s">
        <v>3249</v>
      </c>
      <c r="B445" t="s">
        <v>3250</v>
      </c>
      <c r="G445" t="s">
        <v>2162</v>
      </c>
      <c r="H445" t="s">
        <v>132</v>
      </c>
      <c r="I445" t="s">
        <v>2</v>
      </c>
      <c r="J445" t="s">
        <v>133</v>
      </c>
      <c r="K445" t="s">
        <v>52</v>
      </c>
      <c r="L445" t="s">
        <v>3251</v>
      </c>
      <c r="M445" t="s">
        <v>134</v>
      </c>
      <c r="N445" t="s">
        <v>135</v>
      </c>
      <c r="Q445" t="s">
        <v>168</v>
      </c>
      <c r="T445" t="s">
        <v>2165</v>
      </c>
      <c r="U445" t="s">
        <v>137</v>
      </c>
      <c r="V445" t="s">
        <v>147</v>
      </c>
      <c r="X445" t="s">
        <v>70</v>
      </c>
      <c r="AA445" t="s">
        <v>2163</v>
      </c>
      <c r="AB445" t="s">
        <v>2</v>
      </c>
      <c r="AC445" t="s">
        <v>138</v>
      </c>
      <c r="AD445" t="s">
        <v>128</v>
      </c>
      <c r="AE445" s="97">
        <f>VLOOKUP(A:A,SUMMERY!AA:AC,2,FALSE)</f>
        <v>46220</v>
      </c>
      <c r="AF445" s="6" t="str">
        <f>VLOOKUP(A:A,SUMMERY!AA:AC,3,FALSE)</f>
        <v>Priority-1</v>
      </c>
    </row>
    <row r="446" spans="1:32" x14ac:dyDescent="0.3">
      <c r="A446" t="s">
        <v>3252</v>
      </c>
      <c r="B446" t="s">
        <v>3253</v>
      </c>
      <c r="G446" t="s">
        <v>2162</v>
      </c>
      <c r="H446" t="s">
        <v>132</v>
      </c>
      <c r="I446" t="s">
        <v>2</v>
      </c>
      <c r="J446" t="s">
        <v>133</v>
      </c>
      <c r="K446" t="s">
        <v>52</v>
      </c>
      <c r="L446" t="s">
        <v>3254</v>
      </c>
      <c r="M446" t="s">
        <v>134</v>
      </c>
      <c r="N446" t="s">
        <v>135</v>
      </c>
      <c r="Q446" t="s">
        <v>168</v>
      </c>
      <c r="T446" t="s">
        <v>2165</v>
      </c>
      <c r="U446" t="s">
        <v>137</v>
      </c>
      <c r="V446" t="s">
        <v>150</v>
      </c>
      <c r="X446" t="s">
        <v>76</v>
      </c>
      <c r="AA446" t="s">
        <v>2163</v>
      </c>
      <c r="AB446" t="s">
        <v>2</v>
      </c>
      <c r="AC446" t="s">
        <v>138</v>
      </c>
      <c r="AD446" t="s">
        <v>128</v>
      </c>
      <c r="AE446" s="97">
        <f>VLOOKUP(A:A,SUMMERY!AA:AC,2,FALSE)</f>
        <v>46233</v>
      </c>
      <c r="AF446" s="6" t="str">
        <f>VLOOKUP(A:A,SUMMERY!AA:AC,3,FALSE)</f>
        <v>Priority-1</v>
      </c>
    </row>
    <row r="447" spans="1:32" x14ac:dyDescent="0.3">
      <c r="A447" t="s">
        <v>3255</v>
      </c>
      <c r="B447" t="s">
        <v>3256</v>
      </c>
      <c r="G447" t="s">
        <v>2162</v>
      </c>
      <c r="H447" t="s">
        <v>132</v>
      </c>
      <c r="I447" t="s">
        <v>2</v>
      </c>
      <c r="J447" t="s">
        <v>133</v>
      </c>
      <c r="K447" t="s">
        <v>52</v>
      </c>
      <c r="L447" t="s">
        <v>3254</v>
      </c>
      <c r="M447" t="s">
        <v>134</v>
      </c>
      <c r="N447" t="s">
        <v>135</v>
      </c>
      <c r="Q447" t="s">
        <v>168</v>
      </c>
      <c r="T447" t="s">
        <v>2165</v>
      </c>
      <c r="U447" t="s">
        <v>137</v>
      </c>
      <c r="V447" t="s">
        <v>150</v>
      </c>
      <c r="X447" t="s">
        <v>76</v>
      </c>
      <c r="AA447" t="s">
        <v>2163</v>
      </c>
      <c r="AB447" t="s">
        <v>2</v>
      </c>
      <c r="AC447" t="s">
        <v>138</v>
      </c>
      <c r="AD447" t="s">
        <v>128</v>
      </c>
      <c r="AE447" s="97">
        <f>VLOOKUP(A:A,SUMMERY!AA:AC,2,FALSE)</f>
        <v>46233</v>
      </c>
      <c r="AF447" s="6" t="str">
        <f>VLOOKUP(A:A,SUMMERY!AA:AC,3,FALSE)</f>
        <v>Priority-1</v>
      </c>
    </row>
    <row r="448" spans="1:32" x14ac:dyDescent="0.3">
      <c r="A448" t="s">
        <v>3257</v>
      </c>
      <c r="B448" t="s">
        <v>3258</v>
      </c>
      <c r="G448" t="s">
        <v>2162</v>
      </c>
      <c r="H448" t="s">
        <v>132</v>
      </c>
      <c r="I448" t="s">
        <v>2</v>
      </c>
      <c r="J448" t="s">
        <v>133</v>
      </c>
      <c r="K448" t="s">
        <v>52</v>
      </c>
      <c r="L448" t="s">
        <v>3259</v>
      </c>
      <c r="M448" t="s">
        <v>134</v>
      </c>
      <c r="N448" t="s">
        <v>135</v>
      </c>
      <c r="Q448" t="s">
        <v>168</v>
      </c>
      <c r="T448" t="s">
        <v>2165</v>
      </c>
      <c r="U448" t="s">
        <v>137</v>
      </c>
      <c r="V448" t="s">
        <v>150</v>
      </c>
      <c r="X448" t="s">
        <v>76</v>
      </c>
      <c r="AA448" t="s">
        <v>2163</v>
      </c>
      <c r="AB448" t="s">
        <v>2</v>
      </c>
      <c r="AC448" t="s">
        <v>138</v>
      </c>
      <c r="AD448" t="s">
        <v>128</v>
      </c>
      <c r="AE448" s="97">
        <f>VLOOKUP(A:A,SUMMERY!AA:AC,2,FALSE)</f>
        <v>46233</v>
      </c>
      <c r="AF448" s="6" t="str">
        <f>VLOOKUP(A:A,SUMMERY!AA:AC,3,FALSE)</f>
        <v>Priority-1</v>
      </c>
    </row>
    <row r="449" spans="1:32" x14ac:dyDescent="0.3">
      <c r="A449" t="s">
        <v>3300</v>
      </c>
      <c r="B449" t="s">
        <v>3301</v>
      </c>
      <c r="G449" t="s">
        <v>2162</v>
      </c>
      <c r="H449" t="s">
        <v>132</v>
      </c>
      <c r="I449" t="s">
        <v>2</v>
      </c>
      <c r="J449" t="s">
        <v>133</v>
      </c>
      <c r="K449" t="s">
        <v>52</v>
      </c>
      <c r="L449" t="s">
        <v>3302</v>
      </c>
      <c r="M449" t="s">
        <v>134</v>
      </c>
      <c r="N449" t="s">
        <v>135</v>
      </c>
      <c r="Q449" t="s">
        <v>168</v>
      </c>
      <c r="T449" t="s">
        <v>2165</v>
      </c>
      <c r="U449" t="s">
        <v>137</v>
      </c>
      <c r="V449" t="s">
        <v>1967</v>
      </c>
      <c r="X449" t="s">
        <v>125</v>
      </c>
      <c r="AA449" t="s">
        <v>2163</v>
      </c>
      <c r="AB449" t="s">
        <v>2</v>
      </c>
      <c r="AC449" t="s">
        <v>138</v>
      </c>
      <c r="AD449" t="s">
        <v>131</v>
      </c>
      <c r="AE449" s="97">
        <f>VLOOKUP(A:A,SUMMERY!AA:AC,2,FALSE)</f>
        <v>46234</v>
      </c>
      <c r="AF449" s="6" t="str">
        <f>VLOOKUP(A:A,SUMMERY!AA:AC,3,FALSE)</f>
        <v>Priority-2</v>
      </c>
    </row>
    <row r="450" spans="1:32" x14ac:dyDescent="0.3">
      <c r="A450" t="s">
        <v>3303</v>
      </c>
      <c r="B450" t="s">
        <v>3304</v>
      </c>
      <c r="G450" t="s">
        <v>2162</v>
      </c>
      <c r="H450" t="s">
        <v>132</v>
      </c>
      <c r="I450" t="s">
        <v>2</v>
      </c>
      <c r="J450" t="s">
        <v>133</v>
      </c>
      <c r="K450" t="s">
        <v>52</v>
      </c>
      <c r="L450" t="s">
        <v>3305</v>
      </c>
      <c r="M450" t="s">
        <v>134</v>
      </c>
      <c r="N450" t="s">
        <v>135</v>
      </c>
      <c r="Q450" t="s">
        <v>168</v>
      </c>
      <c r="T450" t="s">
        <v>2165</v>
      </c>
      <c r="U450" t="s">
        <v>137</v>
      </c>
      <c r="V450" t="s">
        <v>1967</v>
      </c>
      <c r="X450" t="s">
        <v>125</v>
      </c>
      <c r="AA450" t="s">
        <v>2163</v>
      </c>
      <c r="AB450" t="s">
        <v>2</v>
      </c>
      <c r="AC450" t="s">
        <v>138</v>
      </c>
      <c r="AD450" t="s">
        <v>131</v>
      </c>
      <c r="AE450" s="97">
        <f>VLOOKUP(A:A,SUMMERY!AA:AC,2,FALSE)</f>
        <v>46234</v>
      </c>
      <c r="AF450" s="6" t="str">
        <f>VLOOKUP(A:A,SUMMERY!AA:AC,3,FALSE)</f>
        <v>Priority-2</v>
      </c>
    </row>
    <row r="451" spans="1:32" x14ac:dyDescent="0.3">
      <c r="A451" t="s">
        <v>3306</v>
      </c>
      <c r="B451" t="s">
        <v>3307</v>
      </c>
      <c r="G451" t="s">
        <v>2162</v>
      </c>
      <c r="H451" t="s">
        <v>132</v>
      </c>
      <c r="I451" t="s">
        <v>2</v>
      </c>
      <c r="J451" t="s">
        <v>133</v>
      </c>
      <c r="K451" t="s">
        <v>52</v>
      </c>
      <c r="L451" t="s">
        <v>3308</v>
      </c>
      <c r="M451" t="s">
        <v>134</v>
      </c>
      <c r="N451" t="s">
        <v>135</v>
      </c>
      <c r="Q451" t="s">
        <v>168</v>
      </c>
      <c r="T451" t="s">
        <v>2165</v>
      </c>
      <c r="U451" t="s">
        <v>137</v>
      </c>
      <c r="V451" t="s">
        <v>1259</v>
      </c>
      <c r="X451" t="s">
        <v>126</v>
      </c>
      <c r="AA451" t="s">
        <v>2163</v>
      </c>
      <c r="AB451" t="s">
        <v>2</v>
      </c>
      <c r="AC451" t="s">
        <v>138</v>
      </c>
      <c r="AD451" t="s">
        <v>131</v>
      </c>
      <c r="AE451" s="97">
        <f>VLOOKUP(A:A,SUMMERY!AA:AC,2,FALSE)</f>
        <v>46234</v>
      </c>
      <c r="AF451" s="6" t="str">
        <f>VLOOKUP(A:A,SUMMERY!AA:AC,3,FALSE)</f>
        <v>Priority-2</v>
      </c>
    </row>
    <row r="452" spans="1:32" x14ac:dyDescent="0.3">
      <c r="A452" t="s">
        <v>3309</v>
      </c>
      <c r="B452" t="s">
        <v>3310</v>
      </c>
      <c r="G452" t="s">
        <v>2162</v>
      </c>
      <c r="H452" t="s">
        <v>132</v>
      </c>
      <c r="I452" t="s">
        <v>2</v>
      </c>
      <c r="J452" t="s">
        <v>133</v>
      </c>
      <c r="K452" t="s">
        <v>52</v>
      </c>
      <c r="L452" t="s">
        <v>1558</v>
      </c>
      <c r="M452" t="s">
        <v>134</v>
      </c>
      <c r="N452" t="s">
        <v>135</v>
      </c>
      <c r="Q452" t="s">
        <v>168</v>
      </c>
      <c r="T452" t="s">
        <v>2165</v>
      </c>
      <c r="U452" t="s">
        <v>137</v>
      </c>
      <c r="V452" t="s">
        <v>1259</v>
      </c>
      <c r="X452" t="s">
        <v>126</v>
      </c>
      <c r="AA452" t="s">
        <v>2163</v>
      </c>
      <c r="AB452" t="s">
        <v>2</v>
      </c>
      <c r="AC452" t="s">
        <v>138</v>
      </c>
      <c r="AD452" t="s">
        <v>131</v>
      </c>
      <c r="AE452" s="97">
        <f>VLOOKUP(A:A,SUMMERY!AA:AC,2,FALSE)</f>
        <v>46234</v>
      </c>
      <c r="AF452" s="6" t="str">
        <f>VLOOKUP(A:A,SUMMERY!AA:AC,3,FALSE)</f>
        <v>Priority-2</v>
      </c>
    </row>
    <row r="453" spans="1:32" x14ac:dyDescent="0.3">
      <c r="A453" t="s">
        <v>3311</v>
      </c>
      <c r="B453" t="s">
        <v>3312</v>
      </c>
      <c r="G453" t="s">
        <v>2162</v>
      </c>
      <c r="H453" t="s">
        <v>132</v>
      </c>
      <c r="I453" t="s">
        <v>2</v>
      </c>
      <c r="J453" t="s">
        <v>133</v>
      </c>
      <c r="K453" t="s">
        <v>52</v>
      </c>
      <c r="L453" t="s">
        <v>1558</v>
      </c>
      <c r="M453" t="s">
        <v>134</v>
      </c>
      <c r="N453" t="s">
        <v>135</v>
      </c>
      <c r="Q453" t="s">
        <v>168</v>
      </c>
      <c r="T453" t="s">
        <v>2165</v>
      </c>
      <c r="U453" t="s">
        <v>137</v>
      </c>
      <c r="V453" t="s">
        <v>1259</v>
      </c>
      <c r="X453" t="s">
        <v>126</v>
      </c>
      <c r="AA453" t="s">
        <v>2163</v>
      </c>
      <c r="AB453" t="s">
        <v>2</v>
      </c>
      <c r="AC453" t="s">
        <v>138</v>
      </c>
      <c r="AD453" t="s">
        <v>131</v>
      </c>
      <c r="AE453" s="97">
        <f>VLOOKUP(A:A,SUMMERY!AA:AC,2,FALSE)</f>
        <v>46234</v>
      </c>
      <c r="AF453" s="6" t="str">
        <f>VLOOKUP(A:A,SUMMERY!AA:AC,3,FALSE)</f>
        <v>Priority-2</v>
      </c>
    </row>
    <row r="454" spans="1:32" x14ac:dyDescent="0.3">
      <c r="A454" t="s">
        <v>3313</v>
      </c>
      <c r="B454" t="s">
        <v>3314</v>
      </c>
      <c r="G454" t="s">
        <v>2162</v>
      </c>
      <c r="H454" t="s">
        <v>132</v>
      </c>
      <c r="I454" t="s">
        <v>2</v>
      </c>
      <c r="J454" t="s">
        <v>133</v>
      </c>
      <c r="K454" t="s">
        <v>52</v>
      </c>
      <c r="L454" t="s">
        <v>1558</v>
      </c>
      <c r="M454" t="s">
        <v>134</v>
      </c>
      <c r="N454" t="s">
        <v>135</v>
      </c>
      <c r="Q454" t="s">
        <v>168</v>
      </c>
      <c r="T454" t="s">
        <v>2165</v>
      </c>
      <c r="U454" t="s">
        <v>137</v>
      </c>
      <c r="V454" t="s">
        <v>1259</v>
      </c>
      <c r="X454" t="s">
        <v>126</v>
      </c>
      <c r="AA454" t="s">
        <v>2163</v>
      </c>
      <c r="AB454" t="s">
        <v>2</v>
      </c>
      <c r="AC454" t="s">
        <v>138</v>
      </c>
      <c r="AD454" t="s">
        <v>131</v>
      </c>
      <c r="AE454" s="97">
        <f>VLOOKUP(A:A,SUMMERY!AA:AC,2,FALSE)</f>
        <v>46234</v>
      </c>
      <c r="AF454" s="6" t="str">
        <f>VLOOKUP(A:A,SUMMERY!AA:AC,3,FALSE)</f>
        <v>Priority-2</v>
      </c>
    </row>
    <row r="455" spans="1:32" x14ac:dyDescent="0.3">
      <c r="A455" t="s">
        <v>3315</v>
      </c>
      <c r="B455" t="s">
        <v>3316</v>
      </c>
      <c r="G455" t="s">
        <v>2162</v>
      </c>
      <c r="H455" t="s">
        <v>132</v>
      </c>
      <c r="I455" t="s">
        <v>2</v>
      </c>
      <c r="J455" t="s">
        <v>133</v>
      </c>
      <c r="K455" t="s">
        <v>52</v>
      </c>
      <c r="L455" t="s">
        <v>1567</v>
      </c>
      <c r="M455" t="s">
        <v>134</v>
      </c>
      <c r="N455" t="s">
        <v>135</v>
      </c>
      <c r="Q455" t="s">
        <v>168</v>
      </c>
      <c r="T455" t="s">
        <v>2165</v>
      </c>
      <c r="U455" t="s">
        <v>137</v>
      </c>
      <c r="V455" t="s">
        <v>1259</v>
      </c>
      <c r="X455" t="s">
        <v>126</v>
      </c>
      <c r="AA455" t="s">
        <v>2163</v>
      </c>
      <c r="AB455" t="s">
        <v>2</v>
      </c>
      <c r="AC455" t="s">
        <v>138</v>
      </c>
      <c r="AD455" t="s">
        <v>131</v>
      </c>
      <c r="AE455" s="97">
        <f>VLOOKUP(A:A,SUMMERY!AA:AC,2,FALSE)</f>
        <v>46234</v>
      </c>
      <c r="AF455" s="6" t="str">
        <f>VLOOKUP(A:A,SUMMERY!AA:AC,3,FALSE)</f>
        <v>Priority-2</v>
      </c>
    </row>
    <row r="456" spans="1:32" x14ac:dyDescent="0.3">
      <c r="A456" t="s">
        <v>3317</v>
      </c>
      <c r="B456" t="s">
        <v>3318</v>
      </c>
      <c r="G456" t="s">
        <v>2162</v>
      </c>
      <c r="H456" t="s">
        <v>132</v>
      </c>
      <c r="I456" t="s">
        <v>2</v>
      </c>
      <c r="J456" t="s">
        <v>133</v>
      </c>
      <c r="K456" t="s">
        <v>52</v>
      </c>
      <c r="L456" t="s">
        <v>1570</v>
      </c>
      <c r="M456" t="s">
        <v>134</v>
      </c>
      <c r="N456" t="s">
        <v>135</v>
      </c>
      <c r="Q456" t="s">
        <v>168</v>
      </c>
      <c r="T456" t="s">
        <v>2165</v>
      </c>
      <c r="U456" t="s">
        <v>137</v>
      </c>
      <c r="V456" t="s">
        <v>1249</v>
      </c>
      <c r="X456" t="s">
        <v>61</v>
      </c>
      <c r="AA456" t="s">
        <v>2163</v>
      </c>
      <c r="AB456" t="s">
        <v>2</v>
      </c>
      <c r="AC456" t="s">
        <v>138</v>
      </c>
      <c r="AD456" t="s">
        <v>128</v>
      </c>
      <c r="AE456" s="97">
        <f>VLOOKUP(A:A,SUMMERY!AA:AC,2,FALSE)</f>
        <v>46224</v>
      </c>
      <c r="AF456" s="6" t="str">
        <f>VLOOKUP(A:A,SUMMERY!AA:AC,3,FALSE)</f>
        <v>Priority-1</v>
      </c>
    </row>
    <row r="457" spans="1:32" x14ac:dyDescent="0.3">
      <c r="A457" t="s">
        <v>3319</v>
      </c>
      <c r="B457" t="s">
        <v>3320</v>
      </c>
      <c r="G457" t="s">
        <v>2162</v>
      </c>
      <c r="H457" t="s">
        <v>132</v>
      </c>
      <c r="I457" t="s">
        <v>2</v>
      </c>
      <c r="J457" t="s">
        <v>133</v>
      </c>
      <c r="K457" t="s">
        <v>52</v>
      </c>
      <c r="L457" t="s">
        <v>3321</v>
      </c>
      <c r="M457" t="s">
        <v>134</v>
      </c>
      <c r="N457" t="s">
        <v>135</v>
      </c>
      <c r="Q457" t="s">
        <v>168</v>
      </c>
      <c r="T457" t="s">
        <v>2165</v>
      </c>
      <c r="U457" t="s">
        <v>137</v>
      </c>
      <c r="V457" t="s">
        <v>1249</v>
      </c>
      <c r="X457" t="s">
        <v>61</v>
      </c>
      <c r="AA457" t="s">
        <v>2163</v>
      </c>
      <c r="AB457" t="s">
        <v>2</v>
      </c>
      <c r="AC457" t="s">
        <v>138</v>
      </c>
      <c r="AD457" t="s">
        <v>128</v>
      </c>
      <c r="AE457" s="97">
        <f>VLOOKUP(A:A,SUMMERY!AA:AC,2,FALSE)</f>
        <v>46224</v>
      </c>
      <c r="AF457" s="6" t="str">
        <f>VLOOKUP(A:A,SUMMERY!AA:AC,3,FALSE)</f>
        <v>Priority-1</v>
      </c>
    </row>
    <row r="458" spans="1:32" x14ac:dyDescent="0.3">
      <c r="A458" t="s">
        <v>3322</v>
      </c>
      <c r="B458" t="s">
        <v>3323</v>
      </c>
      <c r="G458" t="s">
        <v>2162</v>
      </c>
      <c r="H458" t="s">
        <v>132</v>
      </c>
      <c r="I458" t="s">
        <v>2</v>
      </c>
      <c r="J458" t="s">
        <v>133</v>
      </c>
      <c r="K458" t="s">
        <v>52</v>
      </c>
      <c r="L458" t="s">
        <v>1577</v>
      </c>
      <c r="M458" t="s">
        <v>134</v>
      </c>
      <c r="N458" t="s">
        <v>135</v>
      </c>
      <c r="Q458" t="s">
        <v>168</v>
      </c>
      <c r="T458" t="s">
        <v>2165</v>
      </c>
      <c r="U458" t="s">
        <v>137</v>
      </c>
      <c r="V458" t="s">
        <v>1263</v>
      </c>
      <c r="X458" t="s">
        <v>69</v>
      </c>
      <c r="AA458" t="s">
        <v>2163</v>
      </c>
      <c r="AB458" t="s">
        <v>2</v>
      </c>
      <c r="AC458" t="s">
        <v>138</v>
      </c>
      <c r="AD458" t="s">
        <v>128</v>
      </c>
      <c r="AE458" s="97">
        <f>VLOOKUP(A:A,SUMMERY!AA:AC,2,FALSE)</f>
        <v>46224</v>
      </c>
      <c r="AF458" s="6" t="str">
        <f>VLOOKUP(A:A,SUMMERY!AA:AC,3,FALSE)</f>
        <v>Priority-1</v>
      </c>
    </row>
    <row r="459" spans="1:32" x14ac:dyDescent="0.3">
      <c r="A459" t="s">
        <v>3324</v>
      </c>
      <c r="B459" t="s">
        <v>3325</v>
      </c>
      <c r="G459" t="s">
        <v>2162</v>
      </c>
      <c r="H459" t="s">
        <v>132</v>
      </c>
      <c r="I459" t="s">
        <v>2</v>
      </c>
      <c r="J459" t="s">
        <v>133</v>
      </c>
      <c r="K459" t="s">
        <v>52</v>
      </c>
      <c r="L459" t="s">
        <v>3326</v>
      </c>
      <c r="M459" t="s">
        <v>134</v>
      </c>
      <c r="N459" t="s">
        <v>135</v>
      </c>
      <c r="Q459" t="s">
        <v>168</v>
      </c>
      <c r="T459" t="s">
        <v>2165</v>
      </c>
      <c r="U459" t="s">
        <v>137</v>
      </c>
      <c r="V459" t="s">
        <v>1967</v>
      </c>
      <c r="X459" t="s">
        <v>125</v>
      </c>
      <c r="AA459" t="s">
        <v>2163</v>
      </c>
      <c r="AB459" t="s">
        <v>2</v>
      </c>
      <c r="AC459" t="s">
        <v>138</v>
      </c>
      <c r="AD459" t="s">
        <v>131</v>
      </c>
      <c r="AE459" s="97">
        <f>VLOOKUP(A:A,SUMMERY!AA:AC,2,FALSE)</f>
        <v>46234</v>
      </c>
      <c r="AF459" s="6" t="str">
        <f>VLOOKUP(A:A,SUMMERY!AA:AC,3,FALSE)</f>
        <v>Priority-2</v>
      </c>
    </row>
    <row r="460" spans="1:32" x14ac:dyDescent="0.3">
      <c r="A460" t="s">
        <v>3327</v>
      </c>
      <c r="B460" t="s">
        <v>3328</v>
      </c>
      <c r="G460" t="s">
        <v>2162</v>
      </c>
      <c r="H460" t="s">
        <v>132</v>
      </c>
      <c r="I460" t="s">
        <v>2</v>
      </c>
      <c r="J460" t="s">
        <v>133</v>
      </c>
      <c r="K460" t="s">
        <v>52</v>
      </c>
      <c r="L460" t="s">
        <v>3326</v>
      </c>
      <c r="M460" t="s">
        <v>134</v>
      </c>
      <c r="N460" t="s">
        <v>135</v>
      </c>
      <c r="Q460" t="s">
        <v>168</v>
      </c>
      <c r="T460" t="s">
        <v>2165</v>
      </c>
      <c r="U460" t="s">
        <v>137</v>
      </c>
      <c r="V460" t="s">
        <v>1967</v>
      </c>
      <c r="X460" t="s">
        <v>125</v>
      </c>
      <c r="AA460" t="s">
        <v>2163</v>
      </c>
      <c r="AB460" t="s">
        <v>2</v>
      </c>
      <c r="AC460" t="s">
        <v>138</v>
      </c>
      <c r="AD460" t="s">
        <v>131</v>
      </c>
      <c r="AE460" s="97">
        <f>VLOOKUP(A:A,SUMMERY!AA:AC,2,FALSE)</f>
        <v>46234</v>
      </c>
      <c r="AF460" s="6" t="str">
        <f>VLOOKUP(A:A,SUMMERY!AA:AC,3,FALSE)</f>
        <v>Priority-2</v>
      </c>
    </row>
    <row r="461" spans="1:32" x14ac:dyDescent="0.3">
      <c r="A461" t="s">
        <v>3329</v>
      </c>
      <c r="B461" t="s">
        <v>3330</v>
      </c>
      <c r="G461" t="s">
        <v>2162</v>
      </c>
      <c r="H461" t="s">
        <v>132</v>
      </c>
      <c r="I461" t="s">
        <v>2</v>
      </c>
      <c r="J461" t="s">
        <v>133</v>
      </c>
      <c r="K461" t="s">
        <v>52</v>
      </c>
      <c r="L461" t="s">
        <v>3331</v>
      </c>
      <c r="M461" t="s">
        <v>134</v>
      </c>
      <c r="N461" t="s">
        <v>135</v>
      </c>
      <c r="Q461" t="s">
        <v>168</v>
      </c>
      <c r="T461" t="s">
        <v>2165</v>
      </c>
      <c r="U461" t="s">
        <v>137</v>
      </c>
      <c r="V461" t="s">
        <v>1967</v>
      </c>
      <c r="X461" t="s">
        <v>125</v>
      </c>
      <c r="AA461" t="s">
        <v>2163</v>
      </c>
      <c r="AB461" t="s">
        <v>2</v>
      </c>
      <c r="AC461" t="s">
        <v>138</v>
      </c>
      <c r="AD461" t="s">
        <v>131</v>
      </c>
      <c r="AE461" s="97">
        <f>VLOOKUP(A:A,SUMMERY!AA:AC,2,FALSE)</f>
        <v>46234</v>
      </c>
      <c r="AF461" s="6" t="str">
        <f>VLOOKUP(A:A,SUMMERY!AA:AC,3,FALSE)</f>
        <v>Priority-2</v>
      </c>
    </row>
    <row r="462" spans="1:32" x14ac:dyDescent="0.3">
      <c r="A462" t="s">
        <v>3332</v>
      </c>
      <c r="B462" t="s">
        <v>3333</v>
      </c>
      <c r="G462" t="s">
        <v>2162</v>
      </c>
      <c r="H462" t="s">
        <v>132</v>
      </c>
      <c r="I462" t="s">
        <v>2</v>
      </c>
      <c r="J462" t="s">
        <v>133</v>
      </c>
      <c r="K462" t="s">
        <v>52</v>
      </c>
      <c r="L462" t="s">
        <v>3331</v>
      </c>
      <c r="M462" t="s">
        <v>134</v>
      </c>
      <c r="N462" t="s">
        <v>135</v>
      </c>
      <c r="Q462" t="s">
        <v>168</v>
      </c>
      <c r="T462" t="s">
        <v>2165</v>
      </c>
      <c r="U462" t="s">
        <v>137</v>
      </c>
      <c r="V462" t="s">
        <v>1967</v>
      </c>
      <c r="X462" t="s">
        <v>125</v>
      </c>
      <c r="AA462" t="s">
        <v>2163</v>
      </c>
      <c r="AB462" t="s">
        <v>2</v>
      </c>
      <c r="AC462" t="s">
        <v>138</v>
      </c>
      <c r="AD462" t="s">
        <v>131</v>
      </c>
      <c r="AE462" s="97">
        <f>VLOOKUP(A:A,SUMMERY!AA:AC,2,FALSE)</f>
        <v>46234</v>
      </c>
      <c r="AF462" s="6" t="str">
        <f>VLOOKUP(A:A,SUMMERY!AA:AC,3,FALSE)</f>
        <v>Priority-2</v>
      </c>
    </row>
    <row r="463" spans="1:32" x14ac:dyDescent="0.3">
      <c r="A463" t="s">
        <v>3334</v>
      </c>
      <c r="B463" t="s">
        <v>3335</v>
      </c>
      <c r="G463" t="s">
        <v>2162</v>
      </c>
      <c r="H463" t="s">
        <v>132</v>
      </c>
      <c r="I463" t="s">
        <v>2</v>
      </c>
      <c r="J463" t="s">
        <v>133</v>
      </c>
      <c r="K463" t="s">
        <v>52</v>
      </c>
      <c r="L463" t="s">
        <v>3336</v>
      </c>
      <c r="M463" t="s">
        <v>134</v>
      </c>
      <c r="N463" t="s">
        <v>135</v>
      </c>
      <c r="Q463" t="s">
        <v>168</v>
      </c>
      <c r="T463" t="s">
        <v>2165</v>
      </c>
      <c r="U463" t="s">
        <v>137</v>
      </c>
      <c r="V463" t="s">
        <v>1967</v>
      </c>
      <c r="X463" t="s">
        <v>125</v>
      </c>
      <c r="AA463" t="s">
        <v>2163</v>
      </c>
      <c r="AB463" t="s">
        <v>2</v>
      </c>
      <c r="AC463" t="s">
        <v>138</v>
      </c>
      <c r="AD463" t="s">
        <v>131</v>
      </c>
      <c r="AE463" s="97">
        <f>VLOOKUP(A:A,SUMMERY!AA:AC,2,FALSE)</f>
        <v>46234</v>
      </c>
      <c r="AF463" s="6" t="str">
        <f>VLOOKUP(A:A,SUMMERY!AA:AC,3,FALSE)</f>
        <v>Priority-2</v>
      </c>
    </row>
    <row r="464" spans="1:32" x14ac:dyDescent="0.3">
      <c r="A464" t="s">
        <v>3337</v>
      </c>
      <c r="B464" t="s">
        <v>3338</v>
      </c>
      <c r="G464" t="s">
        <v>2162</v>
      </c>
      <c r="H464" t="s">
        <v>132</v>
      </c>
      <c r="I464" t="s">
        <v>2</v>
      </c>
      <c r="J464" t="s">
        <v>133</v>
      </c>
      <c r="K464" t="s">
        <v>52</v>
      </c>
      <c r="L464" t="s">
        <v>3336</v>
      </c>
      <c r="M464" t="s">
        <v>134</v>
      </c>
      <c r="N464" t="s">
        <v>135</v>
      </c>
      <c r="Q464" t="s">
        <v>168</v>
      </c>
      <c r="T464" t="s">
        <v>2165</v>
      </c>
      <c r="U464" t="s">
        <v>137</v>
      </c>
      <c r="V464" t="s">
        <v>1967</v>
      </c>
      <c r="X464" t="s">
        <v>125</v>
      </c>
      <c r="AA464" t="s">
        <v>2163</v>
      </c>
      <c r="AB464" t="s">
        <v>2</v>
      </c>
      <c r="AC464" t="s">
        <v>138</v>
      </c>
      <c r="AD464" t="s">
        <v>131</v>
      </c>
      <c r="AE464" s="97">
        <f>VLOOKUP(A:A,SUMMERY!AA:AC,2,FALSE)</f>
        <v>46234</v>
      </c>
      <c r="AF464" s="6" t="str">
        <f>VLOOKUP(A:A,SUMMERY!AA:AC,3,FALSE)</f>
        <v>Priority-2</v>
      </c>
    </row>
    <row r="465" spans="1:32" x14ac:dyDescent="0.3">
      <c r="A465" t="s">
        <v>3339</v>
      </c>
      <c r="B465" t="s">
        <v>3340</v>
      </c>
      <c r="G465" t="s">
        <v>2162</v>
      </c>
      <c r="H465" t="s">
        <v>132</v>
      </c>
      <c r="I465" t="s">
        <v>2</v>
      </c>
      <c r="J465" t="s">
        <v>133</v>
      </c>
      <c r="K465" t="s">
        <v>52</v>
      </c>
      <c r="L465" t="s">
        <v>3336</v>
      </c>
      <c r="M465" t="s">
        <v>134</v>
      </c>
      <c r="N465" t="s">
        <v>135</v>
      </c>
      <c r="Q465" t="s">
        <v>168</v>
      </c>
      <c r="T465" t="s">
        <v>2165</v>
      </c>
      <c r="U465" t="s">
        <v>137</v>
      </c>
      <c r="V465" t="s">
        <v>1967</v>
      </c>
      <c r="X465" t="s">
        <v>125</v>
      </c>
      <c r="AA465" t="s">
        <v>2163</v>
      </c>
      <c r="AB465" t="s">
        <v>2</v>
      </c>
      <c r="AC465" t="s">
        <v>138</v>
      </c>
      <c r="AD465" t="s">
        <v>131</v>
      </c>
      <c r="AE465" s="97">
        <f>VLOOKUP(A:A,SUMMERY!AA:AC,2,FALSE)</f>
        <v>46234</v>
      </c>
      <c r="AF465" s="6" t="str">
        <f>VLOOKUP(A:A,SUMMERY!AA:AC,3,FALSE)</f>
        <v>Priority-2</v>
      </c>
    </row>
    <row r="466" spans="1:32" x14ac:dyDescent="0.3">
      <c r="A466" t="s">
        <v>3341</v>
      </c>
      <c r="B466" t="s">
        <v>3342</v>
      </c>
      <c r="G466" t="s">
        <v>2162</v>
      </c>
      <c r="H466" t="s">
        <v>132</v>
      </c>
      <c r="I466" t="s">
        <v>2</v>
      </c>
      <c r="J466" t="s">
        <v>133</v>
      </c>
      <c r="K466" t="s">
        <v>52</v>
      </c>
      <c r="L466" t="s">
        <v>3336</v>
      </c>
      <c r="M466" t="s">
        <v>134</v>
      </c>
      <c r="N466" t="s">
        <v>135</v>
      </c>
      <c r="Q466" t="s">
        <v>168</v>
      </c>
      <c r="T466" t="s">
        <v>2165</v>
      </c>
      <c r="U466" t="s">
        <v>137</v>
      </c>
      <c r="V466" t="s">
        <v>1967</v>
      </c>
      <c r="X466" t="s">
        <v>125</v>
      </c>
      <c r="AA466" t="s">
        <v>2163</v>
      </c>
      <c r="AB466" t="s">
        <v>2</v>
      </c>
      <c r="AC466" t="s">
        <v>138</v>
      </c>
      <c r="AD466" t="s">
        <v>131</v>
      </c>
      <c r="AE466" s="97">
        <f>VLOOKUP(A:A,SUMMERY!AA:AC,2,FALSE)</f>
        <v>46234</v>
      </c>
      <c r="AF466" s="6" t="str">
        <f>VLOOKUP(A:A,SUMMERY!AA:AC,3,FALSE)</f>
        <v>Priority-2</v>
      </c>
    </row>
    <row r="467" spans="1:32" x14ac:dyDescent="0.3">
      <c r="A467" t="s">
        <v>3343</v>
      </c>
      <c r="B467" t="s">
        <v>3344</v>
      </c>
      <c r="G467" t="s">
        <v>2162</v>
      </c>
      <c r="H467" t="s">
        <v>132</v>
      </c>
      <c r="I467" t="s">
        <v>2</v>
      </c>
      <c r="J467" t="s">
        <v>133</v>
      </c>
      <c r="K467" t="s">
        <v>52</v>
      </c>
      <c r="L467" t="s">
        <v>3336</v>
      </c>
      <c r="M467" t="s">
        <v>134</v>
      </c>
      <c r="N467" t="s">
        <v>135</v>
      </c>
      <c r="Q467" t="s">
        <v>168</v>
      </c>
      <c r="T467" t="s">
        <v>2165</v>
      </c>
      <c r="U467" t="s">
        <v>137</v>
      </c>
      <c r="V467" t="s">
        <v>1967</v>
      </c>
      <c r="X467" t="s">
        <v>125</v>
      </c>
      <c r="AA467" t="s">
        <v>2163</v>
      </c>
      <c r="AB467" t="s">
        <v>2</v>
      </c>
      <c r="AC467" t="s">
        <v>138</v>
      </c>
      <c r="AD467" t="s">
        <v>131</v>
      </c>
      <c r="AE467" s="97">
        <f>VLOOKUP(A:A,SUMMERY!AA:AC,2,FALSE)</f>
        <v>46234</v>
      </c>
      <c r="AF467" s="6" t="str">
        <f>VLOOKUP(A:A,SUMMERY!AA:AC,3,FALSE)</f>
        <v>Priority-2</v>
      </c>
    </row>
    <row r="468" spans="1:32" x14ac:dyDescent="0.3">
      <c r="A468" t="s">
        <v>3345</v>
      </c>
      <c r="B468" t="s">
        <v>3346</v>
      </c>
      <c r="G468" t="s">
        <v>2162</v>
      </c>
      <c r="H468" t="s">
        <v>132</v>
      </c>
      <c r="I468" t="s">
        <v>2</v>
      </c>
      <c r="J468" t="s">
        <v>133</v>
      </c>
      <c r="K468" t="s">
        <v>52</v>
      </c>
      <c r="L468" t="s">
        <v>3347</v>
      </c>
      <c r="M468" t="s">
        <v>134</v>
      </c>
      <c r="N468" t="s">
        <v>135</v>
      </c>
      <c r="Q468" t="s">
        <v>168</v>
      </c>
      <c r="T468" t="s">
        <v>2165</v>
      </c>
      <c r="U468" t="s">
        <v>137</v>
      </c>
      <c r="V468" t="s">
        <v>1967</v>
      </c>
      <c r="X468" t="s">
        <v>125</v>
      </c>
      <c r="AA468" t="s">
        <v>2163</v>
      </c>
      <c r="AB468" t="s">
        <v>2</v>
      </c>
      <c r="AC468" t="s">
        <v>138</v>
      </c>
      <c r="AD468" t="s">
        <v>131</v>
      </c>
      <c r="AE468" s="97">
        <f>VLOOKUP(A:A,SUMMERY!AA:AC,2,FALSE)</f>
        <v>46234</v>
      </c>
      <c r="AF468" s="6" t="str">
        <f>VLOOKUP(A:A,SUMMERY!AA:AC,3,FALSE)</f>
        <v>Priority-2</v>
      </c>
    </row>
    <row r="469" spans="1:32" x14ac:dyDescent="0.3">
      <c r="A469" t="s">
        <v>3348</v>
      </c>
      <c r="B469" t="s">
        <v>3349</v>
      </c>
      <c r="G469" t="s">
        <v>2162</v>
      </c>
      <c r="H469" t="s">
        <v>132</v>
      </c>
      <c r="I469" t="s">
        <v>2</v>
      </c>
      <c r="J469" t="s">
        <v>133</v>
      </c>
      <c r="K469" t="s">
        <v>52</v>
      </c>
      <c r="L469" t="s">
        <v>3347</v>
      </c>
      <c r="M469" t="s">
        <v>134</v>
      </c>
      <c r="N469" t="s">
        <v>135</v>
      </c>
      <c r="Q469" t="s">
        <v>168</v>
      </c>
      <c r="T469" t="s">
        <v>2165</v>
      </c>
      <c r="U469" t="s">
        <v>137</v>
      </c>
      <c r="V469" t="s">
        <v>1967</v>
      </c>
      <c r="X469" t="s">
        <v>125</v>
      </c>
      <c r="AA469" t="s">
        <v>2163</v>
      </c>
      <c r="AB469" t="s">
        <v>2</v>
      </c>
      <c r="AC469" t="s">
        <v>138</v>
      </c>
      <c r="AD469" t="s">
        <v>131</v>
      </c>
      <c r="AE469" s="97">
        <f>VLOOKUP(A:A,SUMMERY!AA:AC,2,FALSE)</f>
        <v>46234</v>
      </c>
      <c r="AF469" s="6" t="str">
        <f>VLOOKUP(A:A,SUMMERY!AA:AC,3,FALSE)</f>
        <v>Priority-2</v>
      </c>
    </row>
    <row r="470" spans="1:32" x14ac:dyDescent="0.3">
      <c r="A470" t="s">
        <v>3350</v>
      </c>
      <c r="B470" t="s">
        <v>3351</v>
      </c>
      <c r="G470" t="s">
        <v>2162</v>
      </c>
      <c r="H470" t="s">
        <v>132</v>
      </c>
      <c r="I470" t="s">
        <v>2</v>
      </c>
      <c r="J470" t="s">
        <v>133</v>
      </c>
      <c r="K470" t="s">
        <v>52</v>
      </c>
      <c r="L470" t="s">
        <v>3347</v>
      </c>
      <c r="M470" t="s">
        <v>134</v>
      </c>
      <c r="N470" t="s">
        <v>135</v>
      </c>
      <c r="Q470" t="s">
        <v>168</v>
      </c>
      <c r="T470" t="s">
        <v>2165</v>
      </c>
      <c r="U470" t="s">
        <v>137</v>
      </c>
      <c r="V470" t="s">
        <v>1967</v>
      </c>
      <c r="X470" t="s">
        <v>125</v>
      </c>
      <c r="AA470" t="s">
        <v>2163</v>
      </c>
      <c r="AB470" t="s">
        <v>2</v>
      </c>
      <c r="AC470" t="s">
        <v>138</v>
      </c>
      <c r="AD470" t="s">
        <v>131</v>
      </c>
      <c r="AE470" s="97">
        <f>VLOOKUP(A:A,SUMMERY!AA:AC,2,FALSE)</f>
        <v>46234</v>
      </c>
      <c r="AF470" s="6" t="str">
        <f>VLOOKUP(A:A,SUMMERY!AA:AC,3,FALSE)</f>
        <v>Priority-2</v>
      </c>
    </row>
    <row r="471" spans="1:32" x14ac:dyDescent="0.3">
      <c r="A471" t="s">
        <v>3352</v>
      </c>
      <c r="B471" t="s">
        <v>3353</v>
      </c>
      <c r="G471" t="s">
        <v>2162</v>
      </c>
      <c r="H471" t="s">
        <v>132</v>
      </c>
      <c r="I471" t="s">
        <v>2</v>
      </c>
      <c r="J471" t="s">
        <v>133</v>
      </c>
      <c r="K471" t="s">
        <v>52</v>
      </c>
      <c r="L471" t="s">
        <v>3347</v>
      </c>
      <c r="M471" t="s">
        <v>134</v>
      </c>
      <c r="N471" t="s">
        <v>135</v>
      </c>
      <c r="Q471" t="s">
        <v>168</v>
      </c>
      <c r="T471" t="s">
        <v>2165</v>
      </c>
      <c r="U471" t="s">
        <v>137</v>
      </c>
      <c r="V471" t="s">
        <v>1967</v>
      </c>
      <c r="X471" t="s">
        <v>125</v>
      </c>
      <c r="AA471" t="s">
        <v>2163</v>
      </c>
      <c r="AB471" t="s">
        <v>2</v>
      </c>
      <c r="AC471" t="s">
        <v>138</v>
      </c>
      <c r="AD471" t="s">
        <v>131</v>
      </c>
      <c r="AE471" s="97">
        <f>VLOOKUP(A:A,SUMMERY!AA:AC,2,FALSE)</f>
        <v>46234</v>
      </c>
      <c r="AF471" s="6" t="str">
        <f>VLOOKUP(A:A,SUMMERY!AA:AC,3,FALSE)</f>
        <v>Priority-2</v>
      </c>
    </row>
    <row r="472" spans="1:32" x14ac:dyDescent="0.3">
      <c r="A472" t="s">
        <v>3354</v>
      </c>
      <c r="B472" t="s">
        <v>3355</v>
      </c>
      <c r="G472" t="s">
        <v>2162</v>
      </c>
      <c r="H472" t="s">
        <v>132</v>
      </c>
      <c r="I472" t="s">
        <v>2</v>
      </c>
      <c r="J472" t="s">
        <v>133</v>
      </c>
      <c r="K472" t="s">
        <v>52</v>
      </c>
      <c r="L472" t="s">
        <v>3347</v>
      </c>
      <c r="M472" t="s">
        <v>134</v>
      </c>
      <c r="N472" t="s">
        <v>135</v>
      </c>
      <c r="Q472" t="s">
        <v>168</v>
      </c>
      <c r="T472" t="s">
        <v>2165</v>
      </c>
      <c r="U472" t="s">
        <v>137</v>
      </c>
      <c r="V472" t="s">
        <v>1967</v>
      </c>
      <c r="X472" t="s">
        <v>125</v>
      </c>
      <c r="AA472" t="s">
        <v>2163</v>
      </c>
      <c r="AB472" t="s">
        <v>2</v>
      </c>
      <c r="AC472" t="s">
        <v>138</v>
      </c>
      <c r="AD472" t="s">
        <v>131</v>
      </c>
      <c r="AE472" s="97">
        <f>VLOOKUP(A:A,SUMMERY!AA:AC,2,FALSE)</f>
        <v>46234</v>
      </c>
      <c r="AF472" s="6" t="str">
        <f>VLOOKUP(A:A,SUMMERY!AA:AC,3,FALSE)</f>
        <v>Priority-2</v>
      </c>
    </row>
    <row r="473" spans="1:32" x14ac:dyDescent="0.3">
      <c r="A473" t="s">
        <v>3356</v>
      </c>
      <c r="B473" t="s">
        <v>3357</v>
      </c>
      <c r="G473" t="s">
        <v>2162</v>
      </c>
      <c r="H473" t="s">
        <v>132</v>
      </c>
      <c r="I473" t="s">
        <v>2</v>
      </c>
      <c r="J473" t="s">
        <v>133</v>
      </c>
      <c r="K473" t="s">
        <v>52</v>
      </c>
      <c r="L473" t="s">
        <v>3358</v>
      </c>
      <c r="M473" t="s">
        <v>134</v>
      </c>
      <c r="N473" t="s">
        <v>135</v>
      </c>
      <c r="Q473" t="s">
        <v>168</v>
      </c>
      <c r="T473" t="s">
        <v>2165</v>
      </c>
      <c r="U473" t="s">
        <v>137</v>
      </c>
      <c r="V473" t="s">
        <v>1239</v>
      </c>
      <c r="X473" t="s">
        <v>127</v>
      </c>
      <c r="AA473" t="s">
        <v>2163</v>
      </c>
      <c r="AB473" t="s">
        <v>2</v>
      </c>
      <c r="AC473" t="s">
        <v>138</v>
      </c>
      <c r="AD473" t="s">
        <v>131</v>
      </c>
      <c r="AE473" s="97">
        <f>VLOOKUP(A:A,SUMMERY!AA:AC,2,FALSE)</f>
        <v>46234</v>
      </c>
      <c r="AF473" s="6" t="str">
        <f>VLOOKUP(A:A,SUMMERY!AA:AC,3,FALSE)</f>
        <v>Priority-2</v>
      </c>
    </row>
    <row r="474" spans="1:32" x14ac:dyDescent="0.3">
      <c r="A474" t="s">
        <v>3359</v>
      </c>
      <c r="B474" t="s">
        <v>3360</v>
      </c>
      <c r="G474" t="s">
        <v>2162</v>
      </c>
      <c r="H474" t="s">
        <v>132</v>
      </c>
      <c r="I474" t="s">
        <v>2</v>
      </c>
      <c r="J474" t="s">
        <v>133</v>
      </c>
      <c r="K474" t="s">
        <v>52</v>
      </c>
      <c r="L474" t="s">
        <v>3358</v>
      </c>
      <c r="M474" t="s">
        <v>134</v>
      </c>
      <c r="N474" t="s">
        <v>135</v>
      </c>
      <c r="Q474" t="s">
        <v>168</v>
      </c>
      <c r="T474" t="s">
        <v>2165</v>
      </c>
      <c r="U474" t="s">
        <v>137</v>
      </c>
      <c r="V474" t="s">
        <v>1239</v>
      </c>
      <c r="X474" t="s">
        <v>127</v>
      </c>
      <c r="AA474" t="s">
        <v>2163</v>
      </c>
      <c r="AB474" t="s">
        <v>2</v>
      </c>
      <c r="AC474" t="s">
        <v>138</v>
      </c>
      <c r="AD474" t="s">
        <v>131</v>
      </c>
      <c r="AE474" s="97">
        <f>VLOOKUP(A:A,SUMMERY!AA:AC,2,FALSE)</f>
        <v>46234</v>
      </c>
      <c r="AF474" s="6" t="str">
        <f>VLOOKUP(A:A,SUMMERY!AA:AC,3,FALSE)</f>
        <v>Priority-2</v>
      </c>
    </row>
    <row r="475" spans="1:32" x14ac:dyDescent="0.3">
      <c r="A475" t="s">
        <v>3361</v>
      </c>
      <c r="B475" t="s">
        <v>3362</v>
      </c>
      <c r="G475" t="s">
        <v>2162</v>
      </c>
      <c r="H475" t="s">
        <v>132</v>
      </c>
      <c r="I475" t="s">
        <v>2</v>
      </c>
      <c r="J475" t="s">
        <v>133</v>
      </c>
      <c r="K475" t="s">
        <v>52</v>
      </c>
      <c r="L475" t="s">
        <v>3358</v>
      </c>
      <c r="M475" t="s">
        <v>134</v>
      </c>
      <c r="N475" t="s">
        <v>135</v>
      </c>
      <c r="Q475" t="s">
        <v>168</v>
      </c>
      <c r="T475" t="s">
        <v>2165</v>
      </c>
      <c r="U475" t="s">
        <v>137</v>
      </c>
      <c r="V475" t="s">
        <v>1239</v>
      </c>
      <c r="X475" t="s">
        <v>127</v>
      </c>
      <c r="AA475" t="s">
        <v>2163</v>
      </c>
      <c r="AB475" t="s">
        <v>2</v>
      </c>
      <c r="AC475" t="s">
        <v>138</v>
      </c>
      <c r="AD475" t="s">
        <v>131</v>
      </c>
      <c r="AE475" s="97">
        <f>VLOOKUP(A:A,SUMMERY!AA:AC,2,FALSE)</f>
        <v>46234</v>
      </c>
      <c r="AF475" s="6" t="str">
        <f>VLOOKUP(A:A,SUMMERY!AA:AC,3,FALSE)</f>
        <v>Priority-2</v>
      </c>
    </row>
    <row r="476" spans="1:32" x14ac:dyDescent="0.3">
      <c r="A476" t="s">
        <v>3363</v>
      </c>
      <c r="B476" t="s">
        <v>3364</v>
      </c>
      <c r="G476" t="s">
        <v>2162</v>
      </c>
      <c r="H476" t="s">
        <v>132</v>
      </c>
      <c r="I476" t="s">
        <v>2</v>
      </c>
      <c r="J476" t="s">
        <v>133</v>
      </c>
      <c r="K476" t="s">
        <v>52</v>
      </c>
      <c r="L476" t="s">
        <v>3358</v>
      </c>
      <c r="M476" t="s">
        <v>134</v>
      </c>
      <c r="N476" t="s">
        <v>135</v>
      </c>
      <c r="Q476" t="s">
        <v>168</v>
      </c>
      <c r="T476" t="s">
        <v>2165</v>
      </c>
      <c r="U476" t="s">
        <v>137</v>
      </c>
      <c r="V476" t="s">
        <v>1239</v>
      </c>
      <c r="X476" t="s">
        <v>127</v>
      </c>
      <c r="AA476" t="s">
        <v>2163</v>
      </c>
      <c r="AB476" t="s">
        <v>2</v>
      </c>
      <c r="AC476" t="s">
        <v>138</v>
      </c>
      <c r="AD476" t="s">
        <v>131</v>
      </c>
      <c r="AE476" s="97">
        <f>VLOOKUP(A:A,SUMMERY!AA:AC,2,FALSE)</f>
        <v>46234</v>
      </c>
      <c r="AF476" s="6" t="str">
        <f>VLOOKUP(A:A,SUMMERY!AA:AC,3,FALSE)</f>
        <v>Priority-2</v>
      </c>
    </row>
    <row r="477" spans="1:32" x14ac:dyDescent="0.3">
      <c r="A477" t="s">
        <v>3371</v>
      </c>
      <c r="B477" t="s">
        <v>3372</v>
      </c>
      <c r="G477" t="s">
        <v>2162</v>
      </c>
      <c r="H477" t="s">
        <v>132</v>
      </c>
      <c r="I477" t="s">
        <v>2</v>
      </c>
      <c r="J477" t="s">
        <v>133</v>
      </c>
      <c r="K477" t="s">
        <v>52</v>
      </c>
      <c r="L477" t="s">
        <v>3373</v>
      </c>
      <c r="M477" t="s">
        <v>134</v>
      </c>
      <c r="N477" t="s">
        <v>135</v>
      </c>
      <c r="Q477" t="s">
        <v>168</v>
      </c>
      <c r="T477" t="s">
        <v>2165</v>
      </c>
      <c r="U477" t="s">
        <v>137</v>
      </c>
      <c r="V477" t="s">
        <v>1249</v>
      </c>
      <c r="X477" t="s">
        <v>61</v>
      </c>
      <c r="AA477" t="s">
        <v>2163</v>
      </c>
      <c r="AB477" t="s">
        <v>2</v>
      </c>
      <c r="AC477" t="s">
        <v>138</v>
      </c>
      <c r="AD477" t="s">
        <v>128</v>
      </c>
      <c r="AE477" s="97">
        <f>VLOOKUP(A:A,SUMMERY!AA:AC,2,FALSE)</f>
        <v>46224</v>
      </c>
      <c r="AF477" s="6" t="str">
        <f>VLOOKUP(A:A,SUMMERY!AA:AC,3,FALSE)</f>
        <v>Priority-1</v>
      </c>
    </row>
    <row r="478" spans="1:32" x14ac:dyDescent="0.3">
      <c r="A478" t="s">
        <v>3374</v>
      </c>
      <c r="B478" t="s">
        <v>3375</v>
      </c>
      <c r="G478" t="s">
        <v>2162</v>
      </c>
      <c r="H478" t="s">
        <v>132</v>
      </c>
      <c r="I478" t="s">
        <v>2</v>
      </c>
      <c r="J478" t="s">
        <v>133</v>
      </c>
      <c r="K478" t="s">
        <v>52</v>
      </c>
      <c r="L478" t="s">
        <v>3373</v>
      </c>
      <c r="M478" t="s">
        <v>134</v>
      </c>
      <c r="N478" t="s">
        <v>135</v>
      </c>
      <c r="Q478" t="s">
        <v>168</v>
      </c>
      <c r="T478" t="s">
        <v>2165</v>
      </c>
      <c r="U478" t="s">
        <v>137</v>
      </c>
      <c r="V478" t="s">
        <v>1249</v>
      </c>
      <c r="X478" t="s">
        <v>61</v>
      </c>
      <c r="AA478" t="s">
        <v>2163</v>
      </c>
      <c r="AB478" t="s">
        <v>2</v>
      </c>
      <c r="AC478" t="s">
        <v>138</v>
      </c>
      <c r="AD478" t="s">
        <v>128</v>
      </c>
      <c r="AE478" s="97">
        <f>VLOOKUP(A:A,SUMMERY!AA:AC,2,FALSE)</f>
        <v>46224</v>
      </c>
      <c r="AF478" s="6" t="str">
        <f>VLOOKUP(A:A,SUMMERY!AA:AC,3,FALSE)</f>
        <v>Priority-1</v>
      </c>
    </row>
    <row r="479" spans="1:32" x14ac:dyDescent="0.3">
      <c r="A479" t="s">
        <v>3376</v>
      </c>
      <c r="B479" t="s">
        <v>3377</v>
      </c>
      <c r="G479" t="s">
        <v>2162</v>
      </c>
      <c r="H479" t="s">
        <v>132</v>
      </c>
      <c r="I479" t="s">
        <v>2</v>
      </c>
      <c r="J479" t="s">
        <v>133</v>
      </c>
      <c r="K479" t="s">
        <v>52</v>
      </c>
      <c r="L479" t="s">
        <v>3373</v>
      </c>
      <c r="M479" t="s">
        <v>134</v>
      </c>
      <c r="N479" t="s">
        <v>135</v>
      </c>
      <c r="Q479" t="s">
        <v>168</v>
      </c>
      <c r="T479" t="s">
        <v>2165</v>
      </c>
      <c r="U479" t="s">
        <v>137</v>
      </c>
      <c r="V479" t="s">
        <v>1249</v>
      </c>
      <c r="X479" t="s">
        <v>61</v>
      </c>
      <c r="AA479" t="s">
        <v>2163</v>
      </c>
      <c r="AB479" t="s">
        <v>2</v>
      </c>
      <c r="AC479" t="s">
        <v>138</v>
      </c>
      <c r="AD479" t="s">
        <v>128</v>
      </c>
      <c r="AE479" s="97">
        <f>VLOOKUP(A:A,SUMMERY!AA:AC,2,FALSE)</f>
        <v>46224</v>
      </c>
      <c r="AF479" s="6" t="str">
        <f>VLOOKUP(A:A,SUMMERY!AA:AC,3,FALSE)</f>
        <v>Priority-1</v>
      </c>
    </row>
    <row r="480" spans="1:32" x14ac:dyDescent="0.3">
      <c r="A480" t="s">
        <v>3378</v>
      </c>
      <c r="B480" t="s">
        <v>3379</v>
      </c>
      <c r="G480" t="s">
        <v>2162</v>
      </c>
      <c r="H480" t="s">
        <v>132</v>
      </c>
      <c r="I480" t="s">
        <v>2</v>
      </c>
      <c r="J480" t="s">
        <v>133</v>
      </c>
      <c r="K480" t="s">
        <v>52</v>
      </c>
      <c r="L480" t="s">
        <v>3373</v>
      </c>
      <c r="M480" t="s">
        <v>134</v>
      </c>
      <c r="N480" t="s">
        <v>135</v>
      </c>
      <c r="Q480" t="s">
        <v>168</v>
      </c>
      <c r="T480" t="s">
        <v>2165</v>
      </c>
      <c r="U480" t="s">
        <v>137</v>
      </c>
      <c r="V480" t="s">
        <v>1249</v>
      </c>
      <c r="X480" t="s">
        <v>61</v>
      </c>
      <c r="AA480" t="s">
        <v>2163</v>
      </c>
      <c r="AB480" t="s">
        <v>2</v>
      </c>
      <c r="AC480" t="s">
        <v>138</v>
      </c>
      <c r="AD480" t="s">
        <v>128</v>
      </c>
      <c r="AE480" s="97">
        <f>VLOOKUP(A:A,SUMMERY!AA:AC,2,FALSE)</f>
        <v>46224</v>
      </c>
      <c r="AF480" s="6" t="str">
        <f>VLOOKUP(A:A,SUMMERY!AA:AC,3,FALSE)</f>
        <v>Priority-1</v>
      </c>
    </row>
    <row r="481" spans="1:32" x14ac:dyDescent="0.3">
      <c r="A481" t="s">
        <v>3386</v>
      </c>
      <c r="B481" t="s">
        <v>3387</v>
      </c>
      <c r="G481" t="s">
        <v>2162</v>
      </c>
      <c r="H481" t="s">
        <v>132</v>
      </c>
      <c r="I481" t="s">
        <v>2</v>
      </c>
      <c r="J481" t="s">
        <v>133</v>
      </c>
      <c r="K481" t="s">
        <v>52</v>
      </c>
      <c r="L481" t="s">
        <v>3388</v>
      </c>
      <c r="M481" t="s">
        <v>134</v>
      </c>
      <c r="N481" t="s">
        <v>135</v>
      </c>
      <c r="Q481" t="s">
        <v>168</v>
      </c>
      <c r="T481" t="s">
        <v>2164</v>
      </c>
      <c r="U481" t="s">
        <v>137</v>
      </c>
      <c r="V481" t="s">
        <v>1259</v>
      </c>
      <c r="X481" t="s">
        <v>126</v>
      </c>
      <c r="AA481" t="s">
        <v>2163</v>
      </c>
      <c r="AB481" t="s">
        <v>2</v>
      </c>
      <c r="AC481" t="s">
        <v>138</v>
      </c>
      <c r="AD481" t="s">
        <v>131</v>
      </c>
      <c r="AE481" s="97">
        <f>VLOOKUP(A:A,SUMMERY!AA:AC,2,FALSE)</f>
        <v>46234</v>
      </c>
      <c r="AF481" s="6" t="str">
        <f>VLOOKUP(A:A,SUMMERY!AA:AC,3,FALSE)</f>
        <v>Priority-2</v>
      </c>
    </row>
    <row r="482" spans="1:32" x14ac:dyDescent="0.3">
      <c r="A482" t="s">
        <v>3389</v>
      </c>
      <c r="B482" t="s">
        <v>3390</v>
      </c>
      <c r="G482" t="s">
        <v>2162</v>
      </c>
      <c r="H482" t="s">
        <v>132</v>
      </c>
      <c r="I482" t="s">
        <v>2</v>
      </c>
      <c r="J482" t="s">
        <v>133</v>
      </c>
      <c r="K482" t="s">
        <v>52</v>
      </c>
      <c r="L482" t="s">
        <v>3391</v>
      </c>
      <c r="M482" t="s">
        <v>134</v>
      </c>
      <c r="N482" t="s">
        <v>135</v>
      </c>
      <c r="Q482" t="s">
        <v>168</v>
      </c>
      <c r="T482" t="s">
        <v>2164</v>
      </c>
      <c r="U482" t="s">
        <v>137</v>
      </c>
      <c r="V482" t="s">
        <v>1259</v>
      </c>
      <c r="X482" t="s">
        <v>126</v>
      </c>
      <c r="AA482" t="s">
        <v>2163</v>
      </c>
      <c r="AB482" t="s">
        <v>2</v>
      </c>
      <c r="AC482" t="s">
        <v>138</v>
      </c>
      <c r="AD482" t="s">
        <v>131</v>
      </c>
      <c r="AE482" s="97">
        <f>VLOOKUP(A:A,SUMMERY!AA:AC,2,FALSE)</f>
        <v>46234</v>
      </c>
      <c r="AF482" s="6" t="str">
        <f>VLOOKUP(A:A,SUMMERY!AA:AC,3,FALSE)</f>
        <v>Priority-2</v>
      </c>
    </row>
    <row r="483" spans="1:32" x14ac:dyDescent="0.3">
      <c r="A483" t="s">
        <v>3392</v>
      </c>
      <c r="B483" t="s">
        <v>3393</v>
      </c>
      <c r="G483" t="s">
        <v>2162</v>
      </c>
      <c r="H483" t="s">
        <v>132</v>
      </c>
      <c r="I483" t="s">
        <v>2</v>
      </c>
      <c r="J483" t="s">
        <v>133</v>
      </c>
      <c r="K483" t="s">
        <v>52</v>
      </c>
      <c r="L483" t="s">
        <v>3394</v>
      </c>
      <c r="M483" t="s">
        <v>134</v>
      </c>
      <c r="N483" t="s">
        <v>135</v>
      </c>
      <c r="Q483" t="s">
        <v>168</v>
      </c>
      <c r="T483" t="s">
        <v>2164</v>
      </c>
      <c r="U483" t="s">
        <v>137</v>
      </c>
      <c r="V483" t="s">
        <v>1263</v>
      </c>
      <c r="X483" t="s">
        <v>69</v>
      </c>
      <c r="AA483" t="s">
        <v>2163</v>
      </c>
      <c r="AB483" t="s">
        <v>2</v>
      </c>
      <c r="AC483" t="s">
        <v>138</v>
      </c>
      <c r="AD483" t="s">
        <v>128</v>
      </c>
      <c r="AE483" s="97">
        <f>VLOOKUP(A:A,SUMMERY!AA:AC,2,FALSE)</f>
        <v>46224</v>
      </c>
      <c r="AF483" s="6" t="str">
        <f>VLOOKUP(A:A,SUMMERY!AA:AC,3,FALSE)</f>
        <v>Priority-1</v>
      </c>
    </row>
    <row r="484" spans="1:32" x14ac:dyDescent="0.3">
      <c r="A484" t="s">
        <v>3395</v>
      </c>
      <c r="B484" t="s">
        <v>3396</v>
      </c>
      <c r="G484" t="s">
        <v>2162</v>
      </c>
      <c r="H484" t="s">
        <v>132</v>
      </c>
      <c r="I484" t="s">
        <v>2</v>
      </c>
      <c r="J484" t="s">
        <v>133</v>
      </c>
      <c r="K484" t="s">
        <v>52</v>
      </c>
      <c r="L484" t="s">
        <v>3397</v>
      </c>
      <c r="M484" t="s">
        <v>134</v>
      </c>
      <c r="N484" t="s">
        <v>135</v>
      </c>
      <c r="Q484" t="s">
        <v>168</v>
      </c>
      <c r="T484" t="s">
        <v>2164</v>
      </c>
      <c r="U484" t="s">
        <v>137</v>
      </c>
      <c r="V484" t="s">
        <v>1263</v>
      </c>
      <c r="X484" t="s">
        <v>69</v>
      </c>
      <c r="AA484" t="s">
        <v>2163</v>
      </c>
      <c r="AB484" t="s">
        <v>2</v>
      </c>
      <c r="AC484" t="s">
        <v>138</v>
      </c>
      <c r="AD484" t="s">
        <v>128</v>
      </c>
      <c r="AE484" s="97">
        <f>VLOOKUP(A:A,SUMMERY!AA:AC,2,FALSE)</f>
        <v>46224</v>
      </c>
      <c r="AF484" s="6" t="str">
        <f>VLOOKUP(A:A,SUMMERY!AA:AC,3,FALSE)</f>
        <v>Priority-1</v>
      </c>
    </row>
    <row r="485" spans="1:32" x14ac:dyDescent="0.3">
      <c r="A485" t="s">
        <v>3398</v>
      </c>
      <c r="B485" t="s">
        <v>3399</v>
      </c>
      <c r="G485" t="s">
        <v>2162</v>
      </c>
      <c r="H485" t="s">
        <v>132</v>
      </c>
      <c r="I485" t="s">
        <v>2</v>
      </c>
      <c r="J485" t="s">
        <v>133</v>
      </c>
      <c r="K485" t="s">
        <v>52</v>
      </c>
      <c r="L485" t="s">
        <v>3400</v>
      </c>
      <c r="M485" t="s">
        <v>134</v>
      </c>
      <c r="N485" t="s">
        <v>135</v>
      </c>
      <c r="Q485" t="s">
        <v>168</v>
      </c>
      <c r="T485" t="s">
        <v>2164</v>
      </c>
      <c r="U485" t="s">
        <v>137</v>
      </c>
      <c r="V485" t="s">
        <v>1259</v>
      </c>
      <c r="X485" t="s">
        <v>126</v>
      </c>
      <c r="AA485" t="s">
        <v>2163</v>
      </c>
      <c r="AB485" t="s">
        <v>2</v>
      </c>
      <c r="AC485" t="s">
        <v>138</v>
      </c>
      <c r="AD485" t="s">
        <v>131</v>
      </c>
      <c r="AE485" s="97">
        <f>VLOOKUP(A:A,SUMMERY!AA:AC,2,FALSE)</f>
        <v>46234</v>
      </c>
      <c r="AF485" s="6" t="str">
        <f>VLOOKUP(A:A,SUMMERY!AA:AC,3,FALSE)</f>
        <v>Priority-2</v>
      </c>
    </row>
    <row r="486" spans="1:32" x14ac:dyDescent="0.3">
      <c r="A486" t="s">
        <v>3401</v>
      </c>
      <c r="B486" t="s">
        <v>3402</v>
      </c>
      <c r="G486" t="s">
        <v>2162</v>
      </c>
      <c r="H486" t="s">
        <v>132</v>
      </c>
      <c r="I486" t="s">
        <v>2</v>
      </c>
      <c r="J486" t="s">
        <v>133</v>
      </c>
      <c r="K486" t="s">
        <v>52</v>
      </c>
      <c r="L486" t="s">
        <v>3403</v>
      </c>
      <c r="M486" t="s">
        <v>134</v>
      </c>
      <c r="N486" t="s">
        <v>135</v>
      </c>
      <c r="Q486" t="s">
        <v>168</v>
      </c>
      <c r="T486" t="s">
        <v>2164</v>
      </c>
      <c r="U486" t="s">
        <v>137</v>
      </c>
      <c r="V486" t="s">
        <v>1259</v>
      </c>
      <c r="X486" t="s">
        <v>126</v>
      </c>
      <c r="AA486" t="s">
        <v>2163</v>
      </c>
      <c r="AB486" t="s">
        <v>2</v>
      </c>
      <c r="AC486" t="s">
        <v>138</v>
      </c>
      <c r="AD486" t="s">
        <v>131</v>
      </c>
      <c r="AE486" s="97">
        <f>VLOOKUP(A:A,SUMMERY!AA:AC,2,FALSE)</f>
        <v>46234</v>
      </c>
      <c r="AF486" s="6" t="str">
        <f>VLOOKUP(A:A,SUMMERY!AA:AC,3,FALSE)</f>
        <v>Priority-2</v>
      </c>
    </row>
    <row r="487" spans="1:32" x14ac:dyDescent="0.3">
      <c r="A487" t="s">
        <v>3404</v>
      </c>
      <c r="B487" t="s">
        <v>3405</v>
      </c>
      <c r="G487" t="s">
        <v>2162</v>
      </c>
      <c r="H487" t="s">
        <v>132</v>
      </c>
      <c r="I487" t="s">
        <v>2</v>
      </c>
      <c r="J487" t="s">
        <v>133</v>
      </c>
      <c r="K487" t="s">
        <v>52</v>
      </c>
      <c r="L487" t="s">
        <v>3406</v>
      </c>
      <c r="M487" t="s">
        <v>134</v>
      </c>
      <c r="N487" t="s">
        <v>135</v>
      </c>
      <c r="Q487" t="s">
        <v>168</v>
      </c>
      <c r="T487" t="s">
        <v>2164</v>
      </c>
      <c r="U487" t="s">
        <v>137</v>
      </c>
      <c r="V487" t="s">
        <v>1263</v>
      </c>
      <c r="X487" t="s">
        <v>69</v>
      </c>
      <c r="AA487" t="s">
        <v>2163</v>
      </c>
      <c r="AB487" t="s">
        <v>2</v>
      </c>
      <c r="AC487" t="s">
        <v>138</v>
      </c>
      <c r="AD487" t="s">
        <v>128</v>
      </c>
      <c r="AE487" s="97">
        <f>VLOOKUP(A:A,SUMMERY!AA:AC,2,FALSE)</f>
        <v>46224</v>
      </c>
      <c r="AF487" s="6" t="str">
        <f>VLOOKUP(A:A,SUMMERY!AA:AC,3,FALSE)</f>
        <v>Priority-1</v>
      </c>
    </row>
    <row r="488" spans="1:32" x14ac:dyDescent="0.3">
      <c r="A488" t="s">
        <v>3407</v>
      </c>
      <c r="B488" t="s">
        <v>3408</v>
      </c>
      <c r="G488" t="s">
        <v>2162</v>
      </c>
      <c r="H488" t="s">
        <v>132</v>
      </c>
      <c r="I488" t="s">
        <v>2</v>
      </c>
      <c r="J488" t="s">
        <v>133</v>
      </c>
      <c r="K488" t="s">
        <v>52</v>
      </c>
      <c r="L488" t="s">
        <v>3409</v>
      </c>
      <c r="M488" t="s">
        <v>134</v>
      </c>
      <c r="N488" t="s">
        <v>135</v>
      </c>
      <c r="Q488" t="s">
        <v>168</v>
      </c>
      <c r="T488" t="s">
        <v>2164</v>
      </c>
      <c r="U488" t="s">
        <v>137</v>
      </c>
      <c r="V488" t="s">
        <v>1263</v>
      </c>
      <c r="X488" t="s">
        <v>69</v>
      </c>
      <c r="AA488" t="s">
        <v>2163</v>
      </c>
      <c r="AB488" t="s">
        <v>2</v>
      </c>
      <c r="AC488" t="s">
        <v>138</v>
      </c>
      <c r="AD488" t="s">
        <v>128</v>
      </c>
      <c r="AE488" s="97">
        <f>VLOOKUP(A:A,SUMMERY!AA:AC,2,FALSE)</f>
        <v>46224</v>
      </c>
      <c r="AF488" s="6" t="str">
        <f>VLOOKUP(A:A,SUMMERY!AA:AC,3,FALSE)</f>
        <v>Priority-1</v>
      </c>
    </row>
    <row r="489" spans="1:32" x14ac:dyDescent="0.3">
      <c r="A489" t="s">
        <v>3410</v>
      </c>
      <c r="B489" t="s">
        <v>3411</v>
      </c>
      <c r="G489" t="s">
        <v>2162</v>
      </c>
      <c r="H489" t="s">
        <v>132</v>
      </c>
      <c r="I489" t="s">
        <v>2</v>
      </c>
      <c r="J489" t="s">
        <v>133</v>
      </c>
      <c r="K489" t="s">
        <v>52</v>
      </c>
      <c r="L489" t="s">
        <v>3412</v>
      </c>
      <c r="M489" t="s">
        <v>134</v>
      </c>
      <c r="N489" t="s">
        <v>135</v>
      </c>
      <c r="Q489" t="s">
        <v>168</v>
      </c>
      <c r="T489" t="s">
        <v>2164</v>
      </c>
      <c r="U489" t="s">
        <v>137</v>
      </c>
      <c r="V489" t="s">
        <v>1259</v>
      </c>
      <c r="X489" t="s">
        <v>126</v>
      </c>
      <c r="AA489" t="s">
        <v>2163</v>
      </c>
      <c r="AB489" t="s">
        <v>2</v>
      </c>
      <c r="AC489" t="s">
        <v>138</v>
      </c>
      <c r="AD489" t="s">
        <v>131</v>
      </c>
      <c r="AE489" s="97">
        <f>VLOOKUP(A:A,SUMMERY!AA:AC,2,FALSE)</f>
        <v>46234</v>
      </c>
      <c r="AF489" s="6" t="str">
        <f>VLOOKUP(A:A,SUMMERY!AA:AC,3,FALSE)</f>
        <v>Priority-2</v>
      </c>
    </row>
    <row r="490" spans="1:32" x14ac:dyDescent="0.3">
      <c r="A490" t="s">
        <v>3413</v>
      </c>
      <c r="B490" t="s">
        <v>3414</v>
      </c>
      <c r="G490" t="s">
        <v>2162</v>
      </c>
      <c r="H490" t="s">
        <v>132</v>
      </c>
      <c r="I490" t="s">
        <v>2</v>
      </c>
      <c r="J490" t="s">
        <v>133</v>
      </c>
      <c r="K490" t="s">
        <v>52</v>
      </c>
      <c r="L490" t="s">
        <v>3415</v>
      </c>
      <c r="M490" t="s">
        <v>134</v>
      </c>
      <c r="N490" t="s">
        <v>135</v>
      </c>
      <c r="Q490" t="s">
        <v>168</v>
      </c>
      <c r="T490" t="s">
        <v>2164</v>
      </c>
      <c r="U490" t="s">
        <v>137</v>
      </c>
      <c r="V490" t="s">
        <v>1259</v>
      </c>
      <c r="X490" t="s">
        <v>126</v>
      </c>
      <c r="AA490" t="s">
        <v>2163</v>
      </c>
      <c r="AB490" t="s">
        <v>2</v>
      </c>
      <c r="AC490" t="s">
        <v>138</v>
      </c>
      <c r="AD490" t="s">
        <v>131</v>
      </c>
      <c r="AE490" s="97">
        <f>VLOOKUP(A:A,SUMMERY!AA:AC,2,FALSE)</f>
        <v>46234</v>
      </c>
      <c r="AF490" s="6" t="str">
        <f>VLOOKUP(A:A,SUMMERY!AA:AC,3,FALSE)</f>
        <v>Priority-2</v>
      </c>
    </row>
    <row r="491" spans="1:32" x14ac:dyDescent="0.3">
      <c r="A491" t="s">
        <v>3416</v>
      </c>
      <c r="B491" t="s">
        <v>3417</v>
      </c>
      <c r="G491" t="s">
        <v>2162</v>
      </c>
      <c r="H491" t="s">
        <v>132</v>
      </c>
      <c r="I491" t="s">
        <v>2</v>
      </c>
      <c r="J491" t="s">
        <v>133</v>
      </c>
      <c r="K491" t="s">
        <v>52</v>
      </c>
      <c r="L491" t="s">
        <v>3418</v>
      </c>
      <c r="M491" t="s">
        <v>134</v>
      </c>
      <c r="N491" t="s">
        <v>135</v>
      </c>
      <c r="Q491" t="s">
        <v>168</v>
      </c>
      <c r="T491" t="s">
        <v>2164</v>
      </c>
      <c r="U491" t="s">
        <v>137</v>
      </c>
      <c r="V491" t="s">
        <v>1263</v>
      </c>
      <c r="X491" t="s">
        <v>69</v>
      </c>
      <c r="AA491" t="s">
        <v>2163</v>
      </c>
      <c r="AB491" t="s">
        <v>2</v>
      </c>
      <c r="AC491" t="s">
        <v>138</v>
      </c>
      <c r="AD491" t="s">
        <v>128</v>
      </c>
      <c r="AE491" s="97">
        <f>VLOOKUP(A:A,SUMMERY!AA:AC,2,FALSE)</f>
        <v>46224</v>
      </c>
      <c r="AF491" s="6" t="str">
        <f>VLOOKUP(A:A,SUMMERY!AA:AC,3,FALSE)</f>
        <v>Priority-1</v>
      </c>
    </row>
    <row r="492" spans="1:32" x14ac:dyDescent="0.3">
      <c r="A492" t="s">
        <v>3419</v>
      </c>
      <c r="B492" t="s">
        <v>3420</v>
      </c>
      <c r="G492" t="s">
        <v>2162</v>
      </c>
      <c r="H492" t="s">
        <v>132</v>
      </c>
      <c r="I492" t="s">
        <v>2</v>
      </c>
      <c r="J492" t="s">
        <v>133</v>
      </c>
      <c r="K492" t="s">
        <v>52</v>
      </c>
      <c r="L492" t="s">
        <v>3421</v>
      </c>
      <c r="M492" t="s">
        <v>134</v>
      </c>
      <c r="N492" t="s">
        <v>135</v>
      </c>
      <c r="Q492" t="s">
        <v>168</v>
      </c>
      <c r="T492" t="s">
        <v>2164</v>
      </c>
      <c r="U492" t="s">
        <v>137</v>
      </c>
      <c r="V492" t="s">
        <v>1263</v>
      </c>
      <c r="X492" t="s">
        <v>69</v>
      </c>
      <c r="AA492" t="s">
        <v>2163</v>
      </c>
      <c r="AB492" t="s">
        <v>2</v>
      </c>
      <c r="AC492" t="s">
        <v>138</v>
      </c>
      <c r="AD492" t="s">
        <v>128</v>
      </c>
      <c r="AE492" s="97">
        <f>VLOOKUP(A:A,SUMMERY!AA:AC,2,FALSE)</f>
        <v>46224</v>
      </c>
      <c r="AF492" s="6" t="str">
        <f>VLOOKUP(A:A,SUMMERY!AA:AC,3,FALSE)</f>
        <v>Priority-1</v>
      </c>
    </row>
    <row r="493" spans="1:32" x14ac:dyDescent="0.3">
      <c r="A493" t="s">
        <v>3422</v>
      </c>
      <c r="B493" t="s">
        <v>3423</v>
      </c>
      <c r="G493" t="s">
        <v>2162</v>
      </c>
      <c r="H493" t="s">
        <v>132</v>
      </c>
      <c r="I493" t="s">
        <v>2</v>
      </c>
      <c r="J493" t="s">
        <v>133</v>
      </c>
      <c r="K493" t="s">
        <v>52</v>
      </c>
      <c r="L493" t="s">
        <v>3424</v>
      </c>
      <c r="M493" t="s">
        <v>134</v>
      </c>
      <c r="N493" t="s">
        <v>135</v>
      </c>
      <c r="Q493" t="s">
        <v>168</v>
      </c>
      <c r="T493" t="s">
        <v>2164</v>
      </c>
      <c r="U493" t="s">
        <v>137</v>
      </c>
      <c r="V493" t="s">
        <v>1259</v>
      </c>
      <c r="X493" t="s">
        <v>126</v>
      </c>
      <c r="AA493" t="s">
        <v>2163</v>
      </c>
      <c r="AB493" t="s">
        <v>2</v>
      </c>
      <c r="AC493" t="s">
        <v>138</v>
      </c>
      <c r="AD493" t="s">
        <v>131</v>
      </c>
      <c r="AE493" s="97">
        <f>VLOOKUP(A:A,SUMMERY!AA:AC,2,FALSE)</f>
        <v>46234</v>
      </c>
      <c r="AF493" s="6" t="str">
        <f>VLOOKUP(A:A,SUMMERY!AA:AC,3,FALSE)</f>
        <v>Priority-2</v>
      </c>
    </row>
    <row r="494" spans="1:32" x14ac:dyDescent="0.3">
      <c r="A494" t="s">
        <v>3425</v>
      </c>
      <c r="B494" t="s">
        <v>3426</v>
      </c>
      <c r="G494" t="s">
        <v>2162</v>
      </c>
      <c r="H494" t="s">
        <v>132</v>
      </c>
      <c r="I494" t="s">
        <v>2</v>
      </c>
      <c r="J494" t="s">
        <v>133</v>
      </c>
      <c r="K494" t="s">
        <v>52</v>
      </c>
      <c r="L494" t="s">
        <v>3427</v>
      </c>
      <c r="M494" t="s">
        <v>134</v>
      </c>
      <c r="N494" t="s">
        <v>135</v>
      </c>
      <c r="Q494" t="s">
        <v>168</v>
      </c>
      <c r="T494" t="s">
        <v>2164</v>
      </c>
      <c r="U494" t="s">
        <v>137</v>
      </c>
      <c r="V494" t="s">
        <v>1259</v>
      </c>
      <c r="X494" t="s">
        <v>126</v>
      </c>
      <c r="AA494" t="s">
        <v>2163</v>
      </c>
      <c r="AB494" t="s">
        <v>2</v>
      </c>
      <c r="AC494" t="s">
        <v>138</v>
      </c>
      <c r="AD494" t="s">
        <v>131</v>
      </c>
      <c r="AE494" s="97">
        <f>VLOOKUP(A:A,SUMMERY!AA:AC,2,FALSE)</f>
        <v>46234</v>
      </c>
      <c r="AF494" s="6" t="str">
        <f>VLOOKUP(A:A,SUMMERY!AA:AC,3,FALSE)</f>
        <v>Priority-2</v>
      </c>
    </row>
    <row r="495" spans="1:32" x14ac:dyDescent="0.3">
      <c r="A495" t="s">
        <v>3428</v>
      </c>
      <c r="B495" t="s">
        <v>3429</v>
      </c>
      <c r="G495" t="s">
        <v>2162</v>
      </c>
      <c r="H495" t="s">
        <v>132</v>
      </c>
      <c r="I495" t="s">
        <v>2</v>
      </c>
      <c r="J495" t="s">
        <v>133</v>
      </c>
      <c r="K495" t="s">
        <v>52</v>
      </c>
      <c r="L495" t="s">
        <v>3430</v>
      </c>
      <c r="M495" t="s">
        <v>134</v>
      </c>
      <c r="N495" t="s">
        <v>135</v>
      </c>
      <c r="Q495" t="s">
        <v>168</v>
      </c>
      <c r="T495" t="s">
        <v>2164</v>
      </c>
      <c r="U495" t="s">
        <v>137</v>
      </c>
      <c r="V495" t="s">
        <v>1263</v>
      </c>
      <c r="X495" t="s">
        <v>69</v>
      </c>
      <c r="AA495" t="s">
        <v>2163</v>
      </c>
      <c r="AB495" t="s">
        <v>2</v>
      </c>
      <c r="AC495" t="s">
        <v>138</v>
      </c>
      <c r="AD495" t="s">
        <v>128</v>
      </c>
      <c r="AE495" s="97">
        <f>VLOOKUP(A:A,SUMMERY!AA:AC,2,FALSE)</f>
        <v>46224</v>
      </c>
      <c r="AF495" s="6" t="str">
        <f>VLOOKUP(A:A,SUMMERY!AA:AC,3,FALSE)</f>
        <v>Priority-1</v>
      </c>
    </row>
    <row r="496" spans="1:32" x14ac:dyDescent="0.3">
      <c r="A496" t="s">
        <v>3431</v>
      </c>
      <c r="B496" t="s">
        <v>3432</v>
      </c>
      <c r="G496" t="s">
        <v>2162</v>
      </c>
      <c r="H496" t="s">
        <v>132</v>
      </c>
      <c r="I496" t="s">
        <v>2</v>
      </c>
      <c r="J496" t="s">
        <v>133</v>
      </c>
      <c r="K496" t="s">
        <v>52</v>
      </c>
      <c r="L496" t="s">
        <v>3433</v>
      </c>
      <c r="M496" t="s">
        <v>134</v>
      </c>
      <c r="N496" t="s">
        <v>135</v>
      </c>
      <c r="Q496" t="s">
        <v>168</v>
      </c>
      <c r="T496" t="s">
        <v>2164</v>
      </c>
      <c r="U496" t="s">
        <v>137</v>
      </c>
      <c r="V496" t="s">
        <v>1263</v>
      </c>
      <c r="X496" t="s">
        <v>69</v>
      </c>
      <c r="AA496" t="s">
        <v>2163</v>
      </c>
      <c r="AB496" t="s">
        <v>2</v>
      </c>
      <c r="AC496" t="s">
        <v>138</v>
      </c>
      <c r="AD496" t="s">
        <v>128</v>
      </c>
      <c r="AE496" s="97">
        <f>VLOOKUP(A:A,SUMMERY!AA:AC,2,FALSE)</f>
        <v>46224</v>
      </c>
      <c r="AF496" s="6" t="str">
        <f>VLOOKUP(A:A,SUMMERY!AA:AC,3,FALSE)</f>
        <v>Priority-1</v>
      </c>
    </row>
    <row r="497" spans="1:32" x14ac:dyDescent="0.3">
      <c r="A497" t="s">
        <v>3440</v>
      </c>
      <c r="B497" t="s">
        <v>3441</v>
      </c>
      <c r="G497" t="s">
        <v>3437</v>
      </c>
      <c r="H497" t="s">
        <v>132</v>
      </c>
      <c r="I497" t="s">
        <v>2</v>
      </c>
      <c r="J497" t="s">
        <v>133</v>
      </c>
      <c r="K497" t="s">
        <v>52</v>
      </c>
      <c r="L497" t="s">
        <v>3442</v>
      </c>
      <c r="M497" t="s">
        <v>134</v>
      </c>
      <c r="N497" t="s">
        <v>135</v>
      </c>
      <c r="Q497" t="s">
        <v>291</v>
      </c>
      <c r="T497" t="s">
        <v>3438</v>
      </c>
      <c r="U497" t="s">
        <v>137</v>
      </c>
      <c r="V497" t="s">
        <v>352</v>
      </c>
      <c r="X497" t="s">
        <v>56</v>
      </c>
      <c r="AA497" t="s">
        <v>3439</v>
      </c>
      <c r="AB497" t="s">
        <v>2</v>
      </c>
      <c r="AC497" t="s">
        <v>138</v>
      </c>
      <c r="AD497" t="s">
        <v>128</v>
      </c>
      <c r="AE497" s="97">
        <f>VLOOKUP(A:A,SUMMERY!AA:AC,2,FALSE)</f>
        <v>46233</v>
      </c>
      <c r="AF497" s="6" t="str">
        <f>VLOOKUP(A:A,SUMMERY!AA:AC,3,FALSE)</f>
        <v>Priority-1</v>
      </c>
    </row>
    <row r="498" spans="1:32" x14ac:dyDescent="0.3">
      <c r="A498" t="s">
        <v>3443</v>
      </c>
      <c r="B498" t="s">
        <v>3444</v>
      </c>
      <c r="G498" t="s">
        <v>3437</v>
      </c>
      <c r="H498" t="s">
        <v>132</v>
      </c>
      <c r="I498" t="s">
        <v>2</v>
      </c>
      <c r="J498" t="s">
        <v>133</v>
      </c>
      <c r="K498" t="s">
        <v>52</v>
      </c>
      <c r="L498" t="s">
        <v>3442</v>
      </c>
      <c r="M498" t="s">
        <v>134</v>
      </c>
      <c r="N498" t="s">
        <v>135</v>
      </c>
      <c r="Q498" t="s">
        <v>291</v>
      </c>
      <c r="T498" t="s">
        <v>3438</v>
      </c>
      <c r="U498" t="s">
        <v>137</v>
      </c>
      <c r="V498" t="s">
        <v>352</v>
      </c>
      <c r="X498" t="s">
        <v>56</v>
      </c>
      <c r="AA498" t="s">
        <v>3439</v>
      </c>
      <c r="AB498" t="s">
        <v>2</v>
      </c>
      <c r="AC498" t="s">
        <v>138</v>
      </c>
      <c r="AD498" t="s">
        <v>128</v>
      </c>
      <c r="AE498" s="97">
        <f>VLOOKUP(A:A,SUMMERY!AA:AC,2,FALSE)</f>
        <v>46233</v>
      </c>
      <c r="AF498" s="6" t="str">
        <f>VLOOKUP(A:A,SUMMERY!AA:AC,3,FALSE)</f>
        <v>Priority-1</v>
      </c>
    </row>
    <row r="499" spans="1:32" x14ac:dyDescent="0.3">
      <c r="A499" t="s">
        <v>3445</v>
      </c>
      <c r="B499" t="s">
        <v>3446</v>
      </c>
      <c r="G499" t="s">
        <v>3437</v>
      </c>
      <c r="H499" t="s">
        <v>132</v>
      </c>
      <c r="I499" t="s">
        <v>2</v>
      </c>
      <c r="J499" t="s">
        <v>133</v>
      </c>
      <c r="K499" t="s">
        <v>52</v>
      </c>
      <c r="L499" t="s">
        <v>3447</v>
      </c>
      <c r="M499" t="s">
        <v>134</v>
      </c>
      <c r="N499" t="s">
        <v>135</v>
      </c>
      <c r="Q499" t="s">
        <v>291</v>
      </c>
      <c r="T499" t="s">
        <v>3438</v>
      </c>
      <c r="U499" t="s">
        <v>137</v>
      </c>
      <c r="V499" t="s">
        <v>352</v>
      </c>
      <c r="X499" t="s">
        <v>56</v>
      </c>
      <c r="AA499" t="s">
        <v>3439</v>
      </c>
      <c r="AB499" t="s">
        <v>2</v>
      </c>
      <c r="AC499" t="s">
        <v>138</v>
      </c>
      <c r="AD499" t="s">
        <v>128</v>
      </c>
      <c r="AE499" s="97">
        <f>VLOOKUP(A:A,SUMMERY!AA:AC,2,FALSE)</f>
        <v>46233</v>
      </c>
      <c r="AF499" s="6" t="str">
        <f>VLOOKUP(A:A,SUMMERY!AA:AC,3,FALSE)</f>
        <v>Priority-1</v>
      </c>
    </row>
    <row r="500" spans="1:32" x14ac:dyDescent="0.3">
      <c r="A500" t="s">
        <v>6926</v>
      </c>
      <c r="B500" t="s">
        <v>6927</v>
      </c>
      <c r="G500" t="s">
        <v>3437</v>
      </c>
      <c r="H500" t="s">
        <v>132</v>
      </c>
      <c r="I500" t="s">
        <v>2</v>
      </c>
      <c r="J500" t="s">
        <v>133</v>
      </c>
      <c r="K500" t="s">
        <v>52</v>
      </c>
      <c r="L500" t="s">
        <v>3447</v>
      </c>
      <c r="M500" t="s">
        <v>134</v>
      </c>
      <c r="N500" t="s">
        <v>135</v>
      </c>
      <c r="Q500" t="s">
        <v>291</v>
      </c>
      <c r="S500" t="s">
        <v>291</v>
      </c>
      <c r="U500" t="s">
        <v>137</v>
      </c>
      <c r="V500" t="s">
        <v>352</v>
      </c>
      <c r="X500" t="s">
        <v>56</v>
      </c>
      <c r="AA500" t="s">
        <v>3439</v>
      </c>
      <c r="AB500" t="s">
        <v>2</v>
      </c>
      <c r="AC500" t="s">
        <v>138</v>
      </c>
      <c r="AD500" t="s">
        <v>128</v>
      </c>
      <c r="AE500" s="97">
        <f>VLOOKUP(A:A,SUMMERY!AA:AC,2,FALSE)</f>
        <v>46233</v>
      </c>
      <c r="AF500" s="6" t="str">
        <f>VLOOKUP(A:A,SUMMERY!AA:AC,3,FALSE)</f>
        <v>Priority-1</v>
      </c>
    </row>
    <row r="501" spans="1:32" x14ac:dyDescent="0.3">
      <c r="A501" t="s">
        <v>3456</v>
      </c>
      <c r="B501" t="s">
        <v>3457</v>
      </c>
      <c r="G501" t="s">
        <v>3450</v>
      </c>
      <c r="H501" t="s">
        <v>132</v>
      </c>
      <c r="I501" t="s">
        <v>2</v>
      </c>
      <c r="J501" t="s">
        <v>133</v>
      </c>
      <c r="K501" t="s">
        <v>52</v>
      </c>
      <c r="L501" t="s">
        <v>3451</v>
      </c>
      <c r="M501" t="s">
        <v>134</v>
      </c>
      <c r="N501" t="s">
        <v>135</v>
      </c>
      <c r="Q501" t="s">
        <v>291</v>
      </c>
      <c r="T501" t="s">
        <v>1892</v>
      </c>
      <c r="U501" t="s">
        <v>137</v>
      </c>
      <c r="V501" t="s">
        <v>709</v>
      </c>
      <c r="X501" t="s">
        <v>73</v>
      </c>
      <c r="AA501" t="s">
        <v>3451</v>
      </c>
      <c r="AB501" t="s">
        <v>2</v>
      </c>
      <c r="AC501" t="s">
        <v>138</v>
      </c>
      <c r="AD501" t="s">
        <v>128</v>
      </c>
      <c r="AE501" s="97">
        <f>VLOOKUP(A:A,SUMMERY!AA:AC,2,FALSE)</f>
        <v>46220</v>
      </c>
      <c r="AF501" s="6" t="str">
        <f>VLOOKUP(A:A,SUMMERY!AA:AC,3,FALSE)</f>
        <v>Priority-1</v>
      </c>
    </row>
    <row r="502" spans="1:32" x14ac:dyDescent="0.3">
      <c r="A502" t="s">
        <v>3460</v>
      </c>
      <c r="B502" t="s">
        <v>3461</v>
      </c>
      <c r="G502" t="s">
        <v>3450</v>
      </c>
      <c r="H502" t="s">
        <v>132</v>
      </c>
      <c r="I502" t="s">
        <v>2</v>
      </c>
      <c r="J502" t="s">
        <v>133</v>
      </c>
      <c r="K502" t="s">
        <v>52</v>
      </c>
      <c r="L502" t="s">
        <v>3451</v>
      </c>
      <c r="M502" t="s">
        <v>134</v>
      </c>
      <c r="N502" t="s">
        <v>135</v>
      </c>
      <c r="Q502" t="s">
        <v>291</v>
      </c>
      <c r="T502" t="s">
        <v>1888</v>
      </c>
      <c r="U502" t="s">
        <v>137</v>
      </c>
      <c r="V502" t="s">
        <v>703</v>
      </c>
      <c r="X502" t="s">
        <v>62</v>
      </c>
      <c r="AA502" t="s">
        <v>3451</v>
      </c>
      <c r="AB502" t="s">
        <v>2</v>
      </c>
      <c r="AC502" t="s">
        <v>138</v>
      </c>
      <c r="AD502" t="s">
        <v>128</v>
      </c>
      <c r="AE502" s="97">
        <f>VLOOKUP(A:A,SUMMERY!AA:AC,2,FALSE)</f>
        <v>46220</v>
      </c>
      <c r="AF502" s="6" t="str">
        <f>VLOOKUP(A:A,SUMMERY!AA:AC,3,FALSE)</f>
        <v>Priority-1</v>
      </c>
    </row>
    <row r="503" spans="1:32" x14ac:dyDescent="0.3">
      <c r="A503" t="s">
        <v>3470</v>
      </c>
      <c r="B503" t="s">
        <v>3471</v>
      </c>
      <c r="G503" t="s">
        <v>3450</v>
      </c>
      <c r="H503" t="s">
        <v>132</v>
      </c>
      <c r="I503" t="s">
        <v>2</v>
      </c>
      <c r="J503" t="s">
        <v>133</v>
      </c>
      <c r="K503" t="s">
        <v>52</v>
      </c>
      <c r="L503" t="s">
        <v>3451</v>
      </c>
      <c r="M503" t="s">
        <v>134</v>
      </c>
      <c r="N503" t="s">
        <v>135</v>
      </c>
      <c r="Q503" t="s">
        <v>291</v>
      </c>
      <c r="T503" t="s">
        <v>1888</v>
      </c>
      <c r="U503" t="s">
        <v>137</v>
      </c>
      <c r="V503" t="s">
        <v>703</v>
      </c>
      <c r="X503" t="s">
        <v>62</v>
      </c>
      <c r="AA503" t="s">
        <v>3451</v>
      </c>
      <c r="AB503" t="s">
        <v>2</v>
      </c>
      <c r="AC503" t="s">
        <v>138</v>
      </c>
      <c r="AD503" t="s">
        <v>128</v>
      </c>
      <c r="AE503" s="97">
        <f>VLOOKUP(A:A,SUMMERY!AA:AC,2,FALSE)</f>
        <v>46220</v>
      </c>
      <c r="AF503" s="6" t="str">
        <f>VLOOKUP(A:A,SUMMERY!AA:AC,3,FALSE)</f>
        <v>Priority-1</v>
      </c>
    </row>
    <row r="504" spans="1:32" x14ac:dyDescent="0.3">
      <c r="A504" t="s">
        <v>3474</v>
      </c>
      <c r="B504" t="s">
        <v>3475</v>
      </c>
      <c r="G504" t="s">
        <v>3450</v>
      </c>
      <c r="H504" t="s">
        <v>132</v>
      </c>
      <c r="I504" t="s">
        <v>2</v>
      </c>
      <c r="J504" t="s">
        <v>133</v>
      </c>
      <c r="K504" t="s">
        <v>52</v>
      </c>
      <c r="L504" t="s">
        <v>3451</v>
      </c>
      <c r="M504" t="s">
        <v>134</v>
      </c>
      <c r="N504" t="s">
        <v>135</v>
      </c>
      <c r="Q504" t="s">
        <v>291</v>
      </c>
      <c r="T504" t="s">
        <v>1892</v>
      </c>
      <c r="U504" t="s">
        <v>137</v>
      </c>
      <c r="V504" t="s">
        <v>709</v>
      </c>
      <c r="X504" t="s">
        <v>73</v>
      </c>
      <c r="AA504" t="s">
        <v>3451</v>
      </c>
      <c r="AB504" t="s">
        <v>2</v>
      </c>
      <c r="AC504" t="s">
        <v>138</v>
      </c>
      <c r="AD504" t="s">
        <v>128</v>
      </c>
      <c r="AE504" s="97">
        <f>VLOOKUP(A:A,SUMMERY!AA:AC,2,FALSE)</f>
        <v>46220</v>
      </c>
      <c r="AF504" s="6" t="str">
        <f>VLOOKUP(A:A,SUMMERY!AA:AC,3,FALSE)</f>
        <v>Priority-1</v>
      </c>
    </row>
    <row r="505" spans="1:32" x14ac:dyDescent="0.3">
      <c r="A505" t="s">
        <v>3484</v>
      </c>
      <c r="B505" t="s">
        <v>3485</v>
      </c>
      <c r="G505" t="s">
        <v>3450</v>
      </c>
      <c r="H505" t="s">
        <v>132</v>
      </c>
      <c r="I505" t="s">
        <v>2</v>
      </c>
      <c r="J505" t="s">
        <v>133</v>
      </c>
      <c r="K505" t="s">
        <v>52</v>
      </c>
      <c r="L505" t="s">
        <v>3451</v>
      </c>
      <c r="M505" t="s">
        <v>134</v>
      </c>
      <c r="N505" t="s">
        <v>135</v>
      </c>
      <c r="Q505" t="s">
        <v>291</v>
      </c>
      <c r="T505" t="s">
        <v>1892</v>
      </c>
      <c r="U505" t="s">
        <v>137</v>
      </c>
      <c r="V505" t="s">
        <v>709</v>
      </c>
      <c r="X505" t="s">
        <v>73</v>
      </c>
      <c r="AA505" t="s">
        <v>3451</v>
      </c>
      <c r="AB505" t="s">
        <v>2</v>
      </c>
      <c r="AC505" t="s">
        <v>138</v>
      </c>
      <c r="AD505" t="s">
        <v>128</v>
      </c>
      <c r="AE505" s="97">
        <f>VLOOKUP(A:A,SUMMERY!AA:AC,2,FALSE)</f>
        <v>46220</v>
      </c>
      <c r="AF505" s="6" t="str">
        <f>VLOOKUP(A:A,SUMMERY!AA:AC,3,FALSE)</f>
        <v>Priority-1</v>
      </c>
    </row>
    <row r="506" spans="1:32" x14ac:dyDescent="0.3">
      <c r="A506" t="s">
        <v>3486</v>
      </c>
      <c r="B506" t="s">
        <v>3487</v>
      </c>
      <c r="G506" t="s">
        <v>3450</v>
      </c>
      <c r="H506" t="s">
        <v>132</v>
      </c>
      <c r="I506" t="s">
        <v>2</v>
      </c>
      <c r="J506" t="s">
        <v>133</v>
      </c>
      <c r="K506" t="s">
        <v>52</v>
      </c>
      <c r="L506" t="s">
        <v>3451</v>
      </c>
      <c r="M506" t="s">
        <v>134</v>
      </c>
      <c r="N506" t="s">
        <v>135</v>
      </c>
      <c r="Q506" t="s">
        <v>291</v>
      </c>
      <c r="T506" t="s">
        <v>1888</v>
      </c>
      <c r="U506" t="s">
        <v>137</v>
      </c>
      <c r="V506" t="s">
        <v>703</v>
      </c>
      <c r="X506" t="s">
        <v>62</v>
      </c>
      <c r="AA506" t="s">
        <v>3451</v>
      </c>
      <c r="AB506" t="s">
        <v>2</v>
      </c>
      <c r="AC506" t="s">
        <v>138</v>
      </c>
      <c r="AD506" t="s">
        <v>128</v>
      </c>
      <c r="AE506" s="97">
        <f>VLOOKUP(A:A,SUMMERY!AA:AC,2,FALSE)</f>
        <v>46220</v>
      </c>
      <c r="AF506" s="6" t="str">
        <f>VLOOKUP(A:A,SUMMERY!AA:AC,3,FALSE)</f>
        <v>Priority-1</v>
      </c>
    </row>
    <row r="507" spans="1:32" x14ac:dyDescent="0.3">
      <c r="A507" t="s">
        <v>3490</v>
      </c>
      <c r="B507" t="s">
        <v>3491</v>
      </c>
      <c r="G507" t="s">
        <v>3450</v>
      </c>
      <c r="H507" t="s">
        <v>132</v>
      </c>
      <c r="I507" t="s">
        <v>2</v>
      </c>
      <c r="J507" t="s">
        <v>133</v>
      </c>
      <c r="K507" t="s">
        <v>52</v>
      </c>
      <c r="L507" t="s">
        <v>3451</v>
      </c>
      <c r="M507" t="s">
        <v>134</v>
      </c>
      <c r="N507" t="s">
        <v>135</v>
      </c>
      <c r="Q507" t="s">
        <v>291</v>
      </c>
      <c r="T507" t="s">
        <v>1888</v>
      </c>
      <c r="U507" t="s">
        <v>137</v>
      </c>
      <c r="V507" t="s">
        <v>703</v>
      </c>
      <c r="X507" t="s">
        <v>62</v>
      </c>
      <c r="AA507" t="s">
        <v>3451</v>
      </c>
      <c r="AB507" t="s">
        <v>2</v>
      </c>
      <c r="AC507" t="s">
        <v>138</v>
      </c>
      <c r="AD507" t="s">
        <v>128</v>
      </c>
      <c r="AE507" s="97">
        <f>VLOOKUP(A:A,SUMMERY!AA:AC,2,FALSE)</f>
        <v>46220</v>
      </c>
      <c r="AF507" s="6" t="str">
        <f>VLOOKUP(A:A,SUMMERY!AA:AC,3,FALSE)</f>
        <v>Priority-1</v>
      </c>
    </row>
    <row r="508" spans="1:32" x14ac:dyDescent="0.3">
      <c r="A508" t="s">
        <v>3492</v>
      </c>
      <c r="B508" t="s">
        <v>3493</v>
      </c>
      <c r="G508" t="s">
        <v>3450</v>
      </c>
      <c r="H508" t="s">
        <v>132</v>
      </c>
      <c r="I508" t="s">
        <v>2</v>
      </c>
      <c r="J508" t="s">
        <v>133</v>
      </c>
      <c r="K508" t="s">
        <v>52</v>
      </c>
      <c r="L508" t="s">
        <v>3451</v>
      </c>
      <c r="M508" t="s">
        <v>134</v>
      </c>
      <c r="N508" t="s">
        <v>135</v>
      </c>
      <c r="Q508" t="s">
        <v>291</v>
      </c>
      <c r="T508" t="s">
        <v>1892</v>
      </c>
      <c r="U508" t="s">
        <v>137</v>
      </c>
      <c r="V508" t="s">
        <v>709</v>
      </c>
      <c r="X508" t="s">
        <v>73</v>
      </c>
      <c r="AA508" t="s">
        <v>3451</v>
      </c>
      <c r="AB508" t="s">
        <v>2</v>
      </c>
      <c r="AC508" t="s">
        <v>138</v>
      </c>
      <c r="AD508" t="s">
        <v>128</v>
      </c>
      <c r="AE508" s="97">
        <f>VLOOKUP(A:A,SUMMERY!AA:AC,2,FALSE)</f>
        <v>46220</v>
      </c>
      <c r="AF508" s="6" t="str">
        <f>VLOOKUP(A:A,SUMMERY!AA:AC,3,FALSE)</f>
        <v>Priority-1</v>
      </c>
    </row>
    <row r="509" spans="1:32" x14ac:dyDescent="0.3">
      <c r="A509" t="s">
        <v>3517</v>
      </c>
      <c r="B509" t="s">
        <v>3518</v>
      </c>
      <c r="G509" t="s">
        <v>3506</v>
      </c>
      <c r="H509" t="s">
        <v>132</v>
      </c>
      <c r="I509" t="s">
        <v>2</v>
      </c>
      <c r="J509" t="s">
        <v>133</v>
      </c>
      <c r="K509" t="s">
        <v>52</v>
      </c>
      <c r="L509" t="s">
        <v>3510</v>
      </c>
      <c r="M509" t="s">
        <v>134</v>
      </c>
      <c r="N509" t="s">
        <v>135</v>
      </c>
      <c r="Q509" t="s">
        <v>291</v>
      </c>
      <c r="T509" t="s">
        <v>1888</v>
      </c>
      <c r="U509" t="s">
        <v>137</v>
      </c>
      <c r="V509" t="s">
        <v>703</v>
      </c>
      <c r="X509" t="s">
        <v>62</v>
      </c>
      <c r="AA509" t="s">
        <v>3507</v>
      </c>
      <c r="AB509" t="s">
        <v>2</v>
      </c>
      <c r="AC509" t="s">
        <v>138</v>
      </c>
      <c r="AD509" t="s">
        <v>128</v>
      </c>
      <c r="AE509" s="97">
        <f>VLOOKUP(A:A,SUMMERY!AA:AC,2,FALSE)</f>
        <v>46220</v>
      </c>
      <c r="AF509" s="6" t="str">
        <f>VLOOKUP(A:A,SUMMERY!AA:AC,3,FALSE)</f>
        <v>Priority-1</v>
      </c>
    </row>
    <row r="510" spans="1:32" x14ac:dyDescent="0.3">
      <c r="A510" t="s">
        <v>3525</v>
      </c>
      <c r="B510" t="s">
        <v>3526</v>
      </c>
      <c r="G510" t="s">
        <v>3506</v>
      </c>
      <c r="H510" t="s">
        <v>132</v>
      </c>
      <c r="I510" t="s">
        <v>2</v>
      </c>
      <c r="J510" t="s">
        <v>133</v>
      </c>
      <c r="K510" t="s">
        <v>52</v>
      </c>
      <c r="L510" t="s">
        <v>3510</v>
      </c>
      <c r="M510" t="s">
        <v>134</v>
      </c>
      <c r="N510" t="s">
        <v>135</v>
      </c>
      <c r="Q510" t="s">
        <v>291</v>
      </c>
      <c r="T510" t="s">
        <v>1888</v>
      </c>
      <c r="U510" t="s">
        <v>137</v>
      </c>
      <c r="V510" t="s">
        <v>703</v>
      </c>
      <c r="X510" t="s">
        <v>62</v>
      </c>
      <c r="AA510" t="s">
        <v>3507</v>
      </c>
      <c r="AB510" t="s">
        <v>2</v>
      </c>
      <c r="AC510" t="s">
        <v>138</v>
      </c>
      <c r="AD510" t="s">
        <v>128</v>
      </c>
      <c r="AE510" s="97">
        <f>VLOOKUP(A:A,SUMMERY!AA:AC,2,FALSE)</f>
        <v>46220</v>
      </c>
      <c r="AF510" s="6" t="str">
        <f>VLOOKUP(A:A,SUMMERY!AA:AC,3,FALSE)</f>
        <v>Priority-1</v>
      </c>
    </row>
    <row r="511" spans="1:32" x14ac:dyDescent="0.3">
      <c r="A511" t="s">
        <v>3533</v>
      </c>
      <c r="B511" t="s">
        <v>3534</v>
      </c>
      <c r="G511" t="s">
        <v>3506</v>
      </c>
      <c r="H511" t="s">
        <v>132</v>
      </c>
      <c r="I511" t="s">
        <v>2</v>
      </c>
      <c r="J511" t="s">
        <v>133</v>
      </c>
      <c r="K511" t="s">
        <v>52</v>
      </c>
      <c r="L511" t="s">
        <v>3510</v>
      </c>
      <c r="M511" t="s">
        <v>134</v>
      </c>
      <c r="N511" t="s">
        <v>135</v>
      </c>
      <c r="Q511" t="s">
        <v>291</v>
      </c>
      <c r="T511" t="s">
        <v>1888</v>
      </c>
      <c r="U511" t="s">
        <v>137</v>
      </c>
      <c r="V511" t="s">
        <v>703</v>
      </c>
      <c r="X511" t="s">
        <v>62</v>
      </c>
      <c r="AA511" t="s">
        <v>3507</v>
      </c>
      <c r="AB511" t="s">
        <v>2</v>
      </c>
      <c r="AC511" t="s">
        <v>138</v>
      </c>
      <c r="AD511" t="s">
        <v>128</v>
      </c>
      <c r="AE511" s="97">
        <f>VLOOKUP(A:A,SUMMERY!AA:AC,2,FALSE)</f>
        <v>46220</v>
      </c>
      <c r="AF511" s="6" t="str">
        <f>VLOOKUP(A:A,SUMMERY!AA:AC,3,FALSE)</f>
        <v>Priority-1</v>
      </c>
    </row>
    <row r="512" spans="1:32" x14ac:dyDescent="0.3">
      <c r="A512" t="s">
        <v>3547</v>
      </c>
      <c r="B512" t="s">
        <v>3548</v>
      </c>
      <c r="G512" t="s">
        <v>3506</v>
      </c>
      <c r="H512" t="s">
        <v>132</v>
      </c>
      <c r="I512" t="s">
        <v>2</v>
      </c>
      <c r="J512" t="s">
        <v>133</v>
      </c>
      <c r="K512" t="s">
        <v>52</v>
      </c>
      <c r="L512" t="s">
        <v>3510</v>
      </c>
      <c r="M512" t="s">
        <v>134</v>
      </c>
      <c r="N512" t="s">
        <v>135</v>
      </c>
      <c r="Q512" t="s">
        <v>291</v>
      </c>
      <c r="T512" t="s">
        <v>1888</v>
      </c>
      <c r="U512" t="s">
        <v>137</v>
      </c>
      <c r="V512" t="s">
        <v>703</v>
      </c>
      <c r="X512" t="s">
        <v>62</v>
      </c>
      <c r="AA512" t="s">
        <v>3507</v>
      </c>
      <c r="AB512" t="s">
        <v>2</v>
      </c>
      <c r="AC512" t="s">
        <v>138</v>
      </c>
      <c r="AD512" t="s">
        <v>128</v>
      </c>
      <c r="AE512" s="97">
        <f>VLOOKUP(A:A,SUMMERY!AA:AC,2,FALSE)</f>
        <v>46220</v>
      </c>
      <c r="AF512" s="6" t="str">
        <f>VLOOKUP(A:A,SUMMERY!AA:AC,3,FALSE)</f>
        <v>Priority-1</v>
      </c>
    </row>
    <row r="513" spans="1:32" x14ac:dyDescent="0.3">
      <c r="A513" t="s">
        <v>3557</v>
      </c>
      <c r="B513" t="s">
        <v>3558</v>
      </c>
      <c r="G513" t="s">
        <v>3506</v>
      </c>
      <c r="H513" t="s">
        <v>132</v>
      </c>
      <c r="I513" t="s">
        <v>2</v>
      </c>
      <c r="J513" t="s">
        <v>133</v>
      </c>
      <c r="K513" t="s">
        <v>52</v>
      </c>
      <c r="L513" t="s">
        <v>3510</v>
      </c>
      <c r="M513" t="s">
        <v>134</v>
      </c>
      <c r="N513" t="s">
        <v>135</v>
      </c>
      <c r="Q513" t="s">
        <v>291</v>
      </c>
      <c r="T513" t="s">
        <v>1892</v>
      </c>
      <c r="U513" t="s">
        <v>137</v>
      </c>
      <c r="V513" t="s">
        <v>709</v>
      </c>
      <c r="X513" t="s">
        <v>73</v>
      </c>
      <c r="AA513" t="s">
        <v>3507</v>
      </c>
      <c r="AB513" t="s">
        <v>2</v>
      </c>
      <c r="AC513" t="s">
        <v>138</v>
      </c>
      <c r="AD513" t="s">
        <v>128</v>
      </c>
      <c r="AE513" s="97">
        <f>VLOOKUP(A:A,SUMMERY!AA:AC,2,FALSE)</f>
        <v>46220</v>
      </c>
      <c r="AF513" s="6" t="str">
        <f>VLOOKUP(A:A,SUMMERY!AA:AC,3,FALSE)</f>
        <v>Priority-1</v>
      </c>
    </row>
    <row r="514" spans="1:32" x14ac:dyDescent="0.3">
      <c r="A514" t="s">
        <v>3559</v>
      </c>
      <c r="B514" t="s">
        <v>3560</v>
      </c>
      <c r="G514" t="s">
        <v>3506</v>
      </c>
      <c r="H514" t="s">
        <v>132</v>
      </c>
      <c r="I514" t="s">
        <v>2</v>
      </c>
      <c r="J514" t="s">
        <v>133</v>
      </c>
      <c r="K514" t="s">
        <v>52</v>
      </c>
      <c r="L514" t="s">
        <v>3510</v>
      </c>
      <c r="M514" t="s">
        <v>134</v>
      </c>
      <c r="N514" t="s">
        <v>135</v>
      </c>
      <c r="Q514" t="s">
        <v>291</v>
      </c>
      <c r="T514" t="s">
        <v>1892</v>
      </c>
      <c r="U514" t="s">
        <v>137</v>
      </c>
      <c r="V514" t="s">
        <v>709</v>
      </c>
      <c r="X514" t="s">
        <v>73</v>
      </c>
      <c r="AA514" t="s">
        <v>3507</v>
      </c>
      <c r="AB514" t="s">
        <v>2</v>
      </c>
      <c r="AC514" t="s">
        <v>138</v>
      </c>
      <c r="AD514" t="s">
        <v>128</v>
      </c>
      <c r="AE514" s="97">
        <f>VLOOKUP(A:A,SUMMERY!AA:AC,2,FALSE)</f>
        <v>46220</v>
      </c>
      <c r="AF514" s="6" t="str">
        <f>VLOOKUP(A:A,SUMMERY!AA:AC,3,FALSE)</f>
        <v>Priority-1</v>
      </c>
    </row>
    <row r="515" spans="1:32" x14ac:dyDescent="0.3">
      <c r="A515" t="s">
        <v>3561</v>
      </c>
      <c r="B515" t="s">
        <v>3562</v>
      </c>
      <c r="G515" t="s">
        <v>3506</v>
      </c>
      <c r="H515" t="s">
        <v>132</v>
      </c>
      <c r="I515" t="s">
        <v>2</v>
      </c>
      <c r="J515" t="s">
        <v>133</v>
      </c>
      <c r="K515" t="s">
        <v>52</v>
      </c>
      <c r="L515" t="s">
        <v>3510</v>
      </c>
      <c r="M515" t="s">
        <v>134</v>
      </c>
      <c r="N515" t="s">
        <v>135</v>
      </c>
      <c r="Q515" t="s">
        <v>291</v>
      </c>
      <c r="T515" t="s">
        <v>1892</v>
      </c>
      <c r="U515" t="s">
        <v>137</v>
      </c>
      <c r="V515" t="s">
        <v>709</v>
      </c>
      <c r="X515" t="s">
        <v>73</v>
      </c>
      <c r="AA515" t="s">
        <v>3507</v>
      </c>
      <c r="AB515" t="s">
        <v>2</v>
      </c>
      <c r="AC515" t="s">
        <v>138</v>
      </c>
      <c r="AD515" t="s">
        <v>128</v>
      </c>
      <c r="AE515" s="97">
        <f>VLOOKUP(A:A,SUMMERY!AA:AC,2,FALSE)</f>
        <v>46220</v>
      </c>
      <c r="AF515" s="6" t="str">
        <f>VLOOKUP(A:A,SUMMERY!AA:AC,3,FALSE)</f>
        <v>Priority-1</v>
      </c>
    </row>
    <row r="516" spans="1:32" x14ac:dyDescent="0.3">
      <c r="A516" t="s">
        <v>3563</v>
      </c>
      <c r="B516" t="s">
        <v>3564</v>
      </c>
      <c r="G516" t="s">
        <v>3506</v>
      </c>
      <c r="H516" t="s">
        <v>132</v>
      </c>
      <c r="I516" t="s">
        <v>2</v>
      </c>
      <c r="J516" t="s">
        <v>133</v>
      </c>
      <c r="K516" t="s">
        <v>52</v>
      </c>
      <c r="L516" t="s">
        <v>3510</v>
      </c>
      <c r="M516" t="s">
        <v>134</v>
      </c>
      <c r="N516" t="s">
        <v>135</v>
      </c>
      <c r="Q516" t="s">
        <v>291</v>
      </c>
      <c r="T516" t="s">
        <v>1892</v>
      </c>
      <c r="U516" t="s">
        <v>137</v>
      </c>
      <c r="V516" t="s">
        <v>709</v>
      </c>
      <c r="X516" t="s">
        <v>73</v>
      </c>
      <c r="AA516" t="s">
        <v>3507</v>
      </c>
      <c r="AB516" t="s">
        <v>2</v>
      </c>
      <c r="AC516" t="s">
        <v>138</v>
      </c>
      <c r="AD516" t="s">
        <v>128</v>
      </c>
      <c r="AE516" s="97">
        <f>VLOOKUP(A:A,SUMMERY!AA:AC,2,FALSE)</f>
        <v>46220</v>
      </c>
      <c r="AF516" s="6" t="str">
        <f>VLOOKUP(A:A,SUMMERY!AA:AC,3,FALSE)</f>
        <v>Priority-1</v>
      </c>
    </row>
    <row r="517" spans="1:32" x14ac:dyDescent="0.3">
      <c r="A517" t="s">
        <v>3568</v>
      </c>
      <c r="B517" t="s">
        <v>3569</v>
      </c>
      <c r="G517" t="s">
        <v>3565</v>
      </c>
      <c r="H517" t="s">
        <v>132</v>
      </c>
      <c r="I517" t="s">
        <v>2</v>
      </c>
      <c r="J517" t="s">
        <v>133</v>
      </c>
      <c r="K517" t="s">
        <v>52</v>
      </c>
      <c r="L517" t="s">
        <v>3566</v>
      </c>
      <c r="M517" t="s">
        <v>134</v>
      </c>
      <c r="N517" t="s">
        <v>135</v>
      </c>
      <c r="Q517" t="s">
        <v>291</v>
      </c>
      <c r="T517" t="s">
        <v>2056</v>
      </c>
      <c r="U517" t="s">
        <v>137</v>
      </c>
      <c r="V517" t="s">
        <v>1259</v>
      </c>
      <c r="X517" t="s">
        <v>126</v>
      </c>
      <c r="AA517" t="s">
        <v>3567</v>
      </c>
      <c r="AB517" t="s">
        <v>2</v>
      </c>
      <c r="AC517" t="s">
        <v>138</v>
      </c>
      <c r="AD517" t="s">
        <v>131</v>
      </c>
      <c r="AE517" s="97">
        <f>VLOOKUP(A:A,SUMMERY!AA:AC,2,FALSE)</f>
        <v>46234</v>
      </c>
      <c r="AF517" s="6" t="str">
        <f>VLOOKUP(A:A,SUMMERY!AA:AC,3,FALSE)</f>
        <v>Priority-2</v>
      </c>
    </row>
    <row r="518" spans="1:32" x14ac:dyDescent="0.3">
      <c r="A518" t="s">
        <v>3570</v>
      </c>
      <c r="B518" t="s">
        <v>3571</v>
      </c>
      <c r="G518" t="s">
        <v>3565</v>
      </c>
      <c r="H518" t="s">
        <v>132</v>
      </c>
      <c r="I518" t="s">
        <v>2</v>
      </c>
      <c r="J518" t="s">
        <v>133</v>
      </c>
      <c r="K518" t="s">
        <v>52</v>
      </c>
      <c r="L518" t="s">
        <v>3566</v>
      </c>
      <c r="M518" t="s">
        <v>134</v>
      </c>
      <c r="N518" t="s">
        <v>135</v>
      </c>
      <c r="Q518" t="s">
        <v>291</v>
      </c>
      <c r="T518" t="s">
        <v>2056</v>
      </c>
      <c r="U518" t="s">
        <v>137</v>
      </c>
      <c r="V518" t="s">
        <v>1263</v>
      </c>
      <c r="X518" t="s">
        <v>69</v>
      </c>
      <c r="AA518" t="s">
        <v>3567</v>
      </c>
      <c r="AB518" t="s">
        <v>2</v>
      </c>
      <c r="AC518" t="s">
        <v>138</v>
      </c>
      <c r="AD518" t="s">
        <v>128</v>
      </c>
      <c r="AE518" s="97">
        <f>VLOOKUP(A:A,SUMMERY!AA:AC,2,FALSE)</f>
        <v>46224</v>
      </c>
      <c r="AF518" s="6" t="str">
        <f>VLOOKUP(A:A,SUMMERY!AA:AC,3,FALSE)</f>
        <v>Priority-1</v>
      </c>
    </row>
    <row r="519" spans="1:32" x14ac:dyDescent="0.3">
      <c r="A519" t="s">
        <v>3572</v>
      </c>
      <c r="B519" t="s">
        <v>3573</v>
      </c>
      <c r="G519" t="s">
        <v>3565</v>
      </c>
      <c r="H519" t="s">
        <v>132</v>
      </c>
      <c r="I519" t="s">
        <v>2</v>
      </c>
      <c r="J519" t="s">
        <v>133</v>
      </c>
      <c r="K519" t="s">
        <v>52</v>
      </c>
      <c r="L519" t="s">
        <v>3566</v>
      </c>
      <c r="M519" t="s">
        <v>134</v>
      </c>
      <c r="N519" t="s">
        <v>135</v>
      </c>
      <c r="Q519" t="s">
        <v>291</v>
      </c>
      <c r="T519" t="s">
        <v>2047</v>
      </c>
      <c r="U519" t="s">
        <v>137</v>
      </c>
      <c r="V519" t="s">
        <v>1259</v>
      </c>
      <c r="X519" t="s">
        <v>126</v>
      </c>
      <c r="AA519" t="s">
        <v>3567</v>
      </c>
      <c r="AB519" t="s">
        <v>2</v>
      </c>
      <c r="AC519" t="s">
        <v>138</v>
      </c>
      <c r="AD519" t="s">
        <v>131</v>
      </c>
      <c r="AE519" s="97">
        <f>VLOOKUP(A:A,SUMMERY!AA:AC,2,FALSE)</f>
        <v>46234</v>
      </c>
      <c r="AF519" s="6" t="str">
        <f>VLOOKUP(A:A,SUMMERY!AA:AC,3,FALSE)</f>
        <v>Priority-2</v>
      </c>
    </row>
    <row r="520" spans="1:32" x14ac:dyDescent="0.3">
      <c r="A520" t="s">
        <v>3574</v>
      </c>
      <c r="B520" t="s">
        <v>3575</v>
      </c>
      <c r="G520" t="s">
        <v>3565</v>
      </c>
      <c r="H520" t="s">
        <v>132</v>
      </c>
      <c r="I520" t="s">
        <v>2</v>
      </c>
      <c r="J520" t="s">
        <v>133</v>
      </c>
      <c r="K520" t="s">
        <v>52</v>
      </c>
      <c r="L520" t="s">
        <v>3566</v>
      </c>
      <c r="M520" t="s">
        <v>134</v>
      </c>
      <c r="N520" t="s">
        <v>135</v>
      </c>
      <c r="Q520" t="s">
        <v>291</v>
      </c>
      <c r="T520" t="s">
        <v>2047</v>
      </c>
      <c r="U520" t="s">
        <v>137</v>
      </c>
      <c r="V520" t="s">
        <v>1263</v>
      </c>
      <c r="X520" t="s">
        <v>69</v>
      </c>
      <c r="AA520" t="s">
        <v>3567</v>
      </c>
      <c r="AB520" t="s">
        <v>2</v>
      </c>
      <c r="AC520" t="s">
        <v>138</v>
      </c>
      <c r="AD520" t="s">
        <v>128</v>
      </c>
      <c r="AE520" s="97">
        <f>VLOOKUP(A:A,SUMMERY!AA:AC,2,FALSE)</f>
        <v>46224</v>
      </c>
      <c r="AF520" s="6" t="str">
        <f>VLOOKUP(A:A,SUMMERY!AA:AC,3,FALSE)</f>
        <v>Priority-1</v>
      </c>
    </row>
    <row r="521" spans="1:32" x14ac:dyDescent="0.3">
      <c r="A521" t="s">
        <v>3576</v>
      </c>
      <c r="B521" t="s">
        <v>3577</v>
      </c>
      <c r="G521" t="s">
        <v>3565</v>
      </c>
      <c r="H521" t="s">
        <v>132</v>
      </c>
      <c r="I521" t="s">
        <v>2</v>
      </c>
      <c r="J521" t="s">
        <v>133</v>
      </c>
      <c r="K521" t="s">
        <v>52</v>
      </c>
      <c r="L521" t="s">
        <v>3566</v>
      </c>
      <c r="M521" t="s">
        <v>134</v>
      </c>
      <c r="N521" t="s">
        <v>135</v>
      </c>
      <c r="Q521" t="s">
        <v>291</v>
      </c>
      <c r="T521" t="s">
        <v>2047</v>
      </c>
      <c r="U521" t="s">
        <v>137</v>
      </c>
      <c r="V521" t="s">
        <v>1259</v>
      </c>
      <c r="X521" t="s">
        <v>126</v>
      </c>
      <c r="AA521" t="s">
        <v>3567</v>
      </c>
      <c r="AB521" t="s">
        <v>2</v>
      </c>
      <c r="AC521" t="s">
        <v>138</v>
      </c>
      <c r="AD521" t="s">
        <v>131</v>
      </c>
      <c r="AE521" s="97">
        <f>VLOOKUP(A:A,SUMMERY!AA:AC,2,FALSE)</f>
        <v>46234</v>
      </c>
      <c r="AF521" s="6" t="str">
        <f>VLOOKUP(A:A,SUMMERY!AA:AC,3,FALSE)</f>
        <v>Priority-2</v>
      </c>
    </row>
    <row r="522" spans="1:32" x14ac:dyDescent="0.3">
      <c r="A522" t="s">
        <v>3578</v>
      </c>
      <c r="B522" t="s">
        <v>3579</v>
      </c>
      <c r="G522" t="s">
        <v>3565</v>
      </c>
      <c r="H522" t="s">
        <v>132</v>
      </c>
      <c r="I522" t="s">
        <v>2</v>
      </c>
      <c r="J522" t="s">
        <v>133</v>
      </c>
      <c r="K522" t="s">
        <v>52</v>
      </c>
      <c r="L522" t="s">
        <v>3566</v>
      </c>
      <c r="M522" t="s">
        <v>134</v>
      </c>
      <c r="N522" t="s">
        <v>135</v>
      </c>
      <c r="Q522" t="s">
        <v>291</v>
      </c>
      <c r="T522" t="s">
        <v>2047</v>
      </c>
      <c r="U522" t="s">
        <v>137</v>
      </c>
      <c r="V522" t="s">
        <v>1263</v>
      </c>
      <c r="X522" t="s">
        <v>69</v>
      </c>
      <c r="AA522" t="s">
        <v>3567</v>
      </c>
      <c r="AB522" t="s">
        <v>2</v>
      </c>
      <c r="AC522" t="s">
        <v>138</v>
      </c>
      <c r="AD522" t="s">
        <v>128</v>
      </c>
      <c r="AE522" s="97">
        <f>VLOOKUP(A:A,SUMMERY!AA:AC,2,FALSE)</f>
        <v>46224</v>
      </c>
      <c r="AF522" s="6" t="str">
        <f>VLOOKUP(A:A,SUMMERY!AA:AC,3,FALSE)</f>
        <v>Priority-1</v>
      </c>
    </row>
    <row r="523" spans="1:32" x14ac:dyDescent="0.3">
      <c r="A523" t="s">
        <v>3580</v>
      </c>
      <c r="B523" t="s">
        <v>3581</v>
      </c>
      <c r="G523" t="s">
        <v>3565</v>
      </c>
      <c r="H523" t="s">
        <v>132</v>
      </c>
      <c r="I523" t="s">
        <v>2</v>
      </c>
      <c r="J523" t="s">
        <v>133</v>
      </c>
      <c r="K523" t="s">
        <v>52</v>
      </c>
      <c r="L523" t="s">
        <v>3566</v>
      </c>
      <c r="M523" t="s">
        <v>134</v>
      </c>
      <c r="N523" t="s">
        <v>135</v>
      </c>
      <c r="Q523" t="s">
        <v>291</v>
      </c>
      <c r="T523" t="s">
        <v>2056</v>
      </c>
      <c r="U523" t="s">
        <v>137</v>
      </c>
      <c r="V523" t="s">
        <v>1263</v>
      </c>
      <c r="X523" t="s">
        <v>69</v>
      </c>
      <c r="AA523" t="s">
        <v>3567</v>
      </c>
      <c r="AB523" t="s">
        <v>2</v>
      </c>
      <c r="AC523" t="s">
        <v>138</v>
      </c>
      <c r="AD523" t="s">
        <v>128</v>
      </c>
      <c r="AE523" s="97">
        <f>VLOOKUP(A:A,SUMMERY!AA:AC,2,FALSE)</f>
        <v>46224</v>
      </c>
      <c r="AF523" s="6" t="str">
        <f>VLOOKUP(A:A,SUMMERY!AA:AC,3,FALSE)</f>
        <v>Priority-1</v>
      </c>
    </row>
    <row r="524" spans="1:32" x14ac:dyDescent="0.3">
      <c r="A524" t="s">
        <v>3582</v>
      </c>
      <c r="B524" t="s">
        <v>3583</v>
      </c>
      <c r="G524" t="s">
        <v>3565</v>
      </c>
      <c r="H524" t="s">
        <v>132</v>
      </c>
      <c r="I524" t="s">
        <v>2</v>
      </c>
      <c r="J524" t="s">
        <v>133</v>
      </c>
      <c r="K524" t="s">
        <v>52</v>
      </c>
      <c r="L524" t="s">
        <v>3566</v>
      </c>
      <c r="M524" t="s">
        <v>134</v>
      </c>
      <c r="N524" t="s">
        <v>135</v>
      </c>
      <c r="Q524" t="s">
        <v>291</v>
      </c>
      <c r="T524" t="s">
        <v>2056</v>
      </c>
      <c r="U524" t="s">
        <v>137</v>
      </c>
      <c r="V524" t="s">
        <v>1259</v>
      </c>
      <c r="X524" t="s">
        <v>126</v>
      </c>
      <c r="AA524" t="s">
        <v>3567</v>
      </c>
      <c r="AB524" t="s">
        <v>2</v>
      </c>
      <c r="AC524" t="s">
        <v>138</v>
      </c>
      <c r="AD524" t="s">
        <v>131</v>
      </c>
      <c r="AE524" s="97">
        <f>VLOOKUP(A:A,SUMMERY!AA:AC,2,FALSE)</f>
        <v>46234</v>
      </c>
      <c r="AF524" s="6" t="str">
        <f>VLOOKUP(A:A,SUMMERY!AA:AC,3,FALSE)</f>
        <v>Priority-2</v>
      </c>
    </row>
    <row r="525" spans="1:32" x14ac:dyDescent="0.3">
      <c r="A525" t="s">
        <v>7090</v>
      </c>
      <c r="B525" t="s">
        <v>7091</v>
      </c>
      <c r="G525" t="s">
        <v>7092</v>
      </c>
      <c r="H525" t="s">
        <v>132</v>
      </c>
      <c r="I525" t="s">
        <v>2</v>
      </c>
      <c r="J525" t="s">
        <v>133</v>
      </c>
      <c r="K525" t="s">
        <v>52</v>
      </c>
      <c r="L525" t="s">
        <v>7093</v>
      </c>
      <c r="M525" t="s">
        <v>134</v>
      </c>
      <c r="N525" t="s">
        <v>135</v>
      </c>
      <c r="Q525" t="s">
        <v>291</v>
      </c>
      <c r="T525" t="s">
        <v>2165</v>
      </c>
      <c r="U525" t="s">
        <v>137</v>
      </c>
      <c r="V525" t="s">
        <v>7094</v>
      </c>
      <c r="W525" s="9">
        <v>46185.330037037034</v>
      </c>
      <c r="X525" t="s">
        <v>7095</v>
      </c>
      <c r="AA525" t="s">
        <v>7096</v>
      </c>
      <c r="AB525" t="s">
        <v>2</v>
      </c>
      <c r="AC525" t="s">
        <v>24</v>
      </c>
      <c r="AD525" t="s">
        <v>7074</v>
      </c>
      <c r="AE525" s="97">
        <f>VLOOKUP(A:A,SUMMERY!AA:AC,2,FALSE)</f>
        <v>46198</v>
      </c>
      <c r="AF525" s="6" t="str">
        <f>VLOOKUP(A:A,SUMMERY!AA:AC,3,FALSE)</f>
        <v>Priority-1</v>
      </c>
    </row>
    <row r="526" spans="1:32" x14ac:dyDescent="0.3">
      <c r="A526" t="s">
        <v>7097</v>
      </c>
      <c r="B526" t="s">
        <v>7098</v>
      </c>
      <c r="G526" t="s">
        <v>7092</v>
      </c>
      <c r="H526" t="s">
        <v>132</v>
      </c>
      <c r="I526" t="s">
        <v>2</v>
      </c>
      <c r="J526" t="s">
        <v>133</v>
      </c>
      <c r="K526" t="s">
        <v>52</v>
      </c>
      <c r="L526" t="s">
        <v>7093</v>
      </c>
      <c r="M526" t="s">
        <v>134</v>
      </c>
      <c r="N526" t="s">
        <v>135</v>
      </c>
      <c r="Q526" t="s">
        <v>291</v>
      </c>
      <c r="T526" t="s">
        <v>2165</v>
      </c>
      <c r="U526" t="s">
        <v>137</v>
      </c>
      <c r="V526" t="s">
        <v>7094</v>
      </c>
      <c r="W526" s="9">
        <v>46185.330452395836</v>
      </c>
      <c r="X526" t="s">
        <v>7095</v>
      </c>
      <c r="AA526" t="s">
        <v>7096</v>
      </c>
      <c r="AB526" t="s">
        <v>2</v>
      </c>
      <c r="AC526" t="s">
        <v>24</v>
      </c>
      <c r="AD526" t="s">
        <v>7074</v>
      </c>
      <c r="AE526" s="97">
        <f>VLOOKUP(A:A,SUMMERY!AA:AC,2,FALSE)</f>
        <v>46198</v>
      </c>
      <c r="AF526" s="6" t="str">
        <f>VLOOKUP(A:A,SUMMERY!AA:AC,3,FALSE)</f>
        <v>Priority-1</v>
      </c>
    </row>
    <row r="527" spans="1:32" x14ac:dyDescent="0.3">
      <c r="A527" t="s">
        <v>7099</v>
      </c>
      <c r="B527" t="s">
        <v>7100</v>
      </c>
      <c r="G527" t="s">
        <v>7092</v>
      </c>
      <c r="H527" t="s">
        <v>132</v>
      </c>
      <c r="I527" t="s">
        <v>2</v>
      </c>
      <c r="J527" t="s">
        <v>133</v>
      </c>
      <c r="K527" t="s">
        <v>52</v>
      </c>
      <c r="L527" t="s">
        <v>7093</v>
      </c>
      <c r="M527" t="s">
        <v>134</v>
      </c>
      <c r="N527" t="s">
        <v>135</v>
      </c>
      <c r="Q527" t="s">
        <v>291</v>
      </c>
      <c r="T527" t="s">
        <v>2165</v>
      </c>
      <c r="U527" t="s">
        <v>137</v>
      </c>
      <c r="V527" t="s">
        <v>7094</v>
      </c>
      <c r="W527" s="9">
        <v>46185.331291006944</v>
      </c>
      <c r="X527" t="s">
        <v>7095</v>
      </c>
      <c r="AA527" t="s">
        <v>7096</v>
      </c>
      <c r="AB527" t="s">
        <v>2</v>
      </c>
      <c r="AC527" t="s">
        <v>24</v>
      </c>
      <c r="AD527" t="s">
        <v>7074</v>
      </c>
      <c r="AE527" s="97">
        <f>VLOOKUP(A:A,SUMMERY!AA:AC,2,FALSE)</f>
        <v>46198</v>
      </c>
      <c r="AF527" s="6" t="str">
        <f>VLOOKUP(A:A,SUMMERY!AA:AC,3,FALSE)</f>
        <v>Priority-1</v>
      </c>
    </row>
    <row r="528" spans="1:32" x14ac:dyDescent="0.3">
      <c r="A528" t="s">
        <v>7101</v>
      </c>
      <c r="B528" t="s">
        <v>7102</v>
      </c>
      <c r="G528" t="s">
        <v>7092</v>
      </c>
      <c r="H528" t="s">
        <v>132</v>
      </c>
      <c r="I528" t="s">
        <v>2</v>
      </c>
      <c r="J528" t="s">
        <v>133</v>
      </c>
      <c r="K528" t="s">
        <v>52</v>
      </c>
      <c r="L528" t="s">
        <v>7093</v>
      </c>
      <c r="M528" t="s">
        <v>134</v>
      </c>
      <c r="N528" t="s">
        <v>135</v>
      </c>
      <c r="Q528" t="s">
        <v>291</v>
      </c>
      <c r="T528" t="s">
        <v>2165</v>
      </c>
      <c r="U528" t="s">
        <v>137</v>
      </c>
      <c r="V528" t="s">
        <v>7094</v>
      </c>
      <c r="W528" s="9">
        <v>46185.331662881945</v>
      </c>
      <c r="X528" t="s">
        <v>7095</v>
      </c>
      <c r="AA528" t="s">
        <v>7096</v>
      </c>
      <c r="AB528" t="s">
        <v>2</v>
      </c>
      <c r="AC528" t="s">
        <v>24</v>
      </c>
      <c r="AD528" t="s">
        <v>7074</v>
      </c>
      <c r="AE528" s="97">
        <f>VLOOKUP(A:A,SUMMERY!AA:AC,2,FALSE)</f>
        <v>46198</v>
      </c>
      <c r="AF528" s="6" t="str">
        <f>VLOOKUP(A:A,SUMMERY!AA:AC,3,FALSE)</f>
        <v>Priority-1</v>
      </c>
    </row>
    <row r="529" spans="1:32" x14ac:dyDescent="0.3">
      <c r="A529" t="s">
        <v>7103</v>
      </c>
      <c r="B529" t="s">
        <v>7104</v>
      </c>
      <c r="G529" t="s">
        <v>7092</v>
      </c>
      <c r="H529" t="s">
        <v>132</v>
      </c>
      <c r="I529" t="s">
        <v>2</v>
      </c>
      <c r="J529" t="s">
        <v>133</v>
      </c>
      <c r="K529" t="s">
        <v>52</v>
      </c>
      <c r="L529" t="s">
        <v>7093</v>
      </c>
      <c r="M529" t="s">
        <v>134</v>
      </c>
      <c r="N529" t="s">
        <v>135</v>
      </c>
      <c r="Q529" t="s">
        <v>291</v>
      </c>
      <c r="T529" t="s">
        <v>2165</v>
      </c>
      <c r="U529" t="s">
        <v>137</v>
      </c>
      <c r="V529" t="s">
        <v>7094</v>
      </c>
      <c r="W529" s="9">
        <v>46192.207471099537</v>
      </c>
      <c r="X529" t="s">
        <v>7095</v>
      </c>
      <c r="AA529" t="s">
        <v>7096</v>
      </c>
      <c r="AB529" t="s">
        <v>2</v>
      </c>
      <c r="AC529" t="s">
        <v>24</v>
      </c>
      <c r="AD529" t="s">
        <v>7074</v>
      </c>
      <c r="AE529" s="97">
        <f>VLOOKUP(A:A,SUMMERY!AA:AC,2,FALSE)</f>
        <v>46198</v>
      </c>
      <c r="AF529" s="6" t="str">
        <f>VLOOKUP(A:A,SUMMERY!AA:AC,3,FALSE)</f>
        <v>Priority-1</v>
      </c>
    </row>
    <row r="530" spans="1:32" x14ac:dyDescent="0.3">
      <c r="A530" t="s">
        <v>7105</v>
      </c>
      <c r="B530" t="s">
        <v>7106</v>
      </c>
      <c r="G530" t="s">
        <v>7092</v>
      </c>
      <c r="H530" t="s">
        <v>132</v>
      </c>
      <c r="I530" t="s">
        <v>2</v>
      </c>
      <c r="J530" t="s">
        <v>133</v>
      </c>
      <c r="K530" t="s">
        <v>52</v>
      </c>
      <c r="L530" t="s">
        <v>7093</v>
      </c>
      <c r="M530" t="s">
        <v>134</v>
      </c>
      <c r="N530" t="s">
        <v>135</v>
      </c>
      <c r="Q530" t="s">
        <v>291</v>
      </c>
      <c r="S530" t="s">
        <v>291</v>
      </c>
      <c r="T530" t="s">
        <v>2165</v>
      </c>
      <c r="U530" t="s">
        <v>137</v>
      </c>
      <c r="V530" t="s">
        <v>7094</v>
      </c>
      <c r="W530" s="9">
        <v>46192.210094409726</v>
      </c>
      <c r="X530" t="s">
        <v>7095</v>
      </c>
      <c r="AA530" t="s">
        <v>7096</v>
      </c>
      <c r="AB530" t="s">
        <v>2</v>
      </c>
      <c r="AC530" t="s">
        <v>24</v>
      </c>
      <c r="AD530" t="s">
        <v>7074</v>
      </c>
      <c r="AE530" s="97">
        <f>VLOOKUP(A:A,SUMMERY!AA:AC,2,FALSE)</f>
        <v>46198</v>
      </c>
      <c r="AF530" s="6" t="str">
        <f>VLOOKUP(A:A,SUMMERY!AA:AC,3,FALSE)</f>
        <v>Priority-1</v>
      </c>
    </row>
    <row r="531" spans="1:32" x14ac:dyDescent="0.3">
      <c r="A531" t="s">
        <v>7107</v>
      </c>
      <c r="B531" t="s">
        <v>7108</v>
      </c>
      <c r="G531" t="s">
        <v>7092</v>
      </c>
      <c r="H531" t="s">
        <v>132</v>
      </c>
      <c r="I531" t="s">
        <v>2</v>
      </c>
      <c r="J531" t="s">
        <v>133</v>
      </c>
      <c r="K531" t="s">
        <v>52</v>
      </c>
      <c r="L531" t="s">
        <v>7093</v>
      </c>
      <c r="M531" t="s">
        <v>134</v>
      </c>
      <c r="N531" t="s">
        <v>135</v>
      </c>
      <c r="Q531" t="s">
        <v>291</v>
      </c>
      <c r="T531" t="s">
        <v>2165</v>
      </c>
      <c r="U531" t="s">
        <v>137</v>
      </c>
      <c r="V531" t="s">
        <v>7094</v>
      </c>
      <c r="W531" s="9">
        <v>46185.333673460649</v>
      </c>
      <c r="X531" t="s">
        <v>7095</v>
      </c>
      <c r="AA531" t="s">
        <v>7096</v>
      </c>
      <c r="AB531" t="s">
        <v>2</v>
      </c>
      <c r="AC531" t="s">
        <v>24</v>
      </c>
      <c r="AD531" t="s">
        <v>7074</v>
      </c>
      <c r="AE531" s="97">
        <f>VLOOKUP(A:A,SUMMERY!AA:AC,2,FALSE)</f>
        <v>46198</v>
      </c>
      <c r="AF531" s="6" t="str">
        <f>VLOOKUP(A:A,SUMMERY!AA:AC,3,FALSE)</f>
        <v>Priority-1</v>
      </c>
    </row>
    <row r="532" spans="1:32" x14ac:dyDescent="0.3">
      <c r="A532" t="s">
        <v>7109</v>
      </c>
      <c r="B532" t="s">
        <v>7110</v>
      </c>
      <c r="G532" t="s">
        <v>7092</v>
      </c>
      <c r="H532" t="s">
        <v>132</v>
      </c>
      <c r="I532" t="s">
        <v>2</v>
      </c>
      <c r="J532" t="s">
        <v>133</v>
      </c>
      <c r="K532" t="s">
        <v>52</v>
      </c>
      <c r="L532" t="s">
        <v>7093</v>
      </c>
      <c r="M532" t="s">
        <v>134</v>
      </c>
      <c r="N532" t="s">
        <v>135</v>
      </c>
      <c r="Q532" t="s">
        <v>291</v>
      </c>
      <c r="T532" t="s">
        <v>2165</v>
      </c>
      <c r="U532" t="s">
        <v>137</v>
      </c>
      <c r="V532" t="s">
        <v>7094</v>
      </c>
      <c r="W532" s="9">
        <v>46192.211218252312</v>
      </c>
      <c r="X532" t="s">
        <v>7095</v>
      </c>
      <c r="AA532" t="s">
        <v>7096</v>
      </c>
      <c r="AB532" t="s">
        <v>2</v>
      </c>
      <c r="AC532" t="s">
        <v>24</v>
      </c>
      <c r="AD532" t="s">
        <v>7074</v>
      </c>
      <c r="AE532" s="97">
        <f>VLOOKUP(A:A,SUMMERY!AA:AC,2,FALSE)</f>
        <v>46198</v>
      </c>
      <c r="AF532" s="6" t="str">
        <f>VLOOKUP(A:A,SUMMERY!AA:AC,3,FALSE)</f>
        <v>Priority-1</v>
      </c>
    </row>
    <row r="533" spans="1:32" x14ac:dyDescent="0.3">
      <c r="A533" t="s">
        <v>7111</v>
      </c>
      <c r="B533" t="s">
        <v>7112</v>
      </c>
      <c r="G533" t="s">
        <v>7092</v>
      </c>
      <c r="H533" t="s">
        <v>132</v>
      </c>
      <c r="I533" t="s">
        <v>2</v>
      </c>
      <c r="J533" t="s">
        <v>133</v>
      </c>
      <c r="K533" t="s">
        <v>52</v>
      </c>
      <c r="L533" t="s">
        <v>7093</v>
      </c>
      <c r="M533" t="s">
        <v>134</v>
      </c>
      <c r="N533" t="s">
        <v>135</v>
      </c>
      <c r="Q533" t="s">
        <v>291</v>
      </c>
      <c r="T533" t="s">
        <v>2165</v>
      </c>
      <c r="U533" t="s">
        <v>137</v>
      </c>
      <c r="V533" t="s">
        <v>7094</v>
      </c>
      <c r="W533" s="9">
        <v>46185.334042939816</v>
      </c>
      <c r="X533" t="s">
        <v>7095</v>
      </c>
      <c r="AA533" t="s">
        <v>7096</v>
      </c>
      <c r="AB533" t="s">
        <v>2</v>
      </c>
      <c r="AC533" t="s">
        <v>24</v>
      </c>
      <c r="AD533" t="s">
        <v>7074</v>
      </c>
      <c r="AE533" s="97">
        <f>VLOOKUP(A:A,SUMMERY!AA:AC,2,FALSE)</f>
        <v>46198</v>
      </c>
      <c r="AF533" s="6" t="str">
        <f>VLOOKUP(A:A,SUMMERY!AA:AC,3,FALSE)</f>
        <v>Priority-1</v>
      </c>
    </row>
    <row r="534" spans="1:32" x14ac:dyDescent="0.3">
      <c r="A534" t="s">
        <v>7113</v>
      </c>
      <c r="B534" t="s">
        <v>7114</v>
      </c>
      <c r="G534" t="s">
        <v>7092</v>
      </c>
      <c r="H534" t="s">
        <v>132</v>
      </c>
      <c r="I534" t="s">
        <v>2</v>
      </c>
      <c r="J534" t="s">
        <v>133</v>
      </c>
      <c r="K534" t="s">
        <v>52</v>
      </c>
      <c r="L534" t="s">
        <v>7093</v>
      </c>
      <c r="M534" t="s">
        <v>134</v>
      </c>
      <c r="N534" t="s">
        <v>135</v>
      </c>
      <c r="Q534" t="s">
        <v>291</v>
      </c>
      <c r="T534" t="s">
        <v>2165</v>
      </c>
      <c r="U534" t="s">
        <v>137</v>
      </c>
      <c r="V534" t="s">
        <v>7094</v>
      </c>
      <c r="W534" s="9">
        <v>46185.33432577546</v>
      </c>
      <c r="X534" t="s">
        <v>7095</v>
      </c>
      <c r="AA534" t="s">
        <v>7096</v>
      </c>
      <c r="AB534" t="s">
        <v>2</v>
      </c>
      <c r="AC534" t="s">
        <v>24</v>
      </c>
      <c r="AD534" t="s">
        <v>7074</v>
      </c>
      <c r="AE534" s="97">
        <f>VLOOKUP(A:A,SUMMERY!AA:AC,2,FALSE)</f>
        <v>46198</v>
      </c>
      <c r="AF534" s="6" t="str">
        <f>VLOOKUP(A:A,SUMMERY!AA:AC,3,FALSE)</f>
        <v>Priority-1</v>
      </c>
    </row>
    <row r="535" spans="1:32" x14ac:dyDescent="0.3">
      <c r="A535" t="s">
        <v>7115</v>
      </c>
      <c r="B535" t="s">
        <v>7116</v>
      </c>
      <c r="G535" t="s">
        <v>7092</v>
      </c>
      <c r="H535" t="s">
        <v>132</v>
      </c>
      <c r="I535" t="s">
        <v>2</v>
      </c>
      <c r="J535" t="s">
        <v>133</v>
      </c>
      <c r="K535" t="s">
        <v>52</v>
      </c>
      <c r="L535" t="s">
        <v>7093</v>
      </c>
      <c r="M535" t="s">
        <v>134</v>
      </c>
      <c r="N535" t="s">
        <v>135</v>
      </c>
      <c r="Q535" t="s">
        <v>291</v>
      </c>
      <c r="T535" t="s">
        <v>2165</v>
      </c>
      <c r="U535" t="s">
        <v>137</v>
      </c>
      <c r="V535" t="s">
        <v>7094</v>
      </c>
      <c r="W535" s="9">
        <v>46185.334653935184</v>
      </c>
      <c r="X535" t="s">
        <v>7095</v>
      </c>
      <c r="AA535" t="s">
        <v>7096</v>
      </c>
      <c r="AB535" t="s">
        <v>2</v>
      </c>
      <c r="AC535" t="s">
        <v>24</v>
      </c>
      <c r="AD535" t="s">
        <v>7074</v>
      </c>
      <c r="AE535" s="97">
        <f>VLOOKUP(A:A,SUMMERY!AA:AC,2,FALSE)</f>
        <v>46198</v>
      </c>
      <c r="AF535" s="6" t="str">
        <f>VLOOKUP(A:A,SUMMERY!AA:AC,3,FALSE)</f>
        <v>Priority-1</v>
      </c>
    </row>
    <row r="536" spans="1:32" x14ac:dyDescent="0.3">
      <c r="A536" t="s">
        <v>7117</v>
      </c>
      <c r="B536" t="s">
        <v>7118</v>
      </c>
      <c r="G536" t="s">
        <v>7092</v>
      </c>
      <c r="H536" t="s">
        <v>132</v>
      </c>
      <c r="I536" t="s">
        <v>2</v>
      </c>
      <c r="J536" t="s">
        <v>133</v>
      </c>
      <c r="K536" t="s">
        <v>52</v>
      </c>
      <c r="L536" t="s">
        <v>7093</v>
      </c>
      <c r="M536" t="s">
        <v>134</v>
      </c>
      <c r="N536" t="s">
        <v>135</v>
      </c>
      <c r="Q536" t="s">
        <v>291</v>
      </c>
      <c r="T536" t="s">
        <v>2165</v>
      </c>
      <c r="U536" t="s">
        <v>137</v>
      </c>
      <c r="V536" t="s">
        <v>7094</v>
      </c>
      <c r="W536" s="9">
        <v>46177.734911805557</v>
      </c>
      <c r="X536" t="s">
        <v>7095</v>
      </c>
      <c r="AA536" t="s">
        <v>7096</v>
      </c>
      <c r="AB536" t="s">
        <v>2</v>
      </c>
      <c r="AC536" t="s">
        <v>24</v>
      </c>
      <c r="AD536" t="s">
        <v>7074</v>
      </c>
      <c r="AE536" s="97">
        <f>VLOOKUP(A:A,SUMMERY!AA:AC,2,FALSE)</f>
        <v>46198</v>
      </c>
      <c r="AF536" s="6" t="str">
        <f>VLOOKUP(A:A,SUMMERY!AA:AC,3,FALSE)</f>
        <v>Priority-1</v>
      </c>
    </row>
    <row r="537" spans="1:32" x14ac:dyDescent="0.3">
      <c r="A537" t="s">
        <v>7119</v>
      </c>
      <c r="B537" t="s">
        <v>7120</v>
      </c>
      <c r="G537" t="s">
        <v>7092</v>
      </c>
      <c r="H537" t="s">
        <v>132</v>
      </c>
      <c r="I537" t="s">
        <v>2</v>
      </c>
      <c r="J537" t="s">
        <v>133</v>
      </c>
      <c r="K537" t="s">
        <v>52</v>
      </c>
      <c r="L537" t="s">
        <v>7093</v>
      </c>
      <c r="M537" t="s">
        <v>134</v>
      </c>
      <c r="N537" t="s">
        <v>135</v>
      </c>
      <c r="Q537" t="s">
        <v>291</v>
      </c>
      <c r="T537" t="s">
        <v>2165</v>
      </c>
      <c r="U537" t="s">
        <v>137</v>
      </c>
      <c r="V537" t="s">
        <v>7094</v>
      </c>
      <c r="W537" s="9">
        <v>46174.552553622685</v>
      </c>
      <c r="X537" t="s">
        <v>7095</v>
      </c>
      <c r="AA537" t="s">
        <v>7096</v>
      </c>
      <c r="AB537" t="s">
        <v>2</v>
      </c>
      <c r="AC537" t="s">
        <v>24</v>
      </c>
      <c r="AD537" t="s">
        <v>7074</v>
      </c>
      <c r="AE537" s="97">
        <f>VLOOKUP(A:A,SUMMERY!AA:AC,2,FALSE)</f>
        <v>46198</v>
      </c>
      <c r="AF537" s="6" t="str">
        <f>VLOOKUP(A:A,SUMMERY!AA:AC,3,FALSE)</f>
        <v>Priority-1</v>
      </c>
    </row>
    <row r="538" spans="1:32" x14ac:dyDescent="0.3">
      <c r="A538" t="s">
        <v>7121</v>
      </c>
      <c r="B538" t="s">
        <v>7122</v>
      </c>
      <c r="G538" t="s">
        <v>7092</v>
      </c>
      <c r="H538" t="s">
        <v>132</v>
      </c>
      <c r="I538" t="s">
        <v>2</v>
      </c>
      <c r="J538" t="s">
        <v>133</v>
      </c>
      <c r="K538" t="s">
        <v>52</v>
      </c>
      <c r="L538" t="s">
        <v>7093</v>
      </c>
      <c r="M538" t="s">
        <v>134</v>
      </c>
      <c r="N538" t="s">
        <v>135</v>
      </c>
      <c r="Q538" t="s">
        <v>291</v>
      </c>
      <c r="T538" t="s">
        <v>2165</v>
      </c>
      <c r="U538" t="s">
        <v>137</v>
      </c>
      <c r="V538" t="s">
        <v>7094</v>
      </c>
      <c r="W538" s="9">
        <v>46177.73651234954</v>
      </c>
      <c r="X538" t="s">
        <v>7095</v>
      </c>
      <c r="AA538" t="s">
        <v>7096</v>
      </c>
      <c r="AB538" t="s">
        <v>2</v>
      </c>
      <c r="AC538" t="s">
        <v>24</v>
      </c>
      <c r="AD538" t="s">
        <v>7074</v>
      </c>
      <c r="AE538" s="97">
        <f>VLOOKUP(A:A,SUMMERY!AA:AC,2,FALSE)</f>
        <v>46198</v>
      </c>
      <c r="AF538" s="6" t="str">
        <f>VLOOKUP(A:A,SUMMERY!AA:AC,3,FALSE)</f>
        <v>Priority-1</v>
      </c>
    </row>
    <row r="539" spans="1:32" x14ac:dyDescent="0.3">
      <c r="A539" t="s">
        <v>7123</v>
      </c>
      <c r="B539" t="s">
        <v>7124</v>
      </c>
      <c r="G539" t="s">
        <v>7092</v>
      </c>
      <c r="H539" t="s">
        <v>132</v>
      </c>
      <c r="I539" t="s">
        <v>2</v>
      </c>
      <c r="J539" t="s">
        <v>133</v>
      </c>
      <c r="K539" t="s">
        <v>52</v>
      </c>
      <c r="L539" t="s">
        <v>7093</v>
      </c>
      <c r="M539" t="s">
        <v>134</v>
      </c>
      <c r="N539" t="s">
        <v>135</v>
      </c>
      <c r="Q539" t="s">
        <v>291</v>
      </c>
      <c r="T539" t="s">
        <v>2165</v>
      </c>
      <c r="U539" t="s">
        <v>137</v>
      </c>
      <c r="V539" t="s">
        <v>7094</v>
      </c>
      <c r="W539" s="9">
        <v>46177.73692797454</v>
      </c>
      <c r="X539" t="s">
        <v>7095</v>
      </c>
      <c r="AA539" t="s">
        <v>7096</v>
      </c>
      <c r="AB539" t="s">
        <v>2</v>
      </c>
      <c r="AC539" t="s">
        <v>24</v>
      </c>
      <c r="AD539" t="s">
        <v>7074</v>
      </c>
      <c r="AE539" s="97">
        <f>VLOOKUP(A:A,SUMMERY!AA:AC,2,FALSE)</f>
        <v>46198</v>
      </c>
      <c r="AF539" s="6" t="str">
        <f>VLOOKUP(A:A,SUMMERY!AA:AC,3,FALSE)</f>
        <v>Priority-1</v>
      </c>
    </row>
    <row r="540" spans="1:32" x14ac:dyDescent="0.3">
      <c r="A540" t="s">
        <v>7125</v>
      </c>
      <c r="B540" t="s">
        <v>7126</v>
      </c>
      <c r="G540" t="s">
        <v>7092</v>
      </c>
      <c r="H540" t="s">
        <v>132</v>
      </c>
      <c r="I540" t="s">
        <v>2</v>
      </c>
      <c r="J540" t="s">
        <v>133</v>
      </c>
      <c r="K540" t="s">
        <v>52</v>
      </c>
      <c r="L540" t="s">
        <v>7093</v>
      </c>
      <c r="M540" t="s">
        <v>134</v>
      </c>
      <c r="N540" t="s">
        <v>135</v>
      </c>
      <c r="Q540" t="s">
        <v>291</v>
      </c>
      <c r="T540" t="s">
        <v>2165</v>
      </c>
      <c r="U540" t="s">
        <v>137</v>
      </c>
      <c r="V540" t="s">
        <v>7094</v>
      </c>
      <c r="W540" s="9">
        <v>46177.737410879628</v>
      </c>
      <c r="X540" t="s">
        <v>7095</v>
      </c>
      <c r="AA540" t="s">
        <v>7096</v>
      </c>
      <c r="AB540" t="s">
        <v>2</v>
      </c>
      <c r="AC540" t="s">
        <v>24</v>
      </c>
      <c r="AD540" t="s">
        <v>7074</v>
      </c>
      <c r="AE540" s="97">
        <f>VLOOKUP(A:A,SUMMERY!AA:AC,2,FALSE)</f>
        <v>46198</v>
      </c>
      <c r="AF540" s="6" t="str">
        <f>VLOOKUP(A:A,SUMMERY!AA:AC,3,FALSE)</f>
        <v>Priority-1</v>
      </c>
    </row>
    <row r="541" spans="1:32" x14ac:dyDescent="0.3">
      <c r="A541" t="s">
        <v>7127</v>
      </c>
      <c r="B541" t="s">
        <v>7128</v>
      </c>
      <c r="G541" t="s">
        <v>7092</v>
      </c>
      <c r="H541" t="s">
        <v>132</v>
      </c>
      <c r="I541" t="s">
        <v>2</v>
      </c>
      <c r="J541" t="s">
        <v>133</v>
      </c>
      <c r="K541" t="s">
        <v>52</v>
      </c>
      <c r="L541" t="s">
        <v>7093</v>
      </c>
      <c r="M541" t="s">
        <v>134</v>
      </c>
      <c r="N541" t="s">
        <v>135</v>
      </c>
      <c r="Q541" t="s">
        <v>291</v>
      </c>
      <c r="T541" t="s">
        <v>2165</v>
      </c>
      <c r="U541" t="s">
        <v>137</v>
      </c>
      <c r="V541" t="s">
        <v>7094</v>
      </c>
      <c r="W541" s="9">
        <v>46174.553034143515</v>
      </c>
      <c r="X541" t="s">
        <v>7095</v>
      </c>
      <c r="AA541" t="s">
        <v>7096</v>
      </c>
      <c r="AB541" t="s">
        <v>2</v>
      </c>
      <c r="AC541" t="s">
        <v>24</v>
      </c>
      <c r="AD541" t="s">
        <v>7074</v>
      </c>
      <c r="AE541" s="97">
        <f>VLOOKUP(A:A,SUMMERY!AA:AC,2,FALSE)</f>
        <v>46198</v>
      </c>
      <c r="AF541" s="6" t="str">
        <f>VLOOKUP(A:A,SUMMERY!AA:AC,3,FALSE)</f>
        <v>Priority-1</v>
      </c>
    </row>
    <row r="542" spans="1:32" x14ac:dyDescent="0.3">
      <c r="A542" t="s">
        <v>7129</v>
      </c>
      <c r="B542" t="s">
        <v>7130</v>
      </c>
      <c r="G542" t="s">
        <v>7092</v>
      </c>
      <c r="H542" t="s">
        <v>132</v>
      </c>
      <c r="I542" t="s">
        <v>2</v>
      </c>
      <c r="J542" t="s">
        <v>133</v>
      </c>
      <c r="K542" t="s">
        <v>52</v>
      </c>
      <c r="L542" t="s">
        <v>7093</v>
      </c>
      <c r="M542" t="s">
        <v>134</v>
      </c>
      <c r="N542" t="s">
        <v>135</v>
      </c>
      <c r="Q542" t="s">
        <v>291</v>
      </c>
      <c r="T542" t="s">
        <v>2165</v>
      </c>
      <c r="U542" t="s">
        <v>137</v>
      </c>
      <c r="V542" t="s">
        <v>7094</v>
      </c>
      <c r="W542" s="9">
        <v>46174.553749687497</v>
      </c>
      <c r="X542" t="s">
        <v>7095</v>
      </c>
      <c r="AA542" t="s">
        <v>7096</v>
      </c>
      <c r="AB542" t="s">
        <v>2</v>
      </c>
      <c r="AC542" t="s">
        <v>24</v>
      </c>
      <c r="AD542" t="s">
        <v>7074</v>
      </c>
      <c r="AE542" s="97">
        <f>VLOOKUP(A:A,SUMMERY!AA:AC,2,FALSE)</f>
        <v>46198</v>
      </c>
      <c r="AF542" s="6" t="str">
        <f>VLOOKUP(A:A,SUMMERY!AA:AC,3,FALSE)</f>
        <v>Priority-1</v>
      </c>
    </row>
    <row r="543" spans="1:32" x14ac:dyDescent="0.3">
      <c r="A543" t="s">
        <v>7131</v>
      </c>
      <c r="B543" t="s">
        <v>7132</v>
      </c>
      <c r="G543" t="s">
        <v>7092</v>
      </c>
      <c r="H543" t="s">
        <v>132</v>
      </c>
      <c r="I543" t="s">
        <v>2</v>
      </c>
      <c r="J543" t="s">
        <v>133</v>
      </c>
      <c r="K543" t="s">
        <v>52</v>
      </c>
      <c r="L543" t="s">
        <v>7093</v>
      </c>
      <c r="M543" t="s">
        <v>134</v>
      </c>
      <c r="N543" t="s">
        <v>135</v>
      </c>
      <c r="Q543" t="s">
        <v>291</v>
      </c>
      <c r="T543" t="s">
        <v>2165</v>
      </c>
      <c r="U543" t="s">
        <v>137</v>
      </c>
      <c r="V543" t="s">
        <v>7094</v>
      </c>
      <c r="W543" s="9">
        <v>46185.33560327546</v>
      </c>
      <c r="X543" t="s">
        <v>7095</v>
      </c>
      <c r="AA543" t="s">
        <v>7096</v>
      </c>
      <c r="AB543" t="s">
        <v>2</v>
      </c>
      <c r="AC543" t="s">
        <v>24</v>
      </c>
      <c r="AD543" t="s">
        <v>7074</v>
      </c>
      <c r="AE543" s="97">
        <f>VLOOKUP(A:A,SUMMERY!AA:AC,2,FALSE)</f>
        <v>46198</v>
      </c>
      <c r="AF543" s="6" t="str">
        <f>VLOOKUP(A:A,SUMMERY!AA:AC,3,FALSE)</f>
        <v>Priority-1</v>
      </c>
    </row>
    <row r="544" spans="1:32" x14ac:dyDescent="0.3">
      <c r="A544" t="s">
        <v>7133</v>
      </c>
      <c r="B544" t="s">
        <v>7134</v>
      </c>
      <c r="G544" t="s">
        <v>7092</v>
      </c>
      <c r="H544" t="s">
        <v>132</v>
      </c>
      <c r="I544" t="s">
        <v>2</v>
      </c>
      <c r="J544" t="s">
        <v>133</v>
      </c>
      <c r="K544" t="s">
        <v>52</v>
      </c>
      <c r="L544" t="s">
        <v>7093</v>
      </c>
      <c r="M544" t="s">
        <v>134</v>
      </c>
      <c r="N544" t="s">
        <v>135</v>
      </c>
      <c r="Q544" t="s">
        <v>291</v>
      </c>
      <c r="T544" t="s">
        <v>2165</v>
      </c>
      <c r="U544" t="s">
        <v>137</v>
      </c>
      <c r="V544" t="s">
        <v>7094</v>
      </c>
      <c r="X544" t="s">
        <v>7095</v>
      </c>
      <c r="AA544" t="s">
        <v>7096</v>
      </c>
      <c r="AB544" t="s">
        <v>2</v>
      </c>
      <c r="AC544" t="s">
        <v>3733</v>
      </c>
      <c r="AD544" t="s">
        <v>7074</v>
      </c>
      <c r="AE544" s="97">
        <f>VLOOKUP(A:A,SUMMERY!AA:AC,2,FALSE)</f>
        <v>46198</v>
      </c>
      <c r="AF544" s="6" t="str">
        <f>VLOOKUP(A:A,SUMMERY!AA:AC,3,FALSE)</f>
        <v>Priority-1</v>
      </c>
    </row>
    <row r="545" spans="1:32" x14ac:dyDescent="0.3">
      <c r="A545" t="s">
        <v>7135</v>
      </c>
      <c r="B545" t="s">
        <v>7136</v>
      </c>
      <c r="G545" t="s">
        <v>7092</v>
      </c>
      <c r="H545" t="s">
        <v>132</v>
      </c>
      <c r="I545" t="s">
        <v>2</v>
      </c>
      <c r="J545" t="s">
        <v>133</v>
      </c>
      <c r="K545" t="s">
        <v>52</v>
      </c>
      <c r="L545" t="s">
        <v>7093</v>
      </c>
      <c r="M545" t="s">
        <v>134</v>
      </c>
      <c r="N545" t="s">
        <v>135</v>
      </c>
      <c r="Q545" t="s">
        <v>291</v>
      </c>
      <c r="T545" t="s">
        <v>2165</v>
      </c>
      <c r="U545" t="s">
        <v>137</v>
      </c>
      <c r="V545" t="s">
        <v>7094</v>
      </c>
      <c r="W545" s="9">
        <v>46177.737801423609</v>
      </c>
      <c r="X545" t="s">
        <v>7095</v>
      </c>
      <c r="AA545" t="s">
        <v>7096</v>
      </c>
      <c r="AB545" t="s">
        <v>2</v>
      </c>
      <c r="AC545" t="s">
        <v>24</v>
      </c>
      <c r="AD545" t="s">
        <v>7074</v>
      </c>
      <c r="AE545" s="97">
        <f>VLOOKUP(A:A,SUMMERY!AA:AC,2,FALSE)</f>
        <v>46198</v>
      </c>
      <c r="AF545" s="6" t="str">
        <f>VLOOKUP(A:A,SUMMERY!AA:AC,3,FALSE)</f>
        <v>Priority-1</v>
      </c>
    </row>
    <row r="546" spans="1:32" x14ac:dyDescent="0.3">
      <c r="A546" t="s">
        <v>7137</v>
      </c>
      <c r="B546" t="s">
        <v>7138</v>
      </c>
      <c r="G546" t="s">
        <v>7092</v>
      </c>
      <c r="H546" t="s">
        <v>132</v>
      </c>
      <c r="I546" t="s">
        <v>2</v>
      </c>
      <c r="J546" t="s">
        <v>133</v>
      </c>
      <c r="K546" t="s">
        <v>52</v>
      </c>
      <c r="L546" t="s">
        <v>7093</v>
      </c>
      <c r="M546" t="s">
        <v>134</v>
      </c>
      <c r="N546" t="s">
        <v>135</v>
      </c>
      <c r="Q546" t="s">
        <v>291</v>
      </c>
      <c r="T546" t="s">
        <v>2165</v>
      </c>
      <c r="U546" t="s">
        <v>137</v>
      </c>
      <c r="V546" t="s">
        <v>7094</v>
      </c>
      <c r="W546" s="9">
        <v>46174.554152118057</v>
      </c>
      <c r="X546" t="s">
        <v>7095</v>
      </c>
      <c r="AA546" t="s">
        <v>7096</v>
      </c>
      <c r="AB546" t="s">
        <v>2</v>
      </c>
      <c r="AC546" t="s">
        <v>24</v>
      </c>
      <c r="AD546" t="s">
        <v>7074</v>
      </c>
      <c r="AE546" s="97">
        <f>VLOOKUP(A:A,SUMMERY!AA:AC,2,FALSE)</f>
        <v>46198</v>
      </c>
      <c r="AF546" s="6" t="str">
        <f>VLOOKUP(A:A,SUMMERY!AA:AC,3,FALSE)</f>
        <v>Priority-1</v>
      </c>
    </row>
    <row r="547" spans="1:32" x14ac:dyDescent="0.3">
      <c r="A547" t="s">
        <v>7139</v>
      </c>
      <c r="B547" t="s">
        <v>7140</v>
      </c>
      <c r="G547" t="s">
        <v>7092</v>
      </c>
      <c r="H547" t="s">
        <v>132</v>
      </c>
      <c r="I547" t="s">
        <v>2</v>
      </c>
      <c r="J547" t="s">
        <v>133</v>
      </c>
      <c r="K547" t="s">
        <v>52</v>
      </c>
      <c r="L547" t="s">
        <v>7093</v>
      </c>
      <c r="M547" t="s">
        <v>134</v>
      </c>
      <c r="N547" t="s">
        <v>135</v>
      </c>
      <c r="Q547" t="s">
        <v>291</v>
      </c>
      <c r="T547" t="s">
        <v>2165</v>
      </c>
      <c r="U547" t="s">
        <v>137</v>
      </c>
      <c r="V547" t="s">
        <v>7094</v>
      </c>
      <c r="W547" s="9">
        <v>46174.554588391205</v>
      </c>
      <c r="X547" t="s">
        <v>7095</v>
      </c>
      <c r="AA547" t="s">
        <v>7096</v>
      </c>
      <c r="AB547" t="s">
        <v>2</v>
      </c>
      <c r="AC547" t="s">
        <v>24</v>
      </c>
      <c r="AD547" t="s">
        <v>7074</v>
      </c>
      <c r="AE547" s="97">
        <f>VLOOKUP(A:A,SUMMERY!AA:AC,2,FALSE)</f>
        <v>46198</v>
      </c>
      <c r="AF547" s="6" t="str">
        <f>VLOOKUP(A:A,SUMMERY!AA:AC,3,FALSE)</f>
        <v>Priority-1</v>
      </c>
    </row>
    <row r="548" spans="1:32" x14ac:dyDescent="0.3">
      <c r="A548" t="s">
        <v>7141</v>
      </c>
      <c r="B548" t="s">
        <v>7142</v>
      </c>
      <c r="G548" t="s">
        <v>7092</v>
      </c>
      <c r="H548" t="s">
        <v>132</v>
      </c>
      <c r="I548" t="s">
        <v>2</v>
      </c>
      <c r="J548" t="s">
        <v>133</v>
      </c>
      <c r="K548" t="s">
        <v>52</v>
      </c>
      <c r="L548" t="s">
        <v>7093</v>
      </c>
      <c r="M548" t="s">
        <v>134</v>
      </c>
      <c r="N548" t="s">
        <v>135</v>
      </c>
      <c r="Q548" t="s">
        <v>291</v>
      </c>
      <c r="T548" t="s">
        <v>2165</v>
      </c>
      <c r="U548" t="s">
        <v>137</v>
      </c>
      <c r="V548" t="s">
        <v>7094</v>
      </c>
      <c r="W548" s="9">
        <v>46174.555176238428</v>
      </c>
      <c r="X548" t="s">
        <v>7095</v>
      </c>
      <c r="AA548" t="s">
        <v>7096</v>
      </c>
      <c r="AB548" t="s">
        <v>2</v>
      </c>
      <c r="AC548" t="s">
        <v>24</v>
      </c>
      <c r="AD548" t="s">
        <v>7074</v>
      </c>
      <c r="AE548" s="97">
        <f>VLOOKUP(A:A,SUMMERY!AA:AC,2,FALSE)</f>
        <v>46198</v>
      </c>
      <c r="AF548" s="6" t="str">
        <f>VLOOKUP(A:A,SUMMERY!AA:AC,3,FALSE)</f>
        <v>Priority-1</v>
      </c>
    </row>
    <row r="549" spans="1:32" x14ac:dyDescent="0.3">
      <c r="A549" t="s">
        <v>7143</v>
      </c>
      <c r="B549" t="s">
        <v>7144</v>
      </c>
      <c r="G549" t="s">
        <v>7092</v>
      </c>
      <c r="H549" t="s">
        <v>132</v>
      </c>
      <c r="I549" t="s">
        <v>2</v>
      </c>
      <c r="J549" t="s">
        <v>133</v>
      </c>
      <c r="K549" t="s">
        <v>52</v>
      </c>
      <c r="L549" t="s">
        <v>7093</v>
      </c>
      <c r="M549" t="s">
        <v>134</v>
      </c>
      <c r="N549" t="s">
        <v>135</v>
      </c>
      <c r="Q549" t="s">
        <v>291</v>
      </c>
      <c r="T549" t="s">
        <v>2165</v>
      </c>
      <c r="U549" t="s">
        <v>137</v>
      </c>
      <c r="V549" t="s">
        <v>7094</v>
      </c>
      <c r="W549" s="9">
        <v>46172.502222951392</v>
      </c>
      <c r="X549" t="s">
        <v>7095</v>
      </c>
      <c r="AA549" t="s">
        <v>7096</v>
      </c>
      <c r="AB549" t="s">
        <v>2</v>
      </c>
      <c r="AC549" t="s">
        <v>24</v>
      </c>
      <c r="AD549" t="s">
        <v>7074</v>
      </c>
      <c r="AE549" s="97">
        <f>VLOOKUP(A:A,SUMMERY!AA:AC,2,FALSE)</f>
        <v>46198</v>
      </c>
      <c r="AF549" s="6" t="str">
        <f>VLOOKUP(A:A,SUMMERY!AA:AC,3,FALSE)</f>
        <v>Priority-1</v>
      </c>
    </row>
    <row r="550" spans="1:32" x14ac:dyDescent="0.3">
      <c r="A550" t="s">
        <v>7145</v>
      </c>
      <c r="B550" t="s">
        <v>7146</v>
      </c>
      <c r="G550" t="s">
        <v>7092</v>
      </c>
      <c r="H550" t="s">
        <v>132</v>
      </c>
      <c r="I550" t="s">
        <v>2</v>
      </c>
      <c r="J550" t="s">
        <v>133</v>
      </c>
      <c r="K550" t="s">
        <v>52</v>
      </c>
      <c r="L550" t="s">
        <v>7093</v>
      </c>
      <c r="M550" t="s">
        <v>134</v>
      </c>
      <c r="N550" t="s">
        <v>135</v>
      </c>
      <c r="Q550" t="s">
        <v>291</v>
      </c>
      <c r="T550" t="s">
        <v>2165</v>
      </c>
      <c r="U550" t="s">
        <v>137</v>
      </c>
      <c r="V550" t="s">
        <v>7094</v>
      </c>
      <c r="W550" s="9">
        <v>46172.501733252313</v>
      </c>
      <c r="X550" t="s">
        <v>7095</v>
      </c>
      <c r="AA550" t="s">
        <v>7096</v>
      </c>
      <c r="AB550" t="s">
        <v>2</v>
      </c>
      <c r="AC550" t="s">
        <v>24</v>
      </c>
      <c r="AD550" t="s">
        <v>7074</v>
      </c>
      <c r="AE550" s="97">
        <f>VLOOKUP(A:A,SUMMERY!AA:AC,2,FALSE)</f>
        <v>46198</v>
      </c>
      <c r="AF550" s="6" t="str">
        <f>VLOOKUP(A:A,SUMMERY!AA:AC,3,FALSE)</f>
        <v>Priority-1</v>
      </c>
    </row>
    <row r="551" spans="1:32" x14ac:dyDescent="0.3">
      <c r="A551" t="s">
        <v>7147</v>
      </c>
      <c r="B551" t="s">
        <v>7148</v>
      </c>
      <c r="G551" t="s">
        <v>7092</v>
      </c>
      <c r="H551" t="s">
        <v>132</v>
      </c>
      <c r="I551" t="s">
        <v>2</v>
      </c>
      <c r="J551" t="s">
        <v>133</v>
      </c>
      <c r="K551" t="s">
        <v>52</v>
      </c>
      <c r="L551" t="s">
        <v>7093</v>
      </c>
      <c r="M551" t="s">
        <v>134</v>
      </c>
      <c r="N551" t="s">
        <v>135</v>
      </c>
      <c r="Q551" t="s">
        <v>291</v>
      </c>
      <c r="T551" t="s">
        <v>2165</v>
      </c>
      <c r="U551" t="s">
        <v>137</v>
      </c>
      <c r="V551" t="s">
        <v>7094</v>
      </c>
      <c r="W551" s="9">
        <v>46177.738285613428</v>
      </c>
      <c r="X551" t="s">
        <v>7095</v>
      </c>
      <c r="AA551" t="s">
        <v>7096</v>
      </c>
      <c r="AB551" t="s">
        <v>2</v>
      </c>
      <c r="AC551" t="s">
        <v>24</v>
      </c>
      <c r="AD551" t="s">
        <v>7074</v>
      </c>
      <c r="AE551" s="97">
        <f>VLOOKUP(A:A,SUMMERY!AA:AC,2,FALSE)</f>
        <v>46198</v>
      </c>
      <c r="AF551" s="6" t="str">
        <f>VLOOKUP(A:A,SUMMERY!AA:AC,3,FALSE)</f>
        <v>Priority-1</v>
      </c>
    </row>
    <row r="552" spans="1:32" x14ac:dyDescent="0.3">
      <c r="A552" t="s">
        <v>7149</v>
      </c>
      <c r="B552" t="s">
        <v>7150</v>
      </c>
      <c r="G552" t="s">
        <v>7092</v>
      </c>
      <c r="H552" t="s">
        <v>132</v>
      </c>
      <c r="I552" t="s">
        <v>2</v>
      </c>
      <c r="J552" t="s">
        <v>133</v>
      </c>
      <c r="K552" t="s">
        <v>52</v>
      </c>
      <c r="L552" t="s">
        <v>7093</v>
      </c>
      <c r="M552" t="s">
        <v>134</v>
      </c>
      <c r="N552" t="s">
        <v>135</v>
      </c>
      <c r="Q552" t="s">
        <v>291</v>
      </c>
      <c r="T552" t="s">
        <v>2165</v>
      </c>
      <c r="U552" t="s">
        <v>137</v>
      </c>
      <c r="V552" t="s">
        <v>7094</v>
      </c>
      <c r="W552" s="9">
        <v>46177.738676701389</v>
      </c>
      <c r="X552" t="s">
        <v>7095</v>
      </c>
      <c r="AA552" t="s">
        <v>7096</v>
      </c>
      <c r="AB552" t="s">
        <v>2</v>
      </c>
      <c r="AC552" t="s">
        <v>24</v>
      </c>
      <c r="AD552" t="s">
        <v>7074</v>
      </c>
      <c r="AE552" s="97">
        <f>VLOOKUP(A:A,SUMMERY!AA:AC,2,FALSE)</f>
        <v>46198</v>
      </c>
      <c r="AF552" s="6" t="str">
        <f>VLOOKUP(A:A,SUMMERY!AA:AC,3,FALSE)</f>
        <v>Priority-1</v>
      </c>
    </row>
    <row r="553" spans="1:32" x14ac:dyDescent="0.3">
      <c r="A553" t="s">
        <v>7151</v>
      </c>
      <c r="B553" t="s">
        <v>7152</v>
      </c>
      <c r="G553" t="s">
        <v>7092</v>
      </c>
      <c r="H553" t="s">
        <v>132</v>
      </c>
      <c r="I553" t="s">
        <v>2</v>
      </c>
      <c r="J553" t="s">
        <v>133</v>
      </c>
      <c r="K553" t="s">
        <v>52</v>
      </c>
      <c r="L553" t="s">
        <v>7093</v>
      </c>
      <c r="M553" t="s">
        <v>134</v>
      </c>
      <c r="N553" t="s">
        <v>135</v>
      </c>
      <c r="Q553" t="s">
        <v>291</v>
      </c>
      <c r="T553" t="s">
        <v>2165</v>
      </c>
      <c r="U553" t="s">
        <v>137</v>
      </c>
      <c r="V553" t="s">
        <v>7094</v>
      </c>
      <c r="W553" s="9">
        <v>46174.555848495373</v>
      </c>
      <c r="X553" t="s">
        <v>7095</v>
      </c>
      <c r="AA553" t="s">
        <v>7096</v>
      </c>
      <c r="AB553" t="s">
        <v>2</v>
      </c>
      <c r="AC553" t="s">
        <v>24</v>
      </c>
      <c r="AD553" t="s">
        <v>7074</v>
      </c>
      <c r="AE553" s="97">
        <f>VLOOKUP(A:A,SUMMERY!AA:AC,2,FALSE)</f>
        <v>46198</v>
      </c>
      <c r="AF553" s="6" t="str">
        <f>VLOOKUP(A:A,SUMMERY!AA:AC,3,FALSE)</f>
        <v>Priority-1</v>
      </c>
    </row>
    <row r="554" spans="1:32" x14ac:dyDescent="0.3">
      <c r="A554" t="s">
        <v>7153</v>
      </c>
      <c r="B554" t="s">
        <v>7154</v>
      </c>
      <c r="G554" t="s">
        <v>7092</v>
      </c>
      <c r="H554" t="s">
        <v>132</v>
      </c>
      <c r="I554" t="s">
        <v>2</v>
      </c>
      <c r="J554" t="s">
        <v>133</v>
      </c>
      <c r="K554" t="s">
        <v>52</v>
      </c>
      <c r="L554" t="s">
        <v>7093</v>
      </c>
      <c r="M554" t="s">
        <v>134</v>
      </c>
      <c r="N554" t="s">
        <v>135</v>
      </c>
      <c r="Q554" t="s">
        <v>291</v>
      </c>
      <c r="T554" t="s">
        <v>2165</v>
      </c>
      <c r="U554" t="s">
        <v>137</v>
      </c>
      <c r="V554" t="s">
        <v>7094</v>
      </c>
      <c r="W554" s="9">
        <v>46174.556357256944</v>
      </c>
      <c r="X554" t="s">
        <v>7095</v>
      </c>
      <c r="AA554" t="s">
        <v>7096</v>
      </c>
      <c r="AB554" t="s">
        <v>2</v>
      </c>
      <c r="AC554" t="s">
        <v>24</v>
      </c>
      <c r="AD554" t="s">
        <v>7074</v>
      </c>
      <c r="AE554" s="97">
        <f>VLOOKUP(A:A,SUMMERY!AA:AC,2,FALSE)</f>
        <v>46198</v>
      </c>
      <c r="AF554" s="6" t="str">
        <f>VLOOKUP(A:A,SUMMERY!AA:AC,3,FALSE)</f>
        <v>Priority-1</v>
      </c>
    </row>
    <row r="555" spans="1:32" x14ac:dyDescent="0.3">
      <c r="A555" t="s">
        <v>7155</v>
      </c>
      <c r="B555" t="s">
        <v>7156</v>
      </c>
      <c r="G555" t="s">
        <v>7092</v>
      </c>
      <c r="H555" t="s">
        <v>132</v>
      </c>
      <c r="I555" t="s">
        <v>2</v>
      </c>
      <c r="J555" t="s">
        <v>133</v>
      </c>
      <c r="K555" t="s">
        <v>52</v>
      </c>
      <c r="L555" t="s">
        <v>7093</v>
      </c>
      <c r="M555" t="s">
        <v>134</v>
      </c>
      <c r="N555" t="s">
        <v>135</v>
      </c>
      <c r="Q555" t="s">
        <v>291</v>
      </c>
      <c r="T555" t="s">
        <v>2165</v>
      </c>
      <c r="U555" t="s">
        <v>137</v>
      </c>
      <c r="V555" t="s">
        <v>7094</v>
      </c>
      <c r="W555" s="9">
        <v>46177.739044907408</v>
      </c>
      <c r="X555" t="s">
        <v>7095</v>
      </c>
      <c r="AA555" t="s">
        <v>7096</v>
      </c>
      <c r="AB555" t="s">
        <v>2</v>
      </c>
      <c r="AC555" t="s">
        <v>24</v>
      </c>
      <c r="AD555" t="s">
        <v>7074</v>
      </c>
      <c r="AE555" s="97">
        <f>VLOOKUP(A:A,SUMMERY!AA:AC,2,FALSE)</f>
        <v>46198</v>
      </c>
      <c r="AF555" s="6" t="str">
        <f>VLOOKUP(A:A,SUMMERY!AA:AC,3,FALSE)</f>
        <v>Priority-1</v>
      </c>
    </row>
    <row r="556" spans="1:32" x14ac:dyDescent="0.3">
      <c r="A556" t="s">
        <v>7157</v>
      </c>
      <c r="B556" t="s">
        <v>7158</v>
      </c>
      <c r="G556" t="s">
        <v>7092</v>
      </c>
      <c r="H556" t="s">
        <v>132</v>
      </c>
      <c r="I556" t="s">
        <v>2</v>
      </c>
      <c r="J556" t="s">
        <v>133</v>
      </c>
      <c r="K556" t="s">
        <v>52</v>
      </c>
      <c r="L556" t="s">
        <v>7093</v>
      </c>
      <c r="M556" t="s">
        <v>134</v>
      </c>
      <c r="N556" t="s">
        <v>135</v>
      </c>
      <c r="Q556" t="s">
        <v>291</v>
      </c>
      <c r="T556" t="s">
        <v>2165</v>
      </c>
      <c r="U556" t="s">
        <v>137</v>
      </c>
      <c r="V556" t="s">
        <v>7094</v>
      </c>
      <c r="W556" s="9">
        <v>46174.556462384258</v>
      </c>
      <c r="X556" t="s">
        <v>7095</v>
      </c>
      <c r="AA556" t="s">
        <v>7096</v>
      </c>
      <c r="AB556" t="s">
        <v>2</v>
      </c>
      <c r="AC556" t="s">
        <v>24</v>
      </c>
      <c r="AD556" t="s">
        <v>7074</v>
      </c>
      <c r="AE556" s="97">
        <f>VLOOKUP(A:A,SUMMERY!AA:AC,2,FALSE)</f>
        <v>46198</v>
      </c>
      <c r="AF556" s="6" t="str">
        <f>VLOOKUP(A:A,SUMMERY!AA:AC,3,FALSE)</f>
        <v>Priority-1</v>
      </c>
    </row>
    <row r="557" spans="1:32" x14ac:dyDescent="0.3">
      <c r="A557" t="s">
        <v>7159</v>
      </c>
      <c r="B557" t="s">
        <v>7160</v>
      </c>
      <c r="G557" t="s">
        <v>7092</v>
      </c>
      <c r="H557" t="s">
        <v>132</v>
      </c>
      <c r="I557" t="s">
        <v>2</v>
      </c>
      <c r="J557" t="s">
        <v>133</v>
      </c>
      <c r="K557" t="s">
        <v>52</v>
      </c>
      <c r="L557" t="s">
        <v>7093</v>
      </c>
      <c r="M557" t="s">
        <v>134</v>
      </c>
      <c r="N557" t="s">
        <v>135</v>
      </c>
      <c r="Q557" t="s">
        <v>291</v>
      </c>
      <c r="T557" t="s">
        <v>2165</v>
      </c>
      <c r="U557" t="s">
        <v>137</v>
      </c>
      <c r="V557" t="s">
        <v>7094</v>
      </c>
      <c r="W557" s="9">
        <v>46174.555620173611</v>
      </c>
      <c r="X557" t="s">
        <v>7095</v>
      </c>
      <c r="AA557" t="s">
        <v>7096</v>
      </c>
      <c r="AB557" t="s">
        <v>2</v>
      </c>
      <c r="AC557" t="s">
        <v>24</v>
      </c>
      <c r="AD557" t="s">
        <v>7074</v>
      </c>
      <c r="AE557" s="97">
        <f>VLOOKUP(A:A,SUMMERY!AA:AC,2,FALSE)</f>
        <v>46198</v>
      </c>
      <c r="AF557" s="6" t="str">
        <f>VLOOKUP(A:A,SUMMERY!AA:AC,3,FALSE)</f>
        <v>Priority-1</v>
      </c>
    </row>
    <row r="558" spans="1:32" x14ac:dyDescent="0.3">
      <c r="A558" t="s">
        <v>7161</v>
      </c>
      <c r="B558" t="s">
        <v>7162</v>
      </c>
      <c r="G558" t="s">
        <v>7092</v>
      </c>
      <c r="H558" t="s">
        <v>132</v>
      </c>
      <c r="I558" t="s">
        <v>2</v>
      </c>
      <c r="J558" t="s">
        <v>133</v>
      </c>
      <c r="K558" t="s">
        <v>52</v>
      </c>
      <c r="L558" t="s">
        <v>7093</v>
      </c>
      <c r="M558" t="s">
        <v>134</v>
      </c>
      <c r="N558" t="s">
        <v>135</v>
      </c>
      <c r="Q558" t="s">
        <v>291</v>
      </c>
      <c r="T558" t="s">
        <v>2165</v>
      </c>
      <c r="U558" t="s">
        <v>137</v>
      </c>
      <c r="V558" t="s">
        <v>7094</v>
      </c>
      <c r="W558" s="9">
        <v>46174.554822800928</v>
      </c>
      <c r="X558" t="s">
        <v>7095</v>
      </c>
      <c r="AA558" t="s">
        <v>7096</v>
      </c>
      <c r="AB558" t="s">
        <v>2</v>
      </c>
      <c r="AC558" t="s">
        <v>24</v>
      </c>
      <c r="AD558" t="s">
        <v>7074</v>
      </c>
      <c r="AE558" s="97">
        <f>VLOOKUP(A:A,SUMMERY!AA:AC,2,FALSE)</f>
        <v>46198</v>
      </c>
      <c r="AF558" s="6" t="str">
        <f>VLOOKUP(A:A,SUMMERY!AA:AC,3,FALSE)</f>
        <v>Priority-1</v>
      </c>
    </row>
    <row r="559" spans="1:32" x14ac:dyDescent="0.3">
      <c r="A559" t="s">
        <v>7163</v>
      </c>
      <c r="B559" t="s">
        <v>7164</v>
      </c>
      <c r="G559" t="s">
        <v>7092</v>
      </c>
      <c r="H559" t="s">
        <v>132</v>
      </c>
      <c r="I559" t="s">
        <v>2</v>
      </c>
      <c r="J559" t="s">
        <v>133</v>
      </c>
      <c r="K559" t="s">
        <v>52</v>
      </c>
      <c r="L559" t="s">
        <v>7093</v>
      </c>
      <c r="M559" t="s">
        <v>134</v>
      </c>
      <c r="N559" t="s">
        <v>135</v>
      </c>
      <c r="Q559" t="s">
        <v>291</v>
      </c>
      <c r="T559" t="s">
        <v>2165</v>
      </c>
      <c r="U559" t="s">
        <v>137</v>
      </c>
      <c r="V559" t="s">
        <v>7094</v>
      </c>
      <c r="W559" s="9">
        <v>46192.207858368056</v>
      </c>
      <c r="X559" t="s">
        <v>7095</v>
      </c>
      <c r="AA559" t="s">
        <v>7096</v>
      </c>
      <c r="AB559" t="s">
        <v>2</v>
      </c>
      <c r="AC559" t="s">
        <v>24</v>
      </c>
      <c r="AD559" t="s">
        <v>7074</v>
      </c>
      <c r="AE559" s="97">
        <f>VLOOKUP(A:A,SUMMERY!AA:AC,2,FALSE)</f>
        <v>46198</v>
      </c>
      <c r="AF559" s="6" t="str">
        <f>VLOOKUP(A:A,SUMMERY!AA:AC,3,FALSE)</f>
        <v>Priority-1</v>
      </c>
    </row>
    <row r="560" spans="1:32" x14ac:dyDescent="0.3">
      <c r="A560" t="s">
        <v>7165</v>
      </c>
      <c r="B560" t="s">
        <v>7166</v>
      </c>
      <c r="G560" t="s">
        <v>7092</v>
      </c>
      <c r="H560" t="s">
        <v>132</v>
      </c>
      <c r="I560" t="s">
        <v>2</v>
      </c>
      <c r="J560" t="s">
        <v>133</v>
      </c>
      <c r="K560" t="s">
        <v>52</v>
      </c>
      <c r="L560" t="s">
        <v>7093</v>
      </c>
      <c r="M560" t="s">
        <v>134</v>
      </c>
      <c r="N560" t="s">
        <v>135</v>
      </c>
      <c r="Q560" t="s">
        <v>291</v>
      </c>
      <c r="T560" t="s">
        <v>2165</v>
      </c>
      <c r="U560" t="s">
        <v>137</v>
      </c>
      <c r="V560" t="s">
        <v>7094</v>
      </c>
      <c r="W560" s="9">
        <v>46185.336627812503</v>
      </c>
      <c r="X560" t="s">
        <v>7095</v>
      </c>
      <c r="AA560" t="s">
        <v>7096</v>
      </c>
      <c r="AB560" t="s">
        <v>2</v>
      </c>
      <c r="AC560" t="s">
        <v>24</v>
      </c>
      <c r="AD560" t="s">
        <v>7074</v>
      </c>
      <c r="AE560" s="97">
        <f>VLOOKUP(A:A,SUMMERY!AA:AC,2,FALSE)</f>
        <v>46198</v>
      </c>
      <c r="AF560" s="6" t="str">
        <f>VLOOKUP(A:A,SUMMERY!AA:AC,3,FALSE)</f>
        <v>Priority-1</v>
      </c>
    </row>
    <row r="561" spans="1:32" x14ac:dyDescent="0.3">
      <c r="A561" t="s">
        <v>7167</v>
      </c>
      <c r="B561" t="s">
        <v>7168</v>
      </c>
      <c r="G561" t="s">
        <v>7092</v>
      </c>
      <c r="H561" t="s">
        <v>132</v>
      </c>
      <c r="I561" t="s">
        <v>2</v>
      </c>
      <c r="J561" t="s">
        <v>133</v>
      </c>
      <c r="K561" t="s">
        <v>52</v>
      </c>
      <c r="L561" t="s">
        <v>7093</v>
      </c>
      <c r="M561" t="s">
        <v>134</v>
      </c>
      <c r="N561" t="s">
        <v>135</v>
      </c>
      <c r="Q561" t="s">
        <v>291</v>
      </c>
      <c r="T561" t="s">
        <v>2165</v>
      </c>
      <c r="U561" t="s">
        <v>137</v>
      </c>
      <c r="V561" t="s">
        <v>7094</v>
      </c>
      <c r="W561" s="9">
        <v>46185.336946377312</v>
      </c>
      <c r="X561" t="s">
        <v>7095</v>
      </c>
      <c r="AA561" t="s">
        <v>7096</v>
      </c>
      <c r="AB561" t="s">
        <v>2</v>
      </c>
      <c r="AC561" t="s">
        <v>24</v>
      </c>
      <c r="AD561" t="s">
        <v>7074</v>
      </c>
      <c r="AE561" s="97">
        <f>VLOOKUP(A:A,SUMMERY!AA:AC,2,FALSE)</f>
        <v>46198</v>
      </c>
      <c r="AF561" s="6" t="str">
        <f>VLOOKUP(A:A,SUMMERY!AA:AC,3,FALSE)</f>
        <v>Priority-1</v>
      </c>
    </row>
    <row r="562" spans="1:32" x14ac:dyDescent="0.3">
      <c r="A562" t="s">
        <v>7169</v>
      </c>
      <c r="B562" t="s">
        <v>7170</v>
      </c>
      <c r="G562" t="s">
        <v>7092</v>
      </c>
      <c r="H562" t="s">
        <v>132</v>
      </c>
      <c r="I562" t="s">
        <v>2</v>
      </c>
      <c r="J562" t="s">
        <v>133</v>
      </c>
      <c r="K562" t="s">
        <v>52</v>
      </c>
      <c r="L562" t="s">
        <v>7093</v>
      </c>
      <c r="M562" t="s">
        <v>134</v>
      </c>
      <c r="N562" t="s">
        <v>135</v>
      </c>
      <c r="Q562" t="s">
        <v>291</v>
      </c>
      <c r="T562" t="s">
        <v>2165</v>
      </c>
      <c r="U562" t="s">
        <v>137</v>
      </c>
      <c r="V562" t="s">
        <v>7094</v>
      </c>
      <c r="W562" s="9">
        <v>46185.337944293984</v>
      </c>
      <c r="X562" t="s">
        <v>7095</v>
      </c>
      <c r="AA562" t="s">
        <v>7096</v>
      </c>
      <c r="AB562" t="s">
        <v>2</v>
      </c>
      <c r="AC562" t="s">
        <v>24</v>
      </c>
      <c r="AD562" t="s">
        <v>7074</v>
      </c>
      <c r="AE562" s="97">
        <f>VLOOKUP(A:A,SUMMERY!AA:AC,2,FALSE)</f>
        <v>46198</v>
      </c>
      <c r="AF562" s="6" t="str">
        <f>VLOOKUP(A:A,SUMMERY!AA:AC,3,FALSE)</f>
        <v>Priority-1</v>
      </c>
    </row>
    <row r="563" spans="1:32" x14ac:dyDescent="0.3">
      <c r="A563" t="s">
        <v>7171</v>
      </c>
      <c r="B563" t="s">
        <v>7172</v>
      </c>
      <c r="G563" t="s">
        <v>7092</v>
      </c>
      <c r="H563" t="s">
        <v>132</v>
      </c>
      <c r="I563" t="s">
        <v>2</v>
      </c>
      <c r="J563" t="s">
        <v>133</v>
      </c>
      <c r="K563" t="s">
        <v>52</v>
      </c>
      <c r="L563" t="s">
        <v>7093</v>
      </c>
      <c r="M563" t="s">
        <v>134</v>
      </c>
      <c r="N563" t="s">
        <v>135</v>
      </c>
      <c r="Q563" t="s">
        <v>291</v>
      </c>
      <c r="T563" t="s">
        <v>2165</v>
      </c>
      <c r="U563" t="s">
        <v>137</v>
      </c>
      <c r="V563" t="s">
        <v>7094</v>
      </c>
      <c r="X563" t="s">
        <v>7095</v>
      </c>
      <c r="AA563" t="s">
        <v>7096</v>
      </c>
      <c r="AB563" t="s">
        <v>2</v>
      </c>
      <c r="AC563" t="s">
        <v>3733</v>
      </c>
      <c r="AD563" t="s">
        <v>7074</v>
      </c>
      <c r="AE563" s="97">
        <f>VLOOKUP(A:A,SUMMERY!AA:AC,2,FALSE)</f>
        <v>46198</v>
      </c>
      <c r="AF563" s="6" t="str">
        <f>VLOOKUP(A:A,SUMMERY!AA:AC,3,FALSE)</f>
        <v>Priority-1</v>
      </c>
    </row>
    <row r="564" spans="1:32" x14ac:dyDescent="0.3">
      <c r="A564" t="s">
        <v>7173</v>
      </c>
      <c r="B564" t="s">
        <v>7174</v>
      </c>
      <c r="G564" t="s">
        <v>7092</v>
      </c>
      <c r="H564" t="s">
        <v>132</v>
      </c>
      <c r="I564" t="s">
        <v>2</v>
      </c>
      <c r="J564" t="s">
        <v>133</v>
      </c>
      <c r="K564" t="s">
        <v>52</v>
      </c>
      <c r="L564" t="s">
        <v>7093</v>
      </c>
      <c r="M564" t="s">
        <v>134</v>
      </c>
      <c r="N564" t="s">
        <v>135</v>
      </c>
      <c r="Q564" t="s">
        <v>291</v>
      </c>
      <c r="T564" t="s">
        <v>2165</v>
      </c>
      <c r="U564" t="s">
        <v>137</v>
      </c>
      <c r="V564" t="s">
        <v>7094</v>
      </c>
      <c r="W564" s="9">
        <v>46172.503681331022</v>
      </c>
      <c r="X564" t="s">
        <v>7095</v>
      </c>
      <c r="AA564" t="s">
        <v>7096</v>
      </c>
      <c r="AB564" t="s">
        <v>2</v>
      </c>
      <c r="AC564" t="s">
        <v>24</v>
      </c>
      <c r="AD564" t="s">
        <v>7074</v>
      </c>
      <c r="AE564" s="97">
        <f>VLOOKUP(A:A,SUMMERY!AA:AC,2,FALSE)</f>
        <v>46198</v>
      </c>
      <c r="AF564" s="6" t="str">
        <f>VLOOKUP(A:A,SUMMERY!AA:AC,3,FALSE)</f>
        <v>Priority-1</v>
      </c>
    </row>
    <row r="565" spans="1:32" x14ac:dyDescent="0.3">
      <c r="A565" t="s">
        <v>7175</v>
      </c>
      <c r="B565" t="s">
        <v>7176</v>
      </c>
      <c r="G565" t="s">
        <v>7092</v>
      </c>
      <c r="H565" t="s">
        <v>132</v>
      </c>
      <c r="I565" t="s">
        <v>2</v>
      </c>
      <c r="J565" t="s">
        <v>133</v>
      </c>
      <c r="K565" t="s">
        <v>52</v>
      </c>
      <c r="L565" t="s">
        <v>7093</v>
      </c>
      <c r="M565" t="s">
        <v>134</v>
      </c>
      <c r="N565" t="s">
        <v>135</v>
      </c>
      <c r="Q565" t="s">
        <v>291</v>
      </c>
      <c r="T565" t="s">
        <v>2165</v>
      </c>
      <c r="U565" t="s">
        <v>137</v>
      </c>
      <c r="V565" t="s">
        <v>7094</v>
      </c>
      <c r="W565" s="9">
        <v>46177.739514664354</v>
      </c>
      <c r="X565" t="s">
        <v>7095</v>
      </c>
      <c r="AA565" t="s">
        <v>7096</v>
      </c>
      <c r="AB565" t="s">
        <v>2</v>
      </c>
      <c r="AC565" t="s">
        <v>24</v>
      </c>
      <c r="AD565" t="s">
        <v>7074</v>
      </c>
      <c r="AE565" s="97">
        <f>VLOOKUP(A:A,SUMMERY!AA:AC,2,FALSE)</f>
        <v>46198</v>
      </c>
      <c r="AF565" s="6" t="str">
        <f>VLOOKUP(A:A,SUMMERY!AA:AC,3,FALSE)</f>
        <v>Priority-1</v>
      </c>
    </row>
    <row r="566" spans="1:32" x14ac:dyDescent="0.3">
      <c r="A566" t="s">
        <v>7177</v>
      </c>
      <c r="B566" t="s">
        <v>7178</v>
      </c>
      <c r="G566" t="s">
        <v>7092</v>
      </c>
      <c r="H566" t="s">
        <v>132</v>
      </c>
      <c r="I566" t="s">
        <v>2</v>
      </c>
      <c r="J566" t="s">
        <v>133</v>
      </c>
      <c r="K566" t="s">
        <v>52</v>
      </c>
      <c r="L566" t="s">
        <v>7093</v>
      </c>
      <c r="M566" t="s">
        <v>134</v>
      </c>
      <c r="N566" t="s">
        <v>135</v>
      </c>
      <c r="Q566" t="s">
        <v>291</v>
      </c>
      <c r="T566" t="s">
        <v>2165</v>
      </c>
      <c r="U566" t="s">
        <v>137</v>
      </c>
      <c r="V566" t="s">
        <v>7094</v>
      </c>
      <c r="W566" s="9">
        <v>46174.554408136573</v>
      </c>
      <c r="X566" t="s">
        <v>7095</v>
      </c>
      <c r="AA566" t="s">
        <v>7096</v>
      </c>
      <c r="AB566" t="s">
        <v>2</v>
      </c>
      <c r="AC566" t="s">
        <v>24</v>
      </c>
      <c r="AD566" t="s">
        <v>7074</v>
      </c>
      <c r="AE566" s="97">
        <f>VLOOKUP(A:A,SUMMERY!AA:AC,2,FALSE)</f>
        <v>46198</v>
      </c>
      <c r="AF566" s="6" t="str">
        <f>VLOOKUP(A:A,SUMMERY!AA:AC,3,FALSE)</f>
        <v>Priority-1</v>
      </c>
    </row>
    <row r="567" spans="1:32" x14ac:dyDescent="0.3">
      <c r="A567" t="s">
        <v>7179</v>
      </c>
      <c r="B567" t="s">
        <v>7180</v>
      </c>
      <c r="G567" t="s">
        <v>7092</v>
      </c>
      <c r="H567" t="s">
        <v>132</v>
      </c>
      <c r="I567" t="s">
        <v>2</v>
      </c>
      <c r="J567" t="s">
        <v>133</v>
      </c>
      <c r="K567" t="s">
        <v>52</v>
      </c>
      <c r="L567" t="s">
        <v>7093</v>
      </c>
      <c r="M567" t="s">
        <v>134</v>
      </c>
      <c r="N567" t="s">
        <v>135</v>
      </c>
      <c r="Q567" t="s">
        <v>291</v>
      </c>
      <c r="T567" t="s">
        <v>2165</v>
      </c>
      <c r="U567" t="s">
        <v>137</v>
      </c>
      <c r="V567" t="s">
        <v>7094</v>
      </c>
      <c r="W567" s="9">
        <v>46174.553480752314</v>
      </c>
      <c r="X567" t="s">
        <v>7095</v>
      </c>
      <c r="AA567" t="s">
        <v>7096</v>
      </c>
      <c r="AB567" t="s">
        <v>2</v>
      </c>
      <c r="AC567" t="s">
        <v>24</v>
      </c>
      <c r="AD567" t="s">
        <v>7074</v>
      </c>
      <c r="AE567" s="97">
        <f>VLOOKUP(A:A,SUMMERY!AA:AC,2,FALSE)</f>
        <v>46198</v>
      </c>
      <c r="AF567" s="6" t="str">
        <f>VLOOKUP(A:A,SUMMERY!AA:AC,3,FALSE)</f>
        <v>Priority-1</v>
      </c>
    </row>
    <row r="568" spans="1:32" x14ac:dyDescent="0.3">
      <c r="A568" t="s">
        <v>7181</v>
      </c>
      <c r="B568" t="s">
        <v>7182</v>
      </c>
      <c r="G568" t="s">
        <v>7092</v>
      </c>
      <c r="H568" t="s">
        <v>132</v>
      </c>
      <c r="I568" t="s">
        <v>2</v>
      </c>
      <c r="J568" t="s">
        <v>133</v>
      </c>
      <c r="K568" t="s">
        <v>52</v>
      </c>
      <c r="L568" t="s">
        <v>7093</v>
      </c>
      <c r="M568" t="s">
        <v>134</v>
      </c>
      <c r="N568" t="s">
        <v>135</v>
      </c>
      <c r="Q568" t="s">
        <v>291</v>
      </c>
      <c r="T568" t="s">
        <v>2165</v>
      </c>
      <c r="U568" t="s">
        <v>137</v>
      </c>
      <c r="V568" t="s">
        <v>7094</v>
      </c>
      <c r="W568" s="9">
        <v>46174.552872488428</v>
      </c>
      <c r="X568" t="s">
        <v>7095</v>
      </c>
      <c r="AA568" t="s">
        <v>7096</v>
      </c>
      <c r="AB568" t="s">
        <v>2</v>
      </c>
      <c r="AC568" t="s">
        <v>24</v>
      </c>
      <c r="AD568" t="s">
        <v>7074</v>
      </c>
      <c r="AE568" s="97">
        <f>VLOOKUP(A:A,SUMMERY!AA:AC,2,FALSE)</f>
        <v>46198</v>
      </c>
      <c r="AF568" s="6" t="str">
        <f>VLOOKUP(A:A,SUMMERY!AA:AC,3,FALSE)</f>
        <v>Priority-1</v>
      </c>
    </row>
    <row r="569" spans="1:32" x14ac:dyDescent="0.3">
      <c r="A569" t="s">
        <v>7183</v>
      </c>
      <c r="B569" t="s">
        <v>7184</v>
      </c>
      <c r="G569" t="s">
        <v>7092</v>
      </c>
      <c r="H569" t="s">
        <v>132</v>
      </c>
      <c r="I569" t="s">
        <v>2</v>
      </c>
      <c r="J569" t="s">
        <v>133</v>
      </c>
      <c r="K569" t="s">
        <v>52</v>
      </c>
      <c r="L569" t="s">
        <v>7093</v>
      </c>
      <c r="M569" t="s">
        <v>134</v>
      </c>
      <c r="N569" t="s">
        <v>135</v>
      </c>
      <c r="Q569" t="s">
        <v>291</v>
      </c>
      <c r="T569" t="s">
        <v>2165</v>
      </c>
      <c r="U569" t="s">
        <v>137</v>
      </c>
      <c r="V569" t="s">
        <v>7094</v>
      </c>
      <c r="W569" s="9">
        <v>46177.740042361111</v>
      </c>
      <c r="X569" t="s">
        <v>7095</v>
      </c>
      <c r="AA569" t="s">
        <v>7096</v>
      </c>
      <c r="AB569" t="s">
        <v>2</v>
      </c>
      <c r="AC569" t="s">
        <v>24</v>
      </c>
      <c r="AD569" t="s">
        <v>7074</v>
      </c>
      <c r="AE569" s="97">
        <f>VLOOKUP(A:A,SUMMERY!AA:AC,2,FALSE)</f>
        <v>46198</v>
      </c>
      <c r="AF569" s="6" t="str">
        <f>VLOOKUP(A:A,SUMMERY!AA:AC,3,FALSE)</f>
        <v>Priority-1</v>
      </c>
    </row>
    <row r="570" spans="1:32" x14ac:dyDescent="0.3">
      <c r="A570" t="s">
        <v>7185</v>
      </c>
      <c r="B570" t="s">
        <v>7186</v>
      </c>
      <c r="G570" t="s">
        <v>7092</v>
      </c>
      <c r="H570" t="s">
        <v>132</v>
      </c>
      <c r="I570" t="s">
        <v>2</v>
      </c>
      <c r="J570" t="s">
        <v>133</v>
      </c>
      <c r="K570" t="s">
        <v>52</v>
      </c>
      <c r="L570" t="s">
        <v>7093</v>
      </c>
      <c r="M570" t="s">
        <v>134</v>
      </c>
      <c r="N570" t="s">
        <v>135</v>
      </c>
      <c r="Q570" t="s">
        <v>291</v>
      </c>
      <c r="T570" t="s">
        <v>2165</v>
      </c>
      <c r="U570" t="s">
        <v>137</v>
      </c>
      <c r="V570" t="s">
        <v>7094</v>
      </c>
      <c r="W570" s="9">
        <v>46172.50307619213</v>
      </c>
      <c r="X570" t="s">
        <v>7095</v>
      </c>
      <c r="AA570" t="s">
        <v>7096</v>
      </c>
      <c r="AB570" t="s">
        <v>2</v>
      </c>
      <c r="AC570" t="s">
        <v>24</v>
      </c>
      <c r="AD570" t="s">
        <v>7074</v>
      </c>
      <c r="AE570" s="97">
        <f>VLOOKUP(A:A,SUMMERY!AA:AC,2,FALSE)</f>
        <v>46198</v>
      </c>
      <c r="AF570" s="6" t="str">
        <f>VLOOKUP(A:A,SUMMERY!AA:AC,3,FALSE)</f>
        <v>Priority-1</v>
      </c>
    </row>
    <row r="571" spans="1:32" x14ac:dyDescent="0.3">
      <c r="A571" t="s">
        <v>7187</v>
      </c>
      <c r="B571" t="s">
        <v>7188</v>
      </c>
      <c r="G571" t="s">
        <v>7092</v>
      </c>
      <c r="H571" t="s">
        <v>132</v>
      </c>
      <c r="I571" t="s">
        <v>2</v>
      </c>
      <c r="J571" t="s">
        <v>133</v>
      </c>
      <c r="K571" t="s">
        <v>52</v>
      </c>
      <c r="L571" t="s">
        <v>7093</v>
      </c>
      <c r="M571" t="s">
        <v>134</v>
      </c>
      <c r="N571" t="s">
        <v>135</v>
      </c>
      <c r="Q571" t="s">
        <v>291</v>
      </c>
      <c r="T571" t="s">
        <v>2165</v>
      </c>
      <c r="U571" t="s">
        <v>137</v>
      </c>
      <c r="V571" t="s">
        <v>7094</v>
      </c>
      <c r="W571" s="9">
        <v>46174.551995914349</v>
      </c>
      <c r="X571" t="s">
        <v>7095</v>
      </c>
      <c r="AA571" t="s">
        <v>7096</v>
      </c>
      <c r="AB571" t="s">
        <v>2</v>
      </c>
      <c r="AC571" t="s">
        <v>24</v>
      </c>
      <c r="AD571" t="s">
        <v>7074</v>
      </c>
      <c r="AE571" s="97">
        <f>VLOOKUP(A:A,SUMMERY!AA:AC,2,FALSE)</f>
        <v>46198</v>
      </c>
      <c r="AF571" s="6" t="str">
        <f>VLOOKUP(A:A,SUMMERY!AA:AC,3,FALSE)</f>
        <v>Priority-1</v>
      </c>
    </row>
    <row r="572" spans="1:32" x14ac:dyDescent="0.3">
      <c r="A572" t="s">
        <v>7189</v>
      </c>
      <c r="B572" t="s">
        <v>7190</v>
      </c>
      <c r="G572" t="s">
        <v>7092</v>
      </c>
      <c r="H572" t="s">
        <v>132</v>
      </c>
      <c r="I572" t="s">
        <v>2</v>
      </c>
      <c r="J572" t="s">
        <v>133</v>
      </c>
      <c r="K572" t="s">
        <v>52</v>
      </c>
      <c r="L572" t="s">
        <v>7093</v>
      </c>
      <c r="M572" t="s">
        <v>134</v>
      </c>
      <c r="N572" t="s">
        <v>135</v>
      </c>
      <c r="Q572" t="s">
        <v>291</v>
      </c>
      <c r="T572" t="s">
        <v>2165</v>
      </c>
      <c r="U572" t="s">
        <v>137</v>
      </c>
      <c r="V572" t="s">
        <v>7094</v>
      </c>
      <c r="W572" s="9">
        <v>46177.740502546294</v>
      </c>
      <c r="X572" t="s">
        <v>7095</v>
      </c>
      <c r="AA572" t="s">
        <v>7096</v>
      </c>
      <c r="AB572" t="s">
        <v>2</v>
      </c>
      <c r="AC572" t="s">
        <v>24</v>
      </c>
      <c r="AD572" t="s">
        <v>7074</v>
      </c>
      <c r="AE572" s="97">
        <f>VLOOKUP(A:A,SUMMERY!AA:AC,2,FALSE)</f>
        <v>46198</v>
      </c>
      <c r="AF572" s="6" t="str">
        <f>VLOOKUP(A:A,SUMMERY!AA:AC,3,FALSE)</f>
        <v>Priority-1</v>
      </c>
    </row>
    <row r="573" spans="1:32" x14ac:dyDescent="0.3">
      <c r="A573" t="s">
        <v>7191</v>
      </c>
      <c r="B573" t="s">
        <v>7192</v>
      </c>
      <c r="G573" t="s">
        <v>7092</v>
      </c>
      <c r="H573" t="s">
        <v>132</v>
      </c>
      <c r="I573" t="s">
        <v>2</v>
      </c>
      <c r="J573" t="s">
        <v>133</v>
      </c>
      <c r="K573" t="s">
        <v>52</v>
      </c>
      <c r="L573" t="s">
        <v>7093</v>
      </c>
      <c r="M573" t="s">
        <v>134</v>
      </c>
      <c r="N573" t="s">
        <v>135</v>
      </c>
      <c r="Q573" t="s">
        <v>291</v>
      </c>
      <c r="T573" t="s">
        <v>2165</v>
      </c>
      <c r="U573" t="s">
        <v>137</v>
      </c>
      <c r="V573" t="s">
        <v>7094</v>
      </c>
      <c r="W573" s="9">
        <v>46177.741703206018</v>
      </c>
      <c r="X573" t="s">
        <v>7095</v>
      </c>
      <c r="AA573" t="s">
        <v>7096</v>
      </c>
      <c r="AB573" t="s">
        <v>2</v>
      </c>
      <c r="AC573" t="s">
        <v>24</v>
      </c>
      <c r="AD573" t="s">
        <v>7074</v>
      </c>
      <c r="AE573" s="97">
        <f>VLOOKUP(A:A,SUMMERY!AA:AC,2,FALSE)</f>
        <v>46198</v>
      </c>
      <c r="AF573" s="6" t="str">
        <f>VLOOKUP(A:A,SUMMERY!AA:AC,3,FALSE)</f>
        <v>Priority-1</v>
      </c>
    </row>
    <row r="574" spans="1:32" x14ac:dyDescent="0.3">
      <c r="A574" t="s">
        <v>7193</v>
      </c>
      <c r="B574" t="s">
        <v>7194</v>
      </c>
      <c r="G574" t="s">
        <v>7092</v>
      </c>
      <c r="H574" t="s">
        <v>132</v>
      </c>
      <c r="I574" t="s">
        <v>2</v>
      </c>
      <c r="J574" t="s">
        <v>133</v>
      </c>
      <c r="K574" t="s">
        <v>52</v>
      </c>
      <c r="L574" t="s">
        <v>7093</v>
      </c>
      <c r="M574" t="s">
        <v>134</v>
      </c>
      <c r="N574" t="s">
        <v>135</v>
      </c>
      <c r="Q574" t="s">
        <v>291</v>
      </c>
      <c r="T574" t="s">
        <v>2165</v>
      </c>
      <c r="U574" t="s">
        <v>137</v>
      </c>
      <c r="V574" t="s">
        <v>7094</v>
      </c>
      <c r="W574" s="9">
        <v>46174.550599224538</v>
      </c>
      <c r="X574" t="s">
        <v>7095</v>
      </c>
      <c r="AA574" t="s">
        <v>7096</v>
      </c>
      <c r="AB574" t="s">
        <v>2</v>
      </c>
      <c r="AC574" t="s">
        <v>24</v>
      </c>
      <c r="AD574" t="s">
        <v>7074</v>
      </c>
      <c r="AE574" s="97">
        <f>VLOOKUP(A:A,SUMMERY!AA:AC,2,FALSE)</f>
        <v>46198</v>
      </c>
      <c r="AF574" s="6" t="str">
        <f>VLOOKUP(A:A,SUMMERY!AA:AC,3,FALSE)</f>
        <v>Priority-1</v>
      </c>
    </row>
    <row r="575" spans="1:32" x14ac:dyDescent="0.3">
      <c r="A575" t="s">
        <v>7195</v>
      </c>
      <c r="B575" t="s">
        <v>7196</v>
      </c>
      <c r="G575" t="s">
        <v>7092</v>
      </c>
      <c r="H575" t="s">
        <v>132</v>
      </c>
      <c r="I575" t="s">
        <v>2</v>
      </c>
      <c r="J575" t="s">
        <v>133</v>
      </c>
      <c r="K575" t="s">
        <v>52</v>
      </c>
      <c r="L575" t="s">
        <v>7093</v>
      </c>
      <c r="M575" t="s">
        <v>134</v>
      </c>
      <c r="N575" t="s">
        <v>135</v>
      </c>
      <c r="Q575" t="s">
        <v>291</v>
      </c>
      <c r="T575" t="s">
        <v>2165</v>
      </c>
      <c r="U575" t="s">
        <v>137</v>
      </c>
      <c r="V575" t="s">
        <v>7094</v>
      </c>
      <c r="W575" s="9">
        <v>46174.550295983798</v>
      </c>
      <c r="X575" t="s">
        <v>7095</v>
      </c>
      <c r="AA575" t="s">
        <v>7096</v>
      </c>
      <c r="AB575" t="s">
        <v>2</v>
      </c>
      <c r="AC575" t="s">
        <v>24</v>
      </c>
      <c r="AD575" t="s">
        <v>7074</v>
      </c>
      <c r="AE575" s="97">
        <f>VLOOKUP(A:A,SUMMERY!AA:AC,2,FALSE)</f>
        <v>46198</v>
      </c>
      <c r="AF575" s="6" t="str">
        <f>VLOOKUP(A:A,SUMMERY!AA:AC,3,FALSE)</f>
        <v>Priority-1</v>
      </c>
    </row>
    <row r="576" spans="1:32" x14ac:dyDescent="0.3">
      <c r="A576" t="s">
        <v>7197</v>
      </c>
      <c r="B576" t="s">
        <v>7198</v>
      </c>
      <c r="G576" t="s">
        <v>7092</v>
      </c>
      <c r="H576" t="s">
        <v>132</v>
      </c>
      <c r="I576" t="s">
        <v>2</v>
      </c>
      <c r="J576" t="s">
        <v>133</v>
      </c>
      <c r="K576" t="s">
        <v>52</v>
      </c>
      <c r="L576" t="s">
        <v>7093</v>
      </c>
      <c r="M576" t="s">
        <v>134</v>
      </c>
      <c r="N576" t="s">
        <v>135</v>
      </c>
      <c r="Q576" t="s">
        <v>291</v>
      </c>
      <c r="T576" t="s">
        <v>2165</v>
      </c>
      <c r="U576" t="s">
        <v>137</v>
      </c>
      <c r="V576" t="s">
        <v>7094</v>
      </c>
      <c r="W576" s="9">
        <v>46174.549847071758</v>
      </c>
      <c r="X576" t="s">
        <v>7095</v>
      </c>
      <c r="AA576" t="s">
        <v>7096</v>
      </c>
      <c r="AB576" t="s">
        <v>2</v>
      </c>
      <c r="AC576" t="s">
        <v>24</v>
      </c>
      <c r="AD576" t="s">
        <v>7074</v>
      </c>
      <c r="AE576" s="97">
        <f>VLOOKUP(A:A,SUMMERY!AA:AC,2,FALSE)</f>
        <v>46198</v>
      </c>
      <c r="AF576" s="6" t="str">
        <f>VLOOKUP(A:A,SUMMERY!AA:AC,3,FALSE)</f>
        <v>Priority-1</v>
      </c>
    </row>
    <row r="577" spans="1:32" x14ac:dyDescent="0.3">
      <c r="A577" t="s">
        <v>7199</v>
      </c>
      <c r="B577" t="s">
        <v>7200</v>
      </c>
      <c r="G577" t="s">
        <v>7092</v>
      </c>
      <c r="H577" t="s">
        <v>132</v>
      </c>
      <c r="I577" t="s">
        <v>2</v>
      </c>
      <c r="J577" t="s">
        <v>133</v>
      </c>
      <c r="K577" t="s">
        <v>52</v>
      </c>
      <c r="L577" t="s">
        <v>7093</v>
      </c>
      <c r="M577" t="s">
        <v>134</v>
      </c>
      <c r="N577" t="s">
        <v>135</v>
      </c>
      <c r="Q577" t="s">
        <v>291</v>
      </c>
      <c r="T577" t="s">
        <v>2165</v>
      </c>
      <c r="U577" t="s">
        <v>137</v>
      </c>
      <c r="V577" t="s">
        <v>7094</v>
      </c>
      <c r="W577" s="9">
        <v>46185.338261608798</v>
      </c>
      <c r="X577" t="s">
        <v>7095</v>
      </c>
      <c r="AA577" t="s">
        <v>7096</v>
      </c>
      <c r="AB577" t="s">
        <v>2</v>
      </c>
      <c r="AC577" t="s">
        <v>24</v>
      </c>
      <c r="AD577" t="s">
        <v>7074</v>
      </c>
      <c r="AE577" s="97">
        <f>VLOOKUP(A:A,SUMMERY!AA:AC,2,FALSE)</f>
        <v>46198</v>
      </c>
      <c r="AF577" s="6" t="str">
        <f>VLOOKUP(A:A,SUMMERY!AA:AC,3,FALSE)</f>
        <v>Priority-1</v>
      </c>
    </row>
    <row r="578" spans="1:32" x14ac:dyDescent="0.3">
      <c r="A578" t="s">
        <v>7201</v>
      </c>
      <c r="B578" t="s">
        <v>7202</v>
      </c>
      <c r="G578" t="s">
        <v>7092</v>
      </c>
      <c r="H578" t="s">
        <v>132</v>
      </c>
      <c r="I578" t="s">
        <v>2</v>
      </c>
      <c r="J578" t="s">
        <v>133</v>
      </c>
      <c r="K578" t="s">
        <v>52</v>
      </c>
      <c r="L578" t="s">
        <v>7093</v>
      </c>
      <c r="M578" t="s">
        <v>134</v>
      </c>
      <c r="N578" t="s">
        <v>135</v>
      </c>
      <c r="Q578" t="s">
        <v>291</v>
      </c>
      <c r="T578" t="s">
        <v>2165</v>
      </c>
      <c r="U578" t="s">
        <v>137</v>
      </c>
      <c r="V578" t="s">
        <v>7094</v>
      </c>
      <c r="W578" s="9">
        <v>46174.548848923609</v>
      </c>
      <c r="X578" t="s">
        <v>7095</v>
      </c>
      <c r="AA578" t="s">
        <v>7096</v>
      </c>
      <c r="AB578" t="s">
        <v>2</v>
      </c>
      <c r="AC578" t="s">
        <v>24</v>
      </c>
      <c r="AD578" t="s">
        <v>7074</v>
      </c>
      <c r="AE578" s="97">
        <f>VLOOKUP(A:A,SUMMERY!AA:AC,2,FALSE)</f>
        <v>46198</v>
      </c>
      <c r="AF578" s="6" t="str">
        <f>VLOOKUP(A:A,SUMMERY!AA:AC,3,FALSE)</f>
        <v>Priority-1</v>
      </c>
    </row>
    <row r="579" spans="1:32" x14ac:dyDescent="0.3">
      <c r="A579" t="s">
        <v>7203</v>
      </c>
      <c r="B579" t="s">
        <v>7204</v>
      </c>
      <c r="G579" t="s">
        <v>7092</v>
      </c>
      <c r="H579" t="s">
        <v>132</v>
      </c>
      <c r="I579" t="s">
        <v>2</v>
      </c>
      <c r="J579" t="s">
        <v>133</v>
      </c>
      <c r="K579" t="s">
        <v>52</v>
      </c>
      <c r="L579" t="s">
        <v>7093</v>
      </c>
      <c r="M579" t="s">
        <v>134</v>
      </c>
      <c r="N579" t="s">
        <v>135</v>
      </c>
      <c r="Q579" t="s">
        <v>291</v>
      </c>
      <c r="T579" t="s">
        <v>2165</v>
      </c>
      <c r="U579" t="s">
        <v>137</v>
      </c>
      <c r="V579" t="s">
        <v>7094</v>
      </c>
      <c r="W579" s="9">
        <v>46185.338591319443</v>
      </c>
      <c r="X579" t="s">
        <v>7095</v>
      </c>
      <c r="AA579" t="s">
        <v>7096</v>
      </c>
      <c r="AB579" t="s">
        <v>2</v>
      </c>
      <c r="AC579" t="s">
        <v>24</v>
      </c>
      <c r="AD579" t="s">
        <v>7074</v>
      </c>
      <c r="AE579" s="97">
        <f>VLOOKUP(A:A,SUMMERY!AA:AC,2,FALSE)</f>
        <v>46198</v>
      </c>
      <c r="AF579" s="6" t="str">
        <f>VLOOKUP(A:A,SUMMERY!AA:AC,3,FALSE)</f>
        <v>Priority-1</v>
      </c>
    </row>
    <row r="580" spans="1:32" x14ac:dyDescent="0.3">
      <c r="A580" t="s">
        <v>7205</v>
      </c>
      <c r="B580" t="s">
        <v>7206</v>
      </c>
      <c r="G580" t="s">
        <v>7092</v>
      </c>
      <c r="H580" t="s">
        <v>132</v>
      </c>
      <c r="I580" t="s">
        <v>2</v>
      </c>
      <c r="J580" t="s">
        <v>133</v>
      </c>
      <c r="K580" t="s">
        <v>52</v>
      </c>
      <c r="L580" t="s">
        <v>7093</v>
      </c>
      <c r="M580" t="s">
        <v>134</v>
      </c>
      <c r="N580" t="s">
        <v>135</v>
      </c>
      <c r="Q580" t="s">
        <v>291</v>
      </c>
      <c r="T580" t="s">
        <v>2165</v>
      </c>
      <c r="U580" t="s">
        <v>137</v>
      </c>
      <c r="V580" t="s">
        <v>7094</v>
      </c>
      <c r="W580" s="9">
        <v>46185.338970370372</v>
      </c>
      <c r="X580" t="s">
        <v>7095</v>
      </c>
      <c r="AA580" t="s">
        <v>7096</v>
      </c>
      <c r="AB580" t="s">
        <v>2</v>
      </c>
      <c r="AC580" t="s">
        <v>24</v>
      </c>
      <c r="AD580" t="s">
        <v>7074</v>
      </c>
      <c r="AE580" s="97">
        <f>VLOOKUP(A:A,SUMMERY!AA:AC,2,FALSE)</f>
        <v>46198</v>
      </c>
      <c r="AF580" s="6" t="str">
        <f>VLOOKUP(A:A,SUMMERY!AA:AC,3,FALSE)</f>
        <v>Priority-1</v>
      </c>
    </row>
    <row r="581" spans="1:32" x14ac:dyDescent="0.3">
      <c r="A581" t="s">
        <v>7207</v>
      </c>
      <c r="B581" t="s">
        <v>7208</v>
      </c>
      <c r="G581" t="s">
        <v>7092</v>
      </c>
      <c r="H581" t="s">
        <v>132</v>
      </c>
      <c r="I581" t="s">
        <v>2</v>
      </c>
      <c r="J581" t="s">
        <v>133</v>
      </c>
      <c r="K581" t="s">
        <v>52</v>
      </c>
      <c r="L581" t="s">
        <v>7093</v>
      </c>
      <c r="M581" t="s">
        <v>134</v>
      </c>
      <c r="N581" t="s">
        <v>135</v>
      </c>
      <c r="Q581" t="s">
        <v>291</v>
      </c>
      <c r="T581" t="s">
        <v>2165</v>
      </c>
      <c r="U581" t="s">
        <v>137</v>
      </c>
      <c r="V581" t="s">
        <v>7094</v>
      </c>
      <c r="W581" s="9">
        <v>46192.211569479165</v>
      </c>
      <c r="X581" t="s">
        <v>7095</v>
      </c>
      <c r="AA581" t="s">
        <v>7096</v>
      </c>
      <c r="AB581" t="s">
        <v>2</v>
      </c>
      <c r="AC581" t="s">
        <v>24</v>
      </c>
      <c r="AD581" t="s">
        <v>7074</v>
      </c>
      <c r="AE581" s="97">
        <f>VLOOKUP(A:A,SUMMERY!AA:AC,2,FALSE)</f>
        <v>46198</v>
      </c>
      <c r="AF581" s="6" t="str">
        <f>VLOOKUP(A:A,SUMMERY!AA:AC,3,FALSE)</f>
        <v>Priority-1</v>
      </c>
    </row>
    <row r="582" spans="1:32" x14ac:dyDescent="0.3">
      <c r="A582" t="s">
        <v>7209</v>
      </c>
      <c r="B582" t="s">
        <v>7210</v>
      </c>
      <c r="G582" t="s">
        <v>7092</v>
      </c>
      <c r="H582" t="s">
        <v>132</v>
      </c>
      <c r="I582" t="s">
        <v>2</v>
      </c>
      <c r="J582" t="s">
        <v>133</v>
      </c>
      <c r="K582" t="s">
        <v>52</v>
      </c>
      <c r="L582" t="s">
        <v>7093</v>
      </c>
      <c r="M582" t="s">
        <v>134</v>
      </c>
      <c r="N582" t="s">
        <v>135</v>
      </c>
      <c r="Q582" t="s">
        <v>291</v>
      </c>
      <c r="T582" t="s">
        <v>2165</v>
      </c>
      <c r="U582" t="s">
        <v>137</v>
      </c>
      <c r="V582" t="s">
        <v>7094</v>
      </c>
      <c r="W582" s="9">
        <v>46174.548153506941</v>
      </c>
      <c r="X582" t="s">
        <v>7095</v>
      </c>
      <c r="AA582" t="s">
        <v>7096</v>
      </c>
      <c r="AB582" t="s">
        <v>2</v>
      </c>
      <c r="AC582" t="s">
        <v>24</v>
      </c>
      <c r="AD582" t="s">
        <v>7074</v>
      </c>
      <c r="AE582" s="97">
        <f>VLOOKUP(A:A,SUMMERY!AA:AC,2,FALSE)</f>
        <v>46198</v>
      </c>
      <c r="AF582" s="6" t="str">
        <f>VLOOKUP(A:A,SUMMERY!AA:AC,3,FALSE)</f>
        <v>Priority-1</v>
      </c>
    </row>
    <row r="583" spans="1:32" x14ac:dyDescent="0.3">
      <c r="A583" t="s">
        <v>7211</v>
      </c>
      <c r="B583" t="s">
        <v>7212</v>
      </c>
      <c r="G583" t="s">
        <v>7092</v>
      </c>
      <c r="H583" t="s">
        <v>132</v>
      </c>
      <c r="I583" t="s">
        <v>2</v>
      </c>
      <c r="J583" t="s">
        <v>133</v>
      </c>
      <c r="K583" t="s">
        <v>52</v>
      </c>
      <c r="L583" t="s">
        <v>7093</v>
      </c>
      <c r="M583" t="s">
        <v>134</v>
      </c>
      <c r="N583" t="s">
        <v>135</v>
      </c>
      <c r="Q583" t="s">
        <v>291</v>
      </c>
      <c r="T583" t="s">
        <v>2165</v>
      </c>
      <c r="U583" t="s">
        <v>137</v>
      </c>
      <c r="V583" t="s">
        <v>7094</v>
      </c>
      <c r="W583" s="9">
        <v>46185.339347650464</v>
      </c>
      <c r="X583" t="s">
        <v>7095</v>
      </c>
      <c r="AA583" t="s">
        <v>7096</v>
      </c>
      <c r="AB583" t="s">
        <v>2</v>
      </c>
      <c r="AC583" t="s">
        <v>24</v>
      </c>
      <c r="AD583" t="s">
        <v>7074</v>
      </c>
      <c r="AE583" s="97">
        <f>VLOOKUP(A:A,SUMMERY!AA:AC,2,FALSE)</f>
        <v>46198</v>
      </c>
      <c r="AF583" s="6" t="str">
        <f>VLOOKUP(A:A,SUMMERY!AA:AC,3,FALSE)</f>
        <v>Priority-1</v>
      </c>
    </row>
    <row r="584" spans="1:32" x14ac:dyDescent="0.3">
      <c r="A584" t="s">
        <v>7213</v>
      </c>
      <c r="B584" t="s">
        <v>7214</v>
      </c>
      <c r="G584" t="s">
        <v>7092</v>
      </c>
      <c r="H584" t="s">
        <v>132</v>
      </c>
      <c r="I584" t="s">
        <v>2</v>
      </c>
      <c r="J584" t="s">
        <v>133</v>
      </c>
      <c r="K584" t="s">
        <v>52</v>
      </c>
      <c r="L584" t="s">
        <v>7093</v>
      </c>
      <c r="M584" t="s">
        <v>134</v>
      </c>
      <c r="N584" t="s">
        <v>135</v>
      </c>
      <c r="Q584" t="s">
        <v>291</v>
      </c>
      <c r="T584" t="s">
        <v>2165</v>
      </c>
      <c r="U584" t="s">
        <v>137</v>
      </c>
      <c r="V584" t="s">
        <v>7094</v>
      </c>
      <c r="W584" s="9">
        <v>46185.33970459491</v>
      </c>
      <c r="X584" t="s">
        <v>7095</v>
      </c>
      <c r="AA584" t="s">
        <v>7096</v>
      </c>
      <c r="AB584" t="s">
        <v>2</v>
      </c>
      <c r="AC584" t="s">
        <v>24</v>
      </c>
      <c r="AD584" t="s">
        <v>7074</v>
      </c>
      <c r="AE584" s="97">
        <f>VLOOKUP(A:A,SUMMERY!AA:AC,2,FALSE)</f>
        <v>46198</v>
      </c>
      <c r="AF584" s="6" t="str">
        <f>VLOOKUP(A:A,SUMMERY!AA:AC,3,FALSE)</f>
        <v>Priority-1</v>
      </c>
    </row>
    <row r="585" spans="1:32" x14ac:dyDescent="0.3">
      <c r="A585" t="s">
        <v>7215</v>
      </c>
      <c r="B585" t="s">
        <v>7216</v>
      </c>
      <c r="G585" t="s">
        <v>7092</v>
      </c>
      <c r="H585" t="s">
        <v>132</v>
      </c>
      <c r="I585" t="s">
        <v>2</v>
      </c>
      <c r="J585" t="s">
        <v>133</v>
      </c>
      <c r="K585" t="s">
        <v>52</v>
      </c>
      <c r="L585" t="s">
        <v>7093</v>
      </c>
      <c r="M585" t="s">
        <v>134</v>
      </c>
      <c r="N585" t="s">
        <v>135</v>
      </c>
      <c r="Q585" t="s">
        <v>291</v>
      </c>
      <c r="T585" t="s">
        <v>2165</v>
      </c>
      <c r="U585" t="s">
        <v>137</v>
      </c>
      <c r="V585" t="s">
        <v>7094</v>
      </c>
      <c r="W585" s="9">
        <v>46192.211956562503</v>
      </c>
      <c r="X585" t="s">
        <v>7095</v>
      </c>
      <c r="AA585" t="s">
        <v>7096</v>
      </c>
      <c r="AB585" t="s">
        <v>2</v>
      </c>
      <c r="AC585" t="s">
        <v>24</v>
      </c>
      <c r="AD585" t="s">
        <v>7074</v>
      </c>
      <c r="AE585" s="97">
        <f>VLOOKUP(A:A,SUMMERY!AA:AC,2,FALSE)</f>
        <v>46198</v>
      </c>
      <c r="AF585" s="6" t="str">
        <f>VLOOKUP(A:A,SUMMERY!AA:AC,3,FALSE)</f>
        <v>Priority-1</v>
      </c>
    </row>
    <row r="586" spans="1:32" x14ac:dyDescent="0.3">
      <c r="A586" t="s">
        <v>7217</v>
      </c>
      <c r="B586" t="s">
        <v>7218</v>
      </c>
      <c r="G586" t="s">
        <v>7092</v>
      </c>
      <c r="H586" t="s">
        <v>132</v>
      </c>
      <c r="I586" t="s">
        <v>2</v>
      </c>
      <c r="J586" t="s">
        <v>133</v>
      </c>
      <c r="K586" t="s">
        <v>52</v>
      </c>
      <c r="L586" t="s">
        <v>7093</v>
      </c>
      <c r="M586" t="s">
        <v>134</v>
      </c>
      <c r="N586" t="s">
        <v>135</v>
      </c>
      <c r="Q586" t="s">
        <v>291</v>
      </c>
      <c r="T586" t="s">
        <v>2165</v>
      </c>
      <c r="U586" t="s">
        <v>137</v>
      </c>
      <c r="V586" t="s">
        <v>7094</v>
      </c>
      <c r="W586" s="9">
        <v>46174.557526770834</v>
      </c>
      <c r="X586" t="s">
        <v>7095</v>
      </c>
      <c r="AA586" t="s">
        <v>7096</v>
      </c>
      <c r="AB586" t="s">
        <v>2</v>
      </c>
      <c r="AC586" t="s">
        <v>24</v>
      </c>
      <c r="AD586" t="s">
        <v>7074</v>
      </c>
      <c r="AE586" s="97">
        <f>VLOOKUP(A:A,SUMMERY!AA:AC,2,FALSE)</f>
        <v>46198</v>
      </c>
      <c r="AF586" s="6" t="str">
        <f>VLOOKUP(A:A,SUMMERY!AA:AC,3,FALSE)</f>
        <v>Priority-1</v>
      </c>
    </row>
    <row r="587" spans="1:32" x14ac:dyDescent="0.3">
      <c r="A587" t="s">
        <v>7219</v>
      </c>
      <c r="B587" t="s">
        <v>7220</v>
      </c>
      <c r="G587" t="s">
        <v>7092</v>
      </c>
      <c r="H587" t="s">
        <v>132</v>
      </c>
      <c r="I587" t="s">
        <v>2</v>
      </c>
      <c r="J587" t="s">
        <v>133</v>
      </c>
      <c r="K587" t="s">
        <v>52</v>
      </c>
      <c r="L587" t="s">
        <v>7093</v>
      </c>
      <c r="M587" t="s">
        <v>134</v>
      </c>
      <c r="N587" t="s">
        <v>135</v>
      </c>
      <c r="Q587" t="s">
        <v>291</v>
      </c>
      <c r="T587" t="s">
        <v>2165</v>
      </c>
      <c r="U587" t="s">
        <v>137</v>
      </c>
      <c r="V587" t="s">
        <v>7094</v>
      </c>
      <c r="W587" s="9">
        <v>46185.340118900465</v>
      </c>
      <c r="X587" t="s">
        <v>7095</v>
      </c>
      <c r="AA587" t="s">
        <v>7096</v>
      </c>
      <c r="AB587" t="s">
        <v>2</v>
      </c>
      <c r="AC587" t="s">
        <v>24</v>
      </c>
      <c r="AD587" t="s">
        <v>7074</v>
      </c>
      <c r="AE587" s="97">
        <f>VLOOKUP(A:A,SUMMERY!AA:AC,2,FALSE)</f>
        <v>46198</v>
      </c>
      <c r="AF587" s="6" t="str">
        <f>VLOOKUP(A:A,SUMMERY!AA:AC,3,FALSE)</f>
        <v>Priority-1</v>
      </c>
    </row>
    <row r="588" spans="1:32" x14ac:dyDescent="0.3">
      <c r="A588" t="s">
        <v>7221</v>
      </c>
      <c r="B588" t="s">
        <v>7222</v>
      </c>
      <c r="G588" t="s">
        <v>7092</v>
      </c>
      <c r="H588" t="s">
        <v>132</v>
      </c>
      <c r="I588" t="s">
        <v>2</v>
      </c>
      <c r="J588" t="s">
        <v>133</v>
      </c>
      <c r="K588" t="s">
        <v>52</v>
      </c>
      <c r="L588" t="s">
        <v>7093</v>
      </c>
      <c r="M588" t="s">
        <v>134</v>
      </c>
      <c r="N588" t="s">
        <v>135</v>
      </c>
      <c r="Q588" t="s">
        <v>291</v>
      </c>
      <c r="T588" t="s">
        <v>2165</v>
      </c>
      <c r="U588" t="s">
        <v>137</v>
      </c>
      <c r="V588" t="s">
        <v>7094</v>
      </c>
      <c r="W588" s="9">
        <v>46177.74213283565</v>
      </c>
      <c r="X588" t="s">
        <v>7095</v>
      </c>
      <c r="AA588" t="s">
        <v>7096</v>
      </c>
      <c r="AB588" t="s">
        <v>2</v>
      </c>
      <c r="AC588" t="s">
        <v>24</v>
      </c>
      <c r="AD588" t="s">
        <v>7074</v>
      </c>
      <c r="AE588" s="97">
        <f>VLOOKUP(A:A,SUMMERY!AA:AC,2,FALSE)</f>
        <v>46198</v>
      </c>
      <c r="AF588" s="6" t="str">
        <f>VLOOKUP(A:A,SUMMERY!AA:AC,3,FALSE)</f>
        <v>Priority-1</v>
      </c>
    </row>
    <row r="589" spans="1:32" x14ac:dyDescent="0.3">
      <c r="A589" t="s">
        <v>3609</v>
      </c>
      <c r="B589" t="s">
        <v>3610</v>
      </c>
      <c r="G589" t="s">
        <v>3604</v>
      </c>
      <c r="H589" t="s">
        <v>132</v>
      </c>
      <c r="I589" t="s">
        <v>2</v>
      </c>
      <c r="J589" t="s">
        <v>133</v>
      </c>
      <c r="K589" t="s">
        <v>52</v>
      </c>
      <c r="L589" t="s">
        <v>3611</v>
      </c>
      <c r="M589" t="s">
        <v>134</v>
      </c>
      <c r="N589" t="s">
        <v>135</v>
      </c>
      <c r="Q589" t="s">
        <v>291</v>
      </c>
      <c r="T589" t="s">
        <v>2155</v>
      </c>
      <c r="U589" t="s">
        <v>137</v>
      </c>
      <c r="V589" t="s">
        <v>358</v>
      </c>
      <c r="X589" t="s">
        <v>124</v>
      </c>
      <c r="AA589" t="s">
        <v>3606</v>
      </c>
      <c r="AB589" t="s">
        <v>2</v>
      </c>
      <c r="AC589" t="s">
        <v>138</v>
      </c>
      <c r="AD589" t="s">
        <v>130</v>
      </c>
      <c r="AE589" s="97">
        <f>VLOOKUP(A:A,SUMMERY!AA:AC,2,FALSE)</f>
        <v>46234</v>
      </c>
      <c r="AF589" s="6" t="str">
        <f>VLOOKUP(A:A,SUMMERY!AA:AC,3,FALSE)</f>
        <v>Priority-1</v>
      </c>
    </row>
    <row r="590" spans="1:32" x14ac:dyDescent="0.3">
      <c r="A590" t="s">
        <v>3612</v>
      </c>
      <c r="B590" t="s">
        <v>3613</v>
      </c>
      <c r="G590" t="s">
        <v>3604</v>
      </c>
      <c r="H590" t="s">
        <v>132</v>
      </c>
      <c r="I590" t="s">
        <v>2</v>
      </c>
      <c r="J590" t="s">
        <v>133</v>
      </c>
      <c r="K590" t="s">
        <v>52</v>
      </c>
      <c r="L590" t="s">
        <v>3614</v>
      </c>
      <c r="M590" t="s">
        <v>134</v>
      </c>
      <c r="N590" t="s">
        <v>135</v>
      </c>
      <c r="Q590" t="s">
        <v>291</v>
      </c>
      <c r="U590" t="s">
        <v>137</v>
      </c>
      <c r="V590" t="s">
        <v>147</v>
      </c>
      <c r="X590" t="s">
        <v>70</v>
      </c>
      <c r="AA590" t="s">
        <v>3606</v>
      </c>
      <c r="AB590" t="s">
        <v>2</v>
      </c>
      <c r="AC590" t="s">
        <v>138</v>
      </c>
      <c r="AD590" t="s">
        <v>128</v>
      </c>
      <c r="AE590" s="97">
        <f>VLOOKUP(A:A,SUMMERY!AA:AC,2,FALSE)</f>
        <v>46220</v>
      </c>
      <c r="AF590" s="6" t="str">
        <f>VLOOKUP(A:A,SUMMERY!AA:AC,3,FALSE)</f>
        <v>Priority-1</v>
      </c>
    </row>
    <row r="591" spans="1:32" x14ac:dyDescent="0.3">
      <c r="A591" t="s">
        <v>3615</v>
      </c>
      <c r="B591" t="s">
        <v>3616</v>
      </c>
      <c r="G591" t="s">
        <v>3604</v>
      </c>
      <c r="H591" t="s">
        <v>132</v>
      </c>
      <c r="I591" t="s">
        <v>2</v>
      </c>
      <c r="J591" t="s">
        <v>133</v>
      </c>
      <c r="K591" t="s">
        <v>52</v>
      </c>
      <c r="L591" t="s">
        <v>3614</v>
      </c>
      <c r="M591" t="s">
        <v>134</v>
      </c>
      <c r="N591" t="s">
        <v>135</v>
      </c>
      <c r="Q591" t="s">
        <v>291</v>
      </c>
      <c r="U591" t="s">
        <v>137</v>
      </c>
      <c r="V591" t="s">
        <v>156</v>
      </c>
      <c r="X591" t="s">
        <v>97</v>
      </c>
      <c r="AA591" t="s">
        <v>3606</v>
      </c>
      <c r="AB591" t="s">
        <v>2</v>
      </c>
      <c r="AC591" t="s">
        <v>138</v>
      </c>
      <c r="AD591" t="s">
        <v>129</v>
      </c>
      <c r="AE591" s="97">
        <f>VLOOKUP(A:A,SUMMERY!AA:AC,2,FALSE)</f>
        <v>46233</v>
      </c>
      <c r="AF591" s="6" t="str">
        <f>VLOOKUP(A:A,SUMMERY!AA:AC,3,FALSE)</f>
        <v>Priority-1</v>
      </c>
    </row>
    <row r="592" spans="1:32" x14ac:dyDescent="0.3">
      <c r="A592" t="s">
        <v>3617</v>
      </c>
      <c r="B592" t="s">
        <v>3618</v>
      </c>
      <c r="G592" t="s">
        <v>3604</v>
      </c>
      <c r="H592" t="s">
        <v>132</v>
      </c>
      <c r="I592" t="s">
        <v>2</v>
      </c>
      <c r="J592" t="s">
        <v>133</v>
      </c>
      <c r="K592" t="s">
        <v>52</v>
      </c>
      <c r="L592" t="s">
        <v>3614</v>
      </c>
      <c r="M592" t="s">
        <v>134</v>
      </c>
      <c r="N592" t="s">
        <v>135</v>
      </c>
      <c r="Q592" t="s">
        <v>291</v>
      </c>
      <c r="U592" t="s">
        <v>137</v>
      </c>
      <c r="V592" t="s">
        <v>162</v>
      </c>
      <c r="X592" t="s">
        <v>113</v>
      </c>
      <c r="AA592" t="s">
        <v>3606</v>
      </c>
      <c r="AB592" t="s">
        <v>2</v>
      </c>
      <c r="AC592" t="s">
        <v>138</v>
      </c>
      <c r="AD592" t="s">
        <v>129</v>
      </c>
      <c r="AE592" s="97">
        <f>VLOOKUP(A:A,SUMMERY!AA:AC,2,FALSE)</f>
        <v>46234</v>
      </c>
      <c r="AF592" s="6" t="str">
        <f>VLOOKUP(A:A,SUMMERY!AA:AC,3,FALSE)</f>
        <v>Priority-1</v>
      </c>
    </row>
    <row r="593" spans="1:32" x14ac:dyDescent="0.3">
      <c r="A593" t="s">
        <v>6770</v>
      </c>
      <c r="B593" t="s">
        <v>6771</v>
      </c>
      <c r="G593" t="s">
        <v>3604</v>
      </c>
      <c r="H593" t="s">
        <v>132</v>
      </c>
      <c r="I593" t="s">
        <v>2</v>
      </c>
      <c r="J593" t="s">
        <v>133</v>
      </c>
      <c r="K593" t="s">
        <v>52</v>
      </c>
      <c r="L593" t="s">
        <v>6772</v>
      </c>
      <c r="M593" t="s">
        <v>134</v>
      </c>
      <c r="N593" t="s">
        <v>135</v>
      </c>
      <c r="Q593" t="s">
        <v>291</v>
      </c>
      <c r="S593" t="s">
        <v>291</v>
      </c>
      <c r="U593" t="s">
        <v>137</v>
      </c>
      <c r="V593" t="s">
        <v>352</v>
      </c>
      <c r="X593" t="s">
        <v>56</v>
      </c>
      <c r="AA593" t="s">
        <v>3606</v>
      </c>
      <c r="AB593" t="s">
        <v>2</v>
      </c>
      <c r="AC593" t="s">
        <v>138</v>
      </c>
      <c r="AD593" t="s">
        <v>128</v>
      </c>
      <c r="AE593" s="97">
        <f>VLOOKUP(A:A,SUMMERY!AA:AC,2,FALSE)</f>
        <v>46233</v>
      </c>
      <c r="AF593" s="6" t="str">
        <f>VLOOKUP(A:A,SUMMERY!AA:AC,3,FALSE)</f>
        <v>Priority-1</v>
      </c>
    </row>
    <row r="594" spans="1:32" x14ac:dyDescent="0.3">
      <c r="A594" t="s">
        <v>3620</v>
      </c>
      <c r="B594" t="s">
        <v>1886</v>
      </c>
      <c r="G594" t="s">
        <v>3619</v>
      </c>
      <c r="H594" t="s">
        <v>132</v>
      </c>
      <c r="I594" t="s">
        <v>2</v>
      </c>
      <c r="J594" t="s">
        <v>133</v>
      </c>
      <c r="K594" t="s">
        <v>52</v>
      </c>
      <c r="L594" t="s">
        <v>1887</v>
      </c>
      <c r="M594" t="s">
        <v>134</v>
      </c>
      <c r="N594" t="s">
        <v>135</v>
      </c>
      <c r="Q594" t="s">
        <v>140</v>
      </c>
      <c r="T594" t="s">
        <v>1888</v>
      </c>
      <c r="U594" t="s">
        <v>137</v>
      </c>
      <c r="V594" t="s">
        <v>147</v>
      </c>
      <c r="X594" t="s">
        <v>70</v>
      </c>
      <c r="AA594" t="s">
        <v>1884</v>
      </c>
      <c r="AB594" t="s">
        <v>3</v>
      </c>
      <c r="AC594" t="s">
        <v>138</v>
      </c>
      <c r="AD594" t="s">
        <v>128</v>
      </c>
      <c r="AE594" s="97">
        <f>VLOOKUP(A:A,SUMMERY!AA:AC,2,FALSE)</f>
        <v>46220</v>
      </c>
      <c r="AF594" s="6" t="str">
        <f>VLOOKUP(A:A,SUMMERY!AA:AC,3,FALSE)</f>
        <v>Priority-1</v>
      </c>
    </row>
    <row r="595" spans="1:32" x14ac:dyDescent="0.3">
      <c r="A595" t="s">
        <v>3621</v>
      </c>
      <c r="B595" t="s">
        <v>1890</v>
      </c>
      <c r="G595" t="s">
        <v>3619</v>
      </c>
      <c r="H595" t="s">
        <v>132</v>
      </c>
      <c r="I595" t="s">
        <v>2</v>
      </c>
      <c r="J595" t="s">
        <v>133</v>
      </c>
      <c r="K595" t="s">
        <v>52</v>
      </c>
      <c r="L595" t="s">
        <v>1891</v>
      </c>
      <c r="M595" t="s">
        <v>134</v>
      </c>
      <c r="N595" t="s">
        <v>135</v>
      </c>
      <c r="Q595" t="s">
        <v>140</v>
      </c>
      <c r="T595" t="s">
        <v>1892</v>
      </c>
      <c r="U595" t="s">
        <v>137</v>
      </c>
      <c r="V595" t="s">
        <v>150</v>
      </c>
      <c r="X595" t="s">
        <v>76</v>
      </c>
      <c r="AA595" t="s">
        <v>1884</v>
      </c>
      <c r="AB595" t="s">
        <v>3</v>
      </c>
      <c r="AC595" t="s">
        <v>138</v>
      </c>
      <c r="AD595" t="s">
        <v>128</v>
      </c>
      <c r="AE595" s="97">
        <f>VLOOKUP(A:A,SUMMERY!AA:AC,2,FALSE)</f>
        <v>46233</v>
      </c>
      <c r="AF595" s="6" t="str">
        <f>VLOOKUP(A:A,SUMMERY!AA:AC,3,FALSE)</f>
        <v>Priority-1</v>
      </c>
    </row>
    <row r="596" spans="1:32" x14ac:dyDescent="0.3">
      <c r="A596" t="s">
        <v>3627</v>
      </c>
      <c r="B596" t="s">
        <v>1914</v>
      </c>
      <c r="G596" t="s">
        <v>3619</v>
      </c>
      <c r="H596" t="s">
        <v>132</v>
      </c>
      <c r="I596" t="s">
        <v>2</v>
      </c>
      <c r="J596" t="s">
        <v>133</v>
      </c>
      <c r="K596" t="s">
        <v>52</v>
      </c>
      <c r="L596" t="s">
        <v>1915</v>
      </c>
      <c r="M596" t="s">
        <v>134</v>
      </c>
      <c r="N596" t="s">
        <v>135</v>
      </c>
      <c r="Q596" t="s">
        <v>140</v>
      </c>
      <c r="T596" t="s">
        <v>1916</v>
      </c>
      <c r="U596" t="s">
        <v>137</v>
      </c>
      <c r="V596" t="s">
        <v>362</v>
      </c>
      <c r="X596" t="s">
        <v>58</v>
      </c>
      <c r="AA596" t="s">
        <v>1884</v>
      </c>
      <c r="AB596" t="s">
        <v>3</v>
      </c>
      <c r="AC596" t="s">
        <v>138</v>
      </c>
      <c r="AD596" t="s">
        <v>128</v>
      </c>
      <c r="AE596" s="97">
        <f>VLOOKUP(A:A,SUMMERY!AA:AC,2,FALSE)</f>
        <v>46220</v>
      </c>
      <c r="AF596" s="6" t="str">
        <f>VLOOKUP(A:A,SUMMERY!AA:AC,3,FALSE)</f>
        <v>Priority-1</v>
      </c>
    </row>
    <row r="597" spans="1:32" x14ac:dyDescent="0.3">
      <c r="A597" t="s">
        <v>3628</v>
      </c>
      <c r="B597" t="s">
        <v>1918</v>
      </c>
      <c r="G597" t="s">
        <v>3619</v>
      </c>
      <c r="H597" t="s">
        <v>132</v>
      </c>
      <c r="I597" t="s">
        <v>2</v>
      </c>
      <c r="J597" t="s">
        <v>133</v>
      </c>
      <c r="K597" t="s">
        <v>52</v>
      </c>
      <c r="L597" t="s">
        <v>1919</v>
      </c>
      <c r="M597" t="s">
        <v>134</v>
      </c>
      <c r="N597" t="s">
        <v>135</v>
      </c>
      <c r="Q597" t="s">
        <v>140</v>
      </c>
      <c r="T597" t="s">
        <v>1920</v>
      </c>
      <c r="U597" t="s">
        <v>137</v>
      </c>
      <c r="V597" t="s">
        <v>403</v>
      </c>
      <c r="X597" t="s">
        <v>68</v>
      </c>
      <c r="AA597" t="s">
        <v>1884</v>
      </c>
      <c r="AB597" t="s">
        <v>3</v>
      </c>
      <c r="AC597" t="s">
        <v>138</v>
      </c>
      <c r="AD597" t="s">
        <v>128</v>
      </c>
      <c r="AE597" s="97">
        <f>VLOOKUP(A:A,SUMMERY!AA:AC,2,FALSE)</f>
        <v>46233</v>
      </c>
      <c r="AF597" s="6" t="str">
        <f>VLOOKUP(A:A,SUMMERY!AA:AC,3,FALSE)</f>
        <v>Priority-1</v>
      </c>
    </row>
    <row r="598" spans="1:32" x14ac:dyDescent="0.3">
      <c r="A598" t="s">
        <v>3629</v>
      </c>
      <c r="B598" t="s">
        <v>1922</v>
      </c>
      <c r="G598" t="s">
        <v>3619</v>
      </c>
      <c r="H598" t="s">
        <v>132</v>
      </c>
      <c r="I598" t="s">
        <v>2</v>
      </c>
      <c r="J598" t="s">
        <v>133</v>
      </c>
      <c r="K598" t="s">
        <v>52</v>
      </c>
      <c r="L598" t="s">
        <v>1919</v>
      </c>
      <c r="M598" t="s">
        <v>134</v>
      </c>
      <c r="N598" t="s">
        <v>135</v>
      </c>
      <c r="Q598" t="s">
        <v>140</v>
      </c>
      <c r="T598" t="s">
        <v>1920</v>
      </c>
      <c r="U598" t="s">
        <v>137</v>
      </c>
      <c r="V598" t="s">
        <v>407</v>
      </c>
      <c r="X598" t="s">
        <v>77</v>
      </c>
      <c r="AA598" t="s">
        <v>1884</v>
      </c>
      <c r="AB598" t="s">
        <v>3</v>
      </c>
      <c r="AC598" t="s">
        <v>138</v>
      </c>
      <c r="AD598" t="s">
        <v>128</v>
      </c>
      <c r="AE598" s="97">
        <f>VLOOKUP(A:A,SUMMERY!AA:AC,2,FALSE)</f>
        <v>46233</v>
      </c>
      <c r="AF598" s="6" t="str">
        <f>VLOOKUP(A:A,SUMMERY!AA:AC,3,FALSE)</f>
        <v>Priority-1</v>
      </c>
    </row>
    <row r="599" spans="1:32" x14ac:dyDescent="0.3">
      <c r="A599" t="s">
        <v>3635</v>
      </c>
      <c r="B599" t="s">
        <v>1934</v>
      </c>
      <c r="G599" t="s">
        <v>3619</v>
      </c>
      <c r="H599" t="s">
        <v>132</v>
      </c>
      <c r="I599" t="s">
        <v>2</v>
      </c>
      <c r="J599" t="s">
        <v>133</v>
      </c>
      <c r="K599" t="s">
        <v>52</v>
      </c>
      <c r="L599" t="s">
        <v>1935</v>
      </c>
      <c r="M599" t="s">
        <v>134</v>
      </c>
      <c r="N599" t="s">
        <v>135</v>
      </c>
      <c r="Q599" t="s">
        <v>140</v>
      </c>
      <c r="T599" t="s">
        <v>1936</v>
      </c>
      <c r="U599" t="s">
        <v>137</v>
      </c>
      <c r="V599" t="s">
        <v>640</v>
      </c>
      <c r="X599" t="s">
        <v>66</v>
      </c>
      <c r="AA599" t="s">
        <v>1884</v>
      </c>
      <c r="AB599" t="s">
        <v>3</v>
      </c>
      <c r="AC599" t="s">
        <v>138</v>
      </c>
      <c r="AD599" t="s">
        <v>128</v>
      </c>
      <c r="AE599" s="97">
        <f>VLOOKUP(A:A,SUMMERY!AA:AC,2,FALSE)</f>
        <v>46220</v>
      </c>
      <c r="AF599" s="6" t="str">
        <f>VLOOKUP(A:A,SUMMERY!AA:AC,3,FALSE)</f>
        <v>Priority-1</v>
      </c>
    </row>
    <row r="600" spans="1:32" x14ac:dyDescent="0.3">
      <c r="A600" t="s">
        <v>3636</v>
      </c>
      <c r="B600" t="s">
        <v>1938</v>
      </c>
      <c r="G600" t="s">
        <v>3619</v>
      </c>
      <c r="H600" t="s">
        <v>132</v>
      </c>
      <c r="I600" t="s">
        <v>2</v>
      </c>
      <c r="J600" t="s">
        <v>133</v>
      </c>
      <c r="K600" t="s">
        <v>52</v>
      </c>
      <c r="L600" t="s">
        <v>1935</v>
      </c>
      <c r="M600" t="s">
        <v>134</v>
      </c>
      <c r="N600" t="s">
        <v>135</v>
      </c>
      <c r="Q600" t="s">
        <v>140</v>
      </c>
      <c r="T600" t="s">
        <v>1936</v>
      </c>
      <c r="U600" t="s">
        <v>137</v>
      </c>
      <c r="V600" t="s">
        <v>646</v>
      </c>
      <c r="X600" t="s">
        <v>74</v>
      </c>
      <c r="AA600" t="s">
        <v>1884</v>
      </c>
      <c r="AB600" t="s">
        <v>3</v>
      </c>
      <c r="AC600" t="s">
        <v>138</v>
      </c>
      <c r="AD600" t="s">
        <v>128</v>
      </c>
      <c r="AE600" s="97">
        <f>VLOOKUP(A:A,SUMMERY!AA:AC,2,FALSE)</f>
        <v>46220</v>
      </c>
      <c r="AF600" s="6" t="str">
        <f>VLOOKUP(A:A,SUMMERY!AA:AC,3,FALSE)</f>
        <v>Priority-1</v>
      </c>
    </row>
    <row r="601" spans="1:32" x14ac:dyDescent="0.3">
      <c r="A601" t="s">
        <v>3641</v>
      </c>
      <c r="B601" t="s">
        <v>1948</v>
      </c>
      <c r="G601" t="s">
        <v>3619</v>
      </c>
      <c r="H601" t="s">
        <v>132</v>
      </c>
      <c r="I601" t="s">
        <v>2</v>
      </c>
      <c r="J601" t="s">
        <v>133</v>
      </c>
      <c r="K601" t="s">
        <v>52</v>
      </c>
      <c r="L601" t="s">
        <v>1949</v>
      </c>
      <c r="M601" t="s">
        <v>134</v>
      </c>
      <c r="N601" t="s">
        <v>135</v>
      </c>
      <c r="Q601" t="s">
        <v>140</v>
      </c>
      <c r="T601" t="s">
        <v>1950</v>
      </c>
      <c r="U601" t="s">
        <v>137</v>
      </c>
      <c r="V601" t="s">
        <v>1190</v>
      </c>
      <c r="X601" t="s">
        <v>67</v>
      </c>
      <c r="AA601" t="s">
        <v>1884</v>
      </c>
      <c r="AB601" t="s">
        <v>3</v>
      </c>
      <c r="AC601" t="s">
        <v>138</v>
      </c>
      <c r="AD601" t="s">
        <v>128</v>
      </c>
      <c r="AE601" s="97">
        <f>VLOOKUP(A:A,SUMMERY!AA:AC,2,FALSE)</f>
        <v>46220</v>
      </c>
      <c r="AF601" s="6" t="str">
        <f>VLOOKUP(A:A,SUMMERY!AA:AC,3,FALSE)</f>
        <v>Priority-1</v>
      </c>
    </row>
    <row r="602" spans="1:32" x14ac:dyDescent="0.3">
      <c r="A602" t="s">
        <v>3642</v>
      </c>
      <c r="B602" t="s">
        <v>1952</v>
      </c>
      <c r="G602" t="s">
        <v>3619</v>
      </c>
      <c r="H602" t="s">
        <v>132</v>
      </c>
      <c r="I602" t="s">
        <v>2</v>
      </c>
      <c r="J602" t="s">
        <v>133</v>
      </c>
      <c r="K602" t="s">
        <v>52</v>
      </c>
      <c r="L602" t="s">
        <v>1949</v>
      </c>
      <c r="M602" t="s">
        <v>134</v>
      </c>
      <c r="N602" t="s">
        <v>135</v>
      </c>
      <c r="Q602" t="s">
        <v>140</v>
      </c>
      <c r="T602" t="s">
        <v>1950</v>
      </c>
      <c r="U602" t="s">
        <v>137</v>
      </c>
      <c r="V602" t="s">
        <v>1194</v>
      </c>
      <c r="X602" t="s">
        <v>75</v>
      </c>
      <c r="AA602" t="s">
        <v>1884</v>
      </c>
      <c r="AB602" t="s">
        <v>3</v>
      </c>
      <c r="AC602" t="s">
        <v>138</v>
      </c>
      <c r="AD602" t="s">
        <v>128</v>
      </c>
      <c r="AE602" s="97">
        <f>VLOOKUP(A:A,SUMMERY!AA:AC,2,FALSE)</f>
        <v>46220</v>
      </c>
      <c r="AF602" s="6" t="str">
        <f>VLOOKUP(A:A,SUMMERY!AA:AC,3,FALSE)</f>
        <v>Priority-1</v>
      </c>
    </row>
    <row r="603" spans="1:32" x14ac:dyDescent="0.3">
      <c r="A603" t="s">
        <v>3648</v>
      </c>
      <c r="B603" t="s">
        <v>1964</v>
      </c>
      <c r="G603" t="s">
        <v>3619</v>
      </c>
      <c r="H603" t="s">
        <v>132</v>
      </c>
      <c r="I603" t="s">
        <v>2</v>
      </c>
      <c r="J603" t="s">
        <v>133</v>
      </c>
      <c r="K603" t="s">
        <v>52</v>
      </c>
      <c r="L603" t="s">
        <v>1965</v>
      </c>
      <c r="M603" t="s">
        <v>134</v>
      </c>
      <c r="N603" t="s">
        <v>135</v>
      </c>
      <c r="Q603" t="s">
        <v>140</v>
      </c>
      <c r="T603" t="s">
        <v>1966</v>
      </c>
      <c r="U603" t="s">
        <v>137</v>
      </c>
      <c r="V603" t="s">
        <v>1967</v>
      </c>
      <c r="X603" t="s">
        <v>125</v>
      </c>
      <c r="AA603" t="s">
        <v>1884</v>
      </c>
      <c r="AB603" t="s">
        <v>3</v>
      </c>
      <c r="AC603" t="s">
        <v>138</v>
      </c>
      <c r="AD603" t="s">
        <v>131</v>
      </c>
      <c r="AE603" s="97">
        <f>VLOOKUP(A:A,SUMMERY!AA:AC,2,FALSE)</f>
        <v>46234</v>
      </c>
      <c r="AF603" s="6" t="str">
        <f>VLOOKUP(A:A,SUMMERY!AA:AC,3,FALSE)</f>
        <v>Priority-2</v>
      </c>
    </row>
    <row r="604" spans="1:32" x14ac:dyDescent="0.3">
      <c r="A604" t="s">
        <v>3649</v>
      </c>
      <c r="B604" t="s">
        <v>1969</v>
      </c>
      <c r="G604" t="s">
        <v>3619</v>
      </c>
      <c r="H604" t="s">
        <v>132</v>
      </c>
      <c r="I604" t="s">
        <v>2</v>
      </c>
      <c r="J604" t="s">
        <v>133</v>
      </c>
      <c r="K604" t="s">
        <v>52</v>
      </c>
      <c r="L604" t="s">
        <v>1970</v>
      </c>
      <c r="M604" t="s">
        <v>134</v>
      </c>
      <c r="N604" t="s">
        <v>135</v>
      </c>
      <c r="Q604" t="s">
        <v>140</v>
      </c>
      <c r="T604" t="s">
        <v>1966</v>
      </c>
      <c r="U604" t="s">
        <v>137</v>
      </c>
      <c r="V604" t="s">
        <v>1967</v>
      </c>
      <c r="X604" t="s">
        <v>125</v>
      </c>
      <c r="AA604" t="s">
        <v>1884</v>
      </c>
      <c r="AB604" t="s">
        <v>3</v>
      </c>
      <c r="AC604" t="s">
        <v>138</v>
      </c>
      <c r="AD604" t="s">
        <v>131</v>
      </c>
      <c r="AE604" s="97">
        <f>VLOOKUP(A:A,SUMMERY!AA:AC,2,FALSE)</f>
        <v>46234</v>
      </c>
      <c r="AF604" s="6" t="str">
        <f>VLOOKUP(A:A,SUMMERY!AA:AC,3,FALSE)</f>
        <v>Priority-2</v>
      </c>
    </row>
    <row r="605" spans="1:32" x14ac:dyDescent="0.3">
      <c r="A605" t="s">
        <v>3650</v>
      </c>
      <c r="B605" t="s">
        <v>1972</v>
      </c>
      <c r="G605" t="s">
        <v>3619</v>
      </c>
      <c r="H605" t="s">
        <v>132</v>
      </c>
      <c r="I605" t="s">
        <v>2</v>
      </c>
      <c r="J605" t="s">
        <v>133</v>
      </c>
      <c r="K605" t="s">
        <v>52</v>
      </c>
      <c r="L605" t="s">
        <v>1973</v>
      </c>
      <c r="M605" t="s">
        <v>134</v>
      </c>
      <c r="N605" t="s">
        <v>135</v>
      </c>
      <c r="Q605" t="s">
        <v>140</v>
      </c>
      <c r="T605" t="s">
        <v>1974</v>
      </c>
      <c r="U605" t="s">
        <v>137</v>
      </c>
      <c r="V605" t="s">
        <v>703</v>
      </c>
      <c r="X605" t="s">
        <v>62</v>
      </c>
      <c r="AA605" t="s">
        <v>1884</v>
      </c>
      <c r="AB605" t="s">
        <v>3</v>
      </c>
      <c r="AC605" t="s">
        <v>138</v>
      </c>
      <c r="AD605" t="s">
        <v>128</v>
      </c>
      <c r="AE605" s="97">
        <f>VLOOKUP(A:A,SUMMERY!AA:AC,2,FALSE)</f>
        <v>46220</v>
      </c>
      <c r="AF605" s="6" t="str">
        <f>VLOOKUP(A:A,SUMMERY!AA:AC,3,FALSE)</f>
        <v>Priority-1</v>
      </c>
    </row>
    <row r="606" spans="1:32" x14ac:dyDescent="0.3">
      <c r="A606" t="s">
        <v>3651</v>
      </c>
      <c r="B606" t="s">
        <v>1976</v>
      </c>
      <c r="G606" t="s">
        <v>3619</v>
      </c>
      <c r="H606" t="s">
        <v>132</v>
      </c>
      <c r="I606" t="s">
        <v>2</v>
      </c>
      <c r="J606" t="s">
        <v>133</v>
      </c>
      <c r="K606" t="s">
        <v>52</v>
      </c>
      <c r="L606" t="s">
        <v>1973</v>
      </c>
      <c r="M606" t="s">
        <v>134</v>
      </c>
      <c r="N606" t="s">
        <v>135</v>
      </c>
      <c r="Q606" t="s">
        <v>140</v>
      </c>
      <c r="T606" t="s">
        <v>1974</v>
      </c>
      <c r="U606" t="s">
        <v>137</v>
      </c>
      <c r="V606" t="s">
        <v>703</v>
      </c>
      <c r="X606" t="s">
        <v>62</v>
      </c>
      <c r="AA606" t="s">
        <v>1884</v>
      </c>
      <c r="AB606" t="s">
        <v>3</v>
      </c>
      <c r="AC606" t="s">
        <v>138</v>
      </c>
      <c r="AD606" t="s">
        <v>128</v>
      </c>
      <c r="AE606" s="97">
        <f>VLOOKUP(A:A,SUMMERY!AA:AC,2,FALSE)</f>
        <v>46220</v>
      </c>
      <c r="AF606" s="6" t="str">
        <f>VLOOKUP(A:A,SUMMERY!AA:AC,3,FALSE)</f>
        <v>Priority-1</v>
      </c>
    </row>
    <row r="607" spans="1:32" x14ac:dyDescent="0.3">
      <c r="A607" t="s">
        <v>3652</v>
      </c>
      <c r="B607" t="s">
        <v>1978</v>
      </c>
      <c r="G607" t="s">
        <v>3619</v>
      </c>
      <c r="H607" t="s">
        <v>132</v>
      </c>
      <c r="I607" t="s">
        <v>2</v>
      </c>
      <c r="J607" t="s">
        <v>133</v>
      </c>
      <c r="K607" t="s">
        <v>52</v>
      </c>
      <c r="L607" t="s">
        <v>1979</v>
      </c>
      <c r="M607" t="s">
        <v>134</v>
      </c>
      <c r="N607" t="s">
        <v>135</v>
      </c>
      <c r="Q607" t="s">
        <v>140</v>
      </c>
      <c r="T607" t="s">
        <v>1888</v>
      </c>
      <c r="U607" t="s">
        <v>137</v>
      </c>
      <c r="V607" t="s">
        <v>147</v>
      </c>
      <c r="X607" t="s">
        <v>70</v>
      </c>
      <c r="AA607" t="s">
        <v>1884</v>
      </c>
      <c r="AB607" t="s">
        <v>3</v>
      </c>
      <c r="AC607" t="s">
        <v>138</v>
      </c>
      <c r="AD607" t="s">
        <v>128</v>
      </c>
      <c r="AE607" s="97">
        <f>VLOOKUP(A:A,SUMMERY!AA:AC,2,FALSE)</f>
        <v>46220</v>
      </c>
      <c r="AF607" s="6" t="str">
        <f>VLOOKUP(A:A,SUMMERY!AA:AC,3,FALSE)</f>
        <v>Priority-1</v>
      </c>
    </row>
    <row r="608" spans="1:32" x14ac:dyDescent="0.3">
      <c r="A608" t="s">
        <v>3653</v>
      </c>
      <c r="B608" t="s">
        <v>1981</v>
      </c>
      <c r="G608" t="s">
        <v>3619</v>
      </c>
      <c r="H608" t="s">
        <v>132</v>
      </c>
      <c r="I608" t="s">
        <v>2</v>
      </c>
      <c r="J608" t="s">
        <v>133</v>
      </c>
      <c r="K608" t="s">
        <v>52</v>
      </c>
      <c r="L608" t="s">
        <v>1979</v>
      </c>
      <c r="M608" t="s">
        <v>134</v>
      </c>
      <c r="N608" t="s">
        <v>135</v>
      </c>
      <c r="Q608" t="s">
        <v>140</v>
      </c>
      <c r="T608" t="s">
        <v>1892</v>
      </c>
      <c r="U608" t="s">
        <v>137</v>
      </c>
      <c r="V608" t="s">
        <v>150</v>
      </c>
      <c r="X608" t="s">
        <v>76</v>
      </c>
      <c r="AA608" t="s">
        <v>1884</v>
      </c>
      <c r="AB608" t="s">
        <v>3</v>
      </c>
      <c r="AC608" t="s">
        <v>138</v>
      </c>
      <c r="AD608" t="s">
        <v>128</v>
      </c>
      <c r="AE608" s="97">
        <f>VLOOKUP(A:A,SUMMERY!AA:AC,2,FALSE)</f>
        <v>46233</v>
      </c>
      <c r="AF608" s="6" t="str">
        <f>VLOOKUP(A:A,SUMMERY!AA:AC,3,FALSE)</f>
        <v>Priority-1</v>
      </c>
    </row>
    <row r="609" spans="1:32" x14ac:dyDescent="0.3">
      <c r="A609" t="s">
        <v>3659</v>
      </c>
      <c r="B609" t="s">
        <v>1993</v>
      </c>
      <c r="G609" t="s">
        <v>3619</v>
      </c>
      <c r="H609" t="s">
        <v>132</v>
      </c>
      <c r="I609" t="s">
        <v>2</v>
      </c>
      <c r="J609" t="s">
        <v>133</v>
      </c>
      <c r="K609" t="s">
        <v>52</v>
      </c>
      <c r="L609" t="s">
        <v>1979</v>
      </c>
      <c r="M609" t="s">
        <v>134</v>
      </c>
      <c r="N609" t="s">
        <v>135</v>
      </c>
      <c r="Q609" t="s">
        <v>140</v>
      </c>
      <c r="T609" t="s">
        <v>1888</v>
      </c>
      <c r="U609" t="s">
        <v>137</v>
      </c>
      <c r="V609" t="s">
        <v>147</v>
      </c>
      <c r="X609" t="s">
        <v>70</v>
      </c>
      <c r="AA609" t="s">
        <v>1884</v>
      </c>
      <c r="AB609" t="s">
        <v>3</v>
      </c>
      <c r="AC609" t="s">
        <v>138</v>
      </c>
      <c r="AD609" t="s">
        <v>128</v>
      </c>
      <c r="AE609" s="97">
        <f>VLOOKUP(A:A,SUMMERY!AA:AC,2,FALSE)</f>
        <v>46220</v>
      </c>
      <c r="AF609" s="6" t="str">
        <f>VLOOKUP(A:A,SUMMERY!AA:AC,3,FALSE)</f>
        <v>Priority-1</v>
      </c>
    </row>
    <row r="610" spans="1:32" x14ac:dyDescent="0.3">
      <c r="A610" t="s">
        <v>3660</v>
      </c>
      <c r="B610" t="s">
        <v>1995</v>
      </c>
      <c r="G610" t="s">
        <v>3619</v>
      </c>
      <c r="H610" t="s">
        <v>132</v>
      </c>
      <c r="I610" t="s">
        <v>2</v>
      </c>
      <c r="J610" t="s">
        <v>133</v>
      </c>
      <c r="K610" t="s">
        <v>52</v>
      </c>
      <c r="L610" t="s">
        <v>1979</v>
      </c>
      <c r="M610" t="s">
        <v>134</v>
      </c>
      <c r="N610" t="s">
        <v>135</v>
      </c>
      <c r="Q610" t="s">
        <v>140</v>
      </c>
      <c r="T610" t="s">
        <v>1892</v>
      </c>
      <c r="U610" t="s">
        <v>137</v>
      </c>
      <c r="V610" t="s">
        <v>150</v>
      </c>
      <c r="X610" t="s">
        <v>76</v>
      </c>
      <c r="AA610" t="s">
        <v>1884</v>
      </c>
      <c r="AB610" t="s">
        <v>3</v>
      </c>
      <c r="AC610" t="s">
        <v>138</v>
      </c>
      <c r="AD610" t="s">
        <v>128</v>
      </c>
      <c r="AE610" s="97">
        <f>VLOOKUP(A:A,SUMMERY!AA:AC,2,FALSE)</f>
        <v>46233</v>
      </c>
      <c r="AF610" s="6" t="str">
        <f>VLOOKUP(A:A,SUMMERY!AA:AC,3,FALSE)</f>
        <v>Priority-1</v>
      </c>
    </row>
    <row r="611" spans="1:32" x14ac:dyDescent="0.3">
      <c r="A611" t="s">
        <v>3666</v>
      </c>
      <c r="B611" t="s">
        <v>2007</v>
      </c>
      <c r="G611" t="s">
        <v>3619</v>
      </c>
      <c r="H611" t="s">
        <v>132</v>
      </c>
      <c r="I611" t="s">
        <v>2</v>
      </c>
      <c r="J611" t="s">
        <v>133</v>
      </c>
      <c r="K611" t="s">
        <v>52</v>
      </c>
      <c r="L611" t="s">
        <v>1973</v>
      </c>
      <c r="M611" t="s">
        <v>134</v>
      </c>
      <c r="N611" t="s">
        <v>135</v>
      </c>
      <c r="Q611" t="s">
        <v>140</v>
      </c>
      <c r="T611" t="s">
        <v>1974</v>
      </c>
      <c r="U611" t="s">
        <v>137</v>
      </c>
      <c r="V611" t="s">
        <v>709</v>
      </c>
      <c r="X611" t="s">
        <v>73</v>
      </c>
      <c r="AA611" t="s">
        <v>1884</v>
      </c>
      <c r="AB611" t="s">
        <v>3</v>
      </c>
      <c r="AC611" t="s">
        <v>138</v>
      </c>
      <c r="AD611" t="s">
        <v>128</v>
      </c>
      <c r="AE611" s="97">
        <f>VLOOKUP(A:A,SUMMERY!AA:AC,2,FALSE)</f>
        <v>46220</v>
      </c>
      <c r="AF611" s="6" t="str">
        <f>VLOOKUP(A:A,SUMMERY!AA:AC,3,FALSE)</f>
        <v>Priority-1</v>
      </c>
    </row>
    <row r="612" spans="1:32" x14ac:dyDescent="0.3">
      <c r="A612" t="s">
        <v>3667</v>
      </c>
      <c r="B612" t="s">
        <v>2009</v>
      </c>
      <c r="G612" t="s">
        <v>3619</v>
      </c>
      <c r="H612" t="s">
        <v>132</v>
      </c>
      <c r="I612" t="s">
        <v>2</v>
      </c>
      <c r="J612" t="s">
        <v>133</v>
      </c>
      <c r="K612" t="s">
        <v>52</v>
      </c>
      <c r="L612" t="s">
        <v>1973</v>
      </c>
      <c r="M612" t="s">
        <v>134</v>
      </c>
      <c r="N612" t="s">
        <v>135</v>
      </c>
      <c r="Q612" t="s">
        <v>140</v>
      </c>
      <c r="T612" t="s">
        <v>1974</v>
      </c>
      <c r="U612" t="s">
        <v>137</v>
      </c>
      <c r="V612" t="s">
        <v>709</v>
      </c>
      <c r="X612" t="s">
        <v>73</v>
      </c>
      <c r="AA612" t="s">
        <v>1884</v>
      </c>
      <c r="AB612" t="s">
        <v>3</v>
      </c>
      <c r="AC612" t="s">
        <v>138</v>
      </c>
      <c r="AD612" t="s">
        <v>128</v>
      </c>
      <c r="AE612" s="97">
        <f>VLOOKUP(A:A,SUMMERY!AA:AC,2,FALSE)</f>
        <v>46220</v>
      </c>
      <c r="AF612" s="6" t="str">
        <f>VLOOKUP(A:A,SUMMERY!AA:AC,3,FALSE)</f>
        <v>Priority-1</v>
      </c>
    </row>
    <row r="613" spans="1:32" x14ac:dyDescent="0.3">
      <c r="A613" t="s">
        <v>3678</v>
      </c>
      <c r="B613" t="s">
        <v>2031</v>
      </c>
      <c r="G613" t="s">
        <v>3619</v>
      </c>
      <c r="H613" t="s">
        <v>132</v>
      </c>
      <c r="I613" t="s">
        <v>2</v>
      </c>
      <c r="J613" t="s">
        <v>133</v>
      </c>
      <c r="K613" t="s">
        <v>52</v>
      </c>
      <c r="L613" t="s">
        <v>2032</v>
      </c>
      <c r="M613" t="s">
        <v>134</v>
      </c>
      <c r="N613" t="s">
        <v>135</v>
      </c>
      <c r="Q613" t="s">
        <v>140</v>
      </c>
      <c r="T613" t="s">
        <v>1936</v>
      </c>
      <c r="U613" t="s">
        <v>137</v>
      </c>
      <c r="V613" t="s">
        <v>640</v>
      </c>
      <c r="X613" t="s">
        <v>66</v>
      </c>
      <c r="AA613" t="s">
        <v>1884</v>
      </c>
      <c r="AB613" t="s">
        <v>3</v>
      </c>
      <c r="AC613" t="s">
        <v>138</v>
      </c>
      <c r="AD613" t="s">
        <v>128</v>
      </c>
      <c r="AE613" s="97">
        <f>VLOOKUP(A:A,SUMMERY!AA:AC,2,FALSE)</f>
        <v>46220</v>
      </c>
      <c r="AF613" s="6" t="str">
        <f>VLOOKUP(A:A,SUMMERY!AA:AC,3,FALSE)</f>
        <v>Priority-1</v>
      </c>
    </row>
    <row r="614" spans="1:32" x14ac:dyDescent="0.3">
      <c r="A614" t="s">
        <v>3679</v>
      </c>
      <c r="B614" t="s">
        <v>2034</v>
      </c>
      <c r="G614" t="s">
        <v>3619</v>
      </c>
      <c r="H614" t="s">
        <v>132</v>
      </c>
      <c r="I614" t="s">
        <v>2</v>
      </c>
      <c r="J614" t="s">
        <v>133</v>
      </c>
      <c r="K614" t="s">
        <v>52</v>
      </c>
      <c r="L614" t="s">
        <v>2032</v>
      </c>
      <c r="M614" t="s">
        <v>134</v>
      </c>
      <c r="N614" t="s">
        <v>135</v>
      </c>
      <c r="Q614" t="s">
        <v>140</v>
      </c>
      <c r="T614" t="s">
        <v>1936</v>
      </c>
      <c r="U614" t="s">
        <v>137</v>
      </c>
      <c r="V614" t="s">
        <v>646</v>
      </c>
      <c r="X614" t="s">
        <v>74</v>
      </c>
      <c r="AA614" t="s">
        <v>1884</v>
      </c>
      <c r="AB614" t="s">
        <v>3</v>
      </c>
      <c r="AC614" t="s">
        <v>138</v>
      </c>
      <c r="AD614" t="s">
        <v>128</v>
      </c>
      <c r="AE614" s="97">
        <f>VLOOKUP(A:A,SUMMERY!AA:AC,2,FALSE)</f>
        <v>46220</v>
      </c>
      <c r="AF614" s="6" t="str">
        <f>VLOOKUP(A:A,SUMMERY!AA:AC,3,FALSE)</f>
        <v>Priority-1</v>
      </c>
    </row>
    <row r="615" spans="1:32" x14ac:dyDescent="0.3">
      <c r="A615" t="s">
        <v>3685</v>
      </c>
      <c r="B615" t="s">
        <v>2046</v>
      </c>
      <c r="G615" t="s">
        <v>3619</v>
      </c>
      <c r="H615" t="s">
        <v>132</v>
      </c>
      <c r="I615" t="s">
        <v>2</v>
      </c>
      <c r="J615" t="s">
        <v>133</v>
      </c>
      <c r="K615" t="s">
        <v>52</v>
      </c>
      <c r="L615" t="s">
        <v>1979</v>
      </c>
      <c r="M615" t="s">
        <v>134</v>
      </c>
      <c r="N615" t="s">
        <v>135</v>
      </c>
      <c r="Q615" t="s">
        <v>140</v>
      </c>
      <c r="T615" t="s">
        <v>2047</v>
      </c>
      <c r="U615" t="s">
        <v>137</v>
      </c>
      <c r="V615" t="s">
        <v>1279</v>
      </c>
      <c r="X615" t="s">
        <v>71</v>
      </c>
      <c r="AA615" t="s">
        <v>1884</v>
      </c>
      <c r="AB615" t="s">
        <v>3</v>
      </c>
      <c r="AC615" t="s">
        <v>138</v>
      </c>
      <c r="AD615" t="s">
        <v>128</v>
      </c>
      <c r="AE615" s="97">
        <f>VLOOKUP(A:A,SUMMERY!AA:AC,2,FALSE)</f>
        <v>46233</v>
      </c>
      <c r="AF615" s="6" t="str">
        <f>VLOOKUP(A:A,SUMMERY!AA:AC,3,FALSE)</f>
        <v>Priority-1</v>
      </c>
    </row>
    <row r="616" spans="1:32" x14ac:dyDescent="0.3">
      <c r="A616" t="s">
        <v>3686</v>
      </c>
      <c r="B616" t="s">
        <v>2049</v>
      </c>
      <c r="G616" t="s">
        <v>3619</v>
      </c>
      <c r="H616" t="s">
        <v>132</v>
      </c>
      <c r="I616" t="s">
        <v>2</v>
      </c>
      <c r="J616" t="s">
        <v>133</v>
      </c>
      <c r="K616" t="s">
        <v>52</v>
      </c>
      <c r="L616" t="s">
        <v>1979</v>
      </c>
      <c r="M616" t="s">
        <v>134</v>
      </c>
      <c r="N616" t="s">
        <v>135</v>
      </c>
      <c r="Q616" t="s">
        <v>140</v>
      </c>
      <c r="T616" t="s">
        <v>2047</v>
      </c>
      <c r="U616" t="s">
        <v>137</v>
      </c>
      <c r="V616" t="s">
        <v>1283</v>
      </c>
      <c r="X616" t="s">
        <v>78</v>
      </c>
      <c r="AA616" t="s">
        <v>1884</v>
      </c>
      <c r="AB616" t="s">
        <v>3</v>
      </c>
      <c r="AC616" t="s">
        <v>138</v>
      </c>
      <c r="AD616" t="s">
        <v>128</v>
      </c>
      <c r="AE616" s="97">
        <f>VLOOKUP(A:A,SUMMERY!AA:AC,2,FALSE)</f>
        <v>46234</v>
      </c>
      <c r="AF616" s="6" t="str">
        <f>VLOOKUP(A:A,SUMMERY!AA:AC,3,FALSE)</f>
        <v>Priority-1</v>
      </c>
    </row>
    <row r="617" spans="1:32" x14ac:dyDescent="0.3">
      <c r="A617" t="s">
        <v>3692</v>
      </c>
      <c r="B617" t="s">
        <v>2062</v>
      </c>
      <c r="G617" t="s">
        <v>3619</v>
      </c>
      <c r="H617" t="s">
        <v>132</v>
      </c>
      <c r="I617" t="s">
        <v>2</v>
      </c>
      <c r="J617" t="s">
        <v>133</v>
      </c>
      <c r="K617" t="s">
        <v>52</v>
      </c>
      <c r="L617" t="s">
        <v>2063</v>
      </c>
      <c r="M617" t="s">
        <v>134</v>
      </c>
      <c r="N617" t="s">
        <v>135</v>
      </c>
      <c r="Q617" t="s">
        <v>140</v>
      </c>
      <c r="T617" t="s">
        <v>2064</v>
      </c>
      <c r="U617" t="s">
        <v>137</v>
      </c>
      <c r="V617" t="s">
        <v>703</v>
      </c>
      <c r="X617" t="s">
        <v>62</v>
      </c>
      <c r="AA617" t="s">
        <v>1884</v>
      </c>
      <c r="AB617" t="s">
        <v>3</v>
      </c>
      <c r="AC617" t="s">
        <v>138</v>
      </c>
      <c r="AD617" t="s">
        <v>128</v>
      </c>
      <c r="AE617" s="97">
        <f>VLOOKUP(A:A,SUMMERY!AA:AC,2,FALSE)</f>
        <v>46220</v>
      </c>
      <c r="AF617" s="6" t="str">
        <f>VLOOKUP(A:A,SUMMERY!AA:AC,3,FALSE)</f>
        <v>Priority-1</v>
      </c>
    </row>
    <row r="618" spans="1:32" x14ac:dyDescent="0.3">
      <c r="A618" t="s">
        <v>3693</v>
      </c>
      <c r="B618" t="s">
        <v>2066</v>
      </c>
      <c r="G618" t="s">
        <v>3619</v>
      </c>
      <c r="H618" t="s">
        <v>132</v>
      </c>
      <c r="I618" t="s">
        <v>2</v>
      </c>
      <c r="J618" t="s">
        <v>133</v>
      </c>
      <c r="K618" t="s">
        <v>52</v>
      </c>
      <c r="L618" t="s">
        <v>2063</v>
      </c>
      <c r="M618" t="s">
        <v>134</v>
      </c>
      <c r="N618" t="s">
        <v>135</v>
      </c>
      <c r="Q618" t="s">
        <v>140</v>
      </c>
      <c r="T618" t="s">
        <v>2064</v>
      </c>
      <c r="U618" t="s">
        <v>137</v>
      </c>
      <c r="V618" t="s">
        <v>709</v>
      </c>
      <c r="X618" t="s">
        <v>73</v>
      </c>
      <c r="AA618" t="s">
        <v>1884</v>
      </c>
      <c r="AB618" t="s">
        <v>3</v>
      </c>
      <c r="AC618" t="s">
        <v>138</v>
      </c>
      <c r="AD618" t="s">
        <v>128</v>
      </c>
      <c r="AE618" s="97">
        <f>VLOOKUP(A:A,SUMMERY!AA:AC,2,FALSE)</f>
        <v>46220</v>
      </c>
      <c r="AF618" s="6" t="str">
        <f>VLOOKUP(A:A,SUMMERY!AA:AC,3,FALSE)</f>
        <v>Priority-1</v>
      </c>
    </row>
    <row r="619" spans="1:32" x14ac:dyDescent="0.3">
      <c r="A619" t="s">
        <v>3699</v>
      </c>
      <c r="B619" t="s">
        <v>2078</v>
      </c>
      <c r="G619" t="s">
        <v>3619</v>
      </c>
      <c r="H619" t="s">
        <v>132</v>
      </c>
      <c r="I619" t="s">
        <v>2</v>
      </c>
      <c r="J619" t="s">
        <v>133</v>
      </c>
      <c r="K619" t="s">
        <v>52</v>
      </c>
      <c r="L619" t="s">
        <v>2063</v>
      </c>
      <c r="M619" t="s">
        <v>134</v>
      </c>
      <c r="N619" t="s">
        <v>135</v>
      </c>
      <c r="Q619" t="s">
        <v>140</v>
      </c>
      <c r="T619" t="s">
        <v>2079</v>
      </c>
      <c r="U619" t="s">
        <v>137</v>
      </c>
      <c r="V619" t="s">
        <v>703</v>
      </c>
      <c r="X619" t="s">
        <v>62</v>
      </c>
      <c r="AA619" t="s">
        <v>1884</v>
      </c>
      <c r="AB619" t="s">
        <v>3</v>
      </c>
      <c r="AC619" t="s">
        <v>138</v>
      </c>
      <c r="AD619" t="s">
        <v>128</v>
      </c>
      <c r="AE619" s="97">
        <f>VLOOKUP(A:A,SUMMERY!AA:AC,2,FALSE)</f>
        <v>46220</v>
      </c>
      <c r="AF619" s="6" t="str">
        <f>VLOOKUP(A:A,SUMMERY!AA:AC,3,FALSE)</f>
        <v>Priority-1</v>
      </c>
    </row>
    <row r="620" spans="1:32" x14ac:dyDescent="0.3">
      <c r="A620" t="s">
        <v>3700</v>
      </c>
      <c r="B620" t="s">
        <v>2081</v>
      </c>
      <c r="G620" t="s">
        <v>3619</v>
      </c>
      <c r="H620" t="s">
        <v>132</v>
      </c>
      <c r="I620" t="s">
        <v>2</v>
      </c>
      <c r="J620" t="s">
        <v>133</v>
      </c>
      <c r="K620" t="s">
        <v>52</v>
      </c>
      <c r="L620" t="s">
        <v>2063</v>
      </c>
      <c r="M620" t="s">
        <v>134</v>
      </c>
      <c r="N620" t="s">
        <v>135</v>
      </c>
      <c r="Q620" t="s">
        <v>140</v>
      </c>
      <c r="T620" t="s">
        <v>2079</v>
      </c>
      <c r="U620" t="s">
        <v>137</v>
      </c>
      <c r="V620" t="s">
        <v>709</v>
      </c>
      <c r="X620" t="s">
        <v>73</v>
      </c>
      <c r="AA620" t="s">
        <v>1884</v>
      </c>
      <c r="AB620" t="s">
        <v>3</v>
      </c>
      <c r="AC620" t="s">
        <v>138</v>
      </c>
      <c r="AD620" t="s">
        <v>128</v>
      </c>
      <c r="AE620" s="97">
        <f>VLOOKUP(A:A,SUMMERY!AA:AC,2,FALSE)</f>
        <v>46220</v>
      </c>
      <c r="AF620" s="6" t="str">
        <f>VLOOKUP(A:A,SUMMERY!AA:AC,3,FALSE)</f>
        <v>Priority-1</v>
      </c>
    </row>
    <row r="621" spans="1:32" x14ac:dyDescent="0.3">
      <c r="A621" t="s">
        <v>3706</v>
      </c>
      <c r="B621" t="s">
        <v>2093</v>
      </c>
      <c r="G621" t="s">
        <v>3619</v>
      </c>
      <c r="H621" t="s">
        <v>132</v>
      </c>
      <c r="I621" t="s">
        <v>2</v>
      </c>
      <c r="J621" t="s">
        <v>133</v>
      </c>
      <c r="K621" t="s">
        <v>52</v>
      </c>
      <c r="L621" t="s">
        <v>2094</v>
      </c>
      <c r="M621" t="s">
        <v>134</v>
      </c>
      <c r="N621" t="s">
        <v>135</v>
      </c>
      <c r="Q621" t="s">
        <v>140</v>
      </c>
      <c r="T621" t="s">
        <v>2095</v>
      </c>
      <c r="U621" t="s">
        <v>137</v>
      </c>
      <c r="V621" t="s">
        <v>371</v>
      </c>
      <c r="X621" t="s">
        <v>57</v>
      </c>
      <c r="AA621" t="s">
        <v>1884</v>
      </c>
      <c r="AB621" t="s">
        <v>3</v>
      </c>
      <c r="AC621" t="s">
        <v>138</v>
      </c>
      <c r="AD621" t="s">
        <v>128</v>
      </c>
      <c r="AE621" s="97">
        <f>VLOOKUP(A:A,SUMMERY!AA:AC,2,FALSE)</f>
        <v>46220</v>
      </c>
      <c r="AF621" s="6" t="str">
        <f>VLOOKUP(A:A,SUMMERY!AA:AC,3,FALSE)</f>
        <v>Priority-1</v>
      </c>
    </row>
    <row r="622" spans="1:32" x14ac:dyDescent="0.3">
      <c r="A622" t="s">
        <v>3707</v>
      </c>
      <c r="B622" t="s">
        <v>2097</v>
      </c>
      <c r="G622" t="s">
        <v>3619</v>
      </c>
      <c r="H622" t="s">
        <v>132</v>
      </c>
      <c r="I622" t="s">
        <v>2</v>
      </c>
      <c r="J622" t="s">
        <v>133</v>
      </c>
      <c r="K622" t="s">
        <v>52</v>
      </c>
      <c r="L622" t="s">
        <v>2098</v>
      </c>
      <c r="M622" t="s">
        <v>134</v>
      </c>
      <c r="N622" t="s">
        <v>135</v>
      </c>
      <c r="Q622" t="s">
        <v>140</v>
      </c>
      <c r="T622" t="s">
        <v>1888</v>
      </c>
      <c r="U622" t="s">
        <v>137</v>
      </c>
      <c r="V622" t="s">
        <v>147</v>
      </c>
      <c r="X622" t="s">
        <v>70</v>
      </c>
      <c r="AA622" t="s">
        <v>1884</v>
      </c>
      <c r="AB622" t="s">
        <v>3</v>
      </c>
      <c r="AC622" t="s">
        <v>138</v>
      </c>
      <c r="AD622" t="s">
        <v>128</v>
      </c>
      <c r="AE622" s="97">
        <f>VLOOKUP(A:A,SUMMERY!AA:AC,2,FALSE)</f>
        <v>46220</v>
      </c>
      <c r="AF622" s="6" t="str">
        <f>VLOOKUP(A:A,SUMMERY!AA:AC,3,FALSE)</f>
        <v>Priority-1</v>
      </c>
    </row>
    <row r="623" spans="1:32" x14ac:dyDescent="0.3">
      <c r="A623" t="s">
        <v>3708</v>
      </c>
      <c r="B623" t="s">
        <v>2100</v>
      </c>
      <c r="G623" t="s">
        <v>3619</v>
      </c>
      <c r="H623" t="s">
        <v>132</v>
      </c>
      <c r="I623" t="s">
        <v>2</v>
      </c>
      <c r="J623" t="s">
        <v>133</v>
      </c>
      <c r="K623" t="s">
        <v>52</v>
      </c>
      <c r="L623" t="s">
        <v>2098</v>
      </c>
      <c r="M623" t="s">
        <v>134</v>
      </c>
      <c r="N623" t="s">
        <v>135</v>
      </c>
      <c r="Q623" t="s">
        <v>140</v>
      </c>
      <c r="T623" t="s">
        <v>1892</v>
      </c>
      <c r="U623" t="s">
        <v>137</v>
      </c>
      <c r="V623" t="s">
        <v>150</v>
      </c>
      <c r="X623" t="s">
        <v>76</v>
      </c>
      <c r="AA623" t="s">
        <v>1884</v>
      </c>
      <c r="AB623" t="s">
        <v>3</v>
      </c>
      <c r="AC623" t="s">
        <v>138</v>
      </c>
      <c r="AD623" t="s">
        <v>128</v>
      </c>
      <c r="AE623" s="97">
        <f>VLOOKUP(A:A,SUMMERY!AA:AC,2,FALSE)</f>
        <v>46233</v>
      </c>
      <c r="AF623" s="6" t="str">
        <f>VLOOKUP(A:A,SUMMERY!AA:AC,3,FALSE)</f>
        <v>Priority-1</v>
      </c>
    </row>
    <row r="624" spans="1:32" x14ac:dyDescent="0.3">
      <c r="A624" t="s">
        <v>3715</v>
      </c>
      <c r="B624" t="s">
        <v>2114</v>
      </c>
      <c r="G624" t="s">
        <v>3619</v>
      </c>
      <c r="H624" t="s">
        <v>132</v>
      </c>
      <c r="I624" t="s">
        <v>2</v>
      </c>
      <c r="J624" t="s">
        <v>133</v>
      </c>
      <c r="K624" t="s">
        <v>52</v>
      </c>
      <c r="L624" t="s">
        <v>2115</v>
      </c>
      <c r="M624" t="s">
        <v>134</v>
      </c>
      <c r="N624" t="s">
        <v>135</v>
      </c>
      <c r="Q624" t="s">
        <v>140</v>
      </c>
      <c r="T624" t="s">
        <v>2047</v>
      </c>
      <c r="U624" t="s">
        <v>137</v>
      </c>
      <c r="V624" t="s">
        <v>1279</v>
      </c>
      <c r="X624" t="s">
        <v>71</v>
      </c>
      <c r="AA624" t="s">
        <v>1884</v>
      </c>
      <c r="AB624" t="s">
        <v>3</v>
      </c>
      <c r="AC624" t="s">
        <v>138</v>
      </c>
      <c r="AD624" t="s">
        <v>128</v>
      </c>
      <c r="AE624" s="97">
        <f>VLOOKUP(A:A,SUMMERY!AA:AC,2,FALSE)</f>
        <v>46233</v>
      </c>
      <c r="AF624" s="6" t="str">
        <f>VLOOKUP(A:A,SUMMERY!AA:AC,3,FALSE)</f>
        <v>Priority-1</v>
      </c>
    </row>
    <row r="625" spans="1:32" x14ac:dyDescent="0.3">
      <c r="A625" t="s">
        <v>3716</v>
      </c>
      <c r="B625" t="s">
        <v>2117</v>
      </c>
      <c r="G625" t="s">
        <v>3619</v>
      </c>
      <c r="H625" t="s">
        <v>132</v>
      </c>
      <c r="I625" t="s">
        <v>2</v>
      </c>
      <c r="J625" t="s">
        <v>133</v>
      </c>
      <c r="K625" t="s">
        <v>52</v>
      </c>
      <c r="L625" t="s">
        <v>2115</v>
      </c>
      <c r="M625" t="s">
        <v>134</v>
      </c>
      <c r="N625" t="s">
        <v>135</v>
      </c>
      <c r="Q625" t="s">
        <v>140</v>
      </c>
      <c r="T625" t="s">
        <v>2047</v>
      </c>
      <c r="U625" t="s">
        <v>137</v>
      </c>
      <c r="V625" t="s">
        <v>1283</v>
      </c>
      <c r="X625" t="s">
        <v>78</v>
      </c>
      <c r="AA625" t="s">
        <v>1884</v>
      </c>
      <c r="AB625" t="s">
        <v>3</v>
      </c>
      <c r="AC625" t="s">
        <v>138</v>
      </c>
      <c r="AD625" t="s">
        <v>128</v>
      </c>
      <c r="AE625" s="97">
        <f>VLOOKUP(A:A,SUMMERY!AA:AC,2,FALSE)</f>
        <v>46234</v>
      </c>
      <c r="AF625" s="6" t="str">
        <f>VLOOKUP(A:A,SUMMERY!AA:AC,3,FALSE)</f>
        <v>Priority-1</v>
      </c>
    </row>
    <row r="626" spans="1:32" x14ac:dyDescent="0.3">
      <c r="A626" t="s">
        <v>3722</v>
      </c>
      <c r="B626" t="s">
        <v>2130</v>
      </c>
      <c r="G626" t="s">
        <v>3619</v>
      </c>
      <c r="H626" t="s">
        <v>132</v>
      </c>
      <c r="I626" t="s">
        <v>2</v>
      </c>
      <c r="J626" t="s">
        <v>133</v>
      </c>
      <c r="K626" t="s">
        <v>52</v>
      </c>
      <c r="L626" t="s">
        <v>2131</v>
      </c>
      <c r="M626" t="s">
        <v>134</v>
      </c>
      <c r="N626" t="s">
        <v>135</v>
      </c>
      <c r="Q626" t="s">
        <v>140</v>
      </c>
      <c r="T626" t="s">
        <v>2132</v>
      </c>
      <c r="U626" t="s">
        <v>137</v>
      </c>
      <c r="V626" t="s">
        <v>1259</v>
      </c>
      <c r="X626" t="s">
        <v>126</v>
      </c>
      <c r="AA626" t="s">
        <v>1884</v>
      </c>
      <c r="AB626" t="s">
        <v>3</v>
      </c>
      <c r="AC626" t="s">
        <v>138</v>
      </c>
      <c r="AD626" t="s">
        <v>131</v>
      </c>
      <c r="AE626" s="97">
        <f>VLOOKUP(A:A,SUMMERY!AA:AC,2,FALSE)</f>
        <v>46234</v>
      </c>
      <c r="AF626" s="6" t="str">
        <f>VLOOKUP(A:A,SUMMERY!AA:AC,3,FALSE)</f>
        <v>Priority-2</v>
      </c>
    </row>
    <row r="627" spans="1:32" x14ac:dyDescent="0.3">
      <c r="A627" t="s">
        <v>3723</v>
      </c>
      <c r="B627" t="s">
        <v>2134</v>
      </c>
      <c r="G627" t="s">
        <v>3619</v>
      </c>
      <c r="H627" t="s">
        <v>132</v>
      </c>
      <c r="I627" t="s">
        <v>2</v>
      </c>
      <c r="J627" t="s">
        <v>133</v>
      </c>
      <c r="K627" t="s">
        <v>52</v>
      </c>
      <c r="L627" t="s">
        <v>2135</v>
      </c>
      <c r="M627" t="s">
        <v>134</v>
      </c>
      <c r="N627" t="s">
        <v>135</v>
      </c>
      <c r="Q627" t="s">
        <v>140</v>
      </c>
      <c r="T627" t="s">
        <v>2136</v>
      </c>
      <c r="U627" t="s">
        <v>137</v>
      </c>
      <c r="V627" t="s">
        <v>1263</v>
      </c>
      <c r="X627" t="s">
        <v>69</v>
      </c>
      <c r="AA627" t="s">
        <v>1884</v>
      </c>
      <c r="AB627" t="s">
        <v>3</v>
      </c>
      <c r="AC627" t="s">
        <v>138</v>
      </c>
      <c r="AD627" t="s">
        <v>128</v>
      </c>
      <c r="AE627" s="97">
        <f>VLOOKUP(A:A,SUMMERY!AA:AC,2,FALSE)</f>
        <v>46224</v>
      </c>
      <c r="AF627" s="6" t="str">
        <f>VLOOKUP(A:A,SUMMERY!AA:AC,3,FALSE)</f>
        <v>Priority-1</v>
      </c>
    </row>
    <row r="628" spans="1:32" x14ac:dyDescent="0.3">
      <c r="A628" t="s">
        <v>3724</v>
      </c>
      <c r="B628" t="s">
        <v>2138</v>
      </c>
      <c r="G628" t="s">
        <v>3619</v>
      </c>
      <c r="H628" t="s">
        <v>132</v>
      </c>
      <c r="I628" t="s">
        <v>2</v>
      </c>
      <c r="J628" t="s">
        <v>133</v>
      </c>
      <c r="K628" t="s">
        <v>52</v>
      </c>
      <c r="L628" t="s">
        <v>2139</v>
      </c>
      <c r="M628" t="s">
        <v>134</v>
      </c>
      <c r="N628" t="s">
        <v>135</v>
      </c>
      <c r="Q628" t="s">
        <v>140</v>
      </c>
      <c r="T628" t="s">
        <v>1936</v>
      </c>
      <c r="U628" t="s">
        <v>137</v>
      </c>
      <c r="V628" t="s">
        <v>640</v>
      </c>
      <c r="X628" t="s">
        <v>66</v>
      </c>
      <c r="AA628" t="s">
        <v>1884</v>
      </c>
      <c r="AB628" t="s">
        <v>3</v>
      </c>
      <c r="AC628" t="s">
        <v>138</v>
      </c>
      <c r="AD628" t="s">
        <v>128</v>
      </c>
      <c r="AE628" s="97">
        <f>VLOOKUP(A:A,SUMMERY!AA:AC,2,FALSE)</f>
        <v>46220</v>
      </c>
      <c r="AF628" s="6" t="str">
        <f>VLOOKUP(A:A,SUMMERY!AA:AC,3,FALSE)</f>
        <v>Priority-1</v>
      </c>
    </row>
    <row r="629" spans="1:32" x14ac:dyDescent="0.3">
      <c r="A629" t="s">
        <v>3725</v>
      </c>
      <c r="B629" t="s">
        <v>2141</v>
      </c>
      <c r="G629" t="s">
        <v>3619</v>
      </c>
      <c r="H629" t="s">
        <v>132</v>
      </c>
      <c r="I629" t="s">
        <v>2</v>
      </c>
      <c r="J629" t="s">
        <v>133</v>
      </c>
      <c r="K629" t="s">
        <v>52</v>
      </c>
      <c r="L629" t="s">
        <v>2139</v>
      </c>
      <c r="M629" t="s">
        <v>134</v>
      </c>
      <c r="N629" t="s">
        <v>135</v>
      </c>
      <c r="Q629" t="s">
        <v>140</v>
      </c>
      <c r="T629" t="s">
        <v>1936</v>
      </c>
      <c r="U629" t="s">
        <v>137</v>
      </c>
      <c r="V629" t="s">
        <v>646</v>
      </c>
      <c r="X629" t="s">
        <v>74</v>
      </c>
      <c r="AA629" t="s">
        <v>1884</v>
      </c>
      <c r="AB629" t="s">
        <v>3</v>
      </c>
      <c r="AC629" t="s">
        <v>138</v>
      </c>
      <c r="AD629" t="s">
        <v>128</v>
      </c>
      <c r="AE629" s="97">
        <f>VLOOKUP(A:A,SUMMERY!AA:AC,2,FALSE)</f>
        <v>46220</v>
      </c>
      <c r="AF629" s="6" t="str">
        <f>VLOOKUP(A:A,SUMMERY!AA:AC,3,FALSE)</f>
        <v>Priority-1</v>
      </c>
    </row>
    <row r="630" spans="1:32" x14ac:dyDescent="0.3">
      <c r="A630" t="s">
        <v>3734</v>
      </c>
      <c r="B630" t="s">
        <v>3735</v>
      </c>
      <c r="G630" t="s">
        <v>3736</v>
      </c>
      <c r="H630" t="s">
        <v>132</v>
      </c>
      <c r="I630" t="s">
        <v>3</v>
      </c>
      <c r="J630" t="s">
        <v>133</v>
      </c>
      <c r="K630" t="s">
        <v>53</v>
      </c>
      <c r="L630" t="s">
        <v>3737</v>
      </c>
      <c r="M630" t="s">
        <v>134</v>
      </c>
      <c r="N630" t="s">
        <v>135</v>
      </c>
      <c r="Q630" t="s">
        <v>1766</v>
      </c>
      <c r="T630" t="s">
        <v>3738</v>
      </c>
      <c r="U630" t="s">
        <v>137</v>
      </c>
      <c r="V630" t="s">
        <v>1279</v>
      </c>
      <c r="W630" s="9">
        <v>46111.504838576388</v>
      </c>
      <c r="X630" t="s">
        <v>71</v>
      </c>
      <c r="AA630" t="s">
        <v>3739</v>
      </c>
      <c r="AB630" t="s">
        <v>3</v>
      </c>
      <c r="AC630" t="s">
        <v>24</v>
      </c>
      <c r="AD630" t="s">
        <v>128</v>
      </c>
      <c r="AE630" s="97">
        <f>VLOOKUP(A:A,SUMMERY!AA:AC,2,FALSE)</f>
        <v>46233</v>
      </c>
      <c r="AF630" s="6" t="str">
        <f>VLOOKUP(A:A,SUMMERY!AA:AC,3,FALSE)</f>
        <v>Priority-1</v>
      </c>
    </row>
    <row r="631" spans="1:32" x14ac:dyDescent="0.3">
      <c r="A631" t="s">
        <v>3740</v>
      </c>
      <c r="B631" t="s">
        <v>3741</v>
      </c>
      <c r="G631" t="s">
        <v>3736</v>
      </c>
      <c r="H631" t="s">
        <v>132</v>
      </c>
      <c r="I631" t="s">
        <v>3</v>
      </c>
      <c r="J631" t="s">
        <v>133</v>
      </c>
      <c r="K631" t="s">
        <v>53</v>
      </c>
      <c r="L631" t="s">
        <v>3737</v>
      </c>
      <c r="M631" t="s">
        <v>134</v>
      </c>
      <c r="N631" t="s">
        <v>135</v>
      </c>
      <c r="Q631" t="s">
        <v>1766</v>
      </c>
      <c r="T631" t="s">
        <v>3738</v>
      </c>
      <c r="U631" t="s">
        <v>137</v>
      </c>
      <c r="V631" t="s">
        <v>1283</v>
      </c>
      <c r="W631" s="9">
        <v>46111.505287881948</v>
      </c>
      <c r="X631" t="s">
        <v>78</v>
      </c>
      <c r="AA631" t="s">
        <v>3739</v>
      </c>
      <c r="AB631" t="s">
        <v>3</v>
      </c>
      <c r="AC631" t="s">
        <v>24</v>
      </c>
      <c r="AD631" t="s">
        <v>128</v>
      </c>
      <c r="AE631" s="97">
        <f>VLOOKUP(A:A,SUMMERY!AA:AC,2,FALSE)</f>
        <v>46234</v>
      </c>
      <c r="AF631" s="6" t="str">
        <f>VLOOKUP(A:A,SUMMERY!AA:AC,3,FALSE)</f>
        <v>Priority-1</v>
      </c>
    </row>
    <row r="632" spans="1:32" x14ac:dyDescent="0.3">
      <c r="A632" t="s">
        <v>3753</v>
      </c>
      <c r="B632" t="s">
        <v>1886</v>
      </c>
      <c r="G632" t="s">
        <v>3752</v>
      </c>
      <c r="H632" t="s">
        <v>132</v>
      </c>
      <c r="I632" t="s">
        <v>3</v>
      </c>
      <c r="J632" t="s">
        <v>133</v>
      </c>
      <c r="K632" t="s">
        <v>53</v>
      </c>
      <c r="L632" t="s">
        <v>1887</v>
      </c>
      <c r="M632" t="s">
        <v>134</v>
      </c>
      <c r="N632" t="s">
        <v>135</v>
      </c>
      <c r="Q632" t="s">
        <v>140</v>
      </c>
      <c r="T632" t="s">
        <v>1888</v>
      </c>
      <c r="U632" t="s">
        <v>137</v>
      </c>
      <c r="V632" t="s">
        <v>147</v>
      </c>
      <c r="W632" s="9">
        <v>46067.230888078702</v>
      </c>
      <c r="X632" t="s">
        <v>70</v>
      </c>
      <c r="AA632" t="s">
        <v>1884</v>
      </c>
      <c r="AB632" t="s">
        <v>3</v>
      </c>
      <c r="AC632" t="s">
        <v>24</v>
      </c>
      <c r="AD632" t="s">
        <v>128</v>
      </c>
      <c r="AE632" s="97">
        <f>VLOOKUP(A:A,SUMMERY!AA:AC,2,FALSE)</f>
        <v>46220</v>
      </c>
      <c r="AF632" s="6" t="str">
        <f>VLOOKUP(A:A,SUMMERY!AA:AC,3,FALSE)</f>
        <v>Priority-1</v>
      </c>
    </row>
    <row r="633" spans="1:32" x14ac:dyDescent="0.3">
      <c r="A633" t="s">
        <v>3754</v>
      </c>
      <c r="B633" t="s">
        <v>1890</v>
      </c>
      <c r="G633" t="s">
        <v>3752</v>
      </c>
      <c r="H633" t="s">
        <v>132</v>
      </c>
      <c r="I633" t="s">
        <v>3</v>
      </c>
      <c r="J633" t="s">
        <v>133</v>
      </c>
      <c r="K633" t="s">
        <v>53</v>
      </c>
      <c r="L633" t="s">
        <v>1891</v>
      </c>
      <c r="M633" t="s">
        <v>134</v>
      </c>
      <c r="N633" t="s">
        <v>135</v>
      </c>
      <c r="Q633" t="s">
        <v>140</v>
      </c>
      <c r="T633" t="s">
        <v>1892</v>
      </c>
      <c r="U633" t="s">
        <v>137</v>
      </c>
      <c r="V633" t="s">
        <v>150</v>
      </c>
      <c r="W633" s="9">
        <v>46067.231154594905</v>
      </c>
      <c r="X633" t="s">
        <v>76</v>
      </c>
      <c r="AA633" t="s">
        <v>1884</v>
      </c>
      <c r="AB633" t="s">
        <v>3</v>
      </c>
      <c r="AC633" t="s">
        <v>24</v>
      </c>
      <c r="AD633" t="s">
        <v>128</v>
      </c>
      <c r="AE633" s="97">
        <f>VLOOKUP(A:A,SUMMERY!AA:AC,2,FALSE)</f>
        <v>46233</v>
      </c>
      <c r="AF633" s="6" t="str">
        <f>VLOOKUP(A:A,SUMMERY!AA:AC,3,FALSE)</f>
        <v>Priority-1</v>
      </c>
    </row>
    <row r="634" spans="1:32" x14ac:dyDescent="0.3">
      <c r="A634" t="s">
        <v>3760</v>
      </c>
      <c r="B634" t="s">
        <v>1914</v>
      </c>
      <c r="G634" t="s">
        <v>3752</v>
      </c>
      <c r="H634" t="s">
        <v>132</v>
      </c>
      <c r="I634" t="s">
        <v>3</v>
      </c>
      <c r="J634" t="s">
        <v>133</v>
      </c>
      <c r="K634" t="s">
        <v>53</v>
      </c>
      <c r="L634" t="s">
        <v>1915</v>
      </c>
      <c r="M634" t="s">
        <v>134</v>
      </c>
      <c r="N634" t="s">
        <v>135</v>
      </c>
      <c r="Q634" t="s">
        <v>140</v>
      </c>
      <c r="T634" t="s">
        <v>1916</v>
      </c>
      <c r="U634" t="s">
        <v>137</v>
      </c>
      <c r="V634" t="s">
        <v>362</v>
      </c>
      <c r="W634" s="9">
        <v>46125.290504247685</v>
      </c>
      <c r="X634" t="s">
        <v>58</v>
      </c>
      <c r="AA634" t="s">
        <v>1884</v>
      </c>
      <c r="AB634" t="s">
        <v>3</v>
      </c>
      <c r="AC634" t="s">
        <v>24</v>
      </c>
      <c r="AD634" t="s">
        <v>128</v>
      </c>
      <c r="AE634" s="97">
        <f>VLOOKUP(A:A,SUMMERY!AA:AC,2,FALSE)</f>
        <v>46220</v>
      </c>
      <c r="AF634" s="6" t="str">
        <f>VLOOKUP(A:A,SUMMERY!AA:AC,3,FALSE)</f>
        <v>Priority-1</v>
      </c>
    </row>
    <row r="635" spans="1:32" x14ac:dyDescent="0.3">
      <c r="A635" t="s">
        <v>3761</v>
      </c>
      <c r="B635" t="s">
        <v>1918</v>
      </c>
      <c r="G635" t="s">
        <v>3752</v>
      </c>
      <c r="H635" t="s">
        <v>132</v>
      </c>
      <c r="I635" t="s">
        <v>3</v>
      </c>
      <c r="J635" t="s">
        <v>133</v>
      </c>
      <c r="K635" t="s">
        <v>53</v>
      </c>
      <c r="L635" t="s">
        <v>1919</v>
      </c>
      <c r="M635" t="s">
        <v>134</v>
      </c>
      <c r="N635" t="s">
        <v>135</v>
      </c>
      <c r="Q635" t="s">
        <v>140</v>
      </c>
      <c r="T635" t="s">
        <v>1920</v>
      </c>
      <c r="U635" t="s">
        <v>137</v>
      </c>
      <c r="V635" t="s">
        <v>403</v>
      </c>
      <c r="W635" s="9">
        <v>46046.534168090278</v>
      </c>
      <c r="X635" t="s">
        <v>68</v>
      </c>
      <c r="AA635" t="s">
        <v>1884</v>
      </c>
      <c r="AB635" t="s">
        <v>3</v>
      </c>
      <c r="AC635" t="s">
        <v>24</v>
      </c>
      <c r="AD635" t="s">
        <v>128</v>
      </c>
      <c r="AE635" s="97">
        <f>VLOOKUP(A:A,SUMMERY!AA:AC,2,FALSE)</f>
        <v>46233</v>
      </c>
      <c r="AF635" s="6" t="str">
        <f>VLOOKUP(A:A,SUMMERY!AA:AC,3,FALSE)</f>
        <v>Priority-1</v>
      </c>
    </row>
    <row r="636" spans="1:32" x14ac:dyDescent="0.3">
      <c r="A636" t="s">
        <v>3762</v>
      </c>
      <c r="B636" t="s">
        <v>1922</v>
      </c>
      <c r="G636" t="s">
        <v>3752</v>
      </c>
      <c r="H636" t="s">
        <v>132</v>
      </c>
      <c r="I636" t="s">
        <v>3</v>
      </c>
      <c r="J636" t="s">
        <v>133</v>
      </c>
      <c r="K636" t="s">
        <v>53</v>
      </c>
      <c r="L636" t="s">
        <v>1919</v>
      </c>
      <c r="M636" t="s">
        <v>134</v>
      </c>
      <c r="N636" t="s">
        <v>135</v>
      </c>
      <c r="Q636" t="s">
        <v>140</v>
      </c>
      <c r="T636" t="s">
        <v>1920</v>
      </c>
      <c r="U636" t="s">
        <v>137</v>
      </c>
      <c r="V636" t="s">
        <v>407</v>
      </c>
      <c r="W636" s="9">
        <v>46046.534981099539</v>
      </c>
      <c r="X636" t="s">
        <v>77</v>
      </c>
      <c r="AA636" t="s">
        <v>1884</v>
      </c>
      <c r="AB636" t="s">
        <v>3</v>
      </c>
      <c r="AC636" t="s">
        <v>24</v>
      </c>
      <c r="AD636" t="s">
        <v>128</v>
      </c>
      <c r="AE636" s="97">
        <f>VLOOKUP(A:A,SUMMERY!AA:AC,2,FALSE)</f>
        <v>46233</v>
      </c>
      <c r="AF636" s="6" t="str">
        <f>VLOOKUP(A:A,SUMMERY!AA:AC,3,FALSE)</f>
        <v>Priority-1</v>
      </c>
    </row>
    <row r="637" spans="1:32" x14ac:dyDescent="0.3">
      <c r="A637" t="s">
        <v>3768</v>
      </c>
      <c r="B637" t="s">
        <v>1934</v>
      </c>
      <c r="G637" t="s">
        <v>3752</v>
      </c>
      <c r="H637" t="s">
        <v>132</v>
      </c>
      <c r="I637" t="s">
        <v>3</v>
      </c>
      <c r="J637" t="s">
        <v>133</v>
      </c>
      <c r="K637" t="s">
        <v>53</v>
      </c>
      <c r="L637" t="s">
        <v>1935</v>
      </c>
      <c r="M637" t="s">
        <v>134</v>
      </c>
      <c r="N637" t="s">
        <v>135</v>
      </c>
      <c r="Q637" t="s">
        <v>140</v>
      </c>
      <c r="T637" t="s">
        <v>1936</v>
      </c>
      <c r="U637" t="s">
        <v>137</v>
      </c>
      <c r="V637" t="s">
        <v>640</v>
      </c>
      <c r="W637" s="9">
        <v>46046.538140706019</v>
      </c>
      <c r="X637" t="s">
        <v>66</v>
      </c>
      <c r="AA637" t="s">
        <v>1884</v>
      </c>
      <c r="AB637" t="s">
        <v>3</v>
      </c>
      <c r="AC637" t="s">
        <v>24</v>
      </c>
      <c r="AD637" t="s">
        <v>128</v>
      </c>
      <c r="AE637" s="97">
        <f>VLOOKUP(A:A,SUMMERY!AA:AC,2,FALSE)</f>
        <v>46220</v>
      </c>
      <c r="AF637" s="6" t="str">
        <f>VLOOKUP(A:A,SUMMERY!AA:AC,3,FALSE)</f>
        <v>Priority-1</v>
      </c>
    </row>
    <row r="638" spans="1:32" x14ac:dyDescent="0.3">
      <c r="A638" t="s">
        <v>3769</v>
      </c>
      <c r="B638" t="s">
        <v>1938</v>
      </c>
      <c r="G638" t="s">
        <v>3752</v>
      </c>
      <c r="H638" t="s">
        <v>132</v>
      </c>
      <c r="I638" t="s">
        <v>3</v>
      </c>
      <c r="J638" t="s">
        <v>133</v>
      </c>
      <c r="K638" t="s">
        <v>53</v>
      </c>
      <c r="L638" t="s">
        <v>1935</v>
      </c>
      <c r="M638" t="s">
        <v>134</v>
      </c>
      <c r="N638" t="s">
        <v>135</v>
      </c>
      <c r="Q638" t="s">
        <v>140</v>
      </c>
      <c r="T638" t="s">
        <v>1936</v>
      </c>
      <c r="U638" t="s">
        <v>137</v>
      </c>
      <c r="V638" t="s">
        <v>646</v>
      </c>
      <c r="W638" s="9">
        <v>46046.538459872689</v>
      </c>
      <c r="X638" t="s">
        <v>74</v>
      </c>
      <c r="AA638" t="s">
        <v>1884</v>
      </c>
      <c r="AB638" t="s">
        <v>3</v>
      </c>
      <c r="AC638" t="s">
        <v>24</v>
      </c>
      <c r="AD638" t="s">
        <v>128</v>
      </c>
      <c r="AE638" s="97">
        <f>VLOOKUP(A:A,SUMMERY!AA:AC,2,FALSE)</f>
        <v>46220</v>
      </c>
      <c r="AF638" s="6" t="str">
        <f>VLOOKUP(A:A,SUMMERY!AA:AC,3,FALSE)</f>
        <v>Priority-1</v>
      </c>
    </row>
    <row r="639" spans="1:32" x14ac:dyDescent="0.3">
      <c r="A639" t="s">
        <v>3774</v>
      </c>
      <c r="B639" t="s">
        <v>1948</v>
      </c>
      <c r="G639" t="s">
        <v>3752</v>
      </c>
      <c r="H639" t="s">
        <v>132</v>
      </c>
      <c r="I639" t="s">
        <v>3</v>
      </c>
      <c r="J639" t="s">
        <v>133</v>
      </c>
      <c r="K639" t="s">
        <v>53</v>
      </c>
      <c r="L639" t="s">
        <v>1949</v>
      </c>
      <c r="M639" t="s">
        <v>134</v>
      </c>
      <c r="N639" t="s">
        <v>135</v>
      </c>
      <c r="Q639" t="s">
        <v>140</v>
      </c>
      <c r="T639" t="s">
        <v>1950</v>
      </c>
      <c r="U639" t="s">
        <v>137</v>
      </c>
      <c r="V639" t="s">
        <v>1190</v>
      </c>
      <c r="W639" s="9">
        <v>46111.496258946761</v>
      </c>
      <c r="X639" t="s">
        <v>67</v>
      </c>
      <c r="AA639" t="s">
        <v>1884</v>
      </c>
      <c r="AB639" t="s">
        <v>3</v>
      </c>
      <c r="AC639" t="s">
        <v>24</v>
      </c>
      <c r="AD639" t="s">
        <v>128</v>
      </c>
      <c r="AE639" s="97">
        <f>VLOOKUP(A:A,SUMMERY!AA:AC,2,FALSE)</f>
        <v>46220</v>
      </c>
      <c r="AF639" s="6" t="str">
        <f>VLOOKUP(A:A,SUMMERY!AA:AC,3,FALSE)</f>
        <v>Priority-1</v>
      </c>
    </row>
    <row r="640" spans="1:32" x14ac:dyDescent="0.3">
      <c r="A640" t="s">
        <v>3775</v>
      </c>
      <c r="B640" t="s">
        <v>1952</v>
      </c>
      <c r="G640" t="s">
        <v>3752</v>
      </c>
      <c r="H640" t="s">
        <v>132</v>
      </c>
      <c r="I640" t="s">
        <v>3</v>
      </c>
      <c r="J640" t="s">
        <v>133</v>
      </c>
      <c r="K640" t="s">
        <v>53</v>
      </c>
      <c r="L640" t="s">
        <v>1949</v>
      </c>
      <c r="M640" t="s">
        <v>134</v>
      </c>
      <c r="N640" t="s">
        <v>135</v>
      </c>
      <c r="Q640" t="s">
        <v>140</v>
      </c>
      <c r="T640" t="s">
        <v>1950</v>
      </c>
      <c r="U640" t="s">
        <v>137</v>
      </c>
      <c r="V640" t="s">
        <v>1194</v>
      </c>
      <c r="W640" s="9">
        <v>46111.498169872684</v>
      </c>
      <c r="X640" t="s">
        <v>75</v>
      </c>
      <c r="AA640" t="s">
        <v>1884</v>
      </c>
      <c r="AB640" t="s">
        <v>3</v>
      </c>
      <c r="AC640" t="s">
        <v>24</v>
      </c>
      <c r="AD640" t="s">
        <v>128</v>
      </c>
      <c r="AE640" s="97">
        <f>VLOOKUP(A:A,SUMMERY!AA:AC,2,FALSE)</f>
        <v>46220</v>
      </c>
      <c r="AF640" s="6" t="str">
        <f>VLOOKUP(A:A,SUMMERY!AA:AC,3,FALSE)</f>
        <v>Priority-1</v>
      </c>
    </row>
    <row r="641" spans="1:32" x14ac:dyDescent="0.3">
      <c r="A641" t="s">
        <v>3781</v>
      </c>
      <c r="B641" t="s">
        <v>1964</v>
      </c>
      <c r="G641" t="s">
        <v>3752</v>
      </c>
      <c r="H641" t="s">
        <v>132</v>
      </c>
      <c r="I641" t="s">
        <v>3</v>
      </c>
      <c r="J641" t="s">
        <v>133</v>
      </c>
      <c r="K641" t="s">
        <v>53</v>
      </c>
      <c r="L641" t="s">
        <v>1965</v>
      </c>
      <c r="M641" t="s">
        <v>134</v>
      </c>
      <c r="N641" t="s">
        <v>135</v>
      </c>
      <c r="Q641" t="s">
        <v>140</v>
      </c>
      <c r="S641" t="s">
        <v>140</v>
      </c>
      <c r="T641" t="s">
        <v>1966</v>
      </c>
      <c r="U641" t="s">
        <v>137</v>
      </c>
      <c r="V641" t="s">
        <v>1967</v>
      </c>
      <c r="W641" s="9">
        <v>46135.436715243057</v>
      </c>
      <c r="X641" t="s">
        <v>125</v>
      </c>
      <c r="AA641" t="s">
        <v>1884</v>
      </c>
      <c r="AB641" t="s">
        <v>3</v>
      </c>
      <c r="AC641" t="s">
        <v>24</v>
      </c>
      <c r="AD641" t="s">
        <v>131</v>
      </c>
      <c r="AE641" s="97">
        <f>VLOOKUP(A:A,SUMMERY!AA:AC,2,FALSE)</f>
        <v>46234</v>
      </c>
      <c r="AF641" s="6" t="str">
        <f>VLOOKUP(A:A,SUMMERY!AA:AC,3,FALSE)</f>
        <v>Priority-2</v>
      </c>
    </row>
    <row r="642" spans="1:32" x14ac:dyDescent="0.3">
      <c r="A642" t="s">
        <v>3782</v>
      </c>
      <c r="B642" t="s">
        <v>1969</v>
      </c>
      <c r="G642" t="s">
        <v>3752</v>
      </c>
      <c r="H642" t="s">
        <v>132</v>
      </c>
      <c r="I642" t="s">
        <v>3</v>
      </c>
      <c r="J642" t="s">
        <v>133</v>
      </c>
      <c r="K642" t="s">
        <v>53</v>
      </c>
      <c r="L642" t="s">
        <v>1970</v>
      </c>
      <c r="M642" t="s">
        <v>134</v>
      </c>
      <c r="N642" t="s">
        <v>135</v>
      </c>
      <c r="Q642" t="s">
        <v>140</v>
      </c>
      <c r="S642" t="s">
        <v>140</v>
      </c>
      <c r="T642" t="s">
        <v>1966</v>
      </c>
      <c r="U642" t="s">
        <v>137</v>
      </c>
      <c r="V642" t="s">
        <v>1967</v>
      </c>
      <c r="W642" s="9">
        <v>46135.437120104165</v>
      </c>
      <c r="X642" t="s">
        <v>125</v>
      </c>
      <c r="AA642" t="s">
        <v>1884</v>
      </c>
      <c r="AB642" t="s">
        <v>3</v>
      </c>
      <c r="AC642" t="s">
        <v>24</v>
      </c>
      <c r="AD642" t="s">
        <v>131</v>
      </c>
      <c r="AE642" s="97">
        <f>VLOOKUP(A:A,SUMMERY!AA:AC,2,FALSE)</f>
        <v>46234</v>
      </c>
      <c r="AF642" s="6" t="str">
        <f>VLOOKUP(A:A,SUMMERY!AA:AC,3,FALSE)</f>
        <v>Priority-2</v>
      </c>
    </row>
    <row r="643" spans="1:32" x14ac:dyDescent="0.3">
      <c r="A643" t="s">
        <v>3783</v>
      </c>
      <c r="B643" t="s">
        <v>1972</v>
      </c>
      <c r="G643" t="s">
        <v>3752</v>
      </c>
      <c r="H643" t="s">
        <v>132</v>
      </c>
      <c r="I643" t="s">
        <v>3</v>
      </c>
      <c r="J643" t="s">
        <v>133</v>
      </c>
      <c r="K643" t="s">
        <v>53</v>
      </c>
      <c r="L643" t="s">
        <v>1973</v>
      </c>
      <c r="M643" t="s">
        <v>134</v>
      </c>
      <c r="N643" t="s">
        <v>135</v>
      </c>
      <c r="Q643" t="s">
        <v>140</v>
      </c>
      <c r="T643" t="s">
        <v>1974</v>
      </c>
      <c r="U643" t="s">
        <v>137</v>
      </c>
      <c r="V643" t="s">
        <v>703</v>
      </c>
      <c r="W643" s="9">
        <v>46203.575330590276</v>
      </c>
      <c r="X643" t="s">
        <v>62</v>
      </c>
      <c r="AA643" t="s">
        <v>1884</v>
      </c>
      <c r="AB643" t="s">
        <v>3</v>
      </c>
      <c r="AC643" t="s">
        <v>24</v>
      </c>
      <c r="AD643" t="s">
        <v>128</v>
      </c>
      <c r="AE643" s="97">
        <f>VLOOKUP(A:A,SUMMERY!AA:AC,2,FALSE)</f>
        <v>46220</v>
      </c>
      <c r="AF643" s="6" t="str">
        <f>VLOOKUP(A:A,SUMMERY!AA:AC,3,FALSE)</f>
        <v>Priority-1</v>
      </c>
    </row>
    <row r="644" spans="1:32" x14ac:dyDescent="0.3">
      <c r="A644" t="s">
        <v>3784</v>
      </c>
      <c r="B644" t="s">
        <v>1976</v>
      </c>
      <c r="G644" t="s">
        <v>3752</v>
      </c>
      <c r="H644" t="s">
        <v>132</v>
      </c>
      <c r="I644" t="s">
        <v>3</v>
      </c>
      <c r="J644" t="s">
        <v>133</v>
      </c>
      <c r="K644" t="s">
        <v>53</v>
      </c>
      <c r="L644" t="s">
        <v>1973</v>
      </c>
      <c r="M644" t="s">
        <v>134</v>
      </c>
      <c r="N644" t="s">
        <v>135</v>
      </c>
      <c r="Q644" t="s">
        <v>140</v>
      </c>
      <c r="T644" t="s">
        <v>1974</v>
      </c>
      <c r="U644" t="s">
        <v>137</v>
      </c>
      <c r="V644" t="s">
        <v>703</v>
      </c>
      <c r="W644" s="9">
        <v>46203.575727430558</v>
      </c>
      <c r="X644" t="s">
        <v>62</v>
      </c>
      <c r="AA644" t="s">
        <v>1884</v>
      </c>
      <c r="AB644" t="s">
        <v>3</v>
      </c>
      <c r="AC644" t="s">
        <v>24</v>
      </c>
      <c r="AD644" t="s">
        <v>128</v>
      </c>
      <c r="AE644" s="97">
        <f>VLOOKUP(A:A,SUMMERY!AA:AC,2,FALSE)</f>
        <v>46220</v>
      </c>
      <c r="AF644" s="6" t="str">
        <f>VLOOKUP(A:A,SUMMERY!AA:AC,3,FALSE)</f>
        <v>Priority-1</v>
      </c>
    </row>
    <row r="645" spans="1:32" x14ac:dyDescent="0.3">
      <c r="A645" t="s">
        <v>3785</v>
      </c>
      <c r="B645" t="s">
        <v>1978</v>
      </c>
      <c r="G645" t="s">
        <v>3752</v>
      </c>
      <c r="H645" t="s">
        <v>132</v>
      </c>
      <c r="I645" t="s">
        <v>3</v>
      </c>
      <c r="J645" t="s">
        <v>133</v>
      </c>
      <c r="K645" t="s">
        <v>53</v>
      </c>
      <c r="L645" t="s">
        <v>1979</v>
      </c>
      <c r="M645" t="s">
        <v>134</v>
      </c>
      <c r="N645" t="s">
        <v>135</v>
      </c>
      <c r="Q645" t="s">
        <v>140</v>
      </c>
      <c r="T645" t="s">
        <v>1888</v>
      </c>
      <c r="U645" t="s">
        <v>137</v>
      </c>
      <c r="V645" t="s">
        <v>147</v>
      </c>
      <c r="W645" s="9">
        <v>46116.318368518521</v>
      </c>
      <c r="X645" t="s">
        <v>70</v>
      </c>
      <c r="AA645" t="s">
        <v>1884</v>
      </c>
      <c r="AB645" t="s">
        <v>3</v>
      </c>
      <c r="AC645" t="s">
        <v>24</v>
      </c>
      <c r="AD645" t="s">
        <v>128</v>
      </c>
      <c r="AE645" s="97">
        <f>VLOOKUP(A:A,SUMMERY!AA:AC,2,FALSE)</f>
        <v>46220</v>
      </c>
      <c r="AF645" s="6" t="str">
        <f>VLOOKUP(A:A,SUMMERY!AA:AC,3,FALSE)</f>
        <v>Priority-1</v>
      </c>
    </row>
    <row r="646" spans="1:32" x14ac:dyDescent="0.3">
      <c r="A646" t="s">
        <v>3786</v>
      </c>
      <c r="B646" t="s">
        <v>1981</v>
      </c>
      <c r="G646" t="s">
        <v>3752</v>
      </c>
      <c r="H646" t="s">
        <v>132</v>
      </c>
      <c r="I646" t="s">
        <v>3</v>
      </c>
      <c r="J646" t="s">
        <v>133</v>
      </c>
      <c r="K646" t="s">
        <v>53</v>
      </c>
      <c r="L646" t="s">
        <v>1979</v>
      </c>
      <c r="M646" t="s">
        <v>134</v>
      </c>
      <c r="N646" t="s">
        <v>135</v>
      </c>
      <c r="Q646" t="s">
        <v>140</v>
      </c>
      <c r="T646" t="s">
        <v>1892</v>
      </c>
      <c r="U646" t="s">
        <v>137</v>
      </c>
      <c r="V646" t="s">
        <v>150</v>
      </c>
      <c r="W646" s="9">
        <v>46116.456831331016</v>
      </c>
      <c r="X646" t="s">
        <v>76</v>
      </c>
      <c r="AA646" t="s">
        <v>1884</v>
      </c>
      <c r="AB646" t="s">
        <v>3</v>
      </c>
      <c r="AC646" t="s">
        <v>24</v>
      </c>
      <c r="AD646" t="s">
        <v>128</v>
      </c>
      <c r="AE646" s="97">
        <f>VLOOKUP(A:A,SUMMERY!AA:AC,2,FALSE)</f>
        <v>46233</v>
      </c>
      <c r="AF646" s="6" t="str">
        <f>VLOOKUP(A:A,SUMMERY!AA:AC,3,FALSE)</f>
        <v>Priority-1</v>
      </c>
    </row>
    <row r="647" spans="1:32" x14ac:dyDescent="0.3">
      <c r="A647" t="s">
        <v>3792</v>
      </c>
      <c r="B647" t="s">
        <v>1993</v>
      </c>
      <c r="G647" t="s">
        <v>3752</v>
      </c>
      <c r="H647" t="s">
        <v>132</v>
      </c>
      <c r="I647" t="s">
        <v>3</v>
      </c>
      <c r="J647" t="s">
        <v>133</v>
      </c>
      <c r="K647" t="s">
        <v>53</v>
      </c>
      <c r="L647" t="s">
        <v>1979</v>
      </c>
      <c r="M647" t="s">
        <v>134</v>
      </c>
      <c r="N647" t="s">
        <v>135</v>
      </c>
      <c r="Q647" t="s">
        <v>140</v>
      </c>
      <c r="T647" t="s">
        <v>1888</v>
      </c>
      <c r="U647" t="s">
        <v>137</v>
      </c>
      <c r="V647" t="s">
        <v>147</v>
      </c>
      <c r="W647" s="9">
        <v>46117.473299039353</v>
      </c>
      <c r="X647" t="s">
        <v>70</v>
      </c>
      <c r="AA647" t="s">
        <v>1884</v>
      </c>
      <c r="AB647" t="s">
        <v>3</v>
      </c>
      <c r="AC647" t="s">
        <v>24</v>
      </c>
      <c r="AD647" t="s">
        <v>128</v>
      </c>
      <c r="AE647" s="97">
        <f>VLOOKUP(A:A,SUMMERY!AA:AC,2,FALSE)</f>
        <v>46220</v>
      </c>
      <c r="AF647" s="6" t="str">
        <f>VLOOKUP(A:A,SUMMERY!AA:AC,3,FALSE)</f>
        <v>Priority-1</v>
      </c>
    </row>
    <row r="648" spans="1:32" x14ac:dyDescent="0.3">
      <c r="A648" t="s">
        <v>3793</v>
      </c>
      <c r="B648" t="s">
        <v>1995</v>
      </c>
      <c r="G648" t="s">
        <v>3752</v>
      </c>
      <c r="H648" t="s">
        <v>132</v>
      </c>
      <c r="I648" t="s">
        <v>3</v>
      </c>
      <c r="J648" t="s">
        <v>133</v>
      </c>
      <c r="K648" t="s">
        <v>53</v>
      </c>
      <c r="L648" t="s">
        <v>1979</v>
      </c>
      <c r="M648" t="s">
        <v>134</v>
      </c>
      <c r="N648" t="s">
        <v>135</v>
      </c>
      <c r="Q648" t="s">
        <v>140</v>
      </c>
      <c r="T648" t="s">
        <v>1892</v>
      </c>
      <c r="U648" t="s">
        <v>137</v>
      </c>
      <c r="V648" t="s">
        <v>150</v>
      </c>
      <c r="W648" s="9">
        <v>46117.473562928244</v>
      </c>
      <c r="X648" t="s">
        <v>76</v>
      </c>
      <c r="AA648" t="s">
        <v>1884</v>
      </c>
      <c r="AB648" t="s">
        <v>3</v>
      </c>
      <c r="AC648" t="s">
        <v>24</v>
      </c>
      <c r="AD648" t="s">
        <v>128</v>
      </c>
      <c r="AE648" s="97">
        <f>VLOOKUP(A:A,SUMMERY!AA:AC,2,FALSE)</f>
        <v>46233</v>
      </c>
      <c r="AF648" s="6" t="str">
        <f>VLOOKUP(A:A,SUMMERY!AA:AC,3,FALSE)</f>
        <v>Priority-1</v>
      </c>
    </row>
    <row r="649" spans="1:32" x14ac:dyDescent="0.3">
      <c r="A649" t="s">
        <v>3799</v>
      </c>
      <c r="B649" t="s">
        <v>2007</v>
      </c>
      <c r="G649" t="s">
        <v>3752</v>
      </c>
      <c r="H649" t="s">
        <v>132</v>
      </c>
      <c r="I649" t="s">
        <v>3</v>
      </c>
      <c r="J649" t="s">
        <v>133</v>
      </c>
      <c r="K649" t="s">
        <v>53</v>
      </c>
      <c r="L649" t="s">
        <v>1973</v>
      </c>
      <c r="M649" t="s">
        <v>134</v>
      </c>
      <c r="N649" t="s">
        <v>135</v>
      </c>
      <c r="Q649" t="s">
        <v>140</v>
      </c>
      <c r="T649" t="s">
        <v>1974</v>
      </c>
      <c r="U649" t="s">
        <v>137</v>
      </c>
      <c r="V649" t="s">
        <v>709</v>
      </c>
      <c r="W649" s="9">
        <v>46203.576536192129</v>
      </c>
      <c r="X649" t="s">
        <v>73</v>
      </c>
      <c r="AA649" t="s">
        <v>1884</v>
      </c>
      <c r="AB649" t="s">
        <v>3</v>
      </c>
      <c r="AC649" t="s">
        <v>24</v>
      </c>
      <c r="AD649" t="s">
        <v>128</v>
      </c>
      <c r="AE649" s="97">
        <f>VLOOKUP(A:A,SUMMERY!AA:AC,2,FALSE)</f>
        <v>46220</v>
      </c>
      <c r="AF649" s="6" t="str">
        <f>VLOOKUP(A:A,SUMMERY!AA:AC,3,FALSE)</f>
        <v>Priority-1</v>
      </c>
    </row>
    <row r="650" spans="1:32" x14ac:dyDescent="0.3">
      <c r="A650" t="s">
        <v>3800</v>
      </c>
      <c r="B650" t="s">
        <v>2009</v>
      </c>
      <c r="G650" t="s">
        <v>3752</v>
      </c>
      <c r="H650" t="s">
        <v>132</v>
      </c>
      <c r="I650" t="s">
        <v>3</v>
      </c>
      <c r="J650" t="s">
        <v>133</v>
      </c>
      <c r="K650" t="s">
        <v>53</v>
      </c>
      <c r="L650" t="s">
        <v>1973</v>
      </c>
      <c r="M650" t="s">
        <v>134</v>
      </c>
      <c r="N650" t="s">
        <v>135</v>
      </c>
      <c r="Q650" t="s">
        <v>140</v>
      </c>
      <c r="T650" t="s">
        <v>1974</v>
      </c>
      <c r="U650" t="s">
        <v>137</v>
      </c>
      <c r="V650" t="s">
        <v>709</v>
      </c>
      <c r="W650" s="9">
        <v>46203.577061574077</v>
      </c>
      <c r="X650" t="s">
        <v>73</v>
      </c>
      <c r="AA650" t="s">
        <v>1884</v>
      </c>
      <c r="AB650" t="s">
        <v>3</v>
      </c>
      <c r="AC650" t="s">
        <v>24</v>
      </c>
      <c r="AD650" t="s">
        <v>128</v>
      </c>
      <c r="AE650" s="97">
        <f>VLOOKUP(A:A,SUMMERY!AA:AC,2,FALSE)</f>
        <v>46220</v>
      </c>
      <c r="AF650" s="6" t="str">
        <f>VLOOKUP(A:A,SUMMERY!AA:AC,3,FALSE)</f>
        <v>Priority-1</v>
      </c>
    </row>
    <row r="651" spans="1:32" x14ac:dyDescent="0.3">
      <c r="A651" t="s">
        <v>3811</v>
      </c>
      <c r="B651" t="s">
        <v>2031</v>
      </c>
      <c r="G651" t="s">
        <v>3752</v>
      </c>
      <c r="H651" t="s">
        <v>132</v>
      </c>
      <c r="I651" t="s">
        <v>3</v>
      </c>
      <c r="J651" t="s">
        <v>133</v>
      </c>
      <c r="K651" t="s">
        <v>53</v>
      </c>
      <c r="L651" t="s">
        <v>2032</v>
      </c>
      <c r="M651" t="s">
        <v>134</v>
      </c>
      <c r="N651" t="s">
        <v>135</v>
      </c>
      <c r="Q651" t="s">
        <v>140</v>
      </c>
      <c r="T651" t="s">
        <v>1936</v>
      </c>
      <c r="U651" t="s">
        <v>137</v>
      </c>
      <c r="V651" t="s">
        <v>640</v>
      </c>
      <c r="W651" s="9">
        <v>46137.35127175926</v>
      </c>
      <c r="X651" t="s">
        <v>66</v>
      </c>
      <c r="AA651" t="s">
        <v>1884</v>
      </c>
      <c r="AB651" t="s">
        <v>3</v>
      </c>
      <c r="AC651" t="s">
        <v>24</v>
      </c>
      <c r="AD651" t="s">
        <v>128</v>
      </c>
      <c r="AE651" s="97">
        <f>VLOOKUP(A:A,SUMMERY!AA:AC,2,FALSE)</f>
        <v>46220</v>
      </c>
      <c r="AF651" s="6" t="str">
        <f>VLOOKUP(A:A,SUMMERY!AA:AC,3,FALSE)</f>
        <v>Priority-1</v>
      </c>
    </row>
    <row r="652" spans="1:32" x14ac:dyDescent="0.3">
      <c r="A652" t="s">
        <v>3812</v>
      </c>
      <c r="B652" t="s">
        <v>2034</v>
      </c>
      <c r="G652" t="s">
        <v>3752</v>
      </c>
      <c r="H652" t="s">
        <v>132</v>
      </c>
      <c r="I652" t="s">
        <v>3</v>
      </c>
      <c r="J652" t="s">
        <v>133</v>
      </c>
      <c r="K652" t="s">
        <v>53</v>
      </c>
      <c r="L652" t="s">
        <v>2032</v>
      </c>
      <c r="M652" t="s">
        <v>134</v>
      </c>
      <c r="N652" t="s">
        <v>135</v>
      </c>
      <c r="Q652" t="s">
        <v>140</v>
      </c>
      <c r="T652" t="s">
        <v>1936</v>
      </c>
      <c r="U652" t="s">
        <v>137</v>
      </c>
      <c r="V652" t="s">
        <v>646</v>
      </c>
      <c r="W652" s="9">
        <v>46137.351871678242</v>
      </c>
      <c r="X652" t="s">
        <v>74</v>
      </c>
      <c r="AA652" t="s">
        <v>1884</v>
      </c>
      <c r="AB652" t="s">
        <v>3</v>
      </c>
      <c r="AC652" t="s">
        <v>24</v>
      </c>
      <c r="AD652" t="s">
        <v>128</v>
      </c>
      <c r="AE652" s="97">
        <f>VLOOKUP(A:A,SUMMERY!AA:AC,2,FALSE)</f>
        <v>46220</v>
      </c>
      <c r="AF652" s="6" t="str">
        <f>VLOOKUP(A:A,SUMMERY!AA:AC,3,FALSE)</f>
        <v>Priority-1</v>
      </c>
    </row>
    <row r="653" spans="1:32" x14ac:dyDescent="0.3">
      <c r="A653" t="s">
        <v>3818</v>
      </c>
      <c r="B653" t="s">
        <v>2046</v>
      </c>
      <c r="G653" t="s">
        <v>3752</v>
      </c>
      <c r="H653" t="s">
        <v>132</v>
      </c>
      <c r="I653" t="s">
        <v>3</v>
      </c>
      <c r="J653" t="s">
        <v>133</v>
      </c>
      <c r="K653" t="s">
        <v>53</v>
      </c>
      <c r="L653" t="s">
        <v>1979</v>
      </c>
      <c r="M653" t="s">
        <v>134</v>
      </c>
      <c r="N653" t="s">
        <v>135</v>
      </c>
      <c r="Q653" t="s">
        <v>140</v>
      </c>
      <c r="T653" t="s">
        <v>2047</v>
      </c>
      <c r="U653" t="s">
        <v>137</v>
      </c>
      <c r="V653" t="s">
        <v>1279</v>
      </c>
      <c r="W653" s="9">
        <v>46117.475339583332</v>
      </c>
      <c r="X653" t="s">
        <v>71</v>
      </c>
      <c r="AA653" t="s">
        <v>1884</v>
      </c>
      <c r="AB653" t="s">
        <v>3</v>
      </c>
      <c r="AC653" t="s">
        <v>24</v>
      </c>
      <c r="AD653" t="s">
        <v>128</v>
      </c>
      <c r="AE653" s="97">
        <f>VLOOKUP(A:A,SUMMERY!AA:AC,2,FALSE)</f>
        <v>46233</v>
      </c>
      <c r="AF653" s="6" t="str">
        <f>VLOOKUP(A:A,SUMMERY!AA:AC,3,FALSE)</f>
        <v>Priority-1</v>
      </c>
    </row>
    <row r="654" spans="1:32" x14ac:dyDescent="0.3">
      <c r="A654" t="s">
        <v>3819</v>
      </c>
      <c r="B654" t="s">
        <v>2049</v>
      </c>
      <c r="G654" t="s">
        <v>3752</v>
      </c>
      <c r="H654" t="s">
        <v>132</v>
      </c>
      <c r="I654" t="s">
        <v>3</v>
      </c>
      <c r="J654" t="s">
        <v>133</v>
      </c>
      <c r="K654" t="s">
        <v>53</v>
      </c>
      <c r="L654" t="s">
        <v>1979</v>
      </c>
      <c r="M654" t="s">
        <v>134</v>
      </c>
      <c r="N654" t="s">
        <v>135</v>
      </c>
      <c r="Q654" t="s">
        <v>140</v>
      </c>
      <c r="T654" t="s">
        <v>2047</v>
      </c>
      <c r="U654" t="s">
        <v>137</v>
      </c>
      <c r="V654" t="s">
        <v>1283</v>
      </c>
      <c r="W654" s="9">
        <v>46117.475540243053</v>
      </c>
      <c r="X654" t="s">
        <v>78</v>
      </c>
      <c r="AA654" t="s">
        <v>1884</v>
      </c>
      <c r="AB654" t="s">
        <v>3</v>
      </c>
      <c r="AC654" t="s">
        <v>24</v>
      </c>
      <c r="AD654" t="s">
        <v>128</v>
      </c>
      <c r="AE654" s="97">
        <f>VLOOKUP(A:A,SUMMERY!AA:AC,2,FALSE)</f>
        <v>46234</v>
      </c>
      <c r="AF654" s="6" t="str">
        <f>VLOOKUP(A:A,SUMMERY!AA:AC,3,FALSE)</f>
        <v>Priority-1</v>
      </c>
    </row>
    <row r="655" spans="1:32" x14ac:dyDescent="0.3">
      <c r="A655" t="s">
        <v>3825</v>
      </c>
      <c r="B655" t="s">
        <v>2062</v>
      </c>
      <c r="G655" t="s">
        <v>3752</v>
      </c>
      <c r="H655" t="s">
        <v>132</v>
      </c>
      <c r="I655" t="s">
        <v>3</v>
      </c>
      <c r="J655" t="s">
        <v>133</v>
      </c>
      <c r="K655" t="s">
        <v>53</v>
      </c>
      <c r="L655" t="s">
        <v>2063</v>
      </c>
      <c r="M655" t="s">
        <v>134</v>
      </c>
      <c r="N655" t="s">
        <v>135</v>
      </c>
      <c r="Q655" t="s">
        <v>140</v>
      </c>
      <c r="T655" t="s">
        <v>2064</v>
      </c>
      <c r="U655" t="s">
        <v>137</v>
      </c>
      <c r="V655" t="s">
        <v>703</v>
      </c>
      <c r="W655" s="9">
        <v>46156.433610034721</v>
      </c>
      <c r="X655" t="s">
        <v>62</v>
      </c>
      <c r="AA655" t="s">
        <v>1884</v>
      </c>
      <c r="AB655" t="s">
        <v>3</v>
      </c>
      <c r="AC655" t="s">
        <v>24</v>
      </c>
      <c r="AD655" t="s">
        <v>128</v>
      </c>
      <c r="AE655" s="97">
        <f>VLOOKUP(A:A,SUMMERY!AA:AC,2,FALSE)</f>
        <v>46220</v>
      </c>
      <c r="AF655" s="6" t="str">
        <f>VLOOKUP(A:A,SUMMERY!AA:AC,3,FALSE)</f>
        <v>Priority-1</v>
      </c>
    </row>
    <row r="656" spans="1:32" x14ac:dyDescent="0.3">
      <c r="A656" t="s">
        <v>3826</v>
      </c>
      <c r="B656" t="s">
        <v>2066</v>
      </c>
      <c r="G656" t="s">
        <v>3752</v>
      </c>
      <c r="H656" t="s">
        <v>132</v>
      </c>
      <c r="I656" t="s">
        <v>3</v>
      </c>
      <c r="J656" t="s">
        <v>133</v>
      </c>
      <c r="K656" t="s">
        <v>53</v>
      </c>
      <c r="L656" t="s">
        <v>2063</v>
      </c>
      <c r="M656" t="s">
        <v>134</v>
      </c>
      <c r="N656" t="s">
        <v>135</v>
      </c>
      <c r="Q656" t="s">
        <v>140</v>
      </c>
      <c r="T656" t="s">
        <v>2064</v>
      </c>
      <c r="U656" t="s">
        <v>137</v>
      </c>
      <c r="V656" t="s">
        <v>709</v>
      </c>
      <c r="W656" s="9">
        <v>46156.433924803241</v>
      </c>
      <c r="X656" t="s">
        <v>73</v>
      </c>
      <c r="AA656" t="s">
        <v>1884</v>
      </c>
      <c r="AB656" t="s">
        <v>3</v>
      </c>
      <c r="AC656" t="s">
        <v>24</v>
      </c>
      <c r="AD656" t="s">
        <v>128</v>
      </c>
      <c r="AE656" s="97">
        <f>VLOOKUP(A:A,SUMMERY!AA:AC,2,FALSE)</f>
        <v>46220</v>
      </c>
      <c r="AF656" s="6" t="str">
        <f>VLOOKUP(A:A,SUMMERY!AA:AC,3,FALSE)</f>
        <v>Priority-1</v>
      </c>
    </row>
    <row r="657" spans="1:32" x14ac:dyDescent="0.3">
      <c r="A657" t="s">
        <v>3832</v>
      </c>
      <c r="B657" t="s">
        <v>2078</v>
      </c>
      <c r="G657" t="s">
        <v>3752</v>
      </c>
      <c r="H657" t="s">
        <v>132</v>
      </c>
      <c r="I657" t="s">
        <v>3</v>
      </c>
      <c r="J657" t="s">
        <v>133</v>
      </c>
      <c r="K657" t="s">
        <v>53</v>
      </c>
      <c r="L657" t="s">
        <v>2063</v>
      </c>
      <c r="M657" t="s">
        <v>134</v>
      </c>
      <c r="N657" t="s">
        <v>135</v>
      </c>
      <c r="Q657" t="s">
        <v>140</v>
      </c>
      <c r="T657" t="s">
        <v>2079</v>
      </c>
      <c r="U657" t="s">
        <v>137</v>
      </c>
      <c r="V657" t="s">
        <v>703</v>
      </c>
      <c r="W657" s="9">
        <v>46156.4357431713</v>
      </c>
      <c r="X657" t="s">
        <v>62</v>
      </c>
      <c r="AA657" t="s">
        <v>1884</v>
      </c>
      <c r="AB657" t="s">
        <v>3</v>
      </c>
      <c r="AC657" t="s">
        <v>24</v>
      </c>
      <c r="AD657" t="s">
        <v>128</v>
      </c>
      <c r="AE657" s="97">
        <f>VLOOKUP(A:A,SUMMERY!AA:AC,2,FALSE)</f>
        <v>46220</v>
      </c>
      <c r="AF657" s="6" t="str">
        <f>VLOOKUP(A:A,SUMMERY!AA:AC,3,FALSE)</f>
        <v>Priority-1</v>
      </c>
    </row>
    <row r="658" spans="1:32" x14ac:dyDescent="0.3">
      <c r="A658" t="s">
        <v>3833</v>
      </c>
      <c r="B658" t="s">
        <v>2081</v>
      </c>
      <c r="G658" t="s">
        <v>3752</v>
      </c>
      <c r="H658" t="s">
        <v>132</v>
      </c>
      <c r="I658" t="s">
        <v>3</v>
      </c>
      <c r="J658" t="s">
        <v>133</v>
      </c>
      <c r="K658" t="s">
        <v>53</v>
      </c>
      <c r="L658" t="s">
        <v>2063</v>
      </c>
      <c r="M658" t="s">
        <v>134</v>
      </c>
      <c r="N658" t="s">
        <v>135</v>
      </c>
      <c r="Q658" t="s">
        <v>140</v>
      </c>
      <c r="T658" t="s">
        <v>2079</v>
      </c>
      <c r="U658" t="s">
        <v>137</v>
      </c>
      <c r="V658" t="s">
        <v>709</v>
      </c>
      <c r="W658" s="9">
        <v>46156.436113113428</v>
      </c>
      <c r="X658" t="s">
        <v>73</v>
      </c>
      <c r="AA658" t="s">
        <v>1884</v>
      </c>
      <c r="AB658" t="s">
        <v>3</v>
      </c>
      <c r="AC658" t="s">
        <v>24</v>
      </c>
      <c r="AD658" t="s">
        <v>128</v>
      </c>
      <c r="AE658" s="97">
        <f>VLOOKUP(A:A,SUMMERY!AA:AC,2,FALSE)</f>
        <v>46220</v>
      </c>
      <c r="AF658" s="6" t="str">
        <f>VLOOKUP(A:A,SUMMERY!AA:AC,3,FALSE)</f>
        <v>Priority-1</v>
      </c>
    </row>
    <row r="659" spans="1:32" x14ac:dyDescent="0.3">
      <c r="A659" t="s">
        <v>3839</v>
      </c>
      <c r="B659" t="s">
        <v>2093</v>
      </c>
      <c r="G659" t="s">
        <v>3752</v>
      </c>
      <c r="H659" t="s">
        <v>132</v>
      </c>
      <c r="I659" t="s">
        <v>3</v>
      </c>
      <c r="J659" t="s">
        <v>133</v>
      </c>
      <c r="K659" t="s">
        <v>53</v>
      </c>
      <c r="L659" t="s">
        <v>2094</v>
      </c>
      <c r="M659" t="s">
        <v>134</v>
      </c>
      <c r="N659" t="s">
        <v>135</v>
      </c>
      <c r="Q659" t="s">
        <v>140</v>
      </c>
      <c r="T659" t="s">
        <v>2095</v>
      </c>
      <c r="U659" t="s">
        <v>137</v>
      </c>
      <c r="V659" t="s">
        <v>371</v>
      </c>
      <c r="W659" s="9">
        <v>46125.290989699075</v>
      </c>
      <c r="X659" t="s">
        <v>57</v>
      </c>
      <c r="AA659" t="s">
        <v>1884</v>
      </c>
      <c r="AB659" t="s">
        <v>3</v>
      </c>
      <c r="AC659" t="s">
        <v>24</v>
      </c>
      <c r="AD659" t="s">
        <v>128</v>
      </c>
      <c r="AE659" s="97">
        <f>VLOOKUP(A:A,SUMMERY!AA:AC,2,FALSE)</f>
        <v>46220</v>
      </c>
      <c r="AF659" s="6" t="str">
        <f>VLOOKUP(A:A,SUMMERY!AA:AC,3,FALSE)</f>
        <v>Priority-1</v>
      </c>
    </row>
    <row r="660" spans="1:32" x14ac:dyDescent="0.3">
      <c r="A660" t="s">
        <v>3840</v>
      </c>
      <c r="B660" t="s">
        <v>2097</v>
      </c>
      <c r="G660" t="s">
        <v>3752</v>
      </c>
      <c r="H660" t="s">
        <v>132</v>
      </c>
      <c r="I660" t="s">
        <v>3</v>
      </c>
      <c r="J660" t="s">
        <v>133</v>
      </c>
      <c r="K660" t="s">
        <v>53</v>
      </c>
      <c r="L660" t="s">
        <v>2098</v>
      </c>
      <c r="M660" t="s">
        <v>134</v>
      </c>
      <c r="N660" t="s">
        <v>135</v>
      </c>
      <c r="Q660" t="s">
        <v>140</v>
      </c>
      <c r="S660" t="s">
        <v>140</v>
      </c>
      <c r="T660" t="s">
        <v>1888</v>
      </c>
      <c r="U660" t="s">
        <v>137</v>
      </c>
      <c r="V660" t="s">
        <v>147</v>
      </c>
      <c r="W660" s="9">
        <v>46125.296579201386</v>
      </c>
      <c r="X660" t="s">
        <v>70</v>
      </c>
      <c r="AA660" t="s">
        <v>1884</v>
      </c>
      <c r="AB660" t="s">
        <v>3</v>
      </c>
      <c r="AC660" t="s">
        <v>24</v>
      </c>
      <c r="AD660" t="s">
        <v>128</v>
      </c>
      <c r="AE660" s="97">
        <f>VLOOKUP(A:A,SUMMERY!AA:AC,2,FALSE)</f>
        <v>46220</v>
      </c>
      <c r="AF660" s="6" t="str">
        <f>VLOOKUP(A:A,SUMMERY!AA:AC,3,FALSE)</f>
        <v>Priority-1</v>
      </c>
    </row>
    <row r="661" spans="1:32" x14ac:dyDescent="0.3">
      <c r="A661" t="s">
        <v>3841</v>
      </c>
      <c r="B661" t="s">
        <v>2100</v>
      </c>
      <c r="G661" t="s">
        <v>3752</v>
      </c>
      <c r="H661" t="s">
        <v>132</v>
      </c>
      <c r="I661" t="s">
        <v>3</v>
      </c>
      <c r="J661" t="s">
        <v>133</v>
      </c>
      <c r="K661" t="s">
        <v>53</v>
      </c>
      <c r="L661" t="s">
        <v>2098</v>
      </c>
      <c r="M661" t="s">
        <v>134</v>
      </c>
      <c r="N661" t="s">
        <v>135</v>
      </c>
      <c r="Q661" t="s">
        <v>140</v>
      </c>
      <c r="S661" t="s">
        <v>140</v>
      </c>
      <c r="T661" t="s">
        <v>1892</v>
      </c>
      <c r="U661" t="s">
        <v>137</v>
      </c>
      <c r="V661" t="s">
        <v>150</v>
      </c>
      <c r="W661" s="9">
        <v>46125.297098645831</v>
      </c>
      <c r="X661" t="s">
        <v>76</v>
      </c>
      <c r="AA661" t="s">
        <v>1884</v>
      </c>
      <c r="AB661" t="s">
        <v>3</v>
      </c>
      <c r="AC661" t="s">
        <v>24</v>
      </c>
      <c r="AD661" t="s">
        <v>128</v>
      </c>
      <c r="AE661" s="97">
        <f>VLOOKUP(A:A,SUMMERY!AA:AC,2,FALSE)</f>
        <v>46233</v>
      </c>
      <c r="AF661" s="6" t="str">
        <f>VLOOKUP(A:A,SUMMERY!AA:AC,3,FALSE)</f>
        <v>Priority-1</v>
      </c>
    </row>
    <row r="662" spans="1:32" x14ac:dyDescent="0.3">
      <c r="A662" t="s">
        <v>3848</v>
      </c>
      <c r="B662" t="s">
        <v>2114</v>
      </c>
      <c r="G662" t="s">
        <v>3752</v>
      </c>
      <c r="H662" t="s">
        <v>132</v>
      </c>
      <c r="I662" t="s">
        <v>3</v>
      </c>
      <c r="J662" t="s">
        <v>133</v>
      </c>
      <c r="K662" t="s">
        <v>53</v>
      </c>
      <c r="L662" t="s">
        <v>2115</v>
      </c>
      <c r="M662" t="s">
        <v>134</v>
      </c>
      <c r="N662" t="s">
        <v>135</v>
      </c>
      <c r="Q662" t="s">
        <v>140</v>
      </c>
      <c r="T662" t="s">
        <v>2047</v>
      </c>
      <c r="U662" t="s">
        <v>137</v>
      </c>
      <c r="V662" t="s">
        <v>1279</v>
      </c>
      <c r="W662" s="9">
        <v>46109.311914618054</v>
      </c>
      <c r="X662" t="s">
        <v>71</v>
      </c>
      <c r="AA662" t="s">
        <v>1884</v>
      </c>
      <c r="AB662" t="s">
        <v>3</v>
      </c>
      <c r="AC662" t="s">
        <v>24</v>
      </c>
      <c r="AD662" t="s">
        <v>128</v>
      </c>
      <c r="AE662" s="97">
        <f>VLOOKUP(A:A,SUMMERY!AA:AC,2,FALSE)</f>
        <v>46233</v>
      </c>
      <c r="AF662" s="6" t="str">
        <f>VLOOKUP(A:A,SUMMERY!AA:AC,3,FALSE)</f>
        <v>Priority-1</v>
      </c>
    </row>
    <row r="663" spans="1:32" x14ac:dyDescent="0.3">
      <c r="A663" t="s">
        <v>3849</v>
      </c>
      <c r="B663" t="s">
        <v>2117</v>
      </c>
      <c r="G663" t="s">
        <v>3752</v>
      </c>
      <c r="H663" t="s">
        <v>132</v>
      </c>
      <c r="I663" t="s">
        <v>3</v>
      </c>
      <c r="J663" t="s">
        <v>133</v>
      </c>
      <c r="K663" t="s">
        <v>53</v>
      </c>
      <c r="L663" t="s">
        <v>2115</v>
      </c>
      <c r="M663" t="s">
        <v>134</v>
      </c>
      <c r="N663" t="s">
        <v>135</v>
      </c>
      <c r="Q663" t="s">
        <v>140</v>
      </c>
      <c r="T663" t="s">
        <v>2047</v>
      </c>
      <c r="U663" t="s">
        <v>137</v>
      </c>
      <c r="V663" t="s">
        <v>1283</v>
      </c>
      <c r="W663" s="9">
        <v>46046.541207256945</v>
      </c>
      <c r="X663" t="s">
        <v>78</v>
      </c>
      <c r="AA663" t="s">
        <v>1884</v>
      </c>
      <c r="AB663" t="s">
        <v>3</v>
      </c>
      <c r="AC663" t="s">
        <v>24</v>
      </c>
      <c r="AD663" t="s">
        <v>128</v>
      </c>
      <c r="AE663" s="97">
        <f>VLOOKUP(A:A,SUMMERY!AA:AC,2,FALSE)</f>
        <v>46234</v>
      </c>
      <c r="AF663" s="6" t="str">
        <f>VLOOKUP(A:A,SUMMERY!AA:AC,3,FALSE)</f>
        <v>Priority-1</v>
      </c>
    </row>
    <row r="664" spans="1:32" x14ac:dyDescent="0.3">
      <c r="A664" t="s">
        <v>3855</v>
      </c>
      <c r="B664" t="s">
        <v>2130</v>
      </c>
      <c r="G664" t="s">
        <v>3752</v>
      </c>
      <c r="H664" t="s">
        <v>132</v>
      </c>
      <c r="I664" t="s">
        <v>3</v>
      </c>
      <c r="J664" t="s">
        <v>133</v>
      </c>
      <c r="K664" t="s">
        <v>53</v>
      </c>
      <c r="L664" t="s">
        <v>2131</v>
      </c>
      <c r="M664" t="s">
        <v>134</v>
      </c>
      <c r="N664" t="s">
        <v>135</v>
      </c>
      <c r="Q664" t="s">
        <v>140</v>
      </c>
      <c r="S664" t="s">
        <v>140</v>
      </c>
      <c r="T664" t="s">
        <v>2132</v>
      </c>
      <c r="U664" t="s">
        <v>137</v>
      </c>
      <c r="V664" t="s">
        <v>1259</v>
      </c>
      <c r="W664" s="9">
        <v>46135.437353125002</v>
      </c>
      <c r="X664" t="s">
        <v>126</v>
      </c>
      <c r="AA664" t="s">
        <v>1884</v>
      </c>
      <c r="AB664" t="s">
        <v>3</v>
      </c>
      <c r="AC664" t="s">
        <v>24</v>
      </c>
      <c r="AD664" t="s">
        <v>131</v>
      </c>
      <c r="AE664" s="97">
        <f>VLOOKUP(A:A,SUMMERY!AA:AC,2,FALSE)</f>
        <v>46234</v>
      </c>
      <c r="AF664" s="6" t="str">
        <f>VLOOKUP(A:A,SUMMERY!AA:AC,3,FALSE)</f>
        <v>Priority-2</v>
      </c>
    </row>
    <row r="665" spans="1:32" x14ac:dyDescent="0.3">
      <c r="A665" t="s">
        <v>3856</v>
      </c>
      <c r="B665" t="s">
        <v>2134</v>
      </c>
      <c r="G665" t="s">
        <v>3752</v>
      </c>
      <c r="H665" t="s">
        <v>132</v>
      </c>
      <c r="I665" t="s">
        <v>3</v>
      </c>
      <c r="J665" t="s">
        <v>133</v>
      </c>
      <c r="K665" t="s">
        <v>53</v>
      </c>
      <c r="L665" t="s">
        <v>2135</v>
      </c>
      <c r="M665" t="s">
        <v>134</v>
      </c>
      <c r="N665" t="s">
        <v>135</v>
      </c>
      <c r="Q665" t="s">
        <v>140</v>
      </c>
      <c r="S665" t="s">
        <v>140</v>
      </c>
      <c r="T665" t="s">
        <v>2136</v>
      </c>
      <c r="U665" t="s">
        <v>137</v>
      </c>
      <c r="V665" t="s">
        <v>1263</v>
      </c>
      <c r="W665" s="9">
        <v>46135.437797453706</v>
      </c>
      <c r="X665" t="s">
        <v>69</v>
      </c>
      <c r="AA665" t="s">
        <v>1884</v>
      </c>
      <c r="AB665" t="s">
        <v>3</v>
      </c>
      <c r="AC665" t="s">
        <v>24</v>
      </c>
      <c r="AD665" t="s">
        <v>128</v>
      </c>
      <c r="AE665" s="97">
        <f>VLOOKUP(A:A,SUMMERY!AA:AC,2,FALSE)</f>
        <v>46224</v>
      </c>
      <c r="AF665" s="6" t="str">
        <f>VLOOKUP(A:A,SUMMERY!AA:AC,3,FALSE)</f>
        <v>Priority-1</v>
      </c>
    </row>
    <row r="666" spans="1:32" x14ac:dyDescent="0.3">
      <c r="A666" t="s">
        <v>3857</v>
      </c>
      <c r="B666" t="s">
        <v>2138</v>
      </c>
      <c r="G666" t="s">
        <v>3752</v>
      </c>
      <c r="H666" t="s">
        <v>132</v>
      </c>
      <c r="I666" t="s">
        <v>3</v>
      </c>
      <c r="J666" t="s">
        <v>133</v>
      </c>
      <c r="K666" t="s">
        <v>53</v>
      </c>
      <c r="L666" t="s">
        <v>2139</v>
      </c>
      <c r="M666" t="s">
        <v>134</v>
      </c>
      <c r="N666" t="s">
        <v>135</v>
      </c>
      <c r="Q666" t="s">
        <v>140</v>
      </c>
      <c r="T666" t="s">
        <v>1936</v>
      </c>
      <c r="U666" t="s">
        <v>137</v>
      </c>
      <c r="V666" t="s">
        <v>640</v>
      </c>
      <c r="W666" s="9">
        <v>46130.227476006941</v>
      </c>
      <c r="X666" t="s">
        <v>66</v>
      </c>
      <c r="AA666" t="s">
        <v>1884</v>
      </c>
      <c r="AB666" t="s">
        <v>3</v>
      </c>
      <c r="AC666" t="s">
        <v>24</v>
      </c>
      <c r="AD666" t="s">
        <v>128</v>
      </c>
      <c r="AE666" s="97">
        <f>VLOOKUP(A:A,SUMMERY!AA:AC,2,FALSE)</f>
        <v>46220</v>
      </c>
      <c r="AF666" s="6" t="str">
        <f>VLOOKUP(A:A,SUMMERY!AA:AC,3,FALSE)</f>
        <v>Priority-1</v>
      </c>
    </row>
    <row r="667" spans="1:32" x14ac:dyDescent="0.3">
      <c r="A667" t="s">
        <v>3858</v>
      </c>
      <c r="B667" t="s">
        <v>2141</v>
      </c>
      <c r="G667" t="s">
        <v>3752</v>
      </c>
      <c r="H667" t="s">
        <v>132</v>
      </c>
      <c r="I667" t="s">
        <v>3</v>
      </c>
      <c r="J667" t="s">
        <v>133</v>
      </c>
      <c r="K667" t="s">
        <v>53</v>
      </c>
      <c r="L667" t="s">
        <v>2139</v>
      </c>
      <c r="M667" t="s">
        <v>134</v>
      </c>
      <c r="N667" t="s">
        <v>135</v>
      </c>
      <c r="Q667" t="s">
        <v>140</v>
      </c>
      <c r="T667" t="s">
        <v>1936</v>
      </c>
      <c r="U667" t="s">
        <v>137</v>
      </c>
      <c r="V667" t="s">
        <v>646</v>
      </c>
      <c r="W667" s="9">
        <v>46130.227950312503</v>
      </c>
      <c r="X667" t="s">
        <v>74</v>
      </c>
      <c r="AA667" t="s">
        <v>1884</v>
      </c>
      <c r="AB667" t="s">
        <v>3</v>
      </c>
      <c r="AC667" t="s">
        <v>24</v>
      </c>
      <c r="AD667" t="s">
        <v>128</v>
      </c>
      <c r="AE667" s="97">
        <f>VLOOKUP(A:A,SUMMERY!AA:AC,2,FALSE)</f>
        <v>46220</v>
      </c>
      <c r="AF667" s="6" t="str">
        <f>VLOOKUP(A:A,SUMMERY!AA:AC,3,FALSE)</f>
        <v>Priority-1</v>
      </c>
    </row>
    <row r="668" spans="1:32" x14ac:dyDescent="0.3">
      <c r="A668" t="s">
        <v>3866</v>
      </c>
      <c r="B668" t="s">
        <v>3867</v>
      </c>
      <c r="G668" t="s">
        <v>3864</v>
      </c>
      <c r="H668" t="s">
        <v>132</v>
      </c>
      <c r="I668" t="s">
        <v>4</v>
      </c>
      <c r="J668" t="s">
        <v>133</v>
      </c>
      <c r="K668" t="s">
        <v>54</v>
      </c>
      <c r="L668" t="s">
        <v>3868</v>
      </c>
      <c r="M668" t="s">
        <v>134</v>
      </c>
      <c r="N668" t="s">
        <v>135</v>
      </c>
      <c r="Q668" t="s">
        <v>1765</v>
      </c>
      <c r="T668" t="s">
        <v>3869</v>
      </c>
      <c r="U668" t="s">
        <v>137</v>
      </c>
      <c r="V668" t="s">
        <v>703</v>
      </c>
      <c r="X668" t="s">
        <v>62</v>
      </c>
      <c r="AA668" t="s">
        <v>3865</v>
      </c>
      <c r="AB668" t="s">
        <v>4</v>
      </c>
      <c r="AC668" t="s">
        <v>3732</v>
      </c>
      <c r="AD668" t="s">
        <v>128</v>
      </c>
      <c r="AE668" s="97">
        <f>VLOOKUP(A:A,SUMMERY!AA:AC,2,FALSE)</f>
        <v>46220</v>
      </c>
      <c r="AF668" s="6" t="str">
        <f>VLOOKUP(A:A,SUMMERY!AA:AC,3,FALSE)</f>
        <v>Priority-1</v>
      </c>
    </row>
    <row r="669" spans="1:32" x14ac:dyDescent="0.3">
      <c r="A669" t="s">
        <v>3870</v>
      </c>
      <c r="B669" t="s">
        <v>3871</v>
      </c>
      <c r="G669" t="s">
        <v>3864</v>
      </c>
      <c r="H669" t="s">
        <v>132</v>
      </c>
      <c r="I669" t="s">
        <v>4</v>
      </c>
      <c r="J669" t="s">
        <v>133</v>
      </c>
      <c r="K669" t="s">
        <v>54</v>
      </c>
      <c r="L669" t="s">
        <v>3868</v>
      </c>
      <c r="M669" t="s">
        <v>134</v>
      </c>
      <c r="N669" t="s">
        <v>135</v>
      </c>
      <c r="Q669" t="s">
        <v>1765</v>
      </c>
      <c r="T669" t="s">
        <v>3872</v>
      </c>
      <c r="U669" t="s">
        <v>137</v>
      </c>
      <c r="V669" t="s">
        <v>703</v>
      </c>
      <c r="X669" t="s">
        <v>62</v>
      </c>
      <c r="AA669" t="s">
        <v>3865</v>
      </c>
      <c r="AB669" t="s">
        <v>4</v>
      </c>
      <c r="AC669" t="s">
        <v>138</v>
      </c>
      <c r="AD669" t="s">
        <v>128</v>
      </c>
      <c r="AE669" s="97">
        <f>VLOOKUP(A:A,SUMMERY!AA:AC,2,FALSE)</f>
        <v>46220</v>
      </c>
      <c r="AF669" s="6" t="str">
        <f>VLOOKUP(A:A,SUMMERY!AA:AC,3,FALSE)</f>
        <v>Priority-1</v>
      </c>
    </row>
    <row r="670" spans="1:32" x14ac:dyDescent="0.3">
      <c r="A670" t="s">
        <v>3873</v>
      </c>
      <c r="B670" t="s">
        <v>3874</v>
      </c>
      <c r="G670" t="s">
        <v>3864</v>
      </c>
      <c r="H670" t="s">
        <v>132</v>
      </c>
      <c r="I670" t="s">
        <v>4</v>
      </c>
      <c r="J670" t="s">
        <v>133</v>
      </c>
      <c r="K670" t="s">
        <v>54</v>
      </c>
      <c r="L670" t="s">
        <v>3868</v>
      </c>
      <c r="M670" t="s">
        <v>134</v>
      </c>
      <c r="N670" t="s">
        <v>135</v>
      </c>
      <c r="Q670" t="s">
        <v>1765</v>
      </c>
      <c r="T670" t="s">
        <v>3869</v>
      </c>
      <c r="U670" t="s">
        <v>137</v>
      </c>
      <c r="V670" t="s">
        <v>709</v>
      </c>
      <c r="X670" t="s">
        <v>73</v>
      </c>
      <c r="AA670" t="s">
        <v>3865</v>
      </c>
      <c r="AB670" t="s">
        <v>4</v>
      </c>
      <c r="AC670" t="s">
        <v>138</v>
      </c>
      <c r="AD670" t="s">
        <v>128</v>
      </c>
      <c r="AE670" s="97">
        <f>VLOOKUP(A:A,SUMMERY!AA:AC,2,FALSE)</f>
        <v>46220</v>
      </c>
      <c r="AF670" s="6" t="str">
        <f>VLOOKUP(A:A,SUMMERY!AA:AC,3,FALSE)</f>
        <v>Priority-1</v>
      </c>
    </row>
    <row r="671" spans="1:32" x14ac:dyDescent="0.3">
      <c r="A671" t="s">
        <v>3875</v>
      </c>
      <c r="B671" t="s">
        <v>3876</v>
      </c>
      <c r="G671" t="s">
        <v>3864</v>
      </c>
      <c r="H671" t="s">
        <v>132</v>
      </c>
      <c r="I671" t="s">
        <v>4</v>
      </c>
      <c r="J671" t="s">
        <v>133</v>
      </c>
      <c r="K671" t="s">
        <v>54</v>
      </c>
      <c r="L671" t="s">
        <v>3868</v>
      </c>
      <c r="M671" t="s">
        <v>134</v>
      </c>
      <c r="N671" t="s">
        <v>135</v>
      </c>
      <c r="Q671" t="s">
        <v>1765</v>
      </c>
      <c r="T671" t="s">
        <v>3872</v>
      </c>
      <c r="U671" t="s">
        <v>137</v>
      </c>
      <c r="V671" t="s">
        <v>709</v>
      </c>
      <c r="X671" t="s">
        <v>73</v>
      </c>
      <c r="AA671" t="s">
        <v>3865</v>
      </c>
      <c r="AB671" t="s">
        <v>4</v>
      </c>
      <c r="AC671" t="s">
        <v>138</v>
      </c>
      <c r="AD671" t="s">
        <v>128</v>
      </c>
      <c r="AE671" s="97">
        <f>VLOOKUP(A:A,SUMMERY!AA:AC,2,FALSE)</f>
        <v>46220</v>
      </c>
      <c r="AF671" s="6" t="str">
        <f>VLOOKUP(A:A,SUMMERY!AA:AC,3,FALSE)</f>
        <v>Priority-1</v>
      </c>
    </row>
    <row r="672" spans="1:32" x14ac:dyDescent="0.3">
      <c r="A672" t="s">
        <v>3900</v>
      </c>
      <c r="B672" t="s">
        <v>3901</v>
      </c>
      <c r="G672" t="s">
        <v>3897</v>
      </c>
      <c r="H672" t="s">
        <v>132</v>
      </c>
      <c r="I672" t="s">
        <v>4</v>
      </c>
      <c r="J672" t="s">
        <v>133</v>
      </c>
      <c r="K672" t="s">
        <v>54</v>
      </c>
      <c r="L672" t="s">
        <v>3898</v>
      </c>
      <c r="M672" t="s">
        <v>134</v>
      </c>
      <c r="N672" t="s">
        <v>135</v>
      </c>
      <c r="Q672" t="s">
        <v>3731</v>
      </c>
      <c r="U672" t="s">
        <v>137</v>
      </c>
      <c r="V672" t="s">
        <v>147</v>
      </c>
      <c r="X672" t="s">
        <v>70</v>
      </c>
      <c r="AA672" t="s">
        <v>3899</v>
      </c>
      <c r="AB672" t="s">
        <v>4</v>
      </c>
      <c r="AC672" t="s">
        <v>138</v>
      </c>
      <c r="AD672" t="s">
        <v>128</v>
      </c>
      <c r="AE672" s="97">
        <f>VLOOKUP(A:A,SUMMERY!AA:AC,2,FALSE)</f>
        <v>46220</v>
      </c>
      <c r="AF672" s="6" t="str">
        <f>VLOOKUP(A:A,SUMMERY!AA:AC,3,FALSE)</f>
        <v>Priority-1</v>
      </c>
    </row>
    <row r="673" spans="1:32" x14ac:dyDescent="0.3">
      <c r="A673" t="s">
        <v>3902</v>
      </c>
      <c r="B673" t="s">
        <v>3903</v>
      </c>
      <c r="G673" t="s">
        <v>3897</v>
      </c>
      <c r="H673" t="s">
        <v>132</v>
      </c>
      <c r="I673" t="s">
        <v>4</v>
      </c>
      <c r="J673" t="s">
        <v>133</v>
      </c>
      <c r="K673" t="s">
        <v>54</v>
      </c>
      <c r="L673" t="s">
        <v>3898</v>
      </c>
      <c r="M673" t="s">
        <v>134</v>
      </c>
      <c r="N673" t="s">
        <v>135</v>
      </c>
      <c r="Q673" t="s">
        <v>3731</v>
      </c>
      <c r="U673" t="s">
        <v>137</v>
      </c>
      <c r="V673" t="s">
        <v>150</v>
      </c>
      <c r="X673" t="s">
        <v>76</v>
      </c>
      <c r="AA673" t="s">
        <v>3899</v>
      </c>
      <c r="AB673" t="s">
        <v>4</v>
      </c>
      <c r="AC673" t="s">
        <v>138</v>
      </c>
      <c r="AD673" t="s">
        <v>128</v>
      </c>
      <c r="AE673" s="97">
        <f>VLOOKUP(A:A,SUMMERY!AA:AC,2,FALSE)</f>
        <v>46233</v>
      </c>
      <c r="AF673" s="6" t="str">
        <f>VLOOKUP(A:A,SUMMERY!AA:AC,3,FALSE)</f>
        <v>Priority-1</v>
      </c>
    </row>
    <row r="674" spans="1:32" x14ac:dyDescent="0.3">
      <c r="A674" t="s">
        <v>3914</v>
      </c>
      <c r="B674" t="s">
        <v>3915</v>
      </c>
      <c r="G674" t="s">
        <v>3897</v>
      </c>
      <c r="H674" t="s">
        <v>132</v>
      </c>
      <c r="I674" t="s">
        <v>4</v>
      </c>
      <c r="J674" t="s">
        <v>133</v>
      </c>
      <c r="K674" t="s">
        <v>54</v>
      </c>
      <c r="L674" t="s">
        <v>3898</v>
      </c>
      <c r="M674" t="s">
        <v>134</v>
      </c>
      <c r="N674" t="s">
        <v>135</v>
      </c>
      <c r="Q674" t="s">
        <v>3731</v>
      </c>
      <c r="U674" t="s">
        <v>137</v>
      </c>
      <c r="V674" t="s">
        <v>371</v>
      </c>
      <c r="X674" t="s">
        <v>57</v>
      </c>
      <c r="AA674" t="s">
        <v>3899</v>
      </c>
      <c r="AB674" t="s">
        <v>4</v>
      </c>
      <c r="AC674" t="s">
        <v>138</v>
      </c>
      <c r="AD674" t="s">
        <v>128</v>
      </c>
      <c r="AE674" s="97">
        <f>VLOOKUP(A:A,SUMMERY!AA:AC,2,FALSE)</f>
        <v>46220</v>
      </c>
      <c r="AF674" s="6" t="str">
        <f>VLOOKUP(A:A,SUMMERY!AA:AC,3,FALSE)</f>
        <v>Priority-1</v>
      </c>
    </row>
    <row r="675" spans="1:32" x14ac:dyDescent="0.3">
      <c r="A675" t="s">
        <v>3916</v>
      </c>
      <c r="B675" t="s">
        <v>3917</v>
      </c>
      <c r="G675" t="s">
        <v>3897</v>
      </c>
      <c r="H675" t="s">
        <v>132</v>
      </c>
      <c r="I675" t="s">
        <v>4</v>
      </c>
      <c r="J675" t="s">
        <v>133</v>
      </c>
      <c r="K675" t="s">
        <v>54</v>
      </c>
      <c r="L675" t="s">
        <v>3898</v>
      </c>
      <c r="M675" t="s">
        <v>134</v>
      </c>
      <c r="N675" t="s">
        <v>135</v>
      </c>
      <c r="Q675" t="s">
        <v>3731</v>
      </c>
      <c r="U675" t="s">
        <v>137</v>
      </c>
      <c r="V675" t="s">
        <v>362</v>
      </c>
      <c r="X675" t="s">
        <v>58</v>
      </c>
      <c r="AA675" t="s">
        <v>3899</v>
      </c>
      <c r="AB675" t="s">
        <v>4</v>
      </c>
      <c r="AC675" t="s">
        <v>138</v>
      </c>
      <c r="AD675" t="s">
        <v>128</v>
      </c>
      <c r="AE675" s="97">
        <f>VLOOKUP(A:A,SUMMERY!AA:AC,2,FALSE)</f>
        <v>46220</v>
      </c>
      <c r="AF675" s="6" t="str">
        <f>VLOOKUP(A:A,SUMMERY!AA:AC,3,FALSE)</f>
        <v>Priority-1</v>
      </c>
    </row>
    <row r="676" spans="1:32" x14ac:dyDescent="0.3">
      <c r="A676" t="s">
        <v>3918</v>
      </c>
      <c r="B676" t="s">
        <v>3919</v>
      </c>
      <c r="G676" t="s">
        <v>3897</v>
      </c>
      <c r="H676" t="s">
        <v>132</v>
      </c>
      <c r="I676" t="s">
        <v>4</v>
      </c>
      <c r="J676" t="s">
        <v>133</v>
      </c>
      <c r="K676" t="s">
        <v>54</v>
      </c>
      <c r="L676" t="s">
        <v>3898</v>
      </c>
      <c r="M676" t="s">
        <v>134</v>
      </c>
      <c r="N676" t="s">
        <v>135</v>
      </c>
      <c r="Q676" t="s">
        <v>3731</v>
      </c>
      <c r="U676" t="s">
        <v>137</v>
      </c>
      <c r="V676" t="s">
        <v>640</v>
      </c>
      <c r="X676" t="s">
        <v>66</v>
      </c>
      <c r="AA676" t="s">
        <v>3899</v>
      </c>
      <c r="AB676" t="s">
        <v>4</v>
      </c>
      <c r="AC676" t="s">
        <v>138</v>
      </c>
      <c r="AD676" t="s">
        <v>128</v>
      </c>
      <c r="AE676" s="97">
        <f>VLOOKUP(A:A,SUMMERY!AA:AC,2,FALSE)</f>
        <v>46220</v>
      </c>
      <c r="AF676" s="6" t="str">
        <f>VLOOKUP(A:A,SUMMERY!AA:AC,3,FALSE)</f>
        <v>Priority-1</v>
      </c>
    </row>
    <row r="677" spans="1:32" x14ac:dyDescent="0.3">
      <c r="A677" t="s">
        <v>3920</v>
      </c>
      <c r="B677" t="s">
        <v>3921</v>
      </c>
      <c r="G677" t="s">
        <v>3897</v>
      </c>
      <c r="H677" t="s">
        <v>132</v>
      </c>
      <c r="I677" t="s">
        <v>4</v>
      </c>
      <c r="J677" t="s">
        <v>133</v>
      </c>
      <c r="K677" t="s">
        <v>54</v>
      </c>
      <c r="L677" t="s">
        <v>3898</v>
      </c>
      <c r="M677" t="s">
        <v>134</v>
      </c>
      <c r="N677" t="s">
        <v>135</v>
      </c>
      <c r="Q677" t="s">
        <v>3731</v>
      </c>
      <c r="U677" t="s">
        <v>137</v>
      </c>
      <c r="V677" t="s">
        <v>646</v>
      </c>
      <c r="X677" t="s">
        <v>74</v>
      </c>
      <c r="AA677" t="s">
        <v>3899</v>
      </c>
      <c r="AB677" t="s">
        <v>4</v>
      </c>
      <c r="AC677" t="s">
        <v>138</v>
      </c>
      <c r="AD677" t="s">
        <v>128</v>
      </c>
      <c r="AE677" s="97">
        <f>VLOOKUP(A:A,SUMMERY!AA:AC,2,FALSE)</f>
        <v>46220</v>
      </c>
      <c r="AF677" s="6" t="str">
        <f>VLOOKUP(A:A,SUMMERY!AA:AC,3,FALSE)</f>
        <v>Priority-1</v>
      </c>
    </row>
    <row r="678" spans="1:32" x14ac:dyDescent="0.3">
      <c r="A678" t="s">
        <v>3932</v>
      </c>
      <c r="B678" t="s">
        <v>3933</v>
      </c>
      <c r="G678" t="s">
        <v>3897</v>
      </c>
      <c r="H678" t="s">
        <v>132</v>
      </c>
      <c r="I678" t="s">
        <v>4</v>
      </c>
      <c r="J678" t="s">
        <v>133</v>
      </c>
      <c r="K678" t="s">
        <v>54</v>
      </c>
      <c r="L678" t="s">
        <v>3898</v>
      </c>
      <c r="M678" t="s">
        <v>134</v>
      </c>
      <c r="N678" t="s">
        <v>135</v>
      </c>
      <c r="Q678" t="s">
        <v>3731</v>
      </c>
      <c r="U678" t="s">
        <v>137</v>
      </c>
      <c r="V678" t="s">
        <v>1190</v>
      </c>
      <c r="X678" t="s">
        <v>67</v>
      </c>
      <c r="AA678" t="s">
        <v>3899</v>
      </c>
      <c r="AB678" t="s">
        <v>4</v>
      </c>
      <c r="AC678" t="s">
        <v>138</v>
      </c>
      <c r="AD678" t="s">
        <v>128</v>
      </c>
      <c r="AE678" s="97">
        <f>VLOOKUP(A:A,SUMMERY!AA:AC,2,FALSE)</f>
        <v>46220</v>
      </c>
      <c r="AF678" s="6" t="str">
        <f>VLOOKUP(A:A,SUMMERY!AA:AC,3,FALSE)</f>
        <v>Priority-1</v>
      </c>
    </row>
    <row r="679" spans="1:32" x14ac:dyDescent="0.3">
      <c r="A679" t="s">
        <v>3934</v>
      </c>
      <c r="B679" t="s">
        <v>3935</v>
      </c>
      <c r="G679" t="s">
        <v>3897</v>
      </c>
      <c r="H679" t="s">
        <v>132</v>
      </c>
      <c r="I679" t="s">
        <v>4</v>
      </c>
      <c r="J679" t="s">
        <v>133</v>
      </c>
      <c r="K679" t="s">
        <v>54</v>
      </c>
      <c r="L679" t="s">
        <v>3898</v>
      </c>
      <c r="M679" t="s">
        <v>134</v>
      </c>
      <c r="N679" t="s">
        <v>135</v>
      </c>
      <c r="Q679" t="s">
        <v>3731</v>
      </c>
      <c r="U679" t="s">
        <v>137</v>
      </c>
      <c r="V679" t="s">
        <v>1194</v>
      </c>
      <c r="X679" t="s">
        <v>75</v>
      </c>
      <c r="AA679" t="s">
        <v>3899</v>
      </c>
      <c r="AB679" t="s">
        <v>4</v>
      </c>
      <c r="AC679" t="s">
        <v>138</v>
      </c>
      <c r="AD679" t="s">
        <v>128</v>
      </c>
      <c r="AE679" s="97">
        <f>VLOOKUP(A:A,SUMMERY!AA:AC,2,FALSE)</f>
        <v>46220</v>
      </c>
      <c r="AF679" s="6" t="str">
        <f>VLOOKUP(A:A,SUMMERY!AA:AC,3,FALSE)</f>
        <v>Priority-1</v>
      </c>
    </row>
    <row r="680" spans="1:32" x14ac:dyDescent="0.3">
      <c r="A680" t="s">
        <v>3946</v>
      </c>
      <c r="B680" t="s">
        <v>3947</v>
      </c>
      <c r="G680" t="s">
        <v>3897</v>
      </c>
      <c r="H680" t="s">
        <v>132</v>
      </c>
      <c r="I680" t="s">
        <v>4</v>
      </c>
      <c r="J680" t="s">
        <v>133</v>
      </c>
      <c r="K680" t="s">
        <v>54</v>
      </c>
      <c r="L680" t="s">
        <v>3898</v>
      </c>
      <c r="M680" t="s">
        <v>134</v>
      </c>
      <c r="N680" t="s">
        <v>135</v>
      </c>
      <c r="Q680" t="s">
        <v>3731</v>
      </c>
      <c r="U680" t="s">
        <v>137</v>
      </c>
      <c r="V680" t="s">
        <v>403</v>
      </c>
      <c r="X680" t="s">
        <v>68</v>
      </c>
      <c r="AA680" t="s">
        <v>3899</v>
      </c>
      <c r="AB680" t="s">
        <v>4</v>
      </c>
      <c r="AC680" t="s">
        <v>138</v>
      </c>
      <c r="AD680" t="s">
        <v>128</v>
      </c>
      <c r="AE680" s="97">
        <f>VLOOKUP(A:A,SUMMERY!AA:AC,2,FALSE)</f>
        <v>46233</v>
      </c>
      <c r="AF680" s="6" t="str">
        <f>VLOOKUP(A:A,SUMMERY!AA:AC,3,FALSE)</f>
        <v>Priority-1</v>
      </c>
    </row>
    <row r="681" spans="1:32" x14ac:dyDescent="0.3">
      <c r="A681" t="s">
        <v>3948</v>
      </c>
      <c r="B681" t="s">
        <v>3949</v>
      </c>
      <c r="G681" t="s">
        <v>3897</v>
      </c>
      <c r="H681" t="s">
        <v>132</v>
      </c>
      <c r="I681" t="s">
        <v>4</v>
      </c>
      <c r="J681" t="s">
        <v>133</v>
      </c>
      <c r="K681" t="s">
        <v>54</v>
      </c>
      <c r="L681" t="s">
        <v>3898</v>
      </c>
      <c r="M681" t="s">
        <v>134</v>
      </c>
      <c r="N681" t="s">
        <v>135</v>
      </c>
      <c r="Q681" t="s">
        <v>3731</v>
      </c>
      <c r="U681" t="s">
        <v>137</v>
      </c>
      <c r="V681" t="s">
        <v>407</v>
      </c>
      <c r="X681" t="s">
        <v>77</v>
      </c>
      <c r="AA681" t="s">
        <v>3899</v>
      </c>
      <c r="AB681" t="s">
        <v>4</v>
      </c>
      <c r="AC681" t="s">
        <v>138</v>
      </c>
      <c r="AD681" t="s">
        <v>128</v>
      </c>
      <c r="AE681" s="97">
        <f>VLOOKUP(A:A,SUMMERY!AA:AC,2,FALSE)</f>
        <v>46233</v>
      </c>
      <c r="AF681" s="6" t="str">
        <f>VLOOKUP(A:A,SUMMERY!AA:AC,3,FALSE)</f>
        <v>Priority-1</v>
      </c>
    </row>
    <row r="682" spans="1:32" x14ac:dyDescent="0.3">
      <c r="A682" t="s">
        <v>3960</v>
      </c>
      <c r="B682" t="s">
        <v>3961</v>
      </c>
      <c r="G682" t="s">
        <v>3897</v>
      </c>
      <c r="H682" t="s">
        <v>132</v>
      </c>
      <c r="I682" t="s">
        <v>4</v>
      </c>
      <c r="J682" t="s">
        <v>133</v>
      </c>
      <c r="K682" t="s">
        <v>54</v>
      </c>
      <c r="L682" t="s">
        <v>3898</v>
      </c>
      <c r="M682" t="s">
        <v>134</v>
      </c>
      <c r="N682" t="s">
        <v>135</v>
      </c>
      <c r="Q682" t="s">
        <v>3731</v>
      </c>
      <c r="U682" t="s">
        <v>137</v>
      </c>
      <c r="V682" t="s">
        <v>1279</v>
      </c>
      <c r="X682" t="s">
        <v>71</v>
      </c>
      <c r="AA682" t="s">
        <v>3899</v>
      </c>
      <c r="AB682" t="s">
        <v>4</v>
      </c>
      <c r="AC682" t="s">
        <v>138</v>
      </c>
      <c r="AD682" t="s">
        <v>128</v>
      </c>
      <c r="AE682" s="97">
        <f>VLOOKUP(A:A,SUMMERY!AA:AC,2,FALSE)</f>
        <v>46233</v>
      </c>
      <c r="AF682" s="6" t="str">
        <f>VLOOKUP(A:A,SUMMERY!AA:AC,3,FALSE)</f>
        <v>Priority-1</v>
      </c>
    </row>
    <row r="683" spans="1:32" x14ac:dyDescent="0.3">
      <c r="A683" t="s">
        <v>3962</v>
      </c>
      <c r="B683" t="s">
        <v>3963</v>
      </c>
      <c r="G683" t="s">
        <v>3897</v>
      </c>
      <c r="H683" t="s">
        <v>132</v>
      </c>
      <c r="I683" t="s">
        <v>4</v>
      </c>
      <c r="J683" t="s">
        <v>133</v>
      </c>
      <c r="K683" t="s">
        <v>54</v>
      </c>
      <c r="L683" t="s">
        <v>3898</v>
      </c>
      <c r="M683" t="s">
        <v>134</v>
      </c>
      <c r="N683" t="s">
        <v>135</v>
      </c>
      <c r="Q683" t="s">
        <v>3731</v>
      </c>
      <c r="U683" t="s">
        <v>137</v>
      </c>
      <c r="V683" t="s">
        <v>1283</v>
      </c>
      <c r="X683" t="s">
        <v>78</v>
      </c>
      <c r="AA683" t="s">
        <v>3899</v>
      </c>
      <c r="AB683" t="s">
        <v>4</v>
      </c>
      <c r="AC683" t="s">
        <v>138</v>
      </c>
      <c r="AD683" t="s">
        <v>128</v>
      </c>
      <c r="AE683" s="97">
        <f>VLOOKUP(A:A,SUMMERY!AA:AC,2,FALSE)</f>
        <v>46234</v>
      </c>
      <c r="AF683" s="6" t="str">
        <f>VLOOKUP(A:A,SUMMERY!AA:AC,3,FALSE)</f>
        <v>Priority-1</v>
      </c>
    </row>
    <row r="684" spans="1:32" x14ac:dyDescent="0.3">
      <c r="A684" t="s">
        <v>3974</v>
      </c>
      <c r="B684" t="s">
        <v>3975</v>
      </c>
      <c r="G684" t="s">
        <v>3897</v>
      </c>
      <c r="H684" t="s">
        <v>132</v>
      </c>
      <c r="I684" t="s">
        <v>4</v>
      </c>
      <c r="J684" t="s">
        <v>133</v>
      </c>
      <c r="K684" t="s">
        <v>54</v>
      </c>
      <c r="L684" t="s">
        <v>3898</v>
      </c>
      <c r="M684" t="s">
        <v>134</v>
      </c>
      <c r="N684" t="s">
        <v>135</v>
      </c>
      <c r="Q684" t="s">
        <v>3731</v>
      </c>
      <c r="U684" t="s">
        <v>137</v>
      </c>
      <c r="V684" t="s">
        <v>703</v>
      </c>
      <c r="X684" t="s">
        <v>62</v>
      </c>
      <c r="AA684" t="s">
        <v>3899</v>
      </c>
      <c r="AB684" t="s">
        <v>4</v>
      </c>
      <c r="AC684" t="s">
        <v>138</v>
      </c>
      <c r="AD684" t="s">
        <v>128</v>
      </c>
      <c r="AE684" s="97">
        <f>VLOOKUP(A:A,SUMMERY!AA:AC,2,FALSE)</f>
        <v>46220</v>
      </c>
      <c r="AF684" s="6" t="str">
        <f>VLOOKUP(A:A,SUMMERY!AA:AC,3,FALSE)</f>
        <v>Priority-1</v>
      </c>
    </row>
    <row r="685" spans="1:32" x14ac:dyDescent="0.3">
      <c r="A685" t="s">
        <v>3976</v>
      </c>
      <c r="B685" t="s">
        <v>3977</v>
      </c>
      <c r="G685" t="s">
        <v>3897</v>
      </c>
      <c r="H685" t="s">
        <v>132</v>
      </c>
      <c r="I685" t="s">
        <v>4</v>
      </c>
      <c r="J685" t="s">
        <v>133</v>
      </c>
      <c r="K685" t="s">
        <v>54</v>
      </c>
      <c r="L685" t="s">
        <v>3898</v>
      </c>
      <c r="M685" t="s">
        <v>134</v>
      </c>
      <c r="N685" t="s">
        <v>135</v>
      </c>
      <c r="Q685" t="s">
        <v>3731</v>
      </c>
      <c r="U685" t="s">
        <v>137</v>
      </c>
      <c r="V685" t="s">
        <v>709</v>
      </c>
      <c r="X685" t="s">
        <v>73</v>
      </c>
      <c r="AA685" t="s">
        <v>3899</v>
      </c>
      <c r="AB685" t="s">
        <v>4</v>
      </c>
      <c r="AC685" t="s">
        <v>138</v>
      </c>
      <c r="AD685" t="s">
        <v>128</v>
      </c>
      <c r="AE685" s="97">
        <f>VLOOKUP(A:A,SUMMERY!AA:AC,2,FALSE)</f>
        <v>46220</v>
      </c>
      <c r="AF685" s="6" t="str">
        <f>VLOOKUP(A:A,SUMMERY!AA:AC,3,FALSE)</f>
        <v>Priority-1</v>
      </c>
    </row>
    <row r="686" spans="1:32" x14ac:dyDescent="0.3">
      <c r="A686" t="s">
        <v>3988</v>
      </c>
      <c r="B686" t="s">
        <v>3989</v>
      </c>
      <c r="G686" t="s">
        <v>3897</v>
      </c>
      <c r="H686" t="s">
        <v>132</v>
      </c>
      <c r="I686" t="s">
        <v>4</v>
      </c>
      <c r="J686" t="s">
        <v>133</v>
      </c>
      <c r="K686" t="s">
        <v>54</v>
      </c>
      <c r="L686" t="s">
        <v>3898</v>
      </c>
      <c r="M686" t="s">
        <v>134</v>
      </c>
      <c r="N686" t="s">
        <v>135</v>
      </c>
      <c r="Q686" t="s">
        <v>3731</v>
      </c>
      <c r="U686" t="s">
        <v>137</v>
      </c>
      <c r="V686" t="s">
        <v>1967</v>
      </c>
      <c r="X686" t="s">
        <v>125</v>
      </c>
      <c r="AA686" t="s">
        <v>3899</v>
      </c>
      <c r="AB686" t="s">
        <v>4</v>
      </c>
      <c r="AC686" t="s">
        <v>138</v>
      </c>
      <c r="AD686" t="s">
        <v>131</v>
      </c>
      <c r="AE686" s="97">
        <f>VLOOKUP(A:A,SUMMERY!AA:AC,2,FALSE)</f>
        <v>46234</v>
      </c>
      <c r="AF686" s="6" t="str">
        <f>VLOOKUP(A:A,SUMMERY!AA:AC,3,FALSE)</f>
        <v>Priority-2</v>
      </c>
    </row>
    <row r="687" spans="1:32" x14ac:dyDescent="0.3">
      <c r="A687" t="s">
        <v>3990</v>
      </c>
      <c r="B687" t="s">
        <v>3991</v>
      </c>
      <c r="G687" t="s">
        <v>3897</v>
      </c>
      <c r="H687" t="s">
        <v>132</v>
      </c>
      <c r="I687" t="s">
        <v>4</v>
      </c>
      <c r="J687" t="s">
        <v>133</v>
      </c>
      <c r="K687" t="s">
        <v>54</v>
      </c>
      <c r="L687" t="s">
        <v>3898</v>
      </c>
      <c r="M687" t="s">
        <v>134</v>
      </c>
      <c r="N687" t="s">
        <v>135</v>
      </c>
      <c r="Q687" t="s">
        <v>3731</v>
      </c>
      <c r="U687" t="s">
        <v>137</v>
      </c>
      <c r="V687" t="s">
        <v>1259</v>
      </c>
      <c r="X687" t="s">
        <v>126</v>
      </c>
      <c r="AA687" t="s">
        <v>3899</v>
      </c>
      <c r="AB687" t="s">
        <v>4</v>
      </c>
      <c r="AC687" t="s">
        <v>138</v>
      </c>
      <c r="AD687" t="s">
        <v>131</v>
      </c>
      <c r="AE687" s="97">
        <f>VLOOKUP(A:A,SUMMERY!AA:AC,2,FALSE)</f>
        <v>46234</v>
      </c>
      <c r="AF687" s="6" t="str">
        <f>VLOOKUP(A:A,SUMMERY!AA:AC,3,FALSE)</f>
        <v>Priority-2</v>
      </c>
    </row>
    <row r="688" spans="1:32" x14ac:dyDescent="0.3">
      <c r="A688" t="s">
        <v>3992</v>
      </c>
      <c r="B688" t="s">
        <v>3993</v>
      </c>
      <c r="G688" t="s">
        <v>3897</v>
      </c>
      <c r="H688" t="s">
        <v>132</v>
      </c>
      <c r="I688" t="s">
        <v>4</v>
      </c>
      <c r="J688" t="s">
        <v>133</v>
      </c>
      <c r="K688" t="s">
        <v>54</v>
      </c>
      <c r="L688" t="s">
        <v>3898</v>
      </c>
      <c r="M688" t="s">
        <v>134</v>
      </c>
      <c r="N688" t="s">
        <v>135</v>
      </c>
      <c r="Q688" t="s">
        <v>3731</v>
      </c>
      <c r="U688" t="s">
        <v>137</v>
      </c>
      <c r="V688" t="s">
        <v>1263</v>
      </c>
      <c r="X688" t="s">
        <v>69</v>
      </c>
      <c r="AA688" t="s">
        <v>3899</v>
      </c>
      <c r="AB688" t="s">
        <v>4</v>
      </c>
      <c r="AC688" t="s">
        <v>138</v>
      </c>
      <c r="AD688" t="s">
        <v>128</v>
      </c>
      <c r="AE688" s="97">
        <f>VLOOKUP(A:A,SUMMERY!AA:AC,2,FALSE)</f>
        <v>46224</v>
      </c>
      <c r="AF688" s="6" t="str">
        <f>VLOOKUP(A:A,SUMMERY!AA:AC,3,FALSE)</f>
        <v>Priority-1</v>
      </c>
    </row>
    <row r="689" spans="1:32" x14ac:dyDescent="0.3">
      <c r="A689" t="s">
        <v>3995</v>
      </c>
      <c r="B689" t="s">
        <v>1886</v>
      </c>
      <c r="G689" t="s">
        <v>3994</v>
      </c>
      <c r="H689" t="s">
        <v>132</v>
      </c>
      <c r="I689" t="s">
        <v>4</v>
      </c>
      <c r="J689" t="s">
        <v>133</v>
      </c>
      <c r="K689" t="s">
        <v>54</v>
      </c>
      <c r="L689" t="s">
        <v>1887</v>
      </c>
      <c r="M689" t="s">
        <v>134</v>
      </c>
      <c r="N689" t="s">
        <v>135</v>
      </c>
      <c r="Q689" t="s">
        <v>140</v>
      </c>
      <c r="T689" t="s">
        <v>1888</v>
      </c>
      <c r="U689" t="s">
        <v>137</v>
      </c>
      <c r="V689" t="s">
        <v>147</v>
      </c>
      <c r="W689" s="9">
        <v>46182.490903703707</v>
      </c>
      <c r="X689" t="s">
        <v>70</v>
      </c>
      <c r="AA689" t="s">
        <v>1884</v>
      </c>
      <c r="AB689" t="s">
        <v>3</v>
      </c>
      <c r="AC689" t="s">
        <v>24</v>
      </c>
      <c r="AD689" t="s">
        <v>128</v>
      </c>
      <c r="AE689" s="97">
        <f>VLOOKUP(A:A,SUMMERY!AA:AC,2,FALSE)</f>
        <v>46220</v>
      </c>
      <c r="AF689" s="6" t="str">
        <f>VLOOKUP(A:A,SUMMERY!AA:AC,3,FALSE)</f>
        <v>Priority-1</v>
      </c>
    </row>
    <row r="690" spans="1:32" x14ac:dyDescent="0.3">
      <c r="A690" t="s">
        <v>3996</v>
      </c>
      <c r="B690" t="s">
        <v>1890</v>
      </c>
      <c r="G690" t="s">
        <v>3994</v>
      </c>
      <c r="H690" t="s">
        <v>132</v>
      </c>
      <c r="I690" t="s">
        <v>4</v>
      </c>
      <c r="J690" t="s">
        <v>133</v>
      </c>
      <c r="K690" t="s">
        <v>54</v>
      </c>
      <c r="L690" t="s">
        <v>1891</v>
      </c>
      <c r="M690" t="s">
        <v>134</v>
      </c>
      <c r="N690" t="s">
        <v>135</v>
      </c>
      <c r="Q690" t="s">
        <v>140</v>
      </c>
      <c r="T690" t="s">
        <v>1892</v>
      </c>
      <c r="U690" t="s">
        <v>137</v>
      </c>
      <c r="V690" t="s">
        <v>150</v>
      </c>
      <c r="W690" s="9">
        <v>46182.493968553237</v>
      </c>
      <c r="X690" t="s">
        <v>76</v>
      </c>
      <c r="AA690" t="s">
        <v>1884</v>
      </c>
      <c r="AB690" t="s">
        <v>3</v>
      </c>
      <c r="AC690" t="s">
        <v>24</v>
      </c>
      <c r="AD690" t="s">
        <v>128</v>
      </c>
      <c r="AE690" s="97">
        <f>VLOOKUP(A:A,SUMMERY!AA:AC,2,FALSE)</f>
        <v>46233</v>
      </c>
      <c r="AF690" s="6" t="str">
        <f>VLOOKUP(A:A,SUMMERY!AA:AC,3,FALSE)</f>
        <v>Priority-1</v>
      </c>
    </row>
    <row r="691" spans="1:32" x14ac:dyDescent="0.3">
      <c r="A691" t="s">
        <v>4002</v>
      </c>
      <c r="B691" t="s">
        <v>1914</v>
      </c>
      <c r="G691" t="s">
        <v>3994</v>
      </c>
      <c r="H691" t="s">
        <v>132</v>
      </c>
      <c r="I691" t="s">
        <v>4</v>
      </c>
      <c r="J691" t="s">
        <v>133</v>
      </c>
      <c r="K691" t="s">
        <v>54</v>
      </c>
      <c r="L691" t="s">
        <v>1915</v>
      </c>
      <c r="M691" t="s">
        <v>134</v>
      </c>
      <c r="N691" t="s">
        <v>135</v>
      </c>
      <c r="Q691" t="s">
        <v>140</v>
      </c>
      <c r="T691" t="s">
        <v>1916</v>
      </c>
      <c r="U691" t="s">
        <v>137</v>
      </c>
      <c r="V691" t="s">
        <v>362</v>
      </c>
      <c r="W691" s="9">
        <v>46182.494369826389</v>
      </c>
      <c r="X691" t="s">
        <v>58</v>
      </c>
      <c r="AA691" t="s">
        <v>1884</v>
      </c>
      <c r="AB691" t="s">
        <v>3</v>
      </c>
      <c r="AC691" t="s">
        <v>24</v>
      </c>
      <c r="AD691" t="s">
        <v>128</v>
      </c>
      <c r="AE691" s="97">
        <f>VLOOKUP(A:A,SUMMERY!AA:AC,2,FALSE)</f>
        <v>46220</v>
      </c>
      <c r="AF691" s="6" t="str">
        <f>VLOOKUP(A:A,SUMMERY!AA:AC,3,FALSE)</f>
        <v>Priority-1</v>
      </c>
    </row>
    <row r="692" spans="1:32" x14ac:dyDescent="0.3">
      <c r="A692" t="s">
        <v>4003</v>
      </c>
      <c r="B692" t="s">
        <v>1918</v>
      </c>
      <c r="G692" t="s">
        <v>3994</v>
      </c>
      <c r="H692" t="s">
        <v>132</v>
      </c>
      <c r="I692" t="s">
        <v>4</v>
      </c>
      <c r="J692" t="s">
        <v>133</v>
      </c>
      <c r="K692" t="s">
        <v>54</v>
      </c>
      <c r="L692" t="s">
        <v>1919</v>
      </c>
      <c r="M692" t="s">
        <v>134</v>
      </c>
      <c r="N692" t="s">
        <v>135</v>
      </c>
      <c r="Q692" t="s">
        <v>140</v>
      </c>
      <c r="T692" t="s">
        <v>1920</v>
      </c>
      <c r="U692" t="s">
        <v>137</v>
      </c>
      <c r="V692" t="s">
        <v>403</v>
      </c>
      <c r="W692" s="9">
        <v>46182.495302696756</v>
      </c>
      <c r="X692" t="s">
        <v>68</v>
      </c>
      <c r="AA692" t="s">
        <v>1884</v>
      </c>
      <c r="AB692" t="s">
        <v>3</v>
      </c>
      <c r="AC692" t="s">
        <v>24</v>
      </c>
      <c r="AD692" t="s">
        <v>128</v>
      </c>
      <c r="AE692" s="97">
        <f>VLOOKUP(A:A,SUMMERY!AA:AC,2,FALSE)</f>
        <v>46233</v>
      </c>
      <c r="AF692" s="6" t="str">
        <f>VLOOKUP(A:A,SUMMERY!AA:AC,3,FALSE)</f>
        <v>Priority-1</v>
      </c>
    </row>
    <row r="693" spans="1:32" x14ac:dyDescent="0.3">
      <c r="A693" t="s">
        <v>4004</v>
      </c>
      <c r="B693" t="s">
        <v>1922</v>
      </c>
      <c r="G693" t="s">
        <v>3994</v>
      </c>
      <c r="H693" t="s">
        <v>132</v>
      </c>
      <c r="I693" t="s">
        <v>4</v>
      </c>
      <c r="J693" t="s">
        <v>133</v>
      </c>
      <c r="K693" t="s">
        <v>54</v>
      </c>
      <c r="L693" t="s">
        <v>1919</v>
      </c>
      <c r="M693" t="s">
        <v>134</v>
      </c>
      <c r="N693" t="s">
        <v>135</v>
      </c>
      <c r="Q693" t="s">
        <v>140</v>
      </c>
      <c r="T693" t="s">
        <v>1920</v>
      </c>
      <c r="U693" t="s">
        <v>137</v>
      </c>
      <c r="V693" t="s">
        <v>407</v>
      </c>
      <c r="W693" s="9">
        <v>46182.497293287037</v>
      </c>
      <c r="X693" t="s">
        <v>77</v>
      </c>
      <c r="AA693" t="s">
        <v>1884</v>
      </c>
      <c r="AB693" t="s">
        <v>3</v>
      </c>
      <c r="AC693" t="s">
        <v>24</v>
      </c>
      <c r="AD693" t="s">
        <v>128</v>
      </c>
      <c r="AE693" s="97">
        <f>VLOOKUP(A:A,SUMMERY!AA:AC,2,FALSE)</f>
        <v>46233</v>
      </c>
      <c r="AF693" s="6" t="str">
        <f>VLOOKUP(A:A,SUMMERY!AA:AC,3,FALSE)</f>
        <v>Priority-1</v>
      </c>
    </row>
    <row r="694" spans="1:32" x14ac:dyDescent="0.3">
      <c r="A694" t="s">
        <v>4010</v>
      </c>
      <c r="B694" t="s">
        <v>1934</v>
      </c>
      <c r="G694" t="s">
        <v>3994</v>
      </c>
      <c r="H694" t="s">
        <v>132</v>
      </c>
      <c r="I694" t="s">
        <v>4</v>
      </c>
      <c r="J694" t="s">
        <v>133</v>
      </c>
      <c r="K694" t="s">
        <v>54</v>
      </c>
      <c r="L694" t="s">
        <v>1935</v>
      </c>
      <c r="M694" t="s">
        <v>134</v>
      </c>
      <c r="N694" t="s">
        <v>135</v>
      </c>
      <c r="Q694" t="s">
        <v>140</v>
      </c>
      <c r="T694" t="s">
        <v>1936</v>
      </c>
      <c r="U694" t="s">
        <v>137</v>
      </c>
      <c r="V694" t="s">
        <v>640</v>
      </c>
      <c r="W694" s="9">
        <v>46182.497856215276</v>
      </c>
      <c r="X694" t="s">
        <v>66</v>
      </c>
      <c r="AA694" t="s">
        <v>1884</v>
      </c>
      <c r="AB694" t="s">
        <v>3</v>
      </c>
      <c r="AC694" t="s">
        <v>24</v>
      </c>
      <c r="AD694" t="s">
        <v>128</v>
      </c>
      <c r="AE694" s="97">
        <f>VLOOKUP(A:A,SUMMERY!AA:AC,2,FALSE)</f>
        <v>46220</v>
      </c>
      <c r="AF694" s="6" t="str">
        <f>VLOOKUP(A:A,SUMMERY!AA:AC,3,FALSE)</f>
        <v>Priority-1</v>
      </c>
    </row>
    <row r="695" spans="1:32" x14ac:dyDescent="0.3">
      <c r="A695" t="s">
        <v>4011</v>
      </c>
      <c r="B695" t="s">
        <v>1938</v>
      </c>
      <c r="G695" t="s">
        <v>3994</v>
      </c>
      <c r="H695" t="s">
        <v>132</v>
      </c>
      <c r="I695" t="s">
        <v>4</v>
      </c>
      <c r="J695" t="s">
        <v>133</v>
      </c>
      <c r="K695" t="s">
        <v>54</v>
      </c>
      <c r="L695" t="s">
        <v>1935</v>
      </c>
      <c r="M695" t="s">
        <v>134</v>
      </c>
      <c r="N695" t="s">
        <v>135</v>
      </c>
      <c r="Q695" t="s">
        <v>140</v>
      </c>
      <c r="T695" t="s">
        <v>1936</v>
      </c>
      <c r="U695" t="s">
        <v>137</v>
      </c>
      <c r="V695" t="s">
        <v>646</v>
      </c>
      <c r="W695" s="9">
        <v>46182.498463622687</v>
      </c>
      <c r="X695" t="s">
        <v>74</v>
      </c>
      <c r="AA695" t="s">
        <v>1884</v>
      </c>
      <c r="AB695" t="s">
        <v>3</v>
      </c>
      <c r="AC695" t="s">
        <v>24</v>
      </c>
      <c r="AD695" t="s">
        <v>128</v>
      </c>
      <c r="AE695" s="97">
        <f>VLOOKUP(A:A,SUMMERY!AA:AC,2,FALSE)</f>
        <v>46220</v>
      </c>
      <c r="AF695" s="6" t="str">
        <f>VLOOKUP(A:A,SUMMERY!AA:AC,3,FALSE)</f>
        <v>Priority-1</v>
      </c>
    </row>
    <row r="696" spans="1:32" x14ac:dyDescent="0.3">
      <c r="A696" t="s">
        <v>4016</v>
      </c>
      <c r="B696" t="s">
        <v>1948</v>
      </c>
      <c r="G696" t="s">
        <v>3994</v>
      </c>
      <c r="H696" t="s">
        <v>132</v>
      </c>
      <c r="I696" t="s">
        <v>4</v>
      </c>
      <c r="J696" t="s">
        <v>133</v>
      </c>
      <c r="K696" t="s">
        <v>54</v>
      </c>
      <c r="L696" t="s">
        <v>1949</v>
      </c>
      <c r="M696" t="s">
        <v>134</v>
      </c>
      <c r="N696" t="s">
        <v>135</v>
      </c>
      <c r="Q696" t="s">
        <v>140</v>
      </c>
      <c r="S696" t="s">
        <v>140</v>
      </c>
      <c r="T696" t="s">
        <v>1950</v>
      </c>
      <c r="U696" t="s">
        <v>137</v>
      </c>
      <c r="V696" t="s">
        <v>1190</v>
      </c>
      <c r="W696" s="9">
        <v>46182.498879363426</v>
      </c>
      <c r="X696" t="s">
        <v>67</v>
      </c>
      <c r="AA696" t="s">
        <v>1884</v>
      </c>
      <c r="AB696" t="s">
        <v>3</v>
      </c>
      <c r="AC696" t="s">
        <v>24</v>
      </c>
      <c r="AD696" t="s">
        <v>128</v>
      </c>
      <c r="AE696" s="97">
        <f>VLOOKUP(A:A,SUMMERY!AA:AC,2,FALSE)</f>
        <v>46220</v>
      </c>
      <c r="AF696" s="6" t="str">
        <f>VLOOKUP(A:A,SUMMERY!AA:AC,3,FALSE)</f>
        <v>Priority-1</v>
      </c>
    </row>
    <row r="697" spans="1:32" x14ac:dyDescent="0.3">
      <c r="A697" t="s">
        <v>4017</v>
      </c>
      <c r="B697" t="s">
        <v>1952</v>
      </c>
      <c r="G697" t="s">
        <v>3994</v>
      </c>
      <c r="H697" t="s">
        <v>132</v>
      </c>
      <c r="I697" t="s">
        <v>4</v>
      </c>
      <c r="J697" t="s">
        <v>133</v>
      </c>
      <c r="K697" t="s">
        <v>54</v>
      </c>
      <c r="L697" t="s">
        <v>1949</v>
      </c>
      <c r="M697" t="s">
        <v>134</v>
      </c>
      <c r="N697" t="s">
        <v>135</v>
      </c>
      <c r="Q697" t="s">
        <v>140</v>
      </c>
      <c r="T697" t="s">
        <v>1950</v>
      </c>
      <c r="U697" t="s">
        <v>137</v>
      </c>
      <c r="V697" t="s">
        <v>1194</v>
      </c>
      <c r="W697" s="9">
        <v>46182.49923912037</v>
      </c>
      <c r="X697" t="s">
        <v>75</v>
      </c>
      <c r="AA697" t="s">
        <v>1884</v>
      </c>
      <c r="AB697" t="s">
        <v>3</v>
      </c>
      <c r="AC697" t="s">
        <v>24</v>
      </c>
      <c r="AD697" t="s">
        <v>128</v>
      </c>
      <c r="AE697" s="97">
        <f>VLOOKUP(A:A,SUMMERY!AA:AC,2,FALSE)</f>
        <v>46220</v>
      </c>
      <c r="AF697" s="6" t="str">
        <f>VLOOKUP(A:A,SUMMERY!AA:AC,3,FALSE)</f>
        <v>Priority-1</v>
      </c>
    </row>
    <row r="698" spans="1:32" x14ac:dyDescent="0.3">
      <c r="A698" t="s">
        <v>4023</v>
      </c>
      <c r="B698" t="s">
        <v>1964</v>
      </c>
      <c r="G698" t="s">
        <v>3994</v>
      </c>
      <c r="H698" t="s">
        <v>132</v>
      </c>
      <c r="I698" t="s">
        <v>4</v>
      </c>
      <c r="J698" t="s">
        <v>133</v>
      </c>
      <c r="K698" t="s">
        <v>54</v>
      </c>
      <c r="L698" t="s">
        <v>1965</v>
      </c>
      <c r="M698" t="s">
        <v>134</v>
      </c>
      <c r="N698" t="s">
        <v>135</v>
      </c>
      <c r="Q698" t="s">
        <v>140</v>
      </c>
      <c r="T698" t="s">
        <v>1966</v>
      </c>
      <c r="U698" t="s">
        <v>137</v>
      </c>
      <c r="V698" t="s">
        <v>1967</v>
      </c>
      <c r="W698" s="9">
        <v>46185.453759918979</v>
      </c>
      <c r="X698" t="s">
        <v>125</v>
      </c>
      <c r="AA698" t="s">
        <v>1884</v>
      </c>
      <c r="AB698" t="s">
        <v>3</v>
      </c>
      <c r="AC698" t="s">
        <v>24</v>
      </c>
      <c r="AD698" t="s">
        <v>131</v>
      </c>
      <c r="AE698" s="97">
        <f>VLOOKUP(A:A,SUMMERY!AA:AC,2,FALSE)</f>
        <v>46234</v>
      </c>
      <c r="AF698" s="6" t="str">
        <f>VLOOKUP(A:A,SUMMERY!AA:AC,3,FALSE)</f>
        <v>Priority-2</v>
      </c>
    </row>
    <row r="699" spans="1:32" x14ac:dyDescent="0.3">
      <c r="A699" t="s">
        <v>4024</v>
      </c>
      <c r="B699" t="s">
        <v>1969</v>
      </c>
      <c r="G699" t="s">
        <v>3994</v>
      </c>
      <c r="H699" t="s">
        <v>132</v>
      </c>
      <c r="I699" t="s">
        <v>4</v>
      </c>
      <c r="J699" t="s">
        <v>133</v>
      </c>
      <c r="K699" t="s">
        <v>54</v>
      </c>
      <c r="L699" t="s">
        <v>1970</v>
      </c>
      <c r="M699" t="s">
        <v>134</v>
      </c>
      <c r="N699" t="s">
        <v>135</v>
      </c>
      <c r="Q699" t="s">
        <v>140</v>
      </c>
      <c r="T699" t="s">
        <v>1966</v>
      </c>
      <c r="U699" t="s">
        <v>137</v>
      </c>
      <c r="V699" t="s">
        <v>1967</v>
      </c>
      <c r="W699" s="9">
        <v>46185.45420925926</v>
      </c>
      <c r="X699" t="s">
        <v>125</v>
      </c>
      <c r="AA699" t="s">
        <v>1884</v>
      </c>
      <c r="AB699" t="s">
        <v>3</v>
      </c>
      <c r="AC699" t="s">
        <v>24</v>
      </c>
      <c r="AD699" t="s">
        <v>131</v>
      </c>
      <c r="AE699" s="97">
        <f>VLOOKUP(A:A,SUMMERY!AA:AC,2,FALSE)</f>
        <v>46234</v>
      </c>
      <c r="AF699" s="6" t="str">
        <f>VLOOKUP(A:A,SUMMERY!AA:AC,3,FALSE)</f>
        <v>Priority-2</v>
      </c>
    </row>
    <row r="700" spans="1:32" x14ac:dyDescent="0.3">
      <c r="A700" t="s">
        <v>4025</v>
      </c>
      <c r="B700" t="s">
        <v>1972</v>
      </c>
      <c r="G700" t="s">
        <v>3994</v>
      </c>
      <c r="H700" t="s">
        <v>132</v>
      </c>
      <c r="I700" t="s">
        <v>4</v>
      </c>
      <c r="J700" t="s">
        <v>133</v>
      </c>
      <c r="K700" t="s">
        <v>54</v>
      </c>
      <c r="L700" t="s">
        <v>1973</v>
      </c>
      <c r="M700" t="s">
        <v>134</v>
      </c>
      <c r="N700" t="s">
        <v>135</v>
      </c>
      <c r="Q700" t="s">
        <v>140</v>
      </c>
      <c r="T700" t="s">
        <v>1974</v>
      </c>
      <c r="U700" t="s">
        <v>137</v>
      </c>
      <c r="V700" t="s">
        <v>703</v>
      </c>
      <c r="W700" s="9">
        <v>46205.491304861112</v>
      </c>
      <c r="X700" t="s">
        <v>62</v>
      </c>
      <c r="AA700" t="s">
        <v>1884</v>
      </c>
      <c r="AB700" t="s">
        <v>3</v>
      </c>
      <c r="AC700" t="s">
        <v>24</v>
      </c>
      <c r="AD700" t="s">
        <v>128</v>
      </c>
      <c r="AE700" s="97">
        <f>VLOOKUP(A:A,SUMMERY!AA:AC,2,FALSE)</f>
        <v>46220</v>
      </c>
      <c r="AF700" s="6" t="str">
        <f>VLOOKUP(A:A,SUMMERY!AA:AC,3,FALSE)</f>
        <v>Priority-1</v>
      </c>
    </row>
    <row r="701" spans="1:32" x14ac:dyDescent="0.3">
      <c r="A701" t="s">
        <v>4026</v>
      </c>
      <c r="B701" t="s">
        <v>1976</v>
      </c>
      <c r="G701" t="s">
        <v>3994</v>
      </c>
      <c r="H701" t="s">
        <v>132</v>
      </c>
      <c r="I701" t="s">
        <v>4</v>
      </c>
      <c r="J701" t="s">
        <v>133</v>
      </c>
      <c r="K701" t="s">
        <v>54</v>
      </c>
      <c r="L701" t="s">
        <v>1973</v>
      </c>
      <c r="M701" t="s">
        <v>134</v>
      </c>
      <c r="N701" t="s">
        <v>135</v>
      </c>
      <c r="Q701" t="s">
        <v>140</v>
      </c>
      <c r="T701" t="s">
        <v>1974</v>
      </c>
      <c r="U701" t="s">
        <v>137</v>
      </c>
      <c r="V701" t="s">
        <v>703</v>
      </c>
      <c r="W701" s="9">
        <v>46205.492529594907</v>
      </c>
      <c r="X701" t="s">
        <v>62</v>
      </c>
      <c r="AA701" t="s">
        <v>1884</v>
      </c>
      <c r="AB701" t="s">
        <v>3</v>
      </c>
      <c r="AC701" t="s">
        <v>24</v>
      </c>
      <c r="AD701" t="s">
        <v>128</v>
      </c>
      <c r="AE701" s="97">
        <f>VLOOKUP(A:A,SUMMERY!AA:AC,2,FALSE)</f>
        <v>46220</v>
      </c>
      <c r="AF701" s="6" t="str">
        <f>VLOOKUP(A:A,SUMMERY!AA:AC,3,FALSE)</f>
        <v>Priority-1</v>
      </c>
    </row>
    <row r="702" spans="1:32" x14ac:dyDescent="0.3">
      <c r="A702" t="s">
        <v>4027</v>
      </c>
      <c r="B702" t="s">
        <v>1978</v>
      </c>
      <c r="G702" t="s">
        <v>3994</v>
      </c>
      <c r="H702" t="s">
        <v>132</v>
      </c>
      <c r="I702" t="s">
        <v>4</v>
      </c>
      <c r="J702" t="s">
        <v>133</v>
      </c>
      <c r="K702" t="s">
        <v>54</v>
      </c>
      <c r="L702" t="s">
        <v>1979</v>
      </c>
      <c r="M702" t="s">
        <v>134</v>
      </c>
      <c r="N702" t="s">
        <v>135</v>
      </c>
      <c r="Q702" t="s">
        <v>140</v>
      </c>
      <c r="T702" t="s">
        <v>1888</v>
      </c>
      <c r="U702" t="s">
        <v>137</v>
      </c>
      <c r="V702" t="s">
        <v>147</v>
      </c>
      <c r="W702" s="9">
        <v>46182.499547569445</v>
      </c>
      <c r="X702" t="s">
        <v>70</v>
      </c>
      <c r="AA702" t="s">
        <v>1884</v>
      </c>
      <c r="AB702" t="s">
        <v>3</v>
      </c>
      <c r="AC702" t="s">
        <v>24</v>
      </c>
      <c r="AD702" t="s">
        <v>128</v>
      </c>
      <c r="AE702" s="97">
        <f>VLOOKUP(A:A,SUMMERY!AA:AC,2,FALSE)</f>
        <v>46220</v>
      </c>
      <c r="AF702" s="6" t="str">
        <f>VLOOKUP(A:A,SUMMERY!AA:AC,3,FALSE)</f>
        <v>Priority-1</v>
      </c>
    </row>
    <row r="703" spans="1:32" x14ac:dyDescent="0.3">
      <c r="A703" t="s">
        <v>4028</v>
      </c>
      <c r="B703" t="s">
        <v>1981</v>
      </c>
      <c r="G703" t="s">
        <v>3994</v>
      </c>
      <c r="H703" t="s">
        <v>132</v>
      </c>
      <c r="I703" t="s">
        <v>4</v>
      </c>
      <c r="J703" t="s">
        <v>133</v>
      </c>
      <c r="K703" t="s">
        <v>54</v>
      </c>
      <c r="L703" t="s">
        <v>1979</v>
      </c>
      <c r="M703" t="s">
        <v>134</v>
      </c>
      <c r="N703" t="s">
        <v>135</v>
      </c>
      <c r="Q703" t="s">
        <v>140</v>
      </c>
      <c r="T703" t="s">
        <v>1892</v>
      </c>
      <c r="U703" t="s">
        <v>137</v>
      </c>
      <c r="V703" t="s">
        <v>150</v>
      </c>
      <c r="W703" s="9">
        <v>46182.500069444446</v>
      </c>
      <c r="X703" t="s">
        <v>76</v>
      </c>
      <c r="AA703" t="s">
        <v>1884</v>
      </c>
      <c r="AB703" t="s">
        <v>3</v>
      </c>
      <c r="AC703" t="s">
        <v>24</v>
      </c>
      <c r="AD703" t="s">
        <v>128</v>
      </c>
      <c r="AE703" s="97">
        <f>VLOOKUP(A:A,SUMMERY!AA:AC,2,FALSE)</f>
        <v>46233</v>
      </c>
      <c r="AF703" s="6" t="str">
        <f>VLOOKUP(A:A,SUMMERY!AA:AC,3,FALSE)</f>
        <v>Priority-1</v>
      </c>
    </row>
    <row r="704" spans="1:32" x14ac:dyDescent="0.3">
      <c r="A704" t="s">
        <v>4034</v>
      </c>
      <c r="B704" t="s">
        <v>1993</v>
      </c>
      <c r="G704" t="s">
        <v>3994</v>
      </c>
      <c r="H704" t="s">
        <v>132</v>
      </c>
      <c r="I704" t="s">
        <v>4</v>
      </c>
      <c r="J704" t="s">
        <v>133</v>
      </c>
      <c r="K704" t="s">
        <v>54</v>
      </c>
      <c r="L704" t="s">
        <v>1979</v>
      </c>
      <c r="M704" t="s">
        <v>134</v>
      </c>
      <c r="N704" t="s">
        <v>135</v>
      </c>
      <c r="Q704" t="s">
        <v>140</v>
      </c>
      <c r="T704" t="s">
        <v>1888</v>
      </c>
      <c r="U704" t="s">
        <v>137</v>
      </c>
      <c r="V704" t="s">
        <v>147</v>
      </c>
      <c r="W704" s="9">
        <v>46182.500620983796</v>
      </c>
      <c r="X704" t="s">
        <v>70</v>
      </c>
      <c r="AA704" t="s">
        <v>1884</v>
      </c>
      <c r="AB704" t="s">
        <v>3</v>
      </c>
      <c r="AC704" t="s">
        <v>24</v>
      </c>
      <c r="AD704" t="s">
        <v>128</v>
      </c>
      <c r="AE704" s="97">
        <f>VLOOKUP(A:A,SUMMERY!AA:AC,2,FALSE)</f>
        <v>46220</v>
      </c>
      <c r="AF704" s="6" t="str">
        <f>VLOOKUP(A:A,SUMMERY!AA:AC,3,FALSE)</f>
        <v>Priority-1</v>
      </c>
    </row>
    <row r="705" spans="1:32" x14ac:dyDescent="0.3">
      <c r="A705" t="s">
        <v>4035</v>
      </c>
      <c r="B705" t="s">
        <v>1995</v>
      </c>
      <c r="G705" t="s">
        <v>3994</v>
      </c>
      <c r="H705" t="s">
        <v>132</v>
      </c>
      <c r="I705" t="s">
        <v>4</v>
      </c>
      <c r="J705" t="s">
        <v>133</v>
      </c>
      <c r="K705" t="s">
        <v>54</v>
      </c>
      <c r="L705" t="s">
        <v>1979</v>
      </c>
      <c r="M705" t="s">
        <v>134</v>
      </c>
      <c r="N705" t="s">
        <v>135</v>
      </c>
      <c r="Q705" t="s">
        <v>140</v>
      </c>
      <c r="T705" t="s">
        <v>1892</v>
      </c>
      <c r="U705" t="s">
        <v>137</v>
      </c>
      <c r="V705" t="s">
        <v>150</v>
      </c>
      <c r="W705" s="9">
        <v>46182.501366516204</v>
      </c>
      <c r="X705" t="s">
        <v>76</v>
      </c>
      <c r="AA705" t="s">
        <v>1884</v>
      </c>
      <c r="AB705" t="s">
        <v>3</v>
      </c>
      <c r="AC705" t="s">
        <v>24</v>
      </c>
      <c r="AD705" t="s">
        <v>128</v>
      </c>
      <c r="AE705" s="97">
        <f>VLOOKUP(A:A,SUMMERY!AA:AC,2,FALSE)</f>
        <v>46233</v>
      </c>
      <c r="AF705" s="6" t="str">
        <f>VLOOKUP(A:A,SUMMERY!AA:AC,3,FALSE)</f>
        <v>Priority-1</v>
      </c>
    </row>
    <row r="706" spans="1:32" x14ac:dyDescent="0.3">
      <c r="A706" t="s">
        <v>4041</v>
      </c>
      <c r="B706" t="s">
        <v>2007</v>
      </c>
      <c r="G706" t="s">
        <v>3994</v>
      </c>
      <c r="H706" t="s">
        <v>132</v>
      </c>
      <c r="I706" t="s">
        <v>4</v>
      </c>
      <c r="J706" t="s">
        <v>133</v>
      </c>
      <c r="K706" t="s">
        <v>54</v>
      </c>
      <c r="L706" t="s">
        <v>1973</v>
      </c>
      <c r="M706" t="s">
        <v>134</v>
      </c>
      <c r="N706" t="s">
        <v>135</v>
      </c>
      <c r="Q706" t="s">
        <v>140</v>
      </c>
      <c r="T706" t="s">
        <v>1974</v>
      </c>
      <c r="U706" t="s">
        <v>137</v>
      </c>
      <c r="V706" t="s">
        <v>709</v>
      </c>
      <c r="W706" s="9">
        <v>46205.493233796296</v>
      </c>
      <c r="X706" t="s">
        <v>73</v>
      </c>
      <c r="AA706" t="s">
        <v>1884</v>
      </c>
      <c r="AB706" t="s">
        <v>3</v>
      </c>
      <c r="AC706" t="s">
        <v>24</v>
      </c>
      <c r="AD706" t="s">
        <v>128</v>
      </c>
      <c r="AE706" s="97">
        <f>VLOOKUP(A:A,SUMMERY!AA:AC,2,FALSE)</f>
        <v>46220</v>
      </c>
      <c r="AF706" s="6" t="str">
        <f>VLOOKUP(A:A,SUMMERY!AA:AC,3,FALSE)</f>
        <v>Priority-1</v>
      </c>
    </row>
    <row r="707" spans="1:32" x14ac:dyDescent="0.3">
      <c r="A707" t="s">
        <v>4042</v>
      </c>
      <c r="B707" t="s">
        <v>2009</v>
      </c>
      <c r="G707" t="s">
        <v>3994</v>
      </c>
      <c r="H707" t="s">
        <v>132</v>
      </c>
      <c r="I707" t="s">
        <v>4</v>
      </c>
      <c r="J707" t="s">
        <v>133</v>
      </c>
      <c r="K707" t="s">
        <v>54</v>
      </c>
      <c r="L707" t="s">
        <v>1973</v>
      </c>
      <c r="M707" t="s">
        <v>134</v>
      </c>
      <c r="N707" t="s">
        <v>135</v>
      </c>
      <c r="Q707" t="s">
        <v>140</v>
      </c>
      <c r="T707" t="s">
        <v>1974</v>
      </c>
      <c r="U707" t="s">
        <v>137</v>
      </c>
      <c r="V707" t="s">
        <v>709</v>
      </c>
      <c r="W707" s="9">
        <v>46205.493745138891</v>
      </c>
      <c r="X707" t="s">
        <v>73</v>
      </c>
      <c r="AA707" t="s">
        <v>1884</v>
      </c>
      <c r="AB707" t="s">
        <v>3</v>
      </c>
      <c r="AC707" t="s">
        <v>24</v>
      </c>
      <c r="AD707" t="s">
        <v>128</v>
      </c>
      <c r="AE707" s="97">
        <f>VLOOKUP(A:A,SUMMERY!AA:AC,2,FALSE)</f>
        <v>46220</v>
      </c>
      <c r="AF707" s="6" t="str">
        <f>VLOOKUP(A:A,SUMMERY!AA:AC,3,FALSE)</f>
        <v>Priority-1</v>
      </c>
    </row>
    <row r="708" spans="1:32" x14ac:dyDescent="0.3">
      <c r="A708" t="s">
        <v>4053</v>
      </c>
      <c r="B708" t="s">
        <v>2031</v>
      </c>
      <c r="G708" t="s">
        <v>3994</v>
      </c>
      <c r="H708" t="s">
        <v>132</v>
      </c>
      <c r="I708" t="s">
        <v>4</v>
      </c>
      <c r="J708" t="s">
        <v>133</v>
      </c>
      <c r="K708" t="s">
        <v>54</v>
      </c>
      <c r="L708" t="s">
        <v>2032</v>
      </c>
      <c r="M708" t="s">
        <v>134</v>
      </c>
      <c r="N708" t="s">
        <v>135</v>
      </c>
      <c r="Q708" t="s">
        <v>140</v>
      </c>
      <c r="T708" t="s">
        <v>1936</v>
      </c>
      <c r="U708" t="s">
        <v>137</v>
      </c>
      <c r="V708" t="s">
        <v>640</v>
      </c>
      <c r="W708" s="9">
        <v>46182.501695370367</v>
      </c>
      <c r="X708" t="s">
        <v>66</v>
      </c>
      <c r="AA708" t="s">
        <v>1884</v>
      </c>
      <c r="AB708" t="s">
        <v>3</v>
      </c>
      <c r="AC708" t="s">
        <v>24</v>
      </c>
      <c r="AD708" t="s">
        <v>128</v>
      </c>
      <c r="AE708" s="97">
        <f>VLOOKUP(A:A,SUMMERY!AA:AC,2,FALSE)</f>
        <v>46220</v>
      </c>
      <c r="AF708" s="6" t="str">
        <f>VLOOKUP(A:A,SUMMERY!AA:AC,3,FALSE)</f>
        <v>Priority-1</v>
      </c>
    </row>
    <row r="709" spans="1:32" x14ac:dyDescent="0.3">
      <c r="A709" t="s">
        <v>4054</v>
      </c>
      <c r="B709" t="s">
        <v>2034</v>
      </c>
      <c r="G709" t="s">
        <v>3994</v>
      </c>
      <c r="H709" t="s">
        <v>132</v>
      </c>
      <c r="I709" t="s">
        <v>4</v>
      </c>
      <c r="J709" t="s">
        <v>133</v>
      </c>
      <c r="K709" t="s">
        <v>54</v>
      </c>
      <c r="L709" t="s">
        <v>2032</v>
      </c>
      <c r="M709" t="s">
        <v>134</v>
      </c>
      <c r="N709" t="s">
        <v>135</v>
      </c>
      <c r="Q709" t="s">
        <v>140</v>
      </c>
      <c r="T709" t="s">
        <v>1936</v>
      </c>
      <c r="U709" t="s">
        <v>137</v>
      </c>
      <c r="V709" t="s">
        <v>646</v>
      </c>
      <c r="W709" s="9">
        <v>46182.502015706021</v>
      </c>
      <c r="X709" t="s">
        <v>74</v>
      </c>
      <c r="AA709" t="s">
        <v>1884</v>
      </c>
      <c r="AB709" t="s">
        <v>3</v>
      </c>
      <c r="AC709" t="s">
        <v>24</v>
      </c>
      <c r="AD709" t="s">
        <v>128</v>
      </c>
      <c r="AE709" s="97">
        <f>VLOOKUP(A:A,SUMMERY!AA:AC,2,FALSE)</f>
        <v>46220</v>
      </c>
      <c r="AF709" s="6" t="str">
        <f>VLOOKUP(A:A,SUMMERY!AA:AC,3,FALSE)</f>
        <v>Priority-1</v>
      </c>
    </row>
    <row r="710" spans="1:32" x14ac:dyDescent="0.3">
      <c r="A710" t="s">
        <v>4060</v>
      </c>
      <c r="B710" t="s">
        <v>2046</v>
      </c>
      <c r="G710" t="s">
        <v>3994</v>
      </c>
      <c r="H710" t="s">
        <v>132</v>
      </c>
      <c r="I710" t="s">
        <v>4</v>
      </c>
      <c r="J710" t="s">
        <v>133</v>
      </c>
      <c r="K710" t="s">
        <v>54</v>
      </c>
      <c r="L710" t="s">
        <v>1979</v>
      </c>
      <c r="M710" t="s">
        <v>134</v>
      </c>
      <c r="N710" t="s">
        <v>135</v>
      </c>
      <c r="Q710" t="s">
        <v>140</v>
      </c>
      <c r="T710" t="s">
        <v>2047</v>
      </c>
      <c r="U710" t="s">
        <v>137</v>
      </c>
      <c r="V710" t="s">
        <v>1279</v>
      </c>
      <c r="W710" s="9">
        <v>46182.502372071758</v>
      </c>
      <c r="X710" t="s">
        <v>71</v>
      </c>
      <c r="AA710" t="s">
        <v>1884</v>
      </c>
      <c r="AB710" t="s">
        <v>3</v>
      </c>
      <c r="AC710" t="s">
        <v>24</v>
      </c>
      <c r="AD710" t="s">
        <v>128</v>
      </c>
      <c r="AE710" s="97">
        <f>VLOOKUP(A:A,SUMMERY!AA:AC,2,FALSE)</f>
        <v>46233</v>
      </c>
      <c r="AF710" s="6" t="str">
        <f>VLOOKUP(A:A,SUMMERY!AA:AC,3,FALSE)</f>
        <v>Priority-1</v>
      </c>
    </row>
    <row r="711" spans="1:32" x14ac:dyDescent="0.3">
      <c r="A711" t="s">
        <v>4061</v>
      </c>
      <c r="B711" t="s">
        <v>2049</v>
      </c>
      <c r="G711" t="s">
        <v>3994</v>
      </c>
      <c r="H711" t="s">
        <v>132</v>
      </c>
      <c r="I711" t="s">
        <v>4</v>
      </c>
      <c r="J711" t="s">
        <v>133</v>
      </c>
      <c r="K711" t="s">
        <v>54</v>
      </c>
      <c r="L711" t="s">
        <v>1979</v>
      </c>
      <c r="M711" t="s">
        <v>134</v>
      </c>
      <c r="N711" t="s">
        <v>135</v>
      </c>
      <c r="Q711" t="s">
        <v>140</v>
      </c>
      <c r="T711" t="s">
        <v>2047</v>
      </c>
      <c r="U711" t="s">
        <v>137</v>
      </c>
      <c r="V711" t="s">
        <v>1283</v>
      </c>
      <c r="W711" s="9">
        <v>46182.505675659719</v>
      </c>
      <c r="X711" t="s">
        <v>78</v>
      </c>
      <c r="AA711" t="s">
        <v>1884</v>
      </c>
      <c r="AB711" t="s">
        <v>3</v>
      </c>
      <c r="AC711" t="s">
        <v>24</v>
      </c>
      <c r="AD711" t="s">
        <v>128</v>
      </c>
      <c r="AE711" s="97">
        <f>VLOOKUP(A:A,SUMMERY!AA:AC,2,FALSE)</f>
        <v>46234</v>
      </c>
      <c r="AF711" s="6" t="str">
        <f>VLOOKUP(A:A,SUMMERY!AA:AC,3,FALSE)</f>
        <v>Priority-1</v>
      </c>
    </row>
    <row r="712" spans="1:32" x14ac:dyDescent="0.3">
      <c r="A712" t="s">
        <v>4067</v>
      </c>
      <c r="B712" t="s">
        <v>2062</v>
      </c>
      <c r="G712" t="s">
        <v>3994</v>
      </c>
      <c r="H712" t="s">
        <v>132</v>
      </c>
      <c r="I712" t="s">
        <v>4</v>
      </c>
      <c r="J712" t="s">
        <v>133</v>
      </c>
      <c r="K712" t="s">
        <v>54</v>
      </c>
      <c r="L712" t="s">
        <v>2063</v>
      </c>
      <c r="M712" t="s">
        <v>134</v>
      </c>
      <c r="N712" t="s">
        <v>135</v>
      </c>
      <c r="Q712" t="s">
        <v>140</v>
      </c>
      <c r="T712" t="s">
        <v>2064</v>
      </c>
      <c r="U712" t="s">
        <v>137</v>
      </c>
      <c r="V712" t="s">
        <v>703</v>
      </c>
      <c r="W712" s="9">
        <v>46182.506030358796</v>
      </c>
      <c r="X712" t="s">
        <v>62</v>
      </c>
      <c r="AA712" t="s">
        <v>1884</v>
      </c>
      <c r="AB712" t="s">
        <v>3</v>
      </c>
      <c r="AC712" t="s">
        <v>24</v>
      </c>
      <c r="AD712" t="s">
        <v>128</v>
      </c>
      <c r="AE712" s="97">
        <f>VLOOKUP(A:A,SUMMERY!AA:AC,2,FALSE)</f>
        <v>46220</v>
      </c>
      <c r="AF712" s="6" t="str">
        <f>VLOOKUP(A:A,SUMMERY!AA:AC,3,FALSE)</f>
        <v>Priority-1</v>
      </c>
    </row>
    <row r="713" spans="1:32" x14ac:dyDescent="0.3">
      <c r="A713" t="s">
        <v>4068</v>
      </c>
      <c r="B713" t="s">
        <v>2066</v>
      </c>
      <c r="G713" t="s">
        <v>3994</v>
      </c>
      <c r="H713" t="s">
        <v>132</v>
      </c>
      <c r="I713" t="s">
        <v>4</v>
      </c>
      <c r="J713" t="s">
        <v>133</v>
      </c>
      <c r="K713" t="s">
        <v>54</v>
      </c>
      <c r="L713" t="s">
        <v>2063</v>
      </c>
      <c r="M713" t="s">
        <v>134</v>
      </c>
      <c r="N713" t="s">
        <v>135</v>
      </c>
      <c r="Q713" t="s">
        <v>140</v>
      </c>
      <c r="T713" t="s">
        <v>2064</v>
      </c>
      <c r="U713" t="s">
        <v>137</v>
      </c>
      <c r="V713" t="s">
        <v>709</v>
      </c>
      <c r="W713" s="9">
        <v>46182.507970914354</v>
      </c>
      <c r="X713" t="s">
        <v>73</v>
      </c>
      <c r="AA713" t="s">
        <v>1884</v>
      </c>
      <c r="AB713" t="s">
        <v>3</v>
      </c>
      <c r="AC713" t="s">
        <v>24</v>
      </c>
      <c r="AD713" t="s">
        <v>128</v>
      </c>
      <c r="AE713" s="97">
        <f>VLOOKUP(A:A,SUMMERY!AA:AC,2,FALSE)</f>
        <v>46220</v>
      </c>
      <c r="AF713" s="6" t="str">
        <f>VLOOKUP(A:A,SUMMERY!AA:AC,3,FALSE)</f>
        <v>Priority-1</v>
      </c>
    </row>
    <row r="714" spans="1:32" x14ac:dyDescent="0.3">
      <c r="A714" t="s">
        <v>4074</v>
      </c>
      <c r="B714" t="s">
        <v>2078</v>
      </c>
      <c r="G714" t="s">
        <v>3994</v>
      </c>
      <c r="H714" t="s">
        <v>132</v>
      </c>
      <c r="I714" t="s">
        <v>4</v>
      </c>
      <c r="J714" t="s">
        <v>133</v>
      </c>
      <c r="K714" t="s">
        <v>54</v>
      </c>
      <c r="L714" t="s">
        <v>2063</v>
      </c>
      <c r="M714" t="s">
        <v>134</v>
      </c>
      <c r="N714" t="s">
        <v>135</v>
      </c>
      <c r="Q714" t="s">
        <v>140</v>
      </c>
      <c r="T714" t="s">
        <v>2079</v>
      </c>
      <c r="U714" t="s">
        <v>137</v>
      </c>
      <c r="V714" t="s">
        <v>703</v>
      </c>
      <c r="W714" s="9">
        <v>46182.508302696762</v>
      </c>
      <c r="X714" t="s">
        <v>62</v>
      </c>
      <c r="AA714" t="s">
        <v>1884</v>
      </c>
      <c r="AB714" t="s">
        <v>3</v>
      </c>
      <c r="AC714" t="s">
        <v>24</v>
      </c>
      <c r="AD714" t="s">
        <v>128</v>
      </c>
      <c r="AE714" s="97">
        <f>VLOOKUP(A:A,SUMMERY!AA:AC,2,FALSE)</f>
        <v>46220</v>
      </c>
      <c r="AF714" s="6" t="str">
        <f>VLOOKUP(A:A,SUMMERY!AA:AC,3,FALSE)</f>
        <v>Priority-1</v>
      </c>
    </row>
    <row r="715" spans="1:32" x14ac:dyDescent="0.3">
      <c r="A715" t="s">
        <v>4075</v>
      </c>
      <c r="B715" t="s">
        <v>2081</v>
      </c>
      <c r="G715" t="s">
        <v>3994</v>
      </c>
      <c r="H715" t="s">
        <v>132</v>
      </c>
      <c r="I715" t="s">
        <v>4</v>
      </c>
      <c r="J715" t="s">
        <v>133</v>
      </c>
      <c r="K715" t="s">
        <v>54</v>
      </c>
      <c r="L715" t="s">
        <v>2063</v>
      </c>
      <c r="M715" t="s">
        <v>134</v>
      </c>
      <c r="N715" t="s">
        <v>135</v>
      </c>
      <c r="Q715" t="s">
        <v>140</v>
      </c>
      <c r="T715" t="s">
        <v>2079</v>
      </c>
      <c r="U715" t="s">
        <v>137</v>
      </c>
      <c r="V715" t="s">
        <v>709</v>
      </c>
      <c r="W715" s="9">
        <v>46182.508697569443</v>
      </c>
      <c r="X715" t="s">
        <v>73</v>
      </c>
      <c r="AA715" t="s">
        <v>1884</v>
      </c>
      <c r="AB715" t="s">
        <v>3</v>
      </c>
      <c r="AC715" t="s">
        <v>24</v>
      </c>
      <c r="AD715" t="s">
        <v>128</v>
      </c>
      <c r="AE715" s="97">
        <f>VLOOKUP(A:A,SUMMERY!AA:AC,2,FALSE)</f>
        <v>46220</v>
      </c>
      <c r="AF715" s="6" t="str">
        <f>VLOOKUP(A:A,SUMMERY!AA:AC,3,FALSE)</f>
        <v>Priority-1</v>
      </c>
    </row>
    <row r="716" spans="1:32" x14ac:dyDescent="0.3">
      <c r="A716" t="s">
        <v>4081</v>
      </c>
      <c r="B716" t="s">
        <v>2093</v>
      </c>
      <c r="G716" t="s">
        <v>3994</v>
      </c>
      <c r="H716" t="s">
        <v>132</v>
      </c>
      <c r="I716" t="s">
        <v>4</v>
      </c>
      <c r="J716" t="s">
        <v>133</v>
      </c>
      <c r="K716" t="s">
        <v>54</v>
      </c>
      <c r="L716" t="s">
        <v>2094</v>
      </c>
      <c r="M716" t="s">
        <v>134</v>
      </c>
      <c r="N716" t="s">
        <v>135</v>
      </c>
      <c r="Q716" t="s">
        <v>140</v>
      </c>
      <c r="T716" t="s">
        <v>2095</v>
      </c>
      <c r="U716" t="s">
        <v>137</v>
      </c>
      <c r="V716" t="s">
        <v>371</v>
      </c>
      <c r="W716" s="9">
        <v>46182.509031979163</v>
      </c>
      <c r="X716" t="s">
        <v>57</v>
      </c>
      <c r="AA716" t="s">
        <v>1884</v>
      </c>
      <c r="AB716" t="s">
        <v>3</v>
      </c>
      <c r="AC716" t="s">
        <v>24</v>
      </c>
      <c r="AD716" t="s">
        <v>128</v>
      </c>
      <c r="AE716" s="97">
        <f>VLOOKUP(A:A,SUMMERY!AA:AC,2,FALSE)</f>
        <v>46220</v>
      </c>
      <c r="AF716" s="6" t="str">
        <f>VLOOKUP(A:A,SUMMERY!AA:AC,3,FALSE)</f>
        <v>Priority-1</v>
      </c>
    </row>
    <row r="717" spans="1:32" x14ac:dyDescent="0.3">
      <c r="A717" t="s">
        <v>4082</v>
      </c>
      <c r="B717" t="s">
        <v>2097</v>
      </c>
      <c r="G717" t="s">
        <v>3994</v>
      </c>
      <c r="H717" t="s">
        <v>132</v>
      </c>
      <c r="I717" t="s">
        <v>4</v>
      </c>
      <c r="J717" t="s">
        <v>133</v>
      </c>
      <c r="K717" t="s">
        <v>54</v>
      </c>
      <c r="L717" t="s">
        <v>2098</v>
      </c>
      <c r="M717" t="s">
        <v>134</v>
      </c>
      <c r="N717" t="s">
        <v>135</v>
      </c>
      <c r="Q717" t="s">
        <v>140</v>
      </c>
      <c r="T717" t="s">
        <v>1888</v>
      </c>
      <c r="U717" t="s">
        <v>137</v>
      </c>
      <c r="V717" t="s">
        <v>147</v>
      </c>
      <c r="W717" s="9">
        <v>46182.509381481483</v>
      </c>
      <c r="X717" t="s">
        <v>70</v>
      </c>
      <c r="AA717" t="s">
        <v>1884</v>
      </c>
      <c r="AB717" t="s">
        <v>3</v>
      </c>
      <c r="AC717" t="s">
        <v>24</v>
      </c>
      <c r="AD717" t="s">
        <v>128</v>
      </c>
      <c r="AE717" s="97">
        <f>VLOOKUP(A:A,SUMMERY!AA:AC,2,FALSE)</f>
        <v>46220</v>
      </c>
      <c r="AF717" s="6" t="str">
        <f>VLOOKUP(A:A,SUMMERY!AA:AC,3,FALSE)</f>
        <v>Priority-1</v>
      </c>
    </row>
    <row r="718" spans="1:32" x14ac:dyDescent="0.3">
      <c r="A718" t="s">
        <v>4083</v>
      </c>
      <c r="B718" t="s">
        <v>2100</v>
      </c>
      <c r="G718" t="s">
        <v>3994</v>
      </c>
      <c r="H718" t="s">
        <v>132</v>
      </c>
      <c r="I718" t="s">
        <v>4</v>
      </c>
      <c r="J718" t="s">
        <v>133</v>
      </c>
      <c r="K718" t="s">
        <v>54</v>
      </c>
      <c r="L718" t="s">
        <v>2098</v>
      </c>
      <c r="M718" t="s">
        <v>134</v>
      </c>
      <c r="N718" t="s">
        <v>135</v>
      </c>
      <c r="Q718" t="s">
        <v>140</v>
      </c>
      <c r="T718" t="s">
        <v>1892</v>
      </c>
      <c r="U718" t="s">
        <v>137</v>
      </c>
      <c r="V718" t="s">
        <v>150</v>
      </c>
      <c r="W718" s="9">
        <v>46182.510154201387</v>
      </c>
      <c r="X718" t="s">
        <v>76</v>
      </c>
      <c r="AA718" t="s">
        <v>1884</v>
      </c>
      <c r="AB718" t="s">
        <v>3</v>
      </c>
      <c r="AC718" t="s">
        <v>24</v>
      </c>
      <c r="AD718" t="s">
        <v>128</v>
      </c>
      <c r="AE718" s="97">
        <f>VLOOKUP(A:A,SUMMERY!AA:AC,2,FALSE)</f>
        <v>46233</v>
      </c>
      <c r="AF718" s="6" t="str">
        <f>VLOOKUP(A:A,SUMMERY!AA:AC,3,FALSE)</f>
        <v>Priority-1</v>
      </c>
    </row>
    <row r="719" spans="1:32" x14ac:dyDescent="0.3">
      <c r="A719" t="s">
        <v>4090</v>
      </c>
      <c r="B719" t="s">
        <v>2114</v>
      </c>
      <c r="G719" t="s">
        <v>3994</v>
      </c>
      <c r="H719" t="s">
        <v>132</v>
      </c>
      <c r="I719" t="s">
        <v>4</v>
      </c>
      <c r="J719" t="s">
        <v>133</v>
      </c>
      <c r="K719" t="s">
        <v>54</v>
      </c>
      <c r="L719" t="s">
        <v>2115</v>
      </c>
      <c r="M719" t="s">
        <v>134</v>
      </c>
      <c r="N719" t="s">
        <v>135</v>
      </c>
      <c r="Q719" t="s">
        <v>140</v>
      </c>
      <c r="T719" t="s">
        <v>2047</v>
      </c>
      <c r="U719" t="s">
        <v>137</v>
      </c>
      <c r="V719" t="s">
        <v>1279</v>
      </c>
      <c r="W719" s="9">
        <v>46182.510662997687</v>
      </c>
      <c r="X719" t="s">
        <v>71</v>
      </c>
      <c r="AA719" t="s">
        <v>1884</v>
      </c>
      <c r="AB719" t="s">
        <v>3</v>
      </c>
      <c r="AC719" t="s">
        <v>24</v>
      </c>
      <c r="AD719" t="s">
        <v>128</v>
      </c>
      <c r="AE719" s="97">
        <f>VLOOKUP(A:A,SUMMERY!AA:AC,2,FALSE)</f>
        <v>46233</v>
      </c>
      <c r="AF719" s="6" t="str">
        <f>VLOOKUP(A:A,SUMMERY!AA:AC,3,FALSE)</f>
        <v>Priority-1</v>
      </c>
    </row>
    <row r="720" spans="1:32" x14ac:dyDescent="0.3">
      <c r="A720" t="s">
        <v>4091</v>
      </c>
      <c r="B720" t="s">
        <v>2117</v>
      </c>
      <c r="G720" t="s">
        <v>3994</v>
      </c>
      <c r="H720" t="s">
        <v>132</v>
      </c>
      <c r="I720" t="s">
        <v>4</v>
      </c>
      <c r="J720" t="s">
        <v>133</v>
      </c>
      <c r="K720" t="s">
        <v>54</v>
      </c>
      <c r="L720" t="s">
        <v>2115</v>
      </c>
      <c r="M720" t="s">
        <v>134</v>
      </c>
      <c r="N720" t="s">
        <v>135</v>
      </c>
      <c r="Q720" t="s">
        <v>140</v>
      </c>
      <c r="T720" t="s">
        <v>2047</v>
      </c>
      <c r="U720" t="s">
        <v>137</v>
      </c>
      <c r="V720" t="s">
        <v>1283</v>
      </c>
      <c r="W720" s="9">
        <v>46182.511022569444</v>
      </c>
      <c r="X720" t="s">
        <v>78</v>
      </c>
      <c r="AA720" t="s">
        <v>1884</v>
      </c>
      <c r="AB720" t="s">
        <v>3</v>
      </c>
      <c r="AC720" t="s">
        <v>24</v>
      </c>
      <c r="AD720" t="s">
        <v>128</v>
      </c>
      <c r="AE720" s="97">
        <f>VLOOKUP(A:A,SUMMERY!AA:AC,2,FALSE)</f>
        <v>46234</v>
      </c>
      <c r="AF720" s="6" t="str">
        <f>VLOOKUP(A:A,SUMMERY!AA:AC,3,FALSE)</f>
        <v>Priority-1</v>
      </c>
    </row>
    <row r="721" spans="1:32" x14ac:dyDescent="0.3">
      <c r="A721" t="s">
        <v>4097</v>
      </c>
      <c r="B721" t="s">
        <v>2130</v>
      </c>
      <c r="G721" t="s">
        <v>3994</v>
      </c>
      <c r="H721" t="s">
        <v>132</v>
      </c>
      <c r="I721" t="s">
        <v>4</v>
      </c>
      <c r="J721" t="s">
        <v>133</v>
      </c>
      <c r="K721" t="s">
        <v>54</v>
      </c>
      <c r="L721" t="s">
        <v>2131</v>
      </c>
      <c r="M721" t="s">
        <v>134</v>
      </c>
      <c r="N721" t="s">
        <v>135</v>
      </c>
      <c r="Q721" t="s">
        <v>140</v>
      </c>
      <c r="T721" t="s">
        <v>2132</v>
      </c>
      <c r="U721" t="s">
        <v>137</v>
      </c>
      <c r="V721" t="s">
        <v>1259</v>
      </c>
      <c r="W721" s="9">
        <v>46185.451047766204</v>
      </c>
      <c r="X721" t="s">
        <v>126</v>
      </c>
      <c r="AA721" t="s">
        <v>1884</v>
      </c>
      <c r="AB721" t="s">
        <v>3</v>
      </c>
      <c r="AC721" t="s">
        <v>24</v>
      </c>
      <c r="AD721" t="s">
        <v>131</v>
      </c>
      <c r="AE721" s="97">
        <f>VLOOKUP(A:A,SUMMERY!AA:AC,2,FALSE)</f>
        <v>46234</v>
      </c>
      <c r="AF721" s="6" t="str">
        <f>VLOOKUP(A:A,SUMMERY!AA:AC,3,FALSE)</f>
        <v>Priority-2</v>
      </c>
    </row>
    <row r="722" spans="1:32" x14ac:dyDescent="0.3">
      <c r="A722" t="s">
        <v>4098</v>
      </c>
      <c r="B722" t="s">
        <v>2134</v>
      </c>
      <c r="G722" t="s">
        <v>3994</v>
      </c>
      <c r="H722" t="s">
        <v>132</v>
      </c>
      <c r="I722" t="s">
        <v>4</v>
      </c>
      <c r="J722" t="s">
        <v>133</v>
      </c>
      <c r="K722" t="s">
        <v>54</v>
      </c>
      <c r="L722" t="s">
        <v>2135</v>
      </c>
      <c r="M722" t="s">
        <v>134</v>
      </c>
      <c r="N722" t="s">
        <v>135</v>
      </c>
      <c r="Q722" t="s">
        <v>140</v>
      </c>
      <c r="T722" t="s">
        <v>2136</v>
      </c>
      <c r="U722" t="s">
        <v>137</v>
      </c>
      <c r="V722" t="s">
        <v>1263</v>
      </c>
      <c r="W722" s="9">
        <v>46182.511351122688</v>
      </c>
      <c r="X722" t="s">
        <v>69</v>
      </c>
      <c r="AA722" t="s">
        <v>1884</v>
      </c>
      <c r="AB722" t="s">
        <v>3</v>
      </c>
      <c r="AC722" t="s">
        <v>24</v>
      </c>
      <c r="AD722" t="s">
        <v>128</v>
      </c>
      <c r="AE722" s="97">
        <f>VLOOKUP(A:A,SUMMERY!AA:AC,2,FALSE)</f>
        <v>46224</v>
      </c>
      <c r="AF722" s="6" t="str">
        <f>VLOOKUP(A:A,SUMMERY!AA:AC,3,FALSE)</f>
        <v>Priority-1</v>
      </c>
    </row>
    <row r="723" spans="1:32" x14ac:dyDescent="0.3">
      <c r="A723" t="s">
        <v>4099</v>
      </c>
      <c r="B723" t="s">
        <v>2138</v>
      </c>
      <c r="G723" t="s">
        <v>3994</v>
      </c>
      <c r="H723" t="s">
        <v>132</v>
      </c>
      <c r="I723" t="s">
        <v>4</v>
      </c>
      <c r="J723" t="s">
        <v>133</v>
      </c>
      <c r="K723" t="s">
        <v>54</v>
      </c>
      <c r="L723" t="s">
        <v>2139</v>
      </c>
      <c r="M723" t="s">
        <v>134</v>
      </c>
      <c r="N723" t="s">
        <v>135</v>
      </c>
      <c r="Q723" t="s">
        <v>140</v>
      </c>
      <c r="T723" t="s">
        <v>1936</v>
      </c>
      <c r="U723" t="s">
        <v>137</v>
      </c>
      <c r="V723" t="s">
        <v>640</v>
      </c>
      <c r="W723" s="9">
        <v>46182.511958101852</v>
      </c>
      <c r="X723" t="s">
        <v>66</v>
      </c>
      <c r="AA723" t="s">
        <v>1884</v>
      </c>
      <c r="AB723" t="s">
        <v>3</v>
      </c>
      <c r="AC723" t="s">
        <v>24</v>
      </c>
      <c r="AD723" t="s">
        <v>128</v>
      </c>
      <c r="AE723" s="97">
        <f>VLOOKUP(A:A,SUMMERY!AA:AC,2,FALSE)</f>
        <v>46220</v>
      </c>
      <c r="AF723" s="6" t="str">
        <f>VLOOKUP(A:A,SUMMERY!AA:AC,3,FALSE)</f>
        <v>Priority-1</v>
      </c>
    </row>
    <row r="724" spans="1:32" x14ac:dyDescent="0.3">
      <c r="A724" t="s">
        <v>4100</v>
      </c>
      <c r="B724" t="s">
        <v>2141</v>
      </c>
      <c r="G724" t="s">
        <v>3994</v>
      </c>
      <c r="H724" t="s">
        <v>132</v>
      </c>
      <c r="I724" t="s">
        <v>4</v>
      </c>
      <c r="J724" t="s">
        <v>133</v>
      </c>
      <c r="K724" t="s">
        <v>54</v>
      </c>
      <c r="L724" t="s">
        <v>2139</v>
      </c>
      <c r="M724" t="s">
        <v>134</v>
      </c>
      <c r="N724" t="s">
        <v>135</v>
      </c>
      <c r="Q724" t="s">
        <v>140</v>
      </c>
      <c r="T724" t="s">
        <v>1936</v>
      </c>
      <c r="U724" t="s">
        <v>137</v>
      </c>
      <c r="V724" t="s">
        <v>646</v>
      </c>
      <c r="W724" s="9">
        <v>46182.512378206018</v>
      </c>
      <c r="X724" t="s">
        <v>74</v>
      </c>
      <c r="AA724" t="s">
        <v>1884</v>
      </c>
      <c r="AB724" t="s">
        <v>3</v>
      </c>
      <c r="AC724" t="s">
        <v>24</v>
      </c>
      <c r="AD724" t="s">
        <v>128</v>
      </c>
      <c r="AE724" s="97">
        <f>VLOOKUP(A:A,SUMMERY!AA:AC,2,FALSE)</f>
        <v>46220</v>
      </c>
      <c r="AF724" s="6" t="str">
        <f>VLOOKUP(A:A,SUMMERY!AA:AC,3,FALSE)</f>
        <v>Priority-1</v>
      </c>
    </row>
    <row r="725" spans="1:32" x14ac:dyDescent="0.3">
      <c r="A725" t="s">
        <v>4107</v>
      </c>
      <c r="B725" t="s">
        <v>4108</v>
      </c>
      <c r="G725" t="s">
        <v>3994</v>
      </c>
      <c r="H725" t="s">
        <v>132</v>
      </c>
      <c r="I725" t="s">
        <v>4</v>
      </c>
      <c r="J725" t="s">
        <v>133</v>
      </c>
      <c r="K725" t="s">
        <v>54</v>
      </c>
      <c r="L725" t="s">
        <v>4109</v>
      </c>
      <c r="M725" t="s">
        <v>134</v>
      </c>
      <c r="N725" t="s">
        <v>135</v>
      </c>
      <c r="Q725" t="s">
        <v>140</v>
      </c>
      <c r="S725" t="s">
        <v>140</v>
      </c>
      <c r="T725" t="s">
        <v>3738</v>
      </c>
      <c r="U725" t="s">
        <v>137</v>
      </c>
      <c r="V725" t="s">
        <v>1279</v>
      </c>
      <c r="X725" t="s">
        <v>71</v>
      </c>
      <c r="AA725" t="s">
        <v>1884</v>
      </c>
      <c r="AB725" t="s">
        <v>4</v>
      </c>
      <c r="AC725" t="s">
        <v>138</v>
      </c>
      <c r="AD725" t="s">
        <v>128</v>
      </c>
      <c r="AE725" s="97">
        <f>VLOOKUP(A:A,SUMMERY!AA:AC,2,FALSE)</f>
        <v>46233</v>
      </c>
      <c r="AF725" s="6" t="str">
        <f>VLOOKUP(A:A,SUMMERY!AA:AC,3,FALSE)</f>
        <v>Priority-1</v>
      </c>
    </row>
    <row r="726" spans="1:32" x14ac:dyDescent="0.3">
      <c r="A726" t="s">
        <v>4110</v>
      </c>
      <c r="B726" t="s">
        <v>4111</v>
      </c>
      <c r="G726" t="s">
        <v>3994</v>
      </c>
      <c r="H726" t="s">
        <v>132</v>
      </c>
      <c r="I726" t="s">
        <v>4</v>
      </c>
      <c r="J726" t="s">
        <v>133</v>
      </c>
      <c r="K726" t="s">
        <v>54</v>
      </c>
      <c r="L726" t="s">
        <v>4109</v>
      </c>
      <c r="M726" t="s">
        <v>134</v>
      </c>
      <c r="N726" t="s">
        <v>135</v>
      </c>
      <c r="Q726" t="s">
        <v>140</v>
      </c>
      <c r="S726" t="s">
        <v>140</v>
      </c>
      <c r="T726" t="s">
        <v>3738</v>
      </c>
      <c r="U726" t="s">
        <v>137</v>
      </c>
      <c r="V726" t="s">
        <v>1283</v>
      </c>
      <c r="X726" t="s">
        <v>78</v>
      </c>
      <c r="AA726" t="s">
        <v>1884</v>
      </c>
      <c r="AB726" t="s">
        <v>4</v>
      </c>
      <c r="AC726" t="s">
        <v>138</v>
      </c>
      <c r="AD726" t="s">
        <v>128</v>
      </c>
      <c r="AE726" s="97">
        <f>VLOOKUP(A:A,SUMMERY!AA:AC,2,FALSE)</f>
        <v>46234</v>
      </c>
      <c r="AF726" s="6" t="str">
        <f>VLOOKUP(A:A,SUMMERY!AA:AC,3,FALSE)</f>
        <v>Priority-1</v>
      </c>
    </row>
    <row r="727" spans="1:32" x14ac:dyDescent="0.3">
      <c r="A727" t="s">
        <v>4122</v>
      </c>
      <c r="B727" t="s">
        <v>4123</v>
      </c>
      <c r="G727" t="s">
        <v>3994</v>
      </c>
      <c r="H727" t="s">
        <v>132</v>
      </c>
      <c r="I727" t="s">
        <v>4</v>
      </c>
      <c r="J727" t="s">
        <v>133</v>
      </c>
      <c r="K727" t="s">
        <v>54</v>
      </c>
      <c r="L727" t="s">
        <v>4106</v>
      </c>
      <c r="M727" t="s">
        <v>134</v>
      </c>
      <c r="N727" t="s">
        <v>135</v>
      </c>
      <c r="Q727" t="s">
        <v>140</v>
      </c>
      <c r="S727" t="s">
        <v>140</v>
      </c>
      <c r="T727" t="s">
        <v>2128</v>
      </c>
      <c r="U727" t="s">
        <v>137</v>
      </c>
      <c r="V727" t="s">
        <v>1967</v>
      </c>
      <c r="X727" t="s">
        <v>125</v>
      </c>
      <c r="AA727" t="s">
        <v>1884</v>
      </c>
      <c r="AB727" t="s">
        <v>4</v>
      </c>
      <c r="AC727" t="s">
        <v>138</v>
      </c>
      <c r="AD727" t="s">
        <v>131</v>
      </c>
      <c r="AE727" s="97">
        <f>VLOOKUP(A:A,SUMMERY!AA:AC,2,FALSE)</f>
        <v>46234</v>
      </c>
      <c r="AF727" s="6" t="str">
        <f>VLOOKUP(A:A,SUMMERY!AA:AC,3,FALSE)</f>
        <v>Priority-2</v>
      </c>
    </row>
    <row r="728" spans="1:32" x14ac:dyDescent="0.3">
      <c r="A728" t="s">
        <v>4124</v>
      </c>
      <c r="B728" t="s">
        <v>4125</v>
      </c>
      <c r="G728" t="s">
        <v>4126</v>
      </c>
      <c r="H728" t="s">
        <v>132</v>
      </c>
      <c r="I728" t="s">
        <v>5</v>
      </c>
      <c r="J728" t="s">
        <v>133</v>
      </c>
      <c r="K728" t="s">
        <v>55</v>
      </c>
      <c r="L728" t="s">
        <v>4127</v>
      </c>
      <c r="M728" t="s">
        <v>134</v>
      </c>
      <c r="N728" t="s">
        <v>135</v>
      </c>
      <c r="Q728" t="s">
        <v>291</v>
      </c>
      <c r="T728" t="s">
        <v>2165</v>
      </c>
      <c r="U728" t="s">
        <v>137</v>
      </c>
      <c r="V728" t="s">
        <v>897</v>
      </c>
      <c r="X728" t="s">
        <v>64</v>
      </c>
      <c r="AA728" t="s">
        <v>4128</v>
      </c>
      <c r="AB728" t="s">
        <v>5</v>
      </c>
      <c r="AC728" t="s">
        <v>138</v>
      </c>
      <c r="AD728" t="s">
        <v>128</v>
      </c>
      <c r="AE728" s="97">
        <f>VLOOKUP(A:A,SUMMERY!AA:AC,2,FALSE)</f>
        <v>46233</v>
      </c>
      <c r="AF728" s="6" t="str">
        <f>VLOOKUP(A:A,SUMMERY!AA:AC,3,FALSE)</f>
        <v>Priority-1</v>
      </c>
    </row>
    <row r="729" spans="1:32" x14ac:dyDescent="0.3">
      <c r="A729" t="s">
        <v>4129</v>
      </c>
      <c r="B729" t="s">
        <v>4130</v>
      </c>
      <c r="G729" t="s">
        <v>4126</v>
      </c>
      <c r="H729" t="s">
        <v>132</v>
      </c>
      <c r="I729" t="s">
        <v>5</v>
      </c>
      <c r="J729" t="s">
        <v>133</v>
      </c>
      <c r="K729" t="s">
        <v>55</v>
      </c>
      <c r="L729" t="s">
        <v>4127</v>
      </c>
      <c r="M729" t="s">
        <v>134</v>
      </c>
      <c r="N729" t="s">
        <v>135</v>
      </c>
      <c r="Q729" t="s">
        <v>291</v>
      </c>
      <c r="T729" t="s">
        <v>2165</v>
      </c>
      <c r="U729" t="s">
        <v>137</v>
      </c>
      <c r="V729" t="s">
        <v>897</v>
      </c>
      <c r="X729" t="s">
        <v>64</v>
      </c>
      <c r="AA729" t="s">
        <v>4128</v>
      </c>
      <c r="AB729" t="s">
        <v>5</v>
      </c>
      <c r="AC729" t="s">
        <v>138</v>
      </c>
      <c r="AD729" t="s">
        <v>128</v>
      </c>
      <c r="AE729" s="97">
        <f>VLOOKUP(A:A,SUMMERY!AA:AC,2,FALSE)</f>
        <v>46233</v>
      </c>
      <c r="AF729" s="6" t="str">
        <f>VLOOKUP(A:A,SUMMERY!AA:AC,3,FALSE)</f>
        <v>Priority-1</v>
      </c>
    </row>
    <row r="730" spans="1:32" x14ac:dyDescent="0.3">
      <c r="A730" t="s">
        <v>4131</v>
      </c>
      <c r="B730" t="s">
        <v>4132</v>
      </c>
      <c r="G730" t="s">
        <v>4126</v>
      </c>
      <c r="H730" t="s">
        <v>132</v>
      </c>
      <c r="I730" t="s">
        <v>5</v>
      </c>
      <c r="J730" t="s">
        <v>133</v>
      </c>
      <c r="K730" t="s">
        <v>55</v>
      </c>
      <c r="L730" t="s">
        <v>4127</v>
      </c>
      <c r="M730" t="s">
        <v>134</v>
      </c>
      <c r="N730" t="s">
        <v>135</v>
      </c>
      <c r="Q730" t="s">
        <v>291</v>
      </c>
      <c r="T730" t="s">
        <v>2165</v>
      </c>
      <c r="U730" t="s">
        <v>137</v>
      </c>
      <c r="V730" t="s">
        <v>897</v>
      </c>
      <c r="X730" t="s">
        <v>64</v>
      </c>
      <c r="AA730" t="s">
        <v>4128</v>
      </c>
      <c r="AB730" t="s">
        <v>5</v>
      </c>
      <c r="AC730" t="s">
        <v>138</v>
      </c>
      <c r="AD730" t="s">
        <v>128</v>
      </c>
      <c r="AE730" s="97">
        <f>VLOOKUP(A:A,SUMMERY!AA:AC,2,FALSE)</f>
        <v>46233</v>
      </c>
      <c r="AF730" s="6" t="str">
        <f>VLOOKUP(A:A,SUMMERY!AA:AC,3,FALSE)</f>
        <v>Priority-1</v>
      </c>
    </row>
    <row r="731" spans="1:32" x14ac:dyDescent="0.3">
      <c r="A731" t="s">
        <v>4133</v>
      </c>
      <c r="B731" t="s">
        <v>4134</v>
      </c>
      <c r="G731" t="s">
        <v>4126</v>
      </c>
      <c r="H731" t="s">
        <v>132</v>
      </c>
      <c r="I731" t="s">
        <v>5</v>
      </c>
      <c r="J731" t="s">
        <v>133</v>
      </c>
      <c r="K731" t="s">
        <v>55</v>
      </c>
      <c r="L731" t="s">
        <v>4127</v>
      </c>
      <c r="M731" t="s">
        <v>134</v>
      </c>
      <c r="N731" t="s">
        <v>135</v>
      </c>
      <c r="Q731" t="s">
        <v>291</v>
      </c>
      <c r="T731" t="s">
        <v>2165</v>
      </c>
      <c r="U731" t="s">
        <v>137</v>
      </c>
      <c r="V731" t="s">
        <v>897</v>
      </c>
      <c r="X731" t="s">
        <v>64</v>
      </c>
      <c r="AA731" t="s">
        <v>4128</v>
      </c>
      <c r="AB731" t="s">
        <v>5</v>
      </c>
      <c r="AC731" t="s">
        <v>138</v>
      </c>
      <c r="AD731" t="s">
        <v>128</v>
      </c>
      <c r="AE731" s="97">
        <f>VLOOKUP(A:A,SUMMERY!AA:AC,2,FALSE)</f>
        <v>46233</v>
      </c>
      <c r="AF731" s="6" t="str">
        <f>VLOOKUP(A:A,SUMMERY!AA:AC,3,FALSE)</f>
        <v>Priority-1</v>
      </c>
    </row>
    <row r="732" spans="1:32" x14ac:dyDescent="0.3">
      <c r="A732" t="s">
        <v>4178</v>
      </c>
      <c r="B732" t="s">
        <v>4179</v>
      </c>
      <c r="G732" t="s">
        <v>4126</v>
      </c>
      <c r="H732" t="s">
        <v>132</v>
      </c>
      <c r="I732" t="s">
        <v>5</v>
      </c>
      <c r="J732" t="s">
        <v>133</v>
      </c>
      <c r="K732" t="s">
        <v>55</v>
      </c>
      <c r="L732" t="s">
        <v>2952</v>
      </c>
      <c r="M732" t="s">
        <v>134</v>
      </c>
      <c r="N732" t="s">
        <v>135</v>
      </c>
      <c r="Q732" t="s">
        <v>291</v>
      </c>
      <c r="T732" t="s">
        <v>2165</v>
      </c>
      <c r="U732" t="s">
        <v>137</v>
      </c>
      <c r="V732" t="s">
        <v>352</v>
      </c>
      <c r="X732" t="s">
        <v>56</v>
      </c>
      <c r="AA732" t="s">
        <v>4128</v>
      </c>
      <c r="AB732" t="s">
        <v>5</v>
      </c>
      <c r="AC732" t="s">
        <v>138</v>
      </c>
      <c r="AD732" t="s">
        <v>128</v>
      </c>
      <c r="AE732" s="97">
        <f>VLOOKUP(A:A,SUMMERY!AA:AC,2,FALSE)</f>
        <v>46233</v>
      </c>
      <c r="AF732" s="6" t="str">
        <f>VLOOKUP(A:A,SUMMERY!AA:AC,3,FALSE)</f>
        <v>Priority-1</v>
      </c>
    </row>
    <row r="733" spans="1:32" x14ac:dyDescent="0.3">
      <c r="A733" t="s">
        <v>4180</v>
      </c>
      <c r="B733" t="s">
        <v>4181</v>
      </c>
      <c r="G733" t="s">
        <v>4126</v>
      </c>
      <c r="H733" t="s">
        <v>132</v>
      </c>
      <c r="I733" t="s">
        <v>5</v>
      </c>
      <c r="J733" t="s">
        <v>133</v>
      </c>
      <c r="K733" t="s">
        <v>55</v>
      </c>
      <c r="L733" t="s">
        <v>2970</v>
      </c>
      <c r="M733" t="s">
        <v>134</v>
      </c>
      <c r="N733" t="s">
        <v>135</v>
      </c>
      <c r="Q733" t="s">
        <v>291</v>
      </c>
      <c r="T733" t="s">
        <v>2165</v>
      </c>
      <c r="U733" t="s">
        <v>137</v>
      </c>
      <c r="V733" t="s">
        <v>352</v>
      </c>
      <c r="X733" t="s">
        <v>56</v>
      </c>
      <c r="AA733" t="s">
        <v>4128</v>
      </c>
      <c r="AB733" t="s">
        <v>5</v>
      </c>
      <c r="AC733" t="s">
        <v>138</v>
      </c>
      <c r="AD733" t="s">
        <v>128</v>
      </c>
      <c r="AE733" s="97">
        <f>VLOOKUP(A:A,SUMMERY!AA:AC,2,FALSE)</f>
        <v>46233</v>
      </c>
      <c r="AF733" s="6" t="str">
        <f>VLOOKUP(A:A,SUMMERY!AA:AC,3,FALSE)</f>
        <v>Priority-1</v>
      </c>
    </row>
    <row r="734" spans="1:32" x14ac:dyDescent="0.3">
      <c r="A734" t="s">
        <v>4182</v>
      </c>
      <c r="B734" t="s">
        <v>4183</v>
      </c>
      <c r="G734" t="s">
        <v>4126</v>
      </c>
      <c r="H734" t="s">
        <v>132</v>
      </c>
      <c r="I734" t="s">
        <v>5</v>
      </c>
      <c r="J734" t="s">
        <v>133</v>
      </c>
      <c r="K734" t="s">
        <v>55</v>
      </c>
      <c r="L734" t="s">
        <v>2952</v>
      </c>
      <c r="M734" t="s">
        <v>134</v>
      </c>
      <c r="N734" t="s">
        <v>135</v>
      </c>
      <c r="Q734" t="s">
        <v>291</v>
      </c>
      <c r="T734" t="s">
        <v>2165</v>
      </c>
      <c r="U734" t="s">
        <v>137</v>
      </c>
      <c r="V734" t="s">
        <v>352</v>
      </c>
      <c r="X734" t="s">
        <v>56</v>
      </c>
      <c r="AA734" t="s">
        <v>4128</v>
      </c>
      <c r="AB734" t="s">
        <v>5</v>
      </c>
      <c r="AC734" t="s">
        <v>138</v>
      </c>
      <c r="AD734" t="s">
        <v>128</v>
      </c>
      <c r="AE734" s="97">
        <f>VLOOKUP(A:A,SUMMERY!AA:AC,2,FALSE)</f>
        <v>46233</v>
      </c>
      <c r="AF734" s="6" t="str">
        <f>VLOOKUP(A:A,SUMMERY!AA:AC,3,FALSE)</f>
        <v>Priority-1</v>
      </c>
    </row>
    <row r="735" spans="1:32" x14ac:dyDescent="0.3">
      <c r="A735" t="s">
        <v>4184</v>
      </c>
      <c r="B735" t="s">
        <v>4185</v>
      </c>
      <c r="G735" t="s">
        <v>4126</v>
      </c>
      <c r="H735" t="s">
        <v>132</v>
      </c>
      <c r="I735" t="s">
        <v>5</v>
      </c>
      <c r="J735" t="s">
        <v>133</v>
      </c>
      <c r="K735" t="s">
        <v>55</v>
      </c>
      <c r="L735" t="s">
        <v>2970</v>
      </c>
      <c r="M735" t="s">
        <v>134</v>
      </c>
      <c r="N735" t="s">
        <v>135</v>
      </c>
      <c r="Q735" t="s">
        <v>291</v>
      </c>
      <c r="T735" t="s">
        <v>2165</v>
      </c>
      <c r="U735" t="s">
        <v>137</v>
      </c>
      <c r="V735" t="s">
        <v>352</v>
      </c>
      <c r="X735" t="s">
        <v>56</v>
      </c>
      <c r="AA735" t="s">
        <v>4128</v>
      </c>
      <c r="AB735" t="s">
        <v>5</v>
      </c>
      <c r="AC735" t="s">
        <v>138</v>
      </c>
      <c r="AD735" t="s">
        <v>128</v>
      </c>
      <c r="AE735" s="97">
        <f>VLOOKUP(A:A,SUMMERY!AA:AC,2,FALSE)</f>
        <v>46233</v>
      </c>
      <c r="AF735" s="6" t="str">
        <f>VLOOKUP(A:A,SUMMERY!AA:AC,3,FALSE)</f>
        <v>Priority-1</v>
      </c>
    </row>
    <row r="736" spans="1:32" x14ac:dyDescent="0.3">
      <c r="A736" t="s">
        <v>4186</v>
      </c>
      <c r="B736" t="s">
        <v>4187</v>
      </c>
      <c r="G736" t="s">
        <v>4126</v>
      </c>
      <c r="H736" t="s">
        <v>132</v>
      </c>
      <c r="I736" t="s">
        <v>5</v>
      </c>
      <c r="J736" t="s">
        <v>133</v>
      </c>
      <c r="K736" t="s">
        <v>55</v>
      </c>
      <c r="L736" t="s">
        <v>2952</v>
      </c>
      <c r="M736" t="s">
        <v>134</v>
      </c>
      <c r="N736" t="s">
        <v>135</v>
      </c>
      <c r="Q736" t="s">
        <v>291</v>
      </c>
      <c r="T736" t="s">
        <v>2165</v>
      </c>
      <c r="U736" t="s">
        <v>137</v>
      </c>
      <c r="V736" t="s">
        <v>352</v>
      </c>
      <c r="X736" t="s">
        <v>56</v>
      </c>
      <c r="AA736" t="s">
        <v>4128</v>
      </c>
      <c r="AB736" t="s">
        <v>5</v>
      </c>
      <c r="AC736" t="s">
        <v>138</v>
      </c>
      <c r="AD736" t="s">
        <v>128</v>
      </c>
      <c r="AE736" s="97">
        <f>VLOOKUP(A:A,SUMMERY!AA:AC,2,FALSE)</f>
        <v>46233</v>
      </c>
      <c r="AF736" s="6" t="str">
        <f>VLOOKUP(A:A,SUMMERY!AA:AC,3,FALSE)</f>
        <v>Priority-1</v>
      </c>
    </row>
    <row r="737" spans="1:32" x14ac:dyDescent="0.3">
      <c r="A737" t="s">
        <v>4188</v>
      </c>
      <c r="B737" t="s">
        <v>4189</v>
      </c>
      <c r="G737" t="s">
        <v>4126</v>
      </c>
      <c r="H737" t="s">
        <v>132</v>
      </c>
      <c r="I737" t="s">
        <v>5</v>
      </c>
      <c r="J737" t="s">
        <v>133</v>
      </c>
      <c r="K737" t="s">
        <v>55</v>
      </c>
      <c r="L737" t="s">
        <v>2970</v>
      </c>
      <c r="M737" t="s">
        <v>134</v>
      </c>
      <c r="N737" t="s">
        <v>135</v>
      </c>
      <c r="Q737" t="s">
        <v>291</v>
      </c>
      <c r="T737" t="s">
        <v>2165</v>
      </c>
      <c r="U737" t="s">
        <v>137</v>
      </c>
      <c r="V737" t="s">
        <v>352</v>
      </c>
      <c r="X737" t="s">
        <v>56</v>
      </c>
      <c r="AA737" t="s">
        <v>4128</v>
      </c>
      <c r="AB737" t="s">
        <v>5</v>
      </c>
      <c r="AC737" t="s">
        <v>138</v>
      </c>
      <c r="AD737" t="s">
        <v>128</v>
      </c>
      <c r="AE737" s="97">
        <f>VLOOKUP(A:A,SUMMERY!AA:AC,2,FALSE)</f>
        <v>46233</v>
      </c>
      <c r="AF737" s="6" t="str">
        <f>VLOOKUP(A:A,SUMMERY!AA:AC,3,FALSE)</f>
        <v>Priority-1</v>
      </c>
    </row>
    <row r="738" spans="1:32" x14ac:dyDescent="0.3">
      <c r="A738" t="s">
        <v>4190</v>
      </c>
      <c r="B738" t="s">
        <v>4191</v>
      </c>
      <c r="G738" t="s">
        <v>4126</v>
      </c>
      <c r="H738" t="s">
        <v>132</v>
      </c>
      <c r="I738" t="s">
        <v>5</v>
      </c>
      <c r="J738" t="s">
        <v>133</v>
      </c>
      <c r="K738" t="s">
        <v>55</v>
      </c>
      <c r="L738" t="s">
        <v>4192</v>
      </c>
      <c r="M738" t="s">
        <v>134</v>
      </c>
      <c r="N738" t="s">
        <v>135</v>
      </c>
      <c r="Q738" t="s">
        <v>291</v>
      </c>
      <c r="T738" t="s">
        <v>2165</v>
      </c>
      <c r="U738" t="s">
        <v>137</v>
      </c>
      <c r="V738" t="s">
        <v>324</v>
      </c>
      <c r="X738" t="s">
        <v>60</v>
      </c>
      <c r="AA738" t="s">
        <v>4128</v>
      </c>
      <c r="AB738" t="s">
        <v>5</v>
      </c>
      <c r="AC738" t="s">
        <v>138</v>
      </c>
      <c r="AD738" t="s">
        <v>128</v>
      </c>
      <c r="AE738" s="97">
        <f>VLOOKUP(A:A,SUMMERY!AA:AC,2,FALSE)</f>
        <v>46220</v>
      </c>
      <c r="AF738" s="6" t="str">
        <f>VLOOKUP(A:A,SUMMERY!AA:AC,3,FALSE)</f>
        <v>Priority-1</v>
      </c>
    </row>
    <row r="739" spans="1:32" x14ac:dyDescent="0.3">
      <c r="A739" t="s">
        <v>4193</v>
      </c>
      <c r="B739" t="s">
        <v>4194</v>
      </c>
      <c r="G739" t="s">
        <v>4126</v>
      </c>
      <c r="H739" t="s">
        <v>132</v>
      </c>
      <c r="I739" t="s">
        <v>5</v>
      </c>
      <c r="J739" t="s">
        <v>133</v>
      </c>
      <c r="K739" t="s">
        <v>55</v>
      </c>
      <c r="L739" t="s">
        <v>4195</v>
      </c>
      <c r="M739" t="s">
        <v>134</v>
      </c>
      <c r="N739" t="s">
        <v>135</v>
      </c>
      <c r="Q739" t="s">
        <v>291</v>
      </c>
      <c r="T739" t="s">
        <v>2165</v>
      </c>
      <c r="U739" t="s">
        <v>137</v>
      </c>
      <c r="V739" t="s">
        <v>328</v>
      </c>
      <c r="X739" t="s">
        <v>65</v>
      </c>
      <c r="AA739" t="s">
        <v>4128</v>
      </c>
      <c r="AB739" t="s">
        <v>5</v>
      </c>
      <c r="AC739" t="s">
        <v>138</v>
      </c>
      <c r="AD739" t="s">
        <v>128</v>
      </c>
      <c r="AE739" s="97">
        <f>VLOOKUP(A:A,SUMMERY!AA:AC,2,FALSE)</f>
        <v>46233</v>
      </c>
      <c r="AF739" s="6" t="str">
        <f>VLOOKUP(A:A,SUMMERY!AA:AC,3,FALSE)</f>
        <v>Priority-1</v>
      </c>
    </row>
    <row r="740" spans="1:32" x14ac:dyDescent="0.3">
      <c r="A740" t="s">
        <v>4211</v>
      </c>
      <c r="B740" t="s">
        <v>4212</v>
      </c>
      <c r="G740" t="s">
        <v>4126</v>
      </c>
      <c r="H740" t="s">
        <v>132</v>
      </c>
      <c r="I740" t="s">
        <v>5</v>
      </c>
      <c r="J740" t="s">
        <v>133</v>
      </c>
      <c r="K740" t="s">
        <v>55</v>
      </c>
      <c r="L740" t="s">
        <v>2979</v>
      </c>
      <c r="M740" t="s">
        <v>134</v>
      </c>
      <c r="N740" t="s">
        <v>135</v>
      </c>
      <c r="Q740" t="s">
        <v>291</v>
      </c>
      <c r="T740" t="s">
        <v>2165</v>
      </c>
      <c r="U740" t="s">
        <v>137</v>
      </c>
      <c r="V740" t="s">
        <v>403</v>
      </c>
      <c r="X740" t="s">
        <v>68</v>
      </c>
      <c r="AA740" t="s">
        <v>4128</v>
      </c>
      <c r="AB740" t="s">
        <v>5</v>
      </c>
      <c r="AC740" t="s">
        <v>138</v>
      </c>
      <c r="AD740" t="s">
        <v>128</v>
      </c>
      <c r="AE740" s="97">
        <f>VLOOKUP(A:A,SUMMERY!AA:AC,2,FALSE)</f>
        <v>46233</v>
      </c>
      <c r="AF740" s="6" t="str">
        <f>VLOOKUP(A:A,SUMMERY!AA:AC,3,FALSE)</f>
        <v>Priority-1</v>
      </c>
    </row>
    <row r="741" spans="1:32" x14ac:dyDescent="0.3">
      <c r="A741" t="s">
        <v>4213</v>
      </c>
      <c r="B741" t="s">
        <v>4214</v>
      </c>
      <c r="G741" t="s">
        <v>4126</v>
      </c>
      <c r="H741" t="s">
        <v>132</v>
      </c>
      <c r="I741" t="s">
        <v>5</v>
      </c>
      <c r="J741" t="s">
        <v>133</v>
      </c>
      <c r="K741" t="s">
        <v>55</v>
      </c>
      <c r="L741" t="s">
        <v>2988</v>
      </c>
      <c r="M741" t="s">
        <v>134</v>
      </c>
      <c r="N741" t="s">
        <v>135</v>
      </c>
      <c r="Q741" t="s">
        <v>291</v>
      </c>
      <c r="T741" t="s">
        <v>2165</v>
      </c>
      <c r="U741" t="s">
        <v>137</v>
      </c>
      <c r="V741" t="s">
        <v>407</v>
      </c>
      <c r="X741" t="s">
        <v>77</v>
      </c>
      <c r="AA741" t="s">
        <v>4128</v>
      </c>
      <c r="AB741" t="s">
        <v>5</v>
      </c>
      <c r="AC741" t="s">
        <v>138</v>
      </c>
      <c r="AD741" t="s">
        <v>128</v>
      </c>
      <c r="AE741" s="97">
        <f>VLOOKUP(A:A,SUMMERY!AA:AC,2,FALSE)</f>
        <v>46233</v>
      </c>
      <c r="AF741" s="6" t="str">
        <f>VLOOKUP(A:A,SUMMERY!AA:AC,3,FALSE)</f>
        <v>Priority-1</v>
      </c>
    </row>
    <row r="742" spans="1:32" x14ac:dyDescent="0.3">
      <c r="A742" t="s">
        <v>4225</v>
      </c>
      <c r="B742" t="s">
        <v>4226</v>
      </c>
      <c r="G742" t="s">
        <v>4126</v>
      </c>
      <c r="H742" t="s">
        <v>132</v>
      </c>
      <c r="I742" t="s">
        <v>5</v>
      </c>
      <c r="J742" t="s">
        <v>133</v>
      </c>
      <c r="K742" t="s">
        <v>55</v>
      </c>
      <c r="L742" t="s">
        <v>3042</v>
      </c>
      <c r="M742" t="s">
        <v>134</v>
      </c>
      <c r="N742" t="s">
        <v>135</v>
      </c>
      <c r="Q742" t="s">
        <v>291</v>
      </c>
      <c r="T742" t="s">
        <v>2165</v>
      </c>
      <c r="U742" t="s">
        <v>137</v>
      </c>
      <c r="V742" t="s">
        <v>296</v>
      </c>
      <c r="X742" t="s">
        <v>63</v>
      </c>
      <c r="AA742" t="s">
        <v>4128</v>
      </c>
      <c r="AB742" t="s">
        <v>5</v>
      </c>
      <c r="AC742" t="s">
        <v>138</v>
      </c>
      <c r="AD742" t="s">
        <v>128</v>
      </c>
      <c r="AE742" s="97">
        <f>VLOOKUP(A:A,SUMMERY!AA:AC,2,FALSE)</f>
        <v>46220</v>
      </c>
      <c r="AF742" s="6" t="str">
        <f>VLOOKUP(A:A,SUMMERY!AA:AC,3,FALSE)</f>
        <v>Priority-1</v>
      </c>
    </row>
    <row r="743" spans="1:32" x14ac:dyDescent="0.3">
      <c r="A743" t="s">
        <v>4227</v>
      </c>
      <c r="B743" t="s">
        <v>4228</v>
      </c>
      <c r="G743" t="s">
        <v>4126</v>
      </c>
      <c r="H743" t="s">
        <v>132</v>
      </c>
      <c r="I743" t="s">
        <v>5</v>
      </c>
      <c r="J743" t="s">
        <v>133</v>
      </c>
      <c r="K743" t="s">
        <v>55</v>
      </c>
      <c r="L743" t="s">
        <v>3055</v>
      </c>
      <c r="M743" t="s">
        <v>134</v>
      </c>
      <c r="N743" t="s">
        <v>135</v>
      </c>
      <c r="Q743" t="s">
        <v>291</v>
      </c>
      <c r="T743" t="s">
        <v>2165</v>
      </c>
      <c r="U743" t="s">
        <v>137</v>
      </c>
      <c r="V743" t="s">
        <v>300</v>
      </c>
      <c r="X743" t="s">
        <v>72</v>
      </c>
      <c r="AA743" t="s">
        <v>4128</v>
      </c>
      <c r="AB743" t="s">
        <v>5</v>
      </c>
      <c r="AC743" t="s">
        <v>138</v>
      </c>
      <c r="AD743" t="s">
        <v>128</v>
      </c>
      <c r="AE743" s="97">
        <f>VLOOKUP(A:A,SUMMERY!AA:AC,2,FALSE)</f>
        <v>46234</v>
      </c>
      <c r="AF743" s="6" t="str">
        <f>VLOOKUP(A:A,SUMMERY!AA:AC,3,FALSE)</f>
        <v>Priority-1</v>
      </c>
    </row>
    <row r="744" spans="1:32" x14ac:dyDescent="0.3">
      <c r="A744" t="s">
        <v>4242</v>
      </c>
      <c r="B744" t="s">
        <v>4243</v>
      </c>
      <c r="G744" t="s">
        <v>4126</v>
      </c>
      <c r="H744" t="s">
        <v>132</v>
      </c>
      <c r="I744" t="s">
        <v>5</v>
      </c>
      <c r="J744" t="s">
        <v>133</v>
      </c>
      <c r="K744" t="s">
        <v>55</v>
      </c>
      <c r="L744" t="s">
        <v>4244</v>
      </c>
      <c r="M744" t="s">
        <v>134</v>
      </c>
      <c r="N744" t="s">
        <v>135</v>
      </c>
      <c r="Q744" t="s">
        <v>291</v>
      </c>
      <c r="T744" t="s">
        <v>2165</v>
      </c>
      <c r="U744" t="s">
        <v>137</v>
      </c>
      <c r="V744" t="s">
        <v>156</v>
      </c>
      <c r="X744" t="s">
        <v>97</v>
      </c>
      <c r="AA744" t="s">
        <v>4128</v>
      </c>
      <c r="AB744" t="s">
        <v>5</v>
      </c>
      <c r="AC744" t="s">
        <v>138</v>
      </c>
      <c r="AD744" t="s">
        <v>129</v>
      </c>
      <c r="AE744" s="97">
        <f>VLOOKUP(A:A,SUMMERY!AA:AC,2,FALSE)</f>
        <v>46233</v>
      </c>
      <c r="AF744" s="6" t="str">
        <f>VLOOKUP(A:A,SUMMERY!AA:AC,3,FALSE)</f>
        <v>Priority-1</v>
      </c>
    </row>
    <row r="745" spans="1:32" x14ac:dyDescent="0.3">
      <c r="A745" t="s">
        <v>4245</v>
      </c>
      <c r="B745" t="s">
        <v>4246</v>
      </c>
      <c r="G745" t="s">
        <v>4126</v>
      </c>
      <c r="H745" t="s">
        <v>132</v>
      </c>
      <c r="I745" t="s">
        <v>5</v>
      </c>
      <c r="J745" t="s">
        <v>133</v>
      </c>
      <c r="K745" t="s">
        <v>55</v>
      </c>
      <c r="L745" t="s">
        <v>4244</v>
      </c>
      <c r="M745" t="s">
        <v>134</v>
      </c>
      <c r="N745" t="s">
        <v>135</v>
      </c>
      <c r="Q745" t="s">
        <v>291</v>
      </c>
      <c r="T745" t="s">
        <v>2165</v>
      </c>
      <c r="U745" t="s">
        <v>137</v>
      </c>
      <c r="V745" t="s">
        <v>156</v>
      </c>
      <c r="X745" t="s">
        <v>97</v>
      </c>
      <c r="AA745" t="s">
        <v>4128</v>
      </c>
      <c r="AB745" t="s">
        <v>5</v>
      </c>
      <c r="AC745" t="s">
        <v>138</v>
      </c>
      <c r="AD745" t="s">
        <v>129</v>
      </c>
      <c r="AE745" s="97">
        <f>VLOOKUP(A:A,SUMMERY!AA:AC,2,FALSE)</f>
        <v>46233</v>
      </c>
      <c r="AF745" s="6" t="str">
        <f>VLOOKUP(A:A,SUMMERY!AA:AC,3,FALSE)</f>
        <v>Priority-1</v>
      </c>
    </row>
    <row r="746" spans="1:32" x14ac:dyDescent="0.3">
      <c r="A746" t="s">
        <v>4247</v>
      </c>
      <c r="B746" t="s">
        <v>4248</v>
      </c>
      <c r="G746" t="s">
        <v>4126</v>
      </c>
      <c r="H746" t="s">
        <v>132</v>
      </c>
      <c r="I746" t="s">
        <v>5</v>
      </c>
      <c r="J746" t="s">
        <v>133</v>
      </c>
      <c r="K746" t="s">
        <v>55</v>
      </c>
      <c r="L746" t="s">
        <v>4244</v>
      </c>
      <c r="M746" t="s">
        <v>134</v>
      </c>
      <c r="N746" t="s">
        <v>135</v>
      </c>
      <c r="Q746" t="s">
        <v>291</v>
      </c>
      <c r="T746" t="s">
        <v>2165</v>
      </c>
      <c r="U746" t="s">
        <v>137</v>
      </c>
      <c r="V746" t="s">
        <v>156</v>
      </c>
      <c r="X746" t="s">
        <v>97</v>
      </c>
      <c r="AA746" t="s">
        <v>4128</v>
      </c>
      <c r="AB746" t="s">
        <v>5</v>
      </c>
      <c r="AC746" t="s">
        <v>138</v>
      </c>
      <c r="AD746" t="s">
        <v>129</v>
      </c>
      <c r="AE746" s="97">
        <f>VLOOKUP(A:A,SUMMERY!AA:AC,2,FALSE)</f>
        <v>46233</v>
      </c>
      <c r="AF746" s="6" t="str">
        <f>VLOOKUP(A:A,SUMMERY!AA:AC,3,FALSE)</f>
        <v>Priority-1</v>
      </c>
    </row>
    <row r="747" spans="1:32" x14ac:dyDescent="0.3">
      <c r="A747" t="s">
        <v>4254</v>
      </c>
      <c r="B747" t="s">
        <v>4255</v>
      </c>
      <c r="G747" t="s">
        <v>4126</v>
      </c>
      <c r="H747" t="s">
        <v>132</v>
      </c>
      <c r="I747" t="s">
        <v>5</v>
      </c>
      <c r="J747" t="s">
        <v>133</v>
      </c>
      <c r="K747" t="s">
        <v>55</v>
      </c>
      <c r="L747" t="s">
        <v>4256</v>
      </c>
      <c r="M747" t="s">
        <v>134</v>
      </c>
      <c r="N747" t="s">
        <v>135</v>
      </c>
      <c r="Q747" t="s">
        <v>291</v>
      </c>
      <c r="T747" t="s">
        <v>2165</v>
      </c>
      <c r="U747" t="s">
        <v>137</v>
      </c>
      <c r="V747" t="s">
        <v>162</v>
      </c>
      <c r="X747" t="s">
        <v>113</v>
      </c>
      <c r="AA747" t="s">
        <v>4128</v>
      </c>
      <c r="AB747" t="s">
        <v>5</v>
      </c>
      <c r="AC747" t="s">
        <v>138</v>
      </c>
      <c r="AD747" t="s">
        <v>129</v>
      </c>
      <c r="AE747" s="97">
        <f>VLOOKUP(A:A,SUMMERY!AA:AC,2,FALSE)</f>
        <v>46234</v>
      </c>
      <c r="AF747" s="6" t="str">
        <f>VLOOKUP(A:A,SUMMERY!AA:AC,3,FALSE)</f>
        <v>Priority-1</v>
      </c>
    </row>
    <row r="748" spans="1:32" x14ac:dyDescent="0.3">
      <c r="A748" t="s">
        <v>4257</v>
      </c>
      <c r="B748" t="s">
        <v>4258</v>
      </c>
      <c r="G748" t="s">
        <v>4126</v>
      </c>
      <c r="H748" t="s">
        <v>132</v>
      </c>
      <c r="I748" t="s">
        <v>5</v>
      </c>
      <c r="J748" t="s">
        <v>133</v>
      </c>
      <c r="K748" t="s">
        <v>55</v>
      </c>
      <c r="L748" t="s">
        <v>4259</v>
      </c>
      <c r="M748" t="s">
        <v>134</v>
      </c>
      <c r="N748" t="s">
        <v>135</v>
      </c>
      <c r="Q748" t="s">
        <v>291</v>
      </c>
      <c r="T748" t="s">
        <v>2165</v>
      </c>
      <c r="U748" t="s">
        <v>137</v>
      </c>
      <c r="V748" t="s">
        <v>162</v>
      </c>
      <c r="X748" t="s">
        <v>113</v>
      </c>
      <c r="AA748" t="s">
        <v>4128</v>
      </c>
      <c r="AB748" t="s">
        <v>5</v>
      </c>
      <c r="AC748" t="s">
        <v>138</v>
      </c>
      <c r="AD748" t="s">
        <v>129</v>
      </c>
      <c r="AE748" s="97">
        <f>VLOOKUP(A:A,SUMMERY!AA:AC,2,FALSE)</f>
        <v>46234</v>
      </c>
      <c r="AF748" s="6" t="str">
        <f>VLOOKUP(A:A,SUMMERY!AA:AC,3,FALSE)</f>
        <v>Priority-1</v>
      </c>
    </row>
    <row r="749" spans="1:32" x14ac:dyDescent="0.3">
      <c r="A749" t="s">
        <v>4260</v>
      </c>
      <c r="B749" t="s">
        <v>4261</v>
      </c>
      <c r="G749" t="s">
        <v>4126</v>
      </c>
      <c r="H749" t="s">
        <v>132</v>
      </c>
      <c r="I749" t="s">
        <v>5</v>
      </c>
      <c r="J749" t="s">
        <v>133</v>
      </c>
      <c r="K749" t="s">
        <v>55</v>
      </c>
      <c r="L749" t="s">
        <v>4259</v>
      </c>
      <c r="M749" t="s">
        <v>134</v>
      </c>
      <c r="N749" t="s">
        <v>135</v>
      </c>
      <c r="Q749" t="s">
        <v>291</v>
      </c>
      <c r="T749" t="s">
        <v>2165</v>
      </c>
      <c r="U749" t="s">
        <v>137</v>
      </c>
      <c r="V749" t="s">
        <v>162</v>
      </c>
      <c r="X749" t="s">
        <v>113</v>
      </c>
      <c r="AA749" t="s">
        <v>4128</v>
      </c>
      <c r="AB749" t="s">
        <v>5</v>
      </c>
      <c r="AC749" t="s">
        <v>138</v>
      </c>
      <c r="AD749" t="s">
        <v>129</v>
      </c>
      <c r="AE749" s="97">
        <f>VLOOKUP(A:A,SUMMERY!AA:AC,2,FALSE)</f>
        <v>46234</v>
      </c>
      <c r="AF749" s="6" t="str">
        <f>VLOOKUP(A:A,SUMMERY!AA:AC,3,FALSE)</f>
        <v>Priority-1</v>
      </c>
    </row>
    <row r="750" spans="1:32" x14ac:dyDescent="0.3">
      <c r="A750" t="s">
        <v>4262</v>
      </c>
      <c r="B750" t="s">
        <v>4263</v>
      </c>
      <c r="G750" t="s">
        <v>4126</v>
      </c>
      <c r="H750" t="s">
        <v>132</v>
      </c>
      <c r="I750" t="s">
        <v>5</v>
      </c>
      <c r="J750" t="s">
        <v>133</v>
      </c>
      <c r="K750" t="s">
        <v>55</v>
      </c>
      <c r="L750" t="s">
        <v>4259</v>
      </c>
      <c r="M750" t="s">
        <v>134</v>
      </c>
      <c r="N750" t="s">
        <v>135</v>
      </c>
      <c r="Q750" t="s">
        <v>291</v>
      </c>
      <c r="T750" t="s">
        <v>2165</v>
      </c>
      <c r="U750" t="s">
        <v>137</v>
      </c>
      <c r="V750" t="s">
        <v>162</v>
      </c>
      <c r="X750" t="s">
        <v>113</v>
      </c>
      <c r="AA750" t="s">
        <v>4128</v>
      </c>
      <c r="AB750" t="s">
        <v>5</v>
      </c>
      <c r="AC750" t="s">
        <v>138</v>
      </c>
      <c r="AD750" t="s">
        <v>129</v>
      </c>
      <c r="AE750" s="97">
        <f>VLOOKUP(A:A,SUMMERY!AA:AC,2,FALSE)</f>
        <v>46234</v>
      </c>
      <c r="AF750" s="6" t="str">
        <f>VLOOKUP(A:A,SUMMERY!AA:AC,3,FALSE)</f>
        <v>Priority-1</v>
      </c>
    </row>
    <row r="751" spans="1:32" x14ac:dyDescent="0.3">
      <c r="A751" t="s">
        <v>4264</v>
      </c>
      <c r="B751" t="s">
        <v>4265</v>
      </c>
      <c r="G751" t="s">
        <v>4126</v>
      </c>
      <c r="H751" t="s">
        <v>132</v>
      </c>
      <c r="I751" t="s">
        <v>5</v>
      </c>
      <c r="J751" t="s">
        <v>133</v>
      </c>
      <c r="K751" t="s">
        <v>55</v>
      </c>
      <c r="L751" t="s">
        <v>4266</v>
      </c>
      <c r="M751" t="s">
        <v>134</v>
      </c>
      <c r="N751" t="s">
        <v>135</v>
      </c>
      <c r="Q751" t="s">
        <v>291</v>
      </c>
      <c r="T751" t="s">
        <v>2165</v>
      </c>
      <c r="U751" t="s">
        <v>137</v>
      </c>
      <c r="V751" t="s">
        <v>162</v>
      </c>
      <c r="X751" t="s">
        <v>113</v>
      </c>
      <c r="AA751" t="s">
        <v>4128</v>
      </c>
      <c r="AB751" t="s">
        <v>5</v>
      </c>
      <c r="AC751" t="s">
        <v>138</v>
      </c>
      <c r="AD751" t="s">
        <v>129</v>
      </c>
      <c r="AE751" s="97">
        <f>VLOOKUP(A:A,SUMMERY!AA:AC,2,FALSE)</f>
        <v>46234</v>
      </c>
      <c r="AF751" s="6" t="str">
        <f>VLOOKUP(A:A,SUMMERY!AA:AC,3,FALSE)</f>
        <v>Priority-1</v>
      </c>
    </row>
    <row r="752" spans="1:32" x14ac:dyDescent="0.3">
      <c r="A752" t="s">
        <v>4267</v>
      </c>
      <c r="B752" t="s">
        <v>4268</v>
      </c>
      <c r="G752" t="s">
        <v>4126</v>
      </c>
      <c r="H752" t="s">
        <v>132</v>
      </c>
      <c r="I752" t="s">
        <v>5</v>
      </c>
      <c r="J752" t="s">
        <v>133</v>
      </c>
      <c r="K752" t="s">
        <v>55</v>
      </c>
      <c r="L752" t="s">
        <v>4266</v>
      </c>
      <c r="M752" t="s">
        <v>134</v>
      </c>
      <c r="N752" t="s">
        <v>135</v>
      </c>
      <c r="Q752" t="s">
        <v>291</v>
      </c>
      <c r="T752" t="s">
        <v>2165</v>
      </c>
      <c r="U752" t="s">
        <v>137</v>
      </c>
      <c r="V752" t="s">
        <v>162</v>
      </c>
      <c r="X752" t="s">
        <v>113</v>
      </c>
      <c r="AA752" t="s">
        <v>4128</v>
      </c>
      <c r="AB752" t="s">
        <v>5</v>
      </c>
      <c r="AC752" t="s">
        <v>138</v>
      </c>
      <c r="AD752" t="s">
        <v>129</v>
      </c>
      <c r="AE752" s="97">
        <f>VLOOKUP(A:A,SUMMERY!AA:AC,2,FALSE)</f>
        <v>46234</v>
      </c>
      <c r="AF752" s="6" t="str">
        <f>VLOOKUP(A:A,SUMMERY!AA:AC,3,FALSE)</f>
        <v>Priority-1</v>
      </c>
    </row>
    <row r="753" spans="1:32" x14ac:dyDescent="0.3">
      <c r="A753" t="s">
        <v>4269</v>
      </c>
      <c r="B753" t="s">
        <v>4270</v>
      </c>
      <c r="G753" t="s">
        <v>4126</v>
      </c>
      <c r="H753" t="s">
        <v>132</v>
      </c>
      <c r="I753" t="s">
        <v>5</v>
      </c>
      <c r="J753" t="s">
        <v>133</v>
      </c>
      <c r="K753" t="s">
        <v>55</v>
      </c>
      <c r="L753" t="s">
        <v>3206</v>
      </c>
      <c r="M753" t="s">
        <v>134</v>
      </c>
      <c r="N753" t="s">
        <v>135</v>
      </c>
      <c r="Q753" t="s">
        <v>291</v>
      </c>
      <c r="T753" t="s">
        <v>2165</v>
      </c>
      <c r="U753" t="s">
        <v>137</v>
      </c>
      <c r="V753" t="s">
        <v>358</v>
      </c>
      <c r="X753" t="s">
        <v>124</v>
      </c>
      <c r="AA753" t="s">
        <v>4128</v>
      </c>
      <c r="AB753" t="s">
        <v>5</v>
      </c>
      <c r="AC753" t="s">
        <v>138</v>
      </c>
      <c r="AD753" t="s">
        <v>130</v>
      </c>
      <c r="AE753" s="97">
        <f>VLOOKUP(A:A,SUMMERY!AA:AC,2,FALSE)</f>
        <v>46234</v>
      </c>
      <c r="AF753" s="6" t="str">
        <f>VLOOKUP(A:A,SUMMERY!AA:AC,3,FALSE)</f>
        <v>Priority-1</v>
      </c>
    </row>
    <row r="754" spans="1:32" x14ac:dyDescent="0.3">
      <c r="A754" t="s">
        <v>4271</v>
      </c>
      <c r="B754" t="s">
        <v>4272</v>
      </c>
      <c r="G754" t="s">
        <v>4126</v>
      </c>
      <c r="H754" t="s">
        <v>132</v>
      </c>
      <c r="I754" t="s">
        <v>5</v>
      </c>
      <c r="J754" t="s">
        <v>133</v>
      </c>
      <c r="K754" t="s">
        <v>55</v>
      </c>
      <c r="L754" t="s">
        <v>3358</v>
      </c>
      <c r="M754" t="s">
        <v>134</v>
      </c>
      <c r="N754" t="s">
        <v>135</v>
      </c>
      <c r="Q754" t="s">
        <v>291</v>
      </c>
      <c r="T754" t="s">
        <v>2165</v>
      </c>
      <c r="U754" t="s">
        <v>137</v>
      </c>
      <c r="V754" t="s">
        <v>1239</v>
      </c>
      <c r="X754" t="s">
        <v>127</v>
      </c>
      <c r="AA754" t="s">
        <v>4128</v>
      </c>
      <c r="AB754" t="s">
        <v>5</v>
      </c>
      <c r="AC754" t="s">
        <v>138</v>
      </c>
      <c r="AD754" t="s">
        <v>131</v>
      </c>
      <c r="AE754" s="97">
        <f>VLOOKUP(A:A,SUMMERY!AA:AC,2,FALSE)</f>
        <v>46234</v>
      </c>
      <c r="AF754" s="6" t="str">
        <f>VLOOKUP(A:A,SUMMERY!AA:AC,3,FALSE)</f>
        <v>Priority-2</v>
      </c>
    </row>
    <row r="755" spans="1:32" x14ac:dyDescent="0.3">
      <c r="A755" t="s">
        <v>4273</v>
      </c>
      <c r="B755" t="s">
        <v>4274</v>
      </c>
      <c r="G755" t="s">
        <v>4126</v>
      </c>
      <c r="H755" t="s">
        <v>132</v>
      </c>
      <c r="I755" t="s">
        <v>5</v>
      </c>
      <c r="J755" t="s">
        <v>133</v>
      </c>
      <c r="K755" t="s">
        <v>55</v>
      </c>
      <c r="L755" t="s">
        <v>3373</v>
      </c>
      <c r="M755" t="s">
        <v>134</v>
      </c>
      <c r="N755" t="s">
        <v>135</v>
      </c>
      <c r="Q755" t="s">
        <v>291</v>
      </c>
      <c r="T755" t="s">
        <v>2165</v>
      </c>
      <c r="U755" t="s">
        <v>137</v>
      </c>
      <c r="V755" t="s">
        <v>1249</v>
      </c>
      <c r="X755" t="s">
        <v>61</v>
      </c>
      <c r="AA755" t="s">
        <v>4128</v>
      </c>
      <c r="AB755" t="s">
        <v>5</v>
      </c>
      <c r="AC755" t="s">
        <v>138</v>
      </c>
      <c r="AD755" t="s">
        <v>128</v>
      </c>
      <c r="AE755" s="97">
        <f>VLOOKUP(A:A,SUMMERY!AA:AC,2,FALSE)</f>
        <v>46224</v>
      </c>
      <c r="AF755" s="6" t="str">
        <f>VLOOKUP(A:A,SUMMERY!AA:AC,3,FALSE)</f>
        <v>Priority-1</v>
      </c>
    </row>
    <row r="756" spans="1:32" x14ac:dyDescent="0.3">
      <c r="A756" t="s">
        <v>4279</v>
      </c>
      <c r="C756" t="s">
        <v>4280</v>
      </c>
      <c r="E756" t="s">
        <v>4280</v>
      </c>
      <c r="F756" t="s">
        <v>6769</v>
      </c>
      <c r="G756" t="s">
        <v>4275</v>
      </c>
      <c r="H756" t="s">
        <v>132</v>
      </c>
      <c r="I756" t="s">
        <v>4</v>
      </c>
      <c r="J756" t="s">
        <v>4276</v>
      </c>
      <c r="K756" t="s">
        <v>54</v>
      </c>
      <c r="M756" t="s">
        <v>134</v>
      </c>
      <c r="N756" t="s">
        <v>135</v>
      </c>
      <c r="Q756" t="s">
        <v>4277</v>
      </c>
      <c r="U756" t="s">
        <v>137</v>
      </c>
      <c r="V756" t="s">
        <v>147</v>
      </c>
      <c r="W756" s="9">
        <v>46078.285921608796</v>
      </c>
      <c r="X756" t="s">
        <v>70</v>
      </c>
      <c r="AA756" t="s">
        <v>4278</v>
      </c>
      <c r="AC756" t="s">
        <v>24</v>
      </c>
      <c r="AD756" t="s">
        <v>128</v>
      </c>
      <c r="AE756" s="97">
        <f>VLOOKUP(A:A,SUMMERY!AA:AC,2,FALSE)</f>
        <v>46220</v>
      </c>
      <c r="AF756" s="6" t="str">
        <f>VLOOKUP(A:A,SUMMERY!AA:AC,3,FALSE)</f>
        <v>Priority-1</v>
      </c>
    </row>
    <row r="757" spans="1:32" x14ac:dyDescent="0.3">
      <c r="A757" t="s">
        <v>4281</v>
      </c>
      <c r="C757" t="s">
        <v>4282</v>
      </c>
      <c r="E757" t="s">
        <v>4282</v>
      </c>
      <c r="F757" t="s">
        <v>6769</v>
      </c>
      <c r="G757" t="s">
        <v>4275</v>
      </c>
      <c r="H757" t="s">
        <v>132</v>
      </c>
      <c r="I757" t="s">
        <v>4</v>
      </c>
      <c r="J757" t="s">
        <v>4276</v>
      </c>
      <c r="K757" t="s">
        <v>54</v>
      </c>
      <c r="M757" t="s">
        <v>134</v>
      </c>
      <c r="N757" t="s">
        <v>135</v>
      </c>
      <c r="Q757" t="s">
        <v>4277</v>
      </c>
      <c r="U757" t="s">
        <v>137</v>
      </c>
      <c r="V757" t="s">
        <v>147</v>
      </c>
      <c r="W757" s="9">
        <v>46078.287742708337</v>
      </c>
      <c r="X757" t="s">
        <v>70</v>
      </c>
      <c r="AA757" t="s">
        <v>4278</v>
      </c>
      <c r="AC757" t="s">
        <v>24</v>
      </c>
      <c r="AD757" t="s">
        <v>128</v>
      </c>
      <c r="AE757" s="97">
        <f>VLOOKUP(A:A,SUMMERY!AA:AC,2,FALSE)</f>
        <v>46220</v>
      </c>
      <c r="AF757" s="6" t="str">
        <f>VLOOKUP(A:A,SUMMERY!AA:AC,3,FALSE)</f>
        <v>Priority-1</v>
      </c>
    </row>
    <row r="758" spans="1:32" x14ac:dyDescent="0.3">
      <c r="A758" t="s">
        <v>4283</v>
      </c>
      <c r="C758" t="s">
        <v>4284</v>
      </c>
      <c r="E758" t="s">
        <v>4284</v>
      </c>
      <c r="F758" t="s">
        <v>6769</v>
      </c>
      <c r="G758" t="s">
        <v>4275</v>
      </c>
      <c r="H758" t="s">
        <v>132</v>
      </c>
      <c r="I758" t="s">
        <v>4</v>
      </c>
      <c r="J758" t="s">
        <v>4276</v>
      </c>
      <c r="K758" t="s">
        <v>54</v>
      </c>
      <c r="M758" t="s">
        <v>134</v>
      </c>
      <c r="N758" t="s">
        <v>135</v>
      </c>
      <c r="Q758" t="s">
        <v>4277</v>
      </c>
      <c r="U758" t="s">
        <v>137</v>
      </c>
      <c r="V758" t="s">
        <v>147</v>
      </c>
      <c r="W758" s="9">
        <v>46078.289132141203</v>
      </c>
      <c r="X758" t="s">
        <v>70</v>
      </c>
      <c r="AA758" t="s">
        <v>4278</v>
      </c>
      <c r="AC758" t="s">
        <v>24</v>
      </c>
      <c r="AD758" t="s">
        <v>128</v>
      </c>
      <c r="AE758" s="97">
        <f>VLOOKUP(A:A,SUMMERY!AA:AC,2,FALSE)</f>
        <v>46220</v>
      </c>
      <c r="AF758" s="6" t="str">
        <f>VLOOKUP(A:A,SUMMERY!AA:AC,3,FALSE)</f>
        <v>Priority-1</v>
      </c>
    </row>
    <row r="759" spans="1:32" x14ac:dyDescent="0.3">
      <c r="A759" t="s">
        <v>4285</v>
      </c>
      <c r="C759" t="s">
        <v>4286</v>
      </c>
      <c r="E759" t="s">
        <v>4286</v>
      </c>
      <c r="F759" t="s">
        <v>6769</v>
      </c>
      <c r="G759" t="s">
        <v>4275</v>
      </c>
      <c r="H759" t="s">
        <v>132</v>
      </c>
      <c r="I759" t="s">
        <v>4</v>
      </c>
      <c r="J759" t="s">
        <v>4276</v>
      </c>
      <c r="K759" t="s">
        <v>54</v>
      </c>
      <c r="M759" t="s">
        <v>134</v>
      </c>
      <c r="N759" t="s">
        <v>135</v>
      </c>
      <c r="Q759" t="s">
        <v>4277</v>
      </c>
      <c r="U759" t="s">
        <v>137</v>
      </c>
      <c r="V759" t="s">
        <v>150</v>
      </c>
      <c r="W759" s="9">
        <v>46078.290822071758</v>
      </c>
      <c r="X759" t="s">
        <v>76</v>
      </c>
      <c r="AA759" t="s">
        <v>4278</v>
      </c>
      <c r="AC759" t="s">
        <v>24</v>
      </c>
      <c r="AD759" t="s">
        <v>128</v>
      </c>
      <c r="AE759" s="97">
        <f>VLOOKUP(A:A,SUMMERY!AA:AC,2,FALSE)</f>
        <v>46233</v>
      </c>
      <c r="AF759" s="6" t="str">
        <f>VLOOKUP(A:A,SUMMERY!AA:AC,3,FALSE)</f>
        <v>Priority-1</v>
      </c>
    </row>
    <row r="760" spans="1:32" x14ac:dyDescent="0.3">
      <c r="A760" t="s">
        <v>4287</v>
      </c>
      <c r="C760" t="s">
        <v>4288</v>
      </c>
      <c r="E760" t="s">
        <v>4288</v>
      </c>
      <c r="F760" t="s">
        <v>6769</v>
      </c>
      <c r="G760" t="s">
        <v>4275</v>
      </c>
      <c r="H760" t="s">
        <v>132</v>
      </c>
      <c r="I760" t="s">
        <v>4</v>
      </c>
      <c r="J760" t="s">
        <v>4276</v>
      </c>
      <c r="K760" t="s">
        <v>54</v>
      </c>
      <c r="M760" t="s">
        <v>134</v>
      </c>
      <c r="N760" t="s">
        <v>135</v>
      </c>
      <c r="Q760" t="s">
        <v>4277</v>
      </c>
      <c r="U760" t="s">
        <v>137</v>
      </c>
      <c r="V760" t="s">
        <v>150</v>
      </c>
      <c r="W760" s="9">
        <v>46078.292137534721</v>
      </c>
      <c r="X760" t="s">
        <v>76</v>
      </c>
      <c r="AA760" t="s">
        <v>4278</v>
      </c>
      <c r="AC760" t="s">
        <v>24</v>
      </c>
      <c r="AD760" t="s">
        <v>128</v>
      </c>
      <c r="AE760" s="97">
        <f>VLOOKUP(A:A,SUMMERY!AA:AC,2,FALSE)</f>
        <v>46233</v>
      </c>
      <c r="AF760" s="6" t="str">
        <f>VLOOKUP(A:A,SUMMERY!AA:AC,3,FALSE)</f>
        <v>Priority-1</v>
      </c>
    </row>
    <row r="761" spans="1:32" x14ac:dyDescent="0.3">
      <c r="A761" t="s">
        <v>4289</v>
      </c>
      <c r="C761" t="s">
        <v>4290</v>
      </c>
      <c r="E761" t="s">
        <v>4290</v>
      </c>
      <c r="F761" t="s">
        <v>6769</v>
      </c>
      <c r="G761" t="s">
        <v>4275</v>
      </c>
      <c r="H761" t="s">
        <v>132</v>
      </c>
      <c r="I761" t="s">
        <v>4</v>
      </c>
      <c r="J761" t="s">
        <v>4276</v>
      </c>
      <c r="K761" t="s">
        <v>54</v>
      </c>
      <c r="M761" t="s">
        <v>134</v>
      </c>
      <c r="N761" t="s">
        <v>135</v>
      </c>
      <c r="Q761" t="s">
        <v>4277</v>
      </c>
      <c r="U761" t="s">
        <v>137</v>
      </c>
      <c r="V761" t="s">
        <v>150</v>
      </c>
      <c r="W761" s="9">
        <v>46078.293746678239</v>
      </c>
      <c r="X761" t="s">
        <v>76</v>
      </c>
      <c r="AA761" t="s">
        <v>4278</v>
      </c>
      <c r="AC761" t="s">
        <v>24</v>
      </c>
      <c r="AD761" t="s">
        <v>128</v>
      </c>
      <c r="AE761" s="97">
        <f>VLOOKUP(A:A,SUMMERY!AA:AC,2,FALSE)</f>
        <v>46233</v>
      </c>
      <c r="AF761" s="6" t="str">
        <f>VLOOKUP(A:A,SUMMERY!AA:AC,3,FALSE)</f>
        <v>Priority-1</v>
      </c>
    </row>
    <row r="762" spans="1:32" x14ac:dyDescent="0.3">
      <c r="A762" t="s">
        <v>4321</v>
      </c>
      <c r="C762" t="s">
        <v>4322</v>
      </c>
      <c r="E762" t="s">
        <v>4322</v>
      </c>
      <c r="F762" t="s">
        <v>6769</v>
      </c>
      <c r="G762" t="s">
        <v>4275</v>
      </c>
      <c r="H762" t="s">
        <v>132</v>
      </c>
      <c r="I762" t="s">
        <v>4</v>
      </c>
      <c r="J762" t="s">
        <v>4276</v>
      </c>
      <c r="K762" t="s">
        <v>54</v>
      </c>
      <c r="M762" t="s">
        <v>134</v>
      </c>
      <c r="N762" t="s">
        <v>135</v>
      </c>
      <c r="Q762" t="s">
        <v>4277</v>
      </c>
      <c r="U762" t="s">
        <v>137</v>
      </c>
      <c r="V762" t="s">
        <v>371</v>
      </c>
      <c r="W762" s="9">
        <v>46157.266282673612</v>
      </c>
      <c r="X762" t="s">
        <v>57</v>
      </c>
      <c r="AA762" t="s">
        <v>4278</v>
      </c>
      <c r="AC762" t="s">
        <v>24</v>
      </c>
      <c r="AD762" t="s">
        <v>128</v>
      </c>
      <c r="AE762" s="97">
        <f>VLOOKUP(A:A,SUMMERY!AA:AC,2,FALSE)</f>
        <v>46220</v>
      </c>
      <c r="AF762" s="6" t="str">
        <f>VLOOKUP(A:A,SUMMERY!AA:AC,3,FALSE)</f>
        <v>Priority-1</v>
      </c>
    </row>
    <row r="763" spans="1:32" x14ac:dyDescent="0.3">
      <c r="A763" t="s">
        <v>4323</v>
      </c>
      <c r="C763" t="s">
        <v>4324</v>
      </c>
      <c r="E763" t="s">
        <v>4324</v>
      </c>
      <c r="F763" t="s">
        <v>6769</v>
      </c>
      <c r="G763" t="s">
        <v>4275</v>
      </c>
      <c r="H763" t="s">
        <v>132</v>
      </c>
      <c r="I763" t="s">
        <v>4</v>
      </c>
      <c r="J763" t="s">
        <v>4276</v>
      </c>
      <c r="K763" t="s">
        <v>54</v>
      </c>
      <c r="M763" t="s">
        <v>134</v>
      </c>
      <c r="N763" t="s">
        <v>135</v>
      </c>
      <c r="Q763" t="s">
        <v>4277</v>
      </c>
      <c r="U763" t="s">
        <v>137</v>
      </c>
      <c r="V763" t="s">
        <v>371</v>
      </c>
      <c r="W763" s="9">
        <v>46116.258581215276</v>
      </c>
      <c r="X763" t="s">
        <v>57</v>
      </c>
      <c r="AA763" t="s">
        <v>4278</v>
      </c>
      <c r="AC763" t="s">
        <v>24</v>
      </c>
      <c r="AD763" t="s">
        <v>128</v>
      </c>
      <c r="AE763" s="97">
        <f>VLOOKUP(A:A,SUMMERY!AA:AC,2,FALSE)</f>
        <v>46220</v>
      </c>
      <c r="AF763" s="6" t="str">
        <f>VLOOKUP(A:A,SUMMERY!AA:AC,3,FALSE)</f>
        <v>Priority-1</v>
      </c>
    </row>
    <row r="764" spans="1:32" x14ac:dyDescent="0.3">
      <c r="A764" t="s">
        <v>4325</v>
      </c>
      <c r="C764" t="s">
        <v>4326</v>
      </c>
      <c r="E764" t="s">
        <v>4326</v>
      </c>
      <c r="F764" t="s">
        <v>6769</v>
      </c>
      <c r="G764" t="s">
        <v>4275</v>
      </c>
      <c r="H764" t="s">
        <v>132</v>
      </c>
      <c r="I764" t="s">
        <v>4</v>
      </c>
      <c r="J764" t="s">
        <v>4276</v>
      </c>
      <c r="K764" t="s">
        <v>54</v>
      </c>
      <c r="M764" t="s">
        <v>134</v>
      </c>
      <c r="N764" t="s">
        <v>135</v>
      </c>
      <c r="Q764" t="s">
        <v>4277</v>
      </c>
      <c r="U764" t="s">
        <v>137</v>
      </c>
      <c r="V764" t="s">
        <v>362</v>
      </c>
      <c r="W764" s="9">
        <v>46116.255346180558</v>
      </c>
      <c r="X764" t="s">
        <v>58</v>
      </c>
      <c r="AA764" t="s">
        <v>4278</v>
      </c>
      <c r="AC764" t="s">
        <v>24</v>
      </c>
      <c r="AD764" t="s">
        <v>128</v>
      </c>
      <c r="AE764" s="97">
        <f>VLOOKUP(A:A,SUMMERY!AA:AC,2,FALSE)</f>
        <v>46220</v>
      </c>
      <c r="AF764" s="6" t="str">
        <f>VLOOKUP(A:A,SUMMERY!AA:AC,3,FALSE)</f>
        <v>Priority-1</v>
      </c>
    </row>
    <row r="765" spans="1:32" x14ac:dyDescent="0.3">
      <c r="A765" t="s">
        <v>4327</v>
      </c>
      <c r="C765" t="s">
        <v>4328</v>
      </c>
      <c r="E765" t="s">
        <v>4328</v>
      </c>
      <c r="F765" t="s">
        <v>6769</v>
      </c>
      <c r="G765" t="s">
        <v>4275</v>
      </c>
      <c r="H765" t="s">
        <v>132</v>
      </c>
      <c r="I765" t="s">
        <v>4</v>
      </c>
      <c r="J765" t="s">
        <v>4276</v>
      </c>
      <c r="K765" t="s">
        <v>54</v>
      </c>
      <c r="M765" t="s">
        <v>134</v>
      </c>
      <c r="N765" t="s">
        <v>135</v>
      </c>
      <c r="Q765" t="s">
        <v>4277</v>
      </c>
      <c r="U765" t="s">
        <v>137</v>
      </c>
      <c r="V765" t="s">
        <v>362</v>
      </c>
      <c r="W765" s="9">
        <v>46138.193522569447</v>
      </c>
      <c r="X765" t="s">
        <v>58</v>
      </c>
      <c r="AA765" t="s">
        <v>4278</v>
      </c>
      <c r="AC765" t="s">
        <v>24</v>
      </c>
      <c r="AD765" t="s">
        <v>128</v>
      </c>
      <c r="AE765" s="97">
        <f>VLOOKUP(A:A,SUMMERY!AA:AC,2,FALSE)</f>
        <v>46220</v>
      </c>
      <c r="AF765" s="6" t="str">
        <f>VLOOKUP(A:A,SUMMERY!AA:AC,3,FALSE)</f>
        <v>Priority-1</v>
      </c>
    </row>
    <row r="766" spans="1:32" x14ac:dyDescent="0.3">
      <c r="A766" t="s">
        <v>4329</v>
      </c>
      <c r="C766" t="s">
        <v>4330</v>
      </c>
      <c r="E766" t="s">
        <v>4330</v>
      </c>
      <c r="F766" t="s">
        <v>6769</v>
      </c>
      <c r="G766" t="s">
        <v>4275</v>
      </c>
      <c r="H766" t="s">
        <v>132</v>
      </c>
      <c r="I766" t="s">
        <v>4</v>
      </c>
      <c r="J766" t="s">
        <v>4276</v>
      </c>
      <c r="K766" t="s">
        <v>54</v>
      </c>
      <c r="M766" t="s">
        <v>134</v>
      </c>
      <c r="N766" t="s">
        <v>135</v>
      </c>
      <c r="Q766" t="s">
        <v>4277</v>
      </c>
      <c r="U766" t="s">
        <v>137</v>
      </c>
      <c r="V766" t="s">
        <v>640</v>
      </c>
      <c r="W766" s="9">
        <v>46138.204286493055</v>
      </c>
      <c r="X766" t="s">
        <v>66</v>
      </c>
      <c r="AA766" t="s">
        <v>4278</v>
      </c>
      <c r="AC766" t="s">
        <v>24</v>
      </c>
      <c r="AD766" t="s">
        <v>128</v>
      </c>
      <c r="AE766" s="97">
        <f>VLOOKUP(A:A,SUMMERY!AA:AC,2,FALSE)</f>
        <v>46220</v>
      </c>
      <c r="AF766" s="6" t="str">
        <f>VLOOKUP(A:A,SUMMERY!AA:AC,3,FALSE)</f>
        <v>Priority-1</v>
      </c>
    </row>
    <row r="767" spans="1:32" x14ac:dyDescent="0.3">
      <c r="A767" t="s">
        <v>4331</v>
      </c>
      <c r="C767" t="s">
        <v>4332</v>
      </c>
      <c r="E767" t="s">
        <v>4332</v>
      </c>
      <c r="F767" t="s">
        <v>6769</v>
      </c>
      <c r="G767" t="s">
        <v>4275</v>
      </c>
      <c r="H767" t="s">
        <v>132</v>
      </c>
      <c r="I767" t="s">
        <v>4</v>
      </c>
      <c r="J767" t="s">
        <v>4276</v>
      </c>
      <c r="K767" t="s">
        <v>54</v>
      </c>
      <c r="M767" t="s">
        <v>134</v>
      </c>
      <c r="N767" t="s">
        <v>135</v>
      </c>
      <c r="Q767" t="s">
        <v>4277</v>
      </c>
      <c r="U767" t="s">
        <v>137</v>
      </c>
      <c r="V767" t="s">
        <v>640</v>
      </c>
      <c r="W767" s="9">
        <v>46138.205121261577</v>
      </c>
      <c r="X767" t="s">
        <v>66</v>
      </c>
      <c r="AA767" t="s">
        <v>4278</v>
      </c>
      <c r="AC767" t="s">
        <v>24</v>
      </c>
      <c r="AD767" t="s">
        <v>128</v>
      </c>
      <c r="AE767" s="97">
        <f>VLOOKUP(A:A,SUMMERY!AA:AC,2,FALSE)</f>
        <v>46220</v>
      </c>
      <c r="AF767" s="6" t="str">
        <f>VLOOKUP(A:A,SUMMERY!AA:AC,3,FALSE)</f>
        <v>Priority-1</v>
      </c>
    </row>
    <row r="768" spans="1:32" x14ac:dyDescent="0.3">
      <c r="A768" t="s">
        <v>4333</v>
      </c>
      <c r="C768" t="s">
        <v>4334</v>
      </c>
      <c r="E768" t="s">
        <v>4334</v>
      </c>
      <c r="F768" t="s">
        <v>6769</v>
      </c>
      <c r="G768" t="s">
        <v>4275</v>
      </c>
      <c r="H768" t="s">
        <v>132</v>
      </c>
      <c r="I768" t="s">
        <v>4</v>
      </c>
      <c r="J768" t="s">
        <v>4276</v>
      </c>
      <c r="K768" t="s">
        <v>54</v>
      </c>
      <c r="M768" t="s">
        <v>134</v>
      </c>
      <c r="N768" t="s">
        <v>135</v>
      </c>
      <c r="Q768" t="s">
        <v>4277</v>
      </c>
      <c r="U768" t="s">
        <v>137</v>
      </c>
      <c r="V768" t="s">
        <v>646</v>
      </c>
      <c r="W768" s="9">
        <v>46157.267195370368</v>
      </c>
      <c r="X768" t="s">
        <v>74</v>
      </c>
      <c r="AA768" t="s">
        <v>4278</v>
      </c>
      <c r="AC768" t="s">
        <v>24</v>
      </c>
      <c r="AD768" t="s">
        <v>128</v>
      </c>
      <c r="AE768" s="97">
        <f>VLOOKUP(A:A,SUMMERY!AA:AC,2,FALSE)</f>
        <v>46220</v>
      </c>
      <c r="AF768" s="6" t="str">
        <f>VLOOKUP(A:A,SUMMERY!AA:AC,3,FALSE)</f>
        <v>Priority-1</v>
      </c>
    </row>
    <row r="769" spans="1:32" x14ac:dyDescent="0.3">
      <c r="A769" t="s">
        <v>4335</v>
      </c>
      <c r="C769" t="s">
        <v>4336</v>
      </c>
      <c r="E769" t="s">
        <v>4336</v>
      </c>
      <c r="F769" t="s">
        <v>6769</v>
      </c>
      <c r="G769" t="s">
        <v>4275</v>
      </c>
      <c r="H769" t="s">
        <v>132</v>
      </c>
      <c r="I769" t="s">
        <v>4</v>
      </c>
      <c r="J769" t="s">
        <v>4276</v>
      </c>
      <c r="K769" t="s">
        <v>54</v>
      </c>
      <c r="M769" t="s">
        <v>134</v>
      </c>
      <c r="N769" t="s">
        <v>135</v>
      </c>
      <c r="Q769" t="s">
        <v>4277</v>
      </c>
      <c r="U769" t="s">
        <v>137</v>
      </c>
      <c r="V769" t="s">
        <v>646</v>
      </c>
      <c r="W769" s="9">
        <v>46116.257679629627</v>
      </c>
      <c r="X769" t="s">
        <v>74</v>
      </c>
      <c r="AA769" t="s">
        <v>4278</v>
      </c>
      <c r="AC769" t="s">
        <v>24</v>
      </c>
      <c r="AD769" t="s">
        <v>128</v>
      </c>
      <c r="AE769" s="97">
        <f>VLOOKUP(A:A,SUMMERY!AA:AC,2,FALSE)</f>
        <v>46220</v>
      </c>
      <c r="AF769" s="6" t="str">
        <f>VLOOKUP(A:A,SUMMERY!AA:AC,3,FALSE)</f>
        <v>Priority-1</v>
      </c>
    </row>
    <row r="770" spans="1:32" x14ac:dyDescent="0.3">
      <c r="A770" t="s">
        <v>4357</v>
      </c>
      <c r="C770" t="s">
        <v>4358</v>
      </c>
      <c r="E770" t="s">
        <v>4358</v>
      </c>
      <c r="F770" t="s">
        <v>6769</v>
      </c>
      <c r="G770" t="s">
        <v>4275</v>
      </c>
      <c r="H770" t="s">
        <v>132</v>
      </c>
      <c r="I770" t="s">
        <v>4</v>
      </c>
      <c r="J770" t="s">
        <v>4276</v>
      </c>
      <c r="K770" t="s">
        <v>54</v>
      </c>
      <c r="M770" t="s">
        <v>134</v>
      </c>
      <c r="N770" t="s">
        <v>135</v>
      </c>
      <c r="Q770" t="s">
        <v>4277</v>
      </c>
      <c r="U770" t="s">
        <v>137</v>
      </c>
      <c r="V770" t="s">
        <v>1190</v>
      </c>
      <c r="W770" s="9">
        <v>46157.267840243054</v>
      </c>
      <c r="X770" t="s">
        <v>67</v>
      </c>
      <c r="AA770" t="s">
        <v>4278</v>
      </c>
      <c r="AC770" t="s">
        <v>24</v>
      </c>
      <c r="AD770" t="s">
        <v>128</v>
      </c>
      <c r="AE770" s="97">
        <f>VLOOKUP(A:A,SUMMERY!AA:AC,2,FALSE)</f>
        <v>46220</v>
      </c>
      <c r="AF770" s="6" t="str">
        <f>VLOOKUP(A:A,SUMMERY!AA:AC,3,FALSE)</f>
        <v>Priority-1</v>
      </c>
    </row>
    <row r="771" spans="1:32" x14ac:dyDescent="0.3">
      <c r="A771" t="s">
        <v>4359</v>
      </c>
      <c r="C771" t="s">
        <v>4360</v>
      </c>
      <c r="E771" t="s">
        <v>4360</v>
      </c>
      <c r="F771" t="s">
        <v>6769</v>
      </c>
      <c r="G771" t="s">
        <v>4275</v>
      </c>
      <c r="H771" t="s">
        <v>132</v>
      </c>
      <c r="I771" t="s">
        <v>4</v>
      </c>
      <c r="J771" t="s">
        <v>4276</v>
      </c>
      <c r="K771" t="s">
        <v>54</v>
      </c>
      <c r="M771" t="s">
        <v>134</v>
      </c>
      <c r="N771" t="s">
        <v>135</v>
      </c>
      <c r="Q771" t="s">
        <v>4277</v>
      </c>
      <c r="U771" t="s">
        <v>137</v>
      </c>
      <c r="V771" t="s">
        <v>1190</v>
      </c>
      <c r="W771" s="9">
        <v>46138.258475347226</v>
      </c>
      <c r="X771" t="s">
        <v>67</v>
      </c>
      <c r="AA771" t="s">
        <v>4278</v>
      </c>
      <c r="AC771" t="s">
        <v>24</v>
      </c>
      <c r="AD771" t="s">
        <v>128</v>
      </c>
      <c r="AE771" s="97">
        <f>VLOOKUP(A:A,SUMMERY!AA:AC,2,FALSE)</f>
        <v>46220</v>
      </c>
      <c r="AF771" s="6" t="str">
        <f>VLOOKUP(A:A,SUMMERY!AA:AC,3,FALSE)</f>
        <v>Priority-1</v>
      </c>
    </row>
    <row r="772" spans="1:32" x14ac:dyDescent="0.3">
      <c r="A772" t="s">
        <v>4361</v>
      </c>
      <c r="C772" t="s">
        <v>4362</v>
      </c>
      <c r="E772" t="s">
        <v>4362</v>
      </c>
      <c r="F772" t="s">
        <v>6769</v>
      </c>
      <c r="G772" t="s">
        <v>4275</v>
      </c>
      <c r="H772" t="s">
        <v>132</v>
      </c>
      <c r="I772" t="s">
        <v>4</v>
      </c>
      <c r="J772" t="s">
        <v>4276</v>
      </c>
      <c r="K772" t="s">
        <v>54</v>
      </c>
      <c r="M772" t="s">
        <v>134</v>
      </c>
      <c r="N772" t="s">
        <v>135</v>
      </c>
      <c r="Q772" t="s">
        <v>4277</v>
      </c>
      <c r="U772" t="s">
        <v>137</v>
      </c>
      <c r="V772" t="s">
        <v>1194</v>
      </c>
      <c r="W772" s="9">
        <v>46138.259192743055</v>
      </c>
      <c r="X772" t="s">
        <v>75</v>
      </c>
      <c r="AA772" t="s">
        <v>4278</v>
      </c>
      <c r="AC772" t="s">
        <v>24</v>
      </c>
      <c r="AD772" t="s">
        <v>128</v>
      </c>
      <c r="AE772" s="97">
        <f>VLOOKUP(A:A,SUMMERY!AA:AC,2,FALSE)</f>
        <v>46220</v>
      </c>
      <c r="AF772" s="6" t="str">
        <f>VLOOKUP(A:A,SUMMERY!AA:AC,3,FALSE)</f>
        <v>Priority-1</v>
      </c>
    </row>
    <row r="773" spans="1:32" x14ac:dyDescent="0.3">
      <c r="A773" t="s">
        <v>4363</v>
      </c>
      <c r="C773" t="s">
        <v>4364</v>
      </c>
      <c r="E773" t="s">
        <v>4364</v>
      </c>
      <c r="F773" t="s">
        <v>6769</v>
      </c>
      <c r="G773" t="s">
        <v>4275</v>
      </c>
      <c r="H773" t="s">
        <v>132</v>
      </c>
      <c r="I773" t="s">
        <v>4</v>
      </c>
      <c r="J773" t="s">
        <v>4276</v>
      </c>
      <c r="K773" t="s">
        <v>54</v>
      </c>
      <c r="M773" t="s">
        <v>134</v>
      </c>
      <c r="N773" t="s">
        <v>135</v>
      </c>
      <c r="Q773" t="s">
        <v>4277</v>
      </c>
      <c r="U773" t="s">
        <v>137</v>
      </c>
      <c r="V773" t="s">
        <v>1194</v>
      </c>
      <c r="W773" s="9">
        <v>46138.259967905091</v>
      </c>
      <c r="X773" t="s">
        <v>75</v>
      </c>
      <c r="AA773" t="s">
        <v>4278</v>
      </c>
      <c r="AC773" t="s">
        <v>24</v>
      </c>
      <c r="AD773" t="s">
        <v>128</v>
      </c>
      <c r="AE773" s="97">
        <f>VLOOKUP(A:A,SUMMERY!AA:AC,2,FALSE)</f>
        <v>46220</v>
      </c>
      <c r="AF773" s="6" t="str">
        <f>VLOOKUP(A:A,SUMMERY!AA:AC,3,FALSE)</f>
        <v>Priority-1</v>
      </c>
    </row>
    <row r="774" spans="1:32" x14ac:dyDescent="0.3">
      <c r="A774" t="s">
        <v>4385</v>
      </c>
      <c r="C774" t="s">
        <v>4386</v>
      </c>
      <c r="E774" t="s">
        <v>4386</v>
      </c>
      <c r="F774" t="s">
        <v>6769</v>
      </c>
      <c r="G774" t="s">
        <v>4275</v>
      </c>
      <c r="H774" t="s">
        <v>132</v>
      </c>
      <c r="I774" t="s">
        <v>4</v>
      </c>
      <c r="J774" t="s">
        <v>4276</v>
      </c>
      <c r="K774" t="s">
        <v>54</v>
      </c>
      <c r="M774" t="s">
        <v>134</v>
      </c>
      <c r="N774" t="s">
        <v>135</v>
      </c>
      <c r="Q774" t="s">
        <v>4277</v>
      </c>
      <c r="U774" t="s">
        <v>137</v>
      </c>
      <c r="V774" t="s">
        <v>403</v>
      </c>
      <c r="W774" s="9">
        <v>46157.268844942133</v>
      </c>
      <c r="X774" t="s">
        <v>68</v>
      </c>
      <c r="AA774" t="s">
        <v>4278</v>
      </c>
      <c r="AC774" t="s">
        <v>24</v>
      </c>
      <c r="AD774" t="s">
        <v>128</v>
      </c>
      <c r="AE774" s="97">
        <f>VLOOKUP(A:A,SUMMERY!AA:AC,2,FALSE)</f>
        <v>46233</v>
      </c>
      <c r="AF774" s="6" t="str">
        <f>VLOOKUP(A:A,SUMMERY!AA:AC,3,FALSE)</f>
        <v>Priority-1</v>
      </c>
    </row>
    <row r="775" spans="1:32" x14ac:dyDescent="0.3">
      <c r="A775" t="s">
        <v>4387</v>
      </c>
      <c r="C775" t="s">
        <v>4388</v>
      </c>
      <c r="E775" t="s">
        <v>4388</v>
      </c>
      <c r="F775" t="s">
        <v>6769</v>
      </c>
      <c r="G775" t="s">
        <v>4275</v>
      </c>
      <c r="H775" t="s">
        <v>132</v>
      </c>
      <c r="I775" t="s">
        <v>4</v>
      </c>
      <c r="J775" t="s">
        <v>4276</v>
      </c>
      <c r="K775" t="s">
        <v>54</v>
      </c>
      <c r="M775" t="s">
        <v>134</v>
      </c>
      <c r="N775" t="s">
        <v>135</v>
      </c>
      <c r="Q775" t="s">
        <v>4277</v>
      </c>
      <c r="U775" t="s">
        <v>137</v>
      </c>
      <c r="V775" t="s">
        <v>403</v>
      </c>
      <c r="W775" s="9">
        <v>46157.269571562501</v>
      </c>
      <c r="X775" t="s">
        <v>68</v>
      </c>
      <c r="AA775" t="s">
        <v>4278</v>
      </c>
      <c r="AC775" t="s">
        <v>24</v>
      </c>
      <c r="AD775" t="s">
        <v>128</v>
      </c>
      <c r="AE775" s="97">
        <f>VLOOKUP(A:A,SUMMERY!AA:AC,2,FALSE)</f>
        <v>46233</v>
      </c>
      <c r="AF775" s="6" t="str">
        <f>VLOOKUP(A:A,SUMMERY!AA:AC,3,FALSE)</f>
        <v>Priority-1</v>
      </c>
    </row>
    <row r="776" spans="1:32" x14ac:dyDescent="0.3">
      <c r="A776" t="s">
        <v>4389</v>
      </c>
      <c r="C776" t="s">
        <v>4390</v>
      </c>
      <c r="E776" t="s">
        <v>4390</v>
      </c>
      <c r="F776" t="s">
        <v>6769</v>
      </c>
      <c r="G776" t="s">
        <v>4275</v>
      </c>
      <c r="H776" t="s">
        <v>132</v>
      </c>
      <c r="I776" t="s">
        <v>4</v>
      </c>
      <c r="J776" t="s">
        <v>4276</v>
      </c>
      <c r="K776" t="s">
        <v>54</v>
      </c>
      <c r="M776" t="s">
        <v>134</v>
      </c>
      <c r="N776" t="s">
        <v>135</v>
      </c>
      <c r="Q776" t="s">
        <v>4277</v>
      </c>
      <c r="U776" t="s">
        <v>137</v>
      </c>
      <c r="V776" t="s">
        <v>407</v>
      </c>
      <c r="W776" s="9">
        <v>46157.270388078701</v>
      </c>
      <c r="X776" t="s">
        <v>77</v>
      </c>
      <c r="AA776" t="s">
        <v>4278</v>
      </c>
      <c r="AC776" t="s">
        <v>24</v>
      </c>
      <c r="AD776" t="s">
        <v>128</v>
      </c>
      <c r="AE776" s="97">
        <f>VLOOKUP(A:A,SUMMERY!AA:AC,2,FALSE)</f>
        <v>46233</v>
      </c>
      <c r="AF776" s="6" t="str">
        <f>VLOOKUP(A:A,SUMMERY!AA:AC,3,FALSE)</f>
        <v>Priority-1</v>
      </c>
    </row>
    <row r="777" spans="1:32" x14ac:dyDescent="0.3">
      <c r="A777" t="s">
        <v>4391</v>
      </c>
      <c r="C777" t="s">
        <v>4392</v>
      </c>
      <c r="E777" t="s">
        <v>4392</v>
      </c>
      <c r="F777" t="s">
        <v>6769</v>
      </c>
      <c r="G777" t="s">
        <v>4275</v>
      </c>
      <c r="H777" t="s">
        <v>132</v>
      </c>
      <c r="I777" t="s">
        <v>4</v>
      </c>
      <c r="J777" t="s">
        <v>4276</v>
      </c>
      <c r="K777" t="s">
        <v>54</v>
      </c>
      <c r="M777" t="s">
        <v>134</v>
      </c>
      <c r="N777" t="s">
        <v>135</v>
      </c>
      <c r="Q777" t="s">
        <v>4277</v>
      </c>
      <c r="U777" t="s">
        <v>137</v>
      </c>
      <c r="V777" t="s">
        <v>407</v>
      </c>
      <c r="W777" s="9">
        <v>46157.271087349538</v>
      </c>
      <c r="X777" t="s">
        <v>77</v>
      </c>
      <c r="AA777" t="s">
        <v>4278</v>
      </c>
      <c r="AC777" t="s">
        <v>24</v>
      </c>
      <c r="AD777" t="s">
        <v>128</v>
      </c>
      <c r="AE777" s="97">
        <f>VLOOKUP(A:A,SUMMERY!AA:AC,2,FALSE)</f>
        <v>46233</v>
      </c>
      <c r="AF777" s="6" t="str">
        <f>VLOOKUP(A:A,SUMMERY!AA:AC,3,FALSE)</f>
        <v>Priority-1</v>
      </c>
    </row>
    <row r="778" spans="1:32" x14ac:dyDescent="0.3">
      <c r="A778" t="s">
        <v>4413</v>
      </c>
      <c r="C778" t="s">
        <v>4414</v>
      </c>
      <c r="E778" t="s">
        <v>4414</v>
      </c>
      <c r="F778" t="s">
        <v>6769</v>
      </c>
      <c r="G778" t="s">
        <v>4275</v>
      </c>
      <c r="H778" t="s">
        <v>132</v>
      </c>
      <c r="I778" t="s">
        <v>4</v>
      </c>
      <c r="J778" t="s">
        <v>4276</v>
      </c>
      <c r="K778" t="s">
        <v>54</v>
      </c>
      <c r="M778" t="s">
        <v>134</v>
      </c>
      <c r="N778" t="s">
        <v>135</v>
      </c>
      <c r="Q778" t="s">
        <v>4277</v>
      </c>
      <c r="U778" t="s">
        <v>137</v>
      </c>
      <c r="V778" t="s">
        <v>1279</v>
      </c>
      <c r="W778" s="9">
        <v>46134.567943136572</v>
      </c>
      <c r="X778" t="s">
        <v>71</v>
      </c>
      <c r="AA778" t="s">
        <v>4278</v>
      </c>
      <c r="AC778" t="s">
        <v>24</v>
      </c>
      <c r="AD778" t="s">
        <v>128</v>
      </c>
      <c r="AE778" s="97">
        <f>VLOOKUP(A:A,SUMMERY!AA:AC,2,FALSE)</f>
        <v>46233</v>
      </c>
      <c r="AF778" s="6" t="str">
        <f>VLOOKUP(A:A,SUMMERY!AA:AC,3,FALSE)</f>
        <v>Priority-1</v>
      </c>
    </row>
    <row r="779" spans="1:32" x14ac:dyDescent="0.3">
      <c r="A779" t="s">
        <v>4415</v>
      </c>
      <c r="C779" t="s">
        <v>4416</v>
      </c>
      <c r="E779" t="s">
        <v>4416</v>
      </c>
      <c r="F779" t="s">
        <v>6769</v>
      </c>
      <c r="G779" t="s">
        <v>4275</v>
      </c>
      <c r="H779" t="s">
        <v>132</v>
      </c>
      <c r="I779" t="s">
        <v>4</v>
      </c>
      <c r="J779" t="s">
        <v>4276</v>
      </c>
      <c r="K779" t="s">
        <v>54</v>
      </c>
      <c r="M779" t="s">
        <v>134</v>
      </c>
      <c r="N779" t="s">
        <v>135</v>
      </c>
      <c r="Q779" t="s">
        <v>4277</v>
      </c>
      <c r="U779" t="s">
        <v>137</v>
      </c>
      <c r="V779" t="s">
        <v>1279</v>
      </c>
      <c r="W779" s="9">
        <v>46116.254439895834</v>
      </c>
      <c r="X779" t="s">
        <v>71</v>
      </c>
      <c r="AA779" t="s">
        <v>4278</v>
      </c>
      <c r="AC779" t="s">
        <v>24</v>
      </c>
      <c r="AD779" t="s">
        <v>128</v>
      </c>
      <c r="AE779" s="97">
        <f>VLOOKUP(A:A,SUMMERY!AA:AC,2,FALSE)</f>
        <v>46233</v>
      </c>
      <c r="AF779" s="6" t="str">
        <f>VLOOKUP(A:A,SUMMERY!AA:AC,3,FALSE)</f>
        <v>Priority-1</v>
      </c>
    </row>
    <row r="780" spans="1:32" x14ac:dyDescent="0.3">
      <c r="A780" t="s">
        <v>4417</v>
      </c>
      <c r="C780" t="s">
        <v>4418</v>
      </c>
      <c r="E780" t="s">
        <v>4418</v>
      </c>
      <c r="F780" t="s">
        <v>6769</v>
      </c>
      <c r="G780" t="s">
        <v>4275</v>
      </c>
      <c r="H780" t="s">
        <v>132</v>
      </c>
      <c r="I780" t="s">
        <v>4</v>
      </c>
      <c r="J780" t="s">
        <v>4276</v>
      </c>
      <c r="K780" t="s">
        <v>54</v>
      </c>
      <c r="M780" t="s">
        <v>134</v>
      </c>
      <c r="N780" t="s">
        <v>135</v>
      </c>
      <c r="Q780" t="s">
        <v>4277</v>
      </c>
      <c r="U780" t="s">
        <v>137</v>
      </c>
      <c r="V780" t="s">
        <v>1283</v>
      </c>
      <c r="W780" s="9">
        <v>46116.259866782406</v>
      </c>
      <c r="X780" t="s">
        <v>78</v>
      </c>
      <c r="AA780" t="s">
        <v>4278</v>
      </c>
      <c r="AC780" t="s">
        <v>24</v>
      </c>
      <c r="AD780" t="s">
        <v>128</v>
      </c>
      <c r="AE780" s="97">
        <f>VLOOKUP(A:A,SUMMERY!AA:AC,2,FALSE)</f>
        <v>46234</v>
      </c>
      <c r="AF780" s="6" t="str">
        <f>VLOOKUP(A:A,SUMMERY!AA:AC,3,FALSE)</f>
        <v>Priority-1</v>
      </c>
    </row>
    <row r="781" spans="1:32" x14ac:dyDescent="0.3">
      <c r="A781" t="s">
        <v>4419</v>
      </c>
      <c r="C781" t="s">
        <v>4420</v>
      </c>
      <c r="E781" t="s">
        <v>4420</v>
      </c>
      <c r="F781" t="s">
        <v>6769</v>
      </c>
      <c r="G781" t="s">
        <v>4275</v>
      </c>
      <c r="H781" t="s">
        <v>132</v>
      </c>
      <c r="I781" t="s">
        <v>4</v>
      </c>
      <c r="J781" t="s">
        <v>4276</v>
      </c>
      <c r="K781" t="s">
        <v>54</v>
      </c>
      <c r="M781" t="s">
        <v>134</v>
      </c>
      <c r="N781" t="s">
        <v>135</v>
      </c>
      <c r="Q781" t="s">
        <v>4277</v>
      </c>
      <c r="U781" t="s">
        <v>137</v>
      </c>
      <c r="V781" t="s">
        <v>1283</v>
      </c>
      <c r="W781" s="9">
        <v>46116.249986377312</v>
      </c>
      <c r="X781" t="s">
        <v>78</v>
      </c>
      <c r="AA781" t="s">
        <v>4278</v>
      </c>
      <c r="AC781" t="s">
        <v>24</v>
      </c>
      <c r="AD781" t="s">
        <v>128</v>
      </c>
      <c r="AE781" s="97">
        <f>VLOOKUP(A:A,SUMMERY!AA:AC,2,FALSE)</f>
        <v>46234</v>
      </c>
      <c r="AF781" s="6" t="str">
        <f>VLOOKUP(A:A,SUMMERY!AA:AC,3,FALSE)</f>
        <v>Priority-1</v>
      </c>
    </row>
    <row r="782" spans="1:32" x14ac:dyDescent="0.3">
      <c r="A782" t="s">
        <v>4441</v>
      </c>
      <c r="C782" t="s">
        <v>4442</v>
      </c>
      <c r="E782" t="s">
        <v>4442</v>
      </c>
      <c r="F782" t="s">
        <v>6769</v>
      </c>
      <c r="G782" t="s">
        <v>4275</v>
      </c>
      <c r="H782" t="s">
        <v>132</v>
      </c>
      <c r="I782" t="s">
        <v>4</v>
      </c>
      <c r="J782" t="s">
        <v>4276</v>
      </c>
      <c r="K782" t="s">
        <v>54</v>
      </c>
      <c r="M782" t="s">
        <v>134</v>
      </c>
      <c r="N782" t="s">
        <v>135</v>
      </c>
      <c r="Q782" t="s">
        <v>4277</v>
      </c>
      <c r="U782" t="s">
        <v>137</v>
      </c>
      <c r="V782" t="s">
        <v>703</v>
      </c>
      <c r="W782" s="9">
        <v>46157.272020833334</v>
      </c>
      <c r="X782" t="s">
        <v>62</v>
      </c>
      <c r="AA782" t="s">
        <v>4278</v>
      </c>
      <c r="AC782" t="s">
        <v>24</v>
      </c>
      <c r="AD782" t="s">
        <v>128</v>
      </c>
      <c r="AE782" s="97">
        <f>VLOOKUP(A:A,SUMMERY!AA:AC,2,FALSE)</f>
        <v>46220</v>
      </c>
      <c r="AF782" s="6" t="str">
        <f>VLOOKUP(A:A,SUMMERY!AA:AC,3,FALSE)</f>
        <v>Priority-1</v>
      </c>
    </row>
    <row r="783" spans="1:32" x14ac:dyDescent="0.3">
      <c r="A783" t="s">
        <v>4443</v>
      </c>
      <c r="C783" t="s">
        <v>4444</v>
      </c>
      <c r="E783" t="s">
        <v>4444</v>
      </c>
      <c r="F783" t="s">
        <v>6769</v>
      </c>
      <c r="G783" t="s">
        <v>4275</v>
      </c>
      <c r="H783" t="s">
        <v>132</v>
      </c>
      <c r="I783" t="s">
        <v>4</v>
      </c>
      <c r="J783" t="s">
        <v>4276</v>
      </c>
      <c r="K783" t="s">
        <v>54</v>
      </c>
      <c r="M783" t="s">
        <v>134</v>
      </c>
      <c r="N783" t="s">
        <v>135</v>
      </c>
      <c r="Q783" t="s">
        <v>4277</v>
      </c>
      <c r="U783" t="s">
        <v>137</v>
      </c>
      <c r="V783" t="s">
        <v>703</v>
      </c>
      <c r="W783" s="9">
        <v>46144.765430983796</v>
      </c>
      <c r="X783" t="s">
        <v>62</v>
      </c>
      <c r="AA783" t="s">
        <v>4278</v>
      </c>
      <c r="AC783" t="s">
        <v>24</v>
      </c>
      <c r="AD783" t="s">
        <v>128</v>
      </c>
      <c r="AE783" s="97">
        <f>VLOOKUP(A:A,SUMMERY!AA:AC,2,FALSE)</f>
        <v>46220</v>
      </c>
      <c r="AF783" s="6" t="str">
        <f>VLOOKUP(A:A,SUMMERY!AA:AC,3,FALSE)</f>
        <v>Priority-1</v>
      </c>
    </row>
    <row r="784" spans="1:32" x14ac:dyDescent="0.3">
      <c r="A784" t="s">
        <v>4445</v>
      </c>
      <c r="C784" t="s">
        <v>4446</v>
      </c>
      <c r="E784" t="s">
        <v>4446</v>
      </c>
      <c r="F784" t="s">
        <v>6769</v>
      </c>
      <c r="G784" t="s">
        <v>4275</v>
      </c>
      <c r="H784" t="s">
        <v>132</v>
      </c>
      <c r="I784" t="s">
        <v>4</v>
      </c>
      <c r="J784" t="s">
        <v>4276</v>
      </c>
      <c r="K784" t="s">
        <v>54</v>
      </c>
      <c r="M784" t="s">
        <v>134</v>
      </c>
      <c r="N784" t="s">
        <v>135</v>
      </c>
      <c r="Q784" t="s">
        <v>4277</v>
      </c>
      <c r="U784" t="s">
        <v>137</v>
      </c>
      <c r="V784" t="s">
        <v>703</v>
      </c>
      <c r="W784" s="9">
        <v>46157.27280702546</v>
      </c>
      <c r="X784" t="s">
        <v>62</v>
      </c>
      <c r="AA784" t="s">
        <v>4278</v>
      </c>
      <c r="AC784" t="s">
        <v>24</v>
      </c>
      <c r="AD784" t="s">
        <v>128</v>
      </c>
      <c r="AE784" s="97">
        <f>VLOOKUP(A:A,SUMMERY!AA:AC,2,FALSE)</f>
        <v>46220</v>
      </c>
      <c r="AF784" s="6" t="str">
        <f>VLOOKUP(A:A,SUMMERY!AA:AC,3,FALSE)</f>
        <v>Priority-1</v>
      </c>
    </row>
    <row r="785" spans="1:32" x14ac:dyDescent="0.3">
      <c r="A785" t="s">
        <v>4447</v>
      </c>
      <c r="C785" t="s">
        <v>4448</v>
      </c>
      <c r="E785" t="s">
        <v>4448</v>
      </c>
      <c r="F785" t="s">
        <v>6769</v>
      </c>
      <c r="G785" t="s">
        <v>4275</v>
      </c>
      <c r="H785" t="s">
        <v>132</v>
      </c>
      <c r="I785" t="s">
        <v>4</v>
      </c>
      <c r="J785" t="s">
        <v>4276</v>
      </c>
      <c r="K785" t="s">
        <v>54</v>
      </c>
      <c r="M785" t="s">
        <v>134</v>
      </c>
      <c r="N785" t="s">
        <v>135</v>
      </c>
      <c r="Q785" t="s">
        <v>4277</v>
      </c>
      <c r="U785" t="s">
        <v>137</v>
      </c>
      <c r="V785" t="s">
        <v>703</v>
      </c>
      <c r="W785" s="9">
        <v>46157.273809988423</v>
      </c>
      <c r="X785" t="s">
        <v>62</v>
      </c>
      <c r="AA785" t="s">
        <v>4278</v>
      </c>
      <c r="AC785" t="s">
        <v>24</v>
      </c>
      <c r="AD785" t="s">
        <v>128</v>
      </c>
      <c r="AE785" s="97">
        <f>VLOOKUP(A:A,SUMMERY!AA:AC,2,FALSE)</f>
        <v>46220</v>
      </c>
      <c r="AF785" s="6" t="str">
        <f>VLOOKUP(A:A,SUMMERY!AA:AC,3,FALSE)</f>
        <v>Priority-1</v>
      </c>
    </row>
    <row r="786" spans="1:32" x14ac:dyDescent="0.3">
      <c r="A786" t="s">
        <v>4449</v>
      </c>
      <c r="C786" t="s">
        <v>4450</v>
      </c>
      <c r="E786" t="s">
        <v>4450</v>
      </c>
      <c r="F786" t="s">
        <v>6769</v>
      </c>
      <c r="G786" t="s">
        <v>4275</v>
      </c>
      <c r="H786" t="s">
        <v>132</v>
      </c>
      <c r="I786" t="s">
        <v>4</v>
      </c>
      <c r="J786" t="s">
        <v>4276</v>
      </c>
      <c r="K786" t="s">
        <v>54</v>
      </c>
      <c r="M786" t="s">
        <v>134</v>
      </c>
      <c r="N786" t="s">
        <v>135</v>
      </c>
      <c r="Q786" t="s">
        <v>4277</v>
      </c>
      <c r="U786" t="s">
        <v>137</v>
      </c>
      <c r="V786" t="s">
        <v>703</v>
      </c>
      <c r="W786" s="9">
        <v>46157.274493599536</v>
      </c>
      <c r="X786" t="s">
        <v>62</v>
      </c>
      <c r="AA786" t="s">
        <v>4278</v>
      </c>
      <c r="AC786" t="s">
        <v>24</v>
      </c>
      <c r="AD786" t="s">
        <v>128</v>
      </c>
      <c r="AE786" s="97">
        <f>VLOOKUP(A:A,SUMMERY!AA:AC,2,FALSE)</f>
        <v>46220</v>
      </c>
      <c r="AF786" s="6" t="str">
        <f>VLOOKUP(A:A,SUMMERY!AA:AC,3,FALSE)</f>
        <v>Priority-1</v>
      </c>
    </row>
    <row r="787" spans="1:32" x14ac:dyDescent="0.3">
      <c r="A787" t="s">
        <v>4451</v>
      </c>
      <c r="C787" t="s">
        <v>4452</v>
      </c>
      <c r="E787" t="s">
        <v>4452</v>
      </c>
      <c r="F787" t="s">
        <v>6769</v>
      </c>
      <c r="G787" t="s">
        <v>4275</v>
      </c>
      <c r="H787" t="s">
        <v>132</v>
      </c>
      <c r="I787" t="s">
        <v>4</v>
      </c>
      <c r="J787" t="s">
        <v>4276</v>
      </c>
      <c r="K787" t="s">
        <v>54</v>
      </c>
      <c r="M787" t="s">
        <v>134</v>
      </c>
      <c r="N787" t="s">
        <v>135</v>
      </c>
      <c r="Q787" t="s">
        <v>4277</v>
      </c>
      <c r="U787" t="s">
        <v>137</v>
      </c>
      <c r="V787" t="s">
        <v>703</v>
      </c>
      <c r="W787" s="9">
        <v>46157.27535517361</v>
      </c>
      <c r="X787" t="s">
        <v>62</v>
      </c>
      <c r="AA787" t="s">
        <v>4278</v>
      </c>
      <c r="AC787" t="s">
        <v>24</v>
      </c>
      <c r="AD787" t="s">
        <v>128</v>
      </c>
      <c r="AE787" s="97">
        <f>VLOOKUP(A:A,SUMMERY!AA:AC,2,FALSE)</f>
        <v>46220</v>
      </c>
      <c r="AF787" s="6" t="str">
        <f>VLOOKUP(A:A,SUMMERY!AA:AC,3,FALSE)</f>
        <v>Priority-1</v>
      </c>
    </row>
    <row r="788" spans="1:32" x14ac:dyDescent="0.3">
      <c r="A788" t="s">
        <v>4453</v>
      </c>
      <c r="C788" t="s">
        <v>4454</v>
      </c>
      <c r="E788" t="s">
        <v>4454</v>
      </c>
      <c r="F788" t="s">
        <v>6769</v>
      </c>
      <c r="G788" t="s">
        <v>4275</v>
      </c>
      <c r="H788" t="s">
        <v>132</v>
      </c>
      <c r="I788" t="s">
        <v>4</v>
      </c>
      <c r="J788" t="s">
        <v>4276</v>
      </c>
      <c r="K788" t="s">
        <v>54</v>
      </c>
      <c r="M788" t="s">
        <v>134</v>
      </c>
      <c r="N788" t="s">
        <v>135</v>
      </c>
      <c r="Q788" t="s">
        <v>4277</v>
      </c>
      <c r="U788" t="s">
        <v>137</v>
      </c>
      <c r="V788" t="s">
        <v>709</v>
      </c>
      <c r="W788" s="9">
        <v>46157.27617769676</v>
      </c>
      <c r="X788" t="s">
        <v>73</v>
      </c>
      <c r="AA788" t="s">
        <v>4278</v>
      </c>
      <c r="AC788" t="s">
        <v>24</v>
      </c>
      <c r="AD788" t="s">
        <v>128</v>
      </c>
      <c r="AE788" s="97">
        <f>VLOOKUP(A:A,SUMMERY!AA:AC,2,FALSE)</f>
        <v>46220</v>
      </c>
      <c r="AF788" s="6" t="str">
        <f>VLOOKUP(A:A,SUMMERY!AA:AC,3,FALSE)</f>
        <v>Priority-1</v>
      </c>
    </row>
    <row r="789" spans="1:32" x14ac:dyDescent="0.3">
      <c r="A789" t="s">
        <v>4455</v>
      </c>
      <c r="C789" t="s">
        <v>4456</v>
      </c>
      <c r="E789" t="s">
        <v>4456</v>
      </c>
      <c r="F789" t="s">
        <v>6769</v>
      </c>
      <c r="G789" t="s">
        <v>4275</v>
      </c>
      <c r="H789" t="s">
        <v>132</v>
      </c>
      <c r="I789" t="s">
        <v>4</v>
      </c>
      <c r="J789" t="s">
        <v>4276</v>
      </c>
      <c r="K789" t="s">
        <v>54</v>
      </c>
      <c r="M789" t="s">
        <v>134</v>
      </c>
      <c r="N789" t="s">
        <v>135</v>
      </c>
      <c r="Q789" t="s">
        <v>4277</v>
      </c>
      <c r="U789" t="s">
        <v>137</v>
      </c>
      <c r="V789" t="s">
        <v>709</v>
      </c>
      <c r="W789" s="9">
        <v>46148.224174039351</v>
      </c>
      <c r="X789" t="s">
        <v>73</v>
      </c>
      <c r="AA789" t="s">
        <v>4278</v>
      </c>
      <c r="AC789" t="s">
        <v>24</v>
      </c>
      <c r="AD789" t="s">
        <v>128</v>
      </c>
      <c r="AE789" s="97">
        <f>VLOOKUP(A:A,SUMMERY!AA:AC,2,FALSE)</f>
        <v>46220</v>
      </c>
      <c r="AF789" s="6" t="str">
        <f>VLOOKUP(A:A,SUMMERY!AA:AC,3,FALSE)</f>
        <v>Priority-1</v>
      </c>
    </row>
    <row r="790" spans="1:32" x14ac:dyDescent="0.3">
      <c r="A790" t="s">
        <v>4457</v>
      </c>
      <c r="C790" t="s">
        <v>4458</v>
      </c>
      <c r="E790" t="s">
        <v>4458</v>
      </c>
      <c r="F790" t="s">
        <v>6769</v>
      </c>
      <c r="G790" t="s">
        <v>4275</v>
      </c>
      <c r="H790" t="s">
        <v>132</v>
      </c>
      <c r="I790" t="s">
        <v>4</v>
      </c>
      <c r="J790" t="s">
        <v>4276</v>
      </c>
      <c r="K790" t="s">
        <v>54</v>
      </c>
      <c r="M790" t="s">
        <v>134</v>
      </c>
      <c r="N790" t="s">
        <v>135</v>
      </c>
      <c r="Q790" t="s">
        <v>4277</v>
      </c>
      <c r="U790" t="s">
        <v>137</v>
      </c>
      <c r="V790" t="s">
        <v>709</v>
      </c>
      <c r="W790" s="9">
        <v>46157.276873379633</v>
      </c>
      <c r="X790" t="s">
        <v>73</v>
      </c>
      <c r="AA790" t="s">
        <v>4278</v>
      </c>
      <c r="AC790" t="s">
        <v>24</v>
      </c>
      <c r="AD790" t="s">
        <v>128</v>
      </c>
      <c r="AE790" s="97">
        <f>VLOOKUP(A:A,SUMMERY!AA:AC,2,FALSE)</f>
        <v>46220</v>
      </c>
      <c r="AF790" s="6" t="str">
        <f>VLOOKUP(A:A,SUMMERY!AA:AC,3,FALSE)</f>
        <v>Priority-1</v>
      </c>
    </row>
    <row r="791" spans="1:32" x14ac:dyDescent="0.3">
      <c r="A791" t="s">
        <v>4459</v>
      </c>
      <c r="C791" t="s">
        <v>4460</v>
      </c>
      <c r="E791" t="s">
        <v>4460</v>
      </c>
      <c r="F791" t="s">
        <v>6769</v>
      </c>
      <c r="G791" t="s">
        <v>4275</v>
      </c>
      <c r="H791" t="s">
        <v>132</v>
      </c>
      <c r="I791" t="s">
        <v>4</v>
      </c>
      <c r="J791" t="s">
        <v>4276</v>
      </c>
      <c r="K791" t="s">
        <v>54</v>
      </c>
      <c r="M791" t="s">
        <v>134</v>
      </c>
      <c r="N791" t="s">
        <v>135</v>
      </c>
      <c r="Q791" t="s">
        <v>4277</v>
      </c>
      <c r="U791" t="s">
        <v>137</v>
      </c>
      <c r="V791" t="s">
        <v>709</v>
      </c>
      <c r="W791" s="9">
        <v>46157.277585648146</v>
      </c>
      <c r="X791" t="s">
        <v>73</v>
      </c>
      <c r="AA791" t="s">
        <v>4278</v>
      </c>
      <c r="AC791" t="s">
        <v>24</v>
      </c>
      <c r="AD791" t="s">
        <v>128</v>
      </c>
      <c r="AE791" s="97">
        <f>VLOOKUP(A:A,SUMMERY!AA:AC,2,FALSE)</f>
        <v>46220</v>
      </c>
      <c r="AF791" s="6" t="str">
        <f>VLOOKUP(A:A,SUMMERY!AA:AC,3,FALSE)</f>
        <v>Priority-1</v>
      </c>
    </row>
    <row r="792" spans="1:32" x14ac:dyDescent="0.3">
      <c r="A792" t="s">
        <v>4461</v>
      </c>
      <c r="C792" t="s">
        <v>4462</v>
      </c>
      <c r="E792" t="s">
        <v>4462</v>
      </c>
      <c r="F792" t="s">
        <v>6769</v>
      </c>
      <c r="G792" t="s">
        <v>4275</v>
      </c>
      <c r="H792" t="s">
        <v>132</v>
      </c>
      <c r="I792" t="s">
        <v>4</v>
      </c>
      <c r="J792" t="s">
        <v>4276</v>
      </c>
      <c r="K792" t="s">
        <v>54</v>
      </c>
      <c r="M792" t="s">
        <v>134</v>
      </c>
      <c r="N792" t="s">
        <v>135</v>
      </c>
      <c r="Q792" t="s">
        <v>4277</v>
      </c>
      <c r="U792" t="s">
        <v>137</v>
      </c>
      <c r="V792" t="s">
        <v>709</v>
      </c>
      <c r="W792" s="9">
        <v>46157.278475960651</v>
      </c>
      <c r="X792" t="s">
        <v>73</v>
      </c>
      <c r="AA792" t="s">
        <v>4278</v>
      </c>
      <c r="AC792" t="s">
        <v>24</v>
      </c>
      <c r="AD792" t="s">
        <v>128</v>
      </c>
      <c r="AE792" s="97">
        <f>VLOOKUP(A:A,SUMMERY!AA:AC,2,FALSE)</f>
        <v>46220</v>
      </c>
      <c r="AF792" s="6" t="str">
        <f>VLOOKUP(A:A,SUMMERY!AA:AC,3,FALSE)</f>
        <v>Priority-1</v>
      </c>
    </row>
    <row r="793" spans="1:32" x14ac:dyDescent="0.3">
      <c r="A793" t="s">
        <v>4463</v>
      </c>
      <c r="C793" t="s">
        <v>4464</v>
      </c>
      <c r="E793" t="s">
        <v>4464</v>
      </c>
      <c r="F793" t="s">
        <v>6769</v>
      </c>
      <c r="G793" t="s">
        <v>4275</v>
      </c>
      <c r="H793" t="s">
        <v>132</v>
      </c>
      <c r="I793" t="s">
        <v>4</v>
      </c>
      <c r="J793" t="s">
        <v>4276</v>
      </c>
      <c r="K793" t="s">
        <v>54</v>
      </c>
      <c r="M793" t="s">
        <v>134</v>
      </c>
      <c r="N793" t="s">
        <v>135</v>
      </c>
      <c r="Q793" t="s">
        <v>4277</v>
      </c>
      <c r="U793" t="s">
        <v>137</v>
      </c>
      <c r="V793" t="s">
        <v>709</v>
      </c>
      <c r="W793" s="9">
        <v>46157.279102395834</v>
      </c>
      <c r="X793" t="s">
        <v>73</v>
      </c>
      <c r="AA793" t="s">
        <v>4278</v>
      </c>
      <c r="AC793" t="s">
        <v>24</v>
      </c>
      <c r="AD793" t="s">
        <v>128</v>
      </c>
      <c r="AE793" s="97">
        <f>VLOOKUP(A:A,SUMMERY!AA:AC,2,FALSE)</f>
        <v>46220</v>
      </c>
      <c r="AF793" s="6" t="str">
        <f>VLOOKUP(A:A,SUMMERY!AA:AC,3,FALSE)</f>
        <v>Priority-1</v>
      </c>
    </row>
    <row r="794" spans="1:32" x14ac:dyDescent="0.3">
      <c r="A794" t="s">
        <v>4525</v>
      </c>
      <c r="C794" t="s">
        <v>4526</v>
      </c>
      <c r="E794" t="s">
        <v>4526</v>
      </c>
      <c r="F794" t="s">
        <v>6769</v>
      </c>
      <c r="G794" t="s">
        <v>4275</v>
      </c>
      <c r="H794" t="s">
        <v>132</v>
      </c>
      <c r="I794" t="s">
        <v>4</v>
      </c>
      <c r="J794" t="s">
        <v>4276</v>
      </c>
      <c r="K794" t="s">
        <v>54</v>
      </c>
      <c r="M794" t="s">
        <v>134</v>
      </c>
      <c r="N794" t="s">
        <v>135</v>
      </c>
      <c r="Q794" t="s">
        <v>4277</v>
      </c>
      <c r="U794" t="s">
        <v>137</v>
      </c>
      <c r="V794" t="s">
        <v>1967</v>
      </c>
      <c r="W794" s="9">
        <v>46078.27160659722</v>
      </c>
      <c r="X794" t="s">
        <v>125</v>
      </c>
      <c r="AA794" t="s">
        <v>4278</v>
      </c>
      <c r="AC794" t="s">
        <v>24</v>
      </c>
      <c r="AD794" t="s">
        <v>131</v>
      </c>
      <c r="AE794" s="97">
        <f>VLOOKUP(A:A,SUMMERY!AA:AC,2,FALSE)</f>
        <v>46234</v>
      </c>
      <c r="AF794" s="6" t="str">
        <f>VLOOKUP(A:A,SUMMERY!AA:AC,3,FALSE)</f>
        <v>Priority-2</v>
      </c>
    </row>
    <row r="795" spans="1:32" x14ac:dyDescent="0.3">
      <c r="A795" t="s">
        <v>4527</v>
      </c>
      <c r="C795" t="s">
        <v>4528</v>
      </c>
      <c r="E795" t="s">
        <v>4528</v>
      </c>
      <c r="F795" t="s">
        <v>6769</v>
      </c>
      <c r="G795" t="s">
        <v>4275</v>
      </c>
      <c r="H795" t="s">
        <v>132</v>
      </c>
      <c r="I795" t="s">
        <v>4</v>
      </c>
      <c r="J795" t="s">
        <v>4276</v>
      </c>
      <c r="K795" t="s">
        <v>54</v>
      </c>
      <c r="M795" t="s">
        <v>134</v>
      </c>
      <c r="N795" t="s">
        <v>135</v>
      </c>
      <c r="Q795" t="s">
        <v>4277</v>
      </c>
      <c r="U795" t="s">
        <v>137</v>
      </c>
      <c r="V795" t="s">
        <v>1967</v>
      </c>
      <c r="W795" s="9">
        <v>46158.236051585649</v>
      </c>
      <c r="X795" t="s">
        <v>125</v>
      </c>
      <c r="AA795" t="s">
        <v>4278</v>
      </c>
      <c r="AC795" t="s">
        <v>24</v>
      </c>
      <c r="AD795" t="s">
        <v>131</v>
      </c>
      <c r="AE795" s="97">
        <f>VLOOKUP(A:A,SUMMERY!AA:AC,2,FALSE)</f>
        <v>46234</v>
      </c>
      <c r="AF795" s="6" t="str">
        <f>VLOOKUP(A:A,SUMMERY!AA:AC,3,FALSE)</f>
        <v>Priority-2</v>
      </c>
    </row>
    <row r="796" spans="1:32" x14ac:dyDescent="0.3">
      <c r="A796" t="s">
        <v>4529</v>
      </c>
      <c r="C796" t="s">
        <v>4530</v>
      </c>
      <c r="E796" t="s">
        <v>4530</v>
      </c>
      <c r="F796" t="s">
        <v>6769</v>
      </c>
      <c r="G796" t="s">
        <v>4275</v>
      </c>
      <c r="H796" t="s">
        <v>132</v>
      </c>
      <c r="I796" t="s">
        <v>4</v>
      </c>
      <c r="J796" t="s">
        <v>4276</v>
      </c>
      <c r="K796" t="s">
        <v>54</v>
      </c>
      <c r="M796" t="s">
        <v>134</v>
      </c>
      <c r="N796" t="s">
        <v>135</v>
      </c>
      <c r="Q796" t="s">
        <v>4277</v>
      </c>
      <c r="U796" t="s">
        <v>137</v>
      </c>
      <c r="V796" t="s">
        <v>1967</v>
      </c>
      <c r="W796" s="9">
        <v>46107.774061342592</v>
      </c>
      <c r="X796" t="s">
        <v>125</v>
      </c>
      <c r="AA796" t="s">
        <v>4278</v>
      </c>
      <c r="AC796" t="s">
        <v>24</v>
      </c>
      <c r="AD796" t="s">
        <v>131</v>
      </c>
      <c r="AE796" s="97">
        <f>VLOOKUP(A:A,SUMMERY!AA:AC,2,FALSE)</f>
        <v>46234</v>
      </c>
      <c r="AF796" s="6" t="str">
        <f>VLOOKUP(A:A,SUMMERY!AA:AC,3,FALSE)</f>
        <v>Priority-2</v>
      </c>
    </row>
    <row r="797" spans="1:32" x14ac:dyDescent="0.3">
      <c r="A797" t="s">
        <v>4531</v>
      </c>
      <c r="C797" t="s">
        <v>4532</v>
      </c>
      <c r="E797" t="s">
        <v>4532</v>
      </c>
      <c r="F797" t="s">
        <v>6769</v>
      </c>
      <c r="G797" t="s">
        <v>4275</v>
      </c>
      <c r="H797" t="s">
        <v>132</v>
      </c>
      <c r="I797" t="s">
        <v>4</v>
      </c>
      <c r="J797" t="s">
        <v>4276</v>
      </c>
      <c r="K797" t="s">
        <v>54</v>
      </c>
      <c r="M797" t="s">
        <v>134</v>
      </c>
      <c r="N797" t="s">
        <v>135</v>
      </c>
      <c r="Q797" t="s">
        <v>4277</v>
      </c>
      <c r="U797" t="s">
        <v>137</v>
      </c>
      <c r="V797" t="s">
        <v>1259</v>
      </c>
      <c r="W797" s="9">
        <v>46078.272628321756</v>
      </c>
      <c r="X797" t="s">
        <v>126</v>
      </c>
      <c r="AA797" t="s">
        <v>4278</v>
      </c>
      <c r="AC797" t="s">
        <v>24</v>
      </c>
      <c r="AD797" t="s">
        <v>131</v>
      </c>
      <c r="AE797" s="97">
        <f>VLOOKUP(A:A,SUMMERY!AA:AC,2,FALSE)</f>
        <v>46234</v>
      </c>
      <c r="AF797" s="6" t="str">
        <f>VLOOKUP(A:A,SUMMERY!AA:AC,3,FALSE)</f>
        <v>Priority-2</v>
      </c>
    </row>
    <row r="798" spans="1:32" x14ac:dyDescent="0.3">
      <c r="A798" t="s">
        <v>4533</v>
      </c>
      <c r="C798" t="s">
        <v>4534</v>
      </c>
      <c r="E798" t="s">
        <v>4534</v>
      </c>
      <c r="F798" t="s">
        <v>6769</v>
      </c>
      <c r="G798" t="s">
        <v>4275</v>
      </c>
      <c r="H798" t="s">
        <v>132</v>
      </c>
      <c r="I798" t="s">
        <v>4</v>
      </c>
      <c r="J798" t="s">
        <v>4276</v>
      </c>
      <c r="K798" t="s">
        <v>54</v>
      </c>
      <c r="M798" t="s">
        <v>134</v>
      </c>
      <c r="N798" t="s">
        <v>135</v>
      </c>
      <c r="Q798" t="s">
        <v>4277</v>
      </c>
      <c r="U798" t="s">
        <v>137</v>
      </c>
      <c r="V798" t="s">
        <v>1259</v>
      </c>
      <c r="W798" s="9">
        <v>46140.615063854166</v>
      </c>
      <c r="X798" t="s">
        <v>126</v>
      </c>
      <c r="AA798" t="s">
        <v>4278</v>
      </c>
      <c r="AC798" t="s">
        <v>24</v>
      </c>
      <c r="AD798" t="s">
        <v>131</v>
      </c>
      <c r="AE798" s="97">
        <f>VLOOKUP(A:A,SUMMERY!AA:AC,2,FALSE)</f>
        <v>46234</v>
      </c>
      <c r="AF798" s="6" t="str">
        <f>VLOOKUP(A:A,SUMMERY!AA:AC,3,FALSE)</f>
        <v>Priority-2</v>
      </c>
    </row>
    <row r="799" spans="1:32" x14ac:dyDescent="0.3">
      <c r="A799" t="s">
        <v>4535</v>
      </c>
      <c r="C799" t="s">
        <v>4536</v>
      </c>
      <c r="E799" t="s">
        <v>4536</v>
      </c>
      <c r="F799" t="s">
        <v>6769</v>
      </c>
      <c r="G799" t="s">
        <v>4275</v>
      </c>
      <c r="H799" t="s">
        <v>132</v>
      </c>
      <c r="I799" t="s">
        <v>4</v>
      </c>
      <c r="J799" t="s">
        <v>4276</v>
      </c>
      <c r="K799" t="s">
        <v>54</v>
      </c>
      <c r="M799" t="s">
        <v>134</v>
      </c>
      <c r="N799" t="s">
        <v>135</v>
      </c>
      <c r="Q799" t="s">
        <v>4277</v>
      </c>
      <c r="S799" t="s">
        <v>4277</v>
      </c>
      <c r="U799" t="s">
        <v>137</v>
      </c>
      <c r="V799" t="s">
        <v>1263</v>
      </c>
      <c r="W799" s="9">
        <v>46140.761007719906</v>
      </c>
      <c r="X799" t="s">
        <v>69</v>
      </c>
      <c r="AA799" t="s">
        <v>4278</v>
      </c>
      <c r="AC799" t="s">
        <v>24</v>
      </c>
      <c r="AD799" t="s">
        <v>128</v>
      </c>
      <c r="AE799" s="97">
        <f>VLOOKUP(A:A,SUMMERY!AA:AC,2,FALSE)</f>
        <v>46224</v>
      </c>
      <c r="AF799" s="6" t="str">
        <f>VLOOKUP(A:A,SUMMERY!AA:AC,3,FALSE)</f>
        <v>Priority-1</v>
      </c>
    </row>
    <row r="800" spans="1:32" x14ac:dyDescent="0.3">
      <c r="A800" t="s">
        <v>4537</v>
      </c>
      <c r="C800" t="s">
        <v>4538</v>
      </c>
      <c r="E800" t="s">
        <v>4538</v>
      </c>
      <c r="F800" t="s">
        <v>6769</v>
      </c>
      <c r="G800" t="s">
        <v>4275</v>
      </c>
      <c r="H800" t="s">
        <v>132</v>
      </c>
      <c r="I800" t="s">
        <v>4</v>
      </c>
      <c r="J800" t="s">
        <v>4276</v>
      </c>
      <c r="K800" t="s">
        <v>54</v>
      </c>
      <c r="M800" t="s">
        <v>134</v>
      </c>
      <c r="N800" t="s">
        <v>135</v>
      </c>
      <c r="Q800" t="s">
        <v>4277</v>
      </c>
      <c r="U800" t="s">
        <v>137</v>
      </c>
      <c r="V800" t="s">
        <v>1263</v>
      </c>
      <c r="W800" s="9">
        <v>46138.297130590276</v>
      </c>
      <c r="X800" t="s">
        <v>69</v>
      </c>
      <c r="AA800" t="s">
        <v>4278</v>
      </c>
      <c r="AC800" t="s">
        <v>24</v>
      </c>
      <c r="AD800" t="s">
        <v>128</v>
      </c>
      <c r="AE800" s="97">
        <f>VLOOKUP(A:A,SUMMERY!AA:AC,2,FALSE)</f>
        <v>46224</v>
      </c>
      <c r="AF800" s="6" t="str">
        <f>VLOOKUP(A:A,SUMMERY!AA:AC,3,FALSE)</f>
        <v>Priority-1</v>
      </c>
    </row>
    <row r="801" spans="1:32" x14ac:dyDescent="0.3">
      <c r="A801" t="s">
        <v>4539</v>
      </c>
      <c r="C801" t="s">
        <v>4540</v>
      </c>
      <c r="E801" t="s">
        <v>4540</v>
      </c>
      <c r="F801" t="s">
        <v>6769</v>
      </c>
      <c r="G801" t="s">
        <v>4275</v>
      </c>
      <c r="H801" t="s">
        <v>132</v>
      </c>
      <c r="I801" t="s">
        <v>4</v>
      </c>
      <c r="J801" t="s">
        <v>4276</v>
      </c>
      <c r="K801" t="s">
        <v>54</v>
      </c>
      <c r="M801" t="s">
        <v>134</v>
      </c>
      <c r="N801" t="s">
        <v>135</v>
      </c>
      <c r="Q801" t="s">
        <v>4277</v>
      </c>
      <c r="U801" t="s">
        <v>137</v>
      </c>
      <c r="V801" t="s">
        <v>1263</v>
      </c>
      <c r="W801" s="9">
        <v>46140.762102777779</v>
      </c>
      <c r="X801" t="s">
        <v>69</v>
      </c>
      <c r="AA801" t="s">
        <v>4278</v>
      </c>
      <c r="AC801" t="s">
        <v>24</v>
      </c>
      <c r="AD801" t="s">
        <v>128</v>
      </c>
      <c r="AE801" s="97">
        <f>VLOOKUP(A:A,SUMMERY!AA:AC,2,FALSE)</f>
        <v>46224</v>
      </c>
      <c r="AF801" s="6" t="str">
        <f>VLOOKUP(A:A,SUMMERY!AA:AC,3,FALSE)</f>
        <v>Priority-1</v>
      </c>
    </row>
    <row r="802" spans="1:32" x14ac:dyDescent="0.3">
      <c r="A802" t="s">
        <v>4541</v>
      </c>
      <c r="C802" t="s">
        <v>4542</v>
      </c>
      <c r="E802" t="s">
        <v>4542</v>
      </c>
      <c r="F802" t="s">
        <v>6769</v>
      </c>
      <c r="G802" t="s">
        <v>4275</v>
      </c>
      <c r="H802" t="s">
        <v>132</v>
      </c>
      <c r="I802" t="s">
        <v>4</v>
      </c>
      <c r="J802" t="s">
        <v>4276</v>
      </c>
      <c r="K802" t="s">
        <v>54</v>
      </c>
      <c r="M802" t="s">
        <v>134</v>
      </c>
      <c r="N802" t="s">
        <v>135</v>
      </c>
      <c r="Q802" t="s">
        <v>4277</v>
      </c>
      <c r="U802" t="s">
        <v>137</v>
      </c>
      <c r="V802" t="s">
        <v>1263</v>
      </c>
      <c r="W802" s="9">
        <v>46088.306090821759</v>
      </c>
      <c r="X802" t="s">
        <v>69</v>
      </c>
      <c r="AA802" t="s">
        <v>4278</v>
      </c>
      <c r="AC802" t="s">
        <v>24</v>
      </c>
      <c r="AD802" t="s">
        <v>128</v>
      </c>
      <c r="AE802" s="97">
        <f>VLOOKUP(A:A,SUMMERY!AA:AC,2,FALSE)</f>
        <v>46224</v>
      </c>
      <c r="AF802" s="6" t="str">
        <f>VLOOKUP(A:A,SUMMERY!AA:AC,3,FALSE)</f>
        <v>Priority-1</v>
      </c>
    </row>
    <row r="803" spans="1:32" x14ac:dyDescent="0.3">
      <c r="A803" t="s">
        <v>4543</v>
      </c>
      <c r="C803" t="s">
        <v>4544</v>
      </c>
      <c r="E803" t="s">
        <v>4544</v>
      </c>
      <c r="F803" t="s">
        <v>6769</v>
      </c>
      <c r="G803" t="s">
        <v>4275</v>
      </c>
      <c r="H803" t="s">
        <v>132</v>
      </c>
      <c r="I803" t="s">
        <v>4</v>
      </c>
      <c r="J803" t="s">
        <v>4276</v>
      </c>
      <c r="K803" t="s">
        <v>54</v>
      </c>
      <c r="M803" t="s">
        <v>134</v>
      </c>
      <c r="N803" t="s">
        <v>135</v>
      </c>
      <c r="Q803" t="s">
        <v>4277</v>
      </c>
      <c r="U803" t="s">
        <v>137</v>
      </c>
      <c r="V803" t="s">
        <v>1263</v>
      </c>
      <c r="W803" s="9">
        <v>46088.304841585646</v>
      </c>
      <c r="X803" t="s">
        <v>69</v>
      </c>
      <c r="AA803" t="s">
        <v>4278</v>
      </c>
      <c r="AC803" t="s">
        <v>24</v>
      </c>
      <c r="AD803" t="s">
        <v>128</v>
      </c>
      <c r="AE803" s="97">
        <f>VLOOKUP(A:A,SUMMERY!AA:AC,2,FALSE)</f>
        <v>46224</v>
      </c>
      <c r="AF803" s="6" t="str">
        <f>VLOOKUP(A:A,SUMMERY!AA:AC,3,FALSE)</f>
        <v>Priority-1</v>
      </c>
    </row>
    <row r="804" spans="1:32" x14ac:dyDescent="0.3">
      <c r="A804" t="s">
        <v>4545</v>
      </c>
      <c r="C804" t="s">
        <v>4546</v>
      </c>
      <c r="E804" t="s">
        <v>4546</v>
      </c>
      <c r="F804" t="s">
        <v>6769</v>
      </c>
      <c r="G804" t="s">
        <v>4275</v>
      </c>
      <c r="H804" t="s">
        <v>132</v>
      </c>
      <c r="I804" t="s">
        <v>4</v>
      </c>
      <c r="J804" t="s">
        <v>4276</v>
      </c>
      <c r="K804" t="s">
        <v>54</v>
      </c>
      <c r="M804" t="s">
        <v>134</v>
      </c>
      <c r="N804" t="s">
        <v>135</v>
      </c>
      <c r="Q804" t="s">
        <v>4277</v>
      </c>
      <c r="U804" t="s">
        <v>137</v>
      </c>
      <c r="V804" t="s">
        <v>1190</v>
      </c>
      <c r="W804" s="9">
        <v>46149.237706863423</v>
      </c>
      <c r="X804" t="s">
        <v>67</v>
      </c>
      <c r="AA804" t="s">
        <v>4278</v>
      </c>
      <c r="AC804" t="s">
        <v>24</v>
      </c>
      <c r="AD804" t="s">
        <v>128</v>
      </c>
      <c r="AE804" s="97">
        <f>VLOOKUP(A:A,SUMMERY!AA:AC,2,FALSE)</f>
        <v>46220</v>
      </c>
      <c r="AF804" s="6" t="str">
        <f>VLOOKUP(A:A,SUMMERY!AA:AC,3,FALSE)</f>
        <v>Priority-1</v>
      </c>
    </row>
    <row r="805" spans="1:32" x14ac:dyDescent="0.3">
      <c r="A805" t="s">
        <v>4547</v>
      </c>
      <c r="C805" t="s">
        <v>4548</v>
      </c>
      <c r="E805" t="s">
        <v>4548</v>
      </c>
      <c r="F805" t="s">
        <v>6769</v>
      </c>
      <c r="G805" t="s">
        <v>4275</v>
      </c>
      <c r="H805" t="s">
        <v>132</v>
      </c>
      <c r="I805" t="s">
        <v>4</v>
      </c>
      <c r="J805" t="s">
        <v>4276</v>
      </c>
      <c r="K805" t="s">
        <v>54</v>
      </c>
      <c r="M805" t="s">
        <v>134</v>
      </c>
      <c r="N805" t="s">
        <v>135</v>
      </c>
      <c r="Q805" t="s">
        <v>4277</v>
      </c>
      <c r="U805" t="s">
        <v>137</v>
      </c>
      <c r="V805" t="s">
        <v>1194</v>
      </c>
      <c r="W805" s="9">
        <v>46149.248761655093</v>
      </c>
      <c r="X805" t="s">
        <v>75</v>
      </c>
      <c r="AA805" t="s">
        <v>4278</v>
      </c>
      <c r="AC805" t="s">
        <v>24</v>
      </c>
      <c r="AD805" t="s">
        <v>128</v>
      </c>
      <c r="AE805" s="97">
        <f>VLOOKUP(A:A,SUMMERY!AA:AC,2,FALSE)</f>
        <v>46220</v>
      </c>
      <c r="AF805" s="6" t="str">
        <f>VLOOKUP(A:A,SUMMERY!AA:AC,3,FALSE)</f>
        <v>Priority-1</v>
      </c>
    </row>
    <row r="806" spans="1:32" x14ac:dyDescent="0.3">
      <c r="A806" t="s">
        <v>4561</v>
      </c>
      <c r="C806" t="s">
        <v>4280</v>
      </c>
      <c r="E806" t="s">
        <v>4280</v>
      </c>
      <c r="F806" t="s">
        <v>6769</v>
      </c>
      <c r="G806" t="s">
        <v>4559</v>
      </c>
      <c r="H806" t="s">
        <v>132</v>
      </c>
      <c r="I806" t="s">
        <v>4</v>
      </c>
      <c r="J806" t="s">
        <v>4276</v>
      </c>
      <c r="K806" t="s">
        <v>54</v>
      </c>
      <c r="M806" t="s">
        <v>134</v>
      </c>
      <c r="N806" t="s">
        <v>135</v>
      </c>
      <c r="Q806" t="s">
        <v>3731</v>
      </c>
      <c r="U806" t="s">
        <v>137</v>
      </c>
      <c r="V806" t="s">
        <v>147</v>
      </c>
      <c r="W806" s="9">
        <v>46180.730348182871</v>
      </c>
      <c r="X806" t="s">
        <v>70</v>
      </c>
      <c r="AA806" t="s">
        <v>4560</v>
      </c>
      <c r="AC806" t="s">
        <v>24</v>
      </c>
      <c r="AD806" t="s">
        <v>128</v>
      </c>
      <c r="AE806" s="97">
        <f>VLOOKUP(A:A,SUMMERY!AA:AC,2,FALSE)</f>
        <v>46220</v>
      </c>
      <c r="AF806" s="6" t="str">
        <f>VLOOKUP(A:A,SUMMERY!AA:AC,3,FALSE)</f>
        <v>Priority-1</v>
      </c>
    </row>
    <row r="807" spans="1:32" x14ac:dyDescent="0.3">
      <c r="A807" t="s">
        <v>4562</v>
      </c>
      <c r="C807" t="s">
        <v>4282</v>
      </c>
      <c r="E807" t="s">
        <v>4282</v>
      </c>
      <c r="F807" t="s">
        <v>6769</v>
      </c>
      <c r="G807" t="s">
        <v>4559</v>
      </c>
      <c r="H807" t="s">
        <v>132</v>
      </c>
      <c r="I807" t="s">
        <v>4</v>
      </c>
      <c r="J807" t="s">
        <v>4276</v>
      </c>
      <c r="K807" t="s">
        <v>54</v>
      </c>
      <c r="M807" t="s">
        <v>134</v>
      </c>
      <c r="N807" t="s">
        <v>135</v>
      </c>
      <c r="Q807" t="s">
        <v>3731</v>
      </c>
      <c r="U807" t="s">
        <v>137</v>
      </c>
      <c r="V807" t="s">
        <v>147</v>
      </c>
      <c r="W807" s="9">
        <v>46176.610844675924</v>
      </c>
      <c r="X807" t="s">
        <v>70</v>
      </c>
      <c r="AA807" t="s">
        <v>4560</v>
      </c>
      <c r="AC807" t="s">
        <v>24</v>
      </c>
      <c r="AD807" t="s">
        <v>128</v>
      </c>
      <c r="AE807" s="97">
        <f>VLOOKUP(A:A,SUMMERY!AA:AC,2,FALSE)</f>
        <v>46220</v>
      </c>
      <c r="AF807" s="6" t="str">
        <f>VLOOKUP(A:A,SUMMERY!AA:AC,3,FALSE)</f>
        <v>Priority-1</v>
      </c>
    </row>
    <row r="808" spans="1:32" x14ac:dyDescent="0.3">
      <c r="A808" t="s">
        <v>4563</v>
      </c>
      <c r="C808" t="s">
        <v>4284</v>
      </c>
      <c r="E808" t="s">
        <v>4284</v>
      </c>
      <c r="F808" t="s">
        <v>6769</v>
      </c>
      <c r="G808" t="s">
        <v>4559</v>
      </c>
      <c r="H808" t="s">
        <v>132</v>
      </c>
      <c r="I808" t="s">
        <v>4</v>
      </c>
      <c r="J808" t="s">
        <v>4276</v>
      </c>
      <c r="K808" t="s">
        <v>54</v>
      </c>
      <c r="M808" t="s">
        <v>134</v>
      </c>
      <c r="N808" t="s">
        <v>135</v>
      </c>
      <c r="Q808" t="s">
        <v>3731</v>
      </c>
      <c r="U808" t="s">
        <v>137</v>
      </c>
      <c r="V808" t="s">
        <v>147</v>
      </c>
      <c r="W808" s="9">
        <v>46180.733720833334</v>
      </c>
      <c r="X808" t="s">
        <v>70</v>
      </c>
      <c r="AA808" t="s">
        <v>4560</v>
      </c>
      <c r="AC808" t="s">
        <v>24</v>
      </c>
      <c r="AD808" t="s">
        <v>128</v>
      </c>
      <c r="AE808" s="97">
        <f>VLOOKUP(A:A,SUMMERY!AA:AC,2,FALSE)</f>
        <v>46220</v>
      </c>
      <c r="AF808" s="6" t="str">
        <f>VLOOKUP(A:A,SUMMERY!AA:AC,3,FALSE)</f>
        <v>Priority-1</v>
      </c>
    </row>
    <row r="809" spans="1:32" x14ac:dyDescent="0.3">
      <c r="A809" t="s">
        <v>4564</v>
      </c>
      <c r="C809" t="s">
        <v>4286</v>
      </c>
      <c r="E809" t="s">
        <v>4286</v>
      </c>
      <c r="F809" t="s">
        <v>6769</v>
      </c>
      <c r="G809" t="s">
        <v>4559</v>
      </c>
      <c r="H809" t="s">
        <v>132</v>
      </c>
      <c r="I809" t="s">
        <v>4</v>
      </c>
      <c r="J809" t="s">
        <v>4276</v>
      </c>
      <c r="K809" t="s">
        <v>54</v>
      </c>
      <c r="M809" t="s">
        <v>134</v>
      </c>
      <c r="N809" t="s">
        <v>135</v>
      </c>
      <c r="Q809" t="s">
        <v>3731</v>
      </c>
      <c r="U809" t="s">
        <v>137</v>
      </c>
      <c r="V809" t="s">
        <v>150</v>
      </c>
      <c r="W809" s="9">
        <v>46176.612941284722</v>
      </c>
      <c r="X809" t="s">
        <v>76</v>
      </c>
      <c r="AA809" t="s">
        <v>4560</v>
      </c>
      <c r="AC809" t="s">
        <v>24</v>
      </c>
      <c r="AD809" t="s">
        <v>128</v>
      </c>
      <c r="AE809" s="97">
        <f>VLOOKUP(A:A,SUMMERY!AA:AC,2,FALSE)</f>
        <v>46233</v>
      </c>
      <c r="AF809" s="6" t="str">
        <f>VLOOKUP(A:A,SUMMERY!AA:AC,3,FALSE)</f>
        <v>Priority-1</v>
      </c>
    </row>
    <row r="810" spans="1:32" x14ac:dyDescent="0.3">
      <c r="A810" t="s">
        <v>4565</v>
      </c>
      <c r="C810" t="s">
        <v>4288</v>
      </c>
      <c r="E810" t="s">
        <v>4288</v>
      </c>
      <c r="F810" t="s">
        <v>6769</v>
      </c>
      <c r="G810" t="s">
        <v>4559</v>
      </c>
      <c r="H810" t="s">
        <v>132</v>
      </c>
      <c r="I810" t="s">
        <v>4</v>
      </c>
      <c r="J810" t="s">
        <v>4276</v>
      </c>
      <c r="K810" t="s">
        <v>54</v>
      </c>
      <c r="M810" t="s">
        <v>134</v>
      </c>
      <c r="N810" t="s">
        <v>135</v>
      </c>
      <c r="Q810" t="s">
        <v>3731</v>
      </c>
      <c r="U810" t="s">
        <v>137</v>
      </c>
      <c r="V810" t="s">
        <v>150</v>
      </c>
      <c r="W810" s="9">
        <v>46183.6205003125</v>
      </c>
      <c r="X810" t="s">
        <v>76</v>
      </c>
      <c r="AA810" t="s">
        <v>4560</v>
      </c>
      <c r="AC810" t="s">
        <v>24</v>
      </c>
      <c r="AD810" t="s">
        <v>128</v>
      </c>
      <c r="AE810" s="97">
        <f>VLOOKUP(A:A,SUMMERY!AA:AC,2,FALSE)</f>
        <v>46233</v>
      </c>
      <c r="AF810" s="6" t="str">
        <f>VLOOKUP(A:A,SUMMERY!AA:AC,3,FALSE)</f>
        <v>Priority-1</v>
      </c>
    </row>
    <row r="811" spans="1:32" x14ac:dyDescent="0.3">
      <c r="A811" t="s">
        <v>4566</v>
      </c>
      <c r="C811" t="s">
        <v>4290</v>
      </c>
      <c r="E811" t="s">
        <v>4290</v>
      </c>
      <c r="F811" t="s">
        <v>6769</v>
      </c>
      <c r="G811" t="s">
        <v>4559</v>
      </c>
      <c r="H811" t="s">
        <v>132</v>
      </c>
      <c r="I811" t="s">
        <v>4</v>
      </c>
      <c r="J811" t="s">
        <v>4276</v>
      </c>
      <c r="K811" t="s">
        <v>54</v>
      </c>
      <c r="M811" t="s">
        <v>134</v>
      </c>
      <c r="N811" t="s">
        <v>135</v>
      </c>
      <c r="Q811" t="s">
        <v>3731</v>
      </c>
      <c r="U811" t="s">
        <v>137</v>
      </c>
      <c r="V811" t="s">
        <v>150</v>
      </c>
      <c r="W811" s="9">
        <v>46183.623516631946</v>
      </c>
      <c r="X811" t="s">
        <v>76</v>
      </c>
      <c r="AA811" t="s">
        <v>4560</v>
      </c>
      <c r="AC811" t="s">
        <v>24</v>
      </c>
      <c r="AD811" t="s">
        <v>128</v>
      </c>
      <c r="AE811" s="97">
        <f>VLOOKUP(A:A,SUMMERY!AA:AC,2,FALSE)</f>
        <v>46233</v>
      </c>
      <c r="AF811" s="6" t="str">
        <f>VLOOKUP(A:A,SUMMERY!AA:AC,3,FALSE)</f>
        <v>Priority-1</v>
      </c>
    </row>
    <row r="812" spans="1:32" x14ac:dyDescent="0.3">
      <c r="A812" t="s">
        <v>4582</v>
      </c>
      <c r="C812" t="s">
        <v>4322</v>
      </c>
      <c r="E812" t="s">
        <v>4322</v>
      </c>
      <c r="F812" t="s">
        <v>6769</v>
      </c>
      <c r="G812" t="s">
        <v>4559</v>
      </c>
      <c r="H812" t="s">
        <v>132</v>
      </c>
      <c r="I812" t="s">
        <v>4</v>
      </c>
      <c r="J812" t="s">
        <v>4276</v>
      </c>
      <c r="K812" t="s">
        <v>54</v>
      </c>
      <c r="M812" t="s">
        <v>134</v>
      </c>
      <c r="N812" t="s">
        <v>135</v>
      </c>
      <c r="Q812" t="s">
        <v>3731</v>
      </c>
      <c r="U812" t="s">
        <v>137</v>
      </c>
      <c r="V812" t="s">
        <v>371</v>
      </c>
      <c r="W812" s="9">
        <v>46176.614426307868</v>
      </c>
      <c r="X812" t="s">
        <v>57</v>
      </c>
      <c r="AA812" t="s">
        <v>4560</v>
      </c>
      <c r="AC812" t="s">
        <v>24</v>
      </c>
      <c r="AD812" t="s">
        <v>128</v>
      </c>
      <c r="AE812" s="97">
        <f>VLOOKUP(A:A,SUMMERY!AA:AC,2,FALSE)</f>
        <v>46220</v>
      </c>
      <c r="AF812" s="6" t="str">
        <f>VLOOKUP(A:A,SUMMERY!AA:AC,3,FALSE)</f>
        <v>Priority-1</v>
      </c>
    </row>
    <row r="813" spans="1:32" x14ac:dyDescent="0.3">
      <c r="A813" t="s">
        <v>4583</v>
      </c>
      <c r="C813" t="s">
        <v>4324</v>
      </c>
      <c r="E813" t="s">
        <v>4324</v>
      </c>
      <c r="F813" t="s">
        <v>6769</v>
      </c>
      <c r="G813" t="s">
        <v>4559</v>
      </c>
      <c r="H813" t="s">
        <v>132</v>
      </c>
      <c r="I813" t="s">
        <v>4</v>
      </c>
      <c r="J813" t="s">
        <v>4276</v>
      </c>
      <c r="K813" t="s">
        <v>54</v>
      </c>
      <c r="M813" t="s">
        <v>134</v>
      </c>
      <c r="N813" t="s">
        <v>135</v>
      </c>
      <c r="Q813" t="s">
        <v>3731</v>
      </c>
      <c r="U813" t="s">
        <v>137</v>
      </c>
      <c r="V813" t="s">
        <v>371</v>
      </c>
      <c r="W813" s="9">
        <v>46149.589032175929</v>
      </c>
      <c r="X813" t="s">
        <v>57</v>
      </c>
      <c r="AA813" t="s">
        <v>4560</v>
      </c>
      <c r="AC813" t="s">
        <v>24</v>
      </c>
      <c r="AD813" t="s">
        <v>128</v>
      </c>
      <c r="AE813" s="97">
        <f>VLOOKUP(A:A,SUMMERY!AA:AC,2,FALSE)</f>
        <v>46220</v>
      </c>
      <c r="AF813" s="6" t="str">
        <f>VLOOKUP(A:A,SUMMERY!AA:AC,3,FALSE)</f>
        <v>Priority-1</v>
      </c>
    </row>
    <row r="814" spans="1:32" x14ac:dyDescent="0.3">
      <c r="A814" t="s">
        <v>4584</v>
      </c>
      <c r="C814" t="s">
        <v>4326</v>
      </c>
      <c r="E814" t="s">
        <v>4326</v>
      </c>
      <c r="F814" t="s">
        <v>6769</v>
      </c>
      <c r="G814" t="s">
        <v>4559</v>
      </c>
      <c r="H814" t="s">
        <v>132</v>
      </c>
      <c r="I814" t="s">
        <v>4</v>
      </c>
      <c r="J814" t="s">
        <v>4276</v>
      </c>
      <c r="K814" t="s">
        <v>54</v>
      </c>
      <c r="M814" t="s">
        <v>134</v>
      </c>
      <c r="N814" t="s">
        <v>135</v>
      </c>
      <c r="Q814" t="s">
        <v>3731</v>
      </c>
      <c r="U814" t="s">
        <v>137</v>
      </c>
      <c r="V814" t="s">
        <v>362</v>
      </c>
      <c r="W814" s="9">
        <v>46149.602168750003</v>
      </c>
      <c r="X814" t="s">
        <v>58</v>
      </c>
      <c r="AA814" t="s">
        <v>4560</v>
      </c>
      <c r="AC814" t="s">
        <v>24</v>
      </c>
      <c r="AD814" t="s">
        <v>128</v>
      </c>
      <c r="AE814" s="97">
        <f>VLOOKUP(A:A,SUMMERY!AA:AC,2,FALSE)</f>
        <v>46220</v>
      </c>
      <c r="AF814" s="6" t="str">
        <f>VLOOKUP(A:A,SUMMERY!AA:AC,3,FALSE)</f>
        <v>Priority-1</v>
      </c>
    </row>
    <row r="815" spans="1:32" x14ac:dyDescent="0.3">
      <c r="A815" t="s">
        <v>4585</v>
      </c>
      <c r="C815" t="s">
        <v>4328</v>
      </c>
      <c r="E815" t="s">
        <v>4328</v>
      </c>
      <c r="F815" t="s">
        <v>6769</v>
      </c>
      <c r="G815" t="s">
        <v>4559</v>
      </c>
      <c r="H815" t="s">
        <v>132</v>
      </c>
      <c r="I815" t="s">
        <v>4</v>
      </c>
      <c r="J815" t="s">
        <v>4276</v>
      </c>
      <c r="K815" t="s">
        <v>54</v>
      </c>
      <c r="M815" t="s">
        <v>134</v>
      </c>
      <c r="N815" t="s">
        <v>135</v>
      </c>
      <c r="Q815" t="s">
        <v>3731</v>
      </c>
      <c r="U815" t="s">
        <v>137</v>
      </c>
      <c r="V815" t="s">
        <v>362</v>
      </c>
      <c r="X815" t="s">
        <v>58</v>
      </c>
      <c r="AA815" t="s">
        <v>4560</v>
      </c>
      <c r="AC815" t="s">
        <v>138</v>
      </c>
      <c r="AD815" t="s">
        <v>128</v>
      </c>
      <c r="AE815" s="97">
        <f>VLOOKUP(A:A,SUMMERY!AA:AC,2,FALSE)</f>
        <v>46220</v>
      </c>
      <c r="AF815" s="6" t="str">
        <f>VLOOKUP(A:A,SUMMERY!AA:AC,3,FALSE)</f>
        <v>Priority-1</v>
      </c>
    </row>
    <row r="816" spans="1:32" x14ac:dyDescent="0.3">
      <c r="A816" t="s">
        <v>4586</v>
      </c>
      <c r="C816" t="s">
        <v>4330</v>
      </c>
      <c r="E816" t="s">
        <v>4330</v>
      </c>
      <c r="F816" t="s">
        <v>6769</v>
      </c>
      <c r="G816" t="s">
        <v>4559</v>
      </c>
      <c r="H816" t="s">
        <v>132</v>
      </c>
      <c r="I816" t="s">
        <v>4</v>
      </c>
      <c r="J816" t="s">
        <v>4276</v>
      </c>
      <c r="K816" t="s">
        <v>54</v>
      </c>
      <c r="M816" t="s">
        <v>134</v>
      </c>
      <c r="N816" t="s">
        <v>135</v>
      </c>
      <c r="Q816" t="s">
        <v>3731</v>
      </c>
      <c r="U816" t="s">
        <v>137</v>
      </c>
      <c r="V816" t="s">
        <v>640</v>
      </c>
      <c r="X816" t="s">
        <v>66</v>
      </c>
      <c r="AA816" t="s">
        <v>4560</v>
      </c>
      <c r="AC816" t="s">
        <v>138</v>
      </c>
      <c r="AD816" t="s">
        <v>128</v>
      </c>
      <c r="AE816" s="97">
        <f>VLOOKUP(A:A,SUMMERY!AA:AC,2,FALSE)</f>
        <v>46220</v>
      </c>
      <c r="AF816" s="6" t="str">
        <f>VLOOKUP(A:A,SUMMERY!AA:AC,3,FALSE)</f>
        <v>Priority-1</v>
      </c>
    </row>
    <row r="817" spans="1:32" x14ac:dyDescent="0.3">
      <c r="A817" t="s">
        <v>4587</v>
      </c>
      <c r="C817" t="s">
        <v>4332</v>
      </c>
      <c r="E817" t="s">
        <v>4332</v>
      </c>
      <c r="F817" t="s">
        <v>6769</v>
      </c>
      <c r="G817" t="s">
        <v>4559</v>
      </c>
      <c r="H817" t="s">
        <v>132</v>
      </c>
      <c r="I817" t="s">
        <v>4</v>
      </c>
      <c r="J817" t="s">
        <v>4276</v>
      </c>
      <c r="K817" t="s">
        <v>54</v>
      </c>
      <c r="M817" t="s">
        <v>134</v>
      </c>
      <c r="N817" t="s">
        <v>135</v>
      </c>
      <c r="Q817" t="s">
        <v>3731</v>
      </c>
      <c r="U817" t="s">
        <v>137</v>
      </c>
      <c r="V817" t="s">
        <v>640</v>
      </c>
      <c r="W817" s="9">
        <v>46146.360526157405</v>
      </c>
      <c r="X817" t="s">
        <v>66</v>
      </c>
      <c r="AA817" t="s">
        <v>4560</v>
      </c>
      <c r="AC817" t="s">
        <v>24</v>
      </c>
      <c r="AD817" t="s">
        <v>128</v>
      </c>
      <c r="AE817" s="97">
        <f>VLOOKUP(A:A,SUMMERY!AA:AC,2,FALSE)</f>
        <v>46220</v>
      </c>
      <c r="AF817" s="6" t="str">
        <f>VLOOKUP(A:A,SUMMERY!AA:AC,3,FALSE)</f>
        <v>Priority-1</v>
      </c>
    </row>
    <row r="818" spans="1:32" x14ac:dyDescent="0.3">
      <c r="A818" t="s">
        <v>4588</v>
      </c>
      <c r="C818" t="s">
        <v>4334</v>
      </c>
      <c r="E818" t="s">
        <v>4334</v>
      </c>
      <c r="F818" t="s">
        <v>6769</v>
      </c>
      <c r="G818" t="s">
        <v>4559</v>
      </c>
      <c r="H818" t="s">
        <v>132</v>
      </c>
      <c r="I818" t="s">
        <v>4</v>
      </c>
      <c r="J818" t="s">
        <v>4276</v>
      </c>
      <c r="K818" t="s">
        <v>54</v>
      </c>
      <c r="M818" t="s">
        <v>134</v>
      </c>
      <c r="N818" t="s">
        <v>135</v>
      </c>
      <c r="Q818" t="s">
        <v>3731</v>
      </c>
      <c r="U818" t="s">
        <v>137</v>
      </c>
      <c r="V818" t="s">
        <v>646</v>
      </c>
      <c r="X818" t="s">
        <v>74</v>
      </c>
      <c r="AA818" t="s">
        <v>4560</v>
      </c>
      <c r="AC818" t="s">
        <v>138</v>
      </c>
      <c r="AD818" t="s">
        <v>128</v>
      </c>
      <c r="AE818" s="97">
        <f>VLOOKUP(A:A,SUMMERY!AA:AC,2,FALSE)</f>
        <v>46220</v>
      </c>
      <c r="AF818" s="6" t="str">
        <f>VLOOKUP(A:A,SUMMERY!AA:AC,3,FALSE)</f>
        <v>Priority-1</v>
      </c>
    </row>
    <row r="819" spans="1:32" x14ac:dyDescent="0.3">
      <c r="A819" t="s">
        <v>4589</v>
      </c>
      <c r="C819" t="s">
        <v>4336</v>
      </c>
      <c r="E819" t="s">
        <v>4336</v>
      </c>
      <c r="F819" t="s">
        <v>6769</v>
      </c>
      <c r="G819" t="s">
        <v>4559</v>
      </c>
      <c r="H819" t="s">
        <v>132</v>
      </c>
      <c r="I819" t="s">
        <v>4</v>
      </c>
      <c r="J819" t="s">
        <v>4276</v>
      </c>
      <c r="K819" t="s">
        <v>54</v>
      </c>
      <c r="M819" t="s">
        <v>134</v>
      </c>
      <c r="N819" t="s">
        <v>135</v>
      </c>
      <c r="Q819" t="s">
        <v>3731</v>
      </c>
      <c r="U819" t="s">
        <v>137</v>
      </c>
      <c r="V819" t="s">
        <v>646</v>
      </c>
      <c r="W819" s="9">
        <v>46166.534735995374</v>
      </c>
      <c r="X819" t="s">
        <v>74</v>
      </c>
      <c r="AA819" t="s">
        <v>4560</v>
      </c>
      <c r="AC819" t="s">
        <v>24</v>
      </c>
      <c r="AD819" t="s">
        <v>128</v>
      </c>
      <c r="AE819" s="97">
        <f>VLOOKUP(A:A,SUMMERY!AA:AC,2,FALSE)</f>
        <v>46220</v>
      </c>
      <c r="AF819" s="6" t="str">
        <f>VLOOKUP(A:A,SUMMERY!AA:AC,3,FALSE)</f>
        <v>Priority-1</v>
      </c>
    </row>
    <row r="820" spans="1:32" x14ac:dyDescent="0.3">
      <c r="A820" t="s">
        <v>4600</v>
      </c>
      <c r="C820" t="s">
        <v>4358</v>
      </c>
      <c r="E820" t="s">
        <v>4358</v>
      </c>
      <c r="F820" t="s">
        <v>6769</v>
      </c>
      <c r="G820" t="s">
        <v>4559</v>
      </c>
      <c r="H820" t="s">
        <v>132</v>
      </c>
      <c r="I820" t="s">
        <v>4</v>
      </c>
      <c r="J820" t="s">
        <v>4276</v>
      </c>
      <c r="K820" t="s">
        <v>54</v>
      </c>
      <c r="M820" t="s">
        <v>134</v>
      </c>
      <c r="N820" t="s">
        <v>135</v>
      </c>
      <c r="Q820" t="s">
        <v>3731</v>
      </c>
      <c r="U820" t="s">
        <v>137</v>
      </c>
      <c r="V820" t="s">
        <v>1190</v>
      </c>
      <c r="X820" t="s">
        <v>67</v>
      </c>
      <c r="AA820" t="s">
        <v>4560</v>
      </c>
      <c r="AC820" t="s">
        <v>138</v>
      </c>
      <c r="AD820" t="s">
        <v>128</v>
      </c>
      <c r="AE820" s="97">
        <f>VLOOKUP(A:A,SUMMERY!AA:AC,2,FALSE)</f>
        <v>46220</v>
      </c>
      <c r="AF820" s="6" t="str">
        <f>VLOOKUP(A:A,SUMMERY!AA:AC,3,FALSE)</f>
        <v>Priority-1</v>
      </c>
    </row>
    <row r="821" spans="1:32" x14ac:dyDescent="0.3">
      <c r="A821" t="s">
        <v>4601</v>
      </c>
      <c r="C821" t="s">
        <v>4360</v>
      </c>
      <c r="E821" t="s">
        <v>4360</v>
      </c>
      <c r="F821" t="s">
        <v>6769</v>
      </c>
      <c r="G821" t="s">
        <v>4559</v>
      </c>
      <c r="H821" t="s">
        <v>132</v>
      </c>
      <c r="I821" t="s">
        <v>4</v>
      </c>
      <c r="J821" t="s">
        <v>4276</v>
      </c>
      <c r="K821" t="s">
        <v>54</v>
      </c>
      <c r="M821" t="s">
        <v>134</v>
      </c>
      <c r="N821" t="s">
        <v>135</v>
      </c>
      <c r="Q821" t="s">
        <v>3731</v>
      </c>
      <c r="U821" t="s">
        <v>137</v>
      </c>
      <c r="V821" t="s">
        <v>1190</v>
      </c>
      <c r="W821" s="9">
        <v>46180.752277743057</v>
      </c>
      <c r="X821" t="s">
        <v>67</v>
      </c>
      <c r="AA821" t="s">
        <v>4560</v>
      </c>
      <c r="AC821" t="s">
        <v>24</v>
      </c>
      <c r="AD821" t="s">
        <v>128</v>
      </c>
      <c r="AE821" s="97">
        <f>VLOOKUP(A:A,SUMMERY!AA:AC,2,FALSE)</f>
        <v>46220</v>
      </c>
      <c r="AF821" s="6" t="str">
        <f>VLOOKUP(A:A,SUMMERY!AA:AC,3,FALSE)</f>
        <v>Priority-1</v>
      </c>
    </row>
    <row r="822" spans="1:32" x14ac:dyDescent="0.3">
      <c r="A822" t="s">
        <v>4602</v>
      </c>
      <c r="C822" t="s">
        <v>4362</v>
      </c>
      <c r="E822" t="s">
        <v>4362</v>
      </c>
      <c r="F822" t="s">
        <v>6769</v>
      </c>
      <c r="G822" t="s">
        <v>4559</v>
      </c>
      <c r="H822" t="s">
        <v>132</v>
      </c>
      <c r="I822" t="s">
        <v>4</v>
      </c>
      <c r="J822" t="s">
        <v>4276</v>
      </c>
      <c r="K822" t="s">
        <v>54</v>
      </c>
      <c r="M822" t="s">
        <v>134</v>
      </c>
      <c r="N822" t="s">
        <v>135</v>
      </c>
      <c r="Q822" t="s">
        <v>3731</v>
      </c>
      <c r="U822" t="s">
        <v>137</v>
      </c>
      <c r="V822" t="s">
        <v>1194</v>
      </c>
      <c r="X822" t="s">
        <v>75</v>
      </c>
      <c r="AA822" t="s">
        <v>4560</v>
      </c>
      <c r="AC822" t="s">
        <v>138</v>
      </c>
      <c r="AD822" t="s">
        <v>128</v>
      </c>
      <c r="AE822" s="97">
        <f>VLOOKUP(A:A,SUMMERY!AA:AC,2,FALSE)</f>
        <v>46220</v>
      </c>
      <c r="AF822" s="6" t="str">
        <f>VLOOKUP(A:A,SUMMERY!AA:AC,3,FALSE)</f>
        <v>Priority-1</v>
      </c>
    </row>
    <row r="823" spans="1:32" x14ac:dyDescent="0.3">
      <c r="A823" t="s">
        <v>4603</v>
      </c>
      <c r="C823" t="s">
        <v>4364</v>
      </c>
      <c r="E823" t="s">
        <v>4364</v>
      </c>
      <c r="F823" t="s">
        <v>6769</v>
      </c>
      <c r="G823" t="s">
        <v>4559</v>
      </c>
      <c r="H823" t="s">
        <v>132</v>
      </c>
      <c r="I823" t="s">
        <v>4</v>
      </c>
      <c r="J823" t="s">
        <v>4276</v>
      </c>
      <c r="K823" t="s">
        <v>54</v>
      </c>
      <c r="M823" t="s">
        <v>134</v>
      </c>
      <c r="N823" t="s">
        <v>135</v>
      </c>
      <c r="Q823" t="s">
        <v>3731</v>
      </c>
      <c r="U823" t="s">
        <v>137</v>
      </c>
      <c r="V823" t="s">
        <v>1194</v>
      </c>
      <c r="W823" s="9">
        <v>46166.463462268519</v>
      </c>
      <c r="X823" t="s">
        <v>75</v>
      </c>
      <c r="AA823" t="s">
        <v>4560</v>
      </c>
      <c r="AC823" t="s">
        <v>24</v>
      </c>
      <c r="AD823" t="s">
        <v>128</v>
      </c>
      <c r="AE823" s="97">
        <f>VLOOKUP(A:A,SUMMERY!AA:AC,2,FALSE)</f>
        <v>46220</v>
      </c>
      <c r="AF823" s="6" t="str">
        <f>VLOOKUP(A:A,SUMMERY!AA:AC,3,FALSE)</f>
        <v>Priority-1</v>
      </c>
    </row>
    <row r="824" spans="1:32" x14ac:dyDescent="0.3">
      <c r="A824" t="s">
        <v>4614</v>
      </c>
      <c r="C824" t="s">
        <v>4386</v>
      </c>
      <c r="E824" t="s">
        <v>4386</v>
      </c>
      <c r="F824" t="s">
        <v>6769</v>
      </c>
      <c r="G824" t="s">
        <v>4559</v>
      </c>
      <c r="H824" t="s">
        <v>132</v>
      </c>
      <c r="I824" t="s">
        <v>4</v>
      </c>
      <c r="J824" t="s">
        <v>4276</v>
      </c>
      <c r="K824" t="s">
        <v>54</v>
      </c>
      <c r="M824" t="s">
        <v>134</v>
      </c>
      <c r="N824" t="s">
        <v>135</v>
      </c>
      <c r="Q824" t="s">
        <v>3731</v>
      </c>
      <c r="U824" t="s">
        <v>137</v>
      </c>
      <c r="V824" t="s">
        <v>403</v>
      </c>
      <c r="X824" t="s">
        <v>68</v>
      </c>
      <c r="AA824" t="s">
        <v>4560</v>
      </c>
      <c r="AC824" t="s">
        <v>138</v>
      </c>
      <c r="AD824" t="s">
        <v>128</v>
      </c>
      <c r="AE824" s="97">
        <f>VLOOKUP(A:A,SUMMERY!AA:AC,2,FALSE)</f>
        <v>46233</v>
      </c>
      <c r="AF824" s="6" t="str">
        <f>VLOOKUP(A:A,SUMMERY!AA:AC,3,FALSE)</f>
        <v>Priority-1</v>
      </c>
    </row>
    <row r="825" spans="1:32" x14ac:dyDescent="0.3">
      <c r="A825" t="s">
        <v>4615</v>
      </c>
      <c r="C825" t="s">
        <v>4388</v>
      </c>
      <c r="E825" t="s">
        <v>4388</v>
      </c>
      <c r="F825" t="s">
        <v>6769</v>
      </c>
      <c r="G825" t="s">
        <v>4559</v>
      </c>
      <c r="H825" t="s">
        <v>132</v>
      </c>
      <c r="I825" t="s">
        <v>4</v>
      </c>
      <c r="J825" t="s">
        <v>4276</v>
      </c>
      <c r="K825" t="s">
        <v>54</v>
      </c>
      <c r="M825" t="s">
        <v>134</v>
      </c>
      <c r="N825" t="s">
        <v>135</v>
      </c>
      <c r="Q825" t="s">
        <v>3731</v>
      </c>
      <c r="U825" t="s">
        <v>137</v>
      </c>
      <c r="V825" t="s">
        <v>403</v>
      </c>
      <c r="W825" s="9">
        <v>46180.754473877314</v>
      </c>
      <c r="X825" t="s">
        <v>68</v>
      </c>
      <c r="AA825" t="s">
        <v>4560</v>
      </c>
      <c r="AC825" t="s">
        <v>24</v>
      </c>
      <c r="AD825" t="s">
        <v>128</v>
      </c>
      <c r="AE825" s="97">
        <f>VLOOKUP(A:A,SUMMERY!AA:AC,2,FALSE)</f>
        <v>46233</v>
      </c>
      <c r="AF825" s="6" t="str">
        <f>VLOOKUP(A:A,SUMMERY!AA:AC,3,FALSE)</f>
        <v>Priority-1</v>
      </c>
    </row>
    <row r="826" spans="1:32" x14ac:dyDescent="0.3">
      <c r="A826" t="s">
        <v>4616</v>
      </c>
      <c r="C826" t="s">
        <v>4390</v>
      </c>
      <c r="E826" t="s">
        <v>4390</v>
      </c>
      <c r="F826" t="s">
        <v>6769</v>
      </c>
      <c r="G826" t="s">
        <v>4559</v>
      </c>
      <c r="H826" t="s">
        <v>132</v>
      </c>
      <c r="I826" t="s">
        <v>4</v>
      </c>
      <c r="J826" t="s">
        <v>4276</v>
      </c>
      <c r="K826" t="s">
        <v>54</v>
      </c>
      <c r="M826" t="s">
        <v>134</v>
      </c>
      <c r="N826" t="s">
        <v>135</v>
      </c>
      <c r="Q826" t="s">
        <v>3731</v>
      </c>
      <c r="U826" t="s">
        <v>137</v>
      </c>
      <c r="V826" t="s">
        <v>407</v>
      </c>
      <c r="X826" t="s">
        <v>77</v>
      </c>
      <c r="AA826" t="s">
        <v>4560</v>
      </c>
      <c r="AC826" t="s">
        <v>138</v>
      </c>
      <c r="AD826" t="s">
        <v>128</v>
      </c>
      <c r="AE826" s="97">
        <f>VLOOKUP(A:A,SUMMERY!AA:AC,2,FALSE)</f>
        <v>46233</v>
      </c>
      <c r="AF826" s="6" t="str">
        <f>VLOOKUP(A:A,SUMMERY!AA:AC,3,FALSE)</f>
        <v>Priority-1</v>
      </c>
    </row>
    <row r="827" spans="1:32" x14ac:dyDescent="0.3">
      <c r="A827" t="s">
        <v>4617</v>
      </c>
      <c r="C827" t="s">
        <v>4392</v>
      </c>
      <c r="E827" t="s">
        <v>4392</v>
      </c>
      <c r="F827" t="s">
        <v>6769</v>
      </c>
      <c r="G827" t="s">
        <v>4559</v>
      </c>
      <c r="H827" t="s">
        <v>132</v>
      </c>
      <c r="I827" t="s">
        <v>4</v>
      </c>
      <c r="J827" t="s">
        <v>4276</v>
      </c>
      <c r="K827" t="s">
        <v>54</v>
      </c>
      <c r="M827" t="s">
        <v>134</v>
      </c>
      <c r="N827" t="s">
        <v>135</v>
      </c>
      <c r="Q827" t="s">
        <v>3731</v>
      </c>
      <c r="U827" t="s">
        <v>137</v>
      </c>
      <c r="V827" t="s">
        <v>407</v>
      </c>
      <c r="W827" s="9">
        <v>46176.618119363426</v>
      </c>
      <c r="X827" t="s">
        <v>77</v>
      </c>
      <c r="AA827" t="s">
        <v>4560</v>
      </c>
      <c r="AC827" t="s">
        <v>24</v>
      </c>
      <c r="AD827" t="s">
        <v>128</v>
      </c>
      <c r="AE827" s="97">
        <f>VLOOKUP(A:A,SUMMERY!AA:AC,2,FALSE)</f>
        <v>46233</v>
      </c>
      <c r="AF827" s="6" t="str">
        <f>VLOOKUP(A:A,SUMMERY!AA:AC,3,FALSE)</f>
        <v>Priority-1</v>
      </c>
    </row>
    <row r="828" spans="1:32" x14ac:dyDescent="0.3">
      <c r="A828" t="s">
        <v>4628</v>
      </c>
      <c r="C828" t="s">
        <v>4414</v>
      </c>
      <c r="E828" t="s">
        <v>4414</v>
      </c>
      <c r="F828" t="s">
        <v>6769</v>
      </c>
      <c r="G828" t="s">
        <v>4559</v>
      </c>
      <c r="H828" t="s">
        <v>132</v>
      </c>
      <c r="I828" t="s">
        <v>4</v>
      </c>
      <c r="J828" t="s">
        <v>4276</v>
      </c>
      <c r="K828" t="s">
        <v>54</v>
      </c>
      <c r="M828" t="s">
        <v>134</v>
      </c>
      <c r="N828" t="s">
        <v>135</v>
      </c>
      <c r="Q828" t="s">
        <v>3731</v>
      </c>
      <c r="U828" t="s">
        <v>137</v>
      </c>
      <c r="V828" t="s">
        <v>1279</v>
      </c>
      <c r="W828" s="9">
        <v>46134.569803819446</v>
      </c>
      <c r="X828" t="s">
        <v>71</v>
      </c>
      <c r="AA828" t="s">
        <v>4560</v>
      </c>
      <c r="AC828" t="s">
        <v>24</v>
      </c>
      <c r="AD828" t="s">
        <v>128</v>
      </c>
      <c r="AE828" s="97">
        <f>VLOOKUP(A:A,SUMMERY!AA:AC,2,FALSE)</f>
        <v>46233</v>
      </c>
      <c r="AF828" s="6" t="str">
        <f>VLOOKUP(A:A,SUMMERY!AA:AC,3,FALSE)</f>
        <v>Priority-1</v>
      </c>
    </row>
    <row r="829" spans="1:32" x14ac:dyDescent="0.3">
      <c r="A829" t="s">
        <v>4629</v>
      </c>
      <c r="C829" t="s">
        <v>4416</v>
      </c>
      <c r="E829" t="s">
        <v>4416</v>
      </c>
      <c r="F829" t="s">
        <v>6769</v>
      </c>
      <c r="G829" t="s">
        <v>4559</v>
      </c>
      <c r="H829" t="s">
        <v>132</v>
      </c>
      <c r="I829" t="s">
        <v>4</v>
      </c>
      <c r="J829" t="s">
        <v>4276</v>
      </c>
      <c r="K829" t="s">
        <v>54</v>
      </c>
      <c r="M829" t="s">
        <v>134</v>
      </c>
      <c r="N829" t="s">
        <v>135</v>
      </c>
      <c r="Q829" t="s">
        <v>3731</v>
      </c>
      <c r="U829" t="s">
        <v>137</v>
      </c>
      <c r="V829" t="s">
        <v>1279</v>
      </c>
      <c r="W829" s="9">
        <v>46180.756005092589</v>
      </c>
      <c r="X829" t="s">
        <v>71</v>
      </c>
      <c r="AA829" t="s">
        <v>4560</v>
      </c>
      <c r="AC829" t="s">
        <v>24</v>
      </c>
      <c r="AD829" t="s">
        <v>128</v>
      </c>
      <c r="AE829" s="97">
        <f>VLOOKUP(A:A,SUMMERY!AA:AC,2,FALSE)</f>
        <v>46233</v>
      </c>
      <c r="AF829" s="6" t="str">
        <f>VLOOKUP(A:A,SUMMERY!AA:AC,3,FALSE)</f>
        <v>Priority-1</v>
      </c>
    </row>
    <row r="830" spans="1:32" x14ac:dyDescent="0.3">
      <c r="A830" t="s">
        <v>4630</v>
      </c>
      <c r="C830" t="s">
        <v>4418</v>
      </c>
      <c r="E830" t="s">
        <v>4418</v>
      </c>
      <c r="F830" t="s">
        <v>6769</v>
      </c>
      <c r="G830" t="s">
        <v>4559</v>
      </c>
      <c r="H830" t="s">
        <v>132</v>
      </c>
      <c r="I830" t="s">
        <v>4</v>
      </c>
      <c r="J830" t="s">
        <v>4276</v>
      </c>
      <c r="K830" t="s">
        <v>54</v>
      </c>
      <c r="M830" t="s">
        <v>134</v>
      </c>
      <c r="N830" t="s">
        <v>135</v>
      </c>
      <c r="Q830" t="s">
        <v>3731</v>
      </c>
      <c r="U830" t="s">
        <v>137</v>
      </c>
      <c r="V830" t="s">
        <v>1283</v>
      </c>
      <c r="W830" s="9">
        <v>46134.582791122688</v>
      </c>
      <c r="X830" t="s">
        <v>78</v>
      </c>
      <c r="AA830" t="s">
        <v>4560</v>
      </c>
      <c r="AC830" t="s">
        <v>24</v>
      </c>
      <c r="AD830" t="s">
        <v>128</v>
      </c>
      <c r="AE830" s="97">
        <f>VLOOKUP(A:A,SUMMERY!AA:AC,2,FALSE)</f>
        <v>46234</v>
      </c>
      <c r="AF830" s="6" t="str">
        <f>VLOOKUP(A:A,SUMMERY!AA:AC,3,FALSE)</f>
        <v>Priority-1</v>
      </c>
    </row>
    <row r="831" spans="1:32" x14ac:dyDescent="0.3">
      <c r="A831" t="s">
        <v>4631</v>
      </c>
      <c r="C831" t="s">
        <v>4420</v>
      </c>
      <c r="E831" t="s">
        <v>4420</v>
      </c>
      <c r="F831" t="s">
        <v>6769</v>
      </c>
      <c r="G831" t="s">
        <v>4559</v>
      </c>
      <c r="H831" t="s">
        <v>132</v>
      </c>
      <c r="I831" t="s">
        <v>4</v>
      </c>
      <c r="J831" t="s">
        <v>4276</v>
      </c>
      <c r="K831" t="s">
        <v>54</v>
      </c>
      <c r="M831" t="s">
        <v>134</v>
      </c>
      <c r="N831" t="s">
        <v>135</v>
      </c>
      <c r="Q831" t="s">
        <v>3731</v>
      </c>
      <c r="U831" t="s">
        <v>137</v>
      </c>
      <c r="V831" t="s">
        <v>1283</v>
      </c>
      <c r="W831" s="9">
        <v>46166.465798263889</v>
      </c>
      <c r="X831" t="s">
        <v>78</v>
      </c>
      <c r="AA831" t="s">
        <v>4560</v>
      </c>
      <c r="AC831" t="s">
        <v>24</v>
      </c>
      <c r="AD831" t="s">
        <v>128</v>
      </c>
      <c r="AE831" s="97">
        <f>VLOOKUP(A:A,SUMMERY!AA:AC,2,FALSE)</f>
        <v>46234</v>
      </c>
      <c r="AF831" s="6" t="str">
        <f>VLOOKUP(A:A,SUMMERY!AA:AC,3,FALSE)</f>
        <v>Priority-1</v>
      </c>
    </row>
    <row r="832" spans="1:32" x14ac:dyDescent="0.3">
      <c r="A832" t="s">
        <v>4642</v>
      </c>
      <c r="C832" t="s">
        <v>4442</v>
      </c>
      <c r="E832" t="s">
        <v>4442</v>
      </c>
      <c r="F832" t="s">
        <v>6769</v>
      </c>
      <c r="G832" t="s">
        <v>4559</v>
      </c>
      <c r="H832" t="s">
        <v>132</v>
      </c>
      <c r="I832" t="s">
        <v>4</v>
      </c>
      <c r="J832" t="s">
        <v>4276</v>
      </c>
      <c r="K832" t="s">
        <v>54</v>
      </c>
      <c r="M832" t="s">
        <v>134</v>
      </c>
      <c r="N832" t="s">
        <v>135</v>
      </c>
      <c r="Q832" t="s">
        <v>3731</v>
      </c>
      <c r="U832" t="s">
        <v>137</v>
      </c>
      <c r="V832" t="s">
        <v>703</v>
      </c>
      <c r="W832" s="9">
        <v>46176.624949618054</v>
      </c>
      <c r="X832" t="s">
        <v>62</v>
      </c>
      <c r="AA832" t="s">
        <v>4560</v>
      </c>
      <c r="AC832" t="s">
        <v>24</v>
      </c>
      <c r="AD832" t="s">
        <v>128</v>
      </c>
      <c r="AE832" s="97">
        <f>VLOOKUP(A:A,SUMMERY!AA:AC,2,FALSE)</f>
        <v>46220</v>
      </c>
      <c r="AF832" s="6" t="str">
        <f>VLOOKUP(A:A,SUMMERY!AA:AC,3,FALSE)</f>
        <v>Priority-1</v>
      </c>
    </row>
    <row r="833" spans="1:32" x14ac:dyDescent="0.3">
      <c r="A833" t="s">
        <v>4643</v>
      </c>
      <c r="C833" t="s">
        <v>4444</v>
      </c>
      <c r="E833" t="s">
        <v>4444</v>
      </c>
      <c r="F833" t="s">
        <v>6769</v>
      </c>
      <c r="G833" t="s">
        <v>4559</v>
      </c>
      <c r="H833" t="s">
        <v>132</v>
      </c>
      <c r="I833" t="s">
        <v>4</v>
      </c>
      <c r="J833" t="s">
        <v>4276</v>
      </c>
      <c r="K833" t="s">
        <v>54</v>
      </c>
      <c r="M833" t="s">
        <v>134</v>
      </c>
      <c r="N833" t="s">
        <v>135</v>
      </c>
      <c r="Q833" t="s">
        <v>3731</v>
      </c>
      <c r="U833" t="s">
        <v>137</v>
      </c>
      <c r="V833" t="s">
        <v>703</v>
      </c>
      <c r="W833" s="9">
        <v>46146.362320567132</v>
      </c>
      <c r="X833" t="s">
        <v>62</v>
      </c>
      <c r="AA833" t="s">
        <v>4560</v>
      </c>
      <c r="AC833" t="s">
        <v>24</v>
      </c>
      <c r="AD833" t="s">
        <v>128</v>
      </c>
      <c r="AE833" s="97">
        <f>VLOOKUP(A:A,SUMMERY!AA:AC,2,FALSE)</f>
        <v>46220</v>
      </c>
      <c r="AF833" s="6" t="str">
        <f>VLOOKUP(A:A,SUMMERY!AA:AC,3,FALSE)</f>
        <v>Priority-1</v>
      </c>
    </row>
    <row r="834" spans="1:32" x14ac:dyDescent="0.3">
      <c r="A834" t="s">
        <v>4644</v>
      </c>
      <c r="C834" t="s">
        <v>4446</v>
      </c>
      <c r="E834" t="s">
        <v>4446</v>
      </c>
      <c r="F834" t="s">
        <v>6769</v>
      </c>
      <c r="G834" t="s">
        <v>4559</v>
      </c>
      <c r="H834" t="s">
        <v>132</v>
      </c>
      <c r="I834" t="s">
        <v>4</v>
      </c>
      <c r="J834" t="s">
        <v>4276</v>
      </c>
      <c r="K834" t="s">
        <v>54</v>
      </c>
      <c r="M834" t="s">
        <v>134</v>
      </c>
      <c r="N834" t="s">
        <v>135</v>
      </c>
      <c r="Q834" t="s">
        <v>3731</v>
      </c>
      <c r="U834" t="s">
        <v>137</v>
      </c>
      <c r="V834" t="s">
        <v>703</v>
      </c>
      <c r="W834" s="9">
        <v>46176.627605671296</v>
      </c>
      <c r="X834" t="s">
        <v>62</v>
      </c>
      <c r="AA834" t="s">
        <v>4560</v>
      </c>
      <c r="AC834" t="s">
        <v>24</v>
      </c>
      <c r="AD834" t="s">
        <v>128</v>
      </c>
      <c r="AE834" s="97">
        <f>VLOOKUP(A:A,SUMMERY!AA:AC,2,FALSE)</f>
        <v>46220</v>
      </c>
      <c r="AF834" s="6" t="str">
        <f>VLOOKUP(A:A,SUMMERY!AA:AC,3,FALSE)</f>
        <v>Priority-1</v>
      </c>
    </row>
    <row r="835" spans="1:32" x14ac:dyDescent="0.3">
      <c r="A835" t="s">
        <v>4645</v>
      </c>
      <c r="C835" t="s">
        <v>4448</v>
      </c>
      <c r="E835" t="s">
        <v>4448</v>
      </c>
      <c r="F835" t="s">
        <v>6769</v>
      </c>
      <c r="G835" t="s">
        <v>4559</v>
      </c>
      <c r="H835" t="s">
        <v>132</v>
      </c>
      <c r="I835" t="s">
        <v>4</v>
      </c>
      <c r="J835" t="s">
        <v>4276</v>
      </c>
      <c r="K835" t="s">
        <v>54</v>
      </c>
      <c r="M835" t="s">
        <v>134</v>
      </c>
      <c r="N835" t="s">
        <v>135</v>
      </c>
      <c r="Q835" t="s">
        <v>3731</v>
      </c>
      <c r="U835" t="s">
        <v>137</v>
      </c>
      <c r="V835" t="s">
        <v>703</v>
      </c>
      <c r="W835" s="9">
        <v>46176.629769826388</v>
      </c>
      <c r="X835" t="s">
        <v>62</v>
      </c>
      <c r="AA835" t="s">
        <v>4560</v>
      </c>
      <c r="AC835" t="s">
        <v>24</v>
      </c>
      <c r="AD835" t="s">
        <v>128</v>
      </c>
      <c r="AE835" s="97">
        <f>VLOOKUP(A:A,SUMMERY!AA:AC,2,FALSE)</f>
        <v>46220</v>
      </c>
      <c r="AF835" s="6" t="str">
        <f>VLOOKUP(A:A,SUMMERY!AA:AC,3,FALSE)</f>
        <v>Priority-1</v>
      </c>
    </row>
    <row r="836" spans="1:32" x14ac:dyDescent="0.3">
      <c r="A836" t="s">
        <v>4646</v>
      </c>
      <c r="C836" t="s">
        <v>4450</v>
      </c>
      <c r="E836" t="s">
        <v>4450</v>
      </c>
      <c r="F836" t="s">
        <v>6769</v>
      </c>
      <c r="G836" t="s">
        <v>4559</v>
      </c>
      <c r="H836" t="s">
        <v>132</v>
      </c>
      <c r="I836" t="s">
        <v>4</v>
      </c>
      <c r="J836" t="s">
        <v>4276</v>
      </c>
      <c r="K836" t="s">
        <v>54</v>
      </c>
      <c r="M836" t="s">
        <v>134</v>
      </c>
      <c r="N836" t="s">
        <v>135</v>
      </c>
      <c r="Q836" t="s">
        <v>3731</v>
      </c>
      <c r="U836" t="s">
        <v>137</v>
      </c>
      <c r="V836" t="s">
        <v>703</v>
      </c>
      <c r="W836" s="9">
        <v>46176.63183445602</v>
      </c>
      <c r="X836" t="s">
        <v>62</v>
      </c>
      <c r="AA836" t="s">
        <v>4560</v>
      </c>
      <c r="AC836" t="s">
        <v>24</v>
      </c>
      <c r="AD836" t="s">
        <v>128</v>
      </c>
      <c r="AE836" s="97">
        <f>VLOOKUP(A:A,SUMMERY!AA:AC,2,FALSE)</f>
        <v>46220</v>
      </c>
      <c r="AF836" s="6" t="str">
        <f>VLOOKUP(A:A,SUMMERY!AA:AC,3,FALSE)</f>
        <v>Priority-1</v>
      </c>
    </row>
    <row r="837" spans="1:32" x14ac:dyDescent="0.3">
      <c r="A837" t="s">
        <v>4647</v>
      </c>
      <c r="C837" t="s">
        <v>4452</v>
      </c>
      <c r="E837" t="s">
        <v>4452</v>
      </c>
      <c r="F837" t="s">
        <v>6769</v>
      </c>
      <c r="G837" t="s">
        <v>4559</v>
      </c>
      <c r="H837" t="s">
        <v>132</v>
      </c>
      <c r="I837" t="s">
        <v>4</v>
      </c>
      <c r="J837" t="s">
        <v>4276</v>
      </c>
      <c r="K837" t="s">
        <v>54</v>
      </c>
      <c r="M837" t="s">
        <v>134</v>
      </c>
      <c r="N837" t="s">
        <v>135</v>
      </c>
      <c r="Q837" t="s">
        <v>3731</v>
      </c>
      <c r="U837" t="s">
        <v>137</v>
      </c>
      <c r="V837" t="s">
        <v>703</v>
      </c>
      <c r="W837" s="9">
        <v>46180.762969328702</v>
      </c>
      <c r="X837" t="s">
        <v>62</v>
      </c>
      <c r="AA837" t="s">
        <v>4560</v>
      </c>
      <c r="AC837" t="s">
        <v>24</v>
      </c>
      <c r="AD837" t="s">
        <v>128</v>
      </c>
      <c r="AE837" s="97">
        <f>VLOOKUP(A:A,SUMMERY!AA:AC,2,FALSE)</f>
        <v>46220</v>
      </c>
      <c r="AF837" s="6" t="str">
        <f>VLOOKUP(A:A,SUMMERY!AA:AC,3,FALSE)</f>
        <v>Priority-1</v>
      </c>
    </row>
    <row r="838" spans="1:32" x14ac:dyDescent="0.3">
      <c r="A838" t="s">
        <v>4648</v>
      </c>
      <c r="C838" t="s">
        <v>4454</v>
      </c>
      <c r="E838" t="s">
        <v>4454</v>
      </c>
      <c r="F838" t="s">
        <v>6769</v>
      </c>
      <c r="G838" t="s">
        <v>4559</v>
      </c>
      <c r="H838" t="s">
        <v>132</v>
      </c>
      <c r="I838" t="s">
        <v>4</v>
      </c>
      <c r="J838" t="s">
        <v>4276</v>
      </c>
      <c r="K838" t="s">
        <v>54</v>
      </c>
      <c r="M838" t="s">
        <v>134</v>
      </c>
      <c r="N838" t="s">
        <v>135</v>
      </c>
      <c r="Q838" t="s">
        <v>3731</v>
      </c>
      <c r="U838" t="s">
        <v>137</v>
      </c>
      <c r="V838" t="s">
        <v>709</v>
      </c>
      <c r="W838" s="9">
        <v>46183.628573842594</v>
      </c>
      <c r="X838" t="s">
        <v>73</v>
      </c>
      <c r="AA838" t="s">
        <v>4560</v>
      </c>
      <c r="AC838" t="s">
        <v>24</v>
      </c>
      <c r="AD838" t="s">
        <v>128</v>
      </c>
      <c r="AE838" s="97">
        <f>VLOOKUP(A:A,SUMMERY!AA:AC,2,FALSE)</f>
        <v>46220</v>
      </c>
      <c r="AF838" s="6" t="str">
        <f>VLOOKUP(A:A,SUMMERY!AA:AC,3,FALSE)</f>
        <v>Priority-1</v>
      </c>
    </row>
    <row r="839" spans="1:32" x14ac:dyDescent="0.3">
      <c r="A839" t="s">
        <v>4649</v>
      </c>
      <c r="C839" t="s">
        <v>4456</v>
      </c>
      <c r="E839" t="s">
        <v>4456</v>
      </c>
      <c r="F839" t="s">
        <v>6769</v>
      </c>
      <c r="G839" t="s">
        <v>4559</v>
      </c>
      <c r="H839" t="s">
        <v>132</v>
      </c>
      <c r="I839" t="s">
        <v>4</v>
      </c>
      <c r="J839" t="s">
        <v>4276</v>
      </c>
      <c r="K839" t="s">
        <v>54</v>
      </c>
      <c r="M839" t="s">
        <v>134</v>
      </c>
      <c r="N839" t="s">
        <v>135</v>
      </c>
      <c r="Q839" t="s">
        <v>3731</v>
      </c>
      <c r="U839" t="s">
        <v>137</v>
      </c>
      <c r="V839" t="s">
        <v>709</v>
      </c>
      <c r="W839" s="9">
        <v>46166.467655474538</v>
      </c>
      <c r="X839" t="s">
        <v>73</v>
      </c>
      <c r="AA839" t="s">
        <v>4560</v>
      </c>
      <c r="AC839" t="s">
        <v>24</v>
      </c>
      <c r="AD839" t="s">
        <v>128</v>
      </c>
      <c r="AE839" s="97">
        <f>VLOOKUP(A:A,SUMMERY!AA:AC,2,FALSE)</f>
        <v>46220</v>
      </c>
      <c r="AF839" s="6" t="str">
        <f>VLOOKUP(A:A,SUMMERY!AA:AC,3,FALSE)</f>
        <v>Priority-1</v>
      </c>
    </row>
    <row r="840" spans="1:32" x14ac:dyDescent="0.3">
      <c r="A840" t="s">
        <v>4650</v>
      </c>
      <c r="C840" t="s">
        <v>4458</v>
      </c>
      <c r="E840" t="s">
        <v>4458</v>
      </c>
      <c r="F840" t="s">
        <v>6769</v>
      </c>
      <c r="G840" t="s">
        <v>4559</v>
      </c>
      <c r="H840" t="s">
        <v>132</v>
      </c>
      <c r="I840" t="s">
        <v>4</v>
      </c>
      <c r="J840" t="s">
        <v>4276</v>
      </c>
      <c r="K840" t="s">
        <v>54</v>
      </c>
      <c r="M840" t="s">
        <v>134</v>
      </c>
      <c r="N840" t="s">
        <v>135</v>
      </c>
      <c r="Q840" t="s">
        <v>3731</v>
      </c>
      <c r="U840" t="s">
        <v>137</v>
      </c>
      <c r="V840" t="s">
        <v>709</v>
      </c>
      <c r="W840" s="9">
        <v>46176.709811956018</v>
      </c>
      <c r="X840" t="s">
        <v>73</v>
      </c>
      <c r="AA840" t="s">
        <v>4560</v>
      </c>
      <c r="AC840" t="s">
        <v>24</v>
      </c>
      <c r="AD840" t="s">
        <v>128</v>
      </c>
      <c r="AE840" s="97">
        <f>VLOOKUP(A:A,SUMMERY!AA:AC,2,FALSE)</f>
        <v>46220</v>
      </c>
      <c r="AF840" s="6" t="str">
        <f>VLOOKUP(A:A,SUMMERY!AA:AC,3,FALSE)</f>
        <v>Priority-1</v>
      </c>
    </row>
    <row r="841" spans="1:32" x14ac:dyDescent="0.3">
      <c r="A841" t="s">
        <v>4651</v>
      </c>
      <c r="C841" t="s">
        <v>4460</v>
      </c>
      <c r="E841" t="s">
        <v>4460</v>
      </c>
      <c r="F841" t="s">
        <v>6769</v>
      </c>
      <c r="G841" t="s">
        <v>4559</v>
      </c>
      <c r="H841" t="s">
        <v>132</v>
      </c>
      <c r="I841" t="s">
        <v>4</v>
      </c>
      <c r="J841" t="s">
        <v>4276</v>
      </c>
      <c r="K841" t="s">
        <v>54</v>
      </c>
      <c r="M841" t="s">
        <v>134</v>
      </c>
      <c r="N841" t="s">
        <v>135</v>
      </c>
      <c r="Q841" t="s">
        <v>3731</v>
      </c>
      <c r="U841" t="s">
        <v>137</v>
      </c>
      <c r="V841" t="s">
        <v>709</v>
      </c>
      <c r="W841" s="9">
        <v>46176.711263854166</v>
      </c>
      <c r="X841" t="s">
        <v>73</v>
      </c>
      <c r="AA841" t="s">
        <v>4560</v>
      </c>
      <c r="AC841" t="s">
        <v>24</v>
      </c>
      <c r="AD841" t="s">
        <v>128</v>
      </c>
      <c r="AE841" s="97">
        <f>VLOOKUP(A:A,SUMMERY!AA:AC,2,FALSE)</f>
        <v>46220</v>
      </c>
      <c r="AF841" s="6" t="str">
        <f>VLOOKUP(A:A,SUMMERY!AA:AC,3,FALSE)</f>
        <v>Priority-1</v>
      </c>
    </row>
    <row r="842" spans="1:32" x14ac:dyDescent="0.3">
      <c r="A842" t="s">
        <v>4652</v>
      </c>
      <c r="C842" t="s">
        <v>4462</v>
      </c>
      <c r="E842" t="s">
        <v>4462</v>
      </c>
      <c r="F842" t="s">
        <v>6769</v>
      </c>
      <c r="G842" t="s">
        <v>4559</v>
      </c>
      <c r="H842" t="s">
        <v>132</v>
      </c>
      <c r="I842" t="s">
        <v>4</v>
      </c>
      <c r="J842" t="s">
        <v>4276</v>
      </c>
      <c r="K842" t="s">
        <v>54</v>
      </c>
      <c r="M842" t="s">
        <v>134</v>
      </c>
      <c r="N842" t="s">
        <v>135</v>
      </c>
      <c r="Q842" t="s">
        <v>3731</v>
      </c>
      <c r="U842" t="s">
        <v>137</v>
      </c>
      <c r="V842" t="s">
        <v>709</v>
      </c>
      <c r="W842" s="9">
        <v>46176.713297569448</v>
      </c>
      <c r="X842" t="s">
        <v>73</v>
      </c>
      <c r="AA842" t="s">
        <v>4560</v>
      </c>
      <c r="AC842" t="s">
        <v>24</v>
      </c>
      <c r="AD842" t="s">
        <v>128</v>
      </c>
      <c r="AE842" s="97">
        <f>VLOOKUP(A:A,SUMMERY!AA:AC,2,FALSE)</f>
        <v>46220</v>
      </c>
      <c r="AF842" s="6" t="str">
        <f>VLOOKUP(A:A,SUMMERY!AA:AC,3,FALSE)</f>
        <v>Priority-1</v>
      </c>
    </row>
    <row r="843" spans="1:32" x14ac:dyDescent="0.3">
      <c r="A843" t="s">
        <v>4653</v>
      </c>
      <c r="C843" t="s">
        <v>4464</v>
      </c>
      <c r="E843" t="s">
        <v>4464</v>
      </c>
      <c r="F843" t="s">
        <v>6769</v>
      </c>
      <c r="G843" t="s">
        <v>4559</v>
      </c>
      <c r="H843" t="s">
        <v>132</v>
      </c>
      <c r="I843" t="s">
        <v>4</v>
      </c>
      <c r="J843" t="s">
        <v>4276</v>
      </c>
      <c r="K843" t="s">
        <v>54</v>
      </c>
      <c r="M843" t="s">
        <v>134</v>
      </c>
      <c r="N843" t="s">
        <v>135</v>
      </c>
      <c r="Q843" t="s">
        <v>3731</v>
      </c>
      <c r="U843" t="s">
        <v>137</v>
      </c>
      <c r="V843" t="s">
        <v>709</v>
      </c>
      <c r="W843" s="9">
        <v>46176.715079050926</v>
      </c>
      <c r="X843" t="s">
        <v>73</v>
      </c>
      <c r="AA843" t="s">
        <v>4560</v>
      </c>
      <c r="AC843" t="s">
        <v>24</v>
      </c>
      <c r="AD843" t="s">
        <v>128</v>
      </c>
      <c r="AE843" s="97">
        <f>VLOOKUP(A:A,SUMMERY!AA:AC,2,FALSE)</f>
        <v>46220</v>
      </c>
      <c r="AF843" s="6" t="str">
        <f>VLOOKUP(A:A,SUMMERY!AA:AC,3,FALSE)</f>
        <v>Priority-1</v>
      </c>
    </row>
    <row r="844" spans="1:32" x14ac:dyDescent="0.3">
      <c r="A844" t="s">
        <v>4684</v>
      </c>
      <c r="C844" t="s">
        <v>4526</v>
      </c>
      <c r="E844" t="s">
        <v>4526</v>
      </c>
      <c r="F844" t="s">
        <v>6769</v>
      </c>
      <c r="G844" t="s">
        <v>4559</v>
      </c>
      <c r="H844" t="s">
        <v>132</v>
      </c>
      <c r="I844" t="s">
        <v>4</v>
      </c>
      <c r="J844" t="s">
        <v>4276</v>
      </c>
      <c r="K844" t="s">
        <v>54</v>
      </c>
      <c r="M844" t="s">
        <v>134</v>
      </c>
      <c r="N844" t="s">
        <v>135</v>
      </c>
      <c r="Q844" t="s">
        <v>3731</v>
      </c>
      <c r="U844" t="s">
        <v>137</v>
      </c>
      <c r="V844" t="s">
        <v>1967</v>
      </c>
      <c r="W844" s="9">
        <v>46114.511094479167</v>
      </c>
      <c r="X844" t="s">
        <v>125</v>
      </c>
      <c r="AA844" t="s">
        <v>4560</v>
      </c>
      <c r="AC844" t="s">
        <v>24</v>
      </c>
      <c r="AD844" t="s">
        <v>131</v>
      </c>
      <c r="AE844" s="97">
        <f>VLOOKUP(A:A,SUMMERY!AA:AC,2,FALSE)</f>
        <v>46234</v>
      </c>
      <c r="AF844" s="6" t="str">
        <f>VLOOKUP(A:A,SUMMERY!AA:AC,3,FALSE)</f>
        <v>Priority-2</v>
      </c>
    </row>
    <row r="845" spans="1:32" x14ac:dyDescent="0.3">
      <c r="A845" t="s">
        <v>4685</v>
      </c>
      <c r="C845" t="s">
        <v>4528</v>
      </c>
      <c r="E845" t="s">
        <v>4528</v>
      </c>
      <c r="F845" t="s">
        <v>6769</v>
      </c>
      <c r="G845" t="s">
        <v>4559</v>
      </c>
      <c r="H845" t="s">
        <v>132</v>
      </c>
      <c r="I845" t="s">
        <v>4</v>
      </c>
      <c r="J845" t="s">
        <v>4276</v>
      </c>
      <c r="K845" t="s">
        <v>54</v>
      </c>
      <c r="M845" t="s">
        <v>134</v>
      </c>
      <c r="N845" t="s">
        <v>135</v>
      </c>
      <c r="Q845" t="s">
        <v>3731</v>
      </c>
      <c r="U845" t="s">
        <v>137</v>
      </c>
      <c r="V845" t="s">
        <v>1967</v>
      </c>
      <c r="W845" s="9">
        <v>46166.618505092592</v>
      </c>
      <c r="X845" t="s">
        <v>125</v>
      </c>
      <c r="AA845" t="s">
        <v>4560</v>
      </c>
      <c r="AC845" t="s">
        <v>24</v>
      </c>
      <c r="AD845" t="s">
        <v>131</v>
      </c>
      <c r="AE845" s="97">
        <f>VLOOKUP(A:A,SUMMERY!AA:AC,2,FALSE)</f>
        <v>46234</v>
      </c>
      <c r="AF845" s="6" t="str">
        <f>VLOOKUP(A:A,SUMMERY!AA:AC,3,FALSE)</f>
        <v>Priority-2</v>
      </c>
    </row>
    <row r="846" spans="1:32" x14ac:dyDescent="0.3">
      <c r="A846" t="s">
        <v>4686</v>
      </c>
      <c r="C846" t="s">
        <v>4530</v>
      </c>
      <c r="E846" t="s">
        <v>4530</v>
      </c>
      <c r="F846" t="s">
        <v>6769</v>
      </c>
      <c r="G846" t="s">
        <v>4559</v>
      </c>
      <c r="H846" t="s">
        <v>132</v>
      </c>
      <c r="I846" t="s">
        <v>4</v>
      </c>
      <c r="J846" t="s">
        <v>4276</v>
      </c>
      <c r="K846" t="s">
        <v>54</v>
      </c>
      <c r="M846" t="s">
        <v>134</v>
      </c>
      <c r="N846" t="s">
        <v>135</v>
      </c>
      <c r="Q846" t="s">
        <v>3731</v>
      </c>
      <c r="U846" t="s">
        <v>137</v>
      </c>
      <c r="V846" t="s">
        <v>1967</v>
      </c>
      <c r="W846" s="9">
        <v>46107.775964583336</v>
      </c>
      <c r="X846" t="s">
        <v>125</v>
      </c>
      <c r="AA846" t="s">
        <v>4560</v>
      </c>
      <c r="AC846" t="s">
        <v>24</v>
      </c>
      <c r="AD846" t="s">
        <v>131</v>
      </c>
      <c r="AE846" s="97">
        <f>VLOOKUP(A:A,SUMMERY!AA:AC,2,FALSE)</f>
        <v>46234</v>
      </c>
      <c r="AF846" s="6" t="str">
        <f>VLOOKUP(A:A,SUMMERY!AA:AC,3,FALSE)</f>
        <v>Priority-2</v>
      </c>
    </row>
    <row r="847" spans="1:32" x14ac:dyDescent="0.3">
      <c r="A847" t="s">
        <v>4687</v>
      </c>
      <c r="C847" t="s">
        <v>4532</v>
      </c>
      <c r="E847" t="s">
        <v>4532</v>
      </c>
      <c r="F847" t="s">
        <v>6769</v>
      </c>
      <c r="G847" t="s">
        <v>4559</v>
      </c>
      <c r="H847" t="s">
        <v>132</v>
      </c>
      <c r="I847" t="s">
        <v>4</v>
      </c>
      <c r="J847" t="s">
        <v>4276</v>
      </c>
      <c r="K847" t="s">
        <v>54</v>
      </c>
      <c r="M847" t="s">
        <v>134</v>
      </c>
      <c r="N847" t="s">
        <v>135</v>
      </c>
      <c r="Q847" t="s">
        <v>3731</v>
      </c>
      <c r="U847" t="s">
        <v>137</v>
      </c>
      <c r="V847" t="s">
        <v>1259</v>
      </c>
      <c r="W847" s="9">
        <v>46114.519403506943</v>
      </c>
      <c r="X847" t="s">
        <v>126</v>
      </c>
      <c r="AA847" t="s">
        <v>4560</v>
      </c>
      <c r="AC847" t="s">
        <v>24</v>
      </c>
      <c r="AD847" t="s">
        <v>131</v>
      </c>
      <c r="AE847" s="97">
        <f>VLOOKUP(A:A,SUMMERY!AA:AC,2,FALSE)</f>
        <v>46234</v>
      </c>
      <c r="AF847" s="6" t="str">
        <f>VLOOKUP(A:A,SUMMERY!AA:AC,3,FALSE)</f>
        <v>Priority-2</v>
      </c>
    </row>
    <row r="848" spans="1:32" x14ac:dyDescent="0.3">
      <c r="A848" t="s">
        <v>4688</v>
      </c>
      <c r="C848" t="s">
        <v>4534</v>
      </c>
      <c r="E848" t="s">
        <v>4534</v>
      </c>
      <c r="F848" t="s">
        <v>6769</v>
      </c>
      <c r="G848" t="s">
        <v>4559</v>
      </c>
      <c r="H848" t="s">
        <v>132</v>
      </c>
      <c r="I848" t="s">
        <v>4</v>
      </c>
      <c r="J848" t="s">
        <v>4276</v>
      </c>
      <c r="K848" t="s">
        <v>54</v>
      </c>
      <c r="M848" t="s">
        <v>134</v>
      </c>
      <c r="N848" t="s">
        <v>135</v>
      </c>
      <c r="Q848" t="s">
        <v>3731</v>
      </c>
      <c r="U848" t="s">
        <v>137</v>
      </c>
      <c r="V848" t="s">
        <v>1259</v>
      </c>
      <c r="W848" s="9">
        <v>46199.218054942132</v>
      </c>
      <c r="X848" t="s">
        <v>126</v>
      </c>
      <c r="AA848" t="s">
        <v>4560</v>
      </c>
      <c r="AC848" t="s">
        <v>24</v>
      </c>
      <c r="AD848" t="s">
        <v>131</v>
      </c>
      <c r="AE848" s="97">
        <f>VLOOKUP(A:A,SUMMERY!AA:AC,2,FALSE)</f>
        <v>46234</v>
      </c>
      <c r="AF848" s="6" t="str">
        <f>VLOOKUP(A:A,SUMMERY!AA:AC,3,FALSE)</f>
        <v>Priority-2</v>
      </c>
    </row>
    <row r="849" spans="1:32" x14ac:dyDescent="0.3">
      <c r="A849" t="s">
        <v>4689</v>
      </c>
      <c r="C849" t="s">
        <v>4536</v>
      </c>
      <c r="E849" t="s">
        <v>4536</v>
      </c>
      <c r="F849" t="s">
        <v>6769</v>
      </c>
      <c r="G849" t="s">
        <v>4559</v>
      </c>
      <c r="H849" t="s">
        <v>132</v>
      </c>
      <c r="I849" t="s">
        <v>4</v>
      </c>
      <c r="J849" t="s">
        <v>4276</v>
      </c>
      <c r="K849" t="s">
        <v>54</v>
      </c>
      <c r="M849" t="s">
        <v>134</v>
      </c>
      <c r="N849" t="s">
        <v>135</v>
      </c>
      <c r="Q849" t="s">
        <v>3731</v>
      </c>
      <c r="U849" t="s">
        <v>137</v>
      </c>
      <c r="V849" t="s">
        <v>1263</v>
      </c>
      <c r="W849" s="9">
        <v>46166.620707141206</v>
      </c>
      <c r="X849" t="s">
        <v>69</v>
      </c>
      <c r="AA849" t="s">
        <v>4560</v>
      </c>
      <c r="AC849" t="s">
        <v>24</v>
      </c>
      <c r="AD849" t="s">
        <v>128</v>
      </c>
      <c r="AE849" s="97">
        <f>VLOOKUP(A:A,SUMMERY!AA:AC,2,FALSE)</f>
        <v>46224</v>
      </c>
      <c r="AF849" s="6" t="str">
        <f>VLOOKUP(A:A,SUMMERY!AA:AC,3,FALSE)</f>
        <v>Priority-1</v>
      </c>
    </row>
    <row r="850" spans="1:32" x14ac:dyDescent="0.3">
      <c r="A850" t="s">
        <v>4690</v>
      </c>
      <c r="C850" t="s">
        <v>4538</v>
      </c>
      <c r="E850" t="s">
        <v>4538</v>
      </c>
      <c r="F850" t="s">
        <v>6769</v>
      </c>
      <c r="G850" t="s">
        <v>4559</v>
      </c>
      <c r="H850" t="s">
        <v>132</v>
      </c>
      <c r="I850" t="s">
        <v>4</v>
      </c>
      <c r="J850" t="s">
        <v>4276</v>
      </c>
      <c r="K850" t="s">
        <v>54</v>
      </c>
      <c r="M850" t="s">
        <v>134</v>
      </c>
      <c r="N850" t="s">
        <v>135</v>
      </c>
      <c r="Q850" t="s">
        <v>3731</v>
      </c>
      <c r="U850" t="s">
        <v>137</v>
      </c>
      <c r="V850" t="s">
        <v>1263</v>
      </c>
      <c r="W850" s="9">
        <v>46138.764463460648</v>
      </c>
      <c r="X850" t="s">
        <v>69</v>
      </c>
      <c r="AA850" t="s">
        <v>4560</v>
      </c>
      <c r="AC850" t="s">
        <v>24</v>
      </c>
      <c r="AD850" t="s">
        <v>128</v>
      </c>
      <c r="AE850" s="97">
        <f>VLOOKUP(A:A,SUMMERY!AA:AC,2,FALSE)</f>
        <v>46224</v>
      </c>
      <c r="AF850" s="6" t="str">
        <f>VLOOKUP(A:A,SUMMERY!AA:AC,3,FALSE)</f>
        <v>Priority-1</v>
      </c>
    </row>
    <row r="851" spans="1:32" x14ac:dyDescent="0.3">
      <c r="A851" t="s">
        <v>4691</v>
      </c>
      <c r="C851" t="s">
        <v>4540</v>
      </c>
      <c r="E851" t="s">
        <v>4540</v>
      </c>
      <c r="F851" t="s">
        <v>6769</v>
      </c>
      <c r="G851" t="s">
        <v>4559</v>
      </c>
      <c r="H851" t="s">
        <v>132</v>
      </c>
      <c r="I851" t="s">
        <v>4</v>
      </c>
      <c r="J851" t="s">
        <v>4276</v>
      </c>
      <c r="K851" t="s">
        <v>54</v>
      </c>
      <c r="M851" t="s">
        <v>134</v>
      </c>
      <c r="N851" t="s">
        <v>135</v>
      </c>
      <c r="Q851" t="s">
        <v>3731</v>
      </c>
      <c r="U851" t="s">
        <v>137</v>
      </c>
      <c r="V851" t="s">
        <v>1263</v>
      </c>
      <c r="W851" s="9">
        <v>46146.365953206019</v>
      </c>
      <c r="X851" t="s">
        <v>69</v>
      </c>
      <c r="AA851" t="s">
        <v>4560</v>
      </c>
      <c r="AC851" t="s">
        <v>24</v>
      </c>
      <c r="AD851" t="s">
        <v>128</v>
      </c>
      <c r="AE851" s="97">
        <f>VLOOKUP(A:A,SUMMERY!AA:AC,2,FALSE)</f>
        <v>46224</v>
      </c>
      <c r="AF851" s="6" t="str">
        <f>VLOOKUP(A:A,SUMMERY!AA:AC,3,FALSE)</f>
        <v>Priority-1</v>
      </c>
    </row>
    <row r="852" spans="1:32" x14ac:dyDescent="0.3">
      <c r="A852" t="s">
        <v>4692</v>
      </c>
      <c r="C852" t="s">
        <v>4542</v>
      </c>
      <c r="E852" t="s">
        <v>4542</v>
      </c>
      <c r="F852" t="s">
        <v>6769</v>
      </c>
      <c r="G852" t="s">
        <v>4559</v>
      </c>
      <c r="H852" t="s">
        <v>132</v>
      </c>
      <c r="I852" t="s">
        <v>4</v>
      </c>
      <c r="J852" t="s">
        <v>4276</v>
      </c>
      <c r="K852" t="s">
        <v>54</v>
      </c>
      <c r="M852" t="s">
        <v>134</v>
      </c>
      <c r="N852" t="s">
        <v>135</v>
      </c>
      <c r="Q852" t="s">
        <v>3731</v>
      </c>
      <c r="S852" t="s">
        <v>3731</v>
      </c>
      <c r="U852" t="s">
        <v>137</v>
      </c>
      <c r="V852" t="s">
        <v>1263</v>
      </c>
      <c r="W852" s="9">
        <v>46166.514349618054</v>
      </c>
      <c r="X852" t="s">
        <v>69</v>
      </c>
      <c r="AA852" t="s">
        <v>4560</v>
      </c>
      <c r="AC852" t="s">
        <v>24</v>
      </c>
      <c r="AD852" t="s">
        <v>128</v>
      </c>
      <c r="AE852" s="97">
        <f>VLOOKUP(A:A,SUMMERY!AA:AC,2,FALSE)</f>
        <v>46224</v>
      </c>
      <c r="AF852" s="6" t="str">
        <f>VLOOKUP(A:A,SUMMERY!AA:AC,3,FALSE)</f>
        <v>Priority-1</v>
      </c>
    </row>
    <row r="853" spans="1:32" x14ac:dyDescent="0.3">
      <c r="A853" t="s">
        <v>4693</v>
      </c>
      <c r="C853" t="s">
        <v>4544</v>
      </c>
      <c r="E853" t="s">
        <v>4544</v>
      </c>
      <c r="F853" t="s">
        <v>6769</v>
      </c>
      <c r="G853" t="s">
        <v>4559</v>
      </c>
      <c r="H853" t="s">
        <v>132</v>
      </c>
      <c r="I853" t="s">
        <v>4</v>
      </c>
      <c r="J853" t="s">
        <v>4276</v>
      </c>
      <c r="K853" t="s">
        <v>54</v>
      </c>
      <c r="M853" t="s">
        <v>134</v>
      </c>
      <c r="N853" t="s">
        <v>135</v>
      </c>
      <c r="Q853" t="s">
        <v>3731</v>
      </c>
      <c r="U853" t="s">
        <v>137</v>
      </c>
      <c r="V853" t="s">
        <v>1263</v>
      </c>
      <c r="W853" s="9">
        <v>46180.783245370367</v>
      </c>
      <c r="X853" t="s">
        <v>69</v>
      </c>
      <c r="AA853" t="s">
        <v>4560</v>
      </c>
      <c r="AC853" t="s">
        <v>24</v>
      </c>
      <c r="AD853" t="s">
        <v>128</v>
      </c>
      <c r="AE853" s="97">
        <f>VLOOKUP(A:A,SUMMERY!AA:AC,2,FALSE)</f>
        <v>46224</v>
      </c>
      <c r="AF853" s="6" t="str">
        <f>VLOOKUP(A:A,SUMMERY!AA:AC,3,FALSE)</f>
        <v>Priority-1</v>
      </c>
    </row>
    <row r="854" spans="1:32" x14ac:dyDescent="0.3">
      <c r="A854" t="s">
        <v>4694</v>
      </c>
      <c r="C854" t="s">
        <v>4546</v>
      </c>
      <c r="E854" t="s">
        <v>4546</v>
      </c>
      <c r="F854" t="s">
        <v>6769</v>
      </c>
      <c r="G854" t="s">
        <v>4559</v>
      </c>
      <c r="H854" t="s">
        <v>132</v>
      </c>
      <c r="I854" t="s">
        <v>4</v>
      </c>
      <c r="J854" t="s">
        <v>4276</v>
      </c>
      <c r="K854" t="s">
        <v>54</v>
      </c>
      <c r="M854" t="s">
        <v>134</v>
      </c>
      <c r="N854" t="s">
        <v>135</v>
      </c>
      <c r="Q854" t="s">
        <v>3731</v>
      </c>
      <c r="U854" t="s">
        <v>137</v>
      </c>
      <c r="V854" t="s">
        <v>1190</v>
      </c>
      <c r="W854" s="9">
        <v>46149.581576076387</v>
      </c>
      <c r="X854" t="s">
        <v>67</v>
      </c>
      <c r="AA854" t="s">
        <v>4560</v>
      </c>
      <c r="AC854" t="s">
        <v>24</v>
      </c>
      <c r="AD854" t="s">
        <v>128</v>
      </c>
      <c r="AE854" s="97">
        <f>VLOOKUP(A:A,SUMMERY!AA:AC,2,FALSE)</f>
        <v>46220</v>
      </c>
      <c r="AF854" s="6" t="str">
        <f>VLOOKUP(A:A,SUMMERY!AA:AC,3,FALSE)</f>
        <v>Priority-1</v>
      </c>
    </row>
    <row r="855" spans="1:32" x14ac:dyDescent="0.3">
      <c r="A855" t="s">
        <v>4695</v>
      </c>
      <c r="C855" t="s">
        <v>4548</v>
      </c>
      <c r="E855" t="s">
        <v>4548</v>
      </c>
      <c r="F855" t="s">
        <v>6769</v>
      </c>
      <c r="G855" t="s">
        <v>4559</v>
      </c>
      <c r="H855" t="s">
        <v>132</v>
      </c>
      <c r="I855" t="s">
        <v>4</v>
      </c>
      <c r="J855" t="s">
        <v>4276</v>
      </c>
      <c r="K855" t="s">
        <v>54</v>
      </c>
      <c r="M855" t="s">
        <v>134</v>
      </c>
      <c r="N855" t="s">
        <v>135</v>
      </c>
      <c r="Q855" t="s">
        <v>3731</v>
      </c>
      <c r="U855" t="s">
        <v>137</v>
      </c>
      <c r="V855" t="s">
        <v>1194</v>
      </c>
      <c r="W855" s="9">
        <v>46149.586147337963</v>
      </c>
      <c r="X855" t="s">
        <v>75</v>
      </c>
      <c r="AA855" t="s">
        <v>4560</v>
      </c>
      <c r="AC855" t="s">
        <v>24</v>
      </c>
      <c r="AD855" t="s">
        <v>128</v>
      </c>
      <c r="AE855" s="97">
        <f>VLOOKUP(A:A,SUMMERY!AA:AC,2,FALSE)</f>
        <v>46220</v>
      </c>
      <c r="AF855" s="6" t="str">
        <f>VLOOKUP(A:A,SUMMERY!AA:AC,3,FALSE)</f>
        <v>Priority-1</v>
      </c>
    </row>
    <row r="856" spans="1:32" x14ac:dyDescent="0.3">
      <c r="A856" t="s">
        <v>4703</v>
      </c>
      <c r="C856" t="s">
        <v>4280</v>
      </c>
      <c r="E856" t="s">
        <v>4280</v>
      </c>
      <c r="F856" t="s">
        <v>6769</v>
      </c>
      <c r="G856" t="s">
        <v>4701</v>
      </c>
      <c r="H856" t="s">
        <v>132</v>
      </c>
      <c r="I856" t="s">
        <v>4</v>
      </c>
      <c r="J856" t="s">
        <v>4276</v>
      </c>
      <c r="K856" t="s">
        <v>54</v>
      </c>
      <c r="M856" t="s">
        <v>134</v>
      </c>
      <c r="N856" t="s">
        <v>135</v>
      </c>
      <c r="Q856" t="s">
        <v>3731</v>
      </c>
      <c r="U856" t="s">
        <v>137</v>
      </c>
      <c r="V856" t="s">
        <v>147</v>
      </c>
      <c r="X856" t="s">
        <v>70</v>
      </c>
      <c r="AA856" t="s">
        <v>4702</v>
      </c>
      <c r="AC856" t="s">
        <v>138</v>
      </c>
      <c r="AD856" t="s">
        <v>128</v>
      </c>
      <c r="AE856" s="97">
        <f>VLOOKUP(A:A,SUMMERY!AA:AC,2,FALSE)</f>
        <v>46220</v>
      </c>
      <c r="AF856" s="6" t="str">
        <f>VLOOKUP(A:A,SUMMERY!AA:AC,3,FALSE)</f>
        <v>Priority-1</v>
      </c>
    </row>
    <row r="857" spans="1:32" x14ac:dyDescent="0.3">
      <c r="A857" t="s">
        <v>4704</v>
      </c>
      <c r="C857" t="s">
        <v>4282</v>
      </c>
      <c r="E857" t="s">
        <v>4282</v>
      </c>
      <c r="F857" t="s">
        <v>6769</v>
      </c>
      <c r="G857" t="s">
        <v>4701</v>
      </c>
      <c r="H857" t="s">
        <v>132</v>
      </c>
      <c r="I857" t="s">
        <v>4</v>
      </c>
      <c r="J857" t="s">
        <v>4276</v>
      </c>
      <c r="K857" t="s">
        <v>54</v>
      </c>
      <c r="M857" t="s">
        <v>134</v>
      </c>
      <c r="N857" t="s">
        <v>135</v>
      </c>
      <c r="Q857" t="s">
        <v>3731</v>
      </c>
      <c r="U857" t="s">
        <v>137</v>
      </c>
      <c r="V857" t="s">
        <v>147</v>
      </c>
      <c r="X857" t="s">
        <v>70</v>
      </c>
      <c r="AA857" t="s">
        <v>4702</v>
      </c>
      <c r="AC857" t="s">
        <v>138</v>
      </c>
      <c r="AD857" t="s">
        <v>128</v>
      </c>
      <c r="AE857" s="97">
        <f>VLOOKUP(A:A,SUMMERY!AA:AC,2,FALSE)</f>
        <v>46220</v>
      </c>
      <c r="AF857" s="6" t="str">
        <f>VLOOKUP(A:A,SUMMERY!AA:AC,3,FALSE)</f>
        <v>Priority-1</v>
      </c>
    </row>
    <row r="858" spans="1:32" x14ac:dyDescent="0.3">
      <c r="A858" t="s">
        <v>4705</v>
      </c>
      <c r="C858" t="s">
        <v>4284</v>
      </c>
      <c r="E858" t="s">
        <v>4284</v>
      </c>
      <c r="F858" t="s">
        <v>6769</v>
      </c>
      <c r="G858" t="s">
        <v>4701</v>
      </c>
      <c r="H858" t="s">
        <v>132</v>
      </c>
      <c r="I858" t="s">
        <v>4</v>
      </c>
      <c r="J858" t="s">
        <v>4276</v>
      </c>
      <c r="K858" t="s">
        <v>54</v>
      </c>
      <c r="M858" t="s">
        <v>134</v>
      </c>
      <c r="N858" t="s">
        <v>135</v>
      </c>
      <c r="Q858" t="s">
        <v>3731</v>
      </c>
      <c r="U858" t="s">
        <v>137</v>
      </c>
      <c r="V858" t="s">
        <v>147</v>
      </c>
      <c r="X858" t="s">
        <v>70</v>
      </c>
      <c r="AA858" t="s">
        <v>4702</v>
      </c>
      <c r="AC858" t="s">
        <v>138</v>
      </c>
      <c r="AD858" t="s">
        <v>128</v>
      </c>
      <c r="AE858" s="97">
        <f>VLOOKUP(A:A,SUMMERY!AA:AC,2,FALSE)</f>
        <v>46220</v>
      </c>
      <c r="AF858" s="6" t="str">
        <f>VLOOKUP(A:A,SUMMERY!AA:AC,3,FALSE)</f>
        <v>Priority-1</v>
      </c>
    </row>
    <row r="859" spans="1:32" x14ac:dyDescent="0.3">
      <c r="A859" t="s">
        <v>4706</v>
      </c>
      <c r="C859" t="s">
        <v>4286</v>
      </c>
      <c r="E859" t="s">
        <v>4286</v>
      </c>
      <c r="F859" t="s">
        <v>6769</v>
      </c>
      <c r="G859" t="s">
        <v>4701</v>
      </c>
      <c r="H859" t="s">
        <v>132</v>
      </c>
      <c r="I859" t="s">
        <v>4</v>
      </c>
      <c r="J859" t="s">
        <v>4276</v>
      </c>
      <c r="K859" t="s">
        <v>54</v>
      </c>
      <c r="M859" t="s">
        <v>134</v>
      </c>
      <c r="N859" t="s">
        <v>135</v>
      </c>
      <c r="Q859" t="s">
        <v>3731</v>
      </c>
      <c r="U859" t="s">
        <v>137</v>
      </c>
      <c r="V859" t="s">
        <v>150</v>
      </c>
      <c r="X859" t="s">
        <v>76</v>
      </c>
      <c r="AA859" t="s">
        <v>4702</v>
      </c>
      <c r="AC859" t="s">
        <v>138</v>
      </c>
      <c r="AD859" t="s">
        <v>128</v>
      </c>
      <c r="AE859" s="97">
        <f>VLOOKUP(A:A,SUMMERY!AA:AC,2,FALSE)</f>
        <v>46233</v>
      </c>
      <c r="AF859" s="6" t="str">
        <f>VLOOKUP(A:A,SUMMERY!AA:AC,3,FALSE)</f>
        <v>Priority-1</v>
      </c>
    </row>
    <row r="860" spans="1:32" x14ac:dyDescent="0.3">
      <c r="A860" t="s">
        <v>4707</v>
      </c>
      <c r="C860" t="s">
        <v>4288</v>
      </c>
      <c r="E860" t="s">
        <v>4288</v>
      </c>
      <c r="F860" t="s">
        <v>6769</v>
      </c>
      <c r="G860" t="s">
        <v>4701</v>
      </c>
      <c r="H860" t="s">
        <v>132</v>
      </c>
      <c r="I860" t="s">
        <v>4</v>
      </c>
      <c r="J860" t="s">
        <v>4276</v>
      </c>
      <c r="K860" t="s">
        <v>54</v>
      </c>
      <c r="M860" t="s">
        <v>134</v>
      </c>
      <c r="N860" t="s">
        <v>135</v>
      </c>
      <c r="Q860" t="s">
        <v>3731</v>
      </c>
      <c r="U860" t="s">
        <v>137</v>
      </c>
      <c r="V860" t="s">
        <v>150</v>
      </c>
      <c r="X860" t="s">
        <v>76</v>
      </c>
      <c r="AA860" t="s">
        <v>4702</v>
      </c>
      <c r="AC860" t="s">
        <v>138</v>
      </c>
      <c r="AD860" t="s">
        <v>128</v>
      </c>
      <c r="AE860" s="97">
        <f>VLOOKUP(A:A,SUMMERY!AA:AC,2,FALSE)</f>
        <v>46233</v>
      </c>
      <c r="AF860" s="6" t="str">
        <f>VLOOKUP(A:A,SUMMERY!AA:AC,3,FALSE)</f>
        <v>Priority-1</v>
      </c>
    </row>
    <row r="861" spans="1:32" x14ac:dyDescent="0.3">
      <c r="A861" t="s">
        <v>4708</v>
      </c>
      <c r="C861" t="s">
        <v>4290</v>
      </c>
      <c r="E861" t="s">
        <v>4290</v>
      </c>
      <c r="F861" t="s">
        <v>6769</v>
      </c>
      <c r="G861" t="s">
        <v>4701</v>
      </c>
      <c r="H861" t="s">
        <v>132</v>
      </c>
      <c r="I861" t="s">
        <v>4</v>
      </c>
      <c r="J861" t="s">
        <v>4276</v>
      </c>
      <c r="K861" t="s">
        <v>54</v>
      </c>
      <c r="M861" t="s">
        <v>134</v>
      </c>
      <c r="N861" t="s">
        <v>135</v>
      </c>
      <c r="Q861" t="s">
        <v>3731</v>
      </c>
      <c r="U861" t="s">
        <v>137</v>
      </c>
      <c r="V861" t="s">
        <v>150</v>
      </c>
      <c r="X861" t="s">
        <v>76</v>
      </c>
      <c r="AA861" t="s">
        <v>4702</v>
      </c>
      <c r="AC861" t="s">
        <v>138</v>
      </c>
      <c r="AD861" t="s">
        <v>128</v>
      </c>
      <c r="AE861" s="97">
        <f>VLOOKUP(A:A,SUMMERY!AA:AC,2,FALSE)</f>
        <v>46233</v>
      </c>
      <c r="AF861" s="6" t="str">
        <f>VLOOKUP(A:A,SUMMERY!AA:AC,3,FALSE)</f>
        <v>Priority-1</v>
      </c>
    </row>
    <row r="862" spans="1:32" x14ac:dyDescent="0.3">
      <c r="A862" t="s">
        <v>4724</v>
      </c>
      <c r="C862" t="s">
        <v>4322</v>
      </c>
      <c r="E862" t="s">
        <v>4322</v>
      </c>
      <c r="F862" t="s">
        <v>6769</v>
      </c>
      <c r="G862" t="s">
        <v>4701</v>
      </c>
      <c r="H862" t="s">
        <v>132</v>
      </c>
      <c r="I862" t="s">
        <v>4</v>
      </c>
      <c r="J862" t="s">
        <v>4276</v>
      </c>
      <c r="K862" t="s">
        <v>54</v>
      </c>
      <c r="M862" t="s">
        <v>134</v>
      </c>
      <c r="N862" t="s">
        <v>135</v>
      </c>
      <c r="Q862" t="s">
        <v>3731</v>
      </c>
      <c r="U862" t="s">
        <v>137</v>
      </c>
      <c r="V862" t="s">
        <v>371</v>
      </c>
      <c r="X862" t="s">
        <v>57</v>
      </c>
      <c r="AA862" t="s">
        <v>4702</v>
      </c>
      <c r="AC862" t="s">
        <v>138</v>
      </c>
      <c r="AD862" t="s">
        <v>128</v>
      </c>
      <c r="AE862" s="97">
        <f>VLOOKUP(A:A,SUMMERY!AA:AC,2,FALSE)</f>
        <v>46220</v>
      </c>
      <c r="AF862" s="6" t="str">
        <f>VLOOKUP(A:A,SUMMERY!AA:AC,3,FALSE)</f>
        <v>Priority-1</v>
      </c>
    </row>
    <row r="863" spans="1:32" x14ac:dyDescent="0.3">
      <c r="A863" t="s">
        <v>4725</v>
      </c>
      <c r="C863" t="s">
        <v>4324</v>
      </c>
      <c r="E863" t="s">
        <v>4324</v>
      </c>
      <c r="F863" t="s">
        <v>6769</v>
      </c>
      <c r="G863" t="s">
        <v>4701</v>
      </c>
      <c r="H863" t="s">
        <v>132</v>
      </c>
      <c r="I863" t="s">
        <v>4</v>
      </c>
      <c r="J863" t="s">
        <v>4276</v>
      </c>
      <c r="K863" t="s">
        <v>54</v>
      </c>
      <c r="M863" t="s">
        <v>134</v>
      </c>
      <c r="N863" t="s">
        <v>135</v>
      </c>
      <c r="Q863" t="s">
        <v>3731</v>
      </c>
      <c r="U863" t="s">
        <v>137</v>
      </c>
      <c r="V863" t="s">
        <v>371</v>
      </c>
      <c r="X863" t="s">
        <v>57</v>
      </c>
      <c r="AA863" t="s">
        <v>4702</v>
      </c>
      <c r="AC863" t="s">
        <v>138</v>
      </c>
      <c r="AD863" t="s">
        <v>128</v>
      </c>
      <c r="AE863" s="97">
        <f>VLOOKUP(A:A,SUMMERY!AA:AC,2,FALSE)</f>
        <v>46220</v>
      </c>
      <c r="AF863" s="6" t="str">
        <f>VLOOKUP(A:A,SUMMERY!AA:AC,3,FALSE)</f>
        <v>Priority-1</v>
      </c>
    </row>
    <row r="864" spans="1:32" x14ac:dyDescent="0.3">
      <c r="A864" t="s">
        <v>4726</v>
      </c>
      <c r="C864" t="s">
        <v>4326</v>
      </c>
      <c r="E864" t="s">
        <v>4326</v>
      </c>
      <c r="F864" t="s">
        <v>6769</v>
      </c>
      <c r="G864" t="s">
        <v>4701</v>
      </c>
      <c r="H864" t="s">
        <v>132</v>
      </c>
      <c r="I864" t="s">
        <v>4</v>
      </c>
      <c r="J864" t="s">
        <v>4276</v>
      </c>
      <c r="K864" t="s">
        <v>54</v>
      </c>
      <c r="M864" t="s">
        <v>134</v>
      </c>
      <c r="N864" t="s">
        <v>135</v>
      </c>
      <c r="Q864" t="s">
        <v>3731</v>
      </c>
      <c r="U864" t="s">
        <v>137</v>
      </c>
      <c r="V864" t="s">
        <v>362</v>
      </c>
      <c r="X864" t="s">
        <v>58</v>
      </c>
      <c r="AA864" t="s">
        <v>4702</v>
      </c>
      <c r="AC864" t="s">
        <v>138</v>
      </c>
      <c r="AD864" t="s">
        <v>128</v>
      </c>
      <c r="AE864" s="97">
        <f>VLOOKUP(A:A,SUMMERY!AA:AC,2,FALSE)</f>
        <v>46220</v>
      </c>
      <c r="AF864" s="6" t="str">
        <f>VLOOKUP(A:A,SUMMERY!AA:AC,3,FALSE)</f>
        <v>Priority-1</v>
      </c>
    </row>
    <row r="865" spans="1:32" x14ac:dyDescent="0.3">
      <c r="A865" t="s">
        <v>4727</v>
      </c>
      <c r="C865" t="s">
        <v>4328</v>
      </c>
      <c r="E865" t="s">
        <v>4328</v>
      </c>
      <c r="F865" t="s">
        <v>6769</v>
      </c>
      <c r="G865" t="s">
        <v>4701</v>
      </c>
      <c r="H865" t="s">
        <v>132</v>
      </c>
      <c r="I865" t="s">
        <v>4</v>
      </c>
      <c r="J865" t="s">
        <v>4276</v>
      </c>
      <c r="K865" t="s">
        <v>54</v>
      </c>
      <c r="M865" t="s">
        <v>134</v>
      </c>
      <c r="N865" t="s">
        <v>135</v>
      </c>
      <c r="Q865" t="s">
        <v>3731</v>
      </c>
      <c r="U865" t="s">
        <v>137</v>
      </c>
      <c r="V865" t="s">
        <v>362</v>
      </c>
      <c r="X865" t="s">
        <v>58</v>
      </c>
      <c r="AA865" t="s">
        <v>4702</v>
      </c>
      <c r="AC865" t="s">
        <v>138</v>
      </c>
      <c r="AD865" t="s">
        <v>128</v>
      </c>
      <c r="AE865" s="97">
        <f>VLOOKUP(A:A,SUMMERY!AA:AC,2,FALSE)</f>
        <v>46220</v>
      </c>
      <c r="AF865" s="6" t="str">
        <f>VLOOKUP(A:A,SUMMERY!AA:AC,3,FALSE)</f>
        <v>Priority-1</v>
      </c>
    </row>
    <row r="866" spans="1:32" x14ac:dyDescent="0.3">
      <c r="A866" t="s">
        <v>4728</v>
      </c>
      <c r="C866" t="s">
        <v>4330</v>
      </c>
      <c r="E866" t="s">
        <v>4330</v>
      </c>
      <c r="F866" t="s">
        <v>6769</v>
      </c>
      <c r="G866" t="s">
        <v>4701</v>
      </c>
      <c r="H866" t="s">
        <v>132</v>
      </c>
      <c r="I866" t="s">
        <v>4</v>
      </c>
      <c r="J866" t="s">
        <v>4276</v>
      </c>
      <c r="K866" t="s">
        <v>54</v>
      </c>
      <c r="M866" t="s">
        <v>134</v>
      </c>
      <c r="N866" t="s">
        <v>135</v>
      </c>
      <c r="Q866" t="s">
        <v>3731</v>
      </c>
      <c r="U866" t="s">
        <v>137</v>
      </c>
      <c r="V866" t="s">
        <v>640</v>
      </c>
      <c r="X866" t="s">
        <v>66</v>
      </c>
      <c r="AA866" t="s">
        <v>4702</v>
      </c>
      <c r="AC866" t="s">
        <v>138</v>
      </c>
      <c r="AD866" t="s">
        <v>128</v>
      </c>
      <c r="AE866" s="97">
        <f>VLOOKUP(A:A,SUMMERY!AA:AC,2,FALSE)</f>
        <v>46220</v>
      </c>
      <c r="AF866" s="6" t="str">
        <f>VLOOKUP(A:A,SUMMERY!AA:AC,3,FALSE)</f>
        <v>Priority-1</v>
      </c>
    </row>
    <row r="867" spans="1:32" x14ac:dyDescent="0.3">
      <c r="A867" t="s">
        <v>4729</v>
      </c>
      <c r="C867" t="s">
        <v>4332</v>
      </c>
      <c r="E867" t="s">
        <v>4332</v>
      </c>
      <c r="F867" t="s">
        <v>6769</v>
      </c>
      <c r="G867" t="s">
        <v>4701</v>
      </c>
      <c r="H867" t="s">
        <v>132</v>
      </c>
      <c r="I867" t="s">
        <v>4</v>
      </c>
      <c r="J867" t="s">
        <v>4276</v>
      </c>
      <c r="K867" t="s">
        <v>54</v>
      </c>
      <c r="M867" t="s">
        <v>134</v>
      </c>
      <c r="N867" t="s">
        <v>135</v>
      </c>
      <c r="Q867" t="s">
        <v>3731</v>
      </c>
      <c r="U867" t="s">
        <v>137</v>
      </c>
      <c r="V867" t="s">
        <v>640</v>
      </c>
      <c r="X867" t="s">
        <v>66</v>
      </c>
      <c r="AA867" t="s">
        <v>4702</v>
      </c>
      <c r="AC867" t="s">
        <v>138</v>
      </c>
      <c r="AD867" t="s">
        <v>128</v>
      </c>
      <c r="AE867" s="97">
        <f>VLOOKUP(A:A,SUMMERY!AA:AC,2,FALSE)</f>
        <v>46220</v>
      </c>
      <c r="AF867" s="6" t="str">
        <f>VLOOKUP(A:A,SUMMERY!AA:AC,3,FALSE)</f>
        <v>Priority-1</v>
      </c>
    </row>
    <row r="868" spans="1:32" x14ac:dyDescent="0.3">
      <c r="A868" t="s">
        <v>4730</v>
      </c>
      <c r="C868" t="s">
        <v>4334</v>
      </c>
      <c r="E868" t="s">
        <v>4334</v>
      </c>
      <c r="F868" t="s">
        <v>6769</v>
      </c>
      <c r="G868" t="s">
        <v>4701</v>
      </c>
      <c r="H868" t="s">
        <v>132</v>
      </c>
      <c r="I868" t="s">
        <v>4</v>
      </c>
      <c r="J868" t="s">
        <v>4276</v>
      </c>
      <c r="K868" t="s">
        <v>54</v>
      </c>
      <c r="M868" t="s">
        <v>134</v>
      </c>
      <c r="N868" t="s">
        <v>135</v>
      </c>
      <c r="Q868" t="s">
        <v>3731</v>
      </c>
      <c r="U868" t="s">
        <v>137</v>
      </c>
      <c r="V868" t="s">
        <v>646</v>
      </c>
      <c r="X868" t="s">
        <v>74</v>
      </c>
      <c r="AA868" t="s">
        <v>4702</v>
      </c>
      <c r="AC868" t="s">
        <v>138</v>
      </c>
      <c r="AD868" t="s">
        <v>128</v>
      </c>
      <c r="AE868" s="97">
        <f>VLOOKUP(A:A,SUMMERY!AA:AC,2,FALSE)</f>
        <v>46220</v>
      </c>
      <c r="AF868" s="6" t="str">
        <f>VLOOKUP(A:A,SUMMERY!AA:AC,3,FALSE)</f>
        <v>Priority-1</v>
      </c>
    </row>
    <row r="869" spans="1:32" x14ac:dyDescent="0.3">
      <c r="A869" t="s">
        <v>4731</v>
      </c>
      <c r="C869" t="s">
        <v>4336</v>
      </c>
      <c r="E869" t="s">
        <v>4336</v>
      </c>
      <c r="F869" t="s">
        <v>6769</v>
      </c>
      <c r="G869" t="s">
        <v>4701</v>
      </c>
      <c r="H869" t="s">
        <v>132</v>
      </c>
      <c r="I869" t="s">
        <v>4</v>
      </c>
      <c r="J869" t="s">
        <v>4276</v>
      </c>
      <c r="K869" t="s">
        <v>54</v>
      </c>
      <c r="M869" t="s">
        <v>134</v>
      </c>
      <c r="N869" t="s">
        <v>135</v>
      </c>
      <c r="Q869" t="s">
        <v>3731</v>
      </c>
      <c r="U869" t="s">
        <v>137</v>
      </c>
      <c r="V869" t="s">
        <v>646</v>
      </c>
      <c r="X869" t="s">
        <v>74</v>
      </c>
      <c r="AA869" t="s">
        <v>4702</v>
      </c>
      <c r="AC869" t="s">
        <v>138</v>
      </c>
      <c r="AD869" t="s">
        <v>128</v>
      </c>
      <c r="AE869" s="97">
        <f>VLOOKUP(A:A,SUMMERY!AA:AC,2,FALSE)</f>
        <v>46220</v>
      </c>
      <c r="AF869" s="6" t="str">
        <f>VLOOKUP(A:A,SUMMERY!AA:AC,3,FALSE)</f>
        <v>Priority-1</v>
      </c>
    </row>
    <row r="870" spans="1:32" x14ac:dyDescent="0.3">
      <c r="A870" t="s">
        <v>4742</v>
      </c>
      <c r="C870" t="s">
        <v>4358</v>
      </c>
      <c r="E870" t="s">
        <v>4358</v>
      </c>
      <c r="F870" t="s">
        <v>6769</v>
      </c>
      <c r="G870" t="s">
        <v>4701</v>
      </c>
      <c r="H870" t="s">
        <v>132</v>
      </c>
      <c r="I870" t="s">
        <v>4</v>
      </c>
      <c r="J870" t="s">
        <v>4276</v>
      </c>
      <c r="K870" t="s">
        <v>54</v>
      </c>
      <c r="M870" t="s">
        <v>134</v>
      </c>
      <c r="N870" t="s">
        <v>135</v>
      </c>
      <c r="Q870" t="s">
        <v>3731</v>
      </c>
      <c r="U870" t="s">
        <v>137</v>
      </c>
      <c r="V870" t="s">
        <v>1190</v>
      </c>
      <c r="X870" t="s">
        <v>67</v>
      </c>
      <c r="AA870" t="s">
        <v>4702</v>
      </c>
      <c r="AC870" t="s">
        <v>138</v>
      </c>
      <c r="AD870" t="s">
        <v>128</v>
      </c>
      <c r="AE870" s="97">
        <f>VLOOKUP(A:A,SUMMERY!AA:AC,2,FALSE)</f>
        <v>46220</v>
      </c>
      <c r="AF870" s="6" t="str">
        <f>VLOOKUP(A:A,SUMMERY!AA:AC,3,FALSE)</f>
        <v>Priority-1</v>
      </c>
    </row>
    <row r="871" spans="1:32" x14ac:dyDescent="0.3">
      <c r="A871" t="s">
        <v>4743</v>
      </c>
      <c r="C871" t="s">
        <v>4360</v>
      </c>
      <c r="E871" t="s">
        <v>4360</v>
      </c>
      <c r="F871" t="s">
        <v>6769</v>
      </c>
      <c r="G871" t="s">
        <v>4701</v>
      </c>
      <c r="H871" t="s">
        <v>132</v>
      </c>
      <c r="I871" t="s">
        <v>4</v>
      </c>
      <c r="J871" t="s">
        <v>4276</v>
      </c>
      <c r="K871" t="s">
        <v>54</v>
      </c>
      <c r="M871" t="s">
        <v>134</v>
      </c>
      <c r="N871" t="s">
        <v>135</v>
      </c>
      <c r="Q871" t="s">
        <v>3731</v>
      </c>
      <c r="U871" t="s">
        <v>137</v>
      </c>
      <c r="V871" t="s">
        <v>1190</v>
      </c>
      <c r="X871" t="s">
        <v>67</v>
      </c>
      <c r="AA871" t="s">
        <v>4702</v>
      </c>
      <c r="AC871" t="s">
        <v>138</v>
      </c>
      <c r="AD871" t="s">
        <v>128</v>
      </c>
      <c r="AE871" s="97">
        <f>VLOOKUP(A:A,SUMMERY!AA:AC,2,FALSE)</f>
        <v>46220</v>
      </c>
      <c r="AF871" s="6" t="str">
        <f>VLOOKUP(A:A,SUMMERY!AA:AC,3,FALSE)</f>
        <v>Priority-1</v>
      </c>
    </row>
    <row r="872" spans="1:32" x14ac:dyDescent="0.3">
      <c r="A872" t="s">
        <v>4744</v>
      </c>
      <c r="C872" t="s">
        <v>4362</v>
      </c>
      <c r="E872" t="s">
        <v>4362</v>
      </c>
      <c r="F872" t="s">
        <v>6769</v>
      </c>
      <c r="G872" t="s">
        <v>4701</v>
      </c>
      <c r="H872" t="s">
        <v>132</v>
      </c>
      <c r="I872" t="s">
        <v>4</v>
      </c>
      <c r="J872" t="s">
        <v>4276</v>
      </c>
      <c r="K872" t="s">
        <v>54</v>
      </c>
      <c r="M872" t="s">
        <v>134</v>
      </c>
      <c r="N872" t="s">
        <v>135</v>
      </c>
      <c r="Q872" t="s">
        <v>3731</v>
      </c>
      <c r="U872" t="s">
        <v>137</v>
      </c>
      <c r="V872" t="s">
        <v>1194</v>
      </c>
      <c r="X872" t="s">
        <v>75</v>
      </c>
      <c r="AA872" t="s">
        <v>4702</v>
      </c>
      <c r="AC872" t="s">
        <v>138</v>
      </c>
      <c r="AD872" t="s">
        <v>128</v>
      </c>
      <c r="AE872" s="97">
        <f>VLOOKUP(A:A,SUMMERY!AA:AC,2,FALSE)</f>
        <v>46220</v>
      </c>
      <c r="AF872" s="6" t="str">
        <f>VLOOKUP(A:A,SUMMERY!AA:AC,3,FALSE)</f>
        <v>Priority-1</v>
      </c>
    </row>
    <row r="873" spans="1:32" x14ac:dyDescent="0.3">
      <c r="A873" t="s">
        <v>4745</v>
      </c>
      <c r="C873" t="s">
        <v>4364</v>
      </c>
      <c r="E873" t="s">
        <v>4364</v>
      </c>
      <c r="F873" t="s">
        <v>6769</v>
      </c>
      <c r="G873" t="s">
        <v>4701</v>
      </c>
      <c r="H873" t="s">
        <v>132</v>
      </c>
      <c r="I873" t="s">
        <v>4</v>
      </c>
      <c r="J873" t="s">
        <v>4276</v>
      </c>
      <c r="K873" t="s">
        <v>54</v>
      </c>
      <c r="M873" t="s">
        <v>134</v>
      </c>
      <c r="N873" t="s">
        <v>135</v>
      </c>
      <c r="Q873" t="s">
        <v>3731</v>
      </c>
      <c r="U873" t="s">
        <v>137</v>
      </c>
      <c r="V873" t="s">
        <v>1194</v>
      </c>
      <c r="X873" t="s">
        <v>75</v>
      </c>
      <c r="AA873" t="s">
        <v>4702</v>
      </c>
      <c r="AC873" t="s">
        <v>138</v>
      </c>
      <c r="AD873" t="s">
        <v>128</v>
      </c>
      <c r="AE873" s="97">
        <f>VLOOKUP(A:A,SUMMERY!AA:AC,2,FALSE)</f>
        <v>46220</v>
      </c>
      <c r="AF873" s="6" t="str">
        <f>VLOOKUP(A:A,SUMMERY!AA:AC,3,FALSE)</f>
        <v>Priority-1</v>
      </c>
    </row>
    <row r="874" spans="1:32" x14ac:dyDescent="0.3">
      <c r="A874" t="s">
        <v>4756</v>
      </c>
      <c r="C874" t="s">
        <v>4386</v>
      </c>
      <c r="E874" t="s">
        <v>4386</v>
      </c>
      <c r="F874" t="s">
        <v>6769</v>
      </c>
      <c r="G874" t="s">
        <v>4701</v>
      </c>
      <c r="H874" t="s">
        <v>132</v>
      </c>
      <c r="I874" t="s">
        <v>4</v>
      </c>
      <c r="J874" t="s">
        <v>4276</v>
      </c>
      <c r="K874" t="s">
        <v>54</v>
      </c>
      <c r="M874" t="s">
        <v>134</v>
      </c>
      <c r="N874" t="s">
        <v>135</v>
      </c>
      <c r="Q874" t="s">
        <v>3731</v>
      </c>
      <c r="U874" t="s">
        <v>137</v>
      </c>
      <c r="V874" t="s">
        <v>403</v>
      </c>
      <c r="X874" t="s">
        <v>68</v>
      </c>
      <c r="AA874" t="s">
        <v>4702</v>
      </c>
      <c r="AC874" t="s">
        <v>138</v>
      </c>
      <c r="AD874" t="s">
        <v>128</v>
      </c>
      <c r="AE874" s="97">
        <f>VLOOKUP(A:A,SUMMERY!AA:AC,2,FALSE)</f>
        <v>46233</v>
      </c>
      <c r="AF874" s="6" t="str">
        <f>VLOOKUP(A:A,SUMMERY!AA:AC,3,FALSE)</f>
        <v>Priority-1</v>
      </c>
    </row>
    <row r="875" spans="1:32" x14ac:dyDescent="0.3">
      <c r="A875" t="s">
        <v>4757</v>
      </c>
      <c r="C875" t="s">
        <v>4388</v>
      </c>
      <c r="E875" t="s">
        <v>4388</v>
      </c>
      <c r="F875" t="s">
        <v>6769</v>
      </c>
      <c r="G875" t="s">
        <v>4701</v>
      </c>
      <c r="H875" t="s">
        <v>132</v>
      </c>
      <c r="I875" t="s">
        <v>4</v>
      </c>
      <c r="J875" t="s">
        <v>4276</v>
      </c>
      <c r="K875" t="s">
        <v>54</v>
      </c>
      <c r="M875" t="s">
        <v>134</v>
      </c>
      <c r="N875" t="s">
        <v>135</v>
      </c>
      <c r="Q875" t="s">
        <v>3731</v>
      </c>
      <c r="U875" t="s">
        <v>137</v>
      </c>
      <c r="V875" t="s">
        <v>403</v>
      </c>
      <c r="X875" t="s">
        <v>68</v>
      </c>
      <c r="AA875" t="s">
        <v>4702</v>
      </c>
      <c r="AC875" t="s">
        <v>138</v>
      </c>
      <c r="AD875" t="s">
        <v>128</v>
      </c>
      <c r="AE875" s="97">
        <f>VLOOKUP(A:A,SUMMERY!AA:AC,2,FALSE)</f>
        <v>46233</v>
      </c>
      <c r="AF875" s="6" t="str">
        <f>VLOOKUP(A:A,SUMMERY!AA:AC,3,FALSE)</f>
        <v>Priority-1</v>
      </c>
    </row>
    <row r="876" spans="1:32" x14ac:dyDescent="0.3">
      <c r="A876" t="s">
        <v>4758</v>
      </c>
      <c r="C876" t="s">
        <v>4390</v>
      </c>
      <c r="E876" t="s">
        <v>4390</v>
      </c>
      <c r="F876" t="s">
        <v>6769</v>
      </c>
      <c r="G876" t="s">
        <v>4701</v>
      </c>
      <c r="H876" t="s">
        <v>132</v>
      </c>
      <c r="I876" t="s">
        <v>4</v>
      </c>
      <c r="J876" t="s">
        <v>4276</v>
      </c>
      <c r="K876" t="s">
        <v>54</v>
      </c>
      <c r="M876" t="s">
        <v>134</v>
      </c>
      <c r="N876" t="s">
        <v>135</v>
      </c>
      <c r="Q876" t="s">
        <v>3731</v>
      </c>
      <c r="U876" t="s">
        <v>137</v>
      </c>
      <c r="V876" t="s">
        <v>407</v>
      </c>
      <c r="X876" t="s">
        <v>77</v>
      </c>
      <c r="AA876" t="s">
        <v>4702</v>
      </c>
      <c r="AC876" t="s">
        <v>138</v>
      </c>
      <c r="AD876" t="s">
        <v>128</v>
      </c>
      <c r="AE876" s="97">
        <f>VLOOKUP(A:A,SUMMERY!AA:AC,2,FALSE)</f>
        <v>46233</v>
      </c>
      <c r="AF876" s="6" t="str">
        <f>VLOOKUP(A:A,SUMMERY!AA:AC,3,FALSE)</f>
        <v>Priority-1</v>
      </c>
    </row>
    <row r="877" spans="1:32" x14ac:dyDescent="0.3">
      <c r="A877" t="s">
        <v>4759</v>
      </c>
      <c r="C877" t="s">
        <v>4392</v>
      </c>
      <c r="E877" t="s">
        <v>4392</v>
      </c>
      <c r="F877" t="s">
        <v>6769</v>
      </c>
      <c r="G877" t="s">
        <v>4701</v>
      </c>
      <c r="H877" t="s">
        <v>132</v>
      </c>
      <c r="I877" t="s">
        <v>4</v>
      </c>
      <c r="J877" t="s">
        <v>4276</v>
      </c>
      <c r="K877" t="s">
        <v>54</v>
      </c>
      <c r="M877" t="s">
        <v>134</v>
      </c>
      <c r="N877" t="s">
        <v>135</v>
      </c>
      <c r="Q877" t="s">
        <v>3731</v>
      </c>
      <c r="U877" t="s">
        <v>137</v>
      </c>
      <c r="V877" t="s">
        <v>407</v>
      </c>
      <c r="X877" t="s">
        <v>77</v>
      </c>
      <c r="AA877" t="s">
        <v>4702</v>
      </c>
      <c r="AC877" t="s">
        <v>138</v>
      </c>
      <c r="AD877" t="s">
        <v>128</v>
      </c>
      <c r="AE877" s="97">
        <f>VLOOKUP(A:A,SUMMERY!AA:AC,2,FALSE)</f>
        <v>46233</v>
      </c>
      <c r="AF877" s="6" t="str">
        <f>VLOOKUP(A:A,SUMMERY!AA:AC,3,FALSE)</f>
        <v>Priority-1</v>
      </c>
    </row>
    <row r="878" spans="1:32" x14ac:dyDescent="0.3">
      <c r="A878" t="s">
        <v>4770</v>
      </c>
      <c r="C878" t="s">
        <v>4414</v>
      </c>
      <c r="E878" t="s">
        <v>4414</v>
      </c>
      <c r="F878" t="s">
        <v>6769</v>
      </c>
      <c r="G878" t="s">
        <v>4701</v>
      </c>
      <c r="H878" t="s">
        <v>132</v>
      </c>
      <c r="I878" t="s">
        <v>4</v>
      </c>
      <c r="J878" t="s">
        <v>4276</v>
      </c>
      <c r="K878" t="s">
        <v>54</v>
      </c>
      <c r="M878" t="s">
        <v>134</v>
      </c>
      <c r="N878" t="s">
        <v>135</v>
      </c>
      <c r="Q878" t="s">
        <v>3731</v>
      </c>
      <c r="U878" t="s">
        <v>137</v>
      </c>
      <c r="V878" t="s">
        <v>1279</v>
      </c>
      <c r="X878" t="s">
        <v>71</v>
      </c>
      <c r="AA878" t="s">
        <v>4702</v>
      </c>
      <c r="AC878" t="s">
        <v>138</v>
      </c>
      <c r="AD878" t="s">
        <v>128</v>
      </c>
      <c r="AE878" s="97">
        <f>VLOOKUP(A:A,SUMMERY!AA:AC,2,FALSE)</f>
        <v>46233</v>
      </c>
      <c r="AF878" s="6" t="str">
        <f>VLOOKUP(A:A,SUMMERY!AA:AC,3,FALSE)</f>
        <v>Priority-1</v>
      </c>
    </row>
    <row r="879" spans="1:32" x14ac:dyDescent="0.3">
      <c r="A879" t="s">
        <v>4771</v>
      </c>
      <c r="C879" t="s">
        <v>4416</v>
      </c>
      <c r="E879" t="s">
        <v>4416</v>
      </c>
      <c r="F879" t="s">
        <v>6769</v>
      </c>
      <c r="G879" t="s">
        <v>4701</v>
      </c>
      <c r="H879" t="s">
        <v>132</v>
      </c>
      <c r="I879" t="s">
        <v>4</v>
      </c>
      <c r="J879" t="s">
        <v>4276</v>
      </c>
      <c r="K879" t="s">
        <v>54</v>
      </c>
      <c r="M879" t="s">
        <v>134</v>
      </c>
      <c r="N879" t="s">
        <v>135</v>
      </c>
      <c r="Q879" t="s">
        <v>3731</v>
      </c>
      <c r="U879" t="s">
        <v>137</v>
      </c>
      <c r="V879" t="s">
        <v>1279</v>
      </c>
      <c r="X879" t="s">
        <v>71</v>
      </c>
      <c r="AA879" t="s">
        <v>4702</v>
      </c>
      <c r="AC879" t="s">
        <v>138</v>
      </c>
      <c r="AD879" t="s">
        <v>128</v>
      </c>
      <c r="AE879" s="97">
        <f>VLOOKUP(A:A,SUMMERY!AA:AC,2,FALSE)</f>
        <v>46233</v>
      </c>
      <c r="AF879" s="6" t="str">
        <f>VLOOKUP(A:A,SUMMERY!AA:AC,3,FALSE)</f>
        <v>Priority-1</v>
      </c>
    </row>
    <row r="880" spans="1:32" x14ac:dyDescent="0.3">
      <c r="A880" t="s">
        <v>4772</v>
      </c>
      <c r="C880" t="s">
        <v>4418</v>
      </c>
      <c r="E880" t="s">
        <v>4418</v>
      </c>
      <c r="F880" t="s">
        <v>6769</v>
      </c>
      <c r="G880" t="s">
        <v>4701</v>
      </c>
      <c r="H880" t="s">
        <v>132</v>
      </c>
      <c r="I880" t="s">
        <v>4</v>
      </c>
      <c r="J880" t="s">
        <v>4276</v>
      </c>
      <c r="K880" t="s">
        <v>54</v>
      </c>
      <c r="M880" t="s">
        <v>134</v>
      </c>
      <c r="N880" t="s">
        <v>135</v>
      </c>
      <c r="Q880" t="s">
        <v>3731</v>
      </c>
      <c r="U880" t="s">
        <v>137</v>
      </c>
      <c r="V880" t="s">
        <v>1283</v>
      </c>
      <c r="X880" t="s">
        <v>78</v>
      </c>
      <c r="AA880" t="s">
        <v>4702</v>
      </c>
      <c r="AC880" t="s">
        <v>138</v>
      </c>
      <c r="AD880" t="s">
        <v>128</v>
      </c>
      <c r="AE880" s="97">
        <f>VLOOKUP(A:A,SUMMERY!AA:AC,2,FALSE)</f>
        <v>46234</v>
      </c>
      <c r="AF880" s="6" t="str">
        <f>VLOOKUP(A:A,SUMMERY!AA:AC,3,FALSE)</f>
        <v>Priority-1</v>
      </c>
    </row>
    <row r="881" spans="1:32" x14ac:dyDescent="0.3">
      <c r="A881" t="s">
        <v>4773</v>
      </c>
      <c r="C881" t="s">
        <v>4420</v>
      </c>
      <c r="E881" t="s">
        <v>4420</v>
      </c>
      <c r="F881" t="s">
        <v>6769</v>
      </c>
      <c r="G881" t="s">
        <v>4701</v>
      </c>
      <c r="H881" t="s">
        <v>132</v>
      </c>
      <c r="I881" t="s">
        <v>4</v>
      </c>
      <c r="J881" t="s">
        <v>4276</v>
      </c>
      <c r="K881" t="s">
        <v>54</v>
      </c>
      <c r="M881" t="s">
        <v>134</v>
      </c>
      <c r="N881" t="s">
        <v>135</v>
      </c>
      <c r="Q881" t="s">
        <v>3731</v>
      </c>
      <c r="U881" t="s">
        <v>137</v>
      </c>
      <c r="V881" t="s">
        <v>1283</v>
      </c>
      <c r="X881" t="s">
        <v>78</v>
      </c>
      <c r="AA881" t="s">
        <v>4702</v>
      </c>
      <c r="AC881" t="s">
        <v>138</v>
      </c>
      <c r="AD881" t="s">
        <v>128</v>
      </c>
      <c r="AE881" s="97">
        <f>VLOOKUP(A:A,SUMMERY!AA:AC,2,FALSE)</f>
        <v>46234</v>
      </c>
      <c r="AF881" s="6" t="str">
        <f>VLOOKUP(A:A,SUMMERY!AA:AC,3,FALSE)</f>
        <v>Priority-1</v>
      </c>
    </row>
    <row r="882" spans="1:32" x14ac:dyDescent="0.3">
      <c r="A882" t="s">
        <v>4784</v>
      </c>
      <c r="C882" t="s">
        <v>4442</v>
      </c>
      <c r="E882" t="s">
        <v>4442</v>
      </c>
      <c r="F882" t="s">
        <v>6769</v>
      </c>
      <c r="G882" t="s">
        <v>4701</v>
      </c>
      <c r="H882" t="s">
        <v>132</v>
      </c>
      <c r="I882" t="s">
        <v>4</v>
      </c>
      <c r="J882" t="s">
        <v>4276</v>
      </c>
      <c r="K882" t="s">
        <v>54</v>
      </c>
      <c r="M882" t="s">
        <v>134</v>
      </c>
      <c r="N882" t="s">
        <v>135</v>
      </c>
      <c r="Q882" t="s">
        <v>3731</v>
      </c>
      <c r="U882" t="s">
        <v>137</v>
      </c>
      <c r="V882" t="s">
        <v>703</v>
      </c>
      <c r="X882" t="s">
        <v>62</v>
      </c>
      <c r="AA882" t="s">
        <v>4702</v>
      </c>
      <c r="AC882" t="s">
        <v>138</v>
      </c>
      <c r="AD882" t="s">
        <v>128</v>
      </c>
      <c r="AE882" s="97">
        <f>VLOOKUP(A:A,SUMMERY!AA:AC,2,FALSE)</f>
        <v>46220</v>
      </c>
      <c r="AF882" s="6" t="str">
        <f>VLOOKUP(A:A,SUMMERY!AA:AC,3,FALSE)</f>
        <v>Priority-1</v>
      </c>
    </row>
    <row r="883" spans="1:32" x14ac:dyDescent="0.3">
      <c r="A883" t="s">
        <v>4785</v>
      </c>
      <c r="C883" t="s">
        <v>4444</v>
      </c>
      <c r="E883" t="s">
        <v>4444</v>
      </c>
      <c r="F883" t="s">
        <v>6769</v>
      </c>
      <c r="G883" t="s">
        <v>4701</v>
      </c>
      <c r="H883" t="s">
        <v>132</v>
      </c>
      <c r="I883" t="s">
        <v>4</v>
      </c>
      <c r="J883" t="s">
        <v>4276</v>
      </c>
      <c r="K883" t="s">
        <v>54</v>
      </c>
      <c r="M883" t="s">
        <v>134</v>
      </c>
      <c r="N883" t="s">
        <v>135</v>
      </c>
      <c r="Q883" t="s">
        <v>3731</v>
      </c>
      <c r="U883" t="s">
        <v>137</v>
      </c>
      <c r="V883" t="s">
        <v>703</v>
      </c>
      <c r="X883" t="s">
        <v>62</v>
      </c>
      <c r="AA883" t="s">
        <v>4702</v>
      </c>
      <c r="AC883" t="s">
        <v>138</v>
      </c>
      <c r="AD883" t="s">
        <v>128</v>
      </c>
      <c r="AE883" s="97">
        <f>VLOOKUP(A:A,SUMMERY!AA:AC,2,FALSE)</f>
        <v>46220</v>
      </c>
      <c r="AF883" s="6" t="str">
        <f>VLOOKUP(A:A,SUMMERY!AA:AC,3,FALSE)</f>
        <v>Priority-1</v>
      </c>
    </row>
    <row r="884" spans="1:32" x14ac:dyDescent="0.3">
      <c r="A884" t="s">
        <v>4786</v>
      </c>
      <c r="C884" t="s">
        <v>4446</v>
      </c>
      <c r="E884" t="s">
        <v>4446</v>
      </c>
      <c r="F884" t="s">
        <v>6769</v>
      </c>
      <c r="G884" t="s">
        <v>4701</v>
      </c>
      <c r="H884" t="s">
        <v>132</v>
      </c>
      <c r="I884" t="s">
        <v>4</v>
      </c>
      <c r="J884" t="s">
        <v>4276</v>
      </c>
      <c r="K884" t="s">
        <v>54</v>
      </c>
      <c r="M884" t="s">
        <v>134</v>
      </c>
      <c r="N884" t="s">
        <v>135</v>
      </c>
      <c r="Q884" t="s">
        <v>3731</v>
      </c>
      <c r="U884" t="s">
        <v>137</v>
      </c>
      <c r="V884" t="s">
        <v>703</v>
      </c>
      <c r="X884" t="s">
        <v>62</v>
      </c>
      <c r="AA884" t="s">
        <v>4702</v>
      </c>
      <c r="AC884" t="s">
        <v>138</v>
      </c>
      <c r="AD884" t="s">
        <v>128</v>
      </c>
      <c r="AE884" s="97">
        <f>VLOOKUP(A:A,SUMMERY!AA:AC,2,FALSE)</f>
        <v>46220</v>
      </c>
      <c r="AF884" s="6" t="str">
        <f>VLOOKUP(A:A,SUMMERY!AA:AC,3,FALSE)</f>
        <v>Priority-1</v>
      </c>
    </row>
    <row r="885" spans="1:32" x14ac:dyDescent="0.3">
      <c r="A885" t="s">
        <v>4787</v>
      </c>
      <c r="C885" t="s">
        <v>4448</v>
      </c>
      <c r="E885" t="s">
        <v>4448</v>
      </c>
      <c r="F885" t="s">
        <v>6769</v>
      </c>
      <c r="G885" t="s">
        <v>4701</v>
      </c>
      <c r="H885" t="s">
        <v>132</v>
      </c>
      <c r="I885" t="s">
        <v>4</v>
      </c>
      <c r="J885" t="s">
        <v>4276</v>
      </c>
      <c r="K885" t="s">
        <v>54</v>
      </c>
      <c r="M885" t="s">
        <v>134</v>
      </c>
      <c r="N885" t="s">
        <v>135</v>
      </c>
      <c r="Q885" t="s">
        <v>3731</v>
      </c>
      <c r="U885" t="s">
        <v>137</v>
      </c>
      <c r="V885" t="s">
        <v>703</v>
      </c>
      <c r="X885" t="s">
        <v>62</v>
      </c>
      <c r="AA885" t="s">
        <v>4702</v>
      </c>
      <c r="AC885" t="s">
        <v>138</v>
      </c>
      <c r="AD885" t="s">
        <v>128</v>
      </c>
      <c r="AE885" s="97">
        <f>VLOOKUP(A:A,SUMMERY!AA:AC,2,FALSE)</f>
        <v>46220</v>
      </c>
      <c r="AF885" s="6" t="str">
        <f>VLOOKUP(A:A,SUMMERY!AA:AC,3,FALSE)</f>
        <v>Priority-1</v>
      </c>
    </row>
    <row r="886" spans="1:32" x14ac:dyDescent="0.3">
      <c r="A886" t="s">
        <v>4788</v>
      </c>
      <c r="C886" t="s">
        <v>4450</v>
      </c>
      <c r="E886" t="s">
        <v>4450</v>
      </c>
      <c r="F886" t="s">
        <v>6769</v>
      </c>
      <c r="G886" t="s">
        <v>4701</v>
      </c>
      <c r="H886" t="s">
        <v>132</v>
      </c>
      <c r="I886" t="s">
        <v>4</v>
      </c>
      <c r="J886" t="s">
        <v>4276</v>
      </c>
      <c r="K886" t="s">
        <v>54</v>
      </c>
      <c r="M886" t="s">
        <v>134</v>
      </c>
      <c r="N886" t="s">
        <v>135</v>
      </c>
      <c r="Q886" t="s">
        <v>3731</v>
      </c>
      <c r="U886" t="s">
        <v>137</v>
      </c>
      <c r="V886" t="s">
        <v>703</v>
      </c>
      <c r="X886" t="s">
        <v>62</v>
      </c>
      <c r="AA886" t="s">
        <v>4702</v>
      </c>
      <c r="AC886" t="s">
        <v>138</v>
      </c>
      <c r="AD886" t="s">
        <v>128</v>
      </c>
      <c r="AE886" s="97">
        <f>VLOOKUP(A:A,SUMMERY!AA:AC,2,FALSE)</f>
        <v>46220</v>
      </c>
      <c r="AF886" s="6" t="str">
        <f>VLOOKUP(A:A,SUMMERY!AA:AC,3,FALSE)</f>
        <v>Priority-1</v>
      </c>
    </row>
    <row r="887" spans="1:32" x14ac:dyDescent="0.3">
      <c r="A887" t="s">
        <v>4789</v>
      </c>
      <c r="C887" t="s">
        <v>4452</v>
      </c>
      <c r="E887" t="s">
        <v>4452</v>
      </c>
      <c r="F887" t="s">
        <v>6769</v>
      </c>
      <c r="G887" t="s">
        <v>4701</v>
      </c>
      <c r="H887" t="s">
        <v>132</v>
      </c>
      <c r="I887" t="s">
        <v>4</v>
      </c>
      <c r="J887" t="s">
        <v>4276</v>
      </c>
      <c r="K887" t="s">
        <v>54</v>
      </c>
      <c r="M887" t="s">
        <v>134</v>
      </c>
      <c r="N887" t="s">
        <v>135</v>
      </c>
      <c r="Q887" t="s">
        <v>3731</v>
      </c>
      <c r="U887" t="s">
        <v>137</v>
      </c>
      <c r="V887" t="s">
        <v>703</v>
      </c>
      <c r="X887" t="s">
        <v>62</v>
      </c>
      <c r="AA887" t="s">
        <v>4702</v>
      </c>
      <c r="AC887" t="s">
        <v>138</v>
      </c>
      <c r="AD887" t="s">
        <v>128</v>
      </c>
      <c r="AE887" s="97">
        <f>VLOOKUP(A:A,SUMMERY!AA:AC,2,FALSE)</f>
        <v>46220</v>
      </c>
      <c r="AF887" s="6" t="str">
        <f>VLOOKUP(A:A,SUMMERY!AA:AC,3,FALSE)</f>
        <v>Priority-1</v>
      </c>
    </row>
    <row r="888" spans="1:32" x14ac:dyDescent="0.3">
      <c r="A888" t="s">
        <v>4790</v>
      </c>
      <c r="C888" t="s">
        <v>4454</v>
      </c>
      <c r="E888" t="s">
        <v>4454</v>
      </c>
      <c r="F888" t="s">
        <v>6769</v>
      </c>
      <c r="G888" t="s">
        <v>4701</v>
      </c>
      <c r="H888" t="s">
        <v>132</v>
      </c>
      <c r="I888" t="s">
        <v>4</v>
      </c>
      <c r="J888" t="s">
        <v>4276</v>
      </c>
      <c r="K888" t="s">
        <v>54</v>
      </c>
      <c r="M888" t="s">
        <v>134</v>
      </c>
      <c r="N888" t="s">
        <v>135</v>
      </c>
      <c r="Q888" t="s">
        <v>3731</v>
      </c>
      <c r="U888" t="s">
        <v>137</v>
      </c>
      <c r="V888" t="s">
        <v>709</v>
      </c>
      <c r="X888" t="s">
        <v>73</v>
      </c>
      <c r="AA888" t="s">
        <v>4702</v>
      </c>
      <c r="AC888" t="s">
        <v>138</v>
      </c>
      <c r="AD888" t="s">
        <v>128</v>
      </c>
      <c r="AE888" s="97">
        <f>VLOOKUP(A:A,SUMMERY!AA:AC,2,FALSE)</f>
        <v>46220</v>
      </c>
      <c r="AF888" s="6" t="str">
        <f>VLOOKUP(A:A,SUMMERY!AA:AC,3,FALSE)</f>
        <v>Priority-1</v>
      </c>
    </row>
    <row r="889" spans="1:32" x14ac:dyDescent="0.3">
      <c r="A889" t="s">
        <v>4791</v>
      </c>
      <c r="C889" t="s">
        <v>4456</v>
      </c>
      <c r="E889" t="s">
        <v>4456</v>
      </c>
      <c r="F889" t="s">
        <v>6769</v>
      </c>
      <c r="G889" t="s">
        <v>4701</v>
      </c>
      <c r="H889" t="s">
        <v>132</v>
      </c>
      <c r="I889" t="s">
        <v>4</v>
      </c>
      <c r="J889" t="s">
        <v>4276</v>
      </c>
      <c r="K889" t="s">
        <v>54</v>
      </c>
      <c r="M889" t="s">
        <v>134</v>
      </c>
      <c r="N889" t="s">
        <v>135</v>
      </c>
      <c r="Q889" t="s">
        <v>3731</v>
      </c>
      <c r="U889" t="s">
        <v>137</v>
      </c>
      <c r="V889" t="s">
        <v>709</v>
      </c>
      <c r="X889" t="s">
        <v>73</v>
      </c>
      <c r="AA889" t="s">
        <v>4702</v>
      </c>
      <c r="AC889" t="s">
        <v>138</v>
      </c>
      <c r="AD889" t="s">
        <v>128</v>
      </c>
      <c r="AE889" s="97">
        <f>VLOOKUP(A:A,SUMMERY!AA:AC,2,FALSE)</f>
        <v>46220</v>
      </c>
      <c r="AF889" s="6" t="str">
        <f>VLOOKUP(A:A,SUMMERY!AA:AC,3,FALSE)</f>
        <v>Priority-1</v>
      </c>
    </row>
    <row r="890" spans="1:32" x14ac:dyDescent="0.3">
      <c r="A890" t="s">
        <v>4792</v>
      </c>
      <c r="C890" t="s">
        <v>4458</v>
      </c>
      <c r="E890" t="s">
        <v>4458</v>
      </c>
      <c r="F890" t="s">
        <v>6769</v>
      </c>
      <c r="G890" t="s">
        <v>4701</v>
      </c>
      <c r="H890" t="s">
        <v>132</v>
      </c>
      <c r="I890" t="s">
        <v>4</v>
      </c>
      <c r="J890" t="s">
        <v>4276</v>
      </c>
      <c r="K890" t="s">
        <v>54</v>
      </c>
      <c r="M890" t="s">
        <v>134</v>
      </c>
      <c r="N890" t="s">
        <v>135</v>
      </c>
      <c r="Q890" t="s">
        <v>3731</v>
      </c>
      <c r="U890" t="s">
        <v>137</v>
      </c>
      <c r="V890" t="s">
        <v>709</v>
      </c>
      <c r="X890" t="s">
        <v>73</v>
      </c>
      <c r="AA890" t="s">
        <v>4702</v>
      </c>
      <c r="AC890" t="s">
        <v>138</v>
      </c>
      <c r="AD890" t="s">
        <v>128</v>
      </c>
      <c r="AE890" s="97">
        <f>VLOOKUP(A:A,SUMMERY!AA:AC,2,FALSE)</f>
        <v>46220</v>
      </c>
      <c r="AF890" s="6" t="str">
        <f>VLOOKUP(A:A,SUMMERY!AA:AC,3,FALSE)</f>
        <v>Priority-1</v>
      </c>
    </row>
    <row r="891" spans="1:32" x14ac:dyDescent="0.3">
      <c r="A891" t="s">
        <v>4793</v>
      </c>
      <c r="C891" t="s">
        <v>4460</v>
      </c>
      <c r="E891" t="s">
        <v>4460</v>
      </c>
      <c r="F891" t="s">
        <v>6769</v>
      </c>
      <c r="G891" t="s">
        <v>4701</v>
      </c>
      <c r="H891" t="s">
        <v>132</v>
      </c>
      <c r="I891" t="s">
        <v>4</v>
      </c>
      <c r="J891" t="s">
        <v>4276</v>
      </c>
      <c r="K891" t="s">
        <v>54</v>
      </c>
      <c r="M891" t="s">
        <v>134</v>
      </c>
      <c r="N891" t="s">
        <v>135</v>
      </c>
      <c r="Q891" t="s">
        <v>3731</v>
      </c>
      <c r="U891" t="s">
        <v>137</v>
      </c>
      <c r="V891" t="s">
        <v>709</v>
      </c>
      <c r="X891" t="s">
        <v>73</v>
      </c>
      <c r="AA891" t="s">
        <v>4702</v>
      </c>
      <c r="AC891" t="s">
        <v>138</v>
      </c>
      <c r="AD891" t="s">
        <v>128</v>
      </c>
      <c r="AE891" s="97">
        <f>VLOOKUP(A:A,SUMMERY!AA:AC,2,FALSE)</f>
        <v>46220</v>
      </c>
      <c r="AF891" s="6" t="str">
        <f>VLOOKUP(A:A,SUMMERY!AA:AC,3,FALSE)</f>
        <v>Priority-1</v>
      </c>
    </row>
    <row r="892" spans="1:32" x14ac:dyDescent="0.3">
      <c r="A892" t="s">
        <v>4794</v>
      </c>
      <c r="C892" t="s">
        <v>4462</v>
      </c>
      <c r="E892" t="s">
        <v>4462</v>
      </c>
      <c r="F892" t="s">
        <v>6769</v>
      </c>
      <c r="G892" t="s">
        <v>4701</v>
      </c>
      <c r="H892" t="s">
        <v>132</v>
      </c>
      <c r="I892" t="s">
        <v>4</v>
      </c>
      <c r="J892" t="s">
        <v>4276</v>
      </c>
      <c r="K892" t="s">
        <v>54</v>
      </c>
      <c r="M892" t="s">
        <v>134</v>
      </c>
      <c r="N892" t="s">
        <v>135</v>
      </c>
      <c r="Q892" t="s">
        <v>3731</v>
      </c>
      <c r="U892" t="s">
        <v>137</v>
      </c>
      <c r="V892" t="s">
        <v>709</v>
      </c>
      <c r="X892" t="s">
        <v>73</v>
      </c>
      <c r="AA892" t="s">
        <v>4702</v>
      </c>
      <c r="AC892" t="s">
        <v>138</v>
      </c>
      <c r="AD892" t="s">
        <v>128</v>
      </c>
      <c r="AE892" s="97">
        <f>VLOOKUP(A:A,SUMMERY!AA:AC,2,FALSE)</f>
        <v>46220</v>
      </c>
      <c r="AF892" s="6" t="str">
        <f>VLOOKUP(A:A,SUMMERY!AA:AC,3,FALSE)</f>
        <v>Priority-1</v>
      </c>
    </row>
    <row r="893" spans="1:32" x14ac:dyDescent="0.3">
      <c r="A893" t="s">
        <v>4795</v>
      </c>
      <c r="C893" t="s">
        <v>4464</v>
      </c>
      <c r="E893" t="s">
        <v>4464</v>
      </c>
      <c r="F893" t="s">
        <v>6769</v>
      </c>
      <c r="G893" t="s">
        <v>4701</v>
      </c>
      <c r="H893" t="s">
        <v>132</v>
      </c>
      <c r="I893" t="s">
        <v>4</v>
      </c>
      <c r="J893" t="s">
        <v>4276</v>
      </c>
      <c r="K893" t="s">
        <v>54</v>
      </c>
      <c r="M893" t="s">
        <v>134</v>
      </c>
      <c r="N893" t="s">
        <v>135</v>
      </c>
      <c r="Q893" t="s">
        <v>3731</v>
      </c>
      <c r="U893" t="s">
        <v>137</v>
      </c>
      <c r="V893" t="s">
        <v>709</v>
      </c>
      <c r="X893" t="s">
        <v>73</v>
      </c>
      <c r="AA893" t="s">
        <v>4702</v>
      </c>
      <c r="AC893" t="s">
        <v>138</v>
      </c>
      <c r="AD893" t="s">
        <v>128</v>
      </c>
      <c r="AE893" s="97">
        <f>VLOOKUP(A:A,SUMMERY!AA:AC,2,FALSE)</f>
        <v>46220</v>
      </c>
      <c r="AF893" s="6" t="str">
        <f>VLOOKUP(A:A,SUMMERY!AA:AC,3,FALSE)</f>
        <v>Priority-1</v>
      </c>
    </row>
    <row r="894" spans="1:32" x14ac:dyDescent="0.3">
      <c r="A894" t="s">
        <v>4826</v>
      </c>
      <c r="C894" t="s">
        <v>4526</v>
      </c>
      <c r="E894" t="s">
        <v>4526</v>
      </c>
      <c r="F894" t="s">
        <v>6769</v>
      </c>
      <c r="G894" t="s">
        <v>4701</v>
      </c>
      <c r="H894" t="s">
        <v>132</v>
      </c>
      <c r="I894" t="s">
        <v>4</v>
      </c>
      <c r="J894" t="s">
        <v>4276</v>
      </c>
      <c r="K894" t="s">
        <v>54</v>
      </c>
      <c r="M894" t="s">
        <v>134</v>
      </c>
      <c r="N894" t="s">
        <v>135</v>
      </c>
      <c r="Q894" t="s">
        <v>3731</v>
      </c>
      <c r="U894" t="s">
        <v>137</v>
      </c>
      <c r="V894" t="s">
        <v>1967</v>
      </c>
      <c r="X894" t="s">
        <v>125</v>
      </c>
      <c r="AA894" t="s">
        <v>4702</v>
      </c>
      <c r="AC894" t="s">
        <v>138</v>
      </c>
      <c r="AD894" t="s">
        <v>131</v>
      </c>
      <c r="AE894" s="97">
        <f>VLOOKUP(A:A,SUMMERY!AA:AC,2,FALSE)</f>
        <v>46234</v>
      </c>
      <c r="AF894" s="6" t="str">
        <f>VLOOKUP(A:A,SUMMERY!AA:AC,3,FALSE)</f>
        <v>Priority-2</v>
      </c>
    </row>
    <row r="895" spans="1:32" x14ac:dyDescent="0.3">
      <c r="A895" t="s">
        <v>4827</v>
      </c>
      <c r="C895" t="s">
        <v>4528</v>
      </c>
      <c r="E895" t="s">
        <v>4528</v>
      </c>
      <c r="F895" t="s">
        <v>6769</v>
      </c>
      <c r="G895" t="s">
        <v>4701</v>
      </c>
      <c r="H895" t="s">
        <v>132</v>
      </c>
      <c r="I895" t="s">
        <v>4</v>
      </c>
      <c r="J895" t="s">
        <v>4276</v>
      </c>
      <c r="K895" t="s">
        <v>54</v>
      </c>
      <c r="M895" t="s">
        <v>134</v>
      </c>
      <c r="N895" t="s">
        <v>135</v>
      </c>
      <c r="Q895" t="s">
        <v>3731</v>
      </c>
      <c r="U895" t="s">
        <v>137</v>
      </c>
      <c r="V895" t="s">
        <v>1967</v>
      </c>
      <c r="X895" t="s">
        <v>125</v>
      </c>
      <c r="AA895" t="s">
        <v>4702</v>
      </c>
      <c r="AC895" t="s">
        <v>138</v>
      </c>
      <c r="AD895" t="s">
        <v>131</v>
      </c>
      <c r="AE895" s="97">
        <f>VLOOKUP(A:A,SUMMERY!AA:AC,2,FALSE)</f>
        <v>46234</v>
      </c>
      <c r="AF895" s="6" t="str">
        <f>VLOOKUP(A:A,SUMMERY!AA:AC,3,FALSE)</f>
        <v>Priority-2</v>
      </c>
    </row>
    <row r="896" spans="1:32" x14ac:dyDescent="0.3">
      <c r="A896" t="s">
        <v>4828</v>
      </c>
      <c r="C896" t="s">
        <v>4530</v>
      </c>
      <c r="E896" t="s">
        <v>4530</v>
      </c>
      <c r="F896" t="s">
        <v>6769</v>
      </c>
      <c r="G896" t="s">
        <v>4701</v>
      </c>
      <c r="H896" t="s">
        <v>132</v>
      </c>
      <c r="I896" t="s">
        <v>4</v>
      </c>
      <c r="J896" t="s">
        <v>4276</v>
      </c>
      <c r="K896" t="s">
        <v>54</v>
      </c>
      <c r="M896" t="s">
        <v>134</v>
      </c>
      <c r="N896" t="s">
        <v>135</v>
      </c>
      <c r="Q896" t="s">
        <v>3731</v>
      </c>
      <c r="U896" t="s">
        <v>137</v>
      </c>
      <c r="V896" t="s">
        <v>1967</v>
      </c>
      <c r="X896" t="s">
        <v>125</v>
      </c>
      <c r="AA896" t="s">
        <v>4702</v>
      </c>
      <c r="AC896" t="s">
        <v>138</v>
      </c>
      <c r="AD896" t="s">
        <v>131</v>
      </c>
      <c r="AE896" s="97">
        <f>VLOOKUP(A:A,SUMMERY!AA:AC,2,FALSE)</f>
        <v>46234</v>
      </c>
      <c r="AF896" s="6" t="str">
        <f>VLOOKUP(A:A,SUMMERY!AA:AC,3,FALSE)</f>
        <v>Priority-2</v>
      </c>
    </row>
    <row r="897" spans="1:32" x14ac:dyDescent="0.3">
      <c r="A897" t="s">
        <v>4829</v>
      </c>
      <c r="C897" t="s">
        <v>4532</v>
      </c>
      <c r="E897" t="s">
        <v>4532</v>
      </c>
      <c r="F897" t="s">
        <v>6769</v>
      </c>
      <c r="G897" t="s">
        <v>4701</v>
      </c>
      <c r="H897" t="s">
        <v>132</v>
      </c>
      <c r="I897" t="s">
        <v>4</v>
      </c>
      <c r="J897" t="s">
        <v>4276</v>
      </c>
      <c r="K897" t="s">
        <v>54</v>
      </c>
      <c r="M897" t="s">
        <v>134</v>
      </c>
      <c r="N897" t="s">
        <v>135</v>
      </c>
      <c r="Q897" t="s">
        <v>3731</v>
      </c>
      <c r="U897" t="s">
        <v>137</v>
      </c>
      <c r="V897" t="s">
        <v>1259</v>
      </c>
      <c r="X897" t="s">
        <v>126</v>
      </c>
      <c r="AA897" t="s">
        <v>4702</v>
      </c>
      <c r="AC897" t="s">
        <v>138</v>
      </c>
      <c r="AD897" t="s">
        <v>131</v>
      </c>
      <c r="AE897" s="97">
        <f>VLOOKUP(A:A,SUMMERY!AA:AC,2,FALSE)</f>
        <v>46234</v>
      </c>
      <c r="AF897" s="6" t="str">
        <f>VLOOKUP(A:A,SUMMERY!AA:AC,3,FALSE)</f>
        <v>Priority-2</v>
      </c>
    </row>
    <row r="898" spans="1:32" x14ac:dyDescent="0.3">
      <c r="A898" t="s">
        <v>4830</v>
      </c>
      <c r="C898" t="s">
        <v>4534</v>
      </c>
      <c r="E898" t="s">
        <v>4534</v>
      </c>
      <c r="F898" t="s">
        <v>6769</v>
      </c>
      <c r="G898" t="s">
        <v>4701</v>
      </c>
      <c r="H898" t="s">
        <v>132</v>
      </c>
      <c r="I898" t="s">
        <v>4</v>
      </c>
      <c r="J898" t="s">
        <v>4276</v>
      </c>
      <c r="K898" t="s">
        <v>54</v>
      </c>
      <c r="M898" t="s">
        <v>134</v>
      </c>
      <c r="N898" t="s">
        <v>135</v>
      </c>
      <c r="Q898" t="s">
        <v>3731</v>
      </c>
      <c r="U898" t="s">
        <v>137</v>
      </c>
      <c r="V898" t="s">
        <v>1259</v>
      </c>
      <c r="X898" t="s">
        <v>126</v>
      </c>
      <c r="AA898" t="s">
        <v>4702</v>
      </c>
      <c r="AC898" t="s">
        <v>138</v>
      </c>
      <c r="AD898" t="s">
        <v>131</v>
      </c>
      <c r="AE898" s="97">
        <f>VLOOKUP(A:A,SUMMERY!AA:AC,2,FALSE)</f>
        <v>46234</v>
      </c>
      <c r="AF898" s="6" t="str">
        <f>VLOOKUP(A:A,SUMMERY!AA:AC,3,FALSE)</f>
        <v>Priority-2</v>
      </c>
    </row>
    <row r="899" spans="1:32" x14ac:dyDescent="0.3">
      <c r="A899" t="s">
        <v>4831</v>
      </c>
      <c r="C899" t="s">
        <v>4536</v>
      </c>
      <c r="E899" t="s">
        <v>4536</v>
      </c>
      <c r="F899" t="s">
        <v>6769</v>
      </c>
      <c r="G899" t="s">
        <v>4701</v>
      </c>
      <c r="H899" t="s">
        <v>132</v>
      </c>
      <c r="I899" t="s">
        <v>4</v>
      </c>
      <c r="J899" t="s">
        <v>4276</v>
      </c>
      <c r="K899" t="s">
        <v>54</v>
      </c>
      <c r="M899" t="s">
        <v>134</v>
      </c>
      <c r="N899" t="s">
        <v>135</v>
      </c>
      <c r="Q899" t="s">
        <v>3731</v>
      </c>
      <c r="U899" t="s">
        <v>137</v>
      </c>
      <c r="V899" t="s">
        <v>1263</v>
      </c>
      <c r="X899" t="s">
        <v>69</v>
      </c>
      <c r="AA899" t="s">
        <v>4702</v>
      </c>
      <c r="AC899" t="s">
        <v>138</v>
      </c>
      <c r="AD899" t="s">
        <v>128</v>
      </c>
      <c r="AE899" s="97">
        <f>VLOOKUP(A:A,SUMMERY!AA:AC,2,FALSE)</f>
        <v>46224</v>
      </c>
      <c r="AF899" s="6" t="str">
        <f>VLOOKUP(A:A,SUMMERY!AA:AC,3,FALSE)</f>
        <v>Priority-1</v>
      </c>
    </row>
    <row r="900" spans="1:32" x14ac:dyDescent="0.3">
      <c r="A900" t="s">
        <v>4832</v>
      </c>
      <c r="C900" t="s">
        <v>4538</v>
      </c>
      <c r="E900" t="s">
        <v>4538</v>
      </c>
      <c r="F900" t="s">
        <v>6769</v>
      </c>
      <c r="G900" t="s">
        <v>4701</v>
      </c>
      <c r="H900" t="s">
        <v>132</v>
      </c>
      <c r="I900" t="s">
        <v>4</v>
      </c>
      <c r="J900" t="s">
        <v>4276</v>
      </c>
      <c r="K900" t="s">
        <v>54</v>
      </c>
      <c r="M900" t="s">
        <v>134</v>
      </c>
      <c r="N900" t="s">
        <v>135</v>
      </c>
      <c r="Q900" t="s">
        <v>3731</v>
      </c>
      <c r="U900" t="s">
        <v>137</v>
      </c>
      <c r="V900" t="s">
        <v>1263</v>
      </c>
      <c r="X900" t="s">
        <v>69</v>
      </c>
      <c r="AA900" t="s">
        <v>4702</v>
      </c>
      <c r="AC900" t="s">
        <v>138</v>
      </c>
      <c r="AD900" t="s">
        <v>128</v>
      </c>
      <c r="AE900" s="97">
        <f>VLOOKUP(A:A,SUMMERY!AA:AC,2,FALSE)</f>
        <v>46224</v>
      </c>
      <c r="AF900" s="6" t="str">
        <f>VLOOKUP(A:A,SUMMERY!AA:AC,3,FALSE)</f>
        <v>Priority-1</v>
      </c>
    </row>
    <row r="901" spans="1:32" x14ac:dyDescent="0.3">
      <c r="A901" t="s">
        <v>4833</v>
      </c>
      <c r="C901" t="s">
        <v>4540</v>
      </c>
      <c r="E901" t="s">
        <v>4540</v>
      </c>
      <c r="F901" t="s">
        <v>6769</v>
      </c>
      <c r="G901" t="s">
        <v>4701</v>
      </c>
      <c r="H901" t="s">
        <v>132</v>
      </c>
      <c r="I901" t="s">
        <v>4</v>
      </c>
      <c r="J901" t="s">
        <v>4276</v>
      </c>
      <c r="K901" t="s">
        <v>54</v>
      </c>
      <c r="M901" t="s">
        <v>134</v>
      </c>
      <c r="N901" t="s">
        <v>135</v>
      </c>
      <c r="Q901" t="s">
        <v>3731</v>
      </c>
      <c r="U901" t="s">
        <v>137</v>
      </c>
      <c r="V901" t="s">
        <v>1263</v>
      </c>
      <c r="X901" t="s">
        <v>69</v>
      </c>
      <c r="AA901" t="s">
        <v>4702</v>
      </c>
      <c r="AC901" t="s">
        <v>138</v>
      </c>
      <c r="AD901" t="s">
        <v>128</v>
      </c>
      <c r="AE901" s="97">
        <f>VLOOKUP(A:A,SUMMERY!AA:AC,2,FALSE)</f>
        <v>46224</v>
      </c>
      <c r="AF901" s="6" t="str">
        <f>VLOOKUP(A:A,SUMMERY!AA:AC,3,FALSE)</f>
        <v>Priority-1</v>
      </c>
    </row>
    <row r="902" spans="1:32" x14ac:dyDescent="0.3">
      <c r="A902" t="s">
        <v>4834</v>
      </c>
      <c r="C902" t="s">
        <v>4542</v>
      </c>
      <c r="E902" t="s">
        <v>4542</v>
      </c>
      <c r="F902" t="s">
        <v>6769</v>
      </c>
      <c r="G902" t="s">
        <v>4701</v>
      </c>
      <c r="H902" t="s">
        <v>132</v>
      </c>
      <c r="I902" t="s">
        <v>4</v>
      </c>
      <c r="J902" t="s">
        <v>4276</v>
      </c>
      <c r="K902" t="s">
        <v>54</v>
      </c>
      <c r="M902" t="s">
        <v>134</v>
      </c>
      <c r="N902" t="s">
        <v>135</v>
      </c>
      <c r="Q902" t="s">
        <v>3731</v>
      </c>
      <c r="U902" t="s">
        <v>137</v>
      </c>
      <c r="V902" t="s">
        <v>1263</v>
      </c>
      <c r="X902" t="s">
        <v>69</v>
      </c>
      <c r="AA902" t="s">
        <v>4702</v>
      </c>
      <c r="AC902" t="s">
        <v>138</v>
      </c>
      <c r="AD902" t="s">
        <v>128</v>
      </c>
      <c r="AE902" s="97">
        <f>VLOOKUP(A:A,SUMMERY!AA:AC,2,FALSE)</f>
        <v>46224</v>
      </c>
      <c r="AF902" s="6" t="str">
        <f>VLOOKUP(A:A,SUMMERY!AA:AC,3,FALSE)</f>
        <v>Priority-1</v>
      </c>
    </row>
    <row r="903" spans="1:32" x14ac:dyDescent="0.3">
      <c r="A903" t="s">
        <v>4835</v>
      </c>
      <c r="C903" t="s">
        <v>4544</v>
      </c>
      <c r="E903" t="s">
        <v>4544</v>
      </c>
      <c r="F903" t="s">
        <v>6769</v>
      </c>
      <c r="G903" t="s">
        <v>4701</v>
      </c>
      <c r="H903" t="s">
        <v>132</v>
      </c>
      <c r="I903" t="s">
        <v>4</v>
      </c>
      <c r="J903" t="s">
        <v>4276</v>
      </c>
      <c r="K903" t="s">
        <v>54</v>
      </c>
      <c r="M903" t="s">
        <v>134</v>
      </c>
      <c r="N903" t="s">
        <v>135</v>
      </c>
      <c r="Q903" t="s">
        <v>3731</v>
      </c>
      <c r="U903" t="s">
        <v>137</v>
      </c>
      <c r="V903" t="s">
        <v>1263</v>
      </c>
      <c r="X903" t="s">
        <v>69</v>
      </c>
      <c r="AA903" t="s">
        <v>4702</v>
      </c>
      <c r="AC903" t="s">
        <v>138</v>
      </c>
      <c r="AD903" t="s">
        <v>128</v>
      </c>
      <c r="AE903" s="97">
        <f>VLOOKUP(A:A,SUMMERY!AA:AC,2,FALSE)</f>
        <v>46224</v>
      </c>
      <c r="AF903" s="6" t="str">
        <f>VLOOKUP(A:A,SUMMERY!AA:AC,3,FALSE)</f>
        <v>Priority-1</v>
      </c>
    </row>
    <row r="904" spans="1:32" x14ac:dyDescent="0.3">
      <c r="A904" t="s">
        <v>4836</v>
      </c>
      <c r="C904" t="s">
        <v>4546</v>
      </c>
      <c r="E904" t="s">
        <v>4546</v>
      </c>
      <c r="F904" t="s">
        <v>6769</v>
      </c>
      <c r="G904" t="s">
        <v>4701</v>
      </c>
      <c r="H904" t="s">
        <v>132</v>
      </c>
      <c r="I904" t="s">
        <v>4</v>
      </c>
      <c r="J904" t="s">
        <v>4276</v>
      </c>
      <c r="K904" t="s">
        <v>54</v>
      </c>
      <c r="M904" t="s">
        <v>134</v>
      </c>
      <c r="N904" t="s">
        <v>135</v>
      </c>
      <c r="Q904" t="s">
        <v>3731</v>
      </c>
      <c r="U904" t="s">
        <v>137</v>
      </c>
      <c r="V904" t="s">
        <v>1190</v>
      </c>
      <c r="X904" t="s">
        <v>67</v>
      </c>
      <c r="AA904" t="s">
        <v>4702</v>
      </c>
      <c r="AC904" t="s">
        <v>138</v>
      </c>
      <c r="AD904" t="s">
        <v>128</v>
      </c>
      <c r="AE904" s="97">
        <f>VLOOKUP(A:A,SUMMERY!AA:AC,2,FALSE)</f>
        <v>46220</v>
      </c>
      <c r="AF904" s="6" t="str">
        <f>VLOOKUP(A:A,SUMMERY!AA:AC,3,FALSE)</f>
        <v>Priority-1</v>
      </c>
    </row>
    <row r="905" spans="1:32" x14ac:dyDescent="0.3">
      <c r="A905" t="s">
        <v>4837</v>
      </c>
      <c r="C905" t="s">
        <v>4548</v>
      </c>
      <c r="E905" t="s">
        <v>4548</v>
      </c>
      <c r="F905" t="s">
        <v>6769</v>
      </c>
      <c r="G905" t="s">
        <v>4701</v>
      </c>
      <c r="H905" t="s">
        <v>132</v>
      </c>
      <c r="I905" t="s">
        <v>4</v>
      </c>
      <c r="J905" t="s">
        <v>4276</v>
      </c>
      <c r="K905" t="s">
        <v>54</v>
      </c>
      <c r="M905" t="s">
        <v>134</v>
      </c>
      <c r="N905" t="s">
        <v>135</v>
      </c>
      <c r="Q905" t="s">
        <v>3731</v>
      </c>
      <c r="U905" t="s">
        <v>137</v>
      </c>
      <c r="V905" t="s">
        <v>1194</v>
      </c>
      <c r="X905" t="s">
        <v>75</v>
      </c>
      <c r="AA905" t="s">
        <v>4702</v>
      </c>
      <c r="AC905" t="s">
        <v>138</v>
      </c>
      <c r="AD905" t="s">
        <v>128</v>
      </c>
      <c r="AE905" s="97">
        <f>VLOOKUP(A:A,SUMMERY!AA:AC,2,FALSE)</f>
        <v>46220</v>
      </c>
      <c r="AF905" s="6" t="str">
        <f>VLOOKUP(A:A,SUMMERY!AA:AC,3,FALSE)</f>
        <v>Priority-1</v>
      </c>
    </row>
    <row r="906" spans="1:32" x14ac:dyDescent="0.3">
      <c r="A906" t="s">
        <v>4845</v>
      </c>
      <c r="B906" t="s">
        <v>3901</v>
      </c>
      <c r="G906" t="s">
        <v>4843</v>
      </c>
      <c r="H906" t="s">
        <v>132</v>
      </c>
      <c r="I906" t="s">
        <v>4</v>
      </c>
      <c r="J906" t="s">
        <v>4276</v>
      </c>
      <c r="K906" t="s">
        <v>54</v>
      </c>
      <c r="L906" t="s">
        <v>3898</v>
      </c>
      <c r="M906" t="s">
        <v>134</v>
      </c>
      <c r="N906" t="s">
        <v>135</v>
      </c>
      <c r="Q906" t="s">
        <v>291</v>
      </c>
      <c r="U906" t="s">
        <v>137</v>
      </c>
      <c r="V906" t="s">
        <v>147</v>
      </c>
      <c r="X906" t="s">
        <v>70</v>
      </c>
      <c r="AA906" t="s">
        <v>4844</v>
      </c>
      <c r="AB906" t="s">
        <v>4</v>
      </c>
      <c r="AC906" t="s">
        <v>138</v>
      </c>
      <c r="AD906" t="s">
        <v>128</v>
      </c>
      <c r="AE906" s="97">
        <f>VLOOKUP(A:A,SUMMERY!AA:AC,2,FALSE)</f>
        <v>46220</v>
      </c>
      <c r="AF906" s="6" t="str">
        <f>VLOOKUP(A:A,SUMMERY!AA:AC,3,FALSE)</f>
        <v>Priority-1</v>
      </c>
    </row>
    <row r="907" spans="1:32" x14ac:dyDescent="0.3">
      <c r="A907" t="s">
        <v>4846</v>
      </c>
      <c r="B907" t="s">
        <v>3903</v>
      </c>
      <c r="G907" t="s">
        <v>4843</v>
      </c>
      <c r="H907" t="s">
        <v>132</v>
      </c>
      <c r="I907" t="s">
        <v>4</v>
      </c>
      <c r="J907" t="s">
        <v>4276</v>
      </c>
      <c r="K907" t="s">
        <v>54</v>
      </c>
      <c r="L907" t="s">
        <v>3898</v>
      </c>
      <c r="M907" t="s">
        <v>134</v>
      </c>
      <c r="N907" t="s">
        <v>135</v>
      </c>
      <c r="Q907" t="s">
        <v>291</v>
      </c>
      <c r="U907" t="s">
        <v>137</v>
      </c>
      <c r="V907" t="s">
        <v>150</v>
      </c>
      <c r="X907" t="s">
        <v>76</v>
      </c>
      <c r="AA907" t="s">
        <v>4844</v>
      </c>
      <c r="AB907" t="s">
        <v>4</v>
      </c>
      <c r="AC907" t="s">
        <v>138</v>
      </c>
      <c r="AD907" t="s">
        <v>128</v>
      </c>
      <c r="AE907" s="97">
        <f>VLOOKUP(A:A,SUMMERY!AA:AC,2,FALSE)</f>
        <v>46233</v>
      </c>
      <c r="AF907" s="6" t="str">
        <f>VLOOKUP(A:A,SUMMERY!AA:AC,3,FALSE)</f>
        <v>Priority-1</v>
      </c>
    </row>
    <row r="908" spans="1:32" x14ac:dyDescent="0.3">
      <c r="A908" t="s">
        <v>4852</v>
      </c>
      <c r="B908" t="s">
        <v>3915</v>
      </c>
      <c r="G908" t="s">
        <v>4843</v>
      </c>
      <c r="H908" t="s">
        <v>132</v>
      </c>
      <c r="I908" t="s">
        <v>4</v>
      </c>
      <c r="J908" t="s">
        <v>4276</v>
      </c>
      <c r="K908" t="s">
        <v>54</v>
      </c>
      <c r="L908" t="s">
        <v>3898</v>
      </c>
      <c r="M908" t="s">
        <v>134</v>
      </c>
      <c r="N908" t="s">
        <v>135</v>
      </c>
      <c r="Q908" t="s">
        <v>291</v>
      </c>
      <c r="U908" t="s">
        <v>137</v>
      </c>
      <c r="V908" t="s">
        <v>371</v>
      </c>
      <c r="X908" t="s">
        <v>57</v>
      </c>
      <c r="AA908" t="s">
        <v>4844</v>
      </c>
      <c r="AB908" t="s">
        <v>4</v>
      </c>
      <c r="AC908" t="s">
        <v>138</v>
      </c>
      <c r="AD908" t="s">
        <v>128</v>
      </c>
      <c r="AE908" s="97">
        <f>VLOOKUP(A:A,SUMMERY!AA:AC,2,FALSE)</f>
        <v>46220</v>
      </c>
      <c r="AF908" s="6" t="str">
        <f>VLOOKUP(A:A,SUMMERY!AA:AC,3,FALSE)</f>
        <v>Priority-1</v>
      </c>
    </row>
    <row r="909" spans="1:32" x14ac:dyDescent="0.3">
      <c r="A909" t="s">
        <v>4853</v>
      </c>
      <c r="B909" t="s">
        <v>3917</v>
      </c>
      <c r="G909" t="s">
        <v>4843</v>
      </c>
      <c r="H909" t="s">
        <v>132</v>
      </c>
      <c r="I909" t="s">
        <v>4</v>
      </c>
      <c r="J909" t="s">
        <v>4276</v>
      </c>
      <c r="K909" t="s">
        <v>54</v>
      </c>
      <c r="L909" t="s">
        <v>3898</v>
      </c>
      <c r="M909" t="s">
        <v>134</v>
      </c>
      <c r="N909" t="s">
        <v>135</v>
      </c>
      <c r="Q909" t="s">
        <v>291</v>
      </c>
      <c r="U909" t="s">
        <v>137</v>
      </c>
      <c r="V909" t="s">
        <v>362</v>
      </c>
      <c r="X909" t="s">
        <v>58</v>
      </c>
      <c r="AA909" t="s">
        <v>4844</v>
      </c>
      <c r="AB909" t="s">
        <v>4</v>
      </c>
      <c r="AC909" t="s">
        <v>138</v>
      </c>
      <c r="AD909" t="s">
        <v>128</v>
      </c>
      <c r="AE909" s="97">
        <f>VLOOKUP(A:A,SUMMERY!AA:AC,2,FALSE)</f>
        <v>46220</v>
      </c>
      <c r="AF909" s="6" t="str">
        <f>VLOOKUP(A:A,SUMMERY!AA:AC,3,FALSE)</f>
        <v>Priority-1</v>
      </c>
    </row>
    <row r="910" spans="1:32" x14ac:dyDescent="0.3">
      <c r="A910" t="s">
        <v>4854</v>
      </c>
      <c r="B910" t="s">
        <v>3919</v>
      </c>
      <c r="G910" t="s">
        <v>4843</v>
      </c>
      <c r="H910" t="s">
        <v>132</v>
      </c>
      <c r="I910" t="s">
        <v>4</v>
      </c>
      <c r="J910" t="s">
        <v>4276</v>
      </c>
      <c r="K910" t="s">
        <v>54</v>
      </c>
      <c r="L910" t="s">
        <v>3898</v>
      </c>
      <c r="M910" t="s">
        <v>134</v>
      </c>
      <c r="N910" t="s">
        <v>135</v>
      </c>
      <c r="Q910" t="s">
        <v>291</v>
      </c>
      <c r="U910" t="s">
        <v>137</v>
      </c>
      <c r="V910" t="s">
        <v>640</v>
      </c>
      <c r="X910" t="s">
        <v>66</v>
      </c>
      <c r="AA910" t="s">
        <v>4844</v>
      </c>
      <c r="AB910" t="s">
        <v>4</v>
      </c>
      <c r="AC910" t="s">
        <v>138</v>
      </c>
      <c r="AD910" t="s">
        <v>128</v>
      </c>
      <c r="AE910" s="97">
        <f>VLOOKUP(A:A,SUMMERY!AA:AC,2,FALSE)</f>
        <v>46220</v>
      </c>
      <c r="AF910" s="6" t="str">
        <f>VLOOKUP(A:A,SUMMERY!AA:AC,3,FALSE)</f>
        <v>Priority-1</v>
      </c>
    </row>
    <row r="911" spans="1:32" x14ac:dyDescent="0.3">
      <c r="A911" t="s">
        <v>4855</v>
      </c>
      <c r="B911" t="s">
        <v>3921</v>
      </c>
      <c r="G911" t="s">
        <v>4843</v>
      </c>
      <c r="H911" t="s">
        <v>132</v>
      </c>
      <c r="I911" t="s">
        <v>4</v>
      </c>
      <c r="J911" t="s">
        <v>4276</v>
      </c>
      <c r="K911" t="s">
        <v>54</v>
      </c>
      <c r="L911" t="s">
        <v>3898</v>
      </c>
      <c r="M911" t="s">
        <v>134</v>
      </c>
      <c r="N911" t="s">
        <v>135</v>
      </c>
      <c r="Q911" t="s">
        <v>291</v>
      </c>
      <c r="U911" t="s">
        <v>137</v>
      </c>
      <c r="V911" t="s">
        <v>646</v>
      </c>
      <c r="X911" t="s">
        <v>74</v>
      </c>
      <c r="AA911" t="s">
        <v>4844</v>
      </c>
      <c r="AB911" t="s">
        <v>4</v>
      </c>
      <c r="AC911" t="s">
        <v>138</v>
      </c>
      <c r="AD911" t="s">
        <v>128</v>
      </c>
      <c r="AE911" s="97">
        <f>VLOOKUP(A:A,SUMMERY!AA:AC,2,FALSE)</f>
        <v>46220</v>
      </c>
      <c r="AF911" s="6" t="str">
        <f>VLOOKUP(A:A,SUMMERY!AA:AC,3,FALSE)</f>
        <v>Priority-1</v>
      </c>
    </row>
    <row r="912" spans="1:32" x14ac:dyDescent="0.3">
      <c r="A912" t="s">
        <v>4861</v>
      </c>
      <c r="B912" t="s">
        <v>3933</v>
      </c>
      <c r="G912" t="s">
        <v>4843</v>
      </c>
      <c r="H912" t="s">
        <v>132</v>
      </c>
      <c r="I912" t="s">
        <v>4</v>
      </c>
      <c r="J912" t="s">
        <v>4276</v>
      </c>
      <c r="K912" t="s">
        <v>54</v>
      </c>
      <c r="L912" t="s">
        <v>3898</v>
      </c>
      <c r="M912" t="s">
        <v>134</v>
      </c>
      <c r="N912" t="s">
        <v>135</v>
      </c>
      <c r="Q912" t="s">
        <v>291</v>
      </c>
      <c r="U912" t="s">
        <v>137</v>
      </c>
      <c r="V912" t="s">
        <v>1190</v>
      </c>
      <c r="X912" t="s">
        <v>67</v>
      </c>
      <c r="AA912" t="s">
        <v>4844</v>
      </c>
      <c r="AB912" t="s">
        <v>4</v>
      </c>
      <c r="AC912" t="s">
        <v>138</v>
      </c>
      <c r="AD912" t="s">
        <v>128</v>
      </c>
      <c r="AE912" s="97">
        <f>VLOOKUP(A:A,SUMMERY!AA:AC,2,FALSE)</f>
        <v>46220</v>
      </c>
      <c r="AF912" s="6" t="str">
        <f>VLOOKUP(A:A,SUMMERY!AA:AC,3,FALSE)</f>
        <v>Priority-1</v>
      </c>
    </row>
    <row r="913" spans="1:32" x14ac:dyDescent="0.3">
      <c r="A913" t="s">
        <v>4862</v>
      </c>
      <c r="B913" t="s">
        <v>3935</v>
      </c>
      <c r="G913" t="s">
        <v>4843</v>
      </c>
      <c r="H913" t="s">
        <v>132</v>
      </c>
      <c r="I913" t="s">
        <v>4</v>
      </c>
      <c r="J913" t="s">
        <v>4276</v>
      </c>
      <c r="K913" t="s">
        <v>54</v>
      </c>
      <c r="L913" t="s">
        <v>3898</v>
      </c>
      <c r="M913" t="s">
        <v>134</v>
      </c>
      <c r="N913" t="s">
        <v>135</v>
      </c>
      <c r="Q913" t="s">
        <v>291</v>
      </c>
      <c r="U913" t="s">
        <v>137</v>
      </c>
      <c r="V913" t="s">
        <v>1194</v>
      </c>
      <c r="X913" t="s">
        <v>75</v>
      </c>
      <c r="AA913" t="s">
        <v>4844</v>
      </c>
      <c r="AB913" t="s">
        <v>4</v>
      </c>
      <c r="AC913" t="s">
        <v>138</v>
      </c>
      <c r="AD913" t="s">
        <v>128</v>
      </c>
      <c r="AE913" s="97">
        <f>VLOOKUP(A:A,SUMMERY!AA:AC,2,FALSE)</f>
        <v>46220</v>
      </c>
      <c r="AF913" s="6" t="str">
        <f>VLOOKUP(A:A,SUMMERY!AA:AC,3,FALSE)</f>
        <v>Priority-1</v>
      </c>
    </row>
    <row r="914" spans="1:32" x14ac:dyDescent="0.3">
      <c r="A914" t="s">
        <v>4868</v>
      </c>
      <c r="B914" t="s">
        <v>3947</v>
      </c>
      <c r="G914" t="s">
        <v>4843</v>
      </c>
      <c r="H914" t="s">
        <v>132</v>
      </c>
      <c r="I914" t="s">
        <v>4</v>
      </c>
      <c r="J914" t="s">
        <v>4276</v>
      </c>
      <c r="K914" t="s">
        <v>54</v>
      </c>
      <c r="L914" t="s">
        <v>3898</v>
      </c>
      <c r="M914" t="s">
        <v>134</v>
      </c>
      <c r="N914" t="s">
        <v>135</v>
      </c>
      <c r="Q914" t="s">
        <v>291</v>
      </c>
      <c r="U914" t="s">
        <v>137</v>
      </c>
      <c r="V914" t="s">
        <v>403</v>
      </c>
      <c r="X914" t="s">
        <v>68</v>
      </c>
      <c r="AA914" t="s">
        <v>4844</v>
      </c>
      <c r="AB914" t="s">
        <v>4</v>
      </c>
      <c r="AC914" t="s">
        <v>138</v>
      </c>
      <c r="AD914" t="s">
        <v>128</v>
      </c>
      <c r="AE914" s="97">
        <f>VLOOKUP(A:A,SUMMERY!AA:AC,2,FALSE)</f>
        <v>46233</v>
      </c>
      <c r="AF914" s="6" t="str">
        <f>VLOOKUP(A:A,SUMMERY!AA:AC,3,FALSE)</f>
        <v>Priority-1</v>
      </c>
    </row>
    <row r="915" spans="1:32" x14ac:dyDescent="0.3">
      <c r="A915" t="s">
        <v>4869</v>
      </c>
      <c r="B915" t="s">
        <v>3949</v>
      </c>
      <c r="G915" t="s">
        <v>4843</v>
      </c>
      <c r="H915" t="s">
        <v>132</v>
      </c>
      <c r="I915" t="s">
        <v>4</v>
      </c>
      <c r="J915" t="s">
        <v>4276</v>
      </c>
      <c r="K915" t="s">
        <v>54</v>
      </c>
      <c r="L915" t="s">
        <v>3898</v>
      </c>
      <c r="M915" t="s">
        <v>134</v>
      </c>
      <c r="N915" t="s">
        <v>135</v>
      </c>
      <c r="Q915" t="s">
        <v>291</v>
      </c>
      <c r="U915" t="s">
        <v>137</v>
      </c>
      <c r="V915" t="s">
        <v>407</v>
      </c>
      <c r="X915" t="s">
        <v>77</v>
      </c>
      <c r="AA915" t="s">
        <v>4844</v>
      </c>
      <c r="AB915" t="s">
        <v>4</v>
      </c>
      <c r="AC915" t="s">
        <v>138</v>
      </c>
      <c r="AD915" t="s">
        <v>128</v>
      </c>
      <c r="AE915" s="97">
        <f>VLOOKUP(A:A,SUMMERY!AA:AC,2,FALSE)</f>
        <v>46233</v>
      </c>
      <c r="AF915" s="6" t="str">
        <f>VLOOKUP(A:A,SUMMERY!AA:AC,3,FALSE)</f>
        <v>Priority-1</v>
      </c>
    </row>
    <row r="916" spans="1:32" x14ac:dyDescent="0.3">
      <c r="A916" t="s">
        <v>4875</v>
      </c>
      <c r="B916" t="s">
        <v>3961</v>
      </c>
      <c r="G916" t="s">
        <v>4843</v>
      </c>
      <c r="H916" t="s">
        <v>132</v>
      </c>
      <c r="I916" t="s">
        <v>4</v>
      </c>
      <c r="J916" t="s">
        <v>4276</v>
      </c>
      <c r="K916" t="s">
        <v>54</v>
      </c>
      <c r="L916" t="s">
        <v>3898</v>
      </c>
      <c r="M916" t="s">
        <v>134</v>
      </c>
      <c r="N916" t="s">
        <v>135</v>
      </c>
      <c r="Q916" t="s">
        <v>291</v>
      </c>
      <c r="U916" t="s">
        <v>137</v>
      </c>
      <c r="V916" t="s">
        <v>1279</v>
      </c>
      <c r="X916" t="s">
        <v>71</v>
      </c>
      <c r="AA916" t="s">
        <v>4844</v>
      </c>
      <c r="AB916" t="s">
        <v>4</v>
      </c>
      <c r="AC916" t="s">
        <v>138</v>
      </c>
      <c r="AD916" t="s">
        <v>128</v>
      </c>
      <c r="AE916" s="97">
        <f>VLOOKUP(A:A,SUMMERY!AA:AC,2,FALSE)</f>
        <v>46233</v>
      </c>
      <c r="AF916" s="6" t="str">
        <f>VLOOKUP(A:A,SUMMERY!AA:AC,3,FALSE)</f>
        <v>Priority-1</v>
      </c>
    </row>
    <row r="917" spans="1:32" x14ac:dyDescent="0.3">
      <c r="A917" t="s">
        <v>4876</v>
      </c>
      <c r="B917" t="s">
        <v>3963</v>
      </c>
      <c r="G917" t="s">
        <v>4843</v>
      </c>
      <c r="H917" t="s">
        <v>132</v>
      </c>
      <c r="I917" t="s">
        <v>4</v>
      </c>
      <c r="J917" t="s">
        <v>4276</v>
      </c>
      <c r="K917" t="s">
        <v>54</v>
      </c>
      <c r="L917" t="s">
        <v>3898</v>
      </c>
      <c r="M917" t="s">
        <v>134</v>
      </c>
      <c r="N917" t="s">
        <v>135</v>
      </c>
      <c r="Q917" t="s">
        <v>291</v>
      </c>
      <c r="U917" t="s">
        <v>137</v>
      </c>
      <c r="V917" t="s">
        <v>1283</v>
      </c>
      <c r="X917" t="s">
        <v>78</v>
      </c>
      <c r="AA917" t="s">
        <v>4844</v>
      </c>
      <c r="AB917" t="s">
        <v>4</v>
      </c>
      <c r="AC917" t="s">
        <v>138</v>
      </c>
      <c r="AD917" t="s">
        <v>128</v>
      </c>
      <c r="AE917" s="97">
        <f>VLOOKUP(A:A,SUMMERY!AA:AC,2,FALSE)</f>
        <v>46234</v>
      </c>
      <c r="AF917" s="6" t="str">
        <f>VLOOKUP(A:A,SUMMERY!AA:AC,3,FALSE)</f>
        <v>Priority-1</v>
      </c>
    </row>
    <row r="918" spans="1:32" x14ac:dyDescent="0.3">
      <c r="A918" t="s">
        <v>4882</v>
      </c>
      <c r="B918" t="s">
        <v>3975</v>
      </c>
      <c r="G918" t="s">
        <v>4843</v>
      </c>
      <c r="H918" t="s">
        <v>132</v>
      </c>
      <c r="I918" t="s">
        <v>4</v>
      </c>
      <c r="J918" t="s">
        <v>4276</v>
      </c>
      <c r="K918" t="s">
        <v>54</v>
      </c>
      <c r="L918" t="s">
        <v>3898</v>
      </c>
      <c r="M918" t="s">
        <v>134</v>
      </c>
      <c r="N918" t="s">
        <v>135</v>
      </c>
      <c r="Q918" t="s">
        <v>291</v>
      </c>
      <c r="U918" t="s">
        <v>137</v>
      </c>
      <c r="V918" t="s">
        <v>703</v>
      </c>
      <c r="X918" t="s">
        <v>62</v>
      </c>
      <c r="AA918" t="s">
        <v>4844</v>
      </c>
      <c r="AB918" t="s">
        <v>4</v>
      </c>
      <c r="AC918" t="s">
        <v>138</v>
      </c>
      <c r="AD918" t="s">
        <v>128</v>
      </c>
      <c r="AE918" s="97">
        <f>VLOOKUP(A:A,SUMMERY!AA:AC,2,FALSE)</f>
        <v>46220</v>
      </c>
      <c r="AF918" s="6" t="str">
        <f>VLOOKUP(A:A,SUMMERY!AA:AC,3,FALSE)</f>
        <v>Priority-1</v>
      </c>
    </row>
    <row r="919" spans="1:32" x14ac:dyDescent="0.3">
      <c r="A919" t="s">
        <v>4883</v>
      </c>
      <c r="B919" t="s">
        <v>3977</v>
      </c>
      <c r="G919" t="s">
        <v>4843</v>
      </c>
      <c r="H919" t="s">
        <v>132</v>
      </c>
      <c r="I919" t="s">
        <v>4</v>
      </c>
      <c r="J919" t="s">
        <v>4276</v>
      </c>
      <c r="K919" t="s">
        <v>54</v>
      </c>
      <c r="L919" t="s">
        <v>3898</v>
      </c>
      <c r="M919" t="s">
        <v>134</v>
      </c>
      <c r="N919" t="s">
        <v>135</v>
      </c>
      <c r="Q919" t="s">
        <v>291</v>
      </c>
      <c r="U919" t="s">
        <v>137</v>
      </c>
      <c r="V919" t="s">
        <v>709</v>
      </c>
      <c r="X919" t="s">
        <v>73</v>
      </c>
      <c r="AA919" t="s">
        <v>4844</v>
      </c>
      <c r="AB919" t="s">
        <v>4</v>
      </c>
      <c r="AC919" t="s">
        <v>138</v>
      </c>
      <c r="AD919" t="s">
        <v>128</v>
      </c>
      <c r="AE919" s="97">
        <f>VLOOKUP(A:A,SUMMERY!AA:AC,2,FALSE)</f>
        <v>46220</v>
      </c>
      <c r="AF919" s="6" t="str">
        <f>VLOOKUP(A:A,SUMMERY!AA:AC,3,FALSE)</f>
        <v>Priority-1</v>
      </c>
    </row>
    <row r="920" spans="1:32" x14ac:dyDescent="0.3">
      <c r="A920" t="s">
        <v>4889</v>
      </c>
      <c r="B920" t="s">
        <v>3989</v>
      </c>
      <c r="G920" t="s">
        <v>4843</v>
      </c>
      <c r="H920" t="s">
        <v>132</v>
      </c>
      <c r="I920" t="s">
        <v>4</v>
      </c>
      <c r="J920" t="s">
        <v>4276</v>
      </c>
      <c r="K920" t="s">
        <v>54</v>
      </c>
      <c r="L920" t="s">
        <v>3898</v>
      </c>
      <c r="M920" t="s">
        <v>134</v>
      </c>
      <c r="N920" t="s">
        <v>135</v>
      </c>
      <c r="Q920" t="s">
        <v>291</v>
      </c>
      <c r="U920" t="s">
        <v>137</v>
      </c>
      <c r="V920" t="s">
        <v>1967</v>
      </c>
      <c r="X920" t="s">
        <v>125</v>
      </c>
      <c r="AA920" t="s">
        <v>4844</v>
      </c>
      <c r="AB920" t="s">
        <v>4</v>
      </c>
      <c r="AC920" t="s">
        <v>138</v>
      </c>
      <c r="AD920" t="s">
        <v>131</v>
      </c>
      <c r="AE920" s="97">
        <f>VLOOKUP(A:A,SUMMERY!AA:AC,2,FALSE)</f>
        <v>46234</v>
      </c>
      <c r="AF920" s="6" t="str">
        <f>VLOOKUP(A:A,SUMMERY!AA:AC,3,FALSE)</f>
        <v>Priority-2</v>
      </c>
    </row>
    <row r="921" spans="1:32" x14ac:dyDescent="0.3">
      <c r="A921" t="s">
        <v>4890</v>
      </c>
      <c r="B921" t="s">
        <v>3991</v>
      </c>
      <c r="G921" t="s">
        <v>4843</v>
      </c>
      <c r="H921" t="s">
        <v>132</v>
      </c>
      <c r="I921" t="s">
        <v>4</v>
      </c>
      <c r="J921" t="s">
        <v>4276</v>
      </c>
      <c r="K921" t="s">
        <v>54</v>
      </c>
      <c r="L921" t="s">
        <v>3898</v>
      </c>
      <c r="M921" t="s">
        <v>134</v>
      </c>
      <c r="N921" t="s">
        <v>135</v>
      </c>
      <c r="Q921" t="s">
        <v>291</v>
      </c>
      <c r="U921" t="s">
        <v>137</v>
      </c>
      <c r="V921" t="s">
        <v>1259</v>
      </c>
      <c r="X921" t="s">
        <v>126</v>
      </c>
      <c r="AA921" t="s">
        <v>4844</v>
      </c>
      <c r="AB921" t="s">
        <v>4</v>
      </c>
      <c r="AC921" t="s">
        <v>138</v>
      </c>
      <c r="AD921" t="s">
        <v>131</v>
      </c>
      <c r="AE921" s="97">
        <f>VLOOKUP(A:A,SUMMERY!AA:AC,2,FALSE)</f>
        <v>46234</v>
      </c>
      <c r="AF921" s="6" t="str">
        <f>VLOOKUP(A:A,SUMMERY!AA:AC,3,FALSE)</f>
        <v>Priority-2</v>
      </c>
    </row>
    <row r="922" spans="1:32" x14ac:dyDescent="0.3">
      <c r="A922" t="s">
        <v>4891</v>
      </c>
      <c r="B922" t="s">
        <v>3993</v>
      </c>
      <c r="G922" t="s">
        <v>4843</v>
      </c>
      <c r="H922" t="s">
        <v>132</v>
      </c>
      <c r="I922" t="s">
        <v>4</v>
      </c>
      <c r="J922" t="s">
        <v>4276</v>
      </c>
      <c r="K922" t="s">
        <v>54</v>
      </c>
      <c r="L922" t="s">
        <v>3898</v>
      </c>
      <c r="M922" t="s">
        <v>134</v>
      </c>
      <c r="N922" t="s">
        <v>135</v>
      </c>
      <c r="Q922" t="s">
        <v>291</v>
      </c>
      <c r="U922" t="s">
        <v>137</v>
      </c>
      <c r="V922" t="s">
        <v>1263</v>
      </c>
      <c r="X922" t="s">
        <v>69</v>
      </c>
      <c r="AA922" t="s">
        <v>4844</v>
      </c>
      <c r="AB922" t="s">
        <v>4</v>
      </c>
      <c r="AC922" t="s">
        <v>138</v>
      </c>
      <c r="AD922" t="s">
        <v>128</v>
      </c>
      <c r="AE922" s="97">
        <f>VLOOKUP(A:A,SUMMERY!AA:AC,2,FALSE)</f>
        <v>46224</v>
      </c>
      <c r="AF922" s="6" t="str">
        <f>VLOOKUP(A:A,SUMMERY!AA:AC,3,FALSE)</f>
        <v>Priority-1</v>
      </c>
    </row>
    <row r="923" spans="1:32" x14ac:dyDescent="0.3">
      <c r="A923" t="s">
        <v>4894</v>
      </c>
      <c r="B923" t="s">
        <v>3919</v>
      </c>
      <c r="G923" t="s">
        <v>4892</v>
      </c>
      <c r="H923" t="s">
        <v>132</v>
      </c>
      <c r="I923" t="s">
        <v>4</v>
      </c>
      <c r="J923" t="s">
        <v>4276</v>
      </c>
      <c r="K923" t="s">
        <v>54</v>
      </c>
      <c r="L923" t="s">
        <v>3898</v>
      </c>
      <c r="M923" t="s">
        <v>134</v>
      </c>
      <c r="N923" t="s">
        <v>135</v>
      </c>
      <c r="Q923" t="s">
        <v>291</v>
      </c>
      <c r="U923" t="s">
        <v>137</v>
      </c>
      <c r="V923" t="s">
        <v>640</v>
      </c>
      <c r="X923" t="s">
        <v>66</v>
      </c>
      <c r="AA923" t="s">
        <v>4893</v>
      </c>
      <c r="AB923" t="s">
        <v>4</v>
      </c>
      <c r="AC923" t="s">
        <v>138</v>
      </c>
      <c r="AD923" t="s">
        <v>128</v>
      </c>
      <c r="AE923" s="97">
        <f>VLOOKUP(A:A,SUMMERY!AA:AC,2,FALSE)</f>
        <v>46220</v>
      </c>
      <c r="AF923" s="6" t="str">
        <f>VLOOKUP(A:A,SUMMERY!AA:AC,3,FALSE)</f>
        <v>Priority-1</v>
      </c>
    </row>
    <row r="924" spans="1:32" x14ac:dyDescent="0.3">
      <c r="A924" t="s">
        <v>4895</v>
      </c>
      <c r="B924" t="s">
        <v>3921</v>
      </c>
      <c r="G924" t="s">
        <v>4892</v>
      </c>
      <c r="H924" t="s">
        <v>132</v>
      </c>
      <c r="I924" t="s">
        <v>4</v>
      </c>
      <c r="J924" t="s">
        <v>4276</v>
      </c>
      <c r="K924" t="s">
        <v>54</v>
      </c>
      <c r="L924" t="s">
        <v>3898</v>
      </c>
      <c r="M924" t="s">
        <v>134</v>
      </c>
      <c r="N924" t="s">
        <v>135</v>
      </c>
      <c r="Q924" t="s">
        <v>291</v>
      </c>
      <c r="U924" t="s">
        <v>137</v>
      </c>
      <c r="V924" t="s">
        <v>646</v>
      </c>
      <c r="X924" t="s">
        <v>74</v>
      </c>
      <c r="AA924" t="s">
        <v>4893</v>
      </c>
      <c r="AB924" t="s">
        <v>4</v>
      </c>
      <c r="AC924" t="s">
        <v>138</v>
      </c>
      <c r="AD924" t="s">
        <v>128</v>
      </c>
      <c r="AE924" s="97">
        <f>VLOOKUP(A:A,SUMMERY!AA:AC,2,FALSE)</f>
        <v>46220</v>
      </c>
      <c r="AF924" s="6" t="str">
        <f>VLOOKUP(A:A,SUMMERY!AA:AC,3,FALSE)</f>
        <v>Priority-1</v>
      </c>
    </row>
    <row r="925" spans="1:32" x14ac:dyDescent="0.3">
      <c r="A925" t="s">
        <v>4901</v>
      </c>
      <c r="B925" t="s">
        <v>3947</v>
      </c>
      <c r="G925" t="s">
        <v>4892</v>
      </c>
      <c r="H925" t="s">
        <v>132</v>
      </c>
      <c r="I925" t="s">
        <v>4</v>
      </c>
      <c r="J925" t="s">
        <v>4276</v>
      </c>
      <c r="K925" t="s">
        <v>54</v>
      </c>
      <c r="L925" t="s">
        <v>3898</v>
      </c>
      <c r="M925" t="s">
        <v>134</v>
      </c>
      <c r="N925" t="s">
        <v>135</v>
      </c>
      <c r="Q925" t="s">
        <v>291</v>
      </c>
      <c r="U925" t="s">
        <v>137</v>
      </c>
      <c r="V925" t="s">
        <v>403</v>
      </c>
      <c r="X925" t="s">
        <v>68</v>
      </c>
      <c r="AA925" t="s">
        <v>4893</v>
      </c>
      <c r="AB925" t="s">
        <v>4</v>
      </c>
      <c r="AC925" t="s">
        <v>138</v>
      </c>
      <c r="AD925" t="s">
        <v>128</v>
      </c>
      <c r="AE925" s="97">
        <f>VLOOKUP(A:A,SUMMERY!AA:AC,2,FALSE)</f>
        <v>46233</v>
      </c>
      <c r="AF925" s="6" t="str">
        <f>VLOOKUP(A:A,SUMMERY!AA:AC,3,FALSE)</f>
        <v>Priority-1</v>
      </c>
    </row>
    <row r="926" spans="1:32" x14ac:dyDescent="0.3">
      <c r="A926" t="s">
        <v>4902</v>
      </c>
      <c r="B926" t="s">
        <v>3949</v>
      </c>
      <c r="G926" t="s">
        <v>4892</v>
      </c>
      <c r="H926" t="s">
        <v>132</v>
      </c>
      <c r="I926" t="s">
        <v>4</v>
      </c>
      <c r="J926" t="s">
        <v>4276</v>
      </c>
      <c r="K926" t="s">
        <v>54</v>
      </c>
      <c r="L926" t="s">
        <v>3898</v>
      </c>
      <c r="M926" t="s">
        <v>134</v>
      </c>
      <c r="N926" t="s">
        <v>135</v>
      </c>
      <c r="Q926" t="s">
        <v>291</v>
      </c>
      <c r="U926" t="s">
        <v>137</v>
      </c>
      <c r="V926" t="s">
        <v>407</v>
      </c>
      <c r="X926" t="s">
        <v>77</v>
      </c>
      <c r="AA926" t="s">
        <v>4893</v>
      </c>
      <c r="AB926" t="s">
        <v>4</v>
      </c>
      <c r="AC926" t="s">
        <v>138</v>
      </c>
      <c r="AD926" t="s">
        <v>128</v>
      </c>
      <c r="AE926" s="97">
        <f>VLOOKUP(A:A,SUMMERY!AA:AC,2,FALSE)</f>
        <v>46233</v>
      </c>
      <c r="AF926" s="6" t="str">
        <f>VLOOKUP(A:A,SUMMERY!AA:AC,3,FALSE)</f>
        <v>Priority-1</v>
      </c>
    </row>
    <row r="927" spans="1:32" x14ac:dyDescent="0.3">
      <c r="A927" t="s">
        <v>4908</v>
      </c>
      <c r="B927" t="s">
        <v>3975</v>
      </c>
      <c r="G927" t="s">
        <v>4892</v>
      </c>
      <c r="H927" t="s">
        <v>132</v>
      </c>
      <c r="I927" t="s">
        <v>4</v>
      </c>
      <c r="J927" t="s">
        <v>4276</v>
      </c>
      <c r="K927" t="s">
        <v>54</v>
      </c>
      <c r="L927" t="s">
        <v>3898</v>
      </c>
      <c r="M927" t="s">
        <v>134</v>
      </c>
      <c r="N927" t="s">
        <v>135</v>
      </c>
      <c r="Q927" t="s">
        <v>291</v>
      </c>
      <c r="U927" t="s">
        <v>137</v>
      </c>
      <c r="V927" t="s">
        <v>703</v>
      </c>
      <c r="X927" t="s">
        <v>62</v>
      </c>
      <c r="AA927" t="s">
        <v>4893</v>
      </c>
      <c r="AB927" t="s">
        <v>4</v>
      </c>
      <c r="AC927" t="s">
        <v>138</v>
      </c>
      <c r="AD927" t="s">
        <v>128</v>
      </c>
      <c r="AE927" s="97">
        <f>VLOOKUP(A:A,SUMMERY!AA:AC,2,FALSE)</f>
        <v>46220</v>
      </c>
      <c r="AF927" s="6" t="str">
        <f>VLOOKUP(A:A,SUMMERY!AA:AC,3,FALSE)</f>
        <v>Priority-1</v>
      </c>
    </row>
    <row r="928" spans="1:32" x14ac:dyDescent="0.3">
      <c r="A928" t="s">
        <v>4909</v>
      </c>
      <c r="B928" t="s">
        <v>3977</v>
      </c>
      <c r="G928" t="s">
        <v>4892</v>
      </c>
      <c r="H928" t="s">
        <v>132</v>
      </c>
      <c r="I928" t="s">
        <v>4</v>
      </c>
      <c r="J928" t="s">
        <v>4276</v>
      </c>
      <c r="K928" t="s">
        <v>54</v>
      </c>
      <c r="L928" t="s">
        <v>3898</v>
      </c>
      <c r="M928" t="s">
        <v>134</v>
      </c>
      <c r="N928" t="s">
        <v>135</v>
      </c>
      <c r="Q928" t="s">
        <v>291</v>
      </c>
      <c r="U928" t="s">
        <v>137</v>
      </c>
      <c r="V928" t="s">
        <v>709</v>
      </c>
      <c r="X928" t="s">
        <v>73</v>
      </c>
      <c r="AA928" t="s">
        <v>4893</v>
      </c>
      <c r="AB928" t="s">
        <v>4</v>
      </c>
      <c r="AC928" t="s">
        <v>138</v>
      </c>
      <c r="AD928" t="s">
        <v>128</v>
      </c>
      <c r="AE928" s="97">
        <f>VLOOKUP(A:A,SUMMERY!AA:AC,2,FALSE)</f>
        <v>46220</v>
      </c>
      <c r="AF928" s="6" t="str">
        <f>VLOOKUP(A:A,SUMMERY!AA:AC,3,FALSE)</f>
        <v>Priority-1</v>
      </c>
    </row>
    <row r="929" spans="1:32" x14ac:dyDescent="0.3">
      <c r="A929" t="s">
        <v>4917</v>
      </c>
      <c r="C929" t="s">
        <v>4280</v>
      </c>
      <c r="E929" t="s">
        <v>4280</v>
      </c>
      <c r="F929" t="s">
        <v>6769</v>
      </c>
      <c r="G929" t="s">
        <v>4915</v>
      </c>
      <c r="H929" t="s">
        <v>132</v>
      </c>
      <c r="I929" t="s">
        <v>4</v>
      </c>
      <c r="J929" t="s">
        <v>4276</v>
      </c>
      <c r="K929" t="s">
        <v>54</v>
      </c>
      <c r="M929" t="s">
        <v>134</v>
      </c>
      <c r="N929" t="s">
        <v>135</v>
      </c>
      <c r="Q929" t="s">
        <v>140</v>
      </c>
      <c r="U929" t="s">
        <v>137</v>
      </c>
      <c r="V929" t="s">
        <v>147</v>
      </c>
      <c r="W929" s="9">
        <v>46176.48235633102</v>
      </c>
      <c r="X929" t="s">
        <v>70</v>
      </c>
      <c r="AA929" t="s">
        <v>4916</v>
      </c>
      <c r="AC929" t="s">
        <v>24</v>
      </c>
      <c r="AD929" t="s">
        <v>128</v>
      </c>
      <c r="AE929" s="97">
        <f>VLOOKUP(A:A,SUMMERY!AA:AC,2,FALSE)</f>
        <v>46220</v>
      </c>
      <c r="AF929" s="6" t="str">
        <f>VLOOKUP(A:A,SUMMERY!AA:AC,3,FALSE)</f>
        <v>Priority-1</v>
      </c>
    </row>
    <row r="930" spans="1:32" x14ac:dyDescent="0.3">
      <c r="A930" t="s">
        <v>4918</v>
      </c>
      <c r="C930" t="s">
        <v>4282</v>
      </c>
      <c r="E930" t="s">
        <v>4282</v>
      </c>
      <c r="F930" t="s">
        <v>6769</v>
      </c>
      <c r="G930" t="s">
        <v>4915</v>
      </c>
      <c r="H930" t="s">
        <v>132</v>
      </c>
      <c r="I930" t="s">
        <v>4</v>
      </c>
      <c r="J930" t="s">
        <v>4276</v>
      </c>
      <c r="K930" t="s">
        <v>54</v>
      </c>
      <c r="M930" t="s">
        <v>134</v>
      </c>
      <c r="N930" t="s">
        <v>135</v>
      </c>
      <c r="Q930" t="s">
        <v>140</v>
      </c>
      <c r="U930" t="s">
        <v>137</v>
      </c>
      <c r="V930" t="s">
        <v>147</v>
      </c>
      <c r="W930" s="9">
        <v>46176.483119988428</v>
      </c>
      <c r="X930" t="s">
        <v>70</v>
      </c>
      <c r="AA930" t="s">
        <v>4916</v>
      </c>
      <c r="AC930" t="s">
        <v>24</v>
      </c>
      <c r="AD930" t="s">
        <v>128</v>
      </c>
      <c r="AE930" s="97">
        <f>VLOOKUP(A:A,SUMMERY!AA:AC,2,FALSE)</f>
        <v>46220</v>
      </c>
      <c r="AF930" s="6" t="str">
        <f>VLOOKUP(A:A,SUMMERY!AA:AC,3,FALSE)</f>
        <v>Priority-1</v>
      </c>
    </row>
    <row r="931" spans="1:32" x14ac:dyDescent="0.3">
      <c r="A931" t="s">
        <v>4919</v>
      </c>
      <c r="C931" t="s">
        <v>4284</v>
      </c>
      <c r="E931" t="s">
        <v>4284</v>
      </c>
      <c r="F931" t="s">
        <v>6769</v>
      </c>
      <c r="G931" t="s">
        <v>4915</v>
      </c>
      <c r="H931" t="s">
        <v>132</v>
      </c>
      <c r="I931" t="s">
        <v>4</v>
      </c>
      <c r="J931" t="s">
        <v>4276</v>
      </c>
      <c r="K931" t="s">
        <v>54</v>
      </c>
      <c r="M931" t="s">
        <v>134</v>
      </c>
      <c r="N931" t="s">
        <v>135</v>
      </c>
      <c r="Q931" t="s">
        <v>140</v>
      </c>
      <c r="U931" t="s">
        <v>137</v>
      </c>
      <c r="V931" t="s">
        <v>147</v>
      </c>
      <c r="W931" s="9">
        <v>46178.541488888892</v>
      </c>
      <c r="X931" t="s">
        <v>70</v>
      </c>
      <c r="AA931" t="s">
        <v>4916</v>
      </c>
      <c r="AC931" t="s">
        <v>24</v>
      </c>
      <c r="AD931" t="s">
        <v>128</v>
      </c>
      <c r="AE931" s="97">
        <f>VLOOKUP(A:A,SUMMERY!AA:AC,2,FALSE)</f>
        <v>46220</v>
      </c>
      <c r="AF931" s="6" t="str">
        <f>VLOOKUP(A:A,SUMMERY!AA:AC,3,FALSE)</f>
        <v>Priority-1</v>
      </c>
    </row>
    <row r="932" spans="1:32" x14ac:dyDescent="0.3">
      <c r="A932" t="s">
        <v>4920</v>
      </c>
      <c r="C932" t="s">
        <v>4286</v>
      </c>
      <c r="E932" t="s">
        <v>4286</v>
      </c>
      <c r="F932" t="s">
        <v>6769</v>
      </c>
      <c r="G932" t="s">
        <v>4915</v>
      </c>
      <c r="H932" t="s">
        <v>132</v>
      </c>
      <c r="I932" t="s">
        <v>4</v>
      </c>
      <c r="J932" t="s">
        <v>4276</v>
      </c>
      <c r="K932" t="s">
        <v>54</v>
      </c>
      <c r="M932" t="s">
        <v>134</v>
      </c>
      <c r="N932" t="s">
        <v>135</v>
      </c>
      <c r="Q932" t="s">
        <v>140</v>
      </c>
      <c r="U932" t="s">
        <v>137</v>
      </c>
      <c r="V932" t="s">
        <v>150</v>
      </c>
      <c r="W932" s="9">
        <v>46181.512832442131</v>
      </c>
      <c r="X932" t="s">
        <v>76</v>
      </c>
      <c r="AA932" t="s">
        <v>4916</v>
      </c>
      <c r="AC932" t="s">
        <v>24</v>
      </c>
      <c r="AD932" t="s">
        <v>128</v>
      </c>
      <c r="AE932" s="97">
        <f>VLOOKUP(A:A,SUMMERY!AA:AC,2,FALSE)</f>
        <v>46233</v>
      </c>
      <c r="AF932" s="6" t="str">
        <f>VLOOKUP(A:A,SUMMERY!AA:AC,3,FALSE)</f>
        <v>Priority-1</v>
      </c>
    </row>
    <row r="933" spans="1:32" x14ac:dyDescent="0.3">
      <c r="A933" t="s">
        <v>4921</v>
      </c>
      <c r="C933" t="s">
        <v>4288</v>
      </c>
      <c r="E933" t="s">
        <v>4288</v>
      </c>
      <c r="F933" t="s">
        <v>6769</v>
      </c>
      <c r="G933" t="s">
        <v>4915</v>
      </c>
      <c r="H933" t="s">
        <v>132</v>
      </c>
      <c r="I933" t="s">
        <v>4</v>
      </c>
      <c r="J933" t="s">
        <v>4276</v>
      </c>
      <c r="K933" t="s">
        <v>54</v>
      </c>
      <c r="M933" t="s">
        <v>134</v>
      </c>
      <c r="N933" t="s">
        <v>135</v>
      </c>
      <c r="Q933" t="s">
        <v>140</v>
      </c>
      <c r="U933" t="s">
        <v>137</v>
      </c>
      <c r="V933" t="s">
        <v>150</v>
      </c>
      <c r="W933" s="9">
        <v>46190.495899502312</v>
      </c>
      <c r="X933" t="s">
        <v>76</v>
      </c>
      <c r="AA933" t="s">
        <v>4916</v>
      </c>
      <c r="AC933" t="s">
        <v>24</v>
      </c>
      <c r="AD933" t="s">
        <v>128</v>
      </c>
      <c r="AE933" s="97">
        <f>VLOOKUP(A:A,SUMMERY!AA:AC,2,FALSE)</f>
        <v>46233</v>
      </c>
      <c r="AF933" s="6" t="str">
        <f>VLOOKUP(A:A,SUMMERY!AA:AC,3,FALSE)</f>
        <v>Priority-1</v>
      </c>
    </row>
    <row r="934" spans="1:32" x14ac:dyDescent="0.3">
      <c r="A934" t="s">
        <v>4922</v>
      </c>
      <c r="C934" t="s">
        <v>4290</v>
      </c>
      <c r="E934" t="s">
        <v>4290</v>
      </c>
      <c r="F934" t="s">
        <v>6769</v>
      </c>
      <c r="G934" t="s">
        <v>4915</v>
      </c>
      <c r="H934" t="s">
        <v>132</v>
      </c>
      <c r="I934" t="s">
        <v>4</v>
      </c>
      <c r="J934" t="s">
        <v>4276</v>
      </c>
      <c r="K934" t="s">
        <v>54</v>
      </c>
      <c r="M934" t="s">
        <v>134</v>
      </c>
      <c r="N934" t="s">
        <v>135</v>
      </c>
      <c r="Q934" t="s">
        <v>140</v>
      </c>
      <c r="U934" t="s">
        <v>137</v>
      </c>
      <c r="V934" t="s">
        <v>150</v>
      </c>
      <c r="W934" s="9">
        <v>46190.503096608794</v>
      </c>
      <c r="X934" t="s">
        <v>76</v>
      </c>
      <c r="AA934" t="s">
        <v>4916</v>
      </c>
      <c r="AC934" t="s">
        <v>24</v>
      </c>
      <c r="AD934" t="s">
        <v>128</v>
      </c>
      <c r="AE934" s="97">
        <f>VLOOKUP(A:A,SUMMERY!AA:AC,2,FALSE)</f>
        <v>46233</v>
      </c>
      <c r="AF934" s="6" t="str">
        <f>VLOOKUP(A:A,SUMMERY!AA:AC,3,FALSE)</f>
        <v>Priority-1</v>
      </c>
    </row>
    <row r="935" spans="1:32" x14ac:dyDescent="0.3">
      <c r="A935" t="s">
        <v>4938</v>
      </c>
      <c r="C935" t="s">
        <v>4322</v>
      </c>
      <c r="E935" t="s">
        <v>4322</v>
      </c>
      <c r="F935" t="s">
        <v>6769</v>
      </c>
      <c r="G935" t="s">
        <v>4915</v>
      </c>
      <c r="H935" t="s">
        <v>132</v>
      </c>
      <c r="I935" t="s">
        <v>4</v>
      </c>
      <c r="J935" t="s">
        <v>4276</v>
      </c>
      <c r="K935" t="s">
        <v>54</v>
      </c>
      <c r="M935" t="s">
        <v>134</v>
      </c>
      <c r="N935" t="s">
        <v>135</v>
      </c>
      <c r="Q935" t="s">
        <v>140</v>
      </c>
      <c r="U935" t="s">
        <v>137</v>
      </c>
      <c r="V935" t="s">
        <v>371</v>
      </c>
      <c r="W935" s="9">
        <v>46197.483570254626</v>
      </c>
      <c r="X935" t="s">
        <v>57</v>
      </c>
      <c r="AA935" t="s">
        <v>4916</v>
      </c>
      <c r="AC935" t="s">
        <v>24</v>
      </c>
      <c r="AD935" t="s">
        <v>128</v>
      </c>
      <c r="AE935" s="97">
        <f>VLOOKUP(A:A,SUMMERY!AA:AC,2,FALSE)</f>
        <v>46220</v>
      </c>
      <c r="AF935" s="6" t="str">
        <f>VLOOKUP(A:A,SUMMERY!AA:AC,3,FALSE)</f>
        <v>Priority-1</v>
      </c>
    </row>
    <row r="936" spans="1:32" x14ac:dyDescent="0.3">
      <c r="A936" t="s">
        <v>4939</v>
      </c>
      <c r="C936" t="s">
        <v>4324</v>
      </c>
      <c r="E936" t="s">
        <v>4324</v>
      </c>
      <c r="F936" t="s">
        <v>6769</v>
      </c>
      <c r="G936" t="s">
        <v>4915</v>
      </c>
      <c r="H936" t="s">
        <v>132</v>
      </c>
      <c r="I936" t="s">
        <v>4</v>
      </c>
      <c r="J936" t="s">
        <v>4276</v>
      </c>
      <c r="K936" t="s">
        <v>54</v>
      </c>
      <c r="M936" t="s">
        <v>134</v>
      </c>
      <c r="N936" t="s">
        <v>135</v>
      </c>
      <c r="Q936" t="s">
        <v>140</v>
      </c>
      <c r="U936" t="s">
        <v>137</v>
      </c>
      <c r="V936" t="s">
        <v>371</v>
      </c>
      <c r="W936" s="9">
        <v>46174.244510682867</v>
      </c>
      <c r="X936" t="s">
        <v>57</v>
      </c>
      <c r="AA936" t="s">
        <v>4916</v>
      </c>
      <c r="AC936" t="s">
        <v>24</v>
      </c>
      <c r="AD936" t="s">
        <v>128</v>
      </c>
      <c r="AE936" s="97">
        <f>VLOOKUP(A:A,SUMMERY!AA:AC,2,FALSE)</f>
        <v>46220</v>
      </c>
      <c r="AF936" s="6" t="str">
        <f>VLOOKUP(A:A,SUMMERY!AA:AC,3,FALSE)</f>
        <v>Priority-1</v>
      </c>
    </row>
    <row r="937" spans="1:32" x14ac:dyDescent="0.3">
      <c r="A937" t="s">
        <v>4940</v>
      </c>
      <c r="C937" t="s">
        <v>4326</v>
      </c>
      <c r="E937" t="s">
        <v>4326</v>
      </c>
      <c r="F937" t="s">
        <v>6769</v>
      </c>
      <c r="G937" t="s">
        <v>4915</v>
      </c>
      <c r="H937" t="s">
        <v>132</v>
      </c>
      <c r="I937" t="s">
        <v>4</v>
      </c>
      <c r="J937" t="s">
        <v>4276</v>
      </c>
      <c r="K937" t="s">
        <v>54</v>
      </c>
      <c r="M937" t="s">
        <v>134</v>
      </c>
      <c r="N937" t="s">
        <v>135</v>
      </c>
      <c r="Q937" t="s">
        <v>140</v>
      </c>
      <c r="U937" t="s">
        <v>137</v>
      </c>
      <c r="V937" t="s">
        <v>362</v>
      </c>
      <c r="W937" s="9">
        <v>46174.245650381941</v>
      </c>
      <c r="X937" t="s">
        <v>58</v>
      </c>
      <c r="AA937" t="s">
        <v>4916</v>
      </c>
      <c r="AC937" t="s">
        <v>24</v>
      </c>
      <c r="AD937" t="s">
        <v>128</v>
      </c>
      <c r="AE937" s="97">
        <f>VLOOKUP(A:A,SUMMERY!AA:AC,2,FALSE)</f>
        <v>46220</v>
      </c>
      <c r="AF937" s="6" t="str">
        <f>VLOOKUP(A:A,SUMMERY!AA:AC,3,FALSE)</f>
        <v>Priority-1</v>
      </c>
    </row>
    <row r="938" spans="1:32" x14ac:dyDescent="0.3">
      <c r="A938" t="s">
        <v>4941</v>
      </c>
      <c r="C938" t="s">
        <v>4328</v>
      </c>
      <c r="E938" t="s">
        <v>4328</v>
      </c>
      <c r="F938" t="s">
        <v>6769</v>
      </c>
      <c r="G938" t="s">
        <v>4915</v>
      </c>
      <c r="H938" t="s">
        <v>132</v>
      </c>
      <c r="I938" t="s">
        <v>4</v>
      </c>
      <c r="J938" t="s">
        <v>4276</v>
      </c>
      <c r="K938" t="s">
        <v>54</v>
      </c>
      <c r="M938" t="s">
        <v>134</v>
      </c>
      <c r="N938" t="s">
        <v>135</v>
      </c>
      <c r="Q938" t="s">
        <v>140</v>
      </c>
      <c r="U938" t="s">
        <v>137</v>
      </c>
      <c r="V938" t="s">
        <v>362</v>
      </c>
      <c r="X938" t="s">
        <v>58</v>
      </c>
      <c r="AA938" t="s">
        <v>4916</v>
      </c>
      <c r="AC938" t="s">
        <v>138</v>
      </c>
      <c r="AD938" t="s">
        <v>128</v>
      </c>
      <c r="AE938" s="97">
        <f>VLOOKUP(A:A,SUMMERY!AA:AC,2,FALSE)</f>
        <v>46220</v>
      </c>
      <c r="AF938" s="6" t="str">
        <f>VLOOKUP(A:A,SUMMERY!AA:AC,3,FALSE)</f>
        <v>Priority-1</v>
      </c>
    </row>
    <row r="939" spans="1:32" x14ac:dyDescent="0.3">
      <c r="A939" t="s">
        <v>4942</v>
      </c>
      <c r="C939" t="s">
        <v>4330</v>
      </c>
      <c r="E939" t="s">
        <v>4330</v>
      </c>
      <c r="F939" t="s">
        <v>6769</v>
      </c>
      <c r="G939" t="s">
        <v>4915</v>
      </c>
      <c r="H939" t="s">
        <v>132</v>
      </c>
      <c r="I939" t="s">
        <v>4</v>
      </c>
      <c r="J939" t="s">
        <v>4276</v>
      </c>
      <c r="K939" t="s">
        <v>54</v>
      </c>
      <c r="M939" t="s">
        <v>134</v>
      </c>
      <c r="N939" t="s">
        <v>135</v>
      </c>
      <c r="Q939" t="s">
        <v>140</v>
      </c>
      <c r="U939" t="s">
        <v>137</v>
      </c>
      <c r="V939" t="s">
        <v>640</v>
      </c>
      <c r="X939" t="s">
        <v>66</v>
      </c>
      <c r="AA939" t="s">
        <v>4916</v>
      </c>
      <c r="AC939" t="s">
        <v>138</v>
      </c>
      <c r="AD939" t="s">
        <v>128</v>
      </c>
      <c r="AE939" s="97">
        <f>VLOOKUP(A:A,SUMMERY!AA:AC,2,FALSE)</f>
        <v>46220</v>
      </c>
      <c r="AF939" s="6" t="str">
        <f>VLOOKUP(A:A,SUMMERY!AA:AC,3,FALSE)</f>
        <v>Priority-1</v>
      </c>
    </row>
    <row r="940" spans="1:32" x14ac:dyDescent="0.3">
      <c r="A940" t="s">
        <v>4943</v>
      </c>
      <c r="C940" t="s">
        <v>4332</v>
      </c>
      <c r="E940" t="s">
        <v>4332</v>
      </c>
      <c r="F940" t="s">
        <v>6769</v>
      </c>
      <c r="G940" t="s">
        <v>4915</v>
      </c>
      <c r="H940" t="s">
        <v>132</v>
      </c>
      <c r="I940" t="s">
        <v>4</v>
      </c>
      <c r="J940" t="s">
        <v>4276</v>
      </c>
      <c r="K940" t="s">
        <v>54</v>
      </c>
      <c r="M940" t="s">
        <v>134</v>
      </c>
      <c r="N940" t="s">
        <v>135</v>
      </c>
      <c r="Q940" t="s">
        <v>140</v>
      </c>
      <c r="U940" t="s">
        <v>137</v>
      </c>
      <c r="V940" t="s">
        <v>640</v>
      </c>
      <c r="W940" s="9">
        <v>46151.438997881945</v>
      </c>
      <c r="X940" t="s">
        <v>66</v>
      </c>
      <c r="AA940" t="s">
        <v>4916</v>
      </c>
      <c r="AC940" t="s">
        <v>24</v>
      </c>
      <c r="AD940" t="s">
        <v>128</v>
      </c>
      <c r="AE940" s="97">
        <f>VLOOKUP(A:A,SUMMERY!AA:AC,2,FALSE)</f>
        <v>46220</v>
      </c>
      <c r="AF940" s="6" t="str">
        <f>VLOOKUP(A:A,SUMMERY!AA:AC,3,FALSE)</f>
        <v>Priority-1</v>
      </c>
    </row>
    <row r="941" spans="1:32" x14ac:dyDescent="0.3">
      <c r="A941" t="s">
        <v>4944</v>
      </c>
      <c r="C941" t="s">
        <v>4334</v>
      </c>
      <c r="E941" t="s">
        <v>4334</v>
      </c>
      <c r="F941" t="s">
        <v>6769</v>
      </c>
      <c r="G941" t="s">
        <v>4915</v>
      </c>
      <c r="H941" t="s">
        <v>132</v>
      </c>
      <c r="I941" t="s">
        <v>4</v>
      </c>
      <c r="J941" t="s">
        <v>4276</v>
      </c>
      <c r="K941" t="s">
        <v>54</v>
      </c>
      <c r="M941" t="s">
        <v>134</v>
      </c>
      <c r="N941" t="s">
        <v>135</v>
      </c>
      <c r="Q941" t="s">
        <v>140</v>
      </c>
      <c r="U941" t="s">
        <v>137</v>
      </c>
      <c r="V941" t="s">
        <v>646</v>
      </c>
      <c r="X941" t="s">
        <v>74</v>
      </c>
      <c r="AA941" t="s">
        <v>4916</v>
      </c>
      <c r="AC941" t="s">
        <v>138</v>
      </c>
      <c r="AD941" t="s">
        <v>128</v>
      </c>
      <c r="AE941" s="97">
        <f>VLOOKUP(A:A,SUMMERY!AA:AC,2,FALSE)</f>
        <v>46220</v>
      </c>
      <c r="AF941" s="6" t="str">
        <f>VLOOKUP(A:A,SUMMERY!AA:AC,3,FALSE)</f>
        <v>Priority-1</v>
      </c>
    </row>
    <row r="942" spans="1:32" x14ac:dyDescent="0.3">
      <c r="A942" t="s">
        <v>4945</v>
      </c>
      <c r="C942" t="s">
        <v>4336</v>
      </c>
      <c r="E942" t="s">
        <v>4336</v>
      </c>
      <c r="F942" t="s">
        <v>6769</v>
      </c>
      <c r="G942" t="s">
        <v>4915</v>
      </c>
      <c r="H942" t="s">
        <v>132</v>
      </c>
      <c r="I942" t="s">
        <v>4</v>
      </c>
      <c r="J942" t="s">
        <v>4276</v>
      </c>
      <c r="K942" t="s">
        <v>54</v>
      </c>
      <c r="M942" t="s">
        <v>134</v>
      </c>
      <c r="N942" t="s">
        <v>135</v>
      </c>
      <c r="Q942" t="s">
        <v>140</v>
      </c>
      <c r="U942" t="s">
        <v>137</v>
      </c>
      <c r="V942" t="s">
        <v>646</v>
      </c>
      <c r="W942" s="9">
        <v>46174.24666157407</v>
      </c>
      <c r="X942" t="s">
        <v>74</v>
      </c>
      <c r="AA942" t="s">
        <v>4916</v>
      </c>
      <c r="AC942" t="s">
        <v>24</v>
      </c>
      <c r="AD942" t="s">
        <v>128</v>
      </c>
      <c r="AE942" s="97">
        <f>VLOOKUP(A:A,SUMMERY!AA:AC,2,FALSE)</f>
        <v>46220</v>
      </c>
      <c r="AF942" s="6" t="str">
        <f>VLOOKUP(A:A,SUMMERY!AA:AC,3,FALSE)</f>
        <v>Priority-1</v>
      </c>
    </row>
    <row r="943" spans="1:32" x14ac:dyDescent="0.3">
      <c r="A943" t="s">
        <v>4956</v>
      </c>
      <c r="C943" t="s">
        <v>4358</v>
      </c>
      <c r="E943" t="s">
        <v>4358</v>
      </c>
      <c r="F943" t="s">
        <v>6769</v>
      </c>
      <c r="G943" t="s">
        <v>4915</v>
      </c>
      <c r="H943" t="s">
        <v>132</v>
      </c>
      <c r="I943" t="s">
        <v>4</v>
      </c>
      <c r="J943" t="s">
        <v>4276</v>
      </c>
      <c r="K943" t="s">
        <v>54</v>
      </c>
      <c r="M943" t="s">
        <v>134</v>
      </c>
      <c r="N943" t="s">
        <v>135</v>
      </c>
      <c r="Q943" t="s">
        <v>140</v>
      </c>
      <c r="U943" t="s">
        <v>137</v>
      </c>
      <c r="V943" t="s">
        <v>1190</v>
      </c>
      <c r="X943" t="s">
        <v>67</v>
      </c>
      <c r="AA943" t="s">
        <v>4916</v>
      </c>
      <c r="AC943" t="s">
        <v>138</v>
      </c>
      <c r="AD943" t="s">
        <v>128</v>
      </c>
      <c r="AE943" s="97">
        <f>VLOOKUP(A:A,SUMMERY!AA:AC,2,FALSE)</f>
        <v>46220</v>
      </c>
      <c r="AF943" s="6" t="str">
        <f>VLOOKUP(A:A,SUMMERY!AA:AC,3,FALSE)</f>
        <v>Priority-1</v>
      </c>
    </row>
    <row r="944" spans="1:32" x14ac:dyDescent="0.3">
      <c r="A944" t="s">
        <v>4957</v>
      </c>
      <c r="C944" t="s">
        <v>4360</v>
      </c>
      <c r="E944" t="s">
        <v>4360</v>
      </c>
      <c r="F944" t="s">
        <v>6769</v>
      </c>
      <c r="G944" t="s">
        <v>4915</v>
      </c>
      <c r="H944" t="s">
        <v>132</v>
      </c>
      <c r="I944" t="s">
        <v>4</v>
      </c>
      <c r="J944" t="s">
        <v>4276</v>
      </c>
      <c r="K944" t="s">
        <v>54</v>
      </c>
      <c r="M944" t="s">
        <v>134</v>
      </c>
      <c r="N944" t="s">
        <v>135</v>
      </c>
      <c r="Q944" t="s">
        <v>140</v>
      </c>
      <c r="U944" t="s">
        <v>137</v>
      </c>
      <c r="V944" t="s">
        <v>1190</v>
      </c>
      <c r="W944" s="9">
        <v>46176.484674074076</v>
      </c>
      <c r="X944" t="s">
        <v>67</v>
      </c>
      <c r="AA944" t="s">
        <v>4916</v>
      </c>
      <c r="AC944" t="s">
        <v>24</v>
      </c>
      <c r="AD944" t="s">
        <v>128</v>
      </c>
      <c r="AE944" s="97">
        <f>VLOOKUP(A:A,SUMMERY!AA:AC,2,FALSE)</f>
        <v>46220</v>
      </c>
      <c r="AF944" s="6" t="str">
        <f>VLOOKUP(A:A,SUMMERY!AA:AC,3,FALSE)</f>
        <v>Priority-1</v>
      </c>
    </row>
    <row r="945" spans="1:32" x14ac:dyDescent="0.3">
      <c r="A945" t="s">
        <v>4958</v>
      </c>
      <c r="C945" t="s">
        <v>4362</v>
      </c>
      <c r="E945" t="s">
        <v>4362</v>
      </c>
      <c r="F945" t="s">
        <v>6769</v>
      </c>
      <c r="G945" t="s">
        <v>4915</v>
      </c>
      <c r="H945" t="s">
        <v>132</v>
      </c>
      <c r="I945" t="s">
        <v>4</v>
      </c>
      <c r="J945" t="s">
        <v>4276</v>
      </c>
      <c r="K945" t="s">
        <v>54</v>
      </c>
      <c r="M945" t="s">
        <v>134</v>
      </c>
      <c r="N945" t="s">
        <v>135</v>
      </c>
      <c r="Q945" t="s">
        <v>140</v>
      </c>
      <c r="U945" t="s">
        <v>137</v>
      </c>
      <c r="V945" t="s">
        <v>1194</v>
      </c>
      <c r="X945" t="s">
        <v>75</v>
      </c>
      <c r="AA945" t="s">
        <v>4916</v>
      </c>
      <c r="AC945" t="s">
        <v>138</v>
      </c>
      <c r="AD945" t="s">
        <v>128</v>
      </c>
      <c r="AE945" s="97">
        <f>VLOOKUP(A:A,SUMMERY!AA:AC,2,FALSE)</f>
        <v>46220</v>
      </c>
      <c r="AF945" s="6" t="str">
        <f>VLOOKUP(A:A,SUMMERY!AA:AC,3,FALSE)</f>
        <v>Priority-1</v>
      </c>
    </row>
    <row r="946" spans="1:32" x14ac:dyDescent="0.3">
      <c r="A946" t="s">
        <v>4959</v>
      </c>
      <c r="C946" t="s">
        <v>4364</v>
      </c>
      <c r="E946" t="s">
        <v>4364</v>
      </c>
      <c r="F946" t="s">
        <v>6769</v>
      </c>
      <c r="G946" t="s">
        <v>4915</v>
      </c>
      <c r="H946" t="s">
        <v>132</v>
      </c>
      <c r="I946" t="s">
        <v>4</v>
      </c>
      <c r="J946" t="s">
        <v>4276</v>
      </c>
      <c r="K946" t="s">
        <v>54</v>
      </c>
      <c r="M946" t="s">
        <v>134</v>
      </c>
      <c r="N946" t="s">
        <v>135</v>
      </c>
      <c r="Q946" t="s">
        <v>140</v>
      </c>
      <c r="U946" t="s">
        <v>137</v>
      </c>
      <c r="V946" t="s">
        <v>1194</v>
      </c>
      <c r="W946" s="9">
        <v>46176.486067557867</v>
      </c>
      <c r="X946" t="s">
        <v>75</v>
      </c>
      <c r="AA946" t="s">
        <v>4916</v>
      </c>
      <c r="AC946" t="s">
        <v>24</v>
      </c>
      <c r="AD946" t="s">
        <v>128</v>
      </c>
      <c r="AE946" s="97">
        <f>VLOOKUP(A:A,SUMMERY!AA:AC,2,FALSE)</f>
        <v>46220</v>
      </c>
      <c r="AF946" s="6" t="str">
        <f>VLOOKUP(A:A,SUMMERY!AA:AC,3,FALSE)</f>
        <v>Priority-1</v>
      </c>
    </row>
    <row r="947" spans="1:32" x14ac:dyDescent="0.3">
      <c r="A947" t="s">
        <v>4970</v>
      </c>
      <c r="C947" t="s">
        <v>4386</v>
      </c>
      <c r="E947" t="s">
        <v>4386</v>
      </c>
      <c r="F947" t="s">
        <v>6769</v>
      </c>
      <c r="G947" t="s">
        <v>4915</v>
      </c>
      <c r="H947" t="s">
        <v>132</v>
      </c>
      <c r="I947" t="s">
        <v>4</v>
      </c>
      <c r="J947" t="s">
        <v>4276</v>
      </c>
      <c r="K947" t="s">
        <v>54</v>
      </c>
      <c r="M947" t="s">
        <v>134</v>
      </c>
      <c r="N947" t="s">
        <v>135</v>
      </c>
      <c r="Q947" t="s">
        <v>140</v>
      </c>
      <c r="U947" t="s">
        <v>137</v>
      </c>
      <c r="V947" t="s">
        <v>403</v>
      </c>
      <c r="X947" t="s">
        <v>68</v>
      </c>
      <c r="AA947" t="s">
        <v>4916</v>
      </c>
      <c r="AC947" t="s">
        <v>138</v>
      </c>
      <c r="AD947" t="s">
        <v>128</v>
      </c>
      <c r="AE947" s="97">
        <f>VLOOKUP(A:A,SUMMERY!AA:AC,2,FALSE)</f>
        <v>46233</v>
      </c>
      <c r="AF947" s="6" t="str">
        <f>VLOOKUP(A:A,SUMMERY!AA:AC,3,FALSE)</f>
        <v>Priority-1</v>
      </c>
    </row>
    <row r="948" spans="1:32" x14ac:dyDescent="0.3">
      <c r="A948" t="s">
        <v>4971</v>
      </c>
      <c r="C948" t="s">
        <v>4388</v>
      </c>
      <c r="E948" t="s">
        <v>4388</v>
      </c>
      <c r="F948" t="s">
        <v>6769</v>
      </c>
      <c r="G948" t="s">
        <v>4915</v>
      </c>
      <c r="H948" t="s">
        <v>132</v>
      </c>
      <c r="I948" t="s">
        <v>4</v>
      </c>
      <c r="J948" t="s">
        <v>4276</v>
      </c>
      <c r="K948" t="s">
        <v>54</v>
      </c>
      <c r="M948" t="s">
        <v>134</v>
      </c>
      <c r="N948" t="s">
        <v>135</v>
      </c>
      <c r="Q948" t="s">
        <v>140</v>
      </c>
      <c r="U948" t="s">
        <v>137</v>
      </c>
      <c r="V948" t="s">
        <v>403</v>
      </c>
      <c r="W948" s="9">
        <v>46178.543736307867</v>
      </c>
      <c r="X948" t="s">
        <v>68</v>
      </c>
      <c r="AA948" t="s">
        <v>4916</v>
      </c>
      <c r="AC948" t="s">
        <v>24</v>
      </c>
      <c r="AD948" t="s">
        <v>128</v>
      </c>
      <c r="AE948" s="97">
        <f>VLOOKUP(A:A,SUMMERY!AA:AC,2,FALSE)</f>
        <v>46233</v>
      </c>
      <c r="AF948" s="6" t="str">
        <f>VLOOKUP(A:A,SUMMERY!AA:AC,3,FALSE)</f>
        <v>Priority-1</v>
      </c>
    </row>
    <row r="949" spans="1:32" x14ac:dyDescent="0.3">
      <c r="A949" t="s">
        <v>4972</v>
      </c>
      <c r="C949" t="s">
        <v>4390</v>
      </c>
      <c r="E949" t="s">
        <v>4390</v>
      </c>
      <c r="F949" t="s">
        <v>6769</v>
      </c>
      <c r="G949" t="s">
        <v>4915</v>
      </c>
      <c r="H949" t="s">
        <v>132</v>
      </c>
      <c r="I949" t="s">
        <v>4</v>
      </c>
      <c r="J949" t="s">
        <v>4276</v>
      </c>
      <c r="K949" t="s">
        <v>54</v>
      </c>
      <c r="M949" t="s">
        <v>134</v>
      </c>
      <c r="N949" t="s">
        <v>135</v>
      </c>
      <c r="Q949" t="s">
        <v>140</v>
      </c>
      <c r="U949" t="s">
        <v>137</v>
      </c>
      <c r="V949" t="s">
        <v>407</v>
      </c>
      <c r="X949" t="s">
        <v>77</v>
      </c>
      <c r="AA949" t="s">
        <v>4916</v>
      </c>
      <c r="AC949" t="s">
        <v>138</v>
      </c>
      <c r="AD949" t="s">
        <v>128</v>
      </c>
      <c r="AE949" s="97">
        <f>VLOOKUP(A:A,SUMMERY!AA:AC,2,FALSE)</f>
        <v>46233</v>
      </c>
      <c r="AF949" s="6" t="str">
        <f>VLOOKUP(A:A,SUMMERY!AA:AC,3,FALSE)</f>
        <v>Priority-1</v>
      </c>
    </row>
    <row r="950" spans="1:32" x14ac:dyDescent="0.3">
      <c r="A950" t="s">
        <v>4973</v>
      </c>
      <c r="C950" t="s">
        <v>4392</v>
      </c>
      <c r="E950" t="s">
        <v>4392</v>
      </c>
      <c r="F950" t="s">
        <v>6769</v>
      </c>
      <c r="G950" t="s">
        <v>4915</v>
      </c>
      <c r="H950" t="s">
        <v>132</v>
      </c>
      <c r="I950" t="s">
        <v>4</v>
      </c>
      <c r="J950" t="s">
        <v>4276</v>
      </c>
      <c r="K950" t="s">
        <v>54</v>
      </c>
      <c r="M950" t="s">
        <v>134</v>
      </c>
      <c r="N950" t="s">
        <v>135</v>
      </c>
      <c r="Q950" t="s">
        <v>140</v>
      </c>
      <c r="U950" t="s">
        <v>137</v>
      </c>
      <c r="V950" t="s">
        <v>407</v>
      </c>
      <c r="W950" s="9">
        <v>46181.513425081015</v>
      </c>
      <c r="X950" t="s">
        <v>77</v>
      </c>
      <c r="AA950" t="s">
        <v>4916</v>
      </c>
      <c r="AC950" t="s">
        <v>24</v>
      </c>
      <c r="AD950" t="s">
        <v>128</v>
      </c>
      <c r="AE950" s="97">
        <f>VLOOKUP(A:A,SUMMERY!AA:AC,2,FALSE)</f>
        <v>46233</v>
      </c>
      <c r="AF950" s="6" t="str">
        <f>VLOOKUP(A:A,SUMMERY!AA:AC,3,FALSE)</f>
        <v>Priority-1</v>
      </c>
    </row>
    <row r="951" spans="1:32" x14ac:dyDescent="0.3">
      <c r="A951" t="s">
        <v>4984</v>
      </c>
      <c r="C951" t="s">
        <v>4414</v>
      </c>
      <c r="E951" t="s">
        <v>4414</v>
      </c>
      <c r="F951" t="s">
        <v>6769</v>
      </c>
      <c r="G951" t="s">
        <v>4915</v>
      </c>
      <c r="H951" t="s">
        <v>132</v>
      </c>
      <c r="I951" t="s">
        <v>4</v>
      </c>
      <c r="J951" t="s">
        <v>4276</v>
      </c>
      <c r="K951" t="s">
        <v>54</v>
      </c>
      <c r="M951" t="s">
        <v>134</v>
      </c>
      <c r="N951" t="s">
        <v>135</v>
      </c>
      <c r="Q951" t="s">
        <v>140</v>
      </c>
      <c r="U951" t="s">
        <v>137</v>
      </c>
      <c r="V951" t="s">
        <v>1279</v>
      </c>
      <c r="W951" s="9">
        <v>46142.397928009261</v>
      </c>
      <c r="X951" t="s">
        <v>71</v>
      </c>
      <c r="AA951" t="s">
        <v>4916</v>
      </c>
      <c r="AC951" t="s">
        <v>24</v>
      </c>
      <c r="AD951" t="s">
        <v>128</v>
      </c>
      <c r="AE951" s="97">
        <f>VLOOKUP(A:A,SUMMERY!AA:AC,2,FALSE)</f>
        <v>46233</v>
      </c>
      <c r="AF951" s="6" t="str">
        <f>VLOOKUP(A:A,SUMMERY!AA:AC,3,FALSE)</f>
        <v>Priority-1</v>
      </c>
    </row>
    <row r="952" spans="1:32" x14ac:dyDescent="0.3">
      <c r="A952" t="s">
        <v>4985</v>
      </c>
      <c r="C952" t="s">
        <v>4416</v>
      </c>
      <c r="E952" t="s">
        <v>4416</v>
      </c>
      <c r="F952" t="s">
        <v>6769</v>
      </c>
      <c r="G952" t="s">
        <v>4915</v>
      </c>
      <c r="H952" t="s">
        <v>132</v>
      </c>
      <c r="I952" t="s">
        <v>4</v>
      </c>
      <c r="J952" t="s">
        <v>4276</v>
      </c>
      <c r="K952" t="s">
        <v>54</v>
      </c>
      <c r="M952" t="s">
        <v>134</v>
      </c>
      <c r="N952" t="s">
        <v>135</v>
      </c>
      <c r="Q952" t="s">
        <v>140</v>
      </c>
      <c r="U952" t="s">
        <v>137</v>
      </c>
      <c r="V952" t="s">
        <v>1279</v>
      </c>
      <c r="W952" s="9">
        <v>46142.408463159722</v>
      </c>
      <c r="X952" t="s">
        <v>71</v>
      </c>
      <c r="AA952" t="s">
        <v>4916</v>
      </c>
      <c r="AC952" t="s">
        <v>24</v>
      </c>
      <c r="AD952" t="s">
        <v>128</v>
      </c>
      <c r="AE952" s="97">
        <f>VLOOKUP(A:A,SUMMERY!AA:AC,2,FALSE)</f>
        <v>46233</v>
      </c>
      <c r="AF952" s="6" t="str">
        <f>VLOOKUP(A:A,SUMMERY!AA:AC,3,FALSE)</f>
        <v>Priority-1</v>
      </c>
    </row>
    <row r="953" spans="1:32" x14ac:dyDescent="0.3">
      <c r="A953" t="s">
        <v>4986</v>
      </c>
      <c r="C953" t="s">
        <v>4418</v>
      </c>
      <c r="E953" t="s">
        <v>4418</v>
      </c>
      <c r="F953" t="s">
        <v>6769</v>
      </c>
      <c r="G953" t="s">
        <v>4915</v>
      </c>
      <c r="H953" t="s">
        <v>132</v>
      </c>
      <c r="I953" t="s">
        <v>4</v>
      </c>
      <c r="J953" t="s">
        <v>4276</v>
      </c>
      <c r="K953" t="s">
        <v>54</v>
      </c>
      <c r="M953" t="s">
        <v>134</v>
      </c>
      <c r="N953" t="s">
        <v>135</v>
      </c>
      <c r="Q953" t="s">
        <v>140</v>
      </c>
      <c r="U953" t="s">
        <v>137</v>
      </c>
      <c r="V953" t="s">
        <v>1283</v>
      </c>
      <c r="W953" s="9">
        <v>46151.458479710651</v>
      </c>
      <c r="X953" t="s">
        <v>78</v>
      </c>
      <c r="AA953" t="s">
        <v>4916</v>
      </c>
      <c r="AC953" t="s">
        <v>24</v>
      </c>
      <c r="AD953" t="s">
        <v>128</v>
      </c>
      <c r="AE953" s="97">
        <f>VLOOKUP(A:A,SUMMERY!AA:AC,2,FALSE)</f>
        <v>46234</v>
      </c>
      <c r="AF953" s="6" t="str">
        <f>VLOOKUP(A:A,SUMMERY!AA:AC,3,FALSE)</f>
        <v>Priority-1</v>
      </c>
    </row>
    <row r="954" spans="1:32" x14ac:dyDescent="0.3">
      <c r="A954" t="s">
        <v>4987</v>
      </c>
      <c r="C954" t="s">
        <v>4420</v>
      </c>
      <c r="E954" t="s">
        <v>4420</v>
      </c>
      <c r="F954" t="s">
        <v>6769</v>
      </c>
      <c r="G954" t="s">
        <v>4915</v>
      </c>
      <c r="H954" t="s">
        <v>132</v>
      </c>
      <c r="I954" t="s">
        <v>4</v>
      </c>
      <c r="J954" t="s">
        <v>4276</v>
      </c>
      <c r="K954" t="s">
        <v>54</v>
      </c>
      <c r="M954" t="s">
        <v>134</v>
      </c>
      <c r="N954" t="s">
        <v>135</v>
      </c>
      <c r="Q954" t="s">
        <v>140</v>
      </c>
      <c r="U954" t="s">
        <v>137</v>
      </c>
      <c r="V954" t="s">
        <v>1283</v>
      </c>
      <c r="W954" s="9">
        <v>46151.442014236112</v>
      </c>
      <c r="X954" t="s">
        <v>78</v>
      </c>
      <c r="AA954" t="s">
        <v>4916</v>
      </c>
      <c r="AC954" t="s">
        <v>24</v>
      </c>
      <c r="AD954" t="s">
        <v>128</v>
      </c>
      <c r="AE954" s="97">
        <f>VLOOKUP(A:A,SUMMERY!AA:AC,2,FALSE)</f>
        <v>46234</v>
      </c>
      <c r="AF954" s="6" t="str">
        <f>VLOOKUP(A:A,SUMMERY!AA:AC,3,FALSE)</f>
        <v>Priority-1</v>
      </c>
    </row>
    <row r="955" spans="1:32" x14ac:dyDescent="0.3">
      <c r="A955" t="s">
        <v>4998</v>
      </c>
      <c r="C955" t="s">
        <v>4442</v>
      </c>
      <c r="E955" t="s">
        <v>4442</v>
      </c>
      <c r="F955" t="s">
        <v>6769</v>
      </c>
      <c r="G955" t="s">
        <v>4915</v>
      </c>
      <c r="H955" t="s">
        <v>132</v>
      </c>
      <c r="I955" t="s">
        <v>4</v>
      </c>
      <c r="J955" t="s">
        <v>4276</v>
      </c>
      <c r="K955" t="s">
        <v>54</v>
      </c>
      <c r="M955" t="s">
        <v>134</v>
      </c>
      <c r="N955" t="s">
        <v>135</v>
      </c>
      <c r="Q955" t="s">
        <v>140</v>
      </c>
      <c r="U955" t="s">
        <v>137</v>
      </c>
      <c r="V955" t="s">
        <v>703</v>
      </c>
      <c r="W955" s="9">
        <v>46178.531163425927</v>
      </c>
      <c r="X955" t="s">
        <v>62</v>
      </c>
      <c r="AA955" t="s">
        <v>4916</v>
      </c>
      <c r="AC955" t="s">
        <v>24</v>
      </c>
      <c r="AD955" t="s">
        <v>128</v>
      </c>
      <c r="AE955" s="97">
        <f>VLOOKUP(A:A,SUMMERY!AA:AC,2,FALSE)</f>
        <v>46220</v>
      </c>
      <c r="AF955" s="6" t="str">
        <f>VLOOKUP(A:A,SUMMERY!AA:AC,3,FALSE)</f>
        <v>Priority-1</v>
      </c>
    </row>
    <row r="956" spans="1:32" x14ac:dyDescent="0.3">
      <c r="A956" t="s">
        <v>4999</v>
      </c>
      <c r="C956" t="s">
        <v>4444</v>
      </c>
      <c r="E956" t="s">
        <v>4444</v>
      </c>
      <c r="F956" t="s">
        <v>6769</v>
      </c>
      <c r="G956" t="s">
        <v>4915</v>
      </c>
      <c r="H956" t="s">
        <v>132</v>
      </c>
      <c r="I956" t="s">
        <v>4</v>
      </c>
      <c r="J956" t="s">
        <v>4276</v>
      </c>
      <c r="K956" t="s">
        <v>54</v>
      </c>
      <c r="M956" t="s">
        <v>134</v>
      </c>
      <c r="N956" t="s">
        <v>135</v>
      </c>
      <c r="Q956" t="s">
        <v>140</v>
      </c>
      <c r="U956" t="s">
        <v>137</v>
      </c>
      <c r="V956" t="s">
        <v>703</v>
      </c>
      <c r="W956" s="9">
        <v>46162.481430057873</v>
      </c>
      <c r="X956" t="s">
        <v>62</v>
      </c>
      <c r="AA956" t="s">
        <v>4916</v>
      </c>
      <c r="AC956" t="s">
        <v>24</v>
      </c>
      <c r="AD956" t="s">
        <v>128</v>
      </c>
      <c r="AE956" s="97">
        <f>VLOOKUP(A:A,SUMMERY!AA:AC,2,FALSE)</f>
        <v>46220</v>
      </c>
      <c r="AF956" s="6" t="str">
        <f>VLOOKUP(A:A,SUMMERY!AA:AC,3,FALSE)</f>
        <v>Priority-1</v>
      </c>
    </row>
    <row r="957" spans="1:32" x14ac:dyDescent="0.3">
      <c r="A957" t="s">
        <v>5000</v>
      </c>
      <c r="C957" t="s">
        <v>4446</v>
      </c>
      <c r="E957" t="s">
        <v>4446</v>
      </c>
      <c r="F957" t="s">
        <v>6769</v>
      </c>
      <c r="G957" t="s">
        <v>4915</v>
      </c>
      <c r="H957" t="s">
        <v>132</v>
      </c>
      <c r="I957" t="s">
        <v>4</v>
      </c>
      <c r="J957" t="s">
        <v>4276</v>
      </c>
      <c r="K957" t="s">
        <v>54</v>
      </c>
      <c r="M957" t="s">
        <v>134</v>
      </c>
      <c r="N957" t="s">
        <v>135</v>
      </c>
      <c r="Q957" t="s">
        <v>140</v>
      </c>
      <c r="U957" t="s">
        <v>137</v>
      </c>
      <c r="V957" t="s">
        <v>703</v>
      </c>
      <c r="W957" s="9">
        <v>46178.528666168982</v>
      </c>
      <c r="X957" t="s">
        <v>62</v>
      </c>
      <c r="AA957" t="s">
        <v>4916</v>
      </c>
      <c r="AC957" t="s">
        <v>24</v>
      </c>
      <c r="AD957" t="s">
        <v>128</v>
      </c>
      <c r="AE957" s="97">
        <f>VLOOKUP(A:A,SUMMERY!AA:AC,2,FALSE)</f>
        <v>46220</v>
      </c>
      <c r="AF957" s="6" t="str">
        <f>VLOOKUP(A:A,SUMMERY!AA:AC,3,FALSE)</f>
        <v>Priority-1</v>
      </c>
    </row>
    <row r="958" spans="1:32" x14ac:dyDescent="0.3">
      <c r="A958" t="s">
        <v>5001</v>
      </c>
      <c r="C958" t="s">
        <v>4448</v>
      </c>
      <c r="E958" t="s">
        <v>4448</v>
      </c>
      <c r="F958" t="s">
        <v>6769</v>
      </c>
      <c r="G958" t="s">
        <v>4915</v>
      </c>
      <c r="H958" t="s">
        <v>132</v>
      </c>
      <c r="I958" t="s">
        <v>4</v>
      </c>
      <c r="J958" t="s">
        <v>4276</v>
      </c>
      <c r="K958" t="s">
        <v>54</v>
      </c>
      <c r="M958" t="s">
        <v>134</v>
      </c>
      <c r="N958" t="s">
        <v>135</v>
      </c>
      <c r="Q958" t="s">
        <v>140</v>
      </c>
      <c r="U958" t="s">
        <v>137</v>
      </c>
      <c r="V958" t="s">
        <v>703</v>
      </c>
      <c r="W958" s="9">
        <v>46178.529997418984</v>
      </c>
      <c r="X958" t="s">
        <v>62</v>
      </c>
      <c r="AA958" t="s">
        <v>4916</v>
      </c>
      <c r="AC958" t="s">
        <v>24</v>
      </c>
      <c r="AD958" t="s">
        <v>128</v>
      </c>
      <c r="AE958" s="97">
        <f>VLOOKUP(A:A,SUMMERY!AA:AC,2,FALSE)</f>
        <v>46220</v>
      </c>
      <c r="AF958" s="6" t="str">
        <f>VLOOKUP(A:A,SUMMERY!AA:AC,3,FALSE)</f>
        <v>Priority-1</v>
      </c>
    </row>
    <row r="959" spans="1:32" x14ac:dyDescent="0.3">
      <c r="A959" t="s">
        <v>5002</v>
      </c>
      <c r="C959" t="s">
        <v>4450</v>
      </c>
      <c r="E959" t="s">
        <v>4450</v>
      </c>
      <c r="F959" t="s">
        <v>6769</v>
      </c>
      <c r="G959" t="s">
        <v>4915</v>
      </c>
      <c r="H959" t="s">
        <v>132</v>
      </c>
      <c r="I959" t="s">
        <v>4</v>
      </c>
      <c r="J959" t="s">
        <v>4276</v>
      </c>
      <c r="K959" t="s">
        <v>54</v>
      </c>
      <c r="M959" t="s">
        <v>134</v>
      </c>
      <c r="N959" t="s">
        <v>135</v>
      </c>
      <c r="Q959" t="s">
        <v>140</v>
      </c>
      <c r="U959" t="s">
        <v>137</v>
      </c>
      <c r="V959" t="s">
        <v>703</v>
      </c>
      <c r="W959" s="9">
        <v>46176.500001076391</v>
      </c>
      <c r="X959" t="s">
        <v>62</v>
      </c>
      <c r="AA959" t="s">
        <v>4916</v>
      </c>
      <c r="AC959" t="s">
        <v>24</v>
      </c>
      <c r="AD959" t="s">
        <v>128</v>
      </c>
      <c r="AE959" s="97">
        <f>VLOOKUP(A:A,SUMMERY!AA:AC,2,FALSE)</f>
        <v>46220</v>
      </c>
      <c r="AF959" s="6" t="str">
        <f>VLOOKUP(A:A,SUMMERY!AA:AC,3,FALSE)</f>
        <v>Priority-1</v>
      </c>
    </row>
    <row r="960" spans="1:32" x14ac:dyDescent="0.3">
      <c r="A960" t="s">
        <v>5003</v>
      </c>
      <c r="C960" t="s">
        <v>4452</v>
      </c>
      <c r="E960" t="s">
        <v>4452</v>
      </c>
      <c r="F960" t="s">
        <v>6769</v>
      </c>
      <c r="G960" t="s">
        <v>4915</v>
      </c>
      <c r="H960" t="s">
        <v>132</v>
      </c>
      <c r="I960" t="s">
        <v>4</v>
      </c>
      <c r="J960" t="s">
        <v>4276</v>
      </c>
      <c r="K960" t="s">
        <v>54</v>
      </c>
      <c r="M960" t="s">
        <v>134</v>
      </c>
      <c r="N960" t="s">
        <v>135</v>
      </c>
      <c r="Q960" t="s">
        <v>140</v>
      </c>
      <c r="U960" t="s">
        <v>137</v>
      </c>
      <c r="V960" t="s">
        <v>703</v>
      </c>
      <c r="W960" s="9">
        <v>46176.500674571762</v>
      </c>
      <c r="X960" t="s">
        <v>62</v>
      </c>
      <c r="AA960" t="s">
        <v>4916</v>
      </c>
      <c r="AC960" t="s">
        <v>24</v>
      </c>
      <c r="AD960" t="s">
        <v>128</v>
      </c>
      <c r="AE960" s="97">
        <f>VLOOKUP(A:A,SUMMERY!AA:AC,2,FALSE)</f>
        <v>46220</v>
      </c>
      <c r="AF960" s="6" t="str">
        <f>VLOOKUP(A:A,SUMMERY!AA:AC,3,FALSE)</f>
        <v>Priority-1</v>
      </c>
    </row>
    <row r="961" spans="1:32" x14ac:dyDescent="0.3">
      <c r="A961" t="s">
        <v>5004</v>
      </c>
      <c r="C961" t="s">
        <v>4454</v>
      </c>
      <c r="E961" t="s">
        <v>4454</v>
      </c>
      <c r="F961" t="s">
        <v>6769</v>
      </c>
      <c r="G961" t="s">
        <v>4915</v>
      </c>
      <c r="H961" t="s">
        <v>132</v>
      </c>
      <c r="I961" t="s">
        <v>4</v>
      </c>
      <c r="J961" t="s">
        <v>4276</v>
      </c>
      <c r="K961" t="s">
        <v>54</v>
      </c>
      <c r="M961" t="s">
        <v>134</v>
      </c>
      <c r="N961" t="s">
        <v>135</v>
      </c>
      <c r="Q961" t="s">
        <v>140</v>
      </c>
      <c r="U961" t="s">
        <v>137</v>
      </c>
      <c r="V961" t="s">
        <v>709</v>
      </c>
      <c r="W961" s="9">
        <v>46190.470035266204</v>
      </c>
      <c r="X961" t="s">
        <v>73</v>
      </c>
      <c r="AA961" t="s">
        <v>4916</v>
      </c>
      <c r="AC961" t="s">
        <v>24</v>
      </c>
      <c r="AD961" t="s">
        <v>128</v>
      </c>
      <c r="AE961" s="97">
        <f>VLOOKUP(A:A,SUMMERY!AA:AC,2,FALSE)</f>
        <v>46220</v>
      </c>
      <c r="AF961" s="6" t="str">
        <f>VLOOKUP(A:A,SUMMERY!AA:AC,3,FALSE)</f>
        <v>Priority-1</v>
      </c>
    </row>
    <row r="962" spans="1:32" x14ac:dyDescent="0.3">
      <c r="A962" t="s">
        <v>5005</v>
      </c>
      <c r="C962" t="s">
        <v>4456</v>
      </c>
      <c r="E962" t="s">
        <v>4456</v>
      </c>
      <c r="F962" t="s">
        <v>6769</v>
      </c>
      <c r="G962" t="s">
        <v>4915</v>
      </c>
      <c r="H962" t="s">
        <v>132</v>
      </c>
      <c r="I962" t="s">
        <v>4</v>
      </c>
      <c r="J962" t="s">
        <v>4276</v>
      </c>
      <c r="K962" t="s">
        <v>54</v>
      </c>
      <c r="M962" t="s">
        <v>134</v>
      </c>
      <c r="N962" t="s">
        <v>135</v>
      </c>
      <c r="Q962" t="s">
        <v>140</v>
      </c>
      <c r="U962" t="s">
        <v>137</v>
      </c>
      <c r="V962" t="s">
        <v>709</v>
      </c>
      <c r="W962" s="9">
        <v>46176.504514733795</v>
      </c>
      <c r="X962" t="s">
        <v>73</v>
      </c>
      <c r="AA962" t="s">
        <v>4916</v>
      </c>
      <c r="AC962" t="s">
        <v>24</v>
      </c>
      <c r="AD962" t="s">
        <v>128</v>
      </c>
      <c r="AE962" s="97">
        <f>VLOOKUP(A:A,SUMMERY!AA:AC,2,FALSE)</f>
        <v>46220</v>
      </c>
      <c r="AF962" s="6" t="str">
        <f>VLOOKUP(A:A,SUMMERY!AA:AC,3,FALSE)</f>
        <v>Priority-1</v>
      </c>
    </row>
    <row r="963" spans="1:32" x14ac:dyDescent="0.3">
      <c r="A963" t="s">
        <v>5006</v>
      </c>
      <c r="C963" t="s">
        <v>4458</v>
      </c>
      <c r="E963" t="s">
        <v>4458</v>
      </c>
      <c r="F963" t="s">
        <v>6769</v>
      </c>
      <c r="G963" t="s">
        <v>4915</v>
      </c>
      <c r="H963" t="s">
        <v>132</v>
      </c>
      <c r="I963" t="s">
        <v>4</v>
      </c>
      <c r="J963" t="s">
        <v>4276</v>
      </c>
      <c r="K963" t="s">
        <v>54</v>
      </c>
      <c r="M963" t="s">
        <v>134</v>
      </c>
      <c r="N963" t="s">
        <v>135</v>
      </c>
      <c r="Q963" t="s">
        <v>140</v>
      </c>
      <c r="U963" t="s">
        <v>137</v>
      </c>
      <c r="V963" t="s">
        <v>709</v>
      </c>
      <c r="W963" s="9">
        <v>46178.536993287038</v>
      </c>
      <c r="X963" t="s">
        <v>73</v>
      </c>
      <c r="AA963" t="s">
        <v>4916</v>
      </c>
      <c r="AC963" t="s">
        <v>24</v>
      </c>
      <c r="AD963" t="s">
        <v>128</v>
      </c>
      <c r="AE963" s="97">
        <f>VLOOKUP(A:A,SUMMERY!AA:AC,2,FALSE)</f>
        <v>46220</v>
      </c>
      <c r="AF963" s="6" t="str">
        <f>VLOOKUP(A:A,SUMMERY!AA:AC,3,FALSE)</f>
        <v>Priority-1</v>
      </c>
    </row>
    <row r="964" spans="1:32" x14ac:dyDescent="0.3">
      <c r="A964" t="s">
        <v>5007</v>
      </c>
      <c r="C964" t="s">
        <v>4460</v>
      </c>
      <c r="E964" t="s">
        <v>4460</v>
      </c>
      <c r="F964" t="s">
        <v>6769</v>
      </c>
      <c r="G964" t="s">
        <v>4915</v>
      </c>
      <c r="H964" t="s">
        <v>132</v>
      </c>
      <c r="I964" t="s">
        <v>4</v>
      </c>
      <c r="J964" t="s">
        <v>4276</v>
      </c>
      <c r="K964" t="s">
        <v>54</v>
      </c>
      <c r="M964" t="s">
        <v>134</v>
      </c>
      <c r="N964" t="s">
        <v>135</v>
      </c>
      <c r="Q964" t="s">
        <v>140</v>
      </c>
      <c r="U964" t="s">
        <v>137</v>
      </c>
      <c r="V964" t="s">
        <v>709</v>
      </c>
      <c r="W964" s="9">
        <v>46178.53878052083</v>
      </c>
      <c r="X964" t="s">
        <v>73</v>
      </c>
      <c r="AA964" t="s">
        <v>4916</v>
      </c>
      <c r="AC964" t="s">
        <v>24</v>
      </c>
      <c r="AD964" t="s">
        <v>128</v>
      </c>
      <c r="AE964" s="97">
        <f>VLOOKUP(A:A,SUMMERY!AA:AC,2,FALSE)</f>
        <v>46220</v>
      </c>
      <c r="AF964" s="6" t="str">
        <f>VLOOKUP(A:A,SUMMERY!AA:AC,3,FALSE)</f>
        <v>Priority-1</v>
      </c>
    </row>
    <row r="965" spans="1:32" x14ac:dyDescent="0.3">
      <c r="A965" t="s">
        <v>5008</v>
      </c>
      <c r="C965" t="s">
        <v>4462</v>
      </c>
      <c r="E965" t="s">
        <v>4462</v>
      </c>
      <c r="F965" t="s">
        <v>6769</v>
      </c>
      <c r="G965" t="s">
        <v>4915</v>
      </c>
      <c r="H965" t="s">
        <v>132</v>
      </c>
      <c r="I965" t="s">
        <v>4</v>
      </c>
      <c r="J965" t="s">
        <v>4276</v>
      </c>
      <c r="K965" t="s">
        <v>54</v>
      </c>
      <c r="M965" t="s">
        <v>134</v>
      </c>
      <c r="N965" t="s">
        <v>135</v>
      </c>
      <c r="Q965" t="s">
        <v>140</v>
      </c>
      <c r="U965" t="s">
        <v>137</v>
      </c>
      <c r="V965" t="s">
        <v>709</v>
      </c>
      <c r="W965" s="9">
        <v>46178.539397337961</v>
      </c>
      <c r="X965" t="s">
        <v>73</v>
      </c>
      <c r="AA965" t="s">
        <v>4916</v>
      </c>
      <c r="AC965" t="s">
        <v>24</v>
      </c>
      <c r="AD965" t="s">
        <v>128</v>
      </c>
      <c r="AE965" s="97">
        <f>VLOOKUP(A:A,SUMMERY!AA:AC,2,FALSE)</f>
        <v>46220</v>
      </c>
      <c r="AF965" s="6" t="str">
        <f>VLOOKUP(A:A,SUMMERY!AA:AC,3,FALSE)</f>
        <v>Priority-1</v>
      </c>
    </row>
    <row r="966" spans="1:32" x14ac:dyDescent="0.3">
      <c r="A966" t="s">
        <v>5009</v>
      </c>
      <c r="C966" t="s">
        <v>4464</v>
      </c>
      <c r="E966" t="s">
        <v>4464</v>
      </c>
      <c r="F966" t="s">
        <v>6769</v>
      </c>
      <c r="G966" t="s">
        <v>4915</v>
      </c>
      <c r="H966" t="s">
        <v>132</v>
      </c>
      <c r="I966" t="s">
        <v>4</v>
      </c>
      <c r="J966" t="s">
        <v>4276</v>
      </c>
      <c r="K966" t="s">
        <v>54</v>
      </c>
      <c r="M966" t="s">
        <v>134</v>
      </c>
      <c r="N966" t="s">
        <v>135</v>
      </c>
      <c r="Q966" t="s">
        <v>140</v>
      </c>
      <c r="U966" t="s">
        <v>137</v>
      </c>
      <c r="V966" t="s">
        <v>709</v>
      </c>
      <c r="W966" s="9">
        <v>46178.540118599536</v>
      </c>
      <c r="X966" t="s">
        <v>73</v>
      </c>
      <c r="AA966" t="s">
        <v>4916</v>
      </c>
      <c r="AC966" t="s">
        <v>24</v>
      </c>
      <c r="AD966" t="s">
        <v>128</v>
      </c>
      <c r="AE966" s="97">
        <f>VLOOKUP(A:A,SUMMERY!AA:AC,2,FALSE)</f>
        <v>46220</v>
      </c>
      <c r="AF966" s="6" t="str">
        <f>VLOOKUP(A:A,SUMMERY!AA:AC,3,FALSE)</f>
        <v>Priority-1</v>
      </c>
    </row>
    <row r="967" spans="1:32" x14ac:dyDescent="0.3">
      <c r="A967" t="s">
        <v>5040</v>
      </c>
      <c r="C967" t="s">
        <v>4526</v>
      </c>
      <c r="E967" t="s">
        <v>4526</v>
      </c>
      <c r="F967" t="s">
        <v>6769</v>
      </c>
      <c r="G967" t="s">
        <v>4915</v>
      </c>
      <c r="H967" t="s">
        <v>132</v>
      </c>
      <c r="I967" t="s">
        <v>4</v>
      </c>
      <c r="J967" t="s">
        <v>4276</v>
      </c>
      <c r="K967" t="s">
        <v>54</v>
      </c>
      <c r="M967" t="s">
        <v>134</v>
      </c>
      <c r="N967" t="s">
        <v>135</v>
      </c>
      <c r="Q967" t="s">
        <v>140</v>
      </c>
      <c r="U967" t="s">
        <v>137</v>
      </c>
      <c r="V967" t="s">
        <v>1967</v>
      </c>
      <c r="W967" s="9">
        <v>46144.24234571759</v>
      </c>
      <c r="X967" t="s">
        <v>125</v>
      </c>
      <c r="AA967" t="s">
        <v>4916</v>
      </c>
      <c r="AC967" t="s">
        <v>24</v>
      </c>
      <c r="AD967" t="s">
        <v>131</v>
      </c>
      <c r="AE967" s="97">
        <f>VLOOKUP(A:A,SUMMERY!AA:AC,2,FALSE)</f>
        <v>46234</v>
      </c>
      <c r="AF967" s="6" t="str">
        <f>VLOOKUP(A:A,SUMMERY!AA:AC,3,FALSE)</f>
        <v>Priority-2</v>
      </c>
    </row>
    <row r="968" spans="1:32" x14ac:dyDescent="0.3">
      <c r="A968" t="s">
        <v>5041</v>
      </c>
      <c r="C968" t="s">
        <v>4528</v>
      </c>
      <c r="E968" t="s">
        <v>4528</v>
      </c>
      <c r="F968" t="s">
        <v>6769</v>
      </c>
      <c r="G968" t="s">
        <v>4915</v>
      </c>
      <c r="H968" t="s">
        <v>132</v>
      </c>
      <c r="I968" t="s">
        <v>4</v>
      </c>
      <c r="J968" t="s">
        <v>4276</v>
      </c>
      <c r="K968" t="s">
        <v>54</v>
      </c>
      <c r="M968" t="s">
        <v>134</v>
      </c>
      <c r="N968" t="s">
        <v>135</v>
      </c>
      <c r="Q968" t="s">
        <v>140</v>
      </c>
      <c r="U968" t="s">
        <v>137</v>
      </c>
      <c r="V968" t="s">
        <v>1967</v>
      </c>
      <c r="W968" s="9">
        <v>46174.232039351853</v>
      </c>
      <c r="X968" t="s">
        <v>125</v>
      </c>
      <c r="AA968" t="s">
        <v>4916</v>
      </c>
      <c r="AC968" t="s">
        <v>24</v>
      </c>
      <c r="AD968" t="s">
        <v>131</v>
      </c>
      <c r="AE968" s="97">
        <f>VLOOKUP(A:A,SUMMERY!AA:AC,2,FALSE)</f>
        <v>46234</v>
      </c>
      <c r="AF968" s="6" t="str">
        <f>VLOOKUP(A:A,SUMMERY!AA:AC,3,FALSE)</f>
        <v>Priority-2</v>
      </c>
    </row>
    <row r="969" spans="1:32" x14ac:dyDescent="0.3">
      <c r="A969" t="s">
        <v>5042</v>
      </c>
      <c r="C969" t="s">
        <v>4530</v>
      </c>
      <c r="E969" t="s">
        <v>4530</v>
      </c>
      <c r="F969" t="s">
        <v>6769</v>
      </c>
      <c r="G969" t="s">
        <v>4915</v>
      </c>
      <c r="H969" t="s">
        <v>132</v>
      </c>
      <c r="I969" t="s">
        <v>4</v>
      </c>
      <c r="J969" t="s">
        <v>4276</v>
      </c>
      <c r="K969" t="s">
        <v>54</v>
      </c>
      <c r="M969" t="s">
        <v>134</v>
      </c>
      <c r="N969" t="s">
        <v>135</v>
      </c>
      <c r="Q969" t="s">
        <v>140</v>
      </c>
      <c r="U969" t="s">
        <v>137</v>
      </c>
      <c r="V969" t="s">
        <v>1967</v>
      </c>
      <c r="W969" s="9">
        <v>46125.484076122688</v>
      </c>
      <c r="X969" t="s">
        <v>125</v>
      </c>
      <c r="AA969" t="s">
        <v>4916</v>
      </c>
      <c r="AC969" t="s">
        <v>24</v>
      </c>
      <c r="AD969" t="s">
        <v>131</v>
      </c>
      <c r="AE969" s="97">
        <f>VLOOKUP(A:A,SUMMERY!AA:AC,2,FALSE)</f>
        <v>46234</v>
      </c>
      <c r="AF969" s="6" t="str">
        <f>VLOOKUP(A:A,SUMMERY!AA:AC,3,FALSE)</f>
        <v>Priority-2</v>
      </c>
    </row>
    <row r="970" spans="1:32" x14ac:dyDescent="0.3">
      <c r="A970" t="s">
        <v>5043</v>
      </c>
      <c r="C970" t="s">
        <v>4532</v>
      </c>
      <c r="E970" t="s">
        <v>4532</v>
      </c>
      <c r="F970" t="s">
        <v>6769</v>
      </c>
      <c r="G970" t="s">
        <v>4915</v>
      </c>
      <c r="H970" t="s">
        <v>132</v>
      </c>
      <c r="I970" t="s">
        <v>4</v>
      </c>
      <c r="J970" t="s">
        <v>4276</v>
      </c>
      <c r="K970" t="s">
        <v>54</v>
      </c>
      <c r="M970" t="s">
        <v>134</v>
      </c>
      <c r="N970" t="s">
        <v>135</v>
      </c>
      <c r="Q970" t="s">
        <v>140</v>
      </c>
      <c r="U970" t="s">
        <v>137</v>
      </c>
      <c r="V970" t="s">
        <v>1259</v>
      </c>
      <c r="W970" s="9">
        <v>46147.468019988424</v>
      </c>
      <c r="X970" t="s">
        <v>126</v>
      </c>
      <c r="AA970" t="s">
        <v>4916</v>
      </c>
      <c r="AC970" t="s">
        <v>24</v>
      </c>
      <c r="AD970" t="s">
        <v>131</v>
      </c>
      <c r="AE970" s="97">
        <f>VLOOKUP(A:A,SUMMERY!AA:AC,2,FALSE)</f>
        <v>46234</v>
      </c>
      <c r="AF970" s="6" t="str">
        <f>VLOOKUP(A:A,SUMMERY!AA:AC,3,FALSE)</f>
        <v>Priority-2</v>
      </c>
    </row>
    <row r="971" spans="1:32" x14ac:dyDescent="0.3">
      <c r="A971" t="s">
        <v>5044</v>
      </c>
      <c r="C971" t="s">
        <v>4534</v>
      </c>
      <c r="E971" t="s">
        <v>4534</v>
      </c>
      <c r="F971" t="s">
        <v>6769</v>
      </c>
      <c r="G971" t="s">
        <v>4915</v>
      </c>
      <c r="H971" t="s">
        <v>132</v>
      </c>
      <c r="I971" t="s">
        <v>4</v>
      </c>
      <c r="J971" t="s">
        <v>4276</v>
      </c>
      <c r="K971" t="s">
        <v>54</v>
      </c>
      <c r="M971" t="s">
        <v>134</v>
      </c>
      <c r="N971" t="s">
        <v>135</v>
      </c>
      <c r="Q971" t="s">
        <v>140</v>
      </c>
      <c r="U971" t="s">
        <v>137</v>
      </c>
      <c r="V971" t="s">
        <v>1259</v>
      </c>
      <c r="X971" t="s">
        <v>126</v>
      </c>
      <c r="AA971" t="s">
        <v>4916</v>
      </c>
      <c r="AC971" t="s">
        <v>7068</v>
      </c>
      <c r="AD971" t="s">
        <v>131</v>
      </c>
      <c r="AE971" s="97">
        <f>VLOOKUP(A:A,SUMMERY!AA:AC,2,FALSE)</f>
        <v>46234</v>
      </c>
      <c r="AF971" s="6" t="str">
        <f>VLOOKUP(A:A,SUMMERY!AA:AC,3,FALSE)</f>
        <v>Priority-2</v>
      </c>
    </row>
    <row r="972" spans="1:32" x14ac:dyDescent="0.3">
      <c r="A972" t="s">
        <v>5045</v>
      </c>
      <c r="C972" t="s">
        <v>4536</v>
      </c>
      <c r="E972" t="s">
        <v>4536</v>
      </c>
      <c r="F972" t="s">
        <v>6769</v>
      </c>
      <c r="G972" t="s">
        <v>4915</v>
      </c>
      <c r="H972" t="s">
        <v>132</v>
      </c>
      <c r="I972" t="s">
        <v>4</v>
      </c>
      <c r="J972" t="s">
        <v>4276</v>
      </c>
      <c r="K972" t="s">
        <v>54</v>
      </c>
      <c r="M972" t="s">
        <v>134</v>
      </c>
      <c r="N972" t="s">
        <v>135</v>
      </c>
      <c r="Q972" t="s">
        <v>140</v>
      </c>
      <c r="U972" t="s">
        <v>137</v>
      </c>
      <c r="V972" t="s">
        <v>1263</v>
      </c>
      <c r="W972" s="9">
        <v>46174.242832638891</v>
      </c>
      <c r="X972" t="s">
        <v>69</v>
      </c>
      <c r="AA972" t="s">
        <v>4916</v>
      </c>
      <c r="AC972" t="s">
        <v>24</v>
      </c>
      <c r="AD972" t="s">
        <v>128</v>
      </c>
      <c r="AE972" s="97">
        <f>VLOOKUP(A:A,SUMMERY!AA:AC,2,FALSE)</f>
        <v>46224</v>
      </c>
      <c r="AF972" s="6" t="str">
        <f>VLOOKUP(A:A,SUMMERY!AA:AC,3,FALSE)</f>
        <v>Priority-1</v>
      </c>
    </row>
    <row r="973" spans="1:32" x14ac:dyDescent="0.3">
      <c r="A973" t="s">
        <v>5046</v>
      </c>
      <c r="C973" t="s">
        <v>4538</v>
      </c>
      <c r="E973" t="s">
        <v>4538</v>
      </c>
      <c r="F973" t="s">
        <v>6769</v>
      </c>
      <c r="G973" t="s">
        <v>4915</v>
      </c>
      <c r="H973" t="s">
        <v>132</v>
      </c>
      <c r="I973" t="s">
        <v>4</v>
      </c>
      <c r="J973" t="s">
        <v>4276</v>
      </c>
      <c r="K973" t="s">
        <v>54</v>
      </c>
      <c r="M973" t="s">
        <v>134</v>
      </c>
      <c r="N973" t="s">
        <v>135</v>
      </c>
      <c r="Q973" t="s">
        <v>140</v>
      </c>
      <c r="U973" t="s">
        <v>137</v>
      </c>
      <c r="V973" t="s">
        <v>1263</v>
      </c>
      <c r="W973" s="9">
        <v>46142.409113923612</v>
      </c>
      <c r="X973" t="s">
        <v>69</v>
      </c>
      <c r="AA973" t="s">
        <v>4916</v>
      </c>
      <c r="AC973" t="s">
        <v>24</v>
      </c>
      <c r="AD973" t="s">
        <v>128</v>
      </c>
      <c r="AE973" s="97">
        <f>VLOOKUP(A:A,SUMMERY!AA:AC,2,FALSE)</f>
        <v>46224</v>
      </c>
      <c r="AF973" s="6" t="str">
        <f>VLOOKUP(A:A,SUMMERY!AA:AC,3,FALSE)</f>
        <v>Priority-1</v>
      </c>
    </row>
    <row r="974" spans="1:32" x14ac:dyDescent="0.3">
      <c r="A974" t="s">
        <v>5047</v>
      </c>
      <c r="C974" t="s">
        <v>4540</v>
      </c>
      <c r="E974" t="s">
        <v>4540</v>
      </c>
      <c r="F974" t="s">
        <v>6769</v>
      </c>
      <c r="G974" t="s">
        <v>4915</v>
      </c>
      <c r="H974" t="s">
        <v>132</v>
      </c>
      <c r="I974" t="s">
        <v>4</v>
      </c>
      <c r="J974" t="s">
        <v>4276</v>
      </c>
      <c r="K974" t="s">
        <v>54</v>
      </c>
      <c r="M974" t="s">
        <v>134</v>
      </c>
      <c r="N974" t="s">
        <v>135</v>
      </c>
      <c r="Q974" t="s">
        <v>140</v>
      </c>
      <c r="U974" t="s">
        <v>137</v>
      </c>
      <c r="V974" t="s">
        <v>1263</v>
      </c>
      <c r="W974" s="9">
        <v>46151.438469479166</v>
      </c>
      <c r="X974" t="s">
        <v>69</v>
      </c>
      <c r="AA974" t="s">
        <v>4916</v>
      </c>
      <c r="AC974" t="s">
        <v>24</v>
      </c>
      <c r="AD974" t="s">
        <v>128</v>
      </c>
      <c r="AE974" s="97">
        <f>VLOOKUP(A:A,SUMMERY!AA:AC,2,FALSE)</f>
        <v>46224</v>
      </c>
      <c r="AF974" s="6" t="str">
        <f>VLOOKUP(A:A,SUMMERY!AA:AC,3,FALSE)</f>
        <v>Priority-1</v>
      </c>
    </row>
    <row r="975" spans="1:32" x14ac:dyDescent="0.3">
      <c r="A975" t="s">
        <v>5048</v>
      </c>
      <c r="C975" t="s">
        <v>4542</v>
      </c>
      <c r="E975" t="s">
        <v>4542</v>
      </c>
      <c r="F975" t="s">
        <v>6769</v>
      </c>
      <c r="G975" t="s">
        <v>4915</v>
      </c>
      <c r="H975" t="s">
        <v>132</v>
      </c>
      <c r="I975" t="s">
        <v>4</v>
      </c>
      <c r="J975" t="s">
        <v>4276</v>
      </c>
      <c r="K975" t="s">
        <v>54</v>
      </c>
      <c r="M975" t="s">
        <v>134</v>
      </c>
      <c r="N975" t="s">
        <v>135</v>
      </c>
      <c r="Q975" t="s">
        <v>140</v>
      </c>
      <c r="U975" t="s">
        <v>137</v>
      </c>
      <c r="V975" t="s">
        <v>1263</v>
      </c>
      <c r="W975" s="9">
        <v>46151.441331331022</v>
      </c>
      <c r="X975" t="s">
        <v>69</v>
      </c>
      <c r="AA975" t="s">
        <v>4916</v>
      </c>
      <c r="AC975" t="s">
        <v>24</v>
      </c>
      <c r="AD975" t="s">
        <v>128</v>
      </c>
      <c r="AE975" s="97">
        <f>VLOOKUP(A:A,SUMMERY!AA:AC,2,FALSE)</f>
        <v>46224</v>
      </c>
      <c r="AF975" s="6" t="str">
        <f>VLOOKUP(A:A,SUMMERY!AA:AC,3,FALSE)</f>
        <v>Priority-1</v>
      </c>
    </row>
    <row r="976" spans="1:32" x14ac:dyDescent="0.3">
      <c r="A976" t="s">
        <v>5049</v>
      </c>
      <c r="C976" t="s">
        <v>4544</v>
      </c>
      <c r="E976" t="s">
        <v>4544</v>
      </c>
      <c r="F976" t="s">
        <v>6769</v>
      </c>
      <c r="G976" t="s">
        <v>4915</v>
      </c>
      <c r="H976" t="s">
        <v>132</v>
      </c>
      <c r="I976" t="s">
        <v>4</v>
      </c>
      <c r="J976" t="s">
        <v>4276</v>
      </c>
      <c r="K976" t="s">
        <v>54</v>
      </c>
      <c r="M976" t="s">
        <v>134</v>
      </c>
      <c r="N976" t="s">
        <v>135</v>
      </c>
      <c r="Q976" t="s">
        <v>140</v>
      </c>
      <c r="U976" t="s">
        <v>137</v>
      </c>
      <c r="V976" t="s">
        <v>1263</v>
      </c>
      <c r="W976" s="9">
        <v>46151.440326504628</v>
      </c>
      <c r="X976" t="s">
        <v>69</v>
      </c>
      <c r="AA976" t="s">
        <v>4916</v>
      </c>
      <c r="AC976" t="s">
        <v>24</v>
      </c>
      <c r="AD976" t="s">
        <v>128</v>
      </c>
      <c r="AE976" s="97">
        <f>VLOOKUP(A:A,SUMMERY!AA:AC,2,FALSE)</f>
        <v>46224</v>
      </c>
      <c r="AF976" s="6" t="str">
        <f>VLOOKUP(A:A,SUMMERY!AA:AC,3,FALSE)</f>
        <v>Priority-1</v>
      </c>
    </row>
    <row r="977" spans="1:32" x14ac:dyDescent="0.3">
      <c r="A977" t="s">
        <v>5050</v>
      </c>
      <c r="C977" t="s">
        <v>4546</v>
      </c>
      <c r="E977" t="s">
        <v>4546</v>
      </c>
      <c r="F977" t="s">
        <v>6769</v>
      </c>
      <c r="G977" t="s">
        <v>4915</v>
      </c>
      <c r="H977" t="s">
        <v>132</v>
      </c>
      <c r="I977" t="s">
        <v>4</v>
      </c>
      <c r="J977" t="s">
        <v>4276</v>
      </c>
      <c r="K977" t="s">
        <v>54</v>
      </c>
      <c r="M977" t="s">
        <v>134</v>
      </c>
      <c r="N977" t="s">
        <v>135</v>
      </c>
      <c r="Q977" t="s">
        <v>140</v>
      </c>
      <c r="U977" t="s">
        <v>137</v>
      </c>
      <c r="V977" t="s">
        <v>1190</v>
      </c>
      <c r="W977" s="9">
        <v>46151.442478900462</v>
      </c>
      <c r="X977" t="s">
        <v>67</v>
      </c>
      <c r="AA977" t="s">
        <v>4916</v>
      </c>
      <c r="AC977" t="s">
        <v>24</v>
      </c>
      <c r="AD977" t="s">
        <v>128</v>
      </c>
      <c r="AE977" s="97">
        <f>VLOOKUP(A:A,SUMMERY!AA:AC,2,FALSE)</f>
        <v>46220</v>
      </c>
      <c r="AF977" s="6" t="str">
        <f>VLOOKUP(A:A,SUMMERY!AA:AC,3,FALSE)</f>
        <v>Priority-1</v>
      </c>
    </row>
    <row r="978" spans="1:32" x14ac:dyDescent="0.3">
      <c r="A978" t="s">
        <v>5051</v>
      </c>
      <c r="C978" t="s">
        <v>4548</v>
      </c>
      <c r="E978" t="s">
        <v>4548</v>
      </c>
      <c r="F978" t="s">
        <v>6769</v>
      </c>
      <c r="G978" t="s">
        <v>4915</v>
      </c>
      <c r="H978" t="s">
        <v>132</v>
      </c>
      <c r="I978" t="s">
        <v>4</v>
      </c>
      <c r="J978" t="s">
        <v>4276</v>
      </c>
      <c r="K978" t="s">
        <v>54</v>
      </c>
      <c r="M978" t="s">
        <v>134</v>
      </c>
      <c r="N978" t="s">
        <v>135</v>
      </c>
      <c r="Q978" t="s">
        <v>140</v>
      </c>
      <c r="U978" t="s">
        <v>137</v>
      </c>
      <c r="V978" t="s">
        <v>1194</v>
      </c>
      <c r="W978" s="9">
        <v>46151.443203587965</v>
      </c>
      <c r="X978" t="s">
        <v>75</v>
      </c>
      <c r="AA978" t="s">
        <v>4916</v>
      </c>
      <c r="AC978" t="s">
        <v>24</v>
      </c>
      <c r="AD978" t="s">
        <v>128</v>
      </c>
      <c r="AE978" s="97">
        <f>VLOOKUP(A:A,SUMMERY!AA:AC,2,FALSE)</f>
        <v>46220</v>
      </c>
      <c r="AF978" s="6" t="str">
        <f>VLOOKUP(A:A,SUMMERY!AA:AC,3,FALSE)</f>
        <v>Priority-1</v>
      </c>
    </row>
    <row r="979" spans="1:32" x14ac:dyDescent="0.3">
      <c r="A979" t="s">
        <v>5060</v>
      </c>
      <c r="C979" t="s">
        <v>4280</v>
      </c>
      <c r="E979" t="s">
        <v>4280</v>
      </c>
      <c r="F979" t="s">
        <v>6769</v>
      </c>
      <c r="G979" t="s">
        <v>5057</v>
      </c>
      <c r="H979" t="s">
        <v>132</v>
      </c>
      <c r="I979" t="s">
        <v>4</v>
      </c>
      <c r="J979" t="s">
        <v>4276</v>
      </c>
      <c r="K979" t="s">
        <v>54</v>
      </c>
      <c r="M979" t="s">
        <v>134</v>
      </c>
      <c r="N979" t="s">
        <v>135</v>
      </c>
      <c r="Q979" t="s">
        <v>5058</v>
      </c>
      <c r="U979" t="s">
        <v>137</v>
      </c>
      <c r="V979" t="s">
        <v>147</v>
      </c>
      <c r="W979" s="9">
        <v>46174.319939780093</v>
      </c>
      <c r="X979" t="s">
        <v>70</v>
      </c>
      <c r="AA979" t="s">
        <v>5059</v>
      </c>
      <c r="AC979" t="s">
        <v>24</v>
      </c>
      <c r="AD979" t="s">
        <v>128</v>
      </c>
      <c r="AE979" s="97">
        <f>VLOOKUP(A:A,SUMMERY!AA:AC,2,FALSE)</f>
        <v>46220</v>
      </c>
      <c r="AF979" s="6" t="str">
        <f>VLOOKUP(A:A,SUMMERY!AA:AC,3,FALSE)</f>
        <v>Priority-1</v>
      </c>
    </row>
    <row r="980" spans="1:32" x14ac:dyDescent="0.3">
      <c r="A980" t="s">
        <v>5061</v>
      </c>
      <c r="C980" t="s">
        <v>4282</v>
      </c>
      <c r="E980" t="s">
        <v>4282</v>
      </c>
      <c r="F980" t="s">
        <v>6769</v>
      </c>
      <c r="G980" t="s">
        <v>5057</v>
      </c>
      <c r="H980" t="s">
        <v>132</v>
      </c>
      <c r="I980" t="s">
        <v>4</v>
      </c>
      <c r="J980" t="s">
        <v>4276</v>
      </c>
      <c r="K980" t="s">
        <v>54</v>
      </c>
      <c r="M980" t="s">
        <v>134</v>
      </c>
      <c r="N980" t="s">
        <v>135</v>
      </c>
      <c r="Q980" t="s">
        <v>5058</v>
      </c>
      <c r="U980" t="s">
        <v>137</v>
      </c>
      <c r="V980" t="s">
        <v>147</v>
      </c>
      <c r="W980" s="9">
        <v>46179.475517013889</v>
      </c>
      <c r="X980" t="s">
        <v>70</v>
      </c>
      <c r="AA980" t="s">
        <v>5059</v>
      </c>
      <c r="AC980" t="s">
        <v>24</v>
      </c>
      <c r="AD980" t="s">
        <v>128</v>
      </c>
      <c r="AE980" s="97">
        <f>VLOOKUP(A:A,SUMMERY!AA:AC,2,FALSE)</f>
        <v>46220</v>
      </c>
      <c r="AF980" s="6" t="str">
        <f>VLOOKUP(A:A,SUMMERY!AA:AC,3,FALSE)</f>
        <v>Priority-1</v>
      </c>
    </row>
    <row r="981" spans="1:32" x14ac:dyDescent="0.3">
      <c r="A981" t="s">
        <v>5062</v>
      </c>
      <c r="C981" t="s">
        <v>4284</v>
      </c>
      <c r="E981" t="s">
        <v>4284</v>
      </c>
      <c r="F981" t="s">
        <v>6769</v>
      </c>
      <c r="G981" t="s">
        <v>5057</v>
      </c>
      <c r="H981" t="s">
        <v>132</v>
      </c>
      <c r="I981" t="s">
        <v>4</v>
      </c>
      <c r="J981" t="s">
        <v>4276</v>
      </c>
      <c r="K981" t="s">
        <v>54</v>
      </c>
      <c r="M981" t="s">
        <v>134</v>
      </c>
      <c r="N981" t="s">
        <v>135</v>
      </c>
      <c r="Q981" t="s">
        <v>5058</v>
      </c>
      <c r="U981" t="s">
        <v>137</v>
      </c>
      <c r="V981" t="s">
        <v>147</v>
      </c>
      <c r="W981" s="9">
        <v>46179.486078125003</v>
      </c>
      <c r="X981" t="s">
        <v>70</v>
      </c>
      <c r="AA981" t="s">
        <v>5059</v>
      </c>
      <c r="AC981" t="s">
        <v>24</v>
      </c>
      <c r="AD981" t="s">
        <v>128</v>
      </c>
      <c r="AE981" s="97">
        <f>VLOOKUP(A:A,SUMMERY!AA:AC,2,FALSE)</f>
        <v>46220</v>
      </c>
      <c r="AF981" s="6" t="str">
        <f>VLOOKUP(A:A,SUMMERY!AA:AC,3,FALSE)</f>
        <v>Priority-1</v>
      </c>
    </row>
    <row r="982" spans="1:32" x14ac:dyDescent="0.3">
      <c r="A982" t="s">
        <v>5063</v>
      </c>
      <c r="C982" t="s">
        <v>4286</v>
      </c>
      <c r="E982" t="s">
        <v>4286</v>
      </c>
      <c r="F982" t="s">
        <v>6769</v>
      </c>
      <c r="G982" t="s">
        <v>5057</v>
      </c>
      <c r="H982" t="s">
        <v>132</v>
      </c>
      <c r="I982" t="s">
        <v>4</v>
      </c>
      <c r="J982" t="s">
        <v>4276</v>
      </c>
      <c r="K982" t="s">
        <v>54</v>
      </c>
      <c r="M982" t="s">
        <v>134</v>
      </c>
      <c r="N982" t="s">
        <v>135</v>
      </c>
      <c r="Q982" t="s">
        <v>5058</v>
      </c>
      <c r="U982" t="s">
        <v>137</v>
      </c>
      <c r="V982" t="s">
        <v>150</v>
      </c>
      <c r="W982" s="9">
        <v>46179.483331747688</v>
      </c>
      <c r="X982" t="s">
        <v>76</v>
      </c>
      <c r="AA982" t="s">
        <v>5059</v>
      </c>
      <c r="AC982" t="s">
        <v>24</v>
      </c>
      <c r="AD982" t="s">
        <v>128</v>
      </c>
      <c r="AE982" s="97">
        <f>VLOOKUP(A:A,SUMMERY!AA:AC,2,FALSE)</f>
        <v>46233</v>
      </c>
      <c r="AF982" s="6" t="str">
        <f>VLOOKUP(A:A,SUMMERY!AA:AC,3,FALSE)</f>
        <v>Priority-1</v>
      </c>
    </row>
    <row r="983" spans="1:32" x14ac:dyDescent="0.3">
      <c r="A983" t="s">
        <v>5064</v>
      </c>
      <c r="C983" t="s">
        <v>4288</v>
      </c>
      <c r="E983" t="s">
        <v>4288</v>
      </c>
      <c r="F983" t="s">
        <v>6769</v>
      </c>
      <c r="G983" t="s">
        <v>5057</v>
      </c>
      <c r="H983" t="s">
        <v>132</v>
      </c>
      <c r="I983" t="s">
        <v>4</v>
      </c>
      <c r="J983" t="s">
        <v>4276</v>
      </c>
      <c r="K983" t="s">
        <v>54</v>
      </c>
      <c r="M983" t="s">
        <v>134</v>
      </c>
      <c r="N983" t="s">
        <v>135</v>
      </c>
      <c r="Q983" t="s">
        <v>5058</v>
      </c>
      <c r="U983" t="s">
        <v>137</v>
      </c>
      <c r="V983" t="s">
        <v>150</v>
      </c>
      <c r="W983" s="9">
        <v>46192.483309490737</v>
      </c>
      <c r="X983" t="s">
        <v>76</v>
      </c>
      <c r="AA983" t="s">
        <v>5059</v>
      </c>
      <c r="AC983" t="s">
        <v>24</v>
      </c>
      <c r="AD983" t="s">
        <v>128</v>
      </c>
      <c r="AE983" s="97">
        <f>VLOOKUP(A:A,SUMMERY!AA:AC,2,FALSE)</f>
        <v>46233</v>
      </c>
      <c r="AF983" s="6" t="str">
        <f>VLOOKUP(A:A,SUMMERY!AA:AC,3,FALSE)</f>
        <v>Priority-1</v>
      </c>
    </row>
    <row r="984" spans="1:32" x14ac:dyDescent="0.3">
      <c r="A984" t="s">
        <v>5065</v>
      </c>
      <c r="C984" t="s">
        <v>4290</v>
      </c>
      <c r="E984" t="s">
        <v>4290</v>
      </c>
      <c r="F984" t="s">
        <v>6769</v>
      </c>
      <c r="G984" t="s">
        <v>5057</v>
      </c>
      <c r="H984" t="s">
        <v>132</v>
      </c>
      <c r="I984" t="s">
        <v>4</v>
      </c>
      <c r="J984" t="s">
        <v>4276</v>
      </c>
      <c r="K984" t="s">
        <v>54</v>
      </c>
      <c r="M984" t="s">
        <v>134</v>
      </c>
      <c r="N984" t="s">
        <v>135</v>
      </c>
      <c r="Q984" t="s">
        <v>5058</v>
      </c>
      <c r="U984" t="s">
        <v>137</v>
      </c>
      <c r="V984" t="s">
        <v>150</v>
      </c>
      <c r="W984" s="9">
        <v>46192.604119525466</v>
      </c>
      <c r="X984" t="s">
        <v>76</v>
      </c>
      <c r="AA984" t="s">
        <v>5059</v>
      </c>
      <c r="AC984" t="s">
        <v>24</v>
      </c>
      <c r="AD984" t="s">
        <v>128</v>
      </c>
      <c r="AE984" s="97">
        <f>VLOOKUP(A:A,SUMMERY!AA:AC,2,FALSE)</f>
        <v>46233</v>
      </c>
      <c r="AF984" s="6" t="str">
        <f>VLOOKUP(A:A,SUMMERY!AA:AC,3,FALSE)</f>
        <v>Priority-1</v>
      </c>
    </row>
    <row r="985" spans="1:32" x14ac:dyDescent="0.3">
      <c r="A985" t="s">
        <v>5081</v>
      </c>
      <c r="C985" t="s">
        <v>4322</v>
      </c>
      <c r="E985" t="s">
        <v>4322</v>
      </c>
      <c r="F985" t="s">
        <v>6769</v>
      </c>
      <c r="G985" t="s">
        <v>5057</v>
      </c>
      <c r="H985" t="s">
        <v>132</v>
      </c>
      <c r="I985" t="s">
        <v>4</v>
      </c>
      <c r="J985" t="s">
        <v>4276</v>
      </c>
      <c r="K985" t="s">
        <v>54</v>
      </c>
      <c r="M985" t="s">
        <v>134</v>
      </c>
      <c r="N985" t="s">
        <v>135</v>
      </c>
      <c r="Q985" t="s">
        <v>5058</v>
      </c>
      <c r="U985" t="s">
        <v>137</v>
      </c>
      <c r="V985" t="s">
        <v>371</v>
      </c>
      <c r="W985" s="9">
        <v>46196.364229479164</v>
      </c>
      <c r="X985" t="s">
        <v>57</v>
      </c>
      <c r="AA985" t="s">
        <v>5059</v>
      </c>
      <c r="AC985" t="s">
        <v>24</v>
      </c>
      <c r="AD985" t="s">
        <v>128</v>
      </c>
      <c r="AE985" s="97">
        <f>VLOOKUP(A:A,SUMMERY!AA:AC,2,FALSE)</f>
        <v>46220</v>
      </c>
      <c r="AF985" s="6" t="str">
        <f>VLOOKUP(A:A,SUMMERY!AA:AC,3,FALSE)</f>
        <v>Priority-1</v>
      </c>
    </row>
    <row r="986" spans="1:32" x14ac:dyDescent="0.3">
      <c r="A986" t="s">
        <v>5082</v>
      </c>
      <c r="C986" t="s">
        <v>4324</v>
      </c>
      <c r="E986" t="s">
        <v>4324</v>
      </c>
      <c r="F986" t="s">
        <v>6769</v>
      </c>
      <c r="G986" t="s">
        <v>5057</v>
      </c>
      <c r="H986" t="s">
        <v>132</v>
      </c>
      <c r="I986" t="s">
        <v>4</v>
      </c>
      <c r="J986" t="s">
        <v>4276</v>
      </c>
      <c r="K986" t="s">
        <v>54</v>
      </c>
      <c r="M986" t="s">
        <v>134</v>
      </c>
      <c r="N986" t="s">
        <v>135</v>
      </c>
      <c r="Q986" t="s">
        <v>5058</v>
      </c>
      <c r="U986" t="s">
        <v>137</v>
      </c>
      <c r="V986" t="s">
        <v>371</v>
      </c>
      <c r="W986" s="9">
        <v>46174.571241006946</v>
      </c>
      <c r="X986" t="s">
        <v>57</v>
      </c>
      <c r="AA986" t="s">
        <v>5059</v>
      </c>
      <c r="AC986" t="s">
        <v>24</v>
      </c>
      <c r="AD986" t="s">
        <v>128</v>
      </c>
      <c r="AE986" s="97">
        <f>VLOOKUP(A:A,SUMMERY!AA:AC,2,FALSE)</f>
        <v>46220</v>
      </c>
      <c r="AF986" s="6" t="str">
        <f>VLOOKUP(A:A,SUMMERY!AA:AC,3,FALSE)</f>
        <v>Priority-1</v>
      </c>
    </row>
    <row r="987" spans="1:32" x14ac:dyDescent="0.3">
      <c r="A987" t="s">
        <v>5083</v>
      </c>
      <c r="C987" t="s">
        <v>4326</v>
      </c>
      <c r="E987" t="s">
        <v>4326</v>
      </c>
      <c r="F987" t="s">
        <v>6769</v>
      </c>
      <c r="G987" t="s">
        <v>5057</v>
      </c>
      <c r="H987" t="s">
        <v>132</v>
      </c>
      <c r="I987" t="s">
        <v>4</v>
      </c>
      <c r="J987" t="s">
        <v>4276</v>
      </c>
      <c r="K987" t="s">
        <v>54</v>
      </c>
      <c r="M987" t="s">
        <v>134</v>
      </c>
      <c r="N987" t="s">
        <v>135</v>
      </c>
      <c r="Q987" t="s">
        <v>5058</v>
      </c>
      <c r="U987" t="s">
        <v>137</v>
      </c>
      <c r="V987" t="s">
        <v>362</v>
      </c>
      <c r="W987" s="9">
        <v>46174.572960648147</v>
      </c>
      <c r="X987" t="s">
        <v>58</v>
      </c>
      <c r="AA987" t="s">
        <v>5059</v>
      </c>
      <c r="AC987" t="s">
        <v>24</v>
      </c>
      <c r="AD987" t="s">
        <v>128</v>
      </c>
      <c r="AE987" s="97">
        <f>VLOOKUP(A:A,SUMMERY!AA:AC,2,FALSE)</f>
        <v>46220</v>
      </c>
      <c r="AF987" s="6" t="str">
        <f>VLOOKUP(A:A,SUMMERY!AA:AC,3,FALSE)</f>
        <v>Priority-1</v>
      </c>
    </row>
    <row r="988" spans="1:32" x14ac:dyDescent="0.3">
      <c r="A988" t="s">
        <v>5084</v>
      </c>
      <c r="C988" t="s">
        <v>4328</v>
      </c>
      <c r="E988" t="s">
        <v>4328</v>
      </c>
      <c r="F988" t="s">
        <v>6769</v>
      </c>
      <c r="G988" t="s">
        <v>5057</v>
      </c>
      <c r="H988" t="s">
        <v>132</v>
      </c>
      <c r="I988" t="s">
        <v>4</v>
      </c>
      <c r="J988" t="s">
        <v>4276</v>
      </c>
      <c r="K988" t="s">
        <v>54</v>
      </c>
      <c r="M988" t="s">
        <v>134</v>
      </c>
      <c r="N988" t="s">
        <v>135</v>
      </c>
      <c r="Q988" t="s">
        <v>5058</v>
      </c>
      <c r="U988" t="s">
        <v>137</v>
      </c>
      <c r="V988" t="s">
        <v>362</v>
      </c>
      <c r="X988" t="s">
        <v>58</v>
      </c>
      <c r="AC988" t="s">
        <v>138</v>
      </c>
      <c r="AD988" t="s">
        <v>128</v>
      </c>
      <c r="AE988" s="97">
        <f>VLOOKUP(A:A,SUMMERY!AA:AC,2,FALSE)</f>
        <v>46220</v>
      </c>
      <c r="AF988" s="6" t="str">
        <f>VLOOKUP(A:A,SUMMERY!AA:AC,3,FALSE)</f>
        <v>Priority-1</v>
      </c>
    </row>
    <row r="989" spans="1:32" x14ac:dyDescent="0.3">
      <c r="A989" t="s">
        <v>5085</v>
      </c>
      <c r="C989" t="s">
        <v>4330</v>
      </c>
      <c r="E989" t="s">
        <v>4330</v>
      </c>
      <c r="F989" t="s">
        <v>6769</v>
      </c>
      <c r="G989" t="s">
        <v>5057</v>
      </c>
      <c r="H989" t="s">
        <v>132</v>
      </c>
      <c r="I989" t="s">
        <v>4</v>
      </c>
      <c r="J989" t="s">
        <v>4276</v>
      </c>
      <c r="K989" t="s">
        <v>54</v>
      </c>
      <c r="M989" t="s">
        <v>134</v>
      </c>
      <c r="N989" t="s">
        <v>135</v>
      </c>
      <c r="Q989" t="s">
        <v>5058</v>
      </c>
      <c r="U989" t="s">
        <v>137</v>
      </c>
      <c r="V989" t="s">
        <v>640</v>
      </c>
      <c r="X989" t="s">
        <v>66</v>
      </c>
      <c r="AC989" t="s">
        <v>138</v>
      </c>
      <c r="AD989" t="s">
        <v>128</v>
      </c>
      <c r="AE989" s="97">
        <f>VLOOKUP(A:A,SUMMERY!AA:AC,2,FALSE)</f>
        <v>46220</v>
      </c>
      <c r="AF989" s="6" t="str">
        <f>VLOOKUP(A:A,SUMMERY!AA:AC,3,FALSE)</f>
        <v>Priority-1</v>
      </c>
    </row>
    <row r="990" spans="1:32" x14ac:dyDescent="0.3">
      <c r="A990" t="s">
        <v>5086</v>
      </c>
      <c r="C990" t="s">
        <v>4332</v>
      </c>
      <c r="E990" t="s">
        <v>4332</v>
      </c>
      <c r="F990" t="s">
        <v>6769</v>
      </c>
      <c r="G990" t="s">
        <v>5057</v>
      </c>
      <c r="H990" t="s">
        <v>132</v>
      </c>
      <c r="I990" t="s">
        <v>4</v>
      </c>
      <c r="J990" t="s">
        <v>4276</v>
      </c>
      <c r="K990" t="s">
        <v>54</v>
      </c>
      <c r="M990" t="s">
        <v>134</v>
      </c>
      <c r="N990" t="s">
        <v>135</v>
      </c>
      <c r="Q990" t="s">
        <v>5058</v>
      </c>
      <c r="U990" t="s">
        <v>137</v>
      </c>
      <c r="V990" t="s">
        <v>640</v>
      </c>
      <c r="W990" s="9">
        <v>46147.487432789349</v>
      </c>
      <c r="X990" t="s">
        <v>66</v>
      </c>
      <c r="AA990" t="s">
        <v>5059</v>
      </c>
      <c r="AC990" t="s">
        <v>24</v>
      </c>
      <c r="AD990" t="s">
        <v>128</v>
      </c>
      <c r="AE990" s="97">
        <f>VLOOKUP(A:A,SUMMERY!AA:AC,2,FALSE)</f>
        <v>46220</v>
      </c>
      <c r="AF990" s="6" t="str">
        <f>VLOOKUP(A:A,SUMMERY!AA:AC,3,FALSE)</f>
        <v>Priority-1</v>
      </c>
    </row>
    <row r="991" spans="1:32" x14ac:dyDescent="0.3">
      <c r="A991" t="s">
        <v>5087</v>
      </c>
      <c r="C991" t="s">
        <v>4334</v>
      </c>
      <c r="E991" t="s">
        <v>4334</v>
      </c>
      <c r="F991" t="s">
        <v>6769</v>
      </c>
      <c r="G991" t="s">
        <v>5057</v>
      </c>
      <c r="H991" t="s">
        <v>132</v>
      </c>
      <c r="I991" t="s">
        <v>4</v>
      </c>
      <c r="J991" t="s">
        <v>4276</v>
      </c>
      <c r="K991" t="s">
        <v>54</v>
      </c>
      <c r="M991" t="s">
        <v>134</v>
      </c>
      <c r="N991" t="s">
        <v>135</v>
      </c>
      <c r="Q991" t="s">
        <v>5058</v>
      </c>
      <c r="U991" t="s">
        <v>137</v>
      </c>
      <c r="V991" t="s">
        <v>646</v>
      </c>
      <c r="X991" t="s">
        <v>74</v>
      </c>
      <c r="AC991" t="s">
        <v>138</v>
      </c>
      <c r="AD991" t="s">
        <v>128</v>
      </c>
      <c r="AE991" s="97">
        <f>VLOOKUP(A:A,SUMMERY!AA:AC,2,FALSE)</f>
        <v>46220</v>
      </c>
      <c r="AF991" s="6" t="str">
        <f>VLOOKUP(A:A,SUMMERY!AA:AC,3,FALSE)</f>
        <v>Priority-1</v>
      </c>
    </row>
    <row r="992" spans="1:32" x14ac:dyDescent="0.3">
      <c r="A992" t="s">
        <v>5088</v>
      </c>
      <c r="C992" t="s">
        <v>4336</v>
      </c>
      <c r="E992" t="s">
        <v>4336</v>
      </c>
      <c r="F992" t="s">
        <v>6769</v>
      </c>
      <c r="G992" t="s">
        <v>5057</v>
      </c>
      <c r="H992" t="s">
        <v>132</v>
      </c>
      <c r="I992" t="s">
        <v>4</v>
      </c>
      <c r="J992" t="s">
        <v>4276</v>
      </c>
      <c r="K992" t="s">
        <v>54</v>
      </c>
      <c r="M992" t="s">
        <v>134</v>
      </c>
      <c r="N992" t="s">
        <v>135</v>
      </c>
      <c r="Q992" t="s">
        <v>5058</v>
      </c>
      <c r="U992" t="s">
        <v>137</v>
      </c>
      <c r="V992" t="s">
        <v>646</v>
      </c>
      <c r="W992" s="9">
        <v>46167.745858796297</v>
      </c>
      <c r="X992" t="s">
        <v>74</v>
      </c>
      <c r="AA992" t="s">
        <v>5059</v>
      </c>
      <c r="AC992" t="s">
        <v>24</v>
      </c>
      <c r="AD992" t="s">
        <v>128</v>
      </c>
      <c r="AE992" s="97">
        <f>VLOOKUP(A:A,SUMMERY!AA:AC,2,FALSE)</f>
        <v>46220</v>
      </c>
      <c r="AF992" s="6" t="str">
        <f>VLOOKUP(A:A,SUMMERY!AA:AC,3,FALSE)</f>
        <v>Priority-1</v>
      </c>
    </row>
    <row r="993" spans="1:32" x14ac:dyDescent="0.3">
      <c r="A993" t="s">
        <v>5099</v>
      </c>
      <c r="C993" t="s">
        <v>4358</v>
      </c>
      <c r="E993" t="s">
        <v>4358</v>
      </c>
      <c r="F993" t="s">
        <v>6769</v>
      </c>
      <c r="G993" t="s">
        <v>5057</v>
      </c>
      <c r="H993" t="s">
        <v>132</v>
      </c>
      <c r="I993" t="s">
        <v>4</v>
      </c>
      <c r="J993" t="s">
        <v>4276</v>
      </c>
      <c r="K993" t="s">
        <v>54</v>
      </c>
      <c r="M993" t="s">
        <v>134</v>
      </c>
      <c r="N993" t="s">
        <v>135</v>
      </c>
      <c r="Q993" t="s">
        <v>5058</v>
      </c>
      <c r="U993" t="s">
        <v>137</v>
      </c>
      <c r="V993" t="s">
        <v>1190</v>
      </c>
      <c r="X993" t="s">
        <v>67</v>
      </c>
      <c r="AC993" t="s">
        <v>138</v>
      </c>
      <c r="AD993" t="s">
        <v>128</v>
      </c>
      <c r="AE993" s="97">
        <f>VLOOKUP(A:A,SUMMERY!AA:AC,2,FALSE)</f>
        <v>46220</v>
      </c>
      <c r="AF993" s="6" t="str">
        <f>VLOOKUP(A:A,SUMMERY!AA:AC,3,FALSE)</f>
        <v>Priority-1</v>
      </c>
    </row>
    <row r="994" spans="1:32" x14ac:dyDescent="0.3">
      <c r="A994" t="s">
        <v>5100</v>
      </c>
      <c r="C994" t="s">
        <v>4360</v>
      </c>
      <c r="E994" t="s">
        <v>4360</v>
      </c>
      <c r="F994" t="s">
        <v>6769</v>
      </c>
      <c r="G994" t="s">
        <v>5057</v>
      </c>
      <c r="H994" t="s">
        <v>132</v>
      </c>
      <c r="I994" t="s">
        <v>4</v>
      </c>
      <c r="J994" t="s">
        <v>4276</v>
      </c>
      <c r="K994" t="s">
        <v>54</v>
      </c>
      <c r="M994" t="s">
        <v>134</v>
      </c>
      <c r="N994" t="s">
        <v>135</v>
      </c>
      <c r="Q994" t="s">
        <v>5058</v>
      </c>
      <c r="U994" t="s">
        <v>137</v>
      </c>
      <c r="V994" t="s">
        <v>1190</v>
      </c>
      <c r="W994" s="9">
        <v>46171.374002858793</v>
      </c>
      <c r="X994" t="s">
        <v>67</v>
      </c>
      <c r="AA994" t="s">
        <v>5059</v>
      </c>
      <c r="AC994" t="s">
        <v>24</v>
      </c>
      <c r="AD994" t="s">
        <v>128</v>
      </c>
      <c r="AE994" s="97">
        <f>VLOOKUP(A:A,SUMMERY!AA:AC,2,FALSE)</f>
        <v>46220</v>
      </c>
      <c r="AF994" s="6" t="str">
        <f>VLOOKUP(A:A,SUMMERY!AA:AC,3,FALSE)</f>
        <v>Priority-1</v>
      </c>
    </row>
    <row r="995" spans="1:32" x14ac:dyDescent="0.3">
      <c r="A995" t="s">
        <v>5101</v>
      </c>
      <c r="C995" t="s">
        <v>4362</v>
      </c>
      <c r="E995" t="s">
        <v>4362</v>
      </c>
      <c r="F995" t="s">
        <v>6769</v>
      </c>
      <c r="G995" t="s">
        <v>5057</v>
      </c>
      <c r="H995" t="s">
        <v>132</v>
      </c>
      <c r="I995" t="s">
        <v>4</v>
      </c>
      <c r="J995" t="s">
        <v>4276</v>
      </c>
      <c r="K995" t="s">
        <v>54</v>
      </c>
      <c r="M995" t="s">
        <v>134</v>
      </c>
      <c r="N995" t="s">
        <v>135</v>
      </c>
      <c r="Q995" t="s">
        <v>5058</v>
      </c>
      <c r="U995" t="s">
        <v>137</v>
      </c>
      <c r="V995" t="s">
        <v>1194</v>
      </c>
      <c r="X995" t="s">
        <v>75</v>
      </c>
      <c r="AC995" t="s">
        <v>138</v>
      </c>
      <c r="AD995" t="s">
        <v>128</v>
      </c>
      <c r="AE995" s="97">
        <f>VLOOKUP(A:A,SUMMERY!AA:AC,2,FALSE)</f>
        <v>46220</v>
      </c>
      <c r="AF995" s="6" t="str">
        <f>VLOOKUP(A:A,SUMMERY!AA:AC,3,FALSE)</f>
        <v>Priority-1</v>
      </c>
    </row>
    <row r="996" spans="1:32" x14ac:dyDescent="0.3">
      <c r="A996" t="s">
        <v>5102</v>
      </c>
      <c r="C996" t="s">
        <v>4364</v>
      </c>
      <c r="E996" t="s">
        <v>4364</v>
      </c>
      <c r="F996" t="s">
        <v>6769</v>
      </c>
      <c r="G996" t="s">
        <v>5057</v>
      </c>
      <c r="H996" t="s">
        <v>132</v>
      </c>
      <c r="I996" t="s">
        <v>4</v>
      </c>
      <c r="J996" t="s">
        <v>4276</v>
      </c>
      <c r="K996" t="s">
        <v>54</v>
      </c>
      <c r="M996" t="s">
        <v>134</v>
      </c>
      <c r="N996" t="s">
        <v>135</v>
      </c>
      <c r="Q996" t="s">
        <v>5058</v>
      </c>
      <c r="U996" t="s">
        <v>137</v>
      </c>
      <c r="V996" t="s">
        <v>1194</v>
      </c>
      <c r="W996" s="9">
        <v>46171.375830555553</v>
      </c>
      <c r="X996" t="s">
        <v>75</v>
      </c>
      <c r="AA996" t="s">
        <v>5059</v>
      </c>
      <c r="AC996" t="s">
        <v>24</v>
      </c>
      <c r="AD996" t="s">
        <v>128</v>
      </c>
      <c r="AE996" s="97">
        <f>VLOOKUP(A:A,SUMMERY!AA:AC,2,FALSE)</f>
        <v>46220</v>
      </c>
      <c r="AF996" s="6" t="str">
        <f>VLOOKUP(A:A,SUMMERY!AA:AC,3,FALSE)</f>
        <v>Priority-1</v>
      </c>
    </row>
    <row r="997" spans="1:32" x14ac:dyDescent="0.3">
      <c r="A997" t="s">
        <v>5113</v>
      </c>
      <c r="C997" t="s">
        <v>4386</v>
      </c>
      <c r="E997" t="s">
        <v>4386</v>
      </c>
      <c r="F997" t="s">
        <v>6769</v>
      </c>
      <c r="G997" t="s">
        <v>5057</v>
      </c>
      <c r="H997" t="s">
        <v>132</v>
      </c>
      <c r="I997" t="s">
        <v>4</v>
      </c>
      <c r="J997" t="s">
        <v>4276</v>
      </c>
      <c r="K997" t="s">
        <v>54</v>
      </c>
      <c r="M997" t="s">
        <v>134</v>
      </c>
      <c r="N997" t="s">
        <v>135</v>
      </c>
      <c r="Q997" t="s">
        <v>5058</v>
      </c>
      <c r="U997" t="s">
        <v>137</v>
      </c>
      <c r="V997" t="s">
        <v>403</v>
      </c>
      <c r="X997" t="s">
        <v>68</v>
      </c>
      <c r="AC997" t="s">
        <v>138</v>
      </c>
      <c r="AD997" t="s">
        <v>128</v>
      </c>
      <c r="AE997" s="97">
        <f>VLOOKUP(A:A,SUMMERY!AA:AC,2,FALSE)</f>
        <v>46233</v>
      </c>
      <c r="AF997" s="6" t="str">
        <f>VLOOKUP(A:A,SUMMERY!AA:AC,3,FALSE)</f>
        <v>Priority-1</v>
      </c>
    </row>
    <row r="998" spans="1:32" x14ac:dyDescent="0.3">
      <c r="A998" t="s">
        <v>5114</v>
      </c>
      <c r="C998" t="s">
        <v>4388</v>
      </c>
      <c r="E998" t="s">
        <v>4388</v>
      </c>
      <c r="F998" t="s">
        <v>6769</v>
      </c>
      <c r="G998" t="s">
        <v>5057</v>
      </c>
      <c r="H998" t="s">
        <v>132</v>
      </c>
      <c r="I998" t="s">
        <v>4</v>
      </c>
      <c r="J998" t="s">
        <v>4276</v>
      </c>
      <c r="K998" t="s">
        <v>54</v>
      </c>
      <c r="M998" t="s">
        <v>134</v>
      </c>
      <c r="N998" t="s">
        <v>135</v>
      </c>
      <c r="Q998" t="s">
        <v>5058</v>
      </c>
      <c r="U998" t="s">
        <v>137</v>
      </c>
      <c r="V998" t="s">
        <v>403</v>
      </c>
      <c r="W998" s="9">
        <v>46179.487789618055</v>
      </c>
      <c r="X998" t="s">
        <v>68</v>
      </c>
      <c r="AA998" t="s">
        <v>5059</v>
      </c>
      <c r="AC998" t="s">
        <v>24</v>
      </c>
      <c r="AD998" t="s">
        <v>128</v>
      </c>
      <c r="AE998" s="97">
        <f>VLOOKUP(A:A,SUMMERY!AA:AC,2,FALSE)</f>
        <v>46233</v>
      </c>
      <c r="AF998" s="6" t="str">
        <f>VLOOKUP(A:A,SUMMERY!AA:AC,3,FALSE)</f>
        <v>Priority-1</v>
      </c>
    </row>
    <row r="999" spans="1:32" x14ac:dyDescent="0.3">
      <c r="A999" t="s">
        <v>5115</v>
      </c>
      <c r="C999" t="s">
        <v>4390</v>
      </c>
      <c r="E999" t="s">
        <v>4390</v>
      </c>
      <c r="F999" t="s">
        <v>6769</v>
      </c>
      <c r="G999" t="s">
        <v>5057</v>
      </c>
      <c r="H999" t="s">
        <v>132</v>
      </c>
      <c r="I999" t="s">
        <v>4</v>
      </c>
      <c r="J999" t="s">
        <v>4276</v>
      </c>
      <c r="K999" t="s">
        <v>54</v>
      </c>
      <c r="M999" t="s">
        <v>134</v>
      </c>
      <c r="N999" t="s">
        <v>135</v>
      </c>
      <c r="Q999" t="s">
        <v>5058</v>
      </c>
      <c r="U999" t="s">
        <v>137</v>
      </c>
      <c r="V999" t="s">
        <v>407</v>
      </c>
      <c r="X999" t="s">
        <v>77</v>
      </c>
      <c r="AC999" t="s">
        <v>138</v>
      </c>
      <c r="AD999" t="s">
        <v>128</v>
      </c>
      <c r="AE999" s="97">
        <f>VLOOKUP(A:A,SUMMERY!AA:AC,2,FALSE)</f>
        <v>46233</v>
      </c>
      <c r="AF999" s="6" t="str">
        <f>VLOOKUP(A:A,SUMMERY!AA:AC,3,FALSE)</f>
        <v>Priority-1</v>
      </c>
    </row>
    <row r="1000" spans="1:32" x14ac:dyDescent="0.3">
      <c r="A1000" t="s">
        <v>5116</v>
      </c>
      <c r="C1000" t="s">
        <v>4392</v>
      </c>
      <c r="E1000" t="s">
        <v>4392</v>
      </c>
      <c r="F1000" t="s">
        <v>6769</v>
      </c>
      <c r="G1000" t="s">
        <v>5057</v>
      </c>
      <c r="H1000" t="s">
        <v>132</v>
      </c>
      <c r="I1000" t="s">
        <v>4</v>
      </c>
      <c r="J1000" t="s">
        <v>4276</v>
      </c>
      <c r="K1000" t="s">
        <v>54</v>
      </c>
      <c r="M1000" t="s">
        <v>134</v>
      </c>
      <c r="N1000" t="s">
        <v>135</v>
      </c>
      <c r="Q1000" t="s">
        <v>5058</v>
      </c>
      <c r="U1000" t="s">
        <v>137</v>
      </c>
      <c r="V1000" t="s">
        <v>407</v>
      </c>
      <c r="W1000" s="9">
        <v>46200.327852893519</v>
      </c>
      <c r="X1000" t="s">
        <v>77</v>
      </c>
      <c r="AA1000" t="s">
        <v>5059</v>
      </c>
      <c r="AC1000" t="s">
        <v>24</v>
      </c>
      <c r="AD1000" t="s">
        <v>128</v>
      </c>
      <c r="AE1000" s="97">
        <f>VLOOKUP(A:A,SUMMERY!AA:AC,2,FALSE)</f>
        <v>46233</v>
      </c>
      <c r="AF1000" s="6" t="str">
        <f>VLOOKUP(A:A,SUMMERY!AA:AC,3,FALSE)</f>
        <v>Priority-1</v>
      </c>
    </row>
    <row r="1001" spans="1:32" x14ac:dyDescent="0.3">
      <c r="A1001" t="s">
        <v>5127</v>
      </c>
      <c r="C1001" t="s">
        <v>4414</v>
      </c>
      <c r="E1001" t="s">
        <v>4414</v>
      </c>
      <c r="F1001" t="s">
        <v>6769</v>
      </c>
      <c r="G1001" t="s">
        <v>5057</v>
      </c>
      <c r="H1001" t="s">
        <v>132</v>
      </c>
      <c r="I1001" t="s">
        <v>4</v>
      </c>
      <c r="J1001" t="s">
        <v>4276</v>
      </c>
      <c r="K1001" t="s">
        <v>54</v>
      </c>
      <c r="M1001" t="s">
        <v>134</v>
      </c>
      <c r="N1001" t="s">
        <v>135</v>
      </c>
      <c r="Q1001" t="s">
        <v>5058</v>
      </c>
      <c r="U1001" t="s">
        <v>137</v>
      </c>
      <c r="V1001" t="s">
        <v>1279</v>
      </c>
      <c r="W1001" s="9">
        <v>46138.342917094909</v>
      </c>
      <c r="X1001" t="s">
        <v>71</v>
      </c>
      <c r="AA1001" t="s">
        <v>5059</v>
      </c>
      <c r="AC1001" t="s">
        <v>24</v>
      </c>
      <c r="AD1001" t="s">
        <v>128</v>
      </c>
      <c r="AE1001" s="97">
        <f>VLOOKUP(A:A,SUMMERY!AA:AC,2,FALSE)</f>
        <v>46233</v>
      </c>
      <c r="AF1001" s="6" t="str">
        <f>VLOOKUP(A:A,SUMMERY!AA:AC,3,FALSE)</f>
        <v>Priority-1</v>
      </c>
    </row>
    <row r="1002" spans="1:32" x14ac:dyDescent="0.3">
      <c r="A1002" t="s">
        <v>5128</v>
      </c>
      <c r="C1002" t="s">
        <v>4416</v>
      </c>
      <c r="E1002" t="s">
        <v>4416</v>
      </c>
      <c r="F1002" t="s">
        <v>6769</v>
      </c>
      <c r="G1002" t="s">
        <v>5057</v>
      </c>
      <c r="H1002" t="s">
        <v>132</v>
      </c>
      <c r="I1002" t="s">
        <v>4</v>
      </c>
      <c r="J1002" t="s">
        <v>4276</v>
      </c>
      <c r="K1002" t="s">
        <v>54</v>
      </c>
      <c r="M1002" t="s">
        <v>134</v>
      </c>
      <c r="N1002" t="s">
        <v>135</v>
      </c>
      <c r="Q1002" t="s">
        <v>5058</v>
      </c>
      <c r="U1002" t="s">
        <v>137</v>
      </c>
      <c r="V1002" t="s">
        <v>1279</v>
      </c>
      <c r="W1002" s="9">
        <v>46141.214553784725</v>
      </c>
      <c r="X1002" t="s">
        <v>71</v>
      </c>
      <c r="AA1002" t="s">
        <v>5059</v>
      </c>
      <c r="AC1002" t="s">
        <v>24</v>
      </c>
      <c r="AD1002" t="s">
        <v>128</v>
      </c>
      <c r="AE1002" s="97">
        <f>VLOOKUP(A:A,SUMMERY!AA:AC,2,FALSE)</f>
        <v>46233</v>
      </c>
      <c r="AF1002" s="6" t="str">
        <f>VLOOKUP(A:A,SUMMERY!AA:AC,3,FALSE)</f>
        <v>Priority-1</v>
      </c>
    </row>
    <row r="1003" spans="1:32" x14ac:dyDescent="0.3">
      <c r="A1003" t="s">
        <v>5129</v>
      </c>
      <c r="C1003" t="s">
        <v>4418</v>
      </c>
      <c r="E1003" t="s">
        <v>4418</v>
      </c>
      <c r="F1003" t="s">
        <v>6769</v>
      </c>
      <c r="G1003" t="s">
        <v>5057</v>
      </c>
      <c r="H1003" t="s">
        <v>132</v>
      </c>
      <c r="I1003" t="s">
        <v>4</v>
      </c>
      <c r="J1003" t="s">
        <v>4276</v>
      </c>
      <c r="K1003" t="s">
        <v>54</v>
      </c>
      <c r="M1003" t="s">
        <v>134</v>
      </c>
      <c r="N1003" t="s">
        <v>135</v>
      </c>
      <c r="Q1003" t="s">
        <v>5058</v>
      </c>
      <c r="U1003" t="s">
        <v>137</v>
      </c>
      <c r="V1003" t="s">
        <v>1283</v>
      </c>
      <c r="W1003" s="9">
        <v>46138.519891319447</v>
      </c>
      <c r="X1003" t="s">
        <v>78</v>
      </c>
      <c r="AA1003" t="s">
        <v>5059</v>
      </c>
      <c r="AC1003" t="s">
        <v>24</v>
      </c>
      <c r="AD1003" t="s">
        <v>128</v>
      </c>
      <c r="AE1003" s="97">
        <f>VLOOKUP(A:A,SUMMERY!AA:AC,2,FALSE)</f>
        <v>46234</v>
      </c>
      <c r="AF1003" s="6" t="str">
        <f>VLOOKUP(A:A,SUMMERY!AA:AC,3,FALSE)</f>
        <v>Priority-1</v>
      </c>
    </row>
    <row r="1004" spans="1:32" x14ac:dyDescent="0.3">
      <c r="A1004" t="s">
        <v>5130</v>
      </c>
      <c r="C1004" t="s">
        <v>4420</v>
      </c>
      <c r="E1004" t="s">
        <v>4420</v>
      </c>
      <c r="F1004" t="s">
        <v>6769</v>
      </c>
      <c r="G1004" t="s">
        <v>5057</v>
      </c>
      <c r="H1004" t="s">
        <v>132</v>
      </c>
      <c r="I1004" t="s">
        <v>4</v>
      </c>
      <c r="J1004" t="s">
        <v>4276</v>
      </c>
      <c r="K1004" t="s">
        <v>54</v>
      </c>
      <c r="M1004" t="s">
        <v>134</v>
      </c>
      <c r="N1004" t="s">
        <v>135</v>
      </c>
      <c r="Q1004" t="s">
        <v>5058</v>
      </c>
      <c r="U1004" t="s">
        <v>137</v>
      </c>
      <c r="V1004" t="s">
        <v>1283</v>
      </c>
      <c r="W1004" s="9">
        <v>46167.741232210647</v>
      </c>
      <c r="X1004" t="s">
        <v>78</v>
      </c>
      <c r="AA1004" t="s">
        <v>5059</v>
      </c>
      <c r="AC1004" t="s">
        <v>24</v>
      </c>
      <c r="AD1004" t="s">
        <v>128</v>
      </c>
      <c r="AE1004" s="97">
        <f>VLOOKUP(A:A,SUMMERY!AA:AC,2,FALSE)</f>
        <v>46234</v>
      </c>
      <c r="AF1004" s="6" t="str">
        <f>VLOOKUP(A:A,SUMMERY!AA:AC,3,FALSE)</f>
        <v>Priority-1</v>
      </c>
    </row>
    <row r="1005" spans="1:32" x14ac:dyDescent="0.3">
      <c r="A1005" t="s">
        <v>5141</v>
      </c>
      <c r="C1005" t="s">
        <v>4442</v>
      </c>
      <c r="E1005" t="s">
        <v>4442</v>
      </c>
      <c r="F1005" t="s">
        <v>6769</v>
      </c>
      <c r="G1005" t="s">
        <v>5057</v>
      </c>
      <c r="H1005" t="s">
        <v>132</v>
      </c>
      <c r="I1005" t="s">
        <v>4</v>
      </c>
      <c r="J1005" t="s">
        <v>4276</v>
      </c>
      <c r="K1005" t="s">
        <v>54</v>
      </c>
      <c r="M1005" t="s">
        <v>134</v>
      </c>
      <c r="N1005" t="s">
        <v>135</v>
      </c>
      <c r="Q1005" t="s">
        <v>5058</v>
      </c>
      <c r="U1005" t="s">
        <v>137</v>
      </c>
      <c r="V1005" t="s">
        <v>703</v>
      </c>
      <c r="W1005" s="9">
        <v>46179.479040937498</v>
      </c>
      <c r="X1005" t="s">
        <v>62</v>
      </c>
      <c r="AA1005" t="s">
        <v>5059</v>
      </c>
      <c r="AC1005" t="s">
        <v>24</v>
      </c>
      <c r="AD1005" t="s">
        <v>128</v>
      </c>
      <c r="AE1005" s="97">
        <f>VLOOKUP(A:A,SUMMERY!AA:AC,2,FALSE)</f>
        <v>46220</v>
      </c>
      <c r="AF1005" s="6" t="str">
        <f>VLOOKUP(A:A,SUMMERY!AA:AC,3,FALSE)</f>
        <v>Priority-1</v>
      </c>
    </row>
    <row r="1006" spans="1:32" x14ac:dyDescent="0.3">
      <c r="A1006" t="s">
        <v>5142</v>
      </c>
      <c r="C1006" t="s">
        <v>4444</v>
      </c>
      <c r="E1006" t="s">
        <v>4444</v>
      </c>
      <c r="F1006" t="s">
        <v>6769</v>
      </c>
      <c r="G1006" t="s">
        <v>5057</v>
      </c>
      <c r="H1006" t="s">
        <v>132</v>
      </c>
      <c r="I1006" t="s">
        <v>4</v>
      </c>
      <c r="J1006" t="s">
        <v>4276</v>
      </c>
      <c r="K1006" t="s">
        <v>54</v>
      </c>
      <c r="M1006" t="s">
        <v>134</v>
      </c>
      <c r="N1006" t="s">
        <v>135</v>
      </c>
      <c r="Q1006" t="s">
        <v>5058</v>
      </c>
      <c r="U1006" t="s">
        <v>137</v>
      </c>
      <c r="V1006" t="s">
        <v>703</v>
      </c>
      <c r="W1006" s="9">
        <v>46147.495763657411</v>
      </c>
      <c r="X1006" t="s">
        <v>62</v>
      </c>
      <c r="AA1006" t="s">
        <v>5059</v>
      </c>
      <c r="AC1006" t="s">
        <v>24</v>
      </c>
      <c r="AD1006" t="s">
        <v>128</v>
      </c>
      <c r="AE1006" s="97">
        <f>VLOOKUP(A:A,SUMMERY!AA:AC,2,FALSE)</f>
        <v>46220</v>
      </c>
      <c r="AF1006" s="6" t="str">
        <f>VLOOKUP(A:A,SUMMERY!AA:AC,3,FALSE)</f>
        <v>Priority-1</v>
      </c>
    </row>
    <row r="1007" spans="1:32" x14ac:dyDescent="0.3">
      <c r="A1007" t="s">
        <v>5143</v>
      </c>
      <c r="C1007" t="s">
        <v>4446</v>
      </c>
      <c r="E1007" t="s">
        <v>4446</v>
      </c>
      <c r="F1007" t="s">
        <v>6769</v>
      </c>
      <c r="G1007" t="s">
        <v>5057</v>
      </c>
      <c r="H1007" t="s">
        <v>132</v>
      </c>
      <c r="I1007" t="s">
        <v>4</v>
      </c>
      <c r="J1007" t="s">
        <v>4276</v>
      </c>
      <c r="K1007" t="s">
        <v>54</v>
      </c>
      <c r="M1007" t="s">
        <v>134</v>
      </c>
      <c r="N1007" t="s">
        <v>135</v>
      </c>
      <c r="Q1007" t="s">
        <v>5058</v>
      </c>
      <c r="U1007" t="s">
        <v>137</v>
      </c>
      <c r="V1007" t="s">
        <v>703</v>
      </c>
      <c r="W1007" s="9">
        <v>46179.480003275465</v>
      </c>
      <c r="X1007" t="s">
        <v>62</v>
      </c>
      <c r="AA1007" t="s">
        <v>5059</v>
      </c>
      <c r="AC1007" t="s">
        <v>24</v>
      </c>
      <c r="AD1007" t="s">
        <v>128</v>
      </c>
      <c r="AE1007" s="97">
        <f>VLOOKUP(A:A,SUMMERY!AA:AC,2,FALSE)</f>
        <v>46220</v>
      </c>
      <c r="AF1007" s="6" t="str">
        <f>VLOOKUP(A:A,SUMMERY!AA:AC,3,FALSE)</f>
        <v>Priority-1</v>
      </c>
    </row>
    <row r="1008" spans="1:32" x14ac:dyDescent="0.3">
      <c r="A1008" t="s">
        <v>5144</v>
      </c>
      <c r="C1008" t="s">
        <v>4448</v>
      </c>
      <c r="E1008" t="s">
        <v>4448</v>
      </c>
      <c r="F1008" t="s">
        <v>6769</v>
      </c>
      <c r="G1008" t="s">
        <v>5057</v>
      </c>
      <c r="H1008" t="s">
        <v>132</v>
      </c>
      <c r="I1008" t="s">
        <v>4</v>
      </c>
      <c r="J1008" t="s">
        <v>4276</v>
      </c>
      <c r="K1008" t="s">
        <v>54</v>
      </c>
      <c r="M1008" t="s">
        <v>134</v>
      </c>
      <c r="N1008" t="s">
        <v>135</v>
      </c>
      <c r="Q1008" t="s">
        <v>5058</v>
      </c>
      <c r="U1008" t="s">
        <v>137</v>
      </c>
      <c r="V1008" t="s">
        <v>703</v>
      </c>
      <c r="W1008" s="9">
        <v>46179.480636805558</v>
      </c>
      <c r="X1008" t="s">
        <v>62</v>
      </c>
      <c r="AA1008" t="s">
        <v>5059</v>
      </c>
      <c r="AC1008" t="s">
        <v>24</v>
      </c>
      <c r="AD1008" t="s">
        <v>128</v>
      </c>
      <c r="AE1008" s="97">
        <f>VLOOKUP(A:A,SUMMERY!AA:AC,2,FALSE)</f>
        <v>46220</v>
      </c>
      <c r="AF1008" s="6" t="str">
        <f>VLOOKUP(A:A,SUMMERY!AA:AC,3,FALSE)</f>
        <v>Priority-1</v>
      </c>
    </row>
    <row r="1009" spans="1:32" x14ac:dyDescent="0.3">
      <c r="A1009" t="s">
        <v>5145</v>
      </c>
      <c r="C1009" t="s">
        <v>4450</v>
      </c>
      <c r="E1009" t="s">
        <v>4450</v>
      </c>
      <c r="F1009" t="s">
        <v>6769</v>
      </c>
      <c r="G1009" t="s">
        <v>5057</v>
      </c>
      <c r="H1009" t="s">
        <v>132</v>
      </c>
      <c r="I1009" t="s">
        <v>4</v>
      </c>
      <c r="J1009" t="s">
        <v>4276</v>
      </c>
      <c r="K1009" t="s">
        <v>54</v>
      </c>
      <c r="M1009" t="s">
        <v>134</v>
      </c>
      <c r="N1009" t="s">
        <v>135</v>
      </c>
      <c r="Q1009" t="s">
        <v>5058</v>
      </c>
      <c r="U1009" t="s">
        <v>137</v>
      </c>
      <c r="V1009" t="s">
        <v>703</v>
      </c>
      <c r="W1009" s="9">
        <v>46179.476311574072</v>
      </c>
      <c r="X1009" t="s">
        <v>62</v>
      </c>
      <c r="AA1009" t="s">
        <v>5059</v>
      </c>
      <c r="AC1009" t="s">
        <v>24</v>
      </c>
      <c r="AD1009" t="s">
        <v>128</v>
      </c>
      <c r="AE1009" s="97">
        <f>VLOOKUP(A:A,SUMMERY!AA:AC,2,FALSE)</f>
        <v>46220</v>
      </c>
      <c r="AF1009" s="6" t="str">
        <f>VLOOKUP(A:A,SUMMERY!AA:AC,3,FALSE)</f>
        <v>Priority-1</v>
      </c>
    </row>
    <row r="1010" spans="1:32" x14ac:dyDescent="0.3">
      <c r="A1010" t="s">
        <v>5146</v>
      </c>
      <c r="C1010" t="s">
        <v>4452</v>
      </c>
      <c r="E1010" t="s">
        <v>4452</v>
      </c>
      <c r="F1010" t="s">
        <v>6769</v>
      </c>
      <c r="G1010" t="s">
        <v>5057</v>
      </c>
      <c r="H1010" t="s">
        <v>132</v>
      </c>
      <c r="I1010" t="s">
        <v>4</v>
      </c>
      <c r="J1010" t="s">
        <v>4276</v>
      </c>
      <c r="K1010" t="s">
        <v>54</v>
      </c>
      <c r="M1010" t="s">
        <v>134</v>
      </c>
      <c r="N1010" t="s">
        <v>135</v>
      </c>
      <c r="Q1010" t="s">
        <v>5058</v>
      </c>
      <c r="U1010" t="s">
        <v>137</v>
      </c>
      <c r="V1010" t="s">
        <v>703</v>
      </c>
      <c r="W1010" s="9">
        <v>46179.477376655093</v>
      </c>
      <c r="X1010" t="s">
        <v>62</v>
      </c>
      <c r="AA1010" t="s">
        <v>5059</v>
      </c>
      <c r="AC1010" t="s">
        <v>24</v>
      </c>
      <c r="AD1010" t="s">
        <v>128</v>
      </c>
      <c r="AE1010" s="97">
        <f>VLOOKUP(A:A,SUMMERY!AA:AC,2,FALSE)</f>
        <v>46220</v>
      </c>
      <c r="AF1010" s="6" t="str">
        <f>VLOOKUP(A:A,SUMMERY!AA:AC,3,FALSE)</f>
        <v>Priority-1</v>
      </c>
    </row>
    <row r="1011" spans="1:32" x14ac:dyDescent="0.3">
      <c r="A1011" t="s">
        <v>5147</v>
      </c>
      <c r="C1011" t="s">
        <v>4454</v>
      </c>
      <c r="E1011" t="s">
        <v>4454</v>
      </c>
      <c r="F1011" t="s">
        <v>6769</v>
      </c>
      <c r="G1011" t="s">
        <v>5057</v>
      </c>
      <c r="H1011" t="s">
        <v>132</v>
      </c>
      <c r="I1011" t="s">
        <v>4</v>
      </c>
      <c r="J1011" t="s">
        <v>4276</v>
      </c>
      <c r="K1011" t="s">
        <v>54</v>
      </c>
      <c r="M1011" t="s">
        <v>134</v>
      </c>
      <c r="N1011" t="s">
        <v>135</v>
      </c>
      <c r="Q1011" t="s">
        <v>5058</v>
      </c>
      <c r="U1011" t="s">
        <v>137</v>
      </c>
      <c r="V1011" t="s">
        <v>709</v>
      </c>
      <c r="W1011" s="9">
        <v>46192.483876157406</v>
      </c>
      <c r="X1011" t="s">
        <v>73</v>
      </c>
      <c r="AA1011" t="s">
        <v>5059</v>
      </c>
      <c r="AC1011" t="s">
        <v>24</v>
      </c>
      <c r="AD1011" t="s">
        <v>128</v>
      </c>
      <c r="AE1011" s="97">
        <f>VLOOKUP(A:A,SUMMERY!AA:AC,2,FALSE)</f>
        <v>46220</v>
      </c>
      <c r="AF1011" s="6" t="str">
        <f>VLOOKUP(A:A,SUMMERY!AA:AC,3,FALSE)</f>
        <v>Priority-1</v>
      </c>
    </row>
    <row r="1012" spans="1:32" x14ac:dyDescent="0.3">
      <c r="A1012" t="s">
        <v>5148</v>
      </c>
      <c r="C1012" t="s">
        <v>4456</v>
      </c>
      <c r="E1012" t="s">
        <v>4456</v>
      </c>
      <c r="F1012" t="s">
        <v>6769</v>
      </c>
      <c r="G1012" t="s">
        <v>5057</v>
      </c>
      <c r="H1012" t="s">
        <v>132</v>
      </c>
      <c r="I1012" t="s">
        <v>4</v>
      </c>
      <c r="J1012" t="s">
        <v>4276</v>
      </c>
      <c r="K1012" t="s">
        <v>54</v>
      </c>
      <c r="M1012" t="s">
        <v>134</v>
      </c>
      <c r="N1012" t="s">
        <v>135</v>
      </c>
      <c r="Q1012" t="s">
        <v>5058</v>
      </c>
      <c r="U1012" t="s">
        <v>137</v>
      </c>
      <c r="V1012" t="s">
        <v>709</v>
      </c>
      <c r="W1012" s="9">
        <v>46176.198778784725</v>
      </c>
      <c r="X1012" t="s">
        <v>73</v>
      </c>
      <c r="AA1012" t="s">
        <v>5059</v>
      </c>
      <c r="AC1012" t="s">
        <v>24</v>
      </c>
      <c r="AD1012" t="s">
        <v>128</v>
      </c>
      <c r="AE1012" s="97">
        <f>VLOOKUP(A:A,SUMMERY!AA:AC,2,FALSE)</f>
        <v>46220</v>
      </c>
      <c r="AF1012" s="6" t="str">
        <f>VLOOKUP(A:A,SUMMERY!AA:AC,3,FALSE)</f>
        <v>Priority-1</v>
      </c>
    </row>
    <row r="1013" spans="1:32" x14ac:dyDescent="0.3">
      <c r="A1013" t="s">
        <v>5149</v>
      </c>
      <c r="C1013" t="s">
        <v>4458</v>
      </c>
      <c r="E1013" t="s">
        <v>4458</v>
      </c>
      <c r="F1013" t="s">
        <v>6769</v>
      </c>
      <c r="G1013" t="s">
        <v>5057</v>
      </c>
      <c r="H1013" t="s">
        <v>132</v>
      </c>
      <c r="I1013" t="s">
        <v>4</v>
      </c>
      <c r="J1013" t="s">
        <v>4276</v>
      </c>
      <c r="K1013" t="s">
        <v>54</v>
      </c>
      <c r="M1013" t="s">
        <v>134</v>
      </c>
      <c r="N1013" t="s">
        <v>135</v>
      </c>
      <c r="Q1013" t="s">
        <v>5058</v>
      </c>
      <c r="U1013" t="s">
        <v>137</v>
      </c>
      <c r="V1013" t="s">
        <v>709</v>
      </c>
      <c r="W1013" s="9">
        <v>46192.478304363423</v>
      </c>
      <c r="X1013" t="s">
        <v>73</v>
      </c>
      <c r="AA1013" t="s">
        <v>5059</v>
      </c>
      <c r="AC1013" t="s">
        <v>24</v>
      </c>
      <c r="AD1013" t="s">
        <v>128</v>
      </c>
      <c r="AE1013" s="97">
        <f>VLOOKUP(A:A,SUMMERY!AA:AC,2,FALSE)</f>
        <v>46220</v>
      </c>
      <c r="AF1013" s="6" t="str">
        <f>VLOOKUP(A:A,SUMMERY!AA:AC,3,FALSE)</f>
        <v>Priority-1</v>
      </c>
    </row>
    <row r="1014" spans="1:32" x14ac:dyDescent="0.3">
      <c r="A1014" t="s">
        <v>5150</v>
      </c>
      <c r="C1014" t="s">
        <v>4460</v>
      </c>
      <c r="E1014" t="s">
        <v>4460</v>
      </c>
      <c r="F1014" t="s">
        <v>6769</v>
      </c>
      <c r="G1014" t="s">
        <v>5057</v>
      </c>
      <c r="H1014" t="s">
        <v>132</v>
      </c>
      <c r="I1014" t="s">
        <v>4</v>
      </c>
      <c r="J1014" t="s">
        <v>4276</v>
      </c>
      <c r="K1014" t="s">
        <v>54</v>
      </c>
      <c r="M1014" t="s">
        <v>134</v>
      </c>
      <c r="N1014" t="s">
        <v>135</v>
      </c>
      <c r="Q1014" t="s">
        <v>5058</v>
      </c>
      <c r="U1014" t="s">
        <v>137</v>
      </c>
      <c r="V1014" t="s">
        <v>709</v>
      </c>
      <c r="W1014" s="9">
        <v>46192.478707835646</v>
      </c>
      <c r="X1014" t="s">
        <v>73</v>
      </c>
      <c r="AA1014" t="s">
        <v>5059</v>
      </c>
      <c r="AC1014" t="s">
        <v>24</v>
      </c>
      <c r="AD1014" t="s">
        <v>128</v>
      </c>
      <c r="AE1014" s="97">
        <f>VLOOKUP(A:A,SUMMERY!AA:AC,2,FALSE)</f>
        <v>46220</v>
      </c>
      <c r="AF1014" s="6" t="str">
        <f>VLOOKUP(A:A,SUMMERY!AA:AC,3,FALSE)</f>
        <v>Priority-1</v>
      </c>
    </row>
    <row r="1015" spans="1:32" x14ac:dyDescent="0.3">
      <c r="A1015" t="s">
        <v>5151</v>
      </c>
      <c r="C1015" t="s">
        <v>4462</v>
      </c>
      <c r="E1015" t="s">
        <v>4462</v>
      </c>
      <c r="F1015" t="s">
        <v>6769</v>
      </c>
      <c r="G1015" t="s">
        <v>5057</v>
      </c>
      <c r="H1015" t="s">
        <v>132</v>
      </c>
      <c r="I1015" t="s">
        <v>4</v>
      </c>
      <c r="J1015" t="s">
        <v>4276</v>
      </c>
      <c r="K1015" t="s">
        <v>54</v>
      </c>
      <c r="M1015" t="s">
        <v>134</v>
      </c>
      <c r="N1015" t="s">
        <v>135</v>
      </c>
      <c r="Q1015" t="s">
        <v>5058</v>
      </c>
      <c r="U1015" t="s">
        <v>137</v>
      </c>
      <c r="V1015" t="s">
        <v>709</v>
      </c>
      <c r="W1015" s="9">
        <v>46192.479462928241</v>
      </c>
      <c r="X1015" t="s">
        <v>73</v>
      </c>
      <c r="AA1015" t="s">
        <v>5059</v>
      </c>
      <c r="AC1015" t="s">
        <v>24</v>
      </c>
      <c r="AD1015" t="s">
        <v>128</v>
      </c>
      <c r="AE1015" s="97">
        <f>VLOOKUP(A:A,SUMMERY!AA:AC,2,FALSE)</f>
        <v>46220</v>
      </c>
      <c r="AF1015" s="6" t="str">
        <f>VLOOKUP(A:A,SUMMERY!AA:AC,3,FALSE)</f>
        <v>Priority-1</v>
      </c>
    </row>
    <row r="1016" spans="1:32" x14ac:dyDescent="0.3">
      <c r="A1016" t="s">
        <v>5152</v>
      </c>
      <c r="C1016" t="s">
        <v>4464</v>
      </c>
      <c r="E1016" t="s">
        <v>4464</v>
      </c>
      <c r="F1016" t="s">
        <v>6769</v>
      </c>
      <c r="G1016" t="s">
        <v>5057</v>
      </c>
      <c r="H1016" t="s">
        <v>132</v>
      </c>
      <c r="I1016" t="s">
        <v>4</v>
      </c>
      <c r="J1016" t="s">
        <v>4276</v>
      </c>
      <c r="K1016" t="s">
        <v>54</v>
      </c>
      <c r="M1016" t="s">
        <v>134</v>
      </c>
      <c r="N1016" t="s">
        <v>135</v>
      </c>
      <c r="Q1016" t="s">
        <v>5058</v>
      </c>
      <c r="U1016" t="s">
        <v>137</v>
      </c>
      <c r="V1016" t="s">
        <v>709</v>
      </c>
      <c r="W1016" s="9">
        <v>46192.480811030095</v>
      </c>
      <c r="X1016" t="s">
        <v>73</v>
      </c>
      <c r="AA1016" t="s">
        <v>5059</v>
      </c>
      <c r="AC1016" t="s">
        <v>24</v>
      </c>
      <c r="AD1016" t="s">
        <v>128</v>
      </c>
      <c r="AE1016" s="97">
        <f>VLOOKUP(A:A,SUMMERY!AA:AC,2,FALSE)</f>
        <v>46220</v>
      </c>
      <c r="AF1016" s="6" t="str">
        <f>VLOOKUP(A:A,SUMMERY!AA:AC,3,FALSE)</f>
        <v>Priority-1</v>
      </c>
    </row>
    <row r="1017" spans="1:32" x14ac:dyDescent="0.3">
      <c r="A1017" t="s">
        <v>5183</v>
      </c>
      <c r="C1017" t="s">
        <v>4526</v>
      </c>
      <c r="E1017" t="s">
        <v>4526</v>
      </c>
      <c r="F1017" t="s">
        <v>6769</v>
      </c>
      <c r="G1017" t="s">
        <v>5057</v>
      </c>
      <c r="H1017" t="s">
        <v>132</v>
      </c>
      <c r="I1017" t="s">
        <v>4</v>
      </c>
      <c r="J1017" t="s">
        <v>4276</v>
      </c>
      <c r="K1017" t="s">
        <v>54</v>
      </c>
      <c r="M1017" t="s">
        <v>134</v>
      </c>
      <c r="N1017" t="s">
        <v>135</v>
      </c>
      <c r="Q1017" t="s">
        <v>5058</v>
      </c>
      <c r="U1017" t="s">
        <v>137</v>
      </c>
      <c r="V1017" t="s">
        <v>1967</v>
      </c>
      <c r="W1017" s="9">
        <v>46139.352693668981</v>
      </c>
      <c r="X1017" t="s">
        <v>125</v>
      </c>
      <c r="AA1017" t="s">
        <v>5059</v>
      </c>
      <c r="AC1017" t="s">
        <v>24</v>
      </c>
      <c r="AD1017" t="s">
        <v>131</v>
      </c>
      <c r="AE1017" s="97">
        <f>VLOOKUP(A:A,SUMMERY!AA:AC,2,FALSE)</f>
        <v>46234</v>
      </c>
      <c r="AF1017" s="6" t="str">
        <f>VLOOKUP(A:A,SUMMERY!AA:AC,3,FALSE)</f>
        <v>Priority-2</v>
      </c>
    </row>
    <row r="1018" spans="1:32" x14ac:dyDescent="0.3">
      <c r="A1018" t="s">
        <v>5184</v>
      </c>
      <c r="C1018" t="s">
        <v>4528</v>
      </c>
      <c r="E1018" t="s">
        <v>4528</v>
      </c>
      <c r="F1018" t="s">
        <v>6769</v>
      </c>
      <c r="G1018" t="s">
        <v>5057</v>
      </c>
      <c r="H1018" t="s">
        <v>132</v>
      </c>
      <c r="I1018" t="s">
        <v>4</v>
      </c>
      <c r="J1018" t="s">
        <v>4276</v>
      </c>
      <c r="K1018" t="s">
        <v>54</v>
      </c>
      <c r="M1018" t="s">
        <v>134</v>
      </c>
      <c r="N1018" t="s">
        <v>135</v>
      </c>
      <c r="Q1018" t="s">
        <v>5058</v>
      </c>
      <c r="U1018" t="s">
        <v>137</v>
      </c>
      <c r="V1018" t="s">
        <v>1967</v>
      </c>
      <c r="W1018" s="9">
        <v>46171.369659525466</v>
      </c>
      <c r="X1018" t="s">
        <v>125</v>
      </c>
      <c r="AA1018" t="s">
        <v>5059</v>
      </c>
      <c r="AC1018" t="s">
        <v>24</v>
      </c>
      <c r="AD1018" t="s">
        <v>131</v>
      </c>
      <c r="AE1018" s="97">
        <f>VLOOKUP(A:A,SUMMERY!AA:AC,2,FALSE)</f>
        <v>46234</v>
      </c>
      <c r="AF1018" s="6" t="str">
        <f>VLOOKUP(A:A,SUMMERY!AA:AC,3,FALSE)</f>
        <v>Priority-2</v>
      </c>
    </row>
    <row r="1019" spans="1:32" x14ac:dyDescent="0.3">
      <c r="A1019" t="s">
        <v>5185</v>
      </c>
      <c r="C1019" t="s">
        <v>4530</v>
      </c>
      <c r="E1019" t="s">
        <v>4530</v>
      </c>
      <c r="F1019" t="s">
        <v>6769</v>
      </c>
      <c r="G1019" t="s">
        <v>5057</v>
      </c>
      <c r="H1019" t="s">
        <v>132</v>
      </c>
      <c r="I1019" t="s">
        <v>4</v>
      </c>
      <c r="J1019" t="s">
        <v>4276</v>
      </c>
      <c r="K1019" t="s">
        <v>54</v>
      </c>
      <c r="M1019" t="s">
        <v>134</v>
      </c>
      <c r="N1019" t="s">
        <v>135</v>
      </c>
      <c r="Q1019" t="s">
        <v>5058</v>
      </c>
      <c r="U1019" t="s">
        <v>137</v>
      </c>
      <c r="V1019" t="s">
        <v>1967</v>
      </c>
      <c r="W1019" s="9">
        <v>46116.50980216435</v>
      </c>
      <c r="X1019" t="s">
        <v>125</v>
      </c>
      <c r="AA1019" t="s">
        <v>5059</v>
      </c>
      <c r="AC1019" t="s">
        <v>24</v>
      </c>
      <c r="AD1019" t="s">
        <v>131</v>
      </c>
      <c r="AE1019" s="97">
        <f>VLOOKUP(A:A,SUMMERY!AA:AC,2,FALSE)</f>
        <v>46234</v>
      </c>
      <c r="AF1019" s="6" t="str">
        <f>VLOOKUP(A:A,SUMMERY!AA:AC,3,FALSE)</f>
        <v>Priority-2</v>
      </c>
    </row>
    <row r="1020" spans="1:32" x14ac:dyDescent="0.3">
      <c r="A1020" t="s">
        <v>5186</v>
      </c>
      <c r="C1020" t="s">
        <v>4532</v>
      </c>
      <c r="E1020" t="s">
        <v>4532</v>
      </c>
      <c r="F1020" t="s">
        <v>6769</v>
      </c>
      <c r="G1020" t="s">
        <v>5057</v>
      </c>
      <c r="H1020" t="s">
        <v>132</v>
      </c>
      <c r="I1020" t="s">
        <v>4</v>
      </c>
      <c r="J1020" t="s">
        <v>4276</v>
      </c>
      <c r="K1020" t="s">
        <v>54</v>
      </c>
      <c r="M1020" t="s">
        <v>134</v>
      </c>
      <c r="N1020" t="s">
        <v>135</v>
      </c>
      <c r="Q1020" t="s">
        <v>5058</v>
      </c>
      <c r="U1020" t="s">
        <v>137</v>
      </c>
      <c r="V1020" t="s">
        <v>1259</v>
      </c>
      <c r="W1020" s="9">
        <v>46139.351590011574</v>
      </c>
      <c r="X1020" t="s">
        <v>126</v>
      </c>
      <c r="AA1020" t="s">
        <v>5059</v>
      </c>
      <c r="AC1020" t="s">
        <v>24</v>
      </c>
      <c r="AD1020" t="s">
        <v>131</v>
      </c>
      <c r="AE1020" s="97">
        <f>VLOOKUP(A:A,SUMMERY!AA:AC,2,FALSE)</f>
        <v>46234</v>
      </c>
      <c r="AF1020" s="6" t="str">
        <f>VLOOKUP(A:A,SUMMERY!AA:AC,3,FALSE)</f>
        <v>Priority-2</v>
      </c>
    </row>
    <row r="1021" spans="1:32" x14ac:dyDescent="0.3">
      <c r="A1021" t="s">
        <v>5187</v>
      </c>
      <c r="C1021" t="s">
        <v>4534</v>
      </c>
      <c r="E1021" t="s">
        <v>4534</v>
      </c>
      <c r="F1021" t="s">
        <v>6769</v>
      </c>
      <c r="G1021" t="s">
        <v>5057</v>
      </c>
      <c r="H1021" t="s">
        <v>132</v>
      </c>
      <c r="I1021" t="s">
        <v>4</v>
      </c>
      <c r="J1021" t="s">
        <v>4276</v>
      </c>
      <c r="K1021" t="s">
        <v>54</v>
      </c>
      <c r="M1021" t="s">
        <v>134</v>
      </c>
      <c r="N1021" t="s">
        <v>135</v>
      </c>
      <c r="Q1021" t="s">
        <v>5058</v>
      </c>
      <c r="U1021" t="s">
        <v>137</v>
      </c>
      <c r="V1021" t="s">
        <v>1259</v>
      </c>
      <c r="X1021" t="s">
        <v>126</v>
      </c>
      <c r="AC1021" t="s">
        <v>138</v>
      </c>
      <c r="AD1021" t="s">
        <v>131</v>
      </c>
      <c r="AE1021" s="97">
        <f>VLOOKUP(A:A,SUMMERY!AA:AC,2,FALSE)</f>
        <v>46234</v>
      </c>
      <c r="AF1021" s="6" t="str">
        <f>VLOOKUP(A:A,SUMMERY!AA:AC,3,FALSE)</f>
        <v>Priority-2</v>
      </c>
    </row>
    <row r="1022" spans="1:32" x14ac:dyDescent="0.3">
      <c r="A1022" t="s">
        <v>5188</v>
      </c>
      <c r="C1022" t="s">
        <v>4536</v>
      </c>
      <c r="E1022" t="s">
        <v>4536</v>
      </c>
      <c r="F1022" t="s">
        <v>6769</v>
      </c>
      <c r="G1022" t="s">
        <v>5057</v>
      </c>
      <c r="H1022" t="s">
        <v>132</v>
      </c>
      <c r="I1022" t="s">
        <v>4</v>
      </c>
      <c r="J1022" t="s">
        <v>4276</v>
      </c>
      <c r="K1022" t="s">
        <v>54</v>
      </c>
      <c r="M1022" t="s">
        <v>134</v>
      </c>
      <c r="N1022" t="s">
        <v>135</v>
      </c>
      <c r="Q1022" t="s">
        <v>5058</v>
      </c>
      <c r="U1022" t="s">
        <v>137</v>
      </c>
      <c r="V1022" t="s">
        <v>1263</v>
      </c>
      <c r="X1022" t="s">
        <v>69</v>
      </c>
      <c r="AA1022" t="s">
        <v>5059</v>
      </c>
      <c r="AC1022" t="s">
        <v>3733</v>
      </c>
      <c r="AD1022" t="s">
        <v>128</v>
      </c>
      <c r="AE1022" s="97">
        <f>VLOOKUP(A:A,SUMMERY!AA:AC,2,FALSE)</f>
        <v>46224</v>
      </c>
      <c r="AF1022" s="6" t="str">
        <f>VLOOKUP(A:A,SUMMERY!AA:AC,3,FALSE)</f>
        <v>Priority-1</v>
      </c>
    </row>
    <row r="1023" spans="1:32" x14ac:dyDescent="0.3">
      <c r="A1023" t="s">
        <v>5189</v>
      </c>
      <c r="C1023" t="s">
        <v>4538</v>
      </c>
      <c r="E1023" t="s">
        <v>4538</v>
      </c>
      <c r="F1023" t="s">
        <v>6769</v>
      </c>
      <c r="G1023" t="s">
        <v>5057</v>
      </c>
      <c r="H1023" t="s">
        <v>132</v>
      </c>
      <c r="I1023" t="s">
        <v>4</v>
      </c>
      <c r="J1023" t="s">
        <v>4276</v>
      </c>
      <c r="K1023" t="s">
        <v>54</v>
      </c>
      <c r="M1023" t="s">
        <v>134</v>
      </c>
      <c r="N1023" t="s">
        <v>135</v>
      </c>
      <c r="Q1023" t="s">
        <v>5058</v>
      </c>
      <c r="U1023" t="s">
        <v>137</v>
      </c>
      <c r="V1023" t="s">
        <v>1263</v>
      </c>
      <c r="W1023" s="9">
        <v>46140.303949155095</v>
      </c>
      <c r="X1023" t="s">
        <v>69</v>
      </c>
      <c r="AA1023" t="s">
        <v>5059</v>
      </c>
      <c r="AC1023" t="s">
        <v>24</v>
      </c>
      <c r="AD1023" t="s">
        <v>128</v>
      </c>
      <c r="AE1023" s="97">
        <f>VLOOKUP(A:A,SUMMERY!AA:AC,2,FALSE)</f>
        <v>46224</v>
      </c>
      <c r="AF1023" s="6" t="str">
        <f>VLOOKUP(A:A,SUMMERY!AA:AC,3,FALSE)</f>
        <v>Priority-1</v>
      </c>
    </row>
    <row r="1024" spans="1:32" x14ac:dyDescent="0.3">
      <c r="A1024" t="s">
        <v>5190</v>
      </c>
      <c r="C1024" t="s">
        <v>4540</v>
      </c>
      <c r="E1024" t="s">
        <v>4540</v>
      </c>
      <c r="F1024" t="s">
        <v>6769</v>
      </c>
      <c r="G1024" t="s">
        <v>5057</v>
      </c>
      <c r="H1024" t="s">
        <v>132</v>
      </c>
      <c r="I1024" t="s">
        <v>4</v>
      </c>
      <c r="J1024" t="s">
        <v>4276</v>
      </c>
      <c r="K1024" t="s">
        <v>54</v>
      </c>
      <c r="M1024" t="s">
        <v>134</v>
      </c>
      <c r="N1024" t="s">
        <v>135</v>
      </c>
      <c r="Q1024" t="s">
        <v>5058</v>
      </c>
      <c r="U1024" t="s">
        <v>137</v>
      </c>
      <c r="V1024" t="s">
        <v>1263</v>
      </c>
      <c r="W1024" s="9">
        <v>46147.520051701387</v>
      </c>
      <c r="X1024" t="s">
        <v>69</v>
      </c>
      <c r="AA1024" t="s">
        <v>5059</v>
      </c>
      <c r="AC1024" t="s">
        <v>24</v>
      </c>
      <c r="AD1024" t="s">
        <v>128</v>
      </c>
      <c r="AE1024" s="97">
        <f>VLOOKUP(A:A,SUMMERY!AA:AC,2,FALSE)</f>
        <v>46224</v>
      </c>
      <c r="AF1024" s="6" t="str">
        <f>VLOOKUP(A:A,SUMMERY!AA:AC,3,FALSE)</f>
        <v>Priority-1</v>
      </c>
    </row>
    <row r="1025" spans="1:32" x14ac:dyDescent="0.3">
      <c r="A1025" t="s">
        <v>5191</v>
      </c>
      <c r="C1025" t="s">
        <v>4542</v>
      </c>
      <c r="E1025" t="s">
        <v>4542</v>
      </c>
      <c r="F1025" t="s">
        <v>6769</v>
      </c>
      <c r="G1025" t="s">
        <v>5057</v>
      </c>
      <c r="H1025" t="s">
        <v>132</v>
      </c>
      <c r="I1025" t="s">
        <v>4</v>
      </c>
      <c r="J1025" t="s">
        <v>4276</v>
      </c>
      <c r="K1025" t="s">
        <v>54</v>
      </c>
      <c r="M1025" t="s">
        <v>134</v>
      </c>
      <c r="N1025" t="s">
        <v>135</v>
      </c>
      <c r="Q1025" t="s">
        <v>5058</v>
      </c>
      <c r="U1025" t="s">
        <v>137</v>
      </c>
      <c r="V1025" t="s">
        <v>1263</v>
      </c>
      <c r="W1025" s="9">
        <v>46167.740453391205</v>
      </c>
      <c r="X1025" t="s">
        <v>69</v>
      </c>
      <c r="AA1025" t="s">
        <v>5059</v>
      </c>
      <c r="AC1025" t="s">
        <v>24</v>
      </c>
      <c r="AD1025" t="s">
        <v>128</v>
      </c>
      <c r="AE1025" s="97">
        <f>VLOOKUP(A:A,SUMMERY!AA:AC,2,FALSE)</f>
        <v>46224</v>
      </c>
      <c r="AF1025" s="6" t="str">
        <f>VLOOKUP(A:A,SUMMERY!AA:AC,3,FALSE)</f>
        <v>Priority-1</v>
      </c>
    </row>
    <row r="1026" spans="1:32" x14ac:dyDescent="0.3">
      <c r="A1026" t="s">
        <v>5192</v>
      </c>
      <c r="C1026" t="s">
        <v>4544</v>
      </c>
      <c r="E1026" t="s">
        <v>4544</v>
      </c>
      <c r="F1026" t="s">
        <v>6769</v>
      </c>
      <c r="G1026" t="s">
        <v>5057</v>
      </c>
      <c r="H1026" t="s">
        <v>132</v>
      </c>
      <c r="I1026" t="s">
        <v>4</v>
      </c>
      <c r="J1026" t="s">
        <v>4276</v>
      </c>
      <c r="K1026" t="s">
        <v>54</v>
      </c>
      <c r="M1026" t="s">
        <v>134</v>
      </c>
      <c r="N1026" t="s">
        <v>135</v>
      </c>
      <c r="Q1026" t="s">
        <v>5058</v>
      </c>
      <c r="U1026" t="s">
        <v>137</v>
      </c>
      <c r="V1026" t="s">
        <v>1263</v>
      </c>
      <c r="W1026" s="9">
        <v>46176.200117858796</v>
      </c>
      <c r="X1026" t="s">
        <v>69</v>
      </c>
      <c r="AA1026" t="s">
        <v>5059</v>
      </c>
      <c r="AC1026" t="s">
        <v>24</v>
      </c>
      <c r="AD1026" t="s">
        <v>128</v>
      </c>
      <c r="AE1026" s="97">
        <f>VLOOKUP(A:A,SUMMERY!AA:AC,2,FALSE)</f>
        <v>46224</v>
      </c>
      <c r="AF1026" s="6" t="str">
        <f>VLOOKUP(A:A,SUMMERY!AA:AC,3,FALSE)</f>
        <v>Priority-1</v>
      </c>
    </row>
    <row r="1027" spans="1:32" x14ac:dyDescent="0.3">
      <c r="A1027" t="s">
        <v>5193</v>
      </c>
      <c r="C1027" t="s">
        <v>4546</v>
      </c>
      <c r="E1027" t="s">
        <v>4546</v>
      </c>
      <c r="F1027" t="s">
        <v>6769</v>
      </c>
      <c r="G1027" t="s">
        <v>5057</v>
      </c>
      <c r="H1027" t="s">
        <v>132</v>
      </c>
      <c r="I1027" t="s">
        <v>4</v>
      </c>
      <c r="J1027" t="s">
        <v>4276</v>
      </c>
      <c r="K1027" t="s">
        <v>54</v>
      </c>
      <c r="M1027" t="s">
        <v>134</v>
      </c>
      <c r="N1027" t="s">
        <v>135</v>
      </c>
      <c r="Q1027" t="s">
        <v>5058</v>
      </c>
      <c r="U1027" t="s">
        <v>137</v>
      </c>
      <c r="V1027" t="s">
        <v>1190</v>
      </c>
      <c r="W1027" s="9">
        <v>46167.757462071757</v>
      </c>
      <c r="X1027" t="s">
        <v>67</v>
      </c>
      <c r="AA1027" t="s">
        <v>5059</v>
      </c>
      <c r="AC1027" t="s">
        <v>24</v>
      </c>
      <c r="AD1027" t="s">
        <v>128</v>
      </c>
      <c r="AE1027" s="97">
        <f>VLOOKUP(A:A,SUMMERY!AA:AC,2,FALSE)</f>
        <v>46220</v>
      </c>
      <c r="AF1027" s="6" t="str">
        <f>VLOOKUP(A:A,SUMMERY!AA:AC,3,FALSE)</f>
        <v>Priority-1</v>
      </c>
    </row>
    <row r="1028" spans="1:32" x14ac:dyDescent="0.3">
      <c r="A1028" t="s">
        <v>5194</v>
      </c>
      <c r="C1028" t="s">
        <v>4548</v>
      </c>
      <c r="E1028" t="s">
        <v>4548</v>
      </c>
      <c r="F1028" t="s">
        <v>6769</v>
      </c>
      <c r="G1028" t="s">
        <v>5057</v>
      </c>
      <c r="H1028" t="s">
        <v>132</v>
      </c>
      <c r="I1028" t="s">
        <v>4</v>
      </c>
      <c r="J1028" t="s">
        <v>4276</v>
      </c>
      <c r="K1028" t="s">
        <v>54</v>
      </c>
      <c r="M1028" t="s">
        <v>134</v>
      </c>
      <c r="N1028" t="s">
        <v>135</v>
      </c>
      <c r="Q1028" t="s">
        <v>5058</v>
      </c>
      <c r="U1028" t="s">
        <v>137</v>
      </c>
      <c r="V1028" t="s">
        <v>1194</v>
      </c>
      <c r="W1028" s="9">
        <v>46167.758997488425</v>
      </c>
      <c r="X1028" t="s">
        <v>75</v>
      </c>
      <c r="AA1028" t="s">
        <v>5059</v>
      </c>
      <c r="AC1028" t="s">
        <v>24</v>
      </c>
      <c r="AD1028" t="s">
        <v>128</v>
      </c>
      <c r="AE1028" s="97">
        <f>VLOOKUP(A:A,SUMMERY!AA:AC,2,FALSE)</f>
        <v>46220</v>
      </c>
      <c r="AF1028" s="6" t="str">
        <f>VLOOKUP(A:A,SUMMERY!AA:AC,3,FALSE)</f>
        <v>Priority-1</v>
      </c>
    </row>
    <row r="1029" spans="1:32" x14ac:dyDescent="0.3">
      <c r="A1029" t="s">
        <v>5203</v>
      </c>
      <c r="B1029" t="s">
        <v>5204</v>
      </c>
      <c r="G1029" t="s">
        <v>5200</v>
      </c>
      <c r="H1029" t="s">
        <v>132</v>
      </c>
      <c r="I1029" t="s">
        <v>4</v>
      </c>
      <c r="J1029" t="s">
        <v>4276</v>
      </c>
      <c r="K1029" t="s">
        <v>54</v>
      </c>
      <c r="L1029" t="s">
        <v>5201</v>
      </c>
      <c r="M1029" t="s">
        <v>134</v>
      </c>
      <c r="N1029" t="s">
        <v>135</v>
      </c>
      <c r="Q1029" t="s">
        <v>5202</v>
      </c>
      <c r="U1029" t="s">
        <v>137</v>
      </c>
      <c r="V1029" t="s">
        <v>147</v>
      </c>
      <c r="X1029" t="s">
        <v>70</v>
      </c>
      <c r="AA1029" t="s">
        <v>5201</v>
      </c>
      <c r="AB1029" t="s">
        <v>4</v>
      </c>
      <c r="AC1029" t="s">
        <v>138</v>
      </c>
      <c r="AD1029" t="s">
        <v>128</v>
      </c>
      <c r="AE1029" s="97">
        <f>VLOOKUP(A:A,SUMMERY!AA:AC,2,FALSE)</f>
        <v>46220</v>
      </c>
      <c r="AF1029" s="6" t="str">
        <f>VLOOKUP(A:A,SUMMERY!AA:AC,3,FALSE)</f>
        <v>Priority-1</v>
      </c>
    </row>
    <row r="1030" spans="1:32" x14ac:dyDescent="0.3">
      <c r="A1030" t="s">
        <v>5205</v>
      </c>
      <c r="B1030" t="s">
        <v>5206</v>
      </c>
      <c r="G1030" t="s">
        <v>5200</v>
      </c>
      <c r="H1030" t="s">
        <v>132</v>
      </c>
      <c r="I1030" t="s">
        <v>4</v>
      </c>
      <c r="J1030" t="s">
        <v>4276</v>
      </c>
      <c r="K1030" t="s">
        <v>54</v>
      </c>
      <c r="L1030" t="s">
        <v>5201</v>
      </c>
      <c r="M1030" t="s">
        <v>134</v>
      </c>
      <c r="N1030" t="s">
        <v>135</v>
      </c>
      <c r="Q1030" t="s">
        <v>5202</v>
      </c>
      <c r="U1030" t="s">
        <v>137</v>
      </c>
      <c r="V1030" t="s">
        <v>150</v>
      </c>
      <c r="X1030" t="s">
        <v>76</v>
      </c>
      <c r="AA1030" t="s">
        <v>5201</v>
      </c>
      <c r="AB1030" t="s">
        <v>4</v>
      </c>
      <c r="AC1030" t="s">
        <v>138</v>
      </c>
      <c r="AD1030" t="s">
        <v>128</v>
      </c>
      <c r="AE1030" s="97">
        <f>VLOOKUP(A:A,SUMMERY!AA:AC,2,FALSE)</f>
        <v>46233</v>
      </c>
      <c r="AF1030" s="6" t="str">
        <f>VLOOKUP(A:A,SUMMERY!AA:AC,3,FALSE)</f>
        <v>Priority-1</v>
      </c>
    </row>
    <row r="1031" spans="1:32" x14ac:dyDescent="0.3">
      <c r="A1031" t="s">
        <v>5217</v>
      </c>
      <c r="B1031" t="s">
        <v>5218</v>
      </c>
      <c r="G1031" t="s">
        <v>5200</v>
      </c>
      <c r="H1031" t="s">
        <v>132</v>
      </c>
      <c r="I1031" t="s">
        <v>4</v>
      </c>
      <c r="J1031" t="s">
        <v>4276</v>
      </c>
      <c r="K1031" t="s">
        <v>54</v>
      </c>
      <c r="L1031" t="s">
        <v>5201</v>
      </c>
      <c r="M1031" t="s">
        <v>134</v>
      </c>
      <c r="N1031" t="s">
        <v>135</v>
      </c>
      <c r="Q1031" t="s">
        <v>5202</v>
      </c>
      <c r="U1031" t="s">
        <v>137</v>
      </c>
      <c r="V1031" t="s">
        <v>371</v>
      </c>
      <c r="X1031" t="s">
        <v>57</v>
      </c>
      <c r="AA1031" t="s">
        <v>5201</v>
      </c>
      <c r="AB1031" t="s">
        <v>4</v>
      </c>
      <c r="AC1031" t="s">
        <v>138</v>
      </c>
      <c r="AD1031" t="s">
        <v>128</v>
      </c>
      <c r="AE1031" s="97">
        <f>VLOOKUP(A:A,SUMMERY!AA:AC,2,FALSE)</f>
        <v>46220</v>
      </c>
      <c r="AF1031" s="6" t="str">
        <f>VLOOKUP(A:A,SUMMERY!AA:AC,3,FALSE)</f>
        <v>Priority-1</v>
      </c>
    </row>
    <row r="1032" spans="1:32" x14ac:dyDescent="0.3">
      <c r="A1032" t="s">
        <v>5219</v>
      </c>
      <c r="B1032" t="s">
        <v>5220</v>
      </c>
      <c r="G1032" t="s">
        <v>5200</v>
      </c>
      <c r="H1032" t="s">
        <v>132</v>
      </c>
      <c r="I1032" t="s">
        <v>4</v>
      </c>
      <c r="J1032" t="s">
        <v>4276</v>
      </c>
      <c r="K1032" t="s">
        <v>54</v>
      </c>
      <c r="L1032" t="s">
        <v>5201</v>
      </c>
      <c r="M1032" t="s">
        <v>134</v>
      </c>
      <c r="N1032" t="s">
        <v>135</v>
      </c>
      <c r="Q1032" t="s">
        <v>5202</v>
      </c>
      <c r="U1032" t="s">
        <v>137</v>
      </c>
      <c r="V1032" t="s">
        <v>362</v>
      </c>
      <c r="X1032" t="s">
        <v>58</v>
      </c>
      <c r="AA1032" t="s">
        <v>5201</v>
      </c>
      <c r="AB1032" t="s">
        <v>4</v>
      </c>
      <c r="AC1032" t="s">
        <v>138</v>
      </c>
      <c r="AD1032" t="s">
        <v>128</v>
      </c>
      <c r="AE1032" s="97">
        <f>VLOOKUP(A:A,SUMMERY!AA:AC,2,FALSE)</f>
        <v>46220</v>
      </c>
      <c r="AF1032" s="6" t="str">
        <f>VLOOKUP(A:A,SUMMERY!AA:AC,3,FALSE)</f>
        <v>Priority-1</v>
      </c>
    </row>
    <row r="1033" spans="1:32" x14ac:dyDescent="0.3">
      <c r="A1033" t="s">
        <v>5221</v>
      </c>
      <c r="B1033" t="s">
        <v>5222</v>
      </c>
      <c r="G1033" t="s">
        <v>5200</v>
      </c>
      <c r="H1033" t="s">
        <v>132</v>
      </c>
      <c r="I1033" t="s">
        <v>4</v>
      </c>
      <c r="J1033" t="s">
        <v>4276</v>
      </c>
      <c r="K1033" t="s">
        <v>54</v>
      </c>
      <c r="L1033" t="s">
        <v>5201</v>
      </c>
      <c r="M1033" t="s">
        <v>134</v>
      </c>
      <c r="N1033" t="s">
        <v>135</v>
      </c>
      <c r="Q1033" t="s">
        <v>5202</v>
      </c>
      <c r="U1033" t="s">
        <v>137</v>
      </c>
      <c r="V1033" t="s">
        <v>640</v>
      </c>
      <c r="X1033" t="s">
        <v>66</v>
      </c>
      <c r="AA1033" t="s">
        <v>5201</v>
      </c>
      <c r="AB1033" t="s">
        <v>4</v>
      </c>
      <c r="AC1033" t="s">
        <v>138</v>
      </c>
      <c r="AD1033" t="s">
        <v>128</v>
      </c>
      <c r="AE1033" s="97">
        <f>VLOOKUP(A:A,SUMMERY!AA:AC,2,FALSE)</f>
        <v>46220</v>
      </c>
      <c r="AF1033" s="6" t="str">
        <f>VLOOKUP(A:A,SUMMERY!AA:AC,3,FALSE)</f>
        <v>Priority-1</v>
      </c>
    </row>
    <row r="1034" spans="1:32" x14ac:dyDescent="0.3">
      <c r="A1034" t="s">
        <v>5223</v>
      </c>
      <c r="B1034" t="s">
        <v>5224</v>
      </c>
      <c r="G1034" t="s">
        <v>5200</v>
      </c>
      <c r="H1034" t="s">
        <v>132</v>
      </c>
      <c r="I1034" t="s">
        <v>4</v>
      </c>
      <c r="J1034" t="s">
        <v>4276</v>
      </c>
      <c r="K1034" t="s">
        <v>54</v>
      </c>
      <c r="L1034" t="s">
        <v>5201</v>
      </c>
      <c r="M1034" t="s">
        <v>134</v>
      </c>
      <c r="N1034" t="s">
        <v>135</v>
      </c>
      <c r="Q1034" t="s">
        <v>5202</v>
      </c>
      <c r="U1034" t="s">
        <v>137</v>
      </c>
      <c r="V1034" t="s">
        <v>646</v>
      </c>
      <c r="X1034" t="s">
        <v>74</v>
      </c>
      <c r="AA1034" t="s">
        <v>5201</v>
      </c>
      <c r="AB1034" t="s">
        <v>4</v>
      </c>
      <c r="AC1034" t="s">
        <v>138</v>
      </c>
      <c r="AD1034" t="s">
        <v>128</v>
      </c>
      <c r="AE1034" s="97">
        <f>VLOOKUP(A:A,SUMMERY!AA:AC,2,FALSE)</f>
        <v>46220</v>
      </c>
      <c r="AF1034" s="6" t="str">
        <f>VLOOKUP(A:A,SUMMERY!AA:AC,3,FALSE)</f>
        <v>Priority-1</v>
      </c>
    </row>
    <row r="1035" spans="1:32" x14ac:dyDescent="0.3">
      <c r="A1035" t="s">
        <v>5235</v>
      </c>
      <c r="B1035" t="s">
        <v>5236</v>
      </c>
      <c r="G1035" t="s">
        <v>5200</v>
      </c>
      <c r="H1035" t="s">
        <v>132</v>
      </c>
      <c r="I1035" t="s">
        <v>4</v>
      </c>
      <c r="J1035" t="s">
        <v>4276</v>
      </c>
      <c r="K1035" t="s">
        <v>54</v>
      </c>
      <c r="L1035" t="s">
        <v>5201</v>
      </c>
      <c r="M1035" t="s">
        <v>134</v>
      </c>
      <c r="N1035" t="s">
        <v>135</v>
      </c>
      <c r="Q1035" t="s">
        <v>5202</v>
      </c>
      <c r="U1035" t="s">
        <v>137</v>
      </c>
      <c r="V1035" t="s">
        <v>1190</v>
      </c>
      <c r="X1035" t="s">
        <v>67</v>
      </c>
      <c r="AA1035" t="s">
        <v>5201</v>
      </c>
      <c r="AB1035" t="s">
        <v>4</v>
      </c>
      <c r="AC1035" t="s">
        <v>138</v>
      </c>
      <c r="AD1035" t="s">
        <v>128</v>
      </c>
      <c r="AE1035" s="97">
        <f>VLOOKUP(A:A,SUMMERY!AA:AC,2,FALSE)</f>
        <v>46220</v>
      </c>
      <c r="AF1035" s="6" t="str">
        <f>VLOOKUP(A:A,SUMMERY!AA:AC,3,FALSE)</f>
        <v>Priority-1</v>
      </c>
    </row>
    <row r="1036" spans="1:32" x14ac:dyDescent="0.3">
      <c r="A1036" t="s">
        <v>5237</v>
      </c>
      <c r="B1036" t="s">
        <v>5238</v>
      </c>
      <c r="G1036" t="s">
        <v>5200</v>
      </c>
      <c r="H1036" t="s">
        <v>132</v>
      </c>
      <c r="I1036" t="s">
        <v>4</v>
      </c>
      <c r="J1036" t="s">
        <v>4276</v>
      </c>
      <c r="K1036" t="s">
        <v>54</v>
      </c>
      <c r="L1036" t="s">
        <v>5201</v>
      </c>
      <c r="M1036" t="s">
        <v>134</v>
      </c>
      <c r="N1036" t="s">
        <v>135</v>
      </c>
      <c r="Q1036" t="s">
        <v>5202</v>
      </c>
      <c r="U1036" t="s">
        <v>137</v>
      </c>
      <c r="V1036" t="s">
        <v>1194</v>
      </c>
      <c r="X1036" t="s">
        <v>75</v>
      </c>
      <c r="AA1036" t="s">
        <v>5201</v>
      </c>
      <c r="AB1036" t="s">
        <v>4</v>
      </c>
      <c r="AC1036" t="s">
        <v>138</v>
      </c>
      <c r="AD1036" t="s">
        <v>128</v>
      </c>
      <c r="AE1036" s="97">
        <f>VLOOKUP(A:A,SUMMERY!AA:AC,2,FALSE)</f>
        <v>46220</v>
      </c>
      <c r="AF1036" s="6" t="str">
        <f>VLOOKUP(A:A,SUMMERY!AA:AC,3,FALSE)</f>
        <v>Priority-1</v>
      </c>
    </row>
    <row r="1037" spans="1:32" x14ac:dyDescent="0.3">
      <c r="A1037" t="s">
        <v>5249</v>
      </c>
      <c r="B1037" t="s">
        <v>5250</v>
      </c>
      <c r="G1037" t="s">
        <v>5200</v>
      </c>
      <c r="H1037" t="s">
        <v>132</v>
      </c>
      <c r="I1037" t="s">
        <v>4</v>
      </c>
      <c r="J1037" t="s">
        <v>4276</v>
      </c>
      <c r="K1037" t="s">
        <v>54</v>
      </c>
      <c r="L1037" t="s">
        <v>5201</v>
      </c>
      <c r="M1037" t="s">
        <v>134</v>
      </c>
      <c r="N1037" t="s">
        <v>135</v>
      </c>
      <c r="Q1037" t="s">
        <v>5202</v>
      </c>
      <c r="U1037" t="s">
        <v>137</v>
      </c>
      <c r="V1037" t="s">
        <v>403</v>
      </c>
      <c r="X1037" t="s">
        <v>68</v>
      </c>
      <c r="AA1037" t="s">
        <v>5201</v>
      </c>
      <c r="AB1037" t="s">
        <v>4</v>
      </c>
      <c r="AC1037" t="s">
        <v>138</v>
      </c>
      <c r="AD1037" t="s">
        <v>128</v>
      </c>
      <c r="AE1037" s="97">
        <f>VLOOKUP(A:A,SUMMERY!AA:AC,2,FALSE)</f>
        <v>46233</v>
      </c>
      <c r="AF1037" s="6" t="str">
        <f>VLOOKUP(A:A,SUMMERY!AA:AC,3,FALSE)</f>
        <v>Priority-1</v>
      </c>
    </row>
    <row r="1038" spans="1:32" x14ac:dyDescent="0.3">
      <c r="A1038" t="s">
        <v>5251</v>
      </c>
      <c r="B1038" t="s">
        <v>5252</v>
      </c>
      <c r="G1038" t="s">
        <v>5200</v>
      </c>
      <c r="H1038" t="s">
        <v>132</v>
      </c>
      <c r="I1038" t="s">
        <v>4</v>
      </c>
      <c r="J1038" t="s">
        <v>4276</v>
      </c>
      <c r="K1038" t="s">
        <v>54</v>
      </c>
      <c r="L1038" t="s">
        <v>5201</v>
      </c>
      <c r="M1038" t="s">
        <v>134</v>
      </c>
      <c r="N1038" t="s">
        <v>135</v>
      </c>
      <c r="Q1038" t="s">
        <v>5202</v>
      </c>
      <c r="U1038" t="s">
        <v>137</v>
      </c>
      <c r="V1038" t="s">
        <v>407</v>
      </c>
      <c r="X1038" t="s">
        <v>77</v>
      </c>
      <c r="AA1038" t="s">
        <v>5201</v>
      </c>
      <c r="AB1038" t="s">
        <v>4</v>
      </c>
      <c r="AC1038" t="s">
        <v>138</v>
      </c>
      <c r="AD1038" t="s">
        <v>128</v>
      </c>
      <c r="AE1038" s="97">
        <f>VLOOKUP(A:A,SUMMERY!AA:AC,2,FALSE)</f>
        <v>46233</v>
      </c>
      <c r="AF1038" s="6" t="str">
        <f>VLOOKUP(A:A,SUMMERY!AA:AC,3,FALSE)</f>
        <v>Priority-1</v>
      </c>
    </row>
    <row r="1039" spans="1:32" x14ac:dyDescent="0.3">
      <c r="A1039" t="s">
        <v>5263</v>
      </c>
      <c r="B1039" t="s">
        <v>5264</v>
      </c>
      <c r="G1039" t="s">
        <v>5200</v>
      </c>
      <c r="H1039" t="s">
        <v>132</v>
      </c>
      <c r="I1039" t="s">
        <v>4</v>
      </c>
      <c r="J1039" t="s">
        <v>4276</v>
      </c>
      <c r="K1039" t="s">
        <v>54</v>
      </c>
      <c r="L1039" t="s">
        <v>5201</v>
      </c>
      <c r="M1039" t="s">
        <v>134</v>
      </c>
      <c r="N1039" t="s">
        <v>135</v>
      </c>
      <c r="Q1039" t="s">
        <v>5202</v>
      </c>
      <c r="U1039" t="s">
        <v>137</v>
      </c>
      <c r="V1039" t="s">
        <v>1279</v>
      </c>
      <c r="X1039" t="s">
        <v>71</v>
      </c>
      <c r="AA1039" t="s">
        <v>5201</v>
      </c>
      <c r="AB1039" t="s">
        <v>4</v>
      </c>
      <c r="AC1039" t="s">
        <v>138</v>
      </c>
      <c r="AD1039" t="s">
        <v>128</v>
      </c>
      <c r="AE1039" s="97">
        <f>VLOOKUP(A:A,SUMMERY!AA:AC,2,FALSE)</f>
        <v>46233</v>
      </c>
      <c r="AF1039" s="6" t="str">
        <f>VLOOKUP(A:A,SUMMERY!AA:AC,3,FALSE)</f>
        <v>Priority-1</v>
      </c>
    </row>
    <row r="1040" spans="1:32" x14ac:dyDescent="0.3">
      <c r="A1040" t="s">
        <v>5265</v>
      </c>
      <c r="B1040" t="s">
        <v>5266</v>
      </c>
      <c r="G1040" t="s">
        <v>5200</v>
      </c>
      <c r="H1040" t="s">
        <v>132</v>
      </c>
      <c r="I1040" t="s">
        <v>4</v>
      </c>
      <c r="J1040" t="s">
        <v>4276</v>
      </c>
      <c r="K1040" t="s">
        <v>54</v>
      </c>
      <c r="L1040" t="s">
        <v>5201</v>
      </c>
      <c r="M1040" t="s">
        <v>134</v>
      </c>
      <c r="N1040" t="s">
        <v>135</v>
      </c>
      <c r="Q1040" t="s">
        <v>5202</v>
      </c>
      <c r="U1040" t="s">
        <v>137</v>
      </c>
      <c r="V1040" t="s">
        <v>1283</v>
      </c>
      <c r="X1040" t="s">
        <v>78</v>
      </c>
      <c r="AA1040" t="s">
        <v>5201</v>
      </c>
      <c r="AB1040" t="s">
        <v>4</v>
      </c>
      <c r="AC1040" t="s">
        <v>138</v>
      </c>
      <c r="AD1040" t="s">
        <v>128</v>
      </c>
      <c r="AE1040" s="97">
        <f>VLOOKUP(A:A,SUMMERY!AA:AC,2,FALSE)</f>
        <v>46234</v>
      </c>
      <c r="AF1040" s="6" t="str">
        <f>VLOOKUP(A:A,SUMMERY!AA:AC,3,FALSE)</f>
        <v>Priority-1</v>
      </c>
    </row>
    <row r="1041" spans="1:32" x14ac:dyDescent="0.3">
      <c r="A1041" t="s">
        <v>5277</v>
      </c>
      <c r="B1041" t="s">
        <v>5278</v>
      </c>
      <c r="G1041" t="s">
        <v>5200</v>
      </c>
      <c r="H1041" t="s">
        <v>132</v>
      </c>
      <c r="I1041" t="s">
        <v>4</v>
      </c>
      <c r="J1041" t="s">
        <v>4276</v>
      </c>
      <c r="K1041" t="s">
        <v>54</v>
      </c>
      <c r="L1041" t="s">
        <v>5201</v>
      </c>
      <c r="M1041" t="s">
        <v>134</v>
      </c>
      <c r="N1041" t="s">
        <v>135</v>
      </c>
      <c r="Q1041" t="s">
        <v>5202</v>
      </c>
      <c r="U1041" t="s">
        <v>137</v>
      </c>
      <c r="V1041" t="s">
        <v>703</v>
      </c>
      <c r="X1041" t="s">
        <v>62</v>
      </c>
      <c r="AA1041" t="s">
        <v>5201</v>
      </c>
      <c r="AB1041" t="s">
        <v>4</v>
      </c>
      <c r="AC1041" t="s">
        <v>138</v>
      </c>
      <c r="AD1041" t="s">
        <v>128</v>
      </c>
      <c r="AE1041" s="97">
        <f>VLOOKUP(A:A,SUMMERY!AA:AC,2,FALSE)</f>
        <v>46220</v>
      </c>
      <c r="AF1041" s="6" t="str">
        <f>VLOOKUP(A:A,SUMMERY!AA:AC,3,FALSE)</f>
        <v>Priority-1</v>
      </c>
    </row>
    <row r="1042" spans="1:32" x14ac:dyDescent="0.3">
      <c r="A1042" t="s">
        <v>5279</v>
      </c>
      <c r="B1042" t="s">
        <v>5280</v>
      </c>
      <c r="G1042" t="s">
        <v>5200</v>
      </c>
      <c r="H1042" t="s">
        <v>132</v>
      </c>
      <c r="I1042" t="s">
        <v>4</v>
      </c>
      <c r="J1042" t="s">
        <v>4276</v>
      </c>
      <c r="K1042" t="s">
        <v>54</v>
      </c>
      <c r="L1042" t="s">
        <v>5201</v>
      </c>
      <c r="M1042" t="s">
        <v>134</v>
      </c>
      <c r="N1042" t="s">
        <v>135</v>
      </c>
      <c r="Q1042" t="s">
        <v>5202</v>
      </c>
      <c r="U1042" t="s">
        <v>137</v>
      </c>
      <c r="V1042" t="s">
        <v>709</v>
      </c>
      <c r="X1042" t="s">
        <v>73</v>
      </c>
      <c r="AA1042" t="s">
        <v>5201</v>
      </c>
      <c r="AB1042" t="s">
        <v>4</v>
      </c>
      <c r="AC1042" t="s">
        <v>138</v>
      </c>
      <c r="AD1042" t="s">
        <v>128</v>
      </c>
      <c r="AE1042" s="97">
        <f>VLOOKUP(A:A,SUMMERY!AA:AC,2,FALSE)</f>
        <v>46220</v>
      </c>
      <c r="AF1042" s="6" t="str">
        <f>VLOOKUP(A:A,SUMMERY!AA:AC,3,FALSE)</f>
        <v>Priority-1</v>
      </c>
    </row>
    <row r="1043" spans="1:32" x14ac:dyDescent="0.3">
      <c r="A1043" t="s">
        <v>5291</v>
      </c>
      <c r="B1043" t="s">
        <v>5292</v>
      </c>
      <c r="G1043" t="s">
        <v>5200</v>
      </c>
      <c r="H1043" t="s">
        <v>132</v>
      </c>
      <c r="I1043" t="s">
        <v>4</v>
      </c>
      <c r="J1043" t="s">
        <v>4276</v>
      </c>
      <c r="K1043" t="s">
        <v>54</v>
      </c>
      <c r="L1043" t="s">
        <v>5201</v>
      </c>
      <c r="M1043" t="s">
        <v>134</v>
      </c>
      <c r="N1043" t="s">
        <v>135</v>
      </c>
      <c r="Q1043" t="s">
        <v>5202</v>
      </c>
      <c r="U1043" t="s">
        <v>137</v>
      </c>
      <c r="V1043" t="s">
        <v>1967</v>
      </c>
      <c r="X1043" t="s">
        <v>125</v>
      </c>
      <c r="AA1043" t="s">
        <v>5201</v>
      </c>
      <c r="AB1043" t="s">
        <v>4</v>
      </c>
      <c r="AC1043" t="s">
        <v>138</v>
      </c>
      <c r="AD1043" t="s">
        <v>131</v>
      </c>
      <c r="AE1043" s="97">
        <f>VLOOKUP(A:A,SUMMERY!AA:AC,2,FALSE)</f>
        <v>46234</v>
      </c>
      <c r="AF1043" s="6" t="str">
        <f>VLOOKUP(A:A,SUMMERY!AA:AC,3,FALSE)</f>
        <v>Priority-2</v>
      </c>
    </row>
    <row r="1044" spans="1:32" x14ac:dyDescent="0.3">
      <c r="A1044" t="s">
        <v>5293</v>
      </c>
      <c r="B1044" t="s">
        <v>5294</v>
      </c>
      <c r="G1044" t="s">
        <v>5200</v>
      </c>
      <c r="H1044" t="s">
        <v>132</v>
      </c>
      <c r="I1044" t="s">
        <v>4</v>
      </c>
      <c r="J1044" t="s">
        <v>4276</v>
      </c>
      <c r="K1044" t="s">
        <v>54</v>
      </c>
      <c r="L1044" t="s">
        <v>5201</v>
      </c>
      <c r="M1044" t="s">
        <v>134</v>
      </c>
      <c r="N1044" t="s">
        <v>135</v>
      </c>
      <c r="Q1044" t="s">
        <v>5202</v>
      </c>
      <c r="U1044" t="s">
        <v>137</v>
      </c>
      <c r="V1044" t="s">
        <v>1259</v>
      </c>
      <c r="X1044" t="s">
        <v>126</v>
      </c>
      <c r="AA1044" t="s">
        <v>5201</v>
      </c>
      <c r="AB1044" t="s">
        <v>4</v>
      </c>
      <c r="AC1044" t="s">
        <v>138</v>
      </c>
      <c r="AD1044" t="s">
        <v>131</v>
      </c>
      <c r="AE1044" s="97">
        <f>VLOOKUP(A:A,SUMMERY!AA:AC,2,FALSE)</f>
        <v>46234</v>
      </c>
      <c r="AF1044" s="6" t="str">
        <f>VLOOKUP(A:A,SUMMERY!AA:AC,3,FALSE)</f>
        <v>Priority-2</v>
      </c>
    </row>
    <row r="1045" spans="1:32" x14ac:dyDescent="0.3">
      <c r="A1045" t="s">
        <v>5295</v>
      </c>
      <c r="B1045" t="s">
        <v>5296</v>
      </c>
      <c r="G1045" t="s">
        <v>5200</v>
      </c>
      <c r="H1045" t="s">
        <v>132</v>
      </c>
      <c r="I1045" t="s">
        <v>4</v>
      </c>
      <c r="J1045" t="s">
        <v>4276</v>
      </c>
      <c r="K1045" t="s">
        <v>54</v>
      </c>
      <c r="L1045" t="s">
        <v>5201</v>
      </c>
      <c r="M1045" t="s">
        <v>134</v>
      </c>
      <c r="N1045" t="s">
        <v>135</v>
      </c>
      <c r="Q1045" t="s">
        <v>5202</v>
      </c>
      <c r="U1045" t="s">
        <v>137</v>
      </c>
      <c r="V1045" t="s">
        <v>1263</v>
      </c>
      <c r="X1045" t="s">
        <v>69</v>
      </c>
      <c r="AA1045" t="s">
        <v>5201</v>
      </c>
      <c r="AB1045" t="s">
        <v>4</v>
      </c>
      <c r="AC1045" t="s">
        <v>138</v>
      </c>
      <c r="AD1045" t="s">
        <v>128</v>
      </c>
      <c r="AE1045" s="97">
        <f>VLOOKUP(A:A,SUMMERY!AA:AC,2,FALSE)</f>
        <v>46224</v>
      </c>
      <c r="AF1045" s="6" t="str">
        <f>VLOOKUP(A:A,SUMMERY!AA:AC,3,FALSE)</f>
        <v>Priority-1</v>
      </c>
    </row>
    <row r="1046" spans="1:32" x14ac:dyDescent="0.3">
      <c r="A1046" t="s">
        <v>5299</v>
      </c>
      <c r="B1046" t="s">
        <v>145</v>
      </c>
      <c r="G1046" t="s">
        <v>5297</v>
      </c>
      <c r="H1046" t="s">
        <v>132</v>
      </c>
      <c r="I1046" t="s">
        <v>1</v>
      </c>
      <c r="J1046" t="s">
        <v>5298</v>
      </c>
      <c r="K1046" t="s">
        <v>51</v>
      </c>
      <c r="L1046" t="s">
        <v>146</v>
      </c>
      <c r="M1046" t="s">
        <v>134</v>
      </c>
      <c r="N1046" t="s">
        <v>135</v>
      </c>
      <c r="Q1046" t="s">
        <v>166</v>
      </c>
      <c r="U1046" t="s">
        <v>137</v>
      </c>
      <c r="V1046" t="s">
        <v>147</v>
      </c>
      <c r="X1046" t="s">
        <v>70</v>
      </c>
      <c r="AA1046" t="s">
        <v>143</v>
      </c>
      <c r="AB1046" t="s">
        <v>1</v>
      </c>
      <c r="AC1046" t="s">
        <v>138</v>
      </c>
      <c r="AD1046" t="s">
        <v>128</v>
      </c>
      <c r="AE1046" s="97">
        <f>VLOOKUP(A:A,SUMMERY!AA:AC,2,FALSE)</f>
        <v>46220</v>
      </c>
      <c r="AF1046" s="6" t="str">
        <f>VLOOKUP(A:A,SUMMERY!AA:AC,3,FALSE)</f>
        <v>Priority-1</v>
      </c>
    </row>
    <row r="1047" spans="1:32" x14ac:dyDescent="0.3">
      <c r="A1047" t="s">
        <v>5300</v>
      </c>
      <c r="B1047" t="s">
        <v>149</v>
      </c>
      <c r="G1047" t="s">
        <v>5297</v>
      </c>
      <c r="H1047" t="s">
        <v>132</v>
      </c>
      <c r="I1047" t="s">
        <v>1</v>
      </c>
      <c r="J1047" t="s">
        <v>5298</v>
      </c>
      <c r="K1047" t="s">
        <v>51</v>
      </c>
      <c r="L1047" t="s">
        <v>146</v>
      </c>
      <c r="M1047" t="s">
        <v>134</v>
      </c>
      <c r="N1047" t="s">
        <v>135</v>
      </c>
      <c r="Q1047" t="s">
        <v>166</v>
      </c>
      <c r="U1047" t="s">
        <v>137</v>
      </c>
      <c r="V1047" t="s">
        <v>150</v>
      </c>
      <c r="X1047" t="s">
        <v>76</v>
      </c>
      <c r="AA1047" t="s">
        <v>143</v>
      </c>
      <c r="AB1047" t="s">
        <v>1</v>
      </c>
      <c r="AC1047" t="s">
        <v>138</v>
      </c>
      <c r="AD1047" t="s">
        <v>128</v>
      </c>
      <c r="AE1047" s="97">
        <f>VLOOKUP(A:A,SUMMERY!AA:AC,2,FALSE)</f>
        <v>46233</v>
      </c>
      <c r="AF1047" s="6" t="str">
        <f>VLOOKUP(A:A,SUMMERY!AA:AC,3,FALSE)</f>
        <v>Priority-1</v>
      </c>
    </row>
    <row r="1048" spans="1:32" x14ac:dyDescent="0.3">
      <c r="A1048" t="s">
        <v>5307</v>
      </c>
      <c r="B1048" t="s">
        <v>172</v>
      </c>
      <c r="G1048" t="s">
        <v>5306</v>
      </c>
      <c r="H1048" t="s">
        <v>132</v>
      </c>
      <c r="I1048" t="s">
        <v>1</v>
      </c>
      <c r="J1048" t="s">
        <v>5298</v>
      </c>
      <c r="K1048" t="s">
        <v>51</v>
      </c>
      <c r="L1048" t="s">
        <v>173</v>
      </c>
      <c r="M1048" t="s">
        <v>134</v>
      </c>
      <c r="N1048" t="s">
        <v>135</v>
      </c>
      <c r="Q1048" t="s">
        <v>1790</v>
      </c>
      <c r="S1048" t="s">
        <v>1790</v>
      </c>
      <c r="U1048" t="s">
        <v>137</v>
      </c>
      <c r="V1048" t="s">
        <v>147</v>
      </c>
      <c r="W1048" s="9">
        <v>46095.184615590275</v>
      </c>
      <c r="X1048" t="s">
        <v>70</v>
      </c>
      <c r="AA1048" t="s">
        <v>170</v>
      </c>
      <c r="AB1048" t="s">
        <v>1</v>
      </c>
      <c r="AC1048" t="s">
        <v>24</v>
      </c>
      <c r="AD1048" t="s">
        <v>128</v>
      </c>
      <c r="AE1048" s="97">
        <f>VLOOKUP(A:A,SUMMERY!AA:AC,2,FALSE)</f>
        <v>46220</v>
      </c>
      <c r="AF1048" s="6" t="str">
        <f>VLOOKUP(A:A,SUMMERY!AA:AC,3,FALSE)</f>
        <v>Priority-1</v>
      </c>
    </row>
    <row r="1049" spans="1:32" x14ac:dyDescent="0.3">
      <c r="A1049" t="s">
        <v>5308</v>
      </c>
      <c r="B1049" t="s">
        <v>175</v>
      </c>
      <c r="G1049" t="s">
        <v>5306</v>
      </c>
      <c r="H1049" t="s">
        <v>132</v>
      </c>
      <c r="I1049" t="s">
        <v>1</v>
      </c>
      <c r="J1049" t="s">
        <v>5298</v>
      </c>
      <c r="K1049" t="s">
        <v>51</v>
      </c>
      <c r="L1049" t="s">
        <v>176</v>
      </c>
      <c r="M1049" t="s">
        <v>134</v>
      </c>
      <c r="N1049" t="s">
        <v>135</v>
      </c>
      <c r="Q1049" t="s">
        <v>1790</v>
      </c>
      <c r="S1049" t="s">
        <v>1790</v>
      </c>
      <c r="U1049" t="s">
        <v>137</v>
      </c>
      <c r="V1049" t="s">
        <v>150</v>
      </c>
      <c r="W1049" s="9">
        <v>46095.185754548613</v>
      </c>
      <c r="X1049" t="s">
        <v>76</v>
      </c>
      <c r="AA1049" t="s">
        <v>170</v>
      </c>
      <c r="AB1049" t="s">
        <v>1</v>
      </c>
      <c r="AC1049" t="s">
        <v>24</v>
      </c>
      <c r="AD1049" t="s">
        <v>128</v>
      </c>
      <c r="AE1049" s="97">
        <f>VLOOKUP(A:A,SUMMERY!AA:AC,2,FALSE)</f>
        <v>46233</v>
      </c>
      <c r="AF1049" s="6" t="str">
        <f>VLOOKUP(A:A,SUMMERY!AA:AC,3,FALSE)</f>
        <v>Priority-1</v>
      </c>
    </row>
    <row r="1050" spans="1:32" x14ac:dyDescent="0.3">
      <c r="A1050" t="s">
        <v>5314</v>
      </c>
      <c r="B1050" t="s">
        <v>193</v>
      </c>
      <c r="G1050" t="s">
        <v>5306</v>
      </c>
      <c r="H1050" t="s">
        <v>132</v>
      </c>
      <c r="I1050" t="s">
        <v>1</v>
      </c>
      <c r="J1050" t="s">
        <v>5298</v>
      </c>
      <c r="K1050" t="s">
        <v>51</v>
      </c>
      <c r="L1050" t="s">
        <v>194</v>
      </c>
      <c r="M1050" t="s">
        <v>134</v>
      </c>
      <c r="N1050" t="s">
        <v>135</v>
      </c>
      <c r="Q1050" t="s">
        <v>1790</v>
      </c>
      <c r="S1050" t="s">
        <v>1790</v>
      </c>
      <c r="U1050" t="s">
        <v>137</v>
      </c>
      <c r="V1050" t="s">
        <v>147</v>
      </c>
      <c r="W1050" s="9">
        <v>46125.235490740743</v>
      </c>
      <c r="X1050" t="s">
        <v>70</v>
      </c>
      <c r="AA1050" t="s">
        <v>170</v>
      </c>
      <c r="AB1050" t="s">
        <v>1</v>
      </c>
      <c r="AC1050" t="s">
        <v>24</v>
      </c>
      <c r="AD1050" t="s">
        <v>128</v>
      </c>
      <c r="AE1050" s="97">
        <f>VLOOKUP(A:A,SUMMERY!AA:AC,2,FALSE)</f>
        <v>46220</v>
      </c>
      <c r="AF1050" s="6" t="str">
        <f>VLOOKUP(A:A,SUMMERY!AA:AC,3,FALSE)</f>
        <v>Priority-1</v>
      </c>
    </row>
    <row r="1051" spans="1:32" x14ac:dyDescent="0.3">
      <c r="A1051" t="s">
        <v>5315</v>
      </c>
      <c r="B1051" t="s">
        <v>196</v>
      </c>
      <c r="G1051" t="s">
        <v>5306</v>
      </c>
      <c r="H1051" t="s">
        <v>132</v>
      </c>
      <c r="I1051" t="s">
        <v>1</v>
      </c>
      <c r="J1051" t="s">
        <v>5298</v>
      </c>
      <c r="K1051" t="s">
        <v>51</v>
      </c>
      <c r="L1051" t="s">
        <v>194</v>
      </c>
      <c r="M1051" t="s">
        <v>134</v>
      </c>
      <c r="N1051" t="s">
        <v>135</v>
      </c>
      <c r="Q1051" t="s">
        <v>1790</v>
      </c>
      <c r="S1051" t="s">
        <v>1790</v>
      </c>
      <c r="U1051" t="s">
        <v>137</v>
      </c>
      <c r="V1051" t="s">
        <v>147</v>
      </c>
      <c r="W1051" s="9">
        <v>46125.237321909721</v>
      </c>
      <c r="X1051" t="s">
        <v>70</v>
      </c>
      <c r="AA1051" t="s">
        <v>170</v>
      </c>
      <c r="AB1051" t="s">
        <v>1</v>
      </c>
      <c r="AC1051" t="s">
        <v>24</v>
      </c>
      <c r="AD1051" t="s">
        <v>128</v>
      </c>
      <c r="AE1051" s="97">
        <f>VLOOKUP(A:A,SUMMERY!AA:AC,2,FALSE)</f>
        <v>46220</v>
      </c>
      <c r="AF1051" s="6" t="str">
        <f>VLOOKUP(A:A,SUMMERY!AA:AC,3,FALSE)</f>
        <v>Priority-1</v>
      </c>
    </row>
    <row r="1052" spans="1:32" x14ac:dyDescent="0.3">
      <c r="A1052" t="s">
        <v>5316</v>
      </c>
      <c r="B1052" t="s">
        <v>198</v>
      </c>
      <c r="G1052" t="s">
        <v>5306</v>
      </c>
      <c r="H1052" t="s">
        <v>132</v>
      </c>
      <c r="I1052" t="s">
        <v>1</v>
      </c>
      <c r="J1052" t="s">
        <v>5298</v>
      </c>
      <c r="K1052" t="s">
        <v>51</v>
      </c>
      <c r="L1052" t="s">
        <v>194</v>
      </c>
      <c r="M1052" t="s">
        <v>134</v>
      </c>
      <c r="N1052" t="s">
        <v>135</v>
      </c>
      <c r="Q1052" t="s">
        <v>1790</v>
      </c>
      <c r="S1052" t="s">
        <v>1790</v>
      </c>
      <c r="U1052" t="s">
        <v>137</v>
      </c>
      <c r="V1052" t="s">
        <v>147</v>
      </c>
      <c r="W1052" s="9">
        <v>46125.237686307868</v>
      </c>
      <c r="X1052" t="s">
        <v>70</v>
      </c>
      <c r="AA1052" t="s">
        <v>170</v>
      </c>
      <c r="AB1052" t="s">
        <v>1</v>
      </c>
      <c r="AC1052" t="s">
        <v>24</v>
      </c>
      <c r="AD1052" t="s">
        <v>128</v>
      </c>
      <c r="AE1052" s="97">
        <f>VLOOKUP(A:A,SUMMERY!AA:AC,2,FALSE)</f>
        <v>46220</v>
      </c>
      <c r="AF1052" s="6" t="str">
        <f>VLOOKUP(A:A,SUMMERY!AA:AC,3,FALSE)</f>
        <v>Priority-1</v>
      </c>
    </row>
    <row r="1053" spans="1:32" x14ac:dyDescent="0.3">
      <c r="A1053" t="s">
        <v>5317</v>
      </c>
      <c r="B1053" t="s">
        <v>200</v>
      </c>
      <c r="G1053" t="s">
        <v>5306</v>
      </c>
      <c r="H1053" t="s">
        <v>132</v>
      </c>
      <c r="I1053" t="s">
        <v>1</v>
      </c>
      <c r="J1053" t="s">
        <v>5298</v>
      </c>
      <c r="K1053" t="s">
        <v>51</v>
      </c>
      <c r="L1053" t="s">
        <v>201</v>
      </c>
      <c r="M1053" t="s">
        <v>134</v>
      </c>
      <c r="N1053" t="s">
        <v>135</v>
      </c>
      <c r="Q1053" t="s">
        <v>1790</v>
      </c>
      <c r="S1053" t="s">
        <v>1790</v>
      </c>
      <c r="U1053" t="s">
        <v>137</v>
      </c>
      <c r="V1053" t="s">
        <v>150</v>
      </c>
      <c r="W1053" s="9">
        <v>46125.238150775462</v>
      </c>
      <c r="X1053" t="s">
        <v>76</v>
      </c>
      <c r="AA1053" t="s">
        <v>170</v>
      </c>
      <c r="AB1053" t="s">
        <v>1</v>
      </c>
      <c r="AC1053" t="s">
        <v>24</v>
      </c>
      <c r="AD1053" t="s">
        <v>128</v>
      </c>
      <c r="AE1053" s="97">
        <f>VLOOKUP(A:A,SUMMERY!AA:AC,2,FALSE)</f>
        <v>46233</v>
      </c>
      <c r="AF1053" s="6" t="str">
        <f>VLOOKUP(A:A,SUMMERY!AA:AC,3,FALSE)</f>
        <v>Priority-1</v>
      </c>
    </row>
    <row r="1054" spans="1:32" x14ac:dyDescent="0.3">
      <c r="A1054" t="s">
        <v>5318</v>
      </c>
      <c r="B1054" t="s">
        <v>203</v>
      </c>
      <c r="G1054" t="s">
        <v>5306</v>
      </c>
      <c r="H1054" t="s">
        <v>132</v>
      </c>
      <c r="I1054" t="s">
        <v>1</v>
      </c>
      <c r="J1054" t="s">
        <v>5298</v>
      </c>
      <c r="K1054" t="s">
        <v>51</v>
      </c>
      <c r="L1054" t="s">
        <v>201</v>
      </c>
      <c r="M1054" t="s">
        <v>134</v>
      </c>
      <c r="N1054" t="s">
        <v>135</v>
      </c>
      <c r="Q1054" t="s">
        <v>1790</v>
      </c>
      <c r="S1054" t="s">
        <v>1790</v>
      </c>
      <c r="U1054" t="s">
        <v>137</v>
      </c>
      <c r="V1054" t="s">
        <v>150</v>
      </c>
      <c r="W1054" s="9">
        <v>46125.238643368059</v>
      </c>
      <c r="X1054" t="s">
        <v>76</v>
      </c>
      <c r="AA1054" t="s">
        <v>170</v>
      </c>
      <c r="AB1054" t="s">
        <v>1</v>
      </c>
      <c r="AC1054" t="s">
        <v>24</v>
      </c>
      <c r="AD1054" t="s">
        <v>128</v>
      </c>
      <c r="AE1054" s="97">
        <f>VLOOKUP(A:A,SUMMERY!AA:AC,2,FALSE)</f>
        <v>46233</v>
      </c>
      <c r="AF1054" s="6" t="str">
        <f>VLOOKUP(A:A,SUMMERY!AA:AC,3,FALSE)</f>
        <v>Priority-1</v>
      </c>
    </row>
    <row r="1055" spans="1:32" x14ac:dyDescent="0.3">
      <c r="A1055" t="s">
        <v>5319</v>
      </c>
      <c r="B1055" t="s">
        <v>205</v>
      </c>
      <c r="G1055" t="s">
        <v>5306</v>
      </c>
      <c r="H1055" t="s">
        <v>132</v>
      </c>
      <c r="I1055" t="s">
        <v>1</v>
      </c>
      <c r="J1055" t="s">
        <v>5298</v>
      </c>
      <c r="K1055" t="s">
        <v>51</v>
      </c>
      <c r="L1055" t="s">
        <v>201</v>
      </c>
      <c r="M1055" t="s">
        <v>134</v>
      </c>
      <c r="N1055" t="s">
        <v>135</v>
      </c>
      <c r="Q1055" t="s">
        <v>1790</v>
      </c>
      <c r="S1055" t="s">
        <v>1790</v>
      </c>
      <c r="U1055" t="s">
        <v>137</v>
      </c>
      <c r="V1055" t="s">
        <v>150</v>
      </c>
      <c r="W1055" s="9">
        <v>46125.2389897338</v>
      </c>
      <c r="X1055" t="s">
        <v>76</v>
      </c>
      <c r="AA1055" t="s">
        <v>170</v>
      </c>
      <c r="AB1055" t="s">
        <v>1</v>
      </c>
      <c r="AC1055" t="s">
        <v>24</v>
      </c>
      <c r="AD1055" t="s">
        <v>128</v>
      </c>
      <c r="AE1055" s="97">
        <f>VLOOKUP(A:A,SUMMERY!AA:AC,2,FALSE)</f>
        <v>46233</v>
      </c>
      <c r="AF1055" s="6" t="str">
        <f>VLOOKUP(A:A,SUMMERY!AA:AC,3,FALSE)</f>
        <v>Priority-1</v>
      </c>
    </row>
    <row r="1056" spans="1:32" x14ac:dyDescent="0.3">
      <c r="A1056" t="s">
        <v>5335</v>
      </c>
      <c r="B1056" t="s">
        <v>242</v>
      </c>
      <c r="G1056" t="s">
        <v>5306</v>
      </c>
      <c r="H1056" t="s">
        <v>132</v>
      </c>
      <c r="I1056" t="s">
        <v>1</v>
      </c>
      <c r="J1056" t="s">
        <v>5298</v>
      </c>
      <c r="K1056" t="s">
        <v>51</v>
      </c>
      <c r="L1056" t="s">
        <v>243</v>
      </c>
      <c r="M1056" t="s">
        <v>134</v>
      </c>
      <c r="N1056" t="s">
        <v>135</v>
      </c>
      <c r="Q1056" t="s">
        <v>1790</v>
      </c>
      <c r="S1056" t="s">
        <v>1790</v>
      </c>
      <c r="U1056" t="s">
        <v>137</v>
      </c>
      <c r="V1056" t="s">
        <v>147</v>
      </c>
      <c r="W1056" s="9">
        <v>46129.242885798609</v>
      </c>
      <c r="X1056" t="s">
        <v>70</v>
      </c>
      <c r="AA1056" t="s">
        <v>170</v>
      </c>
      <c r="AB1056" t="s">
        <v>1</v>
      </c>
      <c r="AC1056" t="s">
        <v>24</v>
      </c>
      <c r="AD1056" t="s">
        <v>128</v>
      </c>
      <c r="AE1056" s="97">
        <f>VLOOKUP(A:A,SUMMERY!AA:AC,2,FALSE)</f>
        <v>46220</v>
      </c>
      <c r="AF1056" s="6" t="str">
        <f>VLOOKUP(A:A,SUMMERY!AA:AC,3,FALSE)</f>
        <v>Priority-1</v>
      </c>
    </row>
    <row r="1057" spans="1:32" x14ac:dyDescent="0.3">
      <c r="A1057" t="s">
        <v>5336</v>
      </c>
      <c r="B1057" t="s">
        <v>245</v>
      </c>
      <c r="G1057" t="s">
        <v>5306</v>
      </c>
      <c r="H1057" t="s">
        <v>132</v>
      </c>
      <c r="I1057" t="s">
        <v>1</v>
      </c>
      <c r="J1057" t="s">
        <v>5298</v>
      </c>
      <c r="K1057" t="s">
        <v>51</v>
      </c>
      <c r="L1057" t="s">
        <v>243</v>
      </c>
      <c r="M1057" t="s">
        <v>134</v>
      </c>
      <c r="N1057" t="s">
        <v>135</v>
      </c>
      <c r="Q1057" t="s">
        <v>1790</v>
      </c>
      <c r="S1057" t="s">
        <v>1790</v>
      </c>
      <c r="U1057" t="s">
        <v>137</v>
      </c>
      <c r="V1057" t="s">
        <v>147</v>
      </c>
      <c r="W1057" s="9">
        <v>46129.243199618053</v>
      </c>
      <c r="X1057" t="s">
        <v>70</v>
      </c>
      <c r="AA1057" t="s">
        <v>170</v>
      </c>
      <c r="AB1057" t="s">
        <v>1</v>
      </c>
      <c r="AC1057" t="s">
        <v>24</v>
      </c>
      <c r="AD1057" t="s">
        <v>128</v>
      </c>
      <c r="AE1057" s="97">
        <f>VLOOKUP(A:A,SUMMERY!AA:AC,2,FALSE)</f>
        <v>46220</v>
      </c>
      <c r="AF1057" s="6" t="str">
        <f>VLOOKUP(A:A,SUMMERY!AA:AC,3,FALSE)</f>
        <v>Priority-1</v>
      </c>
    </row>
    <row r="1058" spans="1:32" x14ac:dyDescent="0.3">
      <c r="A1058" t="s">
        <v>5337</v>
      </c>
      <c r="B1058" t="s">
        <v>247</v>
      </c>
      <c r="G1058" t="s">
        <v>5306</v>
      </c>
      <c r="H1058" t="s">
        <v>132</v>
      </c>
      <c r="I1058" t="s">
        <v>1</v>
      </c>
      <c r="J1058" t="s">
        <v>5298</v>
      </c>
      <c r="K1058" t="s">
        <v>51</v>
      </c>
      <c r="L1058" t="s">
        <v>243</v>
      </c>
      <c r="M1058" t="s">
        <v>134</v>
      </c>
      <c r="N1058" t="s">
        <v>135</v>
      </c>
      <c r="Q1058" t="s">
        <v>1790</v>
      </c>
      <c r="S1058" t="s">
        <v>1790</v>
      </c>
      <c r="U1058" t="s">
        <v>137</v>
      </c>
      <c r="V1058" t="s">
        <v>147</v>
      </c>
      <c r="W1058" s="9">
        <v>46129.243567094905</v>
      </c>
      <c r="X1058" t="s">
        <v>70</v>
      </c>
      <c r="AA1058" t="s">
        <v>170</v>
      </c>
      <c r="AB1058" t="s">
        <v>1</v>
      </c>
      <c r="AC1058" t="s">
        <v>24</v>
      </c>
      <c r="AD1058" t="s">
        <v>128</v>
      </c>
      <c r="AE1058" s="97">
        <f>VLOOKUP(A:A,SUMMERY!AA:AC,2,FALSE)</f>
        <v>46220</v>
      </c>
      <c r="AF1058" s="6" t="str">
        <f>VLOOKUP(A:A,SUMMERY!AA:AC,3,FALSE)</f>
        <v>Priority-1</v>
      </c>
    </row>
    <row r="1059" spans="1:32" x14ac:dyDescent="0.3">
      <c r="A1059" t="s">
        <v>5338</v>
      </c>
      <c r="B1059" t="s">
        <v>249</v>
      </c>
      <c r="G1059" t="s">
        <v>5306</v>
      </c>
      <c r="H1059" t="s">
        <v>132</v>
      </c>
      <c r="I1059" t="s">
        <v>1</v>
      </c>
      <c r="J1059" t="s">
        <v>5298</v>
      </c>
      <c r="K1059" t="s">
        <v>51</v>
      </c>
      <c r="L1059" t="s">
        <v>250</v>
      </c>
      <c r="M1059" t="s">
        <v>134</v>
      </c>
      <c r="N1059" t="s">
        <v>135</v>
      </c>
      <c r="Q1059" t="s">
        <v>1790</v>
      </c>
      <c r="S1059" t="s">
        <v>1790</v>
      </c>
      <c r="U1059" t="s">
        <v>137</v>
      </c>
      <c r="V1059" t="s">
        <v>150</v>
      </c>
      <c r="W1059" s="9">
        <v>46129.244020104168</v>
      </c>
      <c r="X1059" t="s">
        <v>76</v>
      </c>
      <c r="AA1059" t="s">
        <v>170</v>
      </c>
      <c r="AB1059" t="s">
        <v>1</v>
      </c>
      <c r="AC1059" t="s">
        <v>24</v>
      </c>
      <c r="AD1059" t="s">
        <v>128</v>
      </c>
      <c r="AE1059" s="97">
        <f>VLOOKUP(A:A,SUMMERY!AA:AC,2,FALSE)</f>
        <v>46233</v>
      </c>
      <c r="AF1059" s="6" t="str">
        <f>VLOOKUP(A:A,SUMMERY!AA:AC,3,FALSE)</f>
        <v>Priority-1</v>
      </c>
    </row>
    <row r="1060" spans="1:32" x14ac:dyDescent="0.3">
      <c r="A1060" t="s">
        <v>5339</v>
      </c>
      <c r="B1060" t="s">
        <v>252</v>
      </c>
      <c r="G1060" t="s">
        <v>5306</v>
      </c>
      <c r="H1060" t="s">
        <v>132</v>
      </c>
      <c r="I1060" t="s">
        <v>1</v>
      </c>
      <c r="J1060" t="s">
        <v>5298</v>
      </c>
      <c r="K1060" t="s">
        <v>51</v>
      </c>
      <c r="L1060" t="s">
        <v>250</v>
      </c>
      <c r="M1060" t="s">
        <v>134</v>
      </c>
      <c r="N1060" t="s">
        <v>135</v>
      </c>
      <c r="Q1060" t="s">
        <v>1790</v>
      </c>
      <c r="S1060" t="s">
        <v>1790</v>
      </c>
      <c r="U1060" t="s">
        <v>137</v>
      </c>
      <c r="V1060" t="s">
        <v>150</v>
      </c>
      <c r="W1060" s="9">
        <v>46129.244327314816</v>
      </c>
      <c r="X1060" t="s">
        <v>76</v>
      </c>
      <c r="AA1060" t="s">
        <v>170</v>
      </c>
      <c r="AB1060" t="s">
        <v>1</v>
      </c>
      <c r="AC1060" t="s">
        <v>24</v>
      </c>
      <c r="AD1060" t="s">
        <v>128</v>
      </c>
      <c r="AE1060" s="97">
        <f>VLOOKUP(A:A,SUMMERY!AA:AC,2,FALSE)</f>
        <v>46233</v>
      </c>
      <c r="AF1060" s="6" t="str">
        <f>VLOOKUP(A:A,SUMMERY!AA:AC,3,FALSE)</f>
        <v>Priority-1</v>
      </c>
    </row>
    <row r="1061" spans="1:32" x14ac:dyDescent="0.3">
      <c r="A1061" t="s">
        <v>5340</v>
      </c>
      <c r="B1061" t="s">
        <v>254</v>
      </c>
      <c r="G1061" t="s">
        <v>5306</v>
      </c>
      <c r="H1061" t="s">
        <v>132</v>
      </c>
      <c r="I1061" t="s">
        <v>1</v>
      </c>
      <c r="J1061" t="s">
        <v>5298</v>
      </c>
      <c r="K1061" t="s">
        <v>51</v>
      </c>
      <c r="L1061" t="s">
        <v>250</v>
      </c>
      <c r="M1061" t="s">
        <v>134</v>
      </c>
      <c r="N1061" t="s">
        <v>135</v>
      </c>
      <c r="Q1061" t="s">
        <v>1790</v>
      </c>
      <c r="S1061" t="s">
        <v>1790</v>
      </c>
      <c r="U1061" t="s">
        <v>137</v>
      </c>
      <c r="V1061" t="s">
        <v>150</v>
      </c>
      <c r="W1061" s="9">
        <v>46129.24477646991</v>
      </c>
      <c r="X1061" t="s">
        <v>76</v>
      </c>
      <c r="AA1061" t="s">
        <v>170</v>
      </c>
      <c r="AB1061" t="s">
        <v>1</v>
      </c>
      <c r="AC1061" t="s">
        <v>24</v>
      </c>
      <c r="AD1061" t="s">
        <v>128</v>
      </c>
      <c r="AE1061" s="97">
        <f>VLOOKUP(A:A,SUMMERY!AA:AC,2,FALSE)</f>
        <v>46233</v>
      </c>
      <c r="AF1061" s="6" t="str">
        <f>VLOOKUP(A:A,SUMMERY!AA:AC,3,FALSE)</f>
        <v>Priority-1</v>
      </c>
    </row>
    <row r="1062" spans="1:32" x14ac:dyDescent="0.3">
      <c r="A1062" t="s">
        <v>5357</v>
      </c>
      <c r="B1062" t="s">
        <v>294</v>
      </c>
      <c r="G1062" t="s">
        <v>5356</v>
      </c>
      <c r="H1062" t="s">
        <v>132</v>
      </c>
      <c r="I1062" t="s">
        <v>1</v>
      </c>
      <c r="J1062" t="s">
        <v>5298</v>
      </c>
      <c r="K1062" t="s">
        <v>51</v>
      </c>
      <c r="L1062" t="s">
        <v>295</v>
      </c>
      <c r="M1062" t="s">
        <v>134</v>
      </c>
      <c r="N1062" t="s">
        <v>135</v>
      </c>
      <c r="Q1062" t="s">
        <v>168</v>
      </c>
      <c r="S1062" t="s">
        <v>168</v>
      </c>
      <c r="U1062" t="s">
        <v>137</v>
      </c>
      <c r="V1062" t="s">
        <v>296</v>
      </c>
      <c r="X1062" t="s">
        <v>63</v>
      </c>
      <c r="AA1062" t="s">
        <v>292</v>
      </c>
      <c r="AB1062" t="s">
        <v>1</v>
      </c>
      <c r="AC1062" t="s">
        <v>138</v>
      </c>
      <c r="AD1062" t="s">
        <v>128</v>
      </c>
      <c r="AE1062" s="97">
        <f>VLOOKUP(A:A,SUMMERY!AA:AC,2,FALSE)</f>
        <v>46220</v>
      </c>
      <c r="AF1062" s="6" t="str">
        <f>VLOOKUP(A:A,SUMMERY!AA:AC,3,FALSE)</f>
        <v>Priority-1</v>
      </c>
    </row>
    <row r="1063" spans="1:32" x14ac:dyDescent="0.3">
      <c r="A1063" t="s">
        <v>5358</v>
      </c>
      <c r="B1063" t="s">
        <v>298</v>
      </c>
      <c r="G1063" t="s">
        <v>5356</v>
      </c>
      <c r="H1063" t="s">
        <v>132</v>
      </c>
      <c r="I1063" t="s">
        <v>1</v>
      </c>
      <c r="J1063" t="s">
        <v>5298</v>
      </c>
      <c r="K1063" t="s">
        <v>51</v>
      </c>
      <c r="L1063" t="s">
        <v>299</v>
      </c>
      <c r="M1063" t="s">
        <v>134</v>
      </c>
      <c r="N1063" t="s">
        <v>135</v>
      </c>
      <c r="Q1063" t="s">
        <v>168</v>
      </c>
      <c r="S1063" t="s">
        <v>168</v>
      </c>
      <c r="U1063" t="s">
        <v>137</v>
      </c>
      <c r="V1063" t="s">
        <v>300</v>
      </c>
      <c r="X1063" t="s">
        <v>72</v>
      </c>
      <c r="AA1063" t="s">
        <v>292</v>
      </c>
      <c r="AB1063" t="s">
        <v>1</v>
      </c>
      <c r="AC1063" t="s">
        <v>138</v>
      </c>
      <c r="AD1063" t="s">
        <v>128</v>
      </c>
      <c r="AE1063" s="97">
        <f>VLOOKUP(A:A,SUMMERY!AA:AC,2,FALSE)</f>
        <v>46234</v>
      </c>
      <c r="AF1063" s="6" t="str">
        <f>VLOOKUP(A:A,SUMMERY!AA:AC,3,FALSE)</f>
        <v>Priority-1</v>
      </c>
    </row>
    <row r="1064" spans="1:32" x14ac:dyDescent="0.3">
      <c r="A1064" t="s">
        <v>5364</v>
      </c>
      <c r="B1064" t="s">
        <v>322</v>
      </c>
      <c r="G1064" t="s">
        <v>5356</v>
      </c>
      <c r="H1064" t="s">
        <v>132</v>
      </c>
      <c r="I1064" t="s">
        <v>1</v>
      </c>
      <c r="J1064" t="s">
        <v>5298</v>
      </c>
      <c r="K1064" t="s">
        <v>51</v>
      </c>
      <c r="L1064" t="s">
        <v>323</v>
      </c>
      <c r="M1064" t="s">
        <v>134</v>
      </c>
      <c r="N1064" t="s">
        <v>135</v>
      </c>
      <c r="Q1064" t="s">
        <v>168</v>
      </c>
      <c r="S1064" t="s">
        <v>168</v>
      </c>
      <c r="U1064" t="s">
        <v>137</v>
      </c>
      <c r="V1064" t="s">
        <v>324</v>
      </c>
      <c r="X1064" t="s">
        <v>60</v>
      </c>
      <c r="AA1064" t="s">
        <v>292</v>
      </c>
      <c r="AB1064" t="s">
        <v>1</v>
      </c>
      <c r="AC1064" t="s">
        <v>138</v>
      </c>
      <c r="AD1064" t="s">
        <v>128</v>
      </c>
      <c r="AE1064" s="97">
        <f>VLOOKUP(A:A,SUMMERY!AA:AC,2,FALSE)</f>
        <v>46220</v>
      </c>
      <c r="AF1064" s="6" t="str">
        <f>VLOOKUP(A:A,SUMMERY!AA:AC,3,FALSE)</f>
        <v>Priority-1</v>
      </c>
    </row>
    <row r="1065" spans="1:32" x14ac:dyDescent="0.3">
      <c r="A1065" t="s">
        <v>5365</v>
      </c>
      <c r="B1065" t="s">
        <v>326</v>
      </c>
      <c r="G1065" t="s">
        <v>5356</v>
      </c>
      <c r="H1065" t="s">
        <v>132</v>
      </c>
      <c r="I1065" t="s">
        <v>1</v>
      </c>
      <c r="J1065" t="s">
        <v>5298</v>
      </c>
      <c r="K1065" t="s">
        <v>51</v>
      </c>
      <c r="L1065" t="s">
        <v>327</v>
      </c>
      <c r="M1065" t="s">
        <v>134</v>
      </c>
      <c r="N1065" t="s">
        <v>135</v>
      </c>
      <c r="Q1065" t="s">
        <v>168</v>
      </c>
      <c r="S1065" t="s">
        <v>168</v>
      </c>
      <c r="U1065" t="s">
        <v>137</v>
      </c>
      <c r="V1065" t="s">
        <v>328</v>
      </c>
      <c r="X1065" t="s">
        <v>65</v>
      </c>
      <c r="AA1065" t="s">
        <v>292</v>
      </c>
      <c r="AB1065" t="s">
        <v>1</v>
      </c>
      <c r="AC1065" t="s">
        <v>138</v>
      </c>
      <c r="AD1065" t="s">
        <v>128</v>
      </c>
      <c r="AE1065" s="97">
        <f>VLOOKUP(A:A,SUMMERY!AA:AC,2,FALSE)</f>
        <v>46233</v>
      </c>
      <c r="AF1065" s="6" t="str">
        <f>VLOOKUP(A:A,SUMMERY!AA:AC,3,FALSE)</f>
        <v>Priority-1</v>
      </c>
    </row>
    <row r="1066" spans="1:32" x14ac:dyDescent="0.3">
      <c r="A1066" t="s">
        <v>5371</v>
      </c>
      <c r="B1066" t="s">
        <v>350</v>
      </c>
      <c r="G1066" t="s">
        <v>5356</v>
      </c>
      <c r="H1066" t="s">
        <v>132</v>
      </c>
      <c r="I1066" t="s">
        <v>1</v>
      </c>
      <c r="J1066" t="s">
        <v>5298</v>
      </c>
      <c r="K1066" t="s">
        <v>51</v>
      </c>
      <c r="L1066" t="s">
        <v>351</v>
      </c>
      <c r="M1066" t="s">
        <v>134</v>
      </c>
      <c r="N1066" t="s">
        <v>135</v>
      </c>
      <c r="Q1066" t="s">
        <v>168</v>
      </c>
      <c r="S1066" t="s">
        <v>168</v>
      </c>
      <c r="U1066" t="s">
        <v>137</v>
      </c>
      <c r="V1066" t="s">
        <v>352</v>
      </c>
      <c r="W1066" s="9">
        <v>46192.178282719906</v>
      </c>
      <c r="X1066" t="s">
        <v>56</v>
      </c>
      <c r="AA1066" t="s">
        <v>292</v>
      </c>
      <c r="AB1066" t="s">
        <v>1</v>
      </c>
      <c r="AC1066" t="s">
        <v>24</v>
      </c>
      <c r="AD1066" t="s">
        <v>128</v>
      </c>
      <c r="AE1066" s="97">
        <f>VLOOKUP(A:A,SUMMERY!AA:AC,2,FALSE)</f>
        <v>46233</v>
      </c>
      <c r="AF1066" s="6" t="str">
        <f>VLOOKUP(A:A,SUMMERY!AA:AC,3,FALSE)</f>
        <v>Priority-1</v>
      </c>
    </row>
    <row r="1067" spans="1:32" x14ac:dyDescent="0.3">
      <c r="A1067" t="s">
        <v>5372</v>
      </c>
      <c r="B1067" t="s">
        <v>354</v>
      </c>
      <c r="G1067" t="s">
        <v>5356</v>
      </c>
      <c r="H1067" t="s">
        <v>132</v>
      </c>
      <c r="I1067" t="s">
        <v>1</v>
      </c>
      <c r="J1067" t="s">
        <v>5298</v>
      </c>
      <c r="K1067" t="s">
        <v>51</v>
      </c>
      <c r="L1067" t="s">
        <v>351</v>
      </c>
      <c r="M1067" t="s">
        <v>134</v>
      </c>
      <c r="N1067" t="s">
        <v>135</v>
      </c>
      <c r="Q1067" t="s">
        <v>168</v>
      </c>
      <c r="S1067" t="s">
        <v>168</v>
      </c>
      <c r="U1067" t="s">
        <v>137</v>
      </c>
      <c r="V1067" t="s">
        <v>352</v>
      </c>
      <c r="W1067" s="9">
        <v>46192.178670370369</v>
      </c>
      <c r="X1067" t="s">
        <v>56</v>
      </c>
      <c r="AA1067" t="s">
        <v>292</v>
      </c>
      <c r="AB1067" t="s">
        <v>1</v>
      </c>
      <c r="AC1067" t="s">
        <v>24</v>
      </c>
      <c r="AD1067" t="s">
        <v>128</v>
      </c>
      <c r="AE1067" s="97">
        <f>VLOOKUP(A:A,SUMMERY!AA:AC,2,FALSE)</f>
        <v>46233</v>
      </c>
      <c r="AF1067" s="6" t="str">
        <f>VLOOKUP(A:A,SUMMERY!AA:AC,3,FALSE)</f>
        <v>Priority-1</v>
      </c>
    </row>
    <row r="1068" spans="1:32" x14ac:dyDescent="0.3">
      <c r="A1068" t="s">
        <v>6654</v>
      </c>
      <c r="B1068" t="s">
        <v>6612</v>
      </c>
      <c r="G1068" t="s">
        <v>5356</v>
      </c>
      <c r="H1068" t="s">
        <v>132</v>
      </c>
      <c r="I1068" t="s">
        <v>1</v>
      </c>
      <c r="J1068" t="s">
        <v>5298</v>
      </c>
      <c r="K1068" t="s">
        <v>51</v>
      </c>
      <c r="L1068" t="s">
        <v>1278</v>
      </c>
      <c r="M1068" t="s">
        <v>134</v>
      </c>
      <c r="N1068" t="s">
        <v>135</v>
      </c>
      <c r="Q1068" t="s">
        <v>168</v>
      </c>
      <c r="S1068" t="s">
        <v>168</v>
      </c>
      <c r="U1068" t="s">
        <v>137</v>
      </c>
      <c r="V1068" t="s">
        <v>1279</v>
      </c>
      <c r="W1068" s="9">
        <v>46200.373973229165</v>
      </c>
      <c r="X1068" t="s">
        <v>71</v>
      </c>
      <c r="AA1068" t="s">
        <v>292</v>
      </c>
      <c r="AB1068" t="s">
        <v>1</v>
      </c>
      <c r="AC1068" t="s">
        <v>24</v>
      </c>
      <c r="AD1068" t="s">
        <v>128</v>
      </c>
      <c r="AE1068" s="97">
        <f>VLOOKUP(A:A,SUMMERY!AA:AC,2,FALSE)</f>
        <v>46233</v>
      </c>
      <c r="AF1068" s="6" t="str">
        <f>VLOOKUP(A:A,SUMMERY!AA:AC,3,FALSE)</f>
        <v>Priority-1</v>
      </c>
    </row>
    <row r="1069" spans="1:32" x14ac:dyDescent="0.3">
      <c r="A1069" t="s">
        <v>6655</v>
      </c>
      <c r="B1069" t="s">
        <v>6614</v>
      </c>
      <c r="G1069" t="s">
        <v>5356</v>
      </c>
      <c r="H1069" t="s">
        <v>132</v>
      </c>
      <c r="I1069" t="s">
        <v>1</v>
      </c>
      <c r="J1069" t="s">
        <v>5298</v>
      </c>
      <c r="K1069" t="s">
        <v>51</v>
      </c>
      <c r="L1069" t="s">
        <v>1278</v>
      </c>
      <c r="M1069" t="s">
        <v>134</v>
      </c>
      <c r="N1069" t="s">
        <v>135</v>
      </c>
      <c r="Q1069" t="s">
        <v>168</v>
      </c>
      <c r="S1069" t="s">
        <v>168</v>
      </c>
      <c r="U1069" t="s">
        <v>137</v>
      </c>
      <c r="V1069" t="s">
        <v>1279</v>
      </c>
      <c r="W1069" s="9">
        <v>46200.377707638887</v>
      </c>
      <c r="X1069" t="s">
        <v>71</v>
      </c>
      <c r="AA1069" t="s">
        <v>292</v>
      </c>
      <c r="AB1069" t="s">
        <v>1</v>
      </c>
      <c r="AC1069" t="s">
        <v>24</v>
      </c>
      <c r="AD1069" t="s">
        <v>128</v>
      </c>
      <c r="AE1069" s="97">
        <f>VLOOKUP(A:A,SUMMERY!AA:AC,2,FALSE)</f>
        <v>46233</v>
      </c>
      <c r="AF1069" s="6" t="str">
        <f>VLOOKUP(A:A,SUMMERY!AA:AC,3,FALSE)</f>
        <v>Priority-1</v>
      </c>
    </row>
    <row r="1070" spans="1:32" x14ac:dyDescent="0.3">
      <c r="A1070" t="s">
        <v>6656</v>
      </c>
      <c r="B1070" t="s">
        <v>6616</v>
      </c>
      <c r="G1070" t="s">
        <v>5356</v>
      </c>
      <c r="H1070" t="s">
        <v>132</v>
      </c>
      <c r="I1070" t="s">
        <v>1</v>
      </c>
      <c r="J1070" t="s">
        <v>5298</v>
      </c>
      <c r="K1070" t="s">
        <v>51</v>
      </c>
      <c r="L1070" t="s">
        <v>1282</v>
      </c>
      <c r="M1070" t="s">
        <v>134</v>
      </c>
      <c r="N1070" t="s">
        <v>135</v>
      </c>
      <c r="Q1070" t="s">
        <v>168</v>
      </c>
      <c r="S1070" t="s">
        <v>168</v>
      </c>
      <c r="U1070" t="s">
        <v>137</v>
      </c>
      <c r="V1070" t="s">
        <v>1283</v>
      </c>
      <c r="W1070" s="9">
        <v>46200.391686608797</v>
      </c>
      <c r="X1070" t="s">
        <v>78</v>
      </c>
      <c r="AA1070" t="s">
        <v>292</v>
      </c>
      <c r="AB1070" t="s">
        <v>1</v>
      </c>
      <c r="AC1070" t="s">
        <v>24</v>
      </c>
      <c r="AD1070" t="s">
        <v>128</v>
      </c>
      <c r="AE1070" s="97">
        <f>VLOOKUP(A:A,SUMMERY!AA:AC,2,FALSE)</f>
        <v>46234</v>
      </c>
      <c r="AF1070" s="6" t="str">
        <f>VLOOKUP(A:A,SUMMERY!AA:AC,3,FALSE)</f>
        <v>Priority-1</v>
      </c>
    </row>
    <row r="1071" spans="1:32" x14ac:dyDescent="0.3">
      <c r="A1071" t="s">
        <v>6657</v>
      </c>
      <c r="B1071" t="s">
        <v>6618</v>
      </c>
      <c r="G1071" t="s">
        <v>5356</v>
      </c>
      <c r="H1071" t="s">
        <v>132</v>
      </c>
      <c r="I1071" t="s">
        <v>1</v>
      </c>
      <c r="J1071" t="s">
        <v>5298</v>
      </c>
      <c r="K1071" t="s">
        <v>51</v>
      </c>
      <c r="L1071" t="s">
        <v>1282</v>
      </c>
      <c r="M1071" t="s">
        <v>134</v>
      </c>
      <c r="N1071" t="s">
        <v>135</v>
      </c>
      <c r="Q1071" t="s">
        <v>168</v>
      </c>
      <c r="S1071" t="s">
        <v>168</v>
      </c>
      <c r="U1071" t="s">
        <v>137</v>
      </c>
      <c r="V1071" t="s">
        <v>1283</v>
      </c>
      <c r="W1071" s="9">
        <v>46200.392640358798</v>
      </c>
      <c r="X1071" t="s">
        <v>78</v>
      </c>
      <c r="AA1071" t="s">
        <v>292</v>
      </c>
      <c r="AB1071" t="s">
        <v>1</v>
      </c>
      <c r="AC1071" t="s">
        <v>24</v>
      </c>
      <c r="AD1071" t="s">
        <v>128</v>
      </c>
      <c r="AE1071" s="97">
        <f>VLOOKUP(A:A,SUMMERY!AA:AC,2,FALSE)</f>
        <v>46234</v>
      </c>
      <c r="AF1071" s="6" t="str">
        <f>VLOOKUP(A:A,SUMMERY!AA:AC,3,FALSE)</f>
        <v>Priority-1</v>
      </c>
    </row>
    <row r="1072" spans="1:32" x14ac:dyDescent="0.3">
      <c r="A1072" t="s">
        <v>6668</v>
      </c>
      <c r="B1072" t="s">
        <v>6640</v>
      </c>
      <c r="G1072" t="s">
        <v>5356</v>
      </c>
      <c r="H1072" t="s">
        <v>132</v>
      </c>
      <c r="I1072" t="s">
        <v>1</v>
      </c>
      <c r="J1072" t="s">
        <v>5298</v>
      </c>
      <c r="K1072" t="s">
        <v>51</v>
      </c>
      <c r="L1072" t="s">
        <v>6641</v>
      </c>
      <c r="M1072" t="s">
        <v>134</v>
      </c>
      <c r="N1072" t="s">
        <v>135</v>
      </c>
      <c r="Q1072" t="s">
        <v>168</v>
      </c>
      <c r="S1072" t="s">
        <v>168</v>
      </c>
      <c r="U1072" t="s">
        <v>137</v>
      </c>
      <c r="V1072" t="s">
        <v>324</v>
      </c>
      <c r="X1072" t="s">
        <v>60</v>
      </c>
      <c r="AA1072" t="s">
        <v>292</v>
      </c>
      <c r="AB1072" t="s">
        <v>1</v>
      </c>
      <c r="AC1072" t="s">
        <v>138</v>
      </c>
      <c r="AD1072" t="s">
        <v>128</v>
      </c>
      <c r="AE1072" s="97">
        <f>VLOOKUP(A:A,SUMMERY!AA:AC,2,FALSE)</f>
        <v>46220</v>
      </c>
      <c r="AF1072" s="6" t="str">
        <f>VLOOKUP(A:A,SUMMERY!AA:AC,3,FALSE)</f>
        <v>Priority-1</v>
      </c>
    </row>
    <row r="1073" spans="1:32" x14ac:dyDescent="0.3">
      <c r="A1073" t="s">
        <v>5374</v>
      </c>
      <c r="B1073" t="s">
        <v>360</v>
      </c>
      <c r="G1073" t="s">
        <v>5356</v>
      </c>
      <c r="H1073" t="s">
        <v>132</v>
      </c>
      <c r="I1073" t="s">
        <v>1</v>
      </c>
      <c r="J1073" t="s">
        <v>5298</v>
      </c>
      <c r="K1073" t="s">
        <v>51</v>
      </c>
      <c r="L1073" t="s">
        <v>361</v>
      </c>
      <c r="M1073" t="s">
        <v>134</v>
      </c>
      <c r="N1073" t="s">
        <v>135</v>
      </c>
      <c r="Q1073" t="s">
        <v>168</v>
      </c>
      <c r="T1073" t="s">
        <v>169</v>
      </c>
      <c r="U1073" t="s">
        <v>137</v>
      </c>
      <c r="V1073" t="s">
        <v>362</v>
      </c>
      <c r="W1073" s="9">
        <v>46200.393459224535</v>
      </c>
      <c r="X1073" t="s">
        <v>58</v>
      </c>
      <c r="AA1073" t="s">
        <v>292</v>
      </c>
      <c r="AB1073" t="s">
        <v>1</v>
      </c>
      <c r="AC1073" t="s">
        <v>24</v>
      </c>
      <c r="AD1073" t="s">
        <v>128</v>
      </c>
      <c r="AE1073" s="97">
        <f>VLOOKUP(A:A,SUMMERY!AA:AC,2,FALSE)</f>
        <v>46220</v>
      </c>
      <c r="AF1073" s="6" t="str">
        <f>VLOOKUP(A:A,SUMMERY!AA:AC,3,FALSE)</f>
        <v>Priority-1</v>
      </c>
    </row>
    <row r="1074" spans="1:32" x14ac:dyDescent="0.3">
      <c r="A1074" t="s">
        <v>5375</v>
      </c>
      <c r="B1074" t="s">
        <v>364</v>
      </c>
      <c r="G1074" t="s">
        <v>5356</v>
      </c>
      <c r="H1074" t="s">
        <v>132</v>
      </c>
      <c r="I1074" t="s">
        <v>1</v>
      </c>
      <c r="J1074" t="s">
        <v>5298</v>
      </c>
      <c r="K1074" t="s">
        <v>51</v>
      </c>
      <c r="L1074" t="s">
        <v>361</v>
      </c>
      <c r="M1074" t="s">
        <v>134</v>
      </c>
      <c r="N1074" t="s">
        <v>135</v>
      </c>
      <c r="Q1074" t="s">
        <v>168</v>
      </c>
      <c r="T1074" t="s">
        <v>169</v>
      </c>
      <c r="U1074" t="s">
        <v>137</v>
      </c>
      <c r="V1074" t="s">
        <v>362</v>
      </c>
      <c r="W1074" s="9">
        <v>46200.39427769676</v>
      </c>
      <c r="X1074" t="s">
        <v>58</v>
      </c>
      <c r="AA1074" t="s">
        <v>292</v>
      </c>
      <c r="AB1074" t="s">
        <v>1</v>
      </c>
      <c r="AC1074" t="s">
        <v>24</v>
      </c>
      <c r="AD1074" t="s">
        <v>128</v>
      </c>
      <c r="AE1074" s="97">
        <f>VLOOKUP(A:A,SUMMERY!AA:AC,2,FALSE)</f>
        <v>46220</v>
      </c>
      <c r="AF1074" s="6" t="str">
        <f>VLOOKUP(A:A,SUMMERY!AA:AC,3,FALSE)</f>
        <v>Priority-1</v>
      </c>
    </row>
    <row r="1075" spans="1:32" x14ac:dyDescent="0.3">
      <c r="A1075" t="s">
        <v>5376</v>
      </c>
      <c r="B1075" t="s">
        <v>366</v>
      </c>
      <c r="G1075" t="s">
        <v>5356</v>
      </c>
      <c r="H1075" t="s">
        <v>132</v>
      </c>
      <c r="I1075" t="s">
        <v>1</v>
      </c>
      <c r="J1075" t="s">
        <v>5298</v>
      </c>
      <c r="K1075" t="s">
        <v>51</v>
      </c>
      <c r="L1075" t="s">
        <v>367</v>
      </c>
      <c r="M1075" t="s">
        <v>134</v>
      </c>
      <c r="N1075" t="s">
        <v>135</v>
      </c>
      <c r="Q1075" t="s">
        <v>168</v>
      </c>
      <c r="T1075" t="s">
        <v>169</v>
      </c>
      <c r="U1075" t="s">
        <v>137</v>
      </c>
      <c r="V1075" t="s">
        <v>362</v>
      </c>
      <c r="W1075" s="9">
        <v>46200.363906979168</v>
      </c>
      <c r="X1075" t="s">
        <v>58</v>
      </c>
      <c r="AA1075" t="s">
        <v>292</v>
      </c>
      <c r="AB1075" t="s">
        <v>1</v>
      </c>
      <c r="AC1075" t="s">
        <v>24</v>
      </c>
      <c r="AD1075" t="s">
        <v>128</v>
      </c>
      <c r="AE1075" s="97">
        <f>VLOOKUP(A:A,SUMMERY!AA:AC,2,FALSE)</f>
        <v>46220</v>
      </c>
      <c r="AF1075" s="6" t="str">
        <f>VLOOKUP(A:A,SUMMERY!AA:AC,3,FALSE)</f>
        <v>Priority-1</v>
      </c>
    </row>
    <row r="1076" spans="1:32" x14ac:dyDescent="0.3">
      <c r="A1076" t="s">
        <v>5377</v>
      </c>
      <c r="B1076" t="s">
        <v>369</v>
      </c>
      <c r="G1076" t="s">
        <v>5356</v>
      </c>
      <c r="H1076" t="s">
        <v>132</v>
      </c>
      <c r="I1076" t="s">
        <v>1</v>
      </c>
      <c r="J1076" t="s">
        <v>5298</v>
      </c>
      <c r="K1076" t="s">
        <v>51</v>
      </c>
      <c r="L1076" t="s">
        <v>370</v>
      </c>
      <c r="M1076" t="s">
        <v>134</v>
      </c>
      <c r="N1076" t="s">
        <v>135</v>
      </c>
      <c r="Q1076" t="s">
        <v>168</v>
      </c>
      <c r="T1076" t="s">
        <v>169</v>
      </c>
      <c r="U1076" t="s">
        <v>137</v>
      </c>
      <c r="V1076" t="s">
        <v>371</v>
      </c>
      <c r="W1076" s="9">
        <v>46200.370302627314</v>
      </c>
      <c r="X1076" t="s">
        <v>57</v>
      </c>
      <c r="AA1076" t="s">
        <v>292</v>
      </c>
      <c r="AB1076" t="s">
        <v>1</v>
      </c>
      <c r="AC1076" t="s">
        <v>24</v>
      </c>
      <c r="AD1076" t="s">
        <v>128</v>
      </c>
      <c r="AE1076" s="97">
        <f>VLOOKUP(A:A,SUMMERY!AA:AC,2,FALSE)</f>
        <v>46220</v>
      </c>
      <c r="AF1076" s="6" t="str">
        <f>VLOOKUP(A:A,SUMMERY!AA:AC,3,FALSE)</f>
        <v>Priority-1</v>
      </c>
    </row>
    <row r="1077" spans="1:32" x14ac:dyDescent="0.3">
      <c r="A1077" t="s">
        <v>5378</v>
      </c>
      <c r="B1077" t="s">
        <v>373</v>
      </c>
      <c r="G1077" t="s">
        <v>5356</v>
      </c>
      <c r="H1077" t="s">
        <v>132</v>
      </c>
      <c r="I1077" t="s">
        <v>1</v>
      </c>
      <c r="J1077" t="s">
        <v>5298</v>
      </c>
      <c r="K1077" t="s">
        <v>51</v>
      </c>
      <c r="L1077" t="s">
        <v>370</v>
      </c>
      <c r="M1077" t="s">
        <v>134</v>
      </c>
      <c r="N1077" t="s">
        <v>135</v>
      </c>
      <c r="Q1077" t="s">
        <v>168</v>
      </c>
      <c r="T1077" t="s">
        <v>169</v>
      </c>
      <c r="U1077" t="s">
        <v>137</v>
      </c>
      <c r="V1077" t="s">
        <v>371</v>
      </c>
      <c r="W1077" s="9">
        <v>46200.371430358799</v>
      </c>
      <c r="X1077" t="s">
        <v>57</v>
      </c>
      <c r="AA1077" t="s">
        <v>292</v>
      </c>
      <c r="AB1077" t="s">
        <v>1</v>
      </c>
      <c r="AC1077" t="s">
        <v>24</v>
      </c>
      <c r="AD1077" t="s">
        <v>128</v>
      </c>
      <c r="AE1077" s="97">
        <f>VLOOKUP(A:A,SUMMERY!AA:AC,2,FALSE)</f>
        <v>46220</v>
      </c>
      <c r="AF1077" s="6" t="str">
        <f>VLOOKUP(A:A,SUMMERY!AA:AC,3,FALSE)</f>
        <v>Priority-1</v>
      </c>
    </row>
    <row r="1078" spans="1:32" x14ac:dyDescent="0.3">
      <c r="A1078" t="s">
        <v>5379</v>
      </c>
      <c r="B1078" t="s">
        <v>375</v>
      </c>
      <c r="G1078" t="s">
        <v>5356</v>
      </c>
      <c r="H1078" t="s">
        <v>132</v>
      </c>
      <c r="I1078" t="s">
        <v>1</v>
      </c>
      <c r="J1078" t="s">
        <v>5298</v>
      </c>
      <c r="K1078" t="s">
        <v>51</v>
      </c>
      <c r="L1078" t="s">
        <v>370</v>
      </c>
      <c r="M1078" t="s">
        <v>134</v>
      </c>
      <c r="N1078" t="s">
        <v>135</v>
      </c>
      <c r="Q1078" t="s">
        <v>168</v>
      </c>
      <c r="T1078" t="s">
        <v>169</v>
      </c>
      <c r="U1078" t="s">
        <v>137</v>
      </c>
      <c r="V1078" t="s">
        <v>371</v>
      </c>
      <c r="W1078" s="9">
        <v>46200.395088043981</v>
      </c>
      <c r="X1078" t="s">
        <v>57</v>
      </c>
      <c r="AA1078" t="s">
        <v>292</v>
      </c>
      <c r="AB1078" t="s">
        <v>1</v>
      </c>
      <c r="AC1078" t="s">
        <v>24</v>
      </c>
      <c r="AD1078" t="s">
        <v>128</v>
      </c>
      <c r="AE1078" s="97">
        <f>VLOOKUP(A:A,SUMMERY!AA:AC,2,FALSE)</f>
        <v>46220</v>
      </c>
      <c r="AF1078" s="6" t="str">
        <f>VLOOKUP(A:A,SUMMERY!AA:AC,3,FALSE)</f>
        <v>Priority-1</v>
      </c>
    </row>
    <row r="1079" spans="1:32" x14ac:dyDescent="0.3">
      <c r="A1079" t="s">
        <v>5380</v>
      </c>
      <c r="B1079" t="s">
        <v>377</v>
      </c>
      <c r="G1079" t="s">
        <v>5356</v>
      </c>
      <c r="H1079" t="s">
        <v>132</v>
      </c>
      <c r="I1079" t="s">
        <v>1</v>
      </c>
      <c r="J1079" t="s">
        <v>5298</v>
      </c>
      <c r="K1079" t="s">
        <v>51</v>
      </c>
      <c r="L1079" t="s">
        <v>378</v>
      </c>
      <c r="M1079" t="s">
        <v>134</v>
      </c>
      <c r="N1079" t="s">
        <v>135</v>
      </c>
      <c r="Q1079" t="s">
        <v>168</v>
      </c>
      <c r="T1079" t="s">
        <v>169</v>
      </c>
      <c r="U1079" t="s">
        <v>137</v>
      </c>
      <c r="V1079" t="s">
        <v>371</v>
      </c>
      <c r="W1079" s="9">
        <v>46200.36918159722</v>
      </c>
      <c r="X1079" t="s">
        <v>57</v>
      </c>
      <c r="AA1079" t="s">
        <v>292</v>
      </c>
      <c r="AB1079" t="s">
        <v>1</v>
      </c>
      <c r="AC1079" t="s">
        <v>24</v>
      </c>
      <c r="AD1079" t="s">
        <v>128</v>
      </c>
      <c r="AE1079" s="97">
        <f>VLOOKUP(A:A,SUMMERY!AA:AC,2,FALSE)</f>
        <v>46220</v>
      </c>
      <c r="AF1079" s="6" t="str">
        <f>VLOOKUP(A:A,SUMMERY!AA:AC,3,FALSE)</f>
        <v>Priority-1</v>
      </c>
    </row>
    <row r="1080" spans="1:32" x14ac:dyDescent="0.3">
      <c r="A1080" t="s">
        <v>5381</v>
      </c>
      <c r="B1080" t="s">
        <v>380</v>
      </c>
      <c r="G1080" t="s">
        <v>5356</v>
      </c>
      <c r="H1080" t="s">
        <v>132</v>
      </c>
      <c r="I1080" t="s">
        <v>1</v>
      </c>
      <c r="J1080" t="s">
        <v>5298</v>
      </c>
      <c r="K1080" t="s">
        <v>51</v>
      </c>
      <c r="L1080" t="s">
        <v>381</v>
      </c>
      <c r="M1080" t="s">
        <v>134</v>
      </c>
      <c r="N1080" t="s">
        <v>135</v>
      </c>
      <c r="Q1080" t="s">
        <v>168</v>
      </c>
      <c r="T1080" t="s">
        <v>169</v>
      </c>
      <c r="U1080" t="s">
        <v>137</v>
      </c>
      <c r="V1080" t="s">
        <v>147</v>
      </c>
      <c r="W1080" s="9">
        <v>46192.195247025462</v>
      </c>
      <c r="X1080" t="s">
        <v>70</v>
      </c>
      <c r="AA1080" t="s">
        <v>292</v>
      </c>
      <c r="AB1080" t="s">
        <v>1</v>
      </c>
      <c r="AC1080" t="s">
        <v>24</v>
      </c>
      <c r="AD1080" t="s">
        <v>128</v>
      </c>
      <c r="AE1080" s="97">
        <f>VLOOKUP(A:A,SUMMERY!AA:AC,2,FALSE)</f>
        <v>46220</v>
      </c>
      <c r="AF1080" s="6" t="str">
        <f>VLOOKUP(A:A,SUMMERY!AA:AC,3,FALSE)</f>
        <v>Priority-1</v>
      </c>
    </row>
    <row r="1081" spans="1:32" x14ac:dyDescent="0.3">
      <c r="A1081" t="s">
        <v>5382</v>
      </c>
      <c r="B1081" t="s">
        <v>383</v>
      </c>
      <c r="G1081" t="s">
        <v>5356</v>
      </c>
      <c r="H1081" t="s">
        <v>132</v>
      </c>
      <c r="I1081" t="s">
        <v>1</v>
      </c>
      <c r="J1081" t="s">
        <v>5298</v>
      </c>
      <c r="K1081" t="s">
        <v>51</v>
      </c>
      <c r="L1081" t="s">
        <v>384</v>
      </c>
      <c r="M1081" t="s">
        <v>134</v>
      </c>
      <c r="N1081" t="s">
        <v>135</v>
      </c>
      <c r="Q1081" t="s">
        <v>168</v>
      </c>
      <c r="T1081" t="s">
        <v>169</v>
      </c>
      <c r="U1081" t="s">
        <v>137</v>
      </c>
      <c r="V1081" t="s">
        <v>150</v>
      </c>
      <c r="W1081" s="9">
        <v>46192.195537928237</v>
      </c>
      <c r="X1081" t="s">
        <v>76</v>
      </c>
      <c r="AA1081" t="s">
        <v>292</v>
      </c>
      <c r="AB1081" t="s">
        <v>1</v>
      </c>
      <c r="AC1081" t="s">
        <v>24</v>
      </c>
      <c r="AD1081" t="s">
        <v>128</v>
      </c>
      <c r="AE1081" s="97">
        <f>VLOOKUP(A:A,SUMMERY!AA:AC,2,FALSE)</f>
        <v>46233</v>
      </c>
      <c r="AF1081" s="6" t="str">
        <f>VLOOKUP(A:A,SUMMERY!AA:AC,3,FALSE)</f>
        <v>Priority-1</v>
      </c>
    </row>
    <row r="1082" spans="1:32" x14ac:dyDescent="0.3">
      <c r="A1082" t="s">
        <v>5388</v>
      </c>
      <c r="B1082" t="s">
        <v>401</v>
      </c>
      <c r="G1082" t="s">
        <v>5356</v>
      </c>
      <c r="H1082" t="s">
        <v>132</v>
      </c>
      <c r="I1082" t="s">
        <v>1</v>
      </c>
      <c r="J1082" t="s">
        <v>5298</v>
      </c>
      <c r="K1082" t="s">
        <v>51</v>
      </c>
      <c r="L1082" t="s">
        <v>402</v>
      </c>
      <c r="M1082" t="s">
        <v>134</v>
      </c>
      <c r="N1082" t="s">
        <v>135</v>
      </c>
      <c r="Q1082" t="s">
        <v>168</v>
      </c>
      <c r="T1082" t="s">
        <v>169</v>
      </c>
      <c r="U1082" t="s">
        <v>137</v>
      </c>
      <c r="V1082" t="s">
        <v>403</v>
      </c>
      <c r="X1082" t="s">
        <v>68</v>
      </c>
      <c r="AA1082" t="s">
        <v>292</v>
      </c>
      <c r="AB1082" t="s">
        <v>1</v>
      </c>
      <c r="AC1082" t="s">
        <v>138</v>
      </c>
      <c r="AD1082" t="s">
        <v>128</v>
      </c>
      <c r="AE1082" s="97">
        <f>VLOOKUP(A:A,SUMMERY!AA:AC,2,FALSE)</f>
        <v>46233</v>
      </c>
      <c r="AF1082" s="6" t="str">
        <f>VLOOKUP(A:A,SUMMERY!AA:AC,3,FALSE)</f>
        <v>Priority-1</v>
      </c>
    </row>
    <row r="1083" spans="1:32" x14ac:dyDescent="0.3">
      <c r="A1083" t="s">
        <v>5389</v>
      </c>
      <c r="B1083" t="s">
        <v>405</v>
      </c>
      <c r="G1083" t="s">
        <v>5356</v>
      </c>
      <c r="H1083" t="s">
        <v>132</v>
      </c>
      <c r="I1083" t="s">
        <v>1</v>
      </c>
      <c r="J1083" t="s">
        <v>5298</v>
      </c>
      <c r="K1083" t="s">
        <v>51</v>
      </c>
      <c r="L1083" t="s">
        <v>406</v>
      </c>
      <c r="M1083" t="s">
        <v>134</v>
      </c>
      <c r="N1083" t="s">
        <v>135</v>
      </c>
      <c r="Q1083" t="s">
        <v>168</v>
      </c>
      <c r="T1083" t="s">
        <v>169</v>
      </c>
      <c r="U1083" t="s">
        <v>137</v>
      </c>
      <c r="V1083" t="s">
        <v>407</v>
      </c>
      <c r="X1083" t="s">
        <v>77</v>
      </c>
      <c r="AA1083" t="s">
        <v>292</v>
      </c>
      <c r="AB1083" t="s">
        <v>1</v>
      </c>
      <c r="AC1083" t="s">
        <v>138</v>
      </c>
      <c r="AD1083" t="s">
        <v>128</v>
      </c>
      <c r="AE1083" s="97">
        <f>VLOOKUP(A:A,SUMMERY!AA:AC,2,FALSE)</f>
        <v>46233</v>
      </c>
      <c r="AF1083" s="6" t="str">
        <f>VLOOKUP(A:A,SUMMERY!AA:AC,3,FALSE)</f>
        <v>Priority-1</v>
      </c>
    </row>
    <row r="1084" spans="1:32" x14ac:dyDescent="0.3">
      <c r="A1084" t="s">
        <v>5395</v>
      </c>
      <c r="B1084" t="s">
        <v>429</v>
      </c>
      <c r="G1084" t="s">
        <v>5356</v>
      </c>
      <c r="H1084" t="s">
        <v>132</v>
      </c>
      <c r="I1084" t="s">
        <v>1</v>
      </c>
      <c r="J1084" t="s">
        <v>5298</v>
      </c>
      <c r="K1084" t="s">
        <v>51</v>
      </c>
      <c r="L1084" t="s">
        <v>430</v>
      </c>
      <c r="M1084" t="s">
        <v>134</v>
      </c>
      <c r="N1084" t="s">
        <v>135</v>
      </c>
      <c r="Q1084" t="s">
        <v>168</v>
      </c>
      <c r="T1084" t="s">
        <v>169</v>
      </c>
      <c r="U1084" t="s">
        <v>137</v>
      </c>
      <c r="V1084" t="s">
        <v>147</v>
      </c>
      <c r="W1084" s="9">
        <v>46184.222067511575</v>
      </c>
      <c r="X1084" t="s">
        <v>70</v>
      </c>
      <c r="AA1084" t="s">
        <v>292</v>
      </c>
      <c r="AB1084" t="s">
        <v>1</v>
      </c>
      <c r="AC1084" t="s">
        <v>24</v>
      </c>
      <c r="AD1084" t="s">
        <v>128</v>
      </c>
      <c r="AE1084" s="97">
        <f>VLOOKUP(A:A,SUMMERY!AA:AC,2,FALSE)</f>
        <v>46220</v>
      </c>
      <c r="AF1084" s="6" t="str">
        <f>VLOOKUP(A:A,SUMMERY!AA:AC,3,FALSE)</f>
        <v>Priority-1</v>
      </c>
    </row>
    <row r="1085" spans="1:32" x14ac:dyDescent="0.3">
      <c r="A1085" t="s">
        <v>5396</v>
      </c>
      <c r="B1085" t="s">
        <v>432</v>
      </c>
      <c r="G1085" t="s">
        <v>5356</v>
      </c>
      <c r="H1085" t="s">
        <v>132</v>
      </c>
      <c r="I1085" t="s">
        <v>1</v>
      </c>
      <c r="J1085" t="s">
        <v>5298</v>
      </c>
      <c r="K1085" t="s">
        <v>51</v>
      </c>
      <c r="L1085" t="s">
        <v>433</v>
      </c>
      <c r="M1085" t="s">
        <v>134</v>
      </c>
      <c r="N1085" t="s">
        <v>135</v>
      </c>
      <c r="Q1085" t="s">
        <v>168</v>
      </c>
      <c r="T1085" t="s">
        <v>169</v>
      </c>
      <c r="U1085" t="s">
        <v>137</v>
      </c>
      <c r="V1085" t="s">
        <v>150</v>
      </c>
      <c r="X1085" t="s">
        <v>76</v>
      </c>
      <c r="AA1085" t="s">
        <v>292</v>
      </c>
      <c r="AB1085" t="s">
        <v>1</v>
      </c>
      <c r="AC1085" t="s">
        <v>3733</v>
      </c>
      <c r="AD1085" t="s">
        <v>128</v>
      </c>
      <c r="AE1085" s="97">
        <f>VLOOKUP(A:A,SUMMERY!AA:AC,2,FALSE)</f>
        <v>46233</v>
      </c>
      <c r="AF1085" s="6" t="str">
        <f>VLOOKUP(A:A,SUMMERY!AA:AC,3,FALSE)</f>
        <v>Priority-1</v>
      </c>
    </row>
    <row r="1086" spans="1:32" x14ac:dyDescent="0.3">
      <c r="A1086" t="s">
        <v>5402</v>
      </c>
      <c r="B1086" t="s">
        <v>450</v>
      </c>
      <c r="G1086" t="s">
        <v>5356</v>
      </c>
      <c r="H1086" t="s">
        <v>132</v>
      </c>
      <c r="I1086" t="s">
        <v>1</v>
      </c>
      <c r="J1086" t="s">
        <v>5298</v>
      </c>
      <c r="K1086" t="s">
        <v>51</v>
      </c>
      <c r="L1086" t="s">
        <v>451</v>
      </c>
      <c r="M1086" t="s">
        <v>134</v>
      </c>
      <c r="N1086" t="s">
        <v>135</v>
      </c>
      <c r="Q1086" t="s">
        <v>168</v>
      </c>
      <c r="T1086" t="s">
        <v>169</v>
      </c>
      <c r="U1086" t="s">
        <v>137</v>
      </c>
      <c r="V1086" t="s">
        <v>147</v>
      </c>
      <c r="W1086" s="9">
        <v>46178.324430671295</v>
      </c>
      <c r="X1086" t="s">
        <v>70</v>
      </c>
      <c r="AA1086" t="s">
        <v>292</v>
      </c>
      <c r="AB1086" t="s">
        <v>1</v>
      </c>
      <c r="AC1086" t="s">
        <v>24</v>
      </c>
      <c r="AD1086" t="s">
        <v>128</v>
      </c>
      <c r="AE1086" s="97">
        <f>VLOOKUP(A:A,SUMMERY!AA:AC,2,FALSE)</f>
        <v>46220</v>
      </c>
      <c r="AF1086" s="6" t="str">
        <f>VLOOKUP(A:A,SUMMERY!AA:AC,3,FALSE)</f>
        <v>Priority-1</v>
      </c>
    </row>
    <row r="1087" spans="1:32" x14ac:dyDescent="0.3">
      <c r="A1087" t="s">
        <v>5403</v>
      </c>
      <c r="B1087" t="s">
        <v>453</v>
      </c>
      <c r="G1087" t="s">
        <v>5356</v>
      </c>
      <c r="H1087" t="s">
        <v>132</v>
      </c>
      <c r="I1087" t="s">
        <v>1</v>
      </c>
      <c r="J1087" t="s">
        <v>5298</v>
      </c>
      <c r="K1087" t="s">
        <v>51</v>
      </c>
      <c r="L1087" t="s">
        <v>451</v>
      </c>
      <c r="M1087" t="s">
        <v>134</v>
      </c>
      <c r="N1087" t="s">
        <v>135</v>
      </c>
      <c r="Q1087" t="s">
        <v>168</v>
      </c>
      <c r="T1087" t="s">
        <v>169</v>
      </c>
      <c r="U1087" t="s">
        <v>137</v>
      </c>
      <c r="V1087" t="s">
        <v>147</v>
      </c>
      <c r="W1087" s="9">
        <v>46178.325840509257</v>
      </c>
      <c r="X1087" t="s">
        <v>70</v>
      </c>
      <c r="AA1087" t="s">
        <v>292</v>
      </c>
      <c r="AB1087" t="s">
        <v>1</v>
      </c>
      <c r="AC1087" t="s">
        <v>24</v>
      </c>
      <c r="AD1087" t="s">
        <v>128</v>
      </c>
      <c r="AE1087" s="97">
        <f>VLOOKUP(A:A,SUMMERY!AA:AC,2,FALSE)</f>
        <v>46220</v>
      </c>
      <c r="AF1087" s="6" t="str">
        <f>VLOOKUP(A:A,SUMMERY!AA:AC,3,FALSE)</f>
        <v>Priority-1</v>
      </c>
    </row>
    <row r="1088" spans="1:32" x14ac:dyDescent="0.3">
      <c r="A1088" t="s">
        <v>5404</v>
      </c>
      <c r="B1088" t="s">
        <v>455</v>
      </c>
      <c r="G1088" t="s">
        <v>5356</v>
      </c>
      <c r="H1088" t="s">
        <v>132</v>
      </c>
      <c r="I1088" t="s">
        <v>1</v>
      </c>
      <c r="J1088" t="s">
        <v>5298</v>
      </c>
      <c r="K1088" t="s">
        <v>51</v>
      </c>
      <c r="L1088" t="s">
        <v>451</v>
      </c>
      <c r="M1088" t="s">
        <v>134</v>
      </c>
      <c r="N1088" t="s">
        <v>135</v>
      </c>
      <c r="Q1088" t="s">
        <v>168</v>
      </c>
      <c r="T1088" t="s">
        <v>169</v>
      </c>
      <c r="U1088" t="s">
        <v>137</v>
      </c>
      <c r="V1088" t="s">
        <v>147</v>
      </c>
      <c r="X1088" t="s">
        <v>70</v>
      </c>
      <c r="AA1088" t="s">
        <v>292</v>
      </c>
      <c r="AB1088" t="s">
        <v>1</v>
      </c>
      <c r="AC1088" t="s">
        <v>3733</v>
      </c>
      <c r="AD1088" t="s">
        <v>128</v>
      </c>
      <c r="AE1088" s="97">
        <f>VLOOKUP(A:A,SUMMERY!AA:AC,2,FALSE)</f>
        <v>46220</v>
      </c>
      <c r="AF1088" s="6" t="str">
        <f>VLOOKUP(A:A,SUMMERY!AA:AC,3,FALSE)</f>
        <v>Priority-1</v>
      </c>
    </row>
    <row r="1089" spans="1:32" x14ac:dyDescent="0.3">
      <c r="A1089" t="s">
        <v>5405</v>
      </c>
      <c r="B1089" t="s">
        <v>457</v>
      </c>
      <c r="G1089" t="s">
        <v>5356</v>
      </c>
      <c r="H1089" t="s">
        <v>132</v>
      </c>
      <c r="I1089" t="s">
        <v>1</v>
      </c>
      <c r="J1089" t="s">
        <v>5298</v>
      </c>
      <c r="K1089" t="s">
        <v>51</v>
      </c>
      <c r="L1089" t="s">
        <v>451</v>
      </c>
      <c r="M1089" t="s">
        <v>134</v>
      </c>
      <c r="N1089" t="s">
        <v>135</v>
      </c>
      <c r="Q1089" t="s">
        <v>168</v>
      </c>
      <c r="T1089" t="s">
        <v>169</v>
      </c>
      <c r="U1089" t="s">
        <v>137</v>
      </c>
      <c r="V1089" t="s">
        <v>147</v>
      </c>
      <c r="W1089" s="9">
        <v>46179.195530243058</v>
      </c>
      <c r="X1089" t="s">
        <v>70</v>
      </c>
      <c r="AA1089" t="s">
        <v>292</v>
      </c>
      <c r="AB1089" t="s">
        <v>1</v>
      </c>
      <c r="AC1089" t="s">
        <v>24</v>
      </c>
      <c r="AD1089" t="s">
        <v>128</v>
      </c>
      <c r="AE1089" s="97">
        <f>VLOOKUP(A:A,SUMMERY!AA:AC,2,FALSE)</f>
        <v>46220</v>
      </c>
      <c r="AF1089" s="6" t="str">
        <f>VLOOKUP(A:A,SUMMERY!AA:AC,3,FALSE)</f>
        <v>Priority-1</v>
      </c>
    </row>
    <row r="1090" spans="1:32" x14ac:dyDescent="0.3">
      <c r="A1090" t="s">
        <v>5406</v>
      </c>
      <c r="B1090" t="s">
        <v>459</v>
      </c>
      <c r="G1090" t="s">
        <v>5356</v>
      </c>
      <c r="H1090" t="s">
        <v>132</v>
      </c>
      <c r="I1090" t="s">
        <v>1</v>
      </c>
      <c r="J1090" t="s">
        <v>5298</v>
      </c>
      <c r="K1090" t="s">
        <v>51</v>
      </c>
      <c r="L1090" t="s">
        <v>451</v>
      </c>
      <c r="M1090" t="s">
        <v>134</v>
      </c>
      <c r="N1090" t="s">
        <v>135</v>
      </c>
      <c r="Q1090" t="s">
        <v>168</v>
      </c>
      <c r="T1090" t="s">
        <v>169</v>
      </c>
      <c r="U1090" t="s">
        <v>137</v>
      </c>
      <c r="V1090" t="s">
        <v>147</v>
      </c>
      <c r="X1090" t="s">
        <v>70</v>
      </c>
      <c r="AA1090" t="s">
        <v>292</v>
      </c>
      <c r="AB1090" t="s">
        <v>1</v>
      </c>
      <c r="AC1090" t="s">
        <v>3733</v>
      </c>
      <c r="AD1090" t="s">
        <v>128</v>
      </c>
      <c r="AE1090" s="97">
        <f>VLOOKUP(A:A,SUMMERY!AA:AC,2,FALSE)</f>
        <v>46220</v>
      </c>
      <c r="AF1090" s="6" t="str">
        <f>VLOOKUP(A:A,SUMMERY!AA:AC,3,FALSE)</f>
        <v>Priority-1</v>
      </c>
    </row>
    <row r="1091" spans="1:32" x14ac:dyDescent="0.3">
      <c r="A1091" t="s">
        <v>5407</v>
      </c>
      <c r="B1091" t="s">
        <v>461</v>
      </c>
      <c r="G1091" t="s">
        <v>5356</v>
      </c>
      <c r="H1091" t="s">
        <v>132</v>
      </c>
      <c r="I1091" t="s">
        <v>1</v>
      </c>
      <c r="J1091" t="s">
        <v>5298</v>
      </c>
      <c r="K1091" t="s">
        <v>51</v>
      </c>
      <c r="L1091" t="s">
        <v>451</v>
      </c>
      <c r="M1091" t="s">
        <v>134</v>
      </c>
      <c r="N1091" t="s">
        <v>135</v>
      </c>
      <c r="Q1091" t="s">
        <v>168</v>
      </c>
      <c r="T1091" t="s">
        <v>169</v>
      </c>
      <c r="U1091" t="s">
        <v>137</v>
      </c>
      <c r="V1091" t="s">
        <v>147</v>
      </c>
      <c r="X1091" t="s">
        <v>70</v>
      </c>
      <c r="AA1091" t="s">
        <v>292</v>
      </c>
      <c r="AB1091" t="s">
        <v>1</v>
      </c>
      <c r="AC1091" t="s">
        <v>3733</v>
      </c>
      <c r="AD1091" t="s">
        <v>128</v>
      </c>
      <c r="AE1091" s="97">
        <f>VLOOKUP(A:A,SUMMERY!AA:AC,2,FALSE)</f>
        <v>46220</v>
      </c>
      <c r="AF1091" s="6" t="str">
        <f>VLOOKUP(A:A,SUMMERY!AA:AC,3,FALSE)</f>
        <v>Priority-1</v>
      </c>
    </row>
    <row r="1092" spans="1:32" x14ac:dyDescent="0.3">
      <c r="A1092" t="s">
        <v>5408</v>
      </c>
      <c r="B1092" t="s">
        <v>463</v>
      </c>
      <c r="G1092" t="s">
        <v>5356</v>
      </c>
      <c r="H1092" t="s">
        <v>132</v>
      </c>
      <c r="I1092" t="s">
        <v>1</v>
      </c>
      <c r="J1092" t="s">
        <v>5298</v>
      </c>
      <c r="K1092" t="s">
        <v>51</v>
      </c>
      <c r="L1092" t="s">
        <v>464</v>
      </c>
      <c r="M1092" t="s">
        <v>134</v>
      </c>
      <c r="N1092" t="s">
        <v>135</v>
      </c>
      <c r="Q1092" t="s">
        <v>168</v>
      </c>
      <c r="T1092" t="s">
        <v>169</v>
      </c>
      <c r="U1092" t="s">
        <v>137</v>
      </c>
      <c r="V1092" t="s">
        <v>147</v>
      </c>
      <c r="X1092" t="s">
        <v>70</v>
      </c>
      <c r="AA1092" t="s">
        <v>292</v>
      </c>
      <c r="AB1092" t="s">
        <v>1</v>
      </c>
      <c r="AC1092" t="s">
        <v>3733</v>
      </c>
      <c r="AD1092" t="s">
        <v>128</v>
      </c>
      <c r="AE1092" s="97">
        <f>VLOOKUP(A:A,SUMMERY!AA:AC,2,FALSE)</f>
        <v>46220</v>
      </c>
      <c r="AF1092" s="6" t="str">
        <f>VLOOKUP(A:A,SUMMERY!AA:AC,3,FALSE)</f>
        <v>Priority-1</v>
      </c>
    </row>
    <row r="1093" spans="1:32" x14ac:dyDescent="0.3">
      <c r="A1093" t="s">
        <v>5409</v>
      </c>
      <c r="B1093" t="s">
        <v>466</v>
      </c>
      <c r="G1093" t="s">
        <v>5356</v>
      </c>
      <c r="H1093" t="s">
        <v>132</v>
      </c>
      <c r="I1093" t="s">
        <v>1</v>
      </c>
      <c r="J1093" t="s">
        <v>5298</v>
      </c>
      <c r="K1093" t="s">
        <v>51</v>
      </c>
      <c r="L1093" t="s">
        <v>464</v>
      </c>
      <c r="M1093" t="s">
        <v>134</v>
      </c>
      <c r="N1093" t="s">
        <v>135</v>
      </c>
      <c r="Q1093" t="s">
        <v>168</v>
      </c>
      <c r="T1093" t="s">
        <v>169</v>
      </c>
      <c r="U1093" t="s">
        <v>137</v>
      </c>
      <c r="V1093" t="s">
        <v>147</v>
      </c>
      <c r="X1093" t="s">
        <v>70</v>
      </c>
      <c r="AA1093" t="s">
        <v>292</v>
      </c>
      <c r="AB1093" t="s">
        <v>1</v>
      </c>
      <c r="AC1093" t="s">
        <v>3733</v>
      </c>
      <c r="AD1093" t="s">
        <v>128</v>
      </c>
      <c r="AE1093" s="97">
        <f>VLOOKUP(A:A,SUMMERY!AA:AC,2,FALSE)</f>
        <v>46220</v>
      </c>
      <c r="AF1093" s="6" t="str">
        <f>VLOOKUP(A:A,SUMMERY!AA:AC,3,FALSE)</f>
        <v>Priority-1</v>
      </c>
    </row>
    <row r="1094" spans="1:32" x14ac:dyDescent="0.3">
      <c r="A1094" t="s">
        <v>5410</v>
      </c>
      <c r="B1094" t="s">
        <v>468</v>
      </c>
      <c r="G1094" t="s">
        <v>5356</v>
      </c>
      <c r="H1094" t="s">
        <v>132</v>
      </c>
      <c r="I1094" t="s">
        <v>1</v>
      </c>
      <c r="J1094" t="s">
        <v>5298</v>
      </c>
      <c r="K1094" t="s">
        <v>51</v>
      </c>
      <c r="L1094" t="s">
        <v>464</v>
      </c>
      <c r="M1094" t="s">
        <v>134</v>
      </c>
      <c r="N1094" t="s">
        <v>135</v>
      </c>
      <c r="Q1094" t="s">
        <v>168</v>
      </c>
      <c r="T1094" t="s">
        <v>169</v>
      </c>
      <c r="U1094" t="s">
        <v>137</v>
      </c>
      <c r="V1094" t="s">
        <v>147</v>
      </c>
      <c r="X1094" t="s">
        <v>70</v>
      </c>
      <c r="AA1094" t="s">
        <v>292</v>
      </c>
      <c r="AB1094" t="s">
        <v>1</v>
      </c>
      <c r="AC1094" t="s">
        <v>3733</v>
      </c>
      <c r="AD1094" t="s">
        <v>128</v>
      </c>
      <c r="AE1094" s="97">
        <f>VLOOKUP(A:A,SUMMERY!AA:AC,2,FALSE)</f>
        <v>46220</v>
      </c>
      <c r="AF1094" s="6" t="str">
        <f>VLOOKUP(A:A,SUMMERY!AA:AC,3,FALSE)</f>
        <v>Priority-1</v>
      </c>
    </row>
    <row r="1095" spans="1:32" x14ac:dyDescent="0.3">
      <c r="A1095" t="s">
        <v>5411</v>
      </c>
      <c r="B1095" t="s">
        <v>470</v>
      </c>
      <c r="G1095" t="s">
        <v>5356</v>
      </c>
      <c r="H1095" t="s">
        <v>132</v>
      </c>
      <c r="I1095" t="s">
        <v>1</v>
      </c>
      <c r="J1095" t="s">
        <v>5298</v>
      </c>
      <c r="K1095" t="s">
        <v>51</v>
      </c>
      <c r="L1095" t="s">
        <v>464</v>
      </c>
      <c r="M1095" t="s">
        <v>134</v>
      </c>
      <c r="N1095" t="s">
        <v>135</v>
      </c>
      <c r="Q1095" t="s">
        <v>168</v>
      </c>
      <c r="T1095" t="s">
        <v>169</v>
      </c>
      <c r="U1095" t="s">
        <v>137</v>
      </c>
      <c r="V1095" t="s">
        <v>147</v>
      </c>
      <c r="X1095" t="s">
        <v>70</v>
      </c>
      <c r="AA1095" t="s">
        <v>292</v>
      </c>
      <c r="AB1095" t="s">
        <v>1</v>
      </c>
      <c r="AC1095" t="s">
        <v>3733</v>
      </c>
      <c r="AD1095" t="s">
        <v>128</v>
      </c>
      <c r="AE1095" s="97">
        <f>VLOOKUP(A:A,SUMMERY!AA:AC,2,FALSE)</f>
        <v>46220</v>
      </c>
      <c r="AF1095" s="6" t="str">
        <f>VLOOKUP(A:A,SUMMERY!AA:AC,3,FALSE)</f>
        <v>Priority-1</v>
      </c>
    </row>
    <row r="1096" spans="1:32" x14ac:dyDescent="0.3">
      <c r="A1096" t="s">
        <v>5412</v>
      </c>
      <c r="B1096" t="s">
        <v>472</v>
      </c>
      <c r="G1096" t="s">
        <v>5356</v>
      </c>
      <c r="H1096" t="s">
        <v>132</v>
      </c>
      <c r="I1096" t="s">
        <v>1</v>
      </c>
      <c r="J1096" t="s">
        <v>5298</v>
      </c>
      <c r="K1096" t="s">
        <v>51</v>
      </c>
      <c r="L1096" t="s">
        <v>464</v>
      </c>
      <c r="M1096" t="s">
        <v>134</v>
      </c>
      <c r="N1096" t="s">
        <v>135</v>
      </c>
      <c r="Q1096" t="s">
        <v>168</v>
      </c>
      <c r="T1096" t="s">
        <v>169</v>
      </c>
      <c r="U1096" t="s">
        <v>137</v>
      </c>
      <c r="V1096" t="s">
        <v>147</v>
      </c>
      <c r="X1096" t="s">
        <v>70</v>
      </c>
      <c r="AA1096" t="s">
        <v>292</v>
      </c>
      <c r="AB1096" t="s">
        <v>1</v>
      </c>
      <c r="AC1096" t="s">
        <v>3733</v>
      </c>
      <c r="AD1096" t="s">
        <v>128</v>
      </c>
      <c r="AE1096" s="97">
        <f>VLOOKUP(A:A,SUMMERY!AA:AC,2,FALSE)</f>
        <v>46220</v>
      </c>
      <c r="AF1096" s="6" t="str">
        <f>VLOOKUP(A:A,SUMMERY!AA:AC,3,FALSE)</f>
        <v>Priority-1</v>
      </c>
    </row>
    <row r="1097" spans="1:32" x14ac:dyDescent="0.3">
      <c r="A1097" t="s">
        <v>5413</v>
      </c>
      <c r="B1097" t="s">
        <v>474</v>
      </c>
      <c r="G1097" t="s">
        <v>5356</v>
      </c>
      <c r="H1097" t="s">
        <v>132</v>
      </c>
      <c r="I1097" t="s">
        <v>1</v>
      </c>
      <c r="J1097" t="s">
        <v>5298</v>
      </c>
      <c r="K1097" t="s">
        <v>51</v>
      </c>
      <c r="L1097" t="s">
        <v>464</v>
      </c>
      <c r="M1097" t="s">
        <v>134</v>
      </c>
      <c r="N1097" t="s">
        <v>135</v>
      </c>
      <c r="Q1097" t="s">
        <v>168</v>
      </c>
      <c r="T1097" t="s">
        <v>169</v>
      </c>
      <c r="U1097" t="s">
        <v>137</v>
      </c>
      <c r="V1097" t="s">
        <v>147</v>
      </c>
      <c r="X1097" t="s">
        <v>70</v>
      </c>
      <c r="AA1097" t="s">
        <v>292</v>
      </c>
      <c r="AB1097" t="s">
        <v>1</v>
      </c>
      <c r="AC1097" t="s">
        <v>3733</v>
      </c>
      <c r="AD1097" t="s">
        <v>128</v>
      </c>
      <c r="AE1097" s="97">
        <f>VLOOKUP(A:A,SUMMERY!AA:AC,2,FALSE)</f>
        <v>46220</v>
      </c>
      <c r="AF1097" s="6" t="str">
        <f>VLOOKUP(A:A,SUMMERY!AA:AC,3,FALSE)</f>
        <v>Priority-1</v>
      </c>
    </row>
    <row r="1098" spans="1:32" x14ac:dyDescent="0.3">
      <c r="A1098" t="s">
        <v>5414</v>
      </c>
      <c r="B1098" t="s">
        <v>476</v>
      </c>
      <c r="G1098" t="s">
        <v>5356</v>
      </c>
      <c r="H1098" t="s">
        <v>132</v>
      </c>
      <c r="I1098" t="s">
        <v>1</v>
      </c>
      <c r="J1098" t="s">
        <v>5298</v>
      </c>
      <c r="K1098" t="s">
        <v>51</v>
      </c>
      <c r="L1098" t="s">
        <v>477</v>
      </c>
      <c r="M1098" t="s">
        <v>134</v>
      </c>
      <c r="N1098" t="s">
        <v>135</v>
      </c>
      <c r="Q1098" t="s">
        <v>168</v>
      </c>
      <c r="T1098" t="s">
        <v>169</v>
      </c>
      <c r="U1098" t="s">
        <v>137</v>
      </c>
      <c r="V1098" t="s">
        <v>150</v>
      </c>
      <c r="X1098" t="s">
        <v>76</v>
      </c>
      <c r="AA1098" t="s">
        <v>292</v>
      </c>
      <c r="AB1098" t="s">
        <v>1</v>
      </c>
      <c r="AC1098" t="s">
        <v>3733</v>
      </c>
      <c r="AD1098" t="s">
        <v>128</v>
      </c>
      <c r="AE1098" s="97">
        <f>VLOOKUP(A:A,SUMMERY!AA:AC,2,FALSE)</f>
        <v>46233</v>
      </c>
      <c r="AF1098" s="6" t="str">
        <f>VLOOKUP(A:A,SUMMERY!AA:AC,3,FALSE)</f>
        <v>Priority-1</v>
      </c>
    </row>
    <row r="1099" spans="1:32" x14ac:dyDescent="0.3">
      <c r="A1099" t="s">
        <v>5415</v>
      </c>
      <c r="B1099" t="s">
        <v>479</v>
      </c>
      <c r="G1099" t="s">
        <v>5356</v>
      </c>
      <c r="H1099" t="s">
        <v>132</v>
      </c>
      <c r="I1099" t="s">
        <v>1</v>
      </c>
      <c r="J1099" t="s">
        <v>5298</v>
      </c>
      <c r="K1099" t="s">
        <v>51</v>
      </c>
      <c r="L1099" t="s">
        <v>477</v>
      </c>
      <c r="M1099" t="s">
        <v>134</v>
      </c>
      <c r="N1099" t="s">
        <v>135</v>
      </c>
      <c r="Q1099" t="s">
        <v>168</v>
      </c>
      <c r="T1099" t="s">
        <v>169</v>
      </c>
      <c r="U1099" t="s">
        <v>137</v>
      </c>
      <c r="V1099" t="s">
        <v>150</v>
      </c>
      <c r="X1099" t="s">
        <v>76</v>
      </c>
      <c r="AA1099" t="s">
        <v>292</v>
      </c>
      <c r="AB1099" t="s">
        <v>1</v>
      </c>
      <c r="AC1099" t="s">
        <v>3733</v>
      </c>
      <c r="AD1099" t="s">
        <v>128</v>
      </c>
      <c r="AE1099" s="97">
        <f>VLOOKUP(A:A,SUMMERY!AA:AC,2,FALSE)</f>
        <v>46233</v>
      </c>
      <c r="AF1099" s="6" t="str">
        <f>VLOOKUP(A:A,SUMMERY!AA:AC,3,FALSE)</f>
        <v>Priority-1</v>
      </c>
    </row>
    <row r="1100" spans="1:32" x14ac:dyDescent="0.3">
      <c r="A1100" t="s">
        <v>5416</v>
      </c>
      <c r="B1100" t="s">
        <v>481</v>
      </c>
      <c r="G1100" t="s">
        <v>5356</v>
      </c>
      <c r="H1100" t="s">
        <v>132</v>
      </c>
      <c r="I1100" t="s">
        <v>1</v>
      </c>
      <c r="J1100" t="s">
        <v>5298</v>
      </c>
      <c r="K1100" t="s">
        <v>51</v>
      </c>
      <c r="L1100" t="s">
        <v>477</v>
      </c>
      <c r="M1100" t="s">
        <v>134</v>
      </c>
      <c r="N1100" t="s">
        <v>135</v>
      </c>
      <c r="Q1100" t="s">
        <v>168</v>
      </c>
      <c r="T1100" t="s">
        <v>169</v>
      </c>
      <c r="U1100" t="s">
        <v>137</v>
      </c>
      <c r="V1100" t="s">
        <v>150</v>
      </c>
      <c r="X1100" t="s">
        <v>76</v>
      </c>
      <c r="AA1100" t="s">
        <v>292</v>
      </c>
      <c r="AB1100" t="s">
        <v>1</v>
      </c>
      <c r="AC1100" t="s">
        <v>3733</v>
      </c>
      <c r="AD1100" t="s">
        <v>128</v>
      </c>
      <c r="AE1100" s="97">
        <f>VLOOKUP(A:A,SUMMERY!AA:AC,2,FALSE)</f>
        <v>46233</v>
      </c>
      <c r="AF1100" s="6" t="str">
        <f>VLOOKUP(A:A,SUMMERY!AA:AC,3,FALSE)</f>
        <v>Priority-1</v>
      </c>
    </row>
    <row r="1101" spans="1:32" x14ac:dyDescent="0.3">
      <c r="A1101" t="s">
        <v>5417</v>
      </c>
      <c r="B1101" t="s">
        <v>483</v>
      </c>
      <c r="G1101" t="s">
        <v>5356</v>
      </c>
      <c r="H1101" t="s">
        <v>132</v>
      </c>
      <c r="I1101" t="s">
        <v>1</v>
      </c>
      <c r="J1101" t="s">
        <v>5298</v>
      </c>
      <c r="K1101" t="s">
        <v>51</v>
      </c>
      <c r="L1101" t="s">
        <v>477</v>
      </c>
      <c r="M1101" t="s">
        <v>134</v>
      </c>
      <c r="N1101" t="s">
        <v>135</v>
      </c>
      <c r="Q1101" t="s">
        <v>168</v>
      </c>
      <c r="T1101" t="s">
        <v>169</v>
      </c>
      <c r="U1101" t="s">
        <v>137</v>
      </c>
      <c r="V1101" t="s">
        <v>150</v>
      </c>
      <c r="X1101" t="s">
        <v>76</v>
      </c>
      <c r="AA1101" t="s">
        <v>292</v>
      </c>
      <c r="AB1101" t="s">
        <v>1</v>
      </c>
      <c r="AC1101" t="s">
        <v>3733</v>
      </c>
      <c r="AD1101" t="s">
        <v>128</v>
      </c>
      <c r="AE1101" s="97">
        <f>VLOOKUP(A:A,SUMMERY!AA:AC,2,FALSE)</f>
        <v>46233</v>
      </c>
      <c r="AF1101" s="6" t="str">
        <f>VLOOKUP(A:A,SUMMERY!AA:AC,3,FALSE)</f>
        <v>Priority-1</v>
      </c>
    </row>
    <row r="1102" spans="1:32" x14ac:dyDescent="0.3">
      <c r="A1102" t="s">
        <v>5418</v>
      </c>
      <c r="B1102" t="s">
        <v>485</v>
      </c>
      <c r="G1102" t="s">
        <v>5356</v>
      </c>
      <c r="H1102" t="s">
        <v>132</v>
      </c>
      <c r="I1102" t="s">
        <v>1</v>
      </c>
      <c r="J1102" t="s">
        <v>5298</v>
      </c>
      <c r="K1102" t="s">
        <v>51</v>
      </c>
      <c r="L1102" t="s">
        <v>477</v>
      </c>
      <c r="M1102" t="s">
        <v>134</v>
      </c>
      <c r="N1102" t="s">
        <v>135</v>
      </c>
      <c r="Q1102" t="s">
        <v>168</v>
      </c>
      <c r="T1102" t="s">
        <v>169</v>
      </c>
      <c r="U1102" t="s">
        <v>137</v>
      </c>
      <c r="V1102" t="s">
        <v>150</v>
      </c>
      <c r="X1102" t="s">
        <v>76</v>
      </c>
      <c r="AA1102" t="s">
        <v>292</v>
      </c>
      <c r="AB1102" t="s">
        <v>1</v>
      </c>
      <c r="AC1102" t="s">
        <v>3733</v>
      </c>
      <c r="AD1102" t="s">
        <v>128</v>
      </c>
      <c r="AE1102" s="97">
        <f>VLOOKUP(A:A,SUMMERY!AA:AC,2,FALSE)</f>
        <v>46233</v>
      </c>
      <c r="AF1102" s="6" t="str">
        <f>VLOOKUP(A:A,SUMMERY!AA:AC,3,FALSE)</f>
        <v>Priority-1</v>
      </c>
    </row>
    <row r="1103" spans="1:32" x14ac:dyDescent="0.3">
      <c r="A1103" t="s">
        <v>5419</v>
      </c>
      <c r="B1103" t="s">
        <v>487</v>
      </c>
      <c r="G1103" t="s">
        <v>5356</v>
      </c>
      <c r="H1103" t="s">
        <v>132</v>
      </c>
      <c r="I1103" t="s">
        <v>1</v>
      </c>
      <c r="J1103" t="s">
        <v>5298</v>
      </c>
      <c r="K1103" t="s">
        <v>51</v>
      </c>
      <c r="L1103" t="s">
        <v>477</v>
      </c>
      <c r="M1103" t="s">
        <v>134</v>
      </c>
      <c r="N1103" t="s">
        <v>135</v>
      </c>
      <c r="Q1103" t="s">
        <v>168</v>
      </c>
      <c r="T1103" t="s">
        <v>169</v>
      </c>
      <c r="U1103" t="s">
        <v>137</v>
      </c>
      <c r="V1103" t="s">
        <v>150</v>
      </c>
      <c r="X1103" t="s">
        <v>76</v>
      </c>
      <c r="AA1103" t="s">
        <v>292</v>
      </c>
      <c r="AB1103" t="s">
        <v>1</v>
      </c>
      <c r="AC1103" t="s">
        <v>3733</v>
      </c>
      <c r="AD1103" t="s">
        <v>128</v>
      </c>
      <c r="AE1103" s="97">
        <f>VLOOKUP(A:A,SUMMERY!AA:AC,2,FALSE)</f>
        <v>46233</v>
      </c>
      <c r="AF1103" s="6" t="str">
        <f>VLOOKUP(A:A,SUMMERY!AA:AC,3,FALSE)</f>
        <v>Priority-1</v>
      </c>
    </row>
    <row r="1104" spans="1:32" x14ac:dyDescent="0.3">
      <c r="A1104" t="s">
        <v>5420</v>
      </c>
      <c r="B1104" t="s">
        <v>489</v>
      </c>
      <c r="G1104" t="s">
        <v>5356</v>
      </c>
      <c r="H1104" t="s">
        <v>132</v>
      </c>
      <c r="I1104" t="s">
        <v>1</v>
      </c>
      <c r="J1104" t="s">
        <v>5298</v>
      </c>
      <c r="K1104" t="s">
        <v>51</v>
      </c>
      <c r="L1104" t="s">
        <v>490</v>
      </c>
      <c r="M1104" t="s">
        <v>134</v>
      </c>
      <c r="N1104" t="s">
        <v>135</v>
      </c>
      <c r="Q1104" t="s">
        <v>168</v>
      </c>
      <c r="T1104" t="s">
        <v>169</v>
      </c>
      <c r="U1104" t="s">
        <v>137</v>
      </c>
      <c r="V1104" t="s">
        <v>150</v>
      </c>
      <c r="X1104" t="s">
        <v>76</v>
      </c>
      <c r="AA1104" t="s">
        <v>292</v>
      </c>
      <c r="AB1104" t="s">
        <v>1</v>
      </c>
      <c r="AC1104" t="s">
        <v>3733</v>
      </c>
      <c r="AD1104" t="s">
        <v>128</v>
      </c>
      <c r="AE1104" s="97">
        <f>VLOOKUP(A:A,SUMMERY!AA:AC,2,FALSE)</f>
        <v>46233</v>
      </c>
      <c r="AF1104" s="6" t="str">
        <f>VLOOKUP(A:A,SUMMERY!AA:AC,3,FALSE)</f>
        <v>Priority-1</v>
      </c>
    </row>
    <row r="1105" spans="1:32" x14ac:dyDescent="0.3">
      <c r="A1105" t="s">
        <v>5421</v>
      </c>
      <c r="B1105" t="s">
        <v>492</v>
      </c>
      <c r="G1105" t="s">
        <v>5356</v>
      </c>
      <c r="H1105" t="s">
        <v>132</v>
      </c>
      <c r="I1105" t="s">
        <v>1</v>
      </c>
      <c r="J1105" t="s">
        <v>5298</v>
      </c>
      <c r="K1105" t="s">
        <v>51</v>
      </c>
      <c r="L1105" t="s">
        <v>490</v>
      </c>
      <c r="M1105" t="s">
        <v>134</v>
      </c>
      <c r="N1105" t="s">
        <v>135</v>
      </c>
      <c r="Q1105" t="s">
        <v>168</v>
      </c>
      <c r="T1105" t="s">
        <v>169</v>
      </c>
      <c r="U1105" t="s">
        <v>137</v>
      </c>
      <c r="V1105" t="s">
        <v>150</v>
      </c>
      <c r="X1105" t="s">
        <v>76</v>
      </c>
      <c r="AA1105" t="s">
        <v>292</v>
      </c>
      <c r="AB1105" t="s">
        <v>1</v>
      </c>
      <c r="AC1105" t="s">
        <v>3733</v>
      </c>
      <c r="AD1105" t="s">
        <v>128</v>
      </c>
      <c r="AE1105" s="97">
        <f>VLOOKUP(A:A,SUMMERY!AA:AC,2,FALSE)</f>
        <v>46233</v>
      </c>
      <c r="AF1105" s="6" t="str">
        <f>VLOOKUP(A:A,SUMMERY!AA:AC,3,FALSE)</f>
        <v>Priority-1</v>
      </c>
    </row>
    <row r="1106" spans="1:32" x14ac:dyDescent="0.3">
      <c r="A1106" t="s">
        <v>5422</v>
      </c>
      <c r="B1106" t="s">
        <v>494</v>
      </c>
      <c r="G1106" t="s">
        <v>5356</v>
      </c>
      <c r="H1106" t="s">
        <v>132</v>
      </c>
      <c r="I1106" t="s">
        <v>1</v>
      </c>
      <c r="J1106" t="s">
        <v>5298</v>
      </c>
      <c r="K1106" t="s">
        <v>51</v>
      </c>
      <c r="L1106" t="s">
        <v>490</v>
      </c>
      <c r="M1106" t="s">
        <v>134</v>
      </c>
      <c r="N1106" t="s">
        <v>135</v>
      </c>
      <c r="Q1106" t="s">
        <v>168</v>
      </c>
      <c r="T1106" t="s">
        <v>169</v>
      </c>
      <c r="U1106" t="s">
        <v>137</v>
      </c>
      <c r="V1106" t="s">
        <v>150</v>
      </c>
      <c r="X1106" t="s">
        <v>76</v>
      </c>
      <c r="AA1106" t="s">
        <v>292</v>
      </c>
      <c r="AB1106" t="s">
        <v>1</v>
      </c>
      <c r="AC1106" t="s">
        <v>3733</v>
      </c>
      <c r="AD1106" t="s">
        <v>128</v>
      </c>
      <c r="AE1106" s="97">
        <f>VLOOKUP(A:A,SUMMERY!AA:AC,2,FALSE)</f>
        <v>46233</v>
      </c>
      <c r="AF1106" s="6" t="str">
        <f>VLOOKUP(A:A,SUMMERY!AA:AC,3,FALSE)</f>
        <v>Priority-1</v>
      </c>
    </row>
    <row r="1107" spans="1:32" x14ac:dyDescent="0.3">
      <c r="A1107" t="s">
        <v>5423</v>
      </c>
      <c r="B1107" t="s">
        <v>496</v>
      </c>
      <c r="G1107" t="s">
        <v>5356</v>
      </c>
      <c r="H1107" t="s">
        <v>132</v>
      </c>
      <c r="I1107" t="s">
        <v>1</v>
      </c>
      <c r="J1107" t="s">
        <v>5298</v>
      </c>
      <c r="K1107" t="s">
        <v>51</v>
      </c>
      <c r="L1107" t="s">
        <v>490</v>
      </c>
      <c r="M1107" t="s">
        <v>134</v>
      </c>
      <c r="N1107" t="s">
        <v>135</v>
      </c>
      <c r="Q1107" t="s">
        <v>168</v>
      </c>
      <c r="T1107" t="s">
        <v>169</v>
      </c>
      <c r="U1107" t="s">
        <v>137</v>
      </c>
      <c r="V1107" t="s">
        <v>150</v>
      </c>
      <c r="X1107" t="s">
        <v>76</v>
      </c>
      <c r="AA1107" t="s">
        <v>292</v>
      </c>
      <c r="AB1107" t="s">
        <v>1</v>
      </c>
      <c r="AC1107" t="s">
        <v>3733</v>
      </c>
      <c r="AD1107" t="s">
        <v>128</v>
      </c>
      <c r="AE1107" s="97">
        <f>VLOOKUP(A:A,SUMMERY!AA:AC,2,FALSE)</f>
        <v>46233</v>
      </c>
      <c r="AF1107" s="6" t="str">
        <f>VLOOKUP(A:A,SUMMERY!AA:AC,3,FALSE)</f>
        <v>Priority-1</v>
      </c>
    </row>
    <row r="1108" spans="1:32" x14ac:dyDescent="0.3">
      <c r="A1108" t="s">
        <v>5424</v>
      </c>
      <c r="B1108" t="s">
        <v>498</v>
      </c>
      <c r="G1108" t="s">
        <v>5356</v>
      </c>
      <c r="H1108" t="s">
        <v>132</v>
      </c>
      <c r="I1108" t="s">
        <v>1</v>
      </c>
      <c r="J1108" t="s">
        <v>5298</v>
      </c>
      <c r="K1108" t="s">
        <v>51</v>
      </c>
      <c r="L1108" t="s">
        <v>490</v>
      </c>
      <c r="M1108" t="s">
        <v>134</v>
      </c>
      <c r="N1108" t="s">
        <v>135</v>
      </c>
      <c r="Q1108" t="s">
        <v>168</v>
      </c>
      <c r="T1108" t="s">
        <v>169</v>
      </c>
      <c r="U1108" t="s">
        <v>137</v>
      </c>
      <c r="V1108" t="s">
        <v>150</v>
      </c>
      <c r="X1108" t="s">
        <v>76</v>
      </c>
      <c r="AA1108" t="s">
        <v>292</v>
      </c>
      <c r="AB1108" t="s">
        <v>1</v>
      </c>
      <c r="AC1108" t="s">
        <v>3733</v>
      </c>
      <c r="AD1108" t="s">
        <v>128</v>
      </c>
      <c r="AE1108" s="97">
        <f>VLOOKUP(A:A,SUMMERY!AA:AC,2,FALSE)</f>
        <v>46233</v>
      </c>
      <c r="AF1108" s="6" t="str">
        <f>VLOOKUP(A:A,SUMMERY!AA:AC,3,FALSE)</f>
        <v>Priority-1</v>
      </c>
    </row>
    <row r="1109" spans="1:32" x14ac:dyDescent="0.3">
      <c r="A1109" t="s">
        <v>5425</v>
      </c>
      <c r="B1109" t="s">
        <v>500</v>
      </c>
      <c r="G1109" t="s">
        <v>5356</v>
      </c>
      <c r="H1109" t="s">
        <v>132</v>
      </c>
      <c r="I1109" t="s">
        <v>1</v>
      </c>
      <c r="J1109" t="s">
        <v>5298</v>
      </c>
      <c r="K1109" t="s">
        <v>51</v>
      </c>
      <c r="L1109" t="s">
        <v>490</v>
      </c>
      <c r="M1109" t="s">
        <v>134</v>
      </c>
      <c r="N1109" t="s">
        <v>135</v>
      </c>
      <c r="Q1109" t="s">
        <v>168</v>
      </c>
      <c r="T1109" t="s">
        <v>169</v>
      </c>
      <c r="U1109" t="s">
        <v>137</v>
      </c>
      <c r="V1109" t="s">
        <v>150</v>
      </c>
      <c r="W1109" s="9">
        <v>46192.196469178241</v>
      </c>
      <c r="X1109" t="s">
        <v>76</v>
      </c>
      <c r="AA1109" t="s">
        <v>292</v>
      </c>
      <c r="AB1109" t="s">
        <v>1</v>
      </c>
      <c r="AC1109" t="s">
        <v>24</v>
      </c>
      <c r="AD1109" t="s">
        <v>128</v>
      </c>
      <c r="AE1109" s="97">
        <f>VLOOKUP(A:A,SUMMERY!AA:AC,2,FALSE)</f>
        <v>46233</v>
      </c>
      <c r="AF1109" s="6" t="str">
        <f>VLOOKUP(A:A,SUMMERY!AA:AC,3,FALSE)</f>
        <v>Priority-1</v>
      </c>
    </row>
    <row r="1110" spans="1:32" x14ac:dyDescent="0.3">
      <c r="A1110" t="s">
        <v>5486</v>
      </c>
      <c r="B1110" t="s">
        <v>632</v>
      </c>
      <c r="G1110" t="s">
        <v>5356</v>
      </c>
      <c r="H1110" t="s">
        <v>132</v>
      </c>
      <c r="I1110" t="s">
        <v>1</v>
      </c>
      <c r="J1110" t="s">
        <v>5298</v>
      </c>
      <c r="K1110" t="s">
        <v>51</v>
      </c>
      <c r="L1110" t="s">
        <v>633</v>
      </c>
      <c r="M1110" t="s">
        <v>134</v>
      </c>
      <c r="N1110" t="s">
        <v>135</v>
      </c>
      <c r="Q1110" t="s">
        <v>168</v>
      </c>
      <c r="T1110" t="s">
        <v>169</v>
      </c>
      <c r="U1110" t="s">
        <v>137</v>
      </c>
      <c r="V1110" t="s">
        <v>352</v>
      </c>
      <c r="W1110" s="9">
        <v>46179.195998263887</v>
      </c>
      <c r="X1110" t="s">
        <v>56</v>
      </c>
      <c r="AA1110" t="s">
        <v>292</v>
      </c>
      <c r="AB1110" t="s">
        <v>1</v>
      </c>
      <c r="AC1110" t="s">
        <v>24</v>
      </c>
      <c r="AD1110" t="s">
        <v>128</v>
      </c>
      <c r="AE1110" s="97">
        <f>VLOOKUP(A:A,SUMMERY!AA:AC,2,FALSE)</f>
        <v>46233</v>
      </c>
      <c r="AF1110" s="6" t="str">
        <f>VLOOKUP(A:A,SUMMERY!AA:AC,3,FALSE)</f>
        <v>Priority-1</v>
      </c>
    </row>
    <row r="1111" spans="1:32" x14ac:dyDescent="0.3">
      <c r="A1111" t="s">
        <v>5487</v>
      </c>
      <c r="B1111" t="s">
        <v>635</v>
      </c>
      <c r="G1111" t="s">
        <v>5356</v>
      </c>
      <c r="H1111" t="s">
        <v>132</v>
      </c>
      <c r="I1111" t="s">
        <v>1</v>
      </c>
      <c r="J1111" t="s">
        <v>5298</v>
      </c>
      <c r="K1111" t="s">
        <v>51</v>
      </c>
      <c r="L1111" t="s">
        <v>636</v>
      </c>
      <c r="M1111" t="s">
        <v>134</v>
      </c>
      <c r="N1111" t="s">
        <v>135</v>
      </c>
      <c r="Q1111" t="s">
        <v>168</v>
      </c>
      <c r="T1111" t="s">
        <v>169</v>
      </c>
      <c r="U1111" t="s">
        <v>137</v>
      </c>
      <c r="V1111" t="s">
        <v>352</v>
      </c>
      <c r="W1111" s="9">
        <v>46192.353257256946</v>
      </c>
      <c r="X1111" t="s">
        <v>56</v>
      </c>
      <c r="AA1111" t="s">
        <v>292</v>
      </c>
      <c r="AB1111" t="s">
        <v>1</v>
      </c>
      <c r="AC1111" t="s">
        <v>24</v>
      </c>
      <c r="AD1111" t="s">
        <v>128</v>
      </c>
      <c r="AE1111" s="97">
        <f>VLOOKUP(A:A,SUMMERY!AA:AC,2,FALSE)</f>
        <v>46233</v>
      </c>
      <c r="AF1111" s="6" t="str">
        <f>VLOOKUP(A:A,SUMMERY!AA:AC,3,FALSE)</f>
        <v>Priority-1</v>
      </c>
    </row>
    <row r="1112" spans="1:32" x14ac:dyDescent="0.3">
      <c r="A1112" t="s">
        <v>5488</v>
      </c>
      <c r="B1112" t="s">
        <v>638</v>
      </c>
      <c r="G1112" t="s">
        <v>5356</v>
      </c>
      <c r="H1112" t="s">
        <v>132</v>
      </c>
      <c r="I1112" t="s">
        <v>1</v>
      </c>
      <c r="J1112" t="s">
        <v>5298</v>
      </c>
      <c r="K1112" t="s">
        <v>51</v>
      </c>
      <c r="L1112" t="s">
        <v>639</v>
      </c>
      <c r="M1112" t="s">
        <v>134</v>
      </c>
      <c r="N1112" t="s">
        <v>135</v>
      </c>
      <c r="Q1112" t="s">
        <v>168</v>
      </c>
      <c r="T1112" t="s">
        <v>169</v>
      </c>
      <c r="U1112" t="s">
        <v>137</v>
      </c>
      <c r="V1112" t="s">
        <v>640</v>
      </c>
      <c r="W1112" s="9">
        <v>46184.44536258102</v>
      </c>
      <c r="X1112" t="s">
        <v>66</v>
      </c>
      <c r="AA1112" t="s">
        <v>292</v>
      </c>
      <c r="AB1112" t="s">
        <v>1</v>
      </c>
      <c r="AC1112" t="s">
        <v>24</v>
      </c>
      <c r="AD1112" t="s">
        <v>128</v>
      </c>
      <c r="AE1112" s="97">
        <f>VLOOKUP(A:A,SUMMERY!AA:AC,2,FALSE)</f>
        <v>46220</v>
      </c>
      <c r="AF1112" s="6" t="str">
        <f>VLOOKUP(A:A,SUMMERY!AA:AC,3,FALSE)</f>
        <v>Priority-1</v>
      </c>
    </row>
    <row r="1113" spans="1:32" x14ac:dyDescent="0.3">
      <c r="A1113" t="s">
        <v>5489</v>
      </c>
      <c r="B1113" t="s">
        <v>642</v>
      </c>
      <c r="G1113" t="s">
        <v>5356</v>
      </c>
      <c r="H1113" t="s">
        <v>132</v>
      </c>
      <c r="I1113" t="s">
        <v>1</v>
      </c>
      <c r="J1113" t="s">
        <v>5298</v>
      </c>
      <c r="K1113" t="s">
        <v>51</v>
      </c>
      <c r="L1113" t="s">
        <v>639</v>
      </c>
      <c r="M1113" t="s">
        <v>134</v>
      </c>
      <c r="N1113" t="s">
        <v>135</v>
      </c>
      <c r="Q1113" t="s">
        <v>168</v>
      </c>
      <c r="T1113" t="s">
        <v>169</v>
      </c>
      <c r="U1113" t="s">
        <v>137</v>
      </c>
      <c r="V1113" t="s">
        <v>640</v>
      </c>
      <c r="W1113" s="9">
        <v>46184.445931793984</v>
      </c>
      <c r="X1113" t="s">
        <v>66</v>
      </c>
      <c r="AA1113" t="s">
        <v>292</v>
      </c>
      <c r="AB1113" t="s">
        <v>1</v>
      </c>
      <c r="AC1113" t="s">
        <v>24</v>
      </c>
      <c r="AD1113" t="s">
        <v>128</v>
      </c>
      <c r="AE1113" s="97">
        <f>VLOOKUP(A:A,SUMMERY!AA:AC,2,FALSE)</f>
        <v>46220</v>
      </c>
      <c r="AF1113" s="6" t="str">
        <f>VLOOKUP(A:A,SUMMERY!AA:AC,3,FALSE)</f>
        <v>Priority-1</v>
      </c>
    </row>
    <row r="1114" spans="1:32" x14ac:dyDescent="0.3">
      <c r="A1114" t="s">
        <v>5490</v>
      </c>
      <c r="B1114" t="s">
        <v>644</v>
      </c>
      <c r="G1114" t="s">
        <v>5356</v>
      </c>
      <c r="H1114" t="s">
        <v>132</v>
      </c>
      <c r="I1114" t="s">
        <v>1</v>
      </c>
      <c r="J1114" t="s">
        <v>5298</v>
      </c>
      <c r="K1114" t="s">
        <v>51</v>
      </c>
      <c r="L1114" t="s">
        <v>645</v>
      </c>
      <c r="M1114" t="s">
        <v>134</v>
      </c>
      <c r="N1114" t="s">
        <v>135</v>
      </c>
      <c r="Q1114" t="s">
        <v>168</v>
      </c>
      <c r="T1114" t="s">
        <v>169</v>
      </c>
      <c r="U1114" t="s">
        <v>137</v>
      </c>
      <c r="V1114" t="s">
        <v>646</v>
      </c>
      <c r="W1114" s="9">
        <v>46184.446282870369</v>
      </c>
      <c r="X1114" t="s">
        <v>74</v>
      </c>
      <c r="AA1114" t="s">
        <v>292</v>
      </c>
      <c r="AB1114" t="s">
        <v>1</v>
      </c>
      <c r="AC1114" t="s">
        <v>24</v>
      </c>
      <c r="AD1114" t="s">
        <v>128</v>
      </c>
      <c r="AE1114" s="97">
        <f>VLOOKUP(A:A,SUMMERY!AA:AC,2,FALSE)</f>
        <v>46220</v>
      </c>
      <c r="AF1114" s="6" t="str">
        <f>VLOOKUP(A:A,SUMMERY!AA:AC,3,FALSE)</f>
        <v>Priority-1</v>
      </c>
    </row>
    <row r="1115" spans="1:32" x14ac:dyDescent="0.3">
      <c r="A1115" t="s">
        <v>5491</v>
      </c>
      <c r="B1115" t="s">
        <v>648</v>
      </c>
      <c r="G1115" t="s">
        <v>5356</v>
      </c>
      <c r="H1115" t="s">
        <v>132</v>
      </c>
      <c r="I1115" t="s">
        <v>1</v>
      </c>
      <c r="J1115" t="s">
        <v>5298</v>
      </c>
      <c r="K1115" t="s">
        <v>51</v>
      </c>
      <c r="L1115" t="s">
        <v>645</v>
      </c>
      <c r="M1115" t="s">
        <v>134</v>
      </c>
      <c r="N1115" t="s">
        <v>135</v>
      </c>
      <c r="Q1115" t="s">
        <v>168</v>
      </c>
      <c r="T1115" t="s">
        <v>169</v>
      </c>
      <c r="U1115" t="s">
        <v>137</v>
      </c>
      <c r="V1115" t="s">
        <v>646</v>
      </c>
      <c r="W1115" s="9">
        <v>46184.44668695602</v>
      </c>
      <c r="X1115" t="s">
        <v>74</v>
      </c>
      <c r="AA1115" t="s">
        <v>292</v>
      </c>
      <c r="AB1115" t="s">
        <v>1</v>
      </c>
      <c r="AC1115" t="s">
        <v>24</v>
      </c>
      <c r="AD1115" t="s">
        <v>128</v>
      </c>
      <c r="AE1115" s="97">
        <f>VLOOKUP(A:A,SUMMERY!AA:AC,2,FALSE)</f>
        <v>46220</v>
      </c>
      <c r="AF1115" s="6" t="str">
        <f>VLOOKUP(A:A,SUMMERY!AA:AC,3,FALSE)</f>
        <v>Priority-1</v>
      </c>
    </row>
    <row r="1116" spans="1:32" x14ac:dyDescent="0.3">
      <c r="A1116" t="s">
        <v>5502</v>
      </c>
      <c r="B1116" t="s">
        <v>680</v>
      </c>
      <c r="G1116" t="s">
        <v>5356</v>
      </c>
      <c r="H1116" t="s">
        <v>132</v>
      </c>
      <c r="I1116" t="s">
        <v>1</v>
      </c>
      <c r="J1116" t="s">
        <v>5298</v>
      </c>
      <c r="K1116" t="s">
        <v>51</v>
      </c>
      <c r="L1116" t="s">
        <v>681</v>
      </c>
      <c r="M1116" t="s">
        <v>134</v>
      </c>
      <c r="N1116" t="s">
        <v>135</v>
      </c>
      <c r="Q1116" t="s">
        <v>168</v>
      </c>
      <c r="T1116" t="s">
        <v>169</v>
      </c>
      <c r="U1116" t="s">
        <v>137</v>
      </c>
      <c r="V1116" t="s">
        <v>640</v>
      </c>
      <c r="W1116" s="9">
        <v>46192.196330011575</v>
      </c>
      <c r="X1116" t="s">
        <v>66</v>
      </c>
      <c r="AA1116" t="s">
        <v>292</v>
      </c>
      <c r="AB1116" t="s">
        <v>1</v>
      </c>
      <c r="AC1116" t="s">
        <v>24</v>
      </c>
      <c r="AD1116" t="s">
        <v>128</v>
      </c>
      <c r="AE1116" s="97">
        <f>VLOOKUP(A:A,SUMMERY!AA:AC,2,FALSE)</f>
        <v>46220</v>
      </c>
      <c r="AF1116" s="6" t="str">
        <f>VLOOKUP(A:A,SUMMERY!AA:AC,3,FALSE)</f>
        <v>Priority-1</v>
      </c>
    </row>
    <row r="1117" spans="1:32" x14ac:dyDescent="0.3">
      <c r="A1117" t="s">
        <v>5503</v>
      </c>
      <c r="B1117" t="s">
        <v>683</v>
      </c>
      <c r="G1117" t="s">
        <v>5356</v>
      </c>
      <c r="H1117" t="s">
        <v>132</v>
      </c>
      <c r="I1117" t="s">
        <v>1</v>
      </c>
      <c r="J1117" t="s">
        <v>5298</v>
      </c>
      <c r="K1117" t="s">
        <v>51</v>
      </c>
      <c r="L1117" t="s">
        <v>684</v>
      </c>
      <c r="M1117" t="s">
        <v>134</v>
      </c>
      <c r="N1117" t="s">
        <v>135</v>
      </c>
      <c r="Q1117" t="s">
        <v>168</v>
      </c>
      <c r="T1117" t="s">
        <v>169</v>
      </c>
      <c r="U1117" t="s">
        <v>137</v>
      </c>
      <c r="V1117" t="s">
        <v>646</v>
      </c>
      <c r="W1117" s="9">
        <v>46192.19715162037</v>
      </c>
      <c r="X1117" t="s">
        <v>74</v>
      </c>
      <c r="AA1117" t="s">
        <v>292</v>
      </c>
      <c r="AB1117" t="s">
        <v>1</v>
      </c>
      <c r="AC1117" t="s">
        <v>24</v>
      </c>
      <c r="AD1117" t="s">
        <v>128</v>
      </c>
      <c r="AE1117" s="97">
        <f>VLOOKUP(A:A,SUMMERY!AA:AC,2,FALSE)</f>
        <v>46220</v>
      </c>
      <c r="AF1117" s="6" t="str">
        <f>VLOOKUP(A:A,SUMMERY!AA:AC,3,FALSE)</f>
        <v>Priority-1</v>
      </c>
    </row>
    <row r="1118" spans="1:32" x14ac:dyDescent="0.3">
      <c r="A1118" t="s">
        <v>5509</v>
      </c>
      <c r="B1118" t="s">
        <v>701</v>
      </c>
      <c r="G1118" t="s">
        <v>5356</v>
      </c>
      <c r="H1118" t="s">
        <v>132</v>
      </c>
      <c r="I1118" t="s">
        <v>1</v>
      </c>
      <c r="J1118" t="s">
        <v>5298</v>
      </c>
      <c r="K1118" t="s">
        <v>51</v>
      </c>
      <c r="L1118" t="s">
        <v>702</v>
      </c>
      <c r="M1118" t="s">
        <v>134</v>
      </c>
      <c r="N1118" t="s">
        <v>135</v>
      </c>
      <c r="Q1118" t="s">
        <v>168</v>
      </c>
      <c r="T1118" t="s">
        <v>169</v>
      </c>
      <c r="U1118" t="s">
        <v>137</v>
      </c>
      <c r="V1118" t="s">
        <v>703</v>
      </c>
      <c r="W1118" s="9">
        <v>46192.197637152778</v>
      </c>
      <c r="X1118" t="s">
        <v>62</v>
      </c>
      <c r="AA1118" t="s">
        <v>292</v>
      </c>
      <c r="AB1118" t="s">
        <v>1</v>
      </c>
      <c r="AC1118" t="s">
        <v>24</v>
      </c>
      <c r="AD1118" t="s">
        <v>128</v>
      </c>
      <c r="AE1118" s="97">
        <f>VLOOKUP(A:A,SUMMERY!AA:AC,2,FALSE)</f>
        <v>46220</v>
      </c>
      <c r="AF1118" s="6" t="str">
        <f>VLOOKUP(A:A,SUMMERY!AA:AC,3,FALSE)</f>
        <v>Priority-1</v>
      </c>
    </row>
    <row r="1119" spans="1:32" x14ac:dyDescent="0.3">
      <c r="A1119" t="s">
        <v>5510</v>
      </c>
      <c r="B1119" t="s">
        <v>705</v>
      </c>
      <c r="G1119" t="s">
        <v>5356</v>
      </c>
      <c r="H1119" t="s">
        <v>132</v>
      </c>
      <c r="I1119" t="s">
        <v>1</v>
      </c>
      <c r="J1119" t="s">
        <v>5298</v>
      </c>
      <c r="K1119" t="s">
        <v>51</v>
      </c>
      <c r="L1119" t="s">
        <v>702</v>
      </c>
      <c r="M1119" t="s">
        <v>134</v>
      </c>
      <c r="N1119" t="s">
        <v>135</v>
      </c>
      <c r="Q1119" t="s">
        <v>168</v>
      </c>
      <c r="T1119" t="s">
        <v>169</v>
      </c>
      <c r="U1119" t="s">
        <v>137</v>
      </c>
      <c r="V1119" t="s">
        <v>703</v>
      </c>
      <c r="W1119" s="9">
        <v>46192.197962650462</v>
      </c>
      <c r="X1119" t="s">
        <v>62</v>
      </c>
      <c r="AA1119" t="s">
        <v>292</v>
      </c>
      <c r="AB1119" t="s">
        <v>1</v>
      </c>
      <c r="AC1119" t="s">
        <v>24</v>
      </c>
      <c r="AD1119" t="s">
        <v>128</v>
      </c>
      <c r="AE1119" s="97">
        <f>VLOOKUP(A:A,SUMMERY!AA:AC,2,FALSE)</f>
        <v>46220</v>
      </c>
      <c r="AF1119" s="6" t="str">
        <f>VLOOKUP(A:A,SUMMERY!AA:AC,3,FALSE)</f>
        <v>Priority-1</v>
      </c>
    </row>
    <row r="1120" spans="1:32" x14ac:dyDescent="0.3">
      <c r="A1120" t="s">
        <v>5511</v>
      </c>
      <c r="B1120" t="s">
        <v>707</v>
      </c>
      <c r="G1120" t="s">
        <v>5356</v>
      </c>
      <c r="H1120" t="s">
        <v>132</v>
      </c>
      <c r="I1120" t="s">
        <v>1</v>
      </c>
      <c r="J1120" t="s">
        <v>5298</v>
      </c>
      <c r="K1120" t="s">
        <v>51</v>
      </c>
      <c r="L1120" t="s">
        <v>708</v>
      </c>
      <c r="M1120" t="s">
        <v>134</v>
      </c>
      <c r="N1120" t="s">
        <v>135</v>
      </c>
      <c r="Q1120" t="s">
        <v>168</v>
      </c>
      <c r="T1120" t="s">
        <v>169</v>
      </c>
      <c r="U1120" t="s">
        <v>137</v>
      </c>
      <c r="V1120" t="s">
        <v>709</v>
      </c>
      <c r="W1120" s="9">
        <v>46192.198248958332</v>
      </c>
      <c r="X1120" t="s">
        <v>73</v>
      </c>
      <c r="AA1120" t="s">
        <v>292</v>
      </c>
      <c r="AB1120" t="s">
        <v>1</v>
      </c>
      <c r="AC1120" t="s">
        <v>24</v>
      </c>
      <c r="AD1120" t="s">
        <v>128</v>
      </c>
      <c r="AE1120" s="97">
        <f>VLOOKUP(A:A,SUMMERY!AA:AC,2,FALSE)</f>
        <v>46220</v>
      </c>
      <c r="AF1120" s="6" t="str">
        <f>VLOOKUP(A:A,SUMMERY!AA:AC,3,FALSE)</f>
        <v>Priority-1</v>
      </c>
    </row>
    <row r="1121" spans="1:32" x14ac:dyDescent="0.3">
      <c r="A1121" t="s">
        <v>5512</v>
      </c>
      <c r="B1121" t="s">
        <v>711</v>
      </c>
      <c r="G1121" t="s">
        <v>5356</v>
      </c>
      <c r="H1121" t="s">
        <v>132</v>
      </c>
      <c r="I1121" t="s">
        <v>1</v>
      </c>
      <c r="J1121" t="s">
        <v>5298</v>
      </c>
      <c r="K1121" t="s">
        <v>51</v>
      </c>
      <c r="L1121" t="s">
        <v>708</v>
      </c>
      <c r="M1121" t="s">
        <v>134</v>
      </c>
      <c r="N1121" t="s">
        <v>135</v>
      </c>
      <c r="Q1121" t="s">
        <v>168</v>
      </c>
      <c r="T1121" t="s">
        <v>169</v>
      </c>
      <c r="U1121" t="s">
        <v>137</v>
      </c>
      <c r="V1121" t="s">
        <v>709</v>
      </c>
      <c r="W1121" s="9">
        <v>46192.198540358797</v>
      </c>
      <c r="X1121" t="s">
        <v>73</v>
      </c>
      <c r="AA1121" t="s">
        <v>292</v>
      </c>
      <c r="AB1121" t="s">
        <v>1</v>
      </c>
      <c r="AC1121" t="s">
        <v>24</v>
      </c>
      <c r="AD1121" t="s">
        <v>128</v>
      </c>
      <c r="AE1121" s="97">
        <f>VLOOKUP(A:A,SUMMERY!AA:AC,2,FALSE)</f>
        <v>46220</v>
      </c>
      <c r="AF1121" s="6" t="str">
        <f>VLOOKUP(A:A,SUMMERY!AA:AC,3,FALSE)</f>
        <v>Priority-1</v>
      </c>
    </row>
    <row r="1122" spans="1:32" x14ac:dyDescent="0.3">
      <c r="A1122" t="s">
        <v>5523</v>
      </c>
      <c r="B1122" t="s">
        <v>743</v>
      </c>
      <c r="G1122" t="s">
        <v>5356</v>
      </c>
      <c r="H1122" t="s">
        <v>132</v>
      </c>
      <c r="I1122" t="s">
        <v>1</v>
      </c>
      <c r="J1122" t="s">
        <v>5298</v>
      </c>
      <c r="K1122" t="s">
        <v>51</v>
      </c>
      <c r="L1122" t="s">
        <v>744</v>
      </c>
      <c r="M1122" t="s">
        <v>134</v>
      </c>
      <c r="N1122" t="s">
        <v>135</v>
      </c>
      <c r="Q1122" t="s">
        <v>168</v>
      </c>
      <c r="T1122" t="s">
        <v>169</v>
      </c>
      <c r="U1122" t="s">
        <v>137</v>
      </c>
      <c r="V1122" t="s">
        <v>147</v>
      </c>
      <c r="W1122" s="9">
        <v>46178.326802743053</v>
      </c>
      <c r="X1122" t="s">
        <v>70</v>
      </c>
      <c r="AA1122" t="s">
        <v>292</v>
      </c>
      <c r="AB1122" t="s">
        <v>1</v>
      </c>
      <c r="AC1122" t="s">
        <v>24</v>
      </c>
      <c r="AD1122" t="s">
        <v>128</v>
      </c>
      <c r="AE1122" s="97">
        <f>VLOOKUP(A:A,SUMMERY!AA:AC,2,FALSE)</f>
        <v>46220</v>
      </c>
      <c r="AF1122" s="6" t="str">
        <f>VLOOKUP(A:A,SUMMERY!AA:AC,3,FALSE)</f>
        <v>Priority-1</v>
      </c>
    </row>
    <row r="1123" spans="1:32" x14ac:dyDescent="0.3">
      <c r="A1123" t="s">
        <v>5524</v>
      </c>
      <c r="B1123" t="s">
        <v>746</v>
      </c>
      <c r="G1123" t="s">
        <v>5356</v>
      </c>
      <c r="H1123" t="s">
        <v>132</v>
      </c>
      <c r="I1123" t="s">
        <v>1</v>
      </c>
      <c r="J1123" t="s">
        <v>5298</v>
      </c>
      <c r="K1123" t="s">
        <v>51</v>
      </c>
      <c r="L1123" t="s">
        <v>747</v>
      </c>
      <c r="M1123" t="s">
        <v>134</v>
      </c>
      <c r="N1123" t="s">
        <v>135</v>
      </c>
      <c r="Q1123" t="s">
        <v>168</v>
      </c>
      <c r="T1123" t="s">
        <v>169</v>
      </c>
      <c r="U1123" t="s">
        <v>137</v>
      </c>
      <c r="V1123" t="s">
        <v>150</v>
      </c>
      <c r="W1123" s="9">
        <v>46178.327466087962</v>
      </c>
      <c r="X1123" t="s">
        <v>76</v>
      </c>
      <c r="AA1123" t="s">
        <v>292</v>
      </c>
      <c r="AB1123" t="s">
        <v>1</v>
      </c>
      <c r="AC1123" t="s">
        <v>24</v>
      </c>
      <c r="AD1123" t="s">
        <v>128</v>
      </c>
      <c r="AE1123" s="97">
        <f>VLOOKUP(A:A,SUMMERY!AA:AC,2,FALSE)</f>
        <v>46233</v>
      </c>
      <c r="AF1123" s="6" t="str">
        <f>VLOOKUP(A:A,SUMMERY!AA:AC,3,FALSE)</f>
        <v>Priority-1</v>
      </c>
    </row>
    <row r="1124" spans="1:32" x14ac:dyDescent="0.3">
      <c r="A1124" t="s">
        <v>5530</v>
      </c>
      <c r="B1124" t="s">
        <v>764</v>
      </c>
      <c r="G1124" t="s">
        <v>5356</v>
      </c>
      <c r="H1124" t="s">
        <v>132</v>
      </c>
      <c r="I1124" t="s">
        <v>1</v>
      </c>
      <c r="J1124" t="s">
        <v>5298</v>
      </c>
      <c r="K1124" t="s">
        <v>51</v>
      </c>
      <c r="L1124" t="s">
        <v>765</v>
      </c>
      <c r="M1124" t="s">
        <v>134</v>
      </c>
      <c r="N1124" t="s">
        <v>135</v>
      </c>
      <c r="Q1124" t="s">
        <v>168</v>
      </c>
      <c r="T1124" t="s">
        <v>169</v>
      </c>
      <c r="U1124" t="s">
        <v>137</v>
      </c>
      <c r="V1124" t="s">
        <v>147</v>
      </c>
      <c r="X1124" t="s">
        <v>70</v>
      </c>
      <c r="AA1124" t="s">
        <v>292</v>
      </c>
      <c r="AB1124" t="s">
        <v>1</v>
      </c>
      <c r="AC1124" t="s">
        <v>138</v>
      </c>
      <c r="AD1124" t="s">
        <v>128</v>
      </c>
      <c r="AE1124" s="97">
        <f>VLOOKUP(A:A,SUMMERY!AA:AC,2,FALSE)</f>
        <v>46220</v>
      </c>
      <c r="AF1124" s="6" t="str">
        <f>VLOOKUP(A:A,SUMMERY!AA:AC,3,FALSE)</f>
        <v>Priority-1</v>
      </c>
    </row>
    <row r="1125" spans="1:32" x14ac:dyDescent="0.3">
      <c r="A1125" t="s">
        <v>5531</v>
      </c>
      <c r="B1125" t="s">
        <v>767</v>
      </c>
      <c r="G1125" t="s">
        <v>5356</v>
      </c>
      <c r="H1125" t="s">
        <v>132</v>
      </c>
      <c r="I1125" t="s">
        <v>1</v>
      </c>
      <c r="J1125" t="s">
        <v>5298</v>
      </c>
      <c r="K1125" t="s">
        <v>51</v>
      </c>
      <c r="L1125" t="s">
        <v>765</v>
      </c>
      <c r="M1125" t="s">
        <v>134</v>
      </c>
      <c r="N1125" t="s">
        <v>135</v>
      </c>
      <c r="Q1125" t="s">
        <v>168</v>
      </c>
      <c r="T1125" t="s">
        <v>169</v>
      </c>
      <c r="U1125" t="s">
        <v>137</v>
      </c>
      <c r="V1125" t="s">
        <v>147</v>
      </c>
      <c r="W1125" s="9">
        <v>46192.200256909724</v>
      </c>
      <c r="X1125" t="s">
        <v>70</v>
      </c>
      <c r="AA1125" t="s">
        <v>292</v>
      </c>
      <c r="AB1125" t="s">
        <v>1</v>
      </c>
      <c r="AC1125" t="s">
        <v>24</v>
      </c>
      <c r="AD1125" t="s">
        <v>128</v>
      </c>
      <c r="AE1125" s="97">
        <f>VLOOKUP(A:A,SUMMERY!AA:AC,2,FALSE)</f>
        <v>46220</v>
      </c>
      <c r="AF1125" s="6" t="str">
        <f>VLOOKUP(A:A,SUMMERY!AA:AC,3,FALSE)</f>
        <v>Priority-1</v>
      </c>
    </row>
    <row r="1126" spans="1:32" x14ac:dyDescent="0.3">
      <c r="A1126" t="s">
        <v>5532</v>
      </c>
      <c r="B1126" t="s">
        <v>769</v>
      </c>
      <c r="G1126" t="s">
        <v>5356</v>
      </c>
      <c r="H1126" t="s">
        <v>132</v>
      </c>
      <c r="I1126" t="s">
        <v>1</v>
      </c>
      <c r="J1126" t="s">
        <v>5298</v>
      </c>
      <c r="K1126" t="s">
        <v>51</v>
      </c>
      <c r="L1126" t="s">
        <v>765</v>
      </c>
      <c r="M1126" t="s">
        <v>134</v>
      </c>
      <c r="N1126" t="s">
        <v>135</v>
      </c>
      <c r="Q1126" t="s">
        <v>168</v>
      </c>
      <c r="T1126" t="s">
        <v>169</v>
      </c>
      <c r="U1126" t="s">
        <v>137</v>
      </c>
      <c r="V1126" t="s">
        <v>147</v>
      </c>
      <c r="W1126" s="9">
        <v>46192.200187581017</v>
      </c>
      <c r="X1126" t="s">
        <v>70</v>
      </c>
      <c r="AA1126" t="s">
        <v>292</v>
      </c>
      <c r="AB1126" t="s">
        <v>1</v>
      </c>
      <c r="AC1126" t="s">
        <v>24</v>
      </c>
      <c r="AD1126" t="s">
        <v>128</v>
      </c>
      <c r="AE1126" s="97">
        <f>VLOOKUP(A:A,SUMMERY!AA:AC,2,FALSE)</f>
        <v>46220</v>
      </c>
      <c r="AF1126" s="6" t="str">
        <f>VLOOKUP(A:A,SUMMERY!AA:AC,3,FALSE)</f>
        <v>Priority-1</v>
      </c>
    </row>
    <row r="1127" spans="1:32" x14ac:dyDescent="0.3">
      <c r="A1127" t="s">
        <v>5533</v>
      </c>
      <c r="B1127" t="s">
        <v>771</v>
      </c>
      <c r="G1127" t="s">
        <v>5356</v>
      </c>
      <c r="H1127" t="s">
        <v>132</v>
      </c>
      <c r="I1127" t="s">
        <v>1</v>
      </c>
      <c r="J1127" t="s">
        <v>5298</v>
      </c>
      <c r="K1127" t="s">
        <v>51</v>
      </c>
      <c r="L1127" t="s">
        <v>772</v>
      </c>
      <c r="M1127" t="s">
        <v>134</v>
      </c>
      <c r="N1127" t="s">
        <v>135</v>
      </c>
      <c r="Q1127" t="s">
        <v>168</v>
      </c>
      <c r="T1127" t="s">
        <v>169</v>
      </c>
      <c r="U1127" t="s">
        <v>137</v>
      </c>
      <c r="V1127" t="s">
        <v>150</v>
      </c>
      <c r="X1127" t="s">
        <v>76</v>
      </c>
      <c r="AA1127" t="s">
        <v>292</v>
      </c>
      <c r="AB1127" t="s">
        <v>1</v>
      </c>
      <c r="AC1127" t="s">
        <v>138</v>
      </c>
      <c r="AD1127" t="s">
        <v>128</v>
      </c>
      <c r="AE1127" s="97">
        <f>VLOOKUP(A:A,SUMMERY!AA:AC,2,FALSE)</f>
        <v>46233</v>
      </c>
      <c r="AF1127" s="6" t="str">
        <f>VLOOKUP(A:A,SUMMERY!AA:AC,3,FALSE)</f>
        <v>Priority-1</v>
      </c>
    </row>
    <row r="1128" spans="1:32" x14ac:dyDescent="0.3">
      <c r="A1128" t="s">
        <v>5534</v>
      </c>
      <c r="B1128" t="s">
        <v>774</v>
      </c>
      <c r="G1128" t="s">
        <v>5356</v>
      </c>
      <c r="H1128" t="s">
        <v>132</v>
      </c>
      <c r="I1128" t="s">
        <v>1</v>
      </c>
      <c r="J1128" t="s">
        <v>5298</v>
      </c>
      <c r="K1128" t="s">
        <v>51</v>
      </c>
      <c r="L1128" t="s">
        <v>772</v>
      </c>
      <c r="M1128" t="s">
        <v>134</v>
      </c>
      <c r="N1128" t="s">
        <v>135</v>
      </c>
      <c r="Q1128" t="s">
        <v>168</v>
      </c>
      <c r="T1128" t="s">
        <v>169</v>
      </c>
      <c r="U1128" t="s">
        <v>137</v>
      </c>
      <c r="V1128" t="s">
        <v>150</v>
      </c>
      <c r="W1128" s="9">
        <v>46192.200074768516</v>
      </c>
      <c r="X1128" t="s">
        <v>76</v>
      </c>
      <c r="AA1128" t="s">
        <v>292</v>
      </c>
      <c r="AB1128" t="s">
        <v>1</v>
      </c>
      <c r="AC1128" t="s">
        <v>24</v>
      </c>
      <c r="AD1128" t="s">
        <v>128</v>
      </c>
      <c r="AE1128" s="97">
        <f>VLOOKUP(A:A,SUMMERY!AA:AC,2,FALSE)</f>
        <v>46233</v>
      </c>
      <c r="AF1128" s="6" t="str">
        <f>VLOOKUP(A:A,SUMMERY!AA:AC,3,FALSE)</f>
        <v>Priority-1</v>
      </c>
    </row>
    <row r="1129" spans="1:32" x14ac:dyDescent="0.3">
      <c r="A1129" t="s">
        <v>5535</v>
      </c>
      <c r="B1129" t="s">
        <v>776</v>
      </c>
      <c r="G1129" t="s">
        <v>5356</v>
      </c>
      <c r="H1129" t="s">
        <v>132</v>
      </c>
      <c r="I1129" t="s">
        <v>1</v>
      </c>
      <c r="J1129" t="s">
        <v>5298</v>
      </c>
      <c r="K1129" t="s">
        <v>51</v>
      </c>
      <c r="L1129" t="s">
        <v>772</v>
      </c>
      <c r="M1129" t="s">
        <v>134</v>
      </c>
      <c r="N1129" t="s">
        <v>135</v>
      </c>
      <c r="Q1129" t="s">
        <v>168</v>
      </c>
      <c r="T1129" t="s">
        <v>169</v>
      </c>
      <c r="U1129" t="s">
        <v>137</v>
      </c>
      <c r="V1129" t="s">
        <v>150</v>
      </c>
      <c r="W1129" s="9">
        <v>46192.200612581022</v>
      </c>
      <c r="X1129" t="s">
        <v>76</v>
      </c>
      <c r="AA1129" t="s">
        <v>292</v>
      </c>
      <c r="AB1129" t="s">
        <v>1</v>
      </c>
      <c r="AC1129" t="s">
        <v>24</v>
      </c>
      <c r="AD1129" t="s">
        <v>128</v>
      </c>
      <c r="AE1129" s="97">
        <f>VLOOKUP(A:A,SUMMERY!AA:AC,2,FALSE)</f>
        <v>46233</v>
      </c>
      <c r="AF1129" s="6" t="str">
        <f>VLOOKUP(A:A,SUMMERY!AA:AC,3,FALSE)</f>
        <v>Priority-1</v>
      </c>
    </row>
    <row r="1130" spans="1:32" x14ac:dyDescent="0.3">
      <c r="A1130" t="s">
        <v>5551</v>
      </c>
      <c r="B1130" t="s">
        <v>813</v>
      </c>
      <c r="G1130" t="s">
        <v>5356</v>
      </c>
      <c r="H1130" t="s">
        <v>132</v>
      </c>
      <c r="I1130" t="s">
        <v>1</v>
      </c>
      <c r="J1130" t="s">
        <v>5298</v>
      </c>
      <c r="K1130" t="s">
        <v>51</v>
      </c>
      <c r="L1130" t="s">
        <v>814</v>
      </c>
      <c r="M1130" t="s">
        <v>134</v>
      </c>
      <c r="N1130" t="s">
        <v>135</v>
      </c>
      <c r="Q1130" t="s">
        <v>168</v>
      </c>
      <c r="T1130" t="s">
        <v>169</v>
      </c>
      <c r="U1130" t="s">
        <v>137</v>
      </c>
      <c r="V1130" t="s">
        <v>147</v>
      </c>
      <c r="X1130" t="s">
        <v>70</v>
      </c>
      <c r="AA1130" t="s">
        <v>292</v>
      </c>
      <c r="AB1130" t="s">
        <v>1</v>
      </c>
      <c r="AC1130" t="s">
        <v>138</v>
      </c>
      <c r="AD1130" t="s">
        <v>128</v>
      </c>
      <c r="AE1130" s="97">
        <f>VLOOKUP(A:A,SUMMERY!AA:AC,2,FALSE)</f>
        <v>46220</v>
      </c>
      <c r="AF1130" s="6" t="str">
        <f>VLOOKUP(A:A,SUMMERY!AA:AC,3,FALSE)</f>
        <v>Priority-1</v>
      </c>
    </row>
    <row r="1131" spans="1:32" x14ac:dyDescent="0.3">
      <c r="A1131" t="s">
        <v>5555</v>
      </c>
      <c r="B1131" t="s">
        <v>825</v>
      </c>
      <c r="G1131" t="s">
        <v>5356</v>
      </c>
      <c r="H1131" t="s">
        <v>132</v>
      </c>
      <c r="I1131" t="s">
        <v>1</v>
      </c>
      <c r="J1131" t="s">
        <v>5298</v>
      </c>
      <c r="K1131" t="s">
        <v>51</v>
      </c>
      <c r="L1131" t="s">
        <v>826</v>
      </c>
      <c r="M1131" t="s">
        <v>134</v>
      </c>
      <c r="N1131" t="s">
        <v>135</v>
      </c>
      <c r="Q1131" t="s">
        <v>168</v>
      </c>
      <c r="T1131" t="s">
        <v>169</v>
      </c>
      <c r="U1131" t="s">
        <v>137</v>
      </c>
      <c r="V1131" t="s">
        <v>147</v>
      </c>
      <c r="W1131" s="9">
        <v>46192.352866122688</v>
      </c>
      <c r="X1131" t="s">
        <v>70</v>
      </c>
      <c r="AA1131" t="s">
        <v>292</v>
      </c>
      <c r="AB1131" t="s">
        <v>1</v>
      </c>
      <c r="AC1131" t="s">
        <v>24</v>
      </c>
      <c r="AD1131" t="s">
        <v>128</v>
      </c>
      <c r="AE1131" s="97">
        <f>VLOOKUP(A:A,SUMMERY!AA:AC,2,FALSE)</f>
        <v>46220</v>
      </c>
      <c r="AF1131" s="6" t="str">
        <f>VLOOKUP(A:A,SUMMERY!AA:AC,3,FALSE)</f>
        <v>Priority-1</v>
      </c>
    </row>
    <row r="1132" spans="1:32" x14ac:dyDescent="0.3">
      <c r="A1132" t="s">
        <v>5556</v>
      </c>
      <c r="B1132" t="s">
        <v>828</v>
      </c>
      <c r="G1132" t="s">
        <v>5356</v>
      </c>
      <c r="H1132" t="s">
        <v>132</v>
      </c>
      <c r="I1132" t="s">
        <v>1</v>
      </c>
      <c r="J1132" t="s">
        <v>5298</v>
      </c>
      <c r="K1132" t="s">
        <v>51</v>
      </c>
      <c r="L1132" t="s">
        <v>829</v>
      </c>
      <c r="M1132" t="s">
        <v>134</v>
      </c>
      <c r="N1132" t="s">
        <v>135</v>
      </c>
      <c r="Q1132" t="s">
        <v>168</v>
      </c>
      <c r="T1132" t="s">
        <v>169</v>
      </c>
      <c r="U1132" t="s">
        <v>137</v>
      </c>
      <c r="V1132" t="s">
        <v>147</v>
      </c>
      <c r="W1132" s="9">
        <v>46192.35484965278</v>
      </c>
      <c r="X1132" t="s">
        <v>70</v>
      </c>
      <c r="AA1132" t="s">
        <v>292</v>
      </c>
      <c r="AB1132" t="s">
        <v>1</v>
      </c>
      <c r="AC1132" t="s">
        <v>24</v>
      </c>
      <c r="AD1132" t="s">
        <v>128</v>
      </c>
      <c r="AE1132" s="97">
        <f>VLOOKUP(A:A,SUMMERY!AA:AC,2,FALSE)</f>
        <v>46220</v>
      </c>
      <c r="AF1132" s="6" t="str">
        <f>VLOOKUP(A:A,SUMMERY!AA:AC,3,FALSE)</f>
        <v>Priority-1</v>
      </c>
    </row>
    <row r="1133" spans="1:32" x14ac:dyDescent="0.3">
      <c r="A1133" t="s">
        <v>5557</v>
      </c>
      <c r="B1133" t="s">
        <v>831</v>
      </c>
      <c r="G1133" t="s">
        <v>5356</v>
      </c>
      <c r="H1133" t="s">
        <v>132</v>
      </c>
      <c r="I1133" t="s">
        <v>1</v>
      </c>
      <c r="J1133" t="s">
        <v>5298</v>
      </c>
      <c r="K1133" t="s">
        <v>51</v>
      </c>
      <c r="L1133" t="s">
        <v>832</v>
      </c>
      <c r="M1133" t="s">
        <v>134</v>
      </c>
      <c r="N1133" t="s">
        <v>135</v>
      </c>
      <c r="Q1133" t="s">
        <v>168</v>
      </c>
      <c r="T1133" t="s">
        <v>169</v>
      </c>
      <c r="U1133" t="s">
        <v>137</v>
      </c>
      <c r="V1133" t="s">
        <v>147</v>
      </c>
      <c r="W1133" s="9">
        <v>46192.354900428239</v>
      </c>
      <c r="X1133" t="s">
        <v>70</v>
      </c>
      <c r="AA1133" t="s">
        <v>292</v>
      </c>
      <c r="AB1133" t="s">
        <v>1</v>
      </c>
      <c r="AC1133" t="s">
        <v>24</v>
      </c>
      <c r="AD1133" t="s">
        <v>128</v>
      </c>
      <c r="AE1133" s="97">
        <f>VLOOKUP(A:A,SUMMERY!AA:AC,2,FALSE)</f>
        <v>46220</v>
      </c>
      <c r="AF1133" s="6" t="str">
        <f>VLOOKUP(A:A,SUMMERY!AA:AC,3,FALSE)</f>
        <v>Priority-1</v>
      </c>
    </row>
    <row r="1134" spans="1:32" x14ac:dyDescent="0.3">
      <c r="A1134" t="s">
        <v>5558</v>
      </c>
      <c r="B1134" t="s">
        <v>834</v>
      </c>
      <c r="G1134" t="s">
        <v>5356</v>
      </c>
      <c r="H1134" t="s">
        <v>132</v>
      </c>
      <c r="I1134" t="s">
        <v>1</v>
      </c>
      <c r="J1134" t="s">
        <v>5298</v>
      </c>
      <c r="K1134" t="s">
        <v>51</v>
      </c>
      <c r="L1134" t="s">
        <v>835</v>
      </c>
      <c r="M1134" t="s">
        <v>134</v>
      </c>
      <c r="N1134" t="s">
        <v>135</v>
      </c>
      <c r="Q1134" t="s">
        <v>168</v>
      </c>
      <c r="T1134" t="s">
        <v>169</v>
      </c>
      <c r="U1134" t="s">
        <v>137</v>
      </c>
      <c r="V1134" t="s">
        <v>150</v>
      </c>
      <c r="W1134" s="9">
        <v>46179.197415393515</v>
      </c>
      <c r="X1134" t="s">
        <v>76</v>
      </c>
      <c r="AA1134" t="s">
        <v>292</v>
      </c>
      <c r="AB1134" t="s">
        <v>1</v>
      </c>
      <c r="AC1134" t="s">
        <v>24</v>
      </c>
      <c r="AD1134" t="s">
        <v>128</v>
      </c>
      <c r="AE1134" s="97">
        <f>VLOOKUP(A:A,SUMMERY!AA:AC,2,FALSE)</f>
        <v>46233</v>
      </c>
      <c r="AF1134" s="6" t="str">
        <f>VLOOKUP(A:A,SUMMERY!AA:AC,3,FALSE)</f>
        <v>Priority-1</v>
      </c>
    </row>
    <row r="1135" spans="1:32" x14ac:dyDescent="0.3">
      <c r="A1135" t="s">
        <v>5559</v>
      </c>
      <c r="B1135" t="s">
        <v>837</v>
      </c>
      <c r="G1135" t="s">
        <v>5356</v>
      </c>
      <c r="H1135" t="s">
        <v>132</v>
      </c>
      <c r="I1135" t="s">
        <v>1</v>
      </c>
      <c r="J1135" t="s">
        <v>5298</v>
      </c>
      <c r="K1135" t="s">
        <v>51</v>
      </c>
      <c r="L1135" t="s">
        <v>838</v>
      </c>
      <c r="M1135" t="s">
        <v>134</v>
      </c>
      <c r="N1135" t="s">
        <v>135</v>
      </c>
      <c r="Q1135" t="s">
        <v>168</v>
      </c>
      <c r="T1135" t="s">
        <v>169</v>
      </c>
      <c r="U1135" t="s">
        <v>137</v>
      </c>
      <c r="V1135" t="s">
        <v>150</v>
      </c>
      <c r="W1135" s="9">
        <v>46179.197895335645</v>
      </c>
      <c r="X1135" t="s">
        <v>76</v>
      </c>
      <c r="AA1135" t="s">
        <v>292</v>
      </c>
      <c r="AB1135" t="s">
        <v>1</v>
      </c>
      <c r="AC1135" t="s">
        <v>24</v>
      </c>
      <c r="AD1135" t="s">
        <v>128</v>
      </c>
      <c r="AE1135" s="97">
        <f>VLOOKUP(A:A,SUMMERY!AA:AC,2,FALSE)</f>
        <v>46233</v>
      </c>
      <c r="AF1135" s="6" t="str">
        <f>VLOOKUP(A:A,SUMMERY!AA:AC,3,FALSE)</f>
        <v>Priority-1</v>
      </c>
    </row>
    <row r="1136" spans="1:32" x14ac:dyDescent="0.3">
      <c r="A1136" t="s">
        <v>5560</v>
      </c>
      <c r="B1136" t="s">
        <v>840</v>
      </c>
      <c r="G1136" t="s">
        <v>5356</v>
      </c>
      <c r="H1136" t="s">
        <v>132</v>
      </c>
      <c r="I1136" t="s">
        <v>1</v>
      </c>
      <c r="J1136" t="s">
        <v>5298</v>
      </c>
      <c r="K1136" t="s">
        <v>51</v>
      </c>
      <c r="L1136" t="s">
        <v>841</v>
      </c>
      <c r="M1136" t="s">
        <v>134</v>
      </c>
      <c r="N1136" t="s">
        <v>135</v>
      </c>
      <c r="Q1136" t="s">
        <v>168</v>
      </c>
      <c r="T1136" t="s">
        <v>169</v>
      </c>
      <c r="U1136" t="s">
        <v>137</v>
      </c>
      <c r="V1136" t="s">
        <v>150</v>
      </c>
      <c r="W1136" s="9">
        <v>46192.354955057868</v>
      </c>
      <c r="X1136" t="s">
        <v>76</v>
      </c>
      <c r="AA1136" t="s">
        <v>292</v>
      </c>
      <c r="AB1136" t="s">
        <v>1</v>
      </c>
      <c r="AC1136" t="s">
        <v>24</v>
      </c>
      <c r="AD1136" t="s">
        <v>128</v>
      </c>
      <c r="AE1136" s="97">
        <f>VLOOKUP(A:A,SUMMERY!AA:AC,2,FALSE)</f>
        <v>46233</v>
      </c>
      <c r="AF1136" s="6" t="str">
        <f>VLOOKUP(A:A,SUMMERY!AA:AC,3,FALSE)</f>
        <v>Priority-1</v>
      </c>
    </row>
    <row r="1137" spans="1:32" x14ac:dyDescent="0.3">
      <c r="A1137" t="s">
        <v>5576</v>
      </c>
      <c r="B1137" t="s">
        <v>888</v>
      </c>
      <c r="G1137" t="s">
        <v>5356</v>
      </c>
      <c r="H1137" t="s">
        <v>132</v>
      </c>
      <c r="I1137" t="s">
        <v>1</v>
      </c>
      <c r="J1137" t="s">
        <v>5298</v>
      </c>
      <c r="K1137" t="s">
        <v>51</v>
      </c>
      <c r="L1137" t="s">
        <v>889</v>
      </c>
      <c r="M1137" t="s">
        <v>134</v>
      </c>
      <c r="N1137" t="s">
        <v>135</v>
      </c>
      <c r="Q1137" t="s">
        <v>168</v>
      </c>
      <c r="T1137" t="s">
        <v>169</v>
      </c>
      <c r="U1137" t="s">
        <v>137</v>
      </c>
      <c r="V1137" t="s">
        <v>890</v>
      </c>
      <c r="W1137" s="9">
        <v>46192.184326041664</v>
      </c>
      <c r="X1137" t="s">
        <v>59</v>
      </c>
      <c r="AA1137" t="s">
        <v>292</v>
      </c>
      <c r="AB1137" t="s">
        <v>1</v>
      </c>
      <c r="AC1137" t="s">
        <v>24</v>
      </c>
      <c r="AD1137" t="s">
        <v>128</v>
      </c>
      <c r="AE1137" s="97">
        <f>VLOOKUP(A:A,SUMMERY!AA:AC,2,FALSE)</f>
        <v>46220</v>
      </c>
      <c r="AF1137" s="6" t="str">
        <f>VLOOKUP(A:A,SUMMERY!AA:AC,3,FALSE)</f>
        <v>Priority-1</v>
      </c>
    </row>
    <row r="1138" spans="1:32" x14ac:dyDescent="0.3">
      <c r="A1138" t="s">
        <v>5577</v>
      </c>
      <c r="B1138" t="s">
        <v>892</v>
      </c>
      <c r="G1138" t="s">
        <v>5356</v>
      </c>
      <c r="H1138" t="s">
        <v>132</v>
      </c>
      <c r="I1138" t="s">
        <v>1</v>
      </c>
      <c r="J1138" t="s">
        <v>5298</v>
      </c>
      <c r="K1138" t="s">
        <v>51</v>
      </c>
      <c r="L1138" t="s">
        <v>893</v>
      </c>
      <c r="M1138" t="s">
        <v>134</v>
      </c>
      <c r="N1138" t="s">
        <v>135</v>
      </c>
      <c r="Q1138" t="s">
        <v>168</v>
      </c>
      <c r="T1138" t="s">
        <v>169</v>
      </c>
      <c r="U1138" t="s">
        <v>137</v>
      </c>
      <c r="V1138" t="s">
        <v>890</v>
      </c>
      <c r="W1138" s="9">
        <v>46192.184583946757</v>
      </c>
      <c r="X1138" t="s">
        <v>59</v>
      </c>
      <c r="AA1138" t="s">
        <v>292</v>
      </c>
      <c r="AB1138" t="s">
        <v>1</v>
      </c>
      <c r="AC1138" t="s">
        <v>24</v>
      </c>
      <c r="AD1138" t="s">
        <v>128</v>
      </c>
      <c r="AE1138" s="97">
        <f>VLOOKUP(A:A,SUMMERY!AA:AC,2,FALSE)</f>
        <v>46220</v>
      </c>
      <c r="AF1138" s="6" t="str">
        <f>VLOOKUP(A:A,SUMMERY!AA:AC,3,FALSE)</f>
        <v>Priority-1</v>
      </c>
    </row>
    <row r="1139" spans="1:32" x14ac:dyDescent="0.3">
      <c r="A1139" t="s">
        <v>5578</v>
      </c>
      <c r="B1139" t="s">
        <v>895</v>
      </c>
      <c r="G1139" t="s">
        <v>5356</v>
      </c>
      <c r="H1139" t="s">
        <v>132</v>
      </c>
      <c r="I1139" t="s">
        <v>1</v>
      </c>
      <c r="J1139" t="s">
        <v>5298</v>
      </c>
      <c r="K1139" t="s">
        <v>51</v>
      </c>
      <c r="L1139" t="s">
        <v>896</v>
      </c>
      <c r="M1139" t="s">
        <v>134</v>
      </c>
      <c r="N1139" t="s">
        <v>135</v>
      </c>
      <c r="Q1139" t="s">
        <v>168</v>
      </c>
      <c r="T1139" t="s">
        <v>169</v>
      </c>
      <c r="U1139" t="s">
        <v>137</v>
      </c>
      <c r="V1139" t="s">
        <v>897</v>
      </c>
      <c r="W1139" s="9">
        <v>46192.184985960645</v>
      </c>
      <c r="X1139" t="s">
        <v>64</v>
      </c>
      <c r="AA1139" t="s">
        <v>292</v>
      </c>
      <c r="AB1139" t="s">
        <v>1</v>
      </c>
      <c r="AC1139" t="s">
        <v>24</v>
      </c>
      <c r="AD1139" t="s">
        <v>128</v>
      </c>
      <c r="AE1139" s="97">
        <f>VLOOKUP(A:A,SUMMERY!AA:AC,2,FALSE)</f>
        <v>46233</v>
      </c>
      <c r="AF1139" s="6" t="str">
        <f>VLOOKUP(A:A,SUMMERY!AA:AC,3,FALSE)</f>
        <v>Priority-1</v>
      </c>
    </row>
    <row r="1140" spans="1:32" x14ac:dyDescent="0.3">
      <c r="A1140" t="s">
        <v>5579</v>
      </c>
      <c r="B1140" t="s">
        <v>899</v>
      </c>
      <c r="G1140" t="s">
        <v>5356</v>
      </c>
      <c r="H1140" t="s">
        <v>132</v>
      </c>
      <c r="I1140" t="s">
        <v>1</v>
      </c>
      <c r="J1140" t="s">
        <v>5298</v>
      </c>
      <c r="K1140" t="s">
        <v>51</v>
      </c>
      <c r="L1140" t="s">
        <v>900</v>
      </c>
      <c r="M1140" t="s">
        <v>134</v>
      </c>
      <c r="N1140" t="s">
        <v>135</v>
      </c>
      <c r="Q1140" t="s">
        <v>168</v>
      </c>
      <c r="T1140" t="s">
        <v>169</v>
      </c>
      <c r="U1140" t="s">
        <v>137</v>
      </c>
      <c r="V1140" t="s">
        <v>897</v>
      </c>
      <c r="W1140" s="9">
        <v>46192.185285300926</v>
      </c>
      <c r="X1140" t="s">
        <v>64</v>
      </c>
      <c r="AA1140" t="s">
        <v>292</v>
      </c>
      <c r="AB1140" t="s">
        <v>1</v>
      </c>
      <c r="AC1140" t="s">
        <v>24</v>
      </c>
      <c r="AD1140" t="s">
        <v>128</v>
      </c>
      <c r="AE1140" s="97">
        <f>VLOOKUP(A:A,SUMMERY!AA:AC,2,FALSE)</f>
        <v>46233</v>
      </c>
      <c r="AF1140" s="6" t="str">
        <f>VLOOKUP(A:A,SUMMERY!AA:AC,3,FALSE)</f>
        <v>Priority-1</v>
      </c>
    </row>
    <row r="1141" spans="1:32" x14ac:dyDescent="0.3">
      <c r="A1141" t="s">
        <v>5590</v>
      </c>
      <c r="B1141" t="s">
        <v>937</v>
      </c>
      <c r="G1141" t="s">
        <v>5356</v>
      </c>
      <c r="H1141" t="s">
        <v>132</v>
      </c>
      <c r="I1141" t="s">
        <v>1</v>
      </c>
      <c r="J1141" t="s">
        <v>5298</v>
      </c>
      <c r="K1141" t="s">
        <v>51</v>
      </c>
      <c r="L1141" t="s">
        <v>938</v>
      </c>
      <c r="M1141" t="s">
        <v>134</v>
      </c>
      <c r="N1141" t="s">
        <v>135</v>
      </c>
      <c r="Q1141" t="s">
        <v>168</v>
      </c>
      <c r="T1141" t="s">
        <v>169</v>
      </c>
      <c r="U1141" t="s">
        <v>137</v>
      </c>
      <c r="V1141" t="s">
        <v>352</v>
      </c>
      <c r="W1141" s="9">
        <v>46192.185892673609</v>
      </c>
      <c r="X1141" t="s">
        <v>56</v>
      </c>
      <c r="AA1141" t="s">
        <v>292</v>
      </c>
      <c r="AB1141" t="s">
        <v>1</v>
      </c>
      <c r="AC1141" t="s">
        <v>24</v>
      </c>
      <c r="AD1141" t="s">
        <v>128</v>
      </c>
      <c r="AE1141" s="97">
        <f>VLOOKUP(A:A,SUMMERY!AA:AC,2,FALSE)</f>
        <v>46233</v>
      </c>
      <c r="AF1141" s="6" t="str">
        <f>VLOOKUP(A:A,SUMMERY!AA:AC,3,FALSE)</f>
        <v>Priority-1</v>
      </c>
    </row>
    <row r="1142" spans="1:32" x14ac:dyDescent="0.3">
      <c r="A1142" t="s">
        <v>5591</v>
      </c>
      <c r="B1142" t="s">
        <v>940</v>
      </c>
      <c r="G1142" t="s">
        <v>5356</v>
      </c>
      <c r="H1142" t="s">
        <v>132</v>
      </c>
      <c r="I1142" t="s">
        <v>1</v>
      </c>
      <c r="J1142" t="s">
        <v>5298</v>
      </c>
      <c r="K1142" t="s">
        <v>51</v>
      </c>
      <c r="L1142" t="s">
        <v>941</v>
      </c>
      <c r="M1142" t="s">
        <v>134</v>
      </c>
      <c r="N1142" t="s">
        <v>135</v>
      </c>
      <c r="Q1142" t="s">
        <v>168</v>
      </c>
      <c r="T1142" t="s">
        <v>169</v>
      </c>
      <c r="U1142" t="s">
        <v>137</v>
      </c>
      <c r="V1142" t="s">
        <v>352</v>
      </c>
      <c r="W1142" s="9">
        <v>46192.186174074071</v>
      </c>
      <c r="X1142" t="s">
        <v>56</v>
      </c>
      <c r="AA1142" t="s">
        <v>292</v>
      </c>
      <c r="AB1142" t="s">
        <v>1</v>
      </c>
      <c r="AC1142" t="s">
        <v>24</v>
      </c>
      <c r="AD1142" t="s">
        <v>128</v>
      </c>
      <c r="AE1142" s="97">
        <f>VLOOKUP(A:A,SUMMERY!AA:AC,2,FALSE)</f>
        <v>46233</v>
      </c>
      <c r="AF1142" s="6" t="str">
        <f>VLOOKUP(A:A,SUMMERY!AA:AC,3,FALSE)</f>
        <v>Priority-1</v>
      </c>
    </row>
    <row r="1143" spans="1:32" x14ac:dyDescent="0.3">
      <c r="A1143" t="s">
        <v>5592</v>
      </c>
      <c r="B1143" t="s">
        <v>943</v>
      </c>
      <c r="G1143" t="s">
        <v>5356</v>
      </c>
      <c r="H1143" t="s">
        <v>132</v>
      </c>
      <c r="I1143" t="s">
        <v>1</v>
      </c>
      <c r="J1143" t="s">
        <v>5298</v>
      </c>
      <c r="K1143" t="s">
        <v>51</v>
      </c>
      <c r="L1143" t="s">
        <v>323</v>
      </c>
      <c r="M1143" t="s">
        <v>134</v>
      </c>
      <c r="N1143" t="s">
        <v>135</v>
      </c>
      <c r="Q1143" t="s">
        <v>168</v>
      </c>
      <c r="T1143" t="s">
        <v>169</v>
      </c>
      <c r="U1143" t="s">
        <v>137</v>
      </c>
      <c r="V1143" t="s">
        <v>324</v>
      </c>
      <c r="W1143" s="9">
        <v>46192.349239583331</v>
      </c>
      <c r="X1143" t="s">
        <v>60</v>
      </c>
      <c r="AA1143" t="s">
        <v>292</v>
      </c>
      <c r="AB1143" t="s">
        <v>1</v>
      </c>
      <c r="AC1143" t="s">
        <v>24</v>
      </c>
      <c r="AD1143" t="s">
        <v>128</v>
      </c>
      <c r="AE1143" s="97">
        <f>VLOOKUP(A:A,SUMMERY!AA:AC,2,FALSE)</f>
        <v>46220</v>
      </c>
      <c r="AF1143" s="6" t="str">
        <f>VLOOKUP(A:A,SUMMERY!AA:AC,3,FALSE)</f>
        <v>Priority-1</v>
      </c>
    </row>
    <row r="1144" spans="1:32" x14ac:dyDescent="0.3">
      <c r="A1144" t="s">
        <v>5593</v>
      </c>
      <c r="B1144" t="s">
        <v>945</v>
      </c>
      <c r="G1144" t="s">
        <v>5356</v>
      </c>
      <c r="H1144" t="s">
        <v>132</v>
      </c>
      <c r="I1144" t="s">
        <v>1</v>
      </c>
      <c r="J1144" t="s">
        <v>5298</v>
      </c>
      <c r="K1144" t="s">
        <v>51</v>
      </c>
      <c r="L1144" t="s">
        <v>323</v>
      </c>
      <c r="M1144" t="s">
        <v>134</v>
      </c>
      <c r="N1144" t="s">
        <v>135</v>
      </c>
      <c r="Q1144" t="s">
        <v>168</v>
      </c>
      <c r="T1144" t="s">
        <v>169</v>
      </c>
      <c r="U1144" t="s">
        <v>137</v>
      </c>
      <c r="V1144" t="s">
        <v>324</v>
      </c>
      <c r="W1144" s="9">
        <v>46192.349657754632</v>
      </c>
      <c r="X1144" t="s">
        <v>60</v>
      </c>
      <c r="AA1144" t="s">
        <v>292</v>
      </c>
      <c r="AB1144" t="s">
        <v>1</v>
      </c>
      <c r="AC1144" t="s">
        <v>24</v>
      </c>
      <c r="AD1144" t="s">
        <v>128</v>
      </c>
      <c r="AE1144" s="97">
        <f>VLOOKUP(A:A,SUMMERY!AA:AC,2,FALSE)</f>
        <v>46220</v>
      </c>
      <c r="AF1144" s="6" t="str">
        <f>VLOOKUP(A:A,SUMMERY!AA:AC,3,FALSE)</f>
        <v>Priority-1</v>
      </c>
    </row>
    <row r="1145" spans="1:32" x14ac:dyDescent="0.3">
      <c r="A1145" t="s">
        <v>5594</v>
      </c>
      <c r="B1145" t="s">
        <v>947</v>
      </c>
      <c r="G1145" t="s">
        <v>5356</v>
      </c>
      <c r="H1145" t="s">
        <v>132</v>
      </c>
      <c r="I1145" t="s">
        <v>1</v>
      </c>
      <c r="J1145" t="s">
        <v>5298</v>
      </c>
      <c r="K1145" t="s">
        <v>51</v>
      </c>
      <c r="L1145" t="s">
        <v>323</v>
      </c>
      <c r="M1145" t="s">
        <v>134</v>
      </c>
      <c r="N1145" t="s">
        <v>135</v>
      </c>
      <c r="Q1145" t="s">
        <v>168</v>
      </c>
      <c r="T1145" t="s">
        <v>169</v>
      </c>
      <c r="U1145" t="s">
        <v>137</v>
      </c>
      <c r="V1145" t="s">
        <v>324</v>
      </c>
      <c r="W1145" s="9">
        <v>46192.350826192131</v>
      </c>
      <c r="X1145" t="s">
        <v>60</v>
      </c>
      <c r="AA1145" t="s">
        <v>292</v>
      </c>
      <c r="AB1145" t="s">
        <v>1</v>
      </c>
      <c r="AC1145" t="s">
        <v>24</v>
      </c>
      <c r="AD1145" t="s">
        <v>128</v>
      </c>
      <c r="AE1145" s="97">
        <f>VLOOKUP(A:A,SUMMERY!AA:AC,2,FALSE)</f>
        <v>46220</v>
      </c>
      <c r="AF1145" s="6" t="str">
        <f>VLOOKUP(A:A,SUMMERY!AA:AC,3,FALSE)</f>
        <v>Priority-1</v>
      </c>
    </row>
    <row r="1146" spans="1:32" x14ac:dyDescent="0.3">
      <c r="A1146" t="s">
        <v>5595</v>
      </c>
      <c r="B1146" t="s">
        <v>949</v>
      </c>
      <c r="G1146" t="s">
        <v>5356</v>
      </c>
      <c r="H1146" t="s">
        <v>132</v>
      </c>
      <c r="I1146" t="s">
        <v>1</v>
      </c>
      <c r="J1146" t="s">
        <v>5298</v>
      </c>
      <c r="K1146" t="s">
        <v>51</v>
      </c>
      <c r="L1146" t="s">
        <v>323</v>
      </c>
      <c r="M1146" t="s">
        <v>134</v>
      </c>
      <c r="N1146" t="s">
        <v>135</v>
      </c>
      <c r="Q1146" t="s">
        <v>168</v>
      </c>
      <c r="T1146" t="s">
        <v>169</v>
      </c>
      <c r="U1146" t="s">
        <v>137</v>
      </c>
      <c r="V1146" t="s">
        <v>324</v>
      </c>
      <c r="W1146" s="9">
        <v>46192.351480983794</v>
      </c>
      <c r="X1146" t="s">
        <v>60</v>
      </c>
      <c r="AA1146" t="s">
        <v>292</v>
      </c>
      <c r="AB1146" t="s">
        <v>1</v>
      </c>
      <c r="AC1146" t="s">
        <v>24</v>
      </c>
      <c r="AD1146" t="s">
        <v>128</v>
      </c>
      <c r="AE1146" s="97">
        <f>VLOOKUP(A:A,SUMMERY!AA:AC,2,FALSE)</f>
        <v>46220</v>
      </c>
      <c r="AF1146" s="6" t="str">
        <f>VLOOKUP(A:A,SUMMERY!AA:AC,3,FALSE)</f>
        <v>Priority-1</v>
      </c>
    </row>
    <row r="1147" spans="1:32" x14ac:dyDescent="0.3">
      <c r="A1147" t="s">
        <v>5596</v>
      </c>
      <c r="B1147" t="s">
        <v>951</v>
      </c>
      <c r="G1147" t="s">
        <v>5356</v>
      </c>
      <c r="H1147" t="s">
        <v>132</v>
      </c>
      <c r="I1147" t="s">
        <v>1</v>
      </c>
      <c r="J1147" t="s">
        <v>5298</v>
      </c>
      <c r="K1147" t="s">
        <v>51</v>
      </c>
      <c r="L1147" t="s">
        <v>952</v>
      </c>
      <c r="M1147" t="s">
        <v>134</v>
      </c>
      <c r="N1147" t="s">
        <v>135</v>
      </c>
      <c r="Q1147" t="s">
        <v>168</v>
      </c>
      <c r="T1147" t="s">
        <v>169</v>
      </c>
      <c r="U1147" t="s">
        <v>137</v>
      </c>
      <c r="V1147" t="s">
        <v>324</v>
      </c>
      <c r="W1147" s="9">
        <v>46192.355034062501</v>
      </c>
      <c r="X1147" t="s">
        <v>60</v>
      </c>
      <c r="AA1147" t="s">
        <v>292</v>
      </c>
      <c r="AB1147" t="s">
        <v>1</v>
      </c>
      <c r="AC1147" t="s">
        <v>24</v>
      </c>
      <c r="AD1147" t="s">
        <v>128</v>
      </c>
      <c r="AE1147" s="97">
        <f>VLOOKUP(A:A,SUMMERY!AA:AC,2,FALSE)</f>
        <v>46220</v>
      </c>
      <c r="AF1147" s="6" t="str">
        <f>VLOOKUP(A:A,SUMMERY!AA:AC,3,FALSE)</f>
        <v>Priority-1</v>
      </c>
    </row>
    <row r="1148" spans="1:32" x14ac:dyDescent="0.3">
      <c r="A1148" t="s">
        <v>5597</v>
      </c>
      <c r="B1148" t="s">
        <v>954</v>
      </c>
      <c r="G1148" t="s">
        <v>5356</v>
      </c>
      <c r="H1148" t="s">
        <v>132</v>
      </c>
      <c r="I1148" t="s">
        <v>1</v>
      </c>
      <c r="J1148" t="s">
        <v>5298</v>
      </c>
      <c r="K1148" t="s">
        <v>51</v>
      </c>
      <c r="L1148" t="s">
        <v>955</v>
      </c>
      <c r="M1148" t="s">
        <v>134</v>
      </c>
      <c r="N1148" t="s">
        <v>135</v>
      </c>
      <c r="Q1148" t="s">
        <v>168</v>
      </c>
      <c r="T1148" t="s">
        <v>169</v>
      </c>
      <c r="U1148" t="s">
        <v>137</v>
      </c>
      <c r="V1148" t="s">
        <v>324</v>
      </c>
      <c r="W1148" s="9">
        <v>46192.186452928239</v>
      </c>
      <c r="X1148" t="s">
        <v>60</v>
      </c>
      <c r="AA1148" t="s">
        <v>292</v>
      </c>
      <c r="AB1148" t="s">
        <v>1</v>
      </c>
      <c r="AC1148" t="s">
        <v>24</v>
      </c>
      <c r="AD1148" t="s">
        <v>128</v>
      </c>
      <c r="AE1148" s="97">
        <f>VLOOKUP(A:A,SUMMERY!AA:AC,2,FALSE)</f>
        <v>46220</v>
      </c>
      <c r="AF1148" s="6" t="str">
        <f>VLOOKUP(A:A,SUMMERY!AA:AC,3,FALSE)</f>
        <v>Priority-1</v>
      </c>
    </row>
    <row r="1149" spans="1:32" x14ac:dyDescent="0.3">
      <c r="A1149" t="s">
        <v>5598</v>
      </c>
      <c r="B1149" t="s">
        <v>957</v>
      </c>
      <c r="G1149" t="s">
        <v>5356</v>
      </c>
      <c r="H1149" t="s">
        <v>132</v>
      </c>
      <c r="I1149" t="s">
        <v>1</v>
      </c>
      <c r="J1149" t="s">
        <v>5298</v>
      </c>
      <c r="K1149" t="s">
        <v>51</v>
      </c>
      <c r="L1149" t="s">
        <v>327</v>
      </c>
      <c r="M1149" t="s">
        <v>134</v>
      </c>
      <c r="N1149" t="s">
        <v>135</v>
      </c>
      <c r="Q1149" t="s">
        <v>168</v>
      </c>
      <c r="T1149" t="s">
        <v>169</v>
      </c>
      <c r="U1149" t="s">
        <v>137</v>
      </c>
      <c r="V1149" t="s">
        <v>328</v>
      </c>
      <c r="W1149" s="9">
        <v>46192.352942592595</v>
      </c>
      <c r="X1149" t="s">
        <v>65</v>
      </c>
      <c r="AA1149" t="s">
        <v>292</v>
      </c>
      <c r="AB1149" t="s">
        <v>1</v>
      </c>
      <c r="AC1149" t="s">
        <v>24</v>
      </c>
      <c r="AD1149" t="s">
        <v>128</v>
      </c>
      <c r="AE1149" s="97">
        <f>VLOOKUP(A:A,SUMMERY!AA:AC,2,FALSE)</f>
        <v>46233</v>
      </c>
      <c r="AF1149" s="6" t="str">
        <f>VLOOKUP(A:A,SUMMERY!AA:AC,3,FALSE)</f>
        <v>Priority-1</v>
      </c>
    </row>
    <row r="1150" spans="1:32" x14ac:dyDescent="0.3">
      <c r="A1150" t="s">
        <v>5599</v>
      </c>
      <c r="B1150" t="s">
        <v>959</v>
      </c>
      <c r="G1150" t="s">
        <v>5356</v>
      </c>
      <c r="H1150" t="s">
        <v>132</v>
      </c>
      <c r="I1150" t="s">
        <v>1</v>
      </c>
      <c r="J1150" t="s">
        <v>5298</v>
      </c>
      <c r="K1150" t="s">
        <v>51</v>
      </c>
      <c r="L1150" t="s">
        <v>327</v>
      </c>
      <c r="M1150" t="s">
        <v>134</v>
      </c>
      <c r="N1150" t="s">
        <v>135</v>
      </c>
      <c r="Q1150" t="s">
        <v>168</v>
      </c>
      <c r="T1150" t="s">
        <v>169</v>
      </c>
      <c r="U1150" t="s">
        <v>137</v>
      </c>
      <c r="V1150" t="s">
        <v>328</v>
      </c>
      <c r="W1150" s="9">
        <v>46192.352991585649</v>
      </c>
      <c r="X1150" t="s">
        <v>65</v>
      </c>
      <c r="AA1150" t="s">
        <v>292</v>
      </c>
      <c r="AB1150" t="s">
        <v>1</v>
      </c>
      <c r="AC1150" t="s">
        <v>24</v>
      </c>
      <c r="AD1150" t="s">
        <v>128</v>
      </c>
      <c r="AE1150" s="97">
        <f>VLOOKUP(A:A,SUMMERY!AA:AC,2,FALSE)</f>
        <v>46233</v>
      </c>
      <c r="AF1150" s="6" t="str">
        <f>VLOOKUP(A:A,SUMMERY!AA:AC,3,FALSE)</f>
        <v>Priority-1</v>
      </c>
    </row>
    <row r="1151" spans="1:32" x14ac:dyDescent="0.3">
      <c r="A1151" t="s">
        <v>5600</v>
      </c>
      <c r="B1151" t="s">
        <v>961</v>
      </c>
      <c r="G1151" t="s">
        <v>5356</v>
      </c>
      <c r="H1151" t="s">
        <v>132</v>
      </c>
      <c r="I1151" t="s">
        <v>1</v>
      </c>
      <c r="J1151" t="s">
        <v>5298</v>
      </c>
      <c r="K1151" t="s">
        <v>51</v>
      </c>
      <c r="L1151" t="s">
        <v>327</v>
      </c>
      <c r="M1151" t="s">
        <v>134</v>
      </c>
      <c r="N1151" t="s">
        <v>135</v>
      </c>
      <c r="Q1151" t="s">
        <v>168</v>
      </c>
      <c r="T1151" t="s">
        <v>169</v>
      </c>
      <c r="U1151" t="s">
        <v>137</v>
      </c>
      <c r="V1151" t="s">
        <v>328</v>
      </c>
      <c r="W1151" s="9">
        <v>46192.353072685182</v>
      </c>
      <c r="X1151" t="s">
        <v>65</v>
      </c>
      <c r="AA1151" t="s">
        <v>292</v>
      </c>
      <c r="AB1151" t="s">
        <v>1</v>
      </c>
      <c r="AC1151" t="s">
        <v>24</v>
      </c>
      <c r="AD1151" t="s">
        <v>128</v>
      </c>
      <c r="AE1151" s="97">
        <f>VLOOKUP(A:A,SUMMERY!AA:AC,2,FALSE)</f>
        <v>46233</v>
      </c>
      <c r="AF1151" s="6" t="str">
        <f>VLOOKUP(A:A,SUMMERY!AA:AC,3,FALSE)</f>
        <v>Priority-1</v>
      </c>
    </row>
    <row r="1152" spans="1:32" x14ac:dyDescent="0.3">
      <c r="A1152" t="s">
        <v>5601</v>
      </c>
      <c r="B1152" t="s">
        <v>963</v>
      </c>
      <c r="G1152" t="s">
        <v>5356</v>
      </c>
      <c r="H1152" t="s">
        <v>132</v>
      </c>
      <c r="I1152" t="s">
        <v>1</v>
      </c>
      <c r="J1152" t="s">
        <v>5298</v>
      </c>
      <c r="K1152" t="s">
        <v>51</v>
      </c>
      <c r="L1152" t="s">
        <v>327</v>
      </c>
      <c r="M1152" t="s">
        <v>134</v>
      </c>
      <c r="N1152" t="s">
        <v>135</v>
      </c>
      <c r="Q1152" t="s">
        <v>168</v>
      </c>
      <c r="T1152" t="s">
        <v>169</v>
      </c>
      <c r="U1152" t="s">
        <v>137</v>
      </c>
      <c r="V1152" t="s">
        <v>328</v>
      </c>
      <c r="W1152" s="9">
        <v>46192.353165081018</v>
      </c>
      <c r="X1152" t="s">
        <v>65</v>
      </c>
      <c r="AA1152" t="s">
        <v>292</v>
      </c>
      <c r="AB1152" t="s">
        <v>1</v>
      </c>
      <c r="AC1152" t="s">
        <v>24</v>
      </c>
      <c r="AD1152" t="s">
        <v>128</v>
      </c>
      <c r="AE1152" s="97">
        <f>VLOOKUP(A:A,SUMMERY!AA:AC,2,FALSE)</f>
        <v>46233</v>
      </c>
      <c r="AF1152" s="6" t="str">
        <f>VLOOKUP(A:A,SUMMERY!AA:AC,3,FALSE)</f>
        <v>Priority-1</v>
      </c>
    </row>
    <row r="1153" spans="1:32" x14ac:dyDescent="0.3">
      <c r="A1153" t="s">
        <v>5602</v>
      </c>
      <c r="B1153" t="s">
        <v>965</v>
      </c>
      <c r="G1153" t="s">
        <v>5356</v>
      </c>
      <c r="H1153" t="s">
        <v>132</v>
      </c>
      <c r="I1153" t="s">
        <v>1</v>
      </c>
      <c r="J1153" t="s">
        <v>5298</v>
      </c>
      <c r="K1153" t="s">
        <v>51</v>
      </c>
      <c r="L1153" t="s">
        <v>966</v>
      </c>
      <c r="M1153" t="s">
        <v>134</v>
      </c>
      <c r="N1153" t="s">
        <v>135</v>
      </c>
      <c r="Q1153" t="s">
        <v>168</v>
      </c>
      <c r="T1153" t="s">
        <v>169</v>
      </c>
      <c r="U1153" t="s">
        <v>137</v>
      </c>
      <c r="V1153" t="s">
        <v>328</v>
      </c>
      <c r="W1153" s="9">
        <v>46192.186848807869</v>
      </c>
      <c r="X1153" t="s">
        <v>65</v>
      </c>
      <c r="AA1153" t="s">
        <v>292</v>
      </c>
      <c r="AB1153" t="s">
        <v>1</v>
      </c>
      <c r="AC1153" t="s">
        <v>24</v>
      </c>
      <c r="AD1153" t="s">
        <v>128</v>
      </c>
      <c r="AE1153" s="97">
        <f>VLOOKUP(A:A,SUMMERY!AA:AC,2,FALSE)</f>
        <v>46233</v>
      </c>
      <c r="AF1153" s="6" t="str">
        <f>VLOOKUP(A:A,SUMMERY!AA:AC,3,FALSE)</f>
        <v>Priority-1</v>
      </c>
    </row>
    <row r="1154" spans="1:32" x14ac:dyDescent="0.3">
      <c r="A1154" t="s">
        <v>5603</v>
      </c>
      <c r="B1154" t="s">
        <v>968</v>
      </c>
      <c r="G1154" t="s">
        <v>5356</v>
      </c>
      <c r="H1154" t="s">
        <v>132</v>
      </c>
      <c r="I1154" t="s">
        <v>1</v>
      </c>
      <c r="J1154" t="s">
        <v>5298</v>
      </c>
      <c r="K1154" t="s">
        <v>51</v>
      </c>
      <c r="L1154" t="s">
        <v>969</v>
      </c>
      <c r="M1154" t="s">
        <v>134</v>
      </c>
      <c r="N1154" t="s">
        <v>135</v>
      </c>
      <c r="Q1154" t="s">
        <v>168</v>
      </c>
      <c r="T1154" t="s">
        <v>169</v>
      </c>
      <c r="U1154" t="s">
        <v>137</v>
      </c>
      <c r="V1154" t="s">
        <v>328</v>
      </c>
      <c r="W1154" s="9">
        <v>46192.188671261574</v>
      </c>
      <c r="X1154" t="s">
        <v>65</v>
      </c>
      <c r="AA1154" t="s">
        <v>292</v>
      </c>
      <c r="AB1154" t="s">
        <v>1</v>
      </c>
      <c r="AC1154" t="s">
        <v>24</v>
      </c>
      <c r="AD1154" t="s">
        <v>128</v>
      </c>
      <c r="AE1154" s="97">
        <f>VLOOKUP(A:A,SUMMERY!AA:AC,2,FALSE)</f>
        <v>46233</v>
      </c>
      <c r="AF1154" s="6" t="str">
        <f>VLOOKUP(A:A,SUMMERY!AA:AC,3,FALSE)</f>
        <v>Priority-1</v>
      </c>
    </row>
    <row r="1155" spans="1:32" x14ac:dyDescent="0.3">
      <c r="A1155" t="s">
        <v>5634</v>
      </c>
      <c r="B1155" t="s">
        <v>1041</v>
      </c>
      <c r="G1155" t="s">
        <v>5356</v>
      </c>
      <c r="H1155" t="s">
        <v>132</v>
      </c>
      <c r="I1155" t="s">
        <v>1</v>
      </c>
      <c r="J1155" t="s">
        <v>5298</v>
      </c>
      <c r="K1155" t="s">
        <v>51</v>
      </c>
      <c r="L1155" t="s">
        <v>1042</v>
      </c>
      <c r="M1155" t="s">
        <v>134</v>
      </c>
      <c r="N1155" t="s">
        <v>135</v>
      </c>
      <c r="Q1155" t="s">
        <v>168</v>
      </c>
      <c r="T1155" t="s">
        <v>169</v>
      </c>
      <c r="U1155" t="s">
        <v>137</v>
      </c>
      <c r="V1155" t="s">
        <v>352</v>
      </c>
      <c r="W1155" s="9">
        <v>46192.189323530096</v>
      </c>
      <c r="X1155" t="s">
        <v>56</v>
      </c>
      <c r="AA1155" t="s">
        <v>292</v>
      </c>
      <c r="AB1155" t="s">
        <v>1</v>
      </c>
      <c r="AC1155" t="s">
        <v>24</v>
      </c>
      <c r="AD1155" t="s">
        <v>128</v>
      </c>
      <c r="AE1155" s="97">
        <f>VLOOKUP(A:A,SUMMERY!AA:AC,2,FALSE)</f>
        <v>46233</v>
      </c>
      <c r="AF1155" s="6" t="str">
        <f>VLOOKUP(A:A,SUMMERY!AA:AC,3,FALSE)</f>
        <v>Priority-1</v>
      </c>
    </row>
    <row r="1156" spans="1:32" x14ac:dyDescent="0.3">
      <c r="A1156" t="s">
        <v>5635</v>
      </c>
      <c r="B1156" t="s">
        <v>1044</v>
      </c>
      <c r="G1156" t="s">
        <v>5356</v>
      </c>
      <c r="H1156" t="s">
        <v>132</v>
      </c>
      <c r="I1156" t="s">
        <v>1</v>
      </c>
      <c r="J1156" t="s">
        <v>5298</v>
      </c>
      <c r="K1156" t="s">
        <v>51</v>
      </c>
      <c r="L1156" t="s">
        <v>1045</v>
      </c>
      <c r="M1156" t="s">
        <v>134</v>
      </c>
      <c r="N1156" t="s">
        <v>135</v>
      </c>
      <c r="Q1156" t="s">
        <v>168</v>
      </c>
      <c r="T1156" t="s">
        <v>169</v>
      </c>
      <c r="U1156" t="s">
        <v>137</v>
      </c>
      <c r="V1156" t="s">
        <v>352</v>
      </c>
      <c r="W1156" s="9">
        <v>46192.189248229166</v>
      </c>
      <c r="X1156" t="s">
        <v>56</v>
      </c>
      <c r="AA1156" t="s">
        <v>292</v>
      </c>
      <c r="AB1156" t="s">
        <v>1</v>
      </c>
      <c r="AC1156" t="s">
        <v>24</v>
      </c>
      <c r="AD1156" t="s">
        <v>128</v>
      </c>
      <c r="AE1156" s="97">
        <f>VLOOKUP(A:A,SUMMERY!AA:AC,2,FALSE)</f>
        <v>46233</v>
      </c>
      <c r="AF1156" s="6" t="str">
        <f>VLOOKUP(A:A,SUMMERY!AA:AC,3,FALSE)</f>
        <v>Priority-1</v>
      </c>
    </row>
    <row r="1157" spans="1:32" x14ac:dyDescent="0.3">
      <c r="A1157" t="s">
        <v>5636</v>
      </c>
      <c r="B1157" t="s">
        <v>1047</v>
      </c>
      <c r="G1157" t="s">
        <v>5356</v>
      </c>
      <c r="H1157" t="s">
        <v>132</v>
      </c>
      <c r="I1157" t="s">
        <v>1</v>
      </c>
      <c r="J1157" t="s">
        <v>5298</v>
      </c>
      <c r="K1157" t="s">
        <v>51</v>
      </c>
      <c r="L1157" t="s">
        <v>351</v>
      </c>
      <c r="M1157" t="s">
        <v>134</v>
      </c>
      <c r="N1157" t="s">
        <v>135</v>
      </c>
      <c r="Q1157" t="s">
        <v>168</v>
      </c>
      <c r="T1157" t="s">
        <v>169</v>
      </c>
      <c r="U1157" t="s">
        <v>137</v>
      </c>
      <c r="V1157" t="s">
        <v>352</v>
      </c>
      <c r="W1157" s="9">
        <v>46192.179007025465</v>
      </c>
      <c r="X1157" t="s">
        <v>56</v>
      </c>
      <c r="AA1157" t="s">
        <v>292</v>
      </c>
      <c r="AB1157" t="s">
        <v>1</v>
      </c>
      <c r="AC1157" t="s">
        <v>24</v>
      </c>
      <c r="AD1157" t="s">
        <v>128</v>
      </c>
      <c r="AE1157" s="97">
        <f>VLOOKUP(A:A,SUMMERY!AA:AC,2,FALSE)</f>
        <v>46233</v>
      </c>
      <c r="AF1157" s="6" t="str">
        <f>VLOOKUP(A:A,SUMMERY!AA:AC,3,FALSE)</f>
        <v>Priority-1</v>
      </c>
    </row>
    <row r="1158" spans="1:32" x14ac:dyDescent="0.3">
      <c r="A1158" t="s">
        <v>5637</v>
      </c>
      <c r="B1158" t="s">
        <v>1049</v>
      </c>
      <c r="G1158" t="s">
        <v>5356</v>
      </c>
      <c r="H1158" t="s">
        <v>132</v>
      </c>
      <c r="I1158" t="s">
        <v>1</v>
      </c>
      <c r="J1158" t="s">
        <v>5298</v>
      </c>
      <c r="K1158" t="s">
        <v>51</v>
      </c>
      <c r="L1158" t="s">
        <v>351</v>
      </c>
      <c r="M1158" t="s">
        <v>134</v>
      </c>
      <c r="N1158" t="s">
        <v>135</v>
      </c>
      <c r="Q1158" t="s">
        <v>168</v>
      </c>
      <c r="T1158" t="s">
        <v>169</v>
      </c>
      <c r="U1158" t="s">
        <v>137</v>
      </c>
      <c r="V1158" t="s">
        <v>352</v>
      </c>
      <c r="W1158" s="9">
        <v>46192.180446874998</v>
      </c>
      <c r="X1158" t="s">
        <v>56</v>
      </c>
      <c r="AA1158" t="s">
        <v>292</v>
      </c>
      <c r="AB1158" t="s">
        <v>1</v>
      </c>
      <c r="AC1158" t="s">
        <v>24</v>
      </c>
      <c r="AD1158" t="s">
        <v>128</v>
      </c>
      <c r="AE1158" s="97">
        <f>VLOOKUP(A:A,SUMMERY!AA:AC,2,FALSE)</f>
        <v>46233</v>
      </c>
      <c r="AF1158" s="6" t="str">
        <f>VLOOKUP(A:A,SUMMERY!AA:AC,3,FALSE)</f>
        <v>Priority-1</v>
      </c>
    </row>
    <row r="1159" spans="1:32" x14ac:dyDescent="0.3">
      <c r="A1159" t="s">
        <v>5638</v>
      </c>
      <c r="B1159" t="s">
        <v>1051</v>
      </c>
      <c r="G1159" t="s">
        <v>5356</v>
      </c>
      <c r="H1159" t="s">
        <v>132</v>
      </c>
      <c r="I1159" t="s">
        <v>1</v>
      </c>
      <c r="J1159" t="s">
        <v>5298</v>
      </c>
      <c r="K1159" t="s">
        <v>51</v>
      </c>
      <c r="L1159" t="s">
        <v>351</v>
      </c>
      <c r="M1159" t="s">
        <v>134</v>
      </c>
      <c r="N1159" t="s">
        <v>135</v>
      </c>
      <c r="Q1159" t="s">
        <v>168</v>
      </c>
      <c r="T1159" t="s">
        <v>169</v>
      </c>
      <c r="U1159" t="s">
        <v>137</v>
      </c>
      <c r="V1159" t="s">
        <v>352</v>
      </c>
      <c r="W1159" s="9">
        <v>46192.180745254627</v>
      </c>
      <c r="X1159" t="s">
        <v>56</v>
      </c>
      <c r="AA1159" t="s">
        <v>292</v>
      </c>
      <c r="AB1159" t="s">
        <v>1</v>
      </c>
      <c r="AC1159" t="s">
        <v>24</v>
      </c>
      <c r="AD1159" t="s">
        <v>128</v>
      </c>
      <c r="AE1159" s="97">
        <f>VLOOKUP(A:A,SUMMERY!AA:AC,2,FALSE)</f>
        <v>46233</v>
      </c>
      <c r="AF1159" s="6" t="str">
        <f>VLOOKUP(A:A,SUMMERY!AA:AC,3,FALSE)</f>
        <v>Priority-1</v>
      </c>
    </row>
    <row r="1160" spans="1:32" x14ac:dyDescent="0.3">
      <c r="A1160" t="s">
        <v>5639</v>
      </c>
      <c r="B1160" t="s">
        <v>1053</v>
      </c>
      <c r="G1160" t="s">
        <v>5356</v>
      </c>
      <c r="H1160" t="s">
        <v>132</v>
      </c>
      <c r="I1160" t="s">
        <v>1</v>
      </c>
      <c r="J1160" t="s">
        <v>5298</v>
      </c>
      <c r="K1160" t="s">
        <v>51</v>
      </c>
      <c r="L1160" t="s">
        <v>351</v>
      </c>
      <c r="M1160" t="s">
        <v>134</v>
      </c>
      <c r="N1160" t="s">
        <v>135</v>
      </c>
      <c r="Q1160" t="s">
        <v>168</v>
      </c>
      <c r="T1160" t="s">
        <v>169</v>
      </c>
      <c r="U1160" t="s">
        <v>137</v>
      </c>
      <c r="V1160" t="s">
        <v>352</v>
      </c>
      <c r="W1160" s="9">
        <v>46192.180826701391</v>
      </c>
      <c r="X1160" t="s">
        <v>56</v>
      </c>
      <c r="AA1160" t="s">
        <v>292</v>
      </c>
      <c r="AB1160" t="s">
        <v>1</v>
      </c>
      <c r="AC1160" t="s">
        <v>24</v>
      </c>
      <c r="AD1160" t="s">
        <v>128</v>
      </c>
      <c r="AE1160" s="97">
        <f>VLOOKUP(A:A,SUMMERY!AA:AC,2,FALSE)</f>
        <v>46233</v>
      </c>
      <c r="AF1160" s="6" t="str">
        <f>VLOOKUP(A:A,SUMMERY!AA:AC,3,FALSE)</f>
        <v>Priority-1</v>
      </c>
    </row>
    <row r="1161" spans="1:32" x14ac:dyDescent="0.3">
      <c r="A1161" t="s">
        <v>5640</v>
      </c>
      <c r="B1161" t="s">
        <v>1055</v>
      </c>
      <c r="G1161" t="s">
        <v>5356</v>
      </c>
      <c r="H1161" t="s">
        <v>132</v>
      </c>
      <c r="I1161" t="s">
        <v>1</v>
      </c>
      <c r="J1161" t="s">
        <v>5298</v>
      </c>
      <c r="K1161" t="s">
        <v>51</v>
      </c>
      <c r="L1161" t="s">
        <v>351</v>
      </c>
      <c r="M1161" t="s">
        <v>134</v>
      </c>
      <c r="N1161" t="s">
        <v>135</v>
      </c>
      <c r="Q1161" t="s">
        <v>168</v>
      </c>
      <c r="T1161" t="s">
        <v>169</v>
      </c>
      <c r="U1161" t="s">
        <v>137</v>
      </c>
      <c r="V1161" t="s">
        <v>352</v>
      </c>
      <c r="W1161" s="9">
        <v>46192.18090806713</v>
      </c>
      <c r="X1161" t="s">
        <v>56</v>
      </c>
      <c r="AA1161" t="s">
        <v>292</v>
      </c>
      <c r="AB1161" t="s">
        <v>1</v>
      </c>
      <c r="AC1161" t="s">
        <v>24</v>
      </c>
      <c r="AD1161" t="s">
        <v>128</v>
      </c>
      <c r="AE1161" s="97">
        <f>VLOOKUP(A:A,SUMMERY!AA:AC,2,FALSE)</f>
        <v>46233</v>
      </c>
      <c r="AF1161" s="6" t="str">
        <f>VLOOKUP(A:A,SUMMERY!AA:AC,3,FALSE)</f>
        <v>Priority-1</v>
      </c>
    </row>
    <row r="1162" spans="1:32" x14ac:dyDescent="0.3">
      <c r="A1162" t="s">
        <v>5641</v>
      </c>
      <c r="B1162" t="s">
        <v>1057</v>
      </c>
      <c r="G1162" t="s">
        <v>5356</v>
      </c>
      <c r="H1162" t="s">
        <v>132</v>
      </c>
      <c r="I1162" t="s">
        <v>1</v>
      </c>
      <c r="J1162" t="s">
        <v>5298</v>
      </c>
      <c r="K1162" t="s">
        <v>51</v>
      </c>
      <c r="L1162" t="s">
        <v>351</v>
      </c>
      <c r="M1162" t="s">
        <v>134</v>
      </c>
      <c r="N1162" t="s">
        <v>135</v>
      </c>
      <c r="Q1162" t="s">
        <v>168</v>
      </c>
      <c r="T1162" t="s">
        <v>169</v>
      </c>
      <c r="U1162" t="s">
        <v>137</v>
      </c>
      <c r="V1162" t="s">
        <v>352</v>
      </c>
      <c r="W1162" s="9">
        <v>46192.18097523148</v>
      </c>
      <c r="X1162" t="s">
        <v>56</v>
      </c>
      <c r="AA1162" t="s">
        <v>292</v>
      </c>
      <c r="AB1162" t="s">
        <v>1</v>
      </c>
      <c r="AC1162" t="s">
        <v>24</v>
      </c>
      <c r="AD1162" t="s">
        <v>128</v>
      </c>
      <c r="AE1162" s="97">
        <f>VLOOKUP(A:A,SUMMERY!AA:AC,2,FALSE)</f>
        <v>46233</v>
      </c>
      <c r="AF1162" s="6" t="str">
        <f>VLOOKUP(A:A,SUMMERY!AA:AC,3,FALSE)</f>
        <v>Priority-1</v>
      </c>
    </row>
    <row r="1163" spans="1:32" x14ac:dyDescent="0.3">
      <c r="A1163" t="s">
        <v>5642</v>
      </c>
      <c r="B1163" t="s">
        <v>1059</v>
      </c>
      <c r="G1163" t="s">
        <v>5356</v>
      </c>
      <c r="H1163" t="s">
        <v>132</v>
      </c>
      <c r="I1163" t="s">
        <v>1</v>
      </c>
      <c r="J1163" t="s">
        <v>5298</v>
      </c>
      <c r="K1163" t="s">
        <v>51</v>
      </c>
      <c r="L1163" t="s">
        <v>351</v>
      </c>
      <c r="M1163" t="s">
        <v>134</v>
      </c>
      <c r="N1163" t="s">
        <v>135</v>
      </c>
      <c r="Q1163" t="s">
        <v>168</v>
      </c>
      <c r="T1163" t="s">
        <v>169</v>
      </c>
      <c r="U1163" t="s">
        <v>137</v>
      </c>
      <c r="V1163" t="s">
        <v>352</v>
      </c>
      <c r="W1163" s="9">
        <v>46192.181084953707</v>
      </c>
      <c r="X1163" t="s">
        <v>56</v>
      </c>
      <c r="AA1163" t="s">
        <v>292</v>
      </c>
      <c r="AB1163" t="s">
        <v>1</v>
      </c>
      <c r="AC1163" t="s">
        <v>24</v>
      </c>
      <c r="AD1163" t="s">
        <v>128</v>
      </c>
      <c r="AE1163" s="97">
        <f>VLOOKUP(A:A,SUMMERY!AA:AC,2,FALSE)</f>
        <v>46233</v>
      </c>
      <c r="AF1163" s="6" t="str">
        <f>VLOOKUP(A:A,SUMMERY!AA:AC,3,FALSE)</f>
        <v>Priority-1</v>
      </c>
    </row>
    <row r="1164" spans="1:32" x14ac:dyDescent="0.3">
      <c r="A1164" t="s">
        <v>5643</v>
      </c>
      <c r="B1164" t="s">
        <v>1061</v>
      </c>
      <c r="G1164" t="s">
        <v>5356</v>
      </c>
      <c r="H1164" t="s">
        <v>132</v>
      </c>
      <c r="I1164" t="s">
        <v>1</v>
      </c>
      <c r="J1164" t="s">
        <v>5298</v>
      </c>
      <c r="K1164" t="s">
        <v>51</v>
      </c>
      <c r="L1164" t="s">
        <v>351</v>
      </c>
      <c r="M1164" t="s">
        <v>134</v>
      </c>
      <c r="N1164" t="s">
        <v>135</v>
      </c>
      <c r="Q1164" t="s">
        <v>168</v>
      </c>
      <c r="T1164" t="s">
        <v>169</v>
      </c>
      <c r="U1164" t="s">
        <v>137</v>
      </c>
      <c r="V1164" t="s">
        <v>352</v>
      </c>
      <c r="W1164" s="9">
        <v>46192.18053179398</v>
      </c>
      <c r="X1164" t="s">
        <v>56</v>
      </c>
      <c r="AA1164" t="s">
        <v>292</v>
      </c>
      <c r="AB1164" t="s">
        <v>1</v>
      </c>
      <c r="AC1164" t="s">
        <v>24</v>
      </c>
      <c r="AD1164" t="s">
        <v>128</v>
      </c>
      <c r="AE1164" s="97">
        <f>VLOOKUP(A:A,SUMMERY!AA:AC,2,FALSE)</f>
        <v>46233</v>
      </c>
      <c r="AF1164" s="6" t="str">
        <f>VLOOKUP(A:A,SUMMERY!AA:AC,3,FALSE)</f>
        <v>Priority-1</v>
      </c>
    </row>
    <row r="1165" spans="1:32" x14ac:dyDescent="0.3">
      <c r="A1165" t="s">
        <v>5644</v>
      </c>
      <c r="B1165" t="s">
        <v>1063</v>
      </c>
      <c r="G1165" t="s">
        <v>5356</v>
      </c>
      <c r="H1165" t="s">
        <v>132</v>
      </c>
      <c r="I1165" t="s">
        <v>1</v>
      </c>
      <c r="J1165" t="s">
        <v>5298</v>
      </c>
      <c r="K1165" t="s">
        <v>51</v>
      </c>
      <c r="L1165" t="s">
        <v>1064</v>
      </c>
      <c r="M1165" t="s">
        <v>134</v>
      </c>
      <c r="N1165" t="s">
        <v>135</v>
      </c>
      <c r="Q1165" t="s">
        <v>168</v>
      </c>
      <c r="T1165" t="s">
        <v>169</v>
      </c>
      <c r="U1165" t="s">
        <v>137</v>
      </c>
      <c r="V1165" t="s">
        <v>403</v>
      </c>
      <c r="W1165" s="9">
        <v>46192.201858715278</v>
      </c>
      <c r="X1165" t="s">
        <v>68</v>
      </c>
      <c r="AA1165" t="s">
        <v>292</v>
      </c>
      <c r="AB1165" t="s">
        <v>1</v>
      </c>
      <c r="AC1165" t="s">
        <v>24</v>
      </c>
      <c r="AD1165" t="s">
        <v>128</v>
      </c>
      <c r="AE1165" s="97">
        <f>VLOOKUP(A:A,SUMMERY!AA:AC,2,FALSE)</f>
        <v>46233</v>
      </c>
      <c r="AF1165" s="6" t="str">
        <f>VLOOKUP(A:A,SUMMERY!AA:AC,3,FALSE)</f>
        <v>Priority-1</v>
      </c>
    </row>
    <row r="1166" spans="1:32" x14ac:dyDescent="0.3">
      <c r="A1166" t="s">
        <v>5645</v>
      </c>
      <c r="B1166" t="s">
        <v>1066</v>
      </c>
      <c r="G1166" t="s">
        <v>5356</v>
      </c>
      <c r="H1166" t="s">
        <v>132</v>
      </c>
      <c r="I1166" t="s">
        <v>1</v>
      </c>
      <c r="J1166" t="s">
        <v>5298</v>
      </c>
      <c r="K1166" t="s">
        <v>51</v>
      </c>
      <c r="L1166" t="s">
        <v>1067</v>
      </c>
      <c r="M1166" t="s">
        <v>134</v>
      </c>
      <c r="N1166" t="s">
        <v>135</v>
      </c>
      <c r="Q1166" t="s">
        <v>168</v>
      </c>
      <c r="T1166" t="s">
        <v>169</v>
      </c>
      <c r="U1166" t="s">
        <v>137</v>
      </c>
      <c r="V1166" t="s">
        <v>407</v>
      </c>
      <c r="W1166" s="9">
        <v>46192.201907025461</v>
      </c>
      <c r="X1166" t="s">
        <v>77</v>
      </c>
      <c r="AA1166" t="s">
        <v>292</v>
      </c>
      <c r="AB1166" t="s">
        <v>1</v>
      </c>
      <c r="AC1166" t="s">
        <v>24</v>
      </c>
      <c r="AD1166" t="s">
        <v>128</v>
      </c>
      <c r="AE1166" s="97">
        <f>VLOOKUP(A:A,SUMMERY!AA:AC,2,FALSE)</f>
        <v>46233</v>
      </c>
      <c r="AF1166" s="6" t="str">
        <f>VLOOKUP(A:A,SUMMERY!AA:AC,3,FALSE)</f>
        <v>Priority-1</v>
      </c>
    </row>
    <row r="1167" spans="1:32" x14ac:dyDescent="0.3">
      <c r="A1167" t="s">
        <v>5651</v>
      </c>
      <c r="B1167" t="s">
        <v>1084</v>
      </c>
      <c r="G1167" t="s">
        <v>5356</v>
      </c>
      <c r="H1167" t="s">
        <v>132</v>
      </c>
      <c r="I1167" t="s">
        <v>1</v>
      </c>
      <c r="J1167" t="s">
        <v>5298</v>
      </c>
      <c r="K1167" t="s">
        <v>51</v>
      </c>
      <c r="L1167" t="s">
        <v>295</v>
      </c>
      <c r="M1167" t="s">
        <v>134</v>
      </c>
      <c r="N1167" t="s">
        <v>135</v>
      </c>
      <c r="Q1167" t="s">
        <v>168</v>
      </c>
      <c r="T1167" t="s">
        <v>169</v>
      </c>
      <c r="U1167" t="s">
        <v>137</v>
      </c>
      <c r="V1167" t="s">
        <v>296</v>
      </c>
      <c r="W1167" s="9">
        <v>46192.357442939814</v>
      </c>
      <c r="X1167" t="s">
        <v>63</v>
      </c>
      <c r="AA1167" t="s">
        <v>292</v>
      </c>
      <c r="AB1167" t="s">
        <v>1</v>
      </c>
      <c r="AC1167" t="s">
        <v>24</v>
      </c>
      <c r="AD1167" t="s">
        <v>128</v>
      </c>
      <c r="AE1167" s="97">
        <f>VLOOKUP(A:A,SUMMERY!AA:AC,2,FALSE)</f>
        <v>46220</v>
      </c>
      <c r="AF1167" s="6" t="str">
        <f>VLOOKUP(A:A,SUMMERY!AA:AC,3,FALSE)</f>
        <v>Priority-1</v>
      </c>
    </row>
    <row r="1168" spans="1:32" x14ac:dyDescent="0.3">
      <c r="A1168" t="s">
        <v>5652</v>
      </c>
      <c r="B1168" t="s">
        <v>1086</v>
      </c>
      <c r="G1168" t="s">
        <v>5356</v>
      </c>
      <c r="H1168" t="s">
        <v>132</v>
      </c>
      <c r="I1168" t="s">
        <v>1</v>
      </c>
      <c r="J1168" t="s">
        <v>5298</v>
      </c>
      <c r="K1168" t="s">
        <v>51</v>
      </c>
      <c r="L1168" t="s">
        <v>1087</v>
      </c>
      <c r="M1168" t="s">
        <v>134</v>
      </c>
      <c r="N1168" t="s">
        <v>135</v>
      </c>
      <c r="Q1168" t="s">
        <v>168</v>
      </c>
      <c r="T1168" t="s">
        <v>169</v>
      </c>
      <c r="U1168" t="s">
        <v>137</v>
      </c>
      <c r="V1168" t="s">
        <v>296</v>
      </c>
      <c r="W1168" s="9">
        <v>46192.35511704861</v>
      </c>
      <c r="X1168" t="s">
        <v>63</v>
      </c>
      <c r="AA1168" t="s">
        <v>292</v>
      </c>
      <c r="AB1168" t="s">
        <v>1</v>
      </c>
      <c r="AC1168" t="s">
        <v>24</v>
      </c>
      <c r="AD1168" t="s">
        <v>128</v>
      </c>
      <c r="AE1168" s="97">
        <f>VLOOKUP(A:A,SUMMERY!AA:AC,2,FALSE)</f>
        <v>46220</v>
      </c>
      <c r="AF1168" s="6" t="str">
        <f>VLOOKUP(A:A,SUMMERY!AA:AC,3,FALSE)</f>
        <v>Priority-1</v>
      </c>
    </row>
    <row r="1169" spans="1:32" x14ac:dyDescent="0.3">
      <c r="A1169" t="s">
        <v>5653</v>
      </c>
      <c r="B1169" t="s">
        <v>1089</v>
      </c>
      <c r="G1169" t="s">
        <v>5356</v>
      </c>
      <c r="H1169" t="s">
        <v>132</v>
      </c>
      <c r="I1169" t="s">
        <v>1</v>
      </c>
      <c r="J1169" t="s">
        <v>5298</v>
      </c>
      <c r="K1169" t="s">
        <v>51</v>
      </c>
      <c r="L1169" t="s">
        <v>1090</v>
      </c>
      <c r="M1169" t="s">
        <v>134</v>
      </c>
      <c r="N1169" t="s">
        <v>135</v>
      </c>
      <c r="Q1169" t="s">
        <v>168</v>
      </c>
      <c r="T1169" t="s">
        <v>169</v>
      </c>
      <c r="U1169" t="s">
        <v>137</v>
      </c>
      <c r="V1169" t="s">
        <v>296</v>
      </c>
      <c r="W1169" s="9">
        <v>46192.355198067133</v>
      </c>
      <c r="X1169" t="s">
        <v>63</v>
      </c>
      <c r="AA1169" t="s">
        <v>292</v>
      </c>
      <c r="AB1169" t="s">
        <v>1</v>
      </c>
      <c r="AC1169" t="s">
        <v>24</v>
      </c>
      <c r="AD1169" t="s">
        <v>128</v>
      </c>
      <c r="AE1169" s="97">
        <f>VLOOKUP(A:A,SUMMERY!AA:AC,2,FALSE)</f>
        <v>46220</v>
      </c>
      <c r="AF1169" s="6" t="str">
        <f>VLOOKUP(A:A,SUMMERY!AA:AC,3,FALSE)</f>
        <v>Priority-1</v>
      </c>
    </row>
    <row r="1170" spans="1:32" x14ac:dyDescent="0.3">
      <c r="A1170" t="s">
        <v>5654</v>
      </c>
      <c r="B1170" t="s">
        <v>1092</v>
      </c>
      <c r="G1170" t="s">
        <v>5356</v>
      </c>
      <c r="H1170" t="s">
        <v>132</v>
      </c>
      <c r="I1170" t="s">
        <v>1</v>
      </c>
      <c r="J1170" t="s">
        <v>5298</v>
      </c>
      <c r="K1170" t="s">
        <v>51</v>
      </c>
      <c r="L1170" t="s">
        <v>299</v>
      </c>
      <c r="M1170" t="s">
        <v>134</v>
      </c>
      <c r="N1170" t="s">
        <v>135</v>
      </c>
      <c r="Q1170" t="s">
        <v>168</v>
      </c>
      <c r="T1170" t="s">
        <v>169</v>
      </c>
      <c r="U1170" t="s">
        <v>137</v>
      </c>
      <c r="V1170" t="s">
        <v>300</v>
      </c>
      <c r="W1170" s="9">
        <v>46192.357493171294</v>
      </c>
      <c r="X1170" t="s">
        <v>72</v>
      </c>
      <c r="AA1170" t="s">
        <v>292</v>
      </c>
      <c r="AB1170" t="s">
        <v>1</v>
      </c>
      <c r="AC1170" t="s">
        <v>24</v>
      </c>
      <c r="AD1170" t="s">
        <v>128</v>
      </c>
      <c r="AE1170" s="97">
        <f>VLOOKUP(A:A,SUMMERY!AA:AC,2,FALSE)</f>
        <v>46234</v>
      </c>
      <c r="AF1170" s="6" t="str">
        <f>VLOOKUP(A:A,SUMMERY!AA:AC,3,FALSE)</f>
        <v>Priority-1</v>
      </c>
    </row>
    <row r="1171" spans="1:32" x14ac:dyDescent="0.3">
      <c r="A1171" t="s">
        <v>5655</v>
      </c>
      <c r="B1171" t="s">
        <v>1094</v>
      </c>
      <c r="G1171" t="s">
        <v>5356</v>
      </c>
      <c r="H1171" t="s">
        <v>132</v>
      </c>
      <c r="I1171" t="s">
        <v>1</v>
      </c>
      <c r="J1171" t="s">
        <v>5298</v>
      </c>
      <c r="K1171" t="s">
        <v>51</v>
      </c>
      <c r="L1171" t="s">
        <v>1095</v>
      </c>
      <c r="M1171" t="s">
        <v>134</v>
      </c>
      <c r="N1171" t="s">
        <v>135</v>
      </c>
      <c r="Q1171" t="s">
        <v>168</v>
      </c>
      <c r="T1171" t="s">
        <v>169</v>
      </c>
      <c r="U1171" t="s">
        <v>137</v>
      </c>
      <c r="V1171" t="s">
        <v>300</v>
      </c>
      <c r="W1171" s="9">
        <v>46192.354779513887</v>
      </c>
      <c r="X1171" t="s">
        <v>72</v>
      </c>
      <c r="AA1171" t="s">
        <v>292</v>
      </c>
      <c r="AB1171" t="s">
        <v>1</v>
      </c>
      <c r="AC1171" t="s">
        <v>24</v>
      </c>
      <c r="AD1171" t="s">
        <v>128</v>
      </c>
      <c r="AE1171" s="97">
        <f>VLOOKUP(A:A,SUMMERY!AA:AC,2,FALSE)</f>
        <v>46234</v>
      </c>
      <c r="AF1171" s="6" t="str">
        <f>VLOOKUP(A:A,SUMMERY!AA:AC,3,FALSE)</f>
        <v>Priority-1</v>
      </c>
    </row>
    <row r="1172" spans="1:32" x14ac:dyDescent="0.3">
      <c r="A1172" t="s">
        <v>5656</v>
      </c>
      <c r="B1172" t="s">
        <v>1097</v>
      </c>
      <c r="G1172" t="s">
        <v>5356</v>
      </c>
      <c r="H1172" t="s">
        <v>132</v>
      </c>
      <c r="I1172" t="s">
        <v>1</v>
      </c>
      <c r="J1172" t="s">
        <v>5298</v>
      </c>
      <c r="K1172" t="s">
        <v>51</v>
      </c>
      <c r="L1172" t="s">
        <v>1098</v>
      </c>
      <c r="M1172" t="s">
        <v>134</v>
      </c>
      <c r="N1172" t="s">
        <v>135</v>
      </c>
      <c r="Q1172" t="s">
        <v>168</v>
      </c>
      <c r="T1172" t="s">
        <v>169</v>
      </c>
      <c r="U1172" t="s">
        <v>137</v>
      </c>
      <c r="V1172" t="s">
        <v>300</v>
      </c>
      <c r="W1172" s="9">
        <v>46192.355902858799</v>
      </c>
      <c r="X1172" t="s">
        <v>72</v>
      </c>
      <c r="AA1172" t="s">
        <v>292</v>
      </c>
      <c r="AB1172" t="s">
        <v>1</v>
      </c>
      <c r="AC1172" t="s">
        <v>24</v>
      </c>
      <c r="AD1172" t="s">
        <v>128</v>
      </c>
      <c r="AE1172" s="97">
        <f>VLOOKUP(A:A,SUMMERY!AA:AC,2,FALSE)</f>
        <v>46234</v>
      </c>
      <c r="AF1172" s="6" t="str">
        <f>VLOOKUP(A:A,SUMMERY!AA:AC,3,FALSE)</f>
        <v>Priority-1</v>
      </c>
    </row>
    <row r="1173" spans="1:32" x14ac:dyDescent="0.3">
      <c r="A1173" t="s">
        <v>5672</v>
      </c>
      <c r="B1173" t="s">
        <v>1140</v>
      </c>
      <c r="G1173" t="s">
        <v>5356</v>
      </c>
      <c r="H1173" t="s">
        <v>132</v>
      </c>
      <c r="I1173" t="s">
        <v>1</v>
      </c>
      <c r="J1173" t="s">
        <v>5298</v>
      </c>
      <c r="K1173" t="s">
        <v>51</v>
      </c>
      <c r="L1173" t="s">
        <v>1141</v>
      </c>
      <c r="M1173" t="s">
        <v>134</v>
      </c>
      <c r="N1173" t="s">
        <v>135</v>
      </c>
      <c r="Q1173" t="s">
        <v>168</v>
      </c>
      <c r="T1173" t="s">
        <v>169</v>
      </c>
      <c r="U1173" t="s">
        <v>137</v>
      </c>
      <c r="V1173" t="s">
        <v>352</v>
      </c>
      <c r="X1173" t="s">
        <v>56</v>
      </c>
      <c r="AA1173" t="s">
        <v>292</v>
      </c>
      <c r="AB1173" t="s">
        <v>1</v>
      </c>
      <c r="AC1173" t="s">
        <v>138</v>
      </c>
      <c r="AD1173" t="s">
        <v>128</v>
      </c>
      <c r="AE1173" s="97">
        <f>VLOOKUP(A:A,SUMMERY!AA:AC,2,FALSE)</f>
        <v>46233</v>
      </c>
      <c r="AF1173" s="6" t="str">
        <f>VLOOKUP(A:A,SUMMERY!AA:AC,3,FALSE)</f>
        <v>Priority-1</v>
      </c>
    </row>
    <row r="1174" spans="1:32" x14ac:dyDescent="0.3">
      <c r="A1174" t="s">
        <v>5673</v>
      </c>
      <c r="B1174" t="s">
        <v>1143</v>
      </c>
      <c r="G1174" t="s">
        <v>5356</v>
      </c>
      <c r="H1174" t="s">
        <v>132</v>
      </c>
      <c r="I1174" t="s">
        <v>1</v>
      </c>
      <c r="J1174" t="s">
        <v>5298</v>
      </c>
      <c r="K1174" t="s">
        <v>51</v>
      </c>
      <c r="L1174" t="s">
        <v>1144</v>
      </c>
      <c r="M1174" t="s">
        <v>134</v>
      </c>
      <c r="N1174" t="s">
        <v>135</v>
      </c>
      <c r="Q1174" t="s">
        <v>168</v>
      </c>
      <c r="T1174" t="s">
        <v>169</v>
      </c>
      <c r="U1174" t="s">
        <v>137</v>
      </c>
      <c r="V1174" t="s">
        <v>352</v>
      </c>
      <c r="X1174" t="s">
        <v>56</v>
      </c>
      <c r="AA1174" t="s">
        <v>292</v>
      </c>
      <c r="AB1174" t="s">
        <v>1</v>
      </c>
      <c r="AC1174" t="s">
        <v>138</v>
      </c>
      <c r="AD1174" t="s">
        <v>128</v>
      </c>
      <c r="AE1174" s="97">
        <f>VLOOKUP(A:A,SUMMERY!AA:AC,2,FALSE)</f>
        <v>46233</v>
      </c>
      <c r="AF1174" s="6" t="str">
        <f>VLOOKUP(A:A,SUMMERY!AA:AC,3,FALSE)</f>
        <v>Priority-1</v>
      </c>
    </row>
    <row r="1175" spans="1:32" x14ac:dyDescent="0.3">
      <c r="A1175" t="s">
        <v>5674</v>
      </c>
      <c r="B1175" t="s">
        <v>1146</v>
      </c>
      <c r="G1175" t="s">
        <v>5356</v>
      </c>
      <c r="H1175" t="s">
        <v>132</v>
      </c>
      <c r="I1175" t="s">
        <v>1</v>
      </c>
      <c r="J1175" t="s">
        <v>5298</v>
      </c>
      <c r="K1175" t="s">
        <v>51</v>
      </c>
      <c r="L1175" t="s">
        <v>1147</v>
      </c>
      <c r="M1175" t="s">
        <v>134</v>
      </c>
      <c r="N1175" t="s">
        <v>135</v>
      </c>
      <c r="Q1175" t="s">
        <v>168</v>
      </c>
      <c r="T1175" t="s">
        <v>169</v>
      </c>
      <c r="U1175" t="s">
        <v>137</v>
      </c>
      <c r="V1175" t="s">
        <v>352</v>
      </c>
      <c r="W1175" s="9">
        <v>46192.188987650465</v>
      </c>
      <c r="X1175" t="s">
        <v>56</v>
      </c>
      <c r="AA1175" t="s">
        <v>292</v>
      </c>
      <c r="AB1175" t="s">
        <v>1</v>
      </c>
      <c r="AC1175" t="s">
        <v>24</v>
      </c>
      <c r="AD1175" t="s">
        <v>128</v>
      </c>
      <c r="AE1175" s="97">
        <f>VLOOKUP(A:A,SUMMERY!AA:AC,2,FALSE)</f>
        <v>46233</v>
      </c>
      <c r="AF1175" s="6" t="str">
        <f>VLOOKUP(A:A,SUMMERY!AA:AC,3,FALSE)</f>
        <v>Priority-1</v>
      </c>
    </row>
    <row r="1176" spans="1:32" x14ac:dyDescent="0.3">
      <c r="A1176" t="s">
        <v>5675</v>
      </c>
      <c r="B1176" t="s">
        <v>1149</v>
      </c>
      <c r="G1176" t="s">
        <v>5356</v>
      </c>
      <c r="H1176" t="s">
        <v>132</v>
      </c>
      <c r="I1176" t="s">
        <v>1</v>
      </c>
      <c r="J1176" t="s">
        <v>5298</v>
      </c>
      <c r="K1176" t="s">
        <v>51</v>
      </c>
      <c r="L1176" t="s">
        <v>1150</v>
      </c>
      <c r="M1176" t="s">
        <v>134</v>
      </c>
      <c r="N1176" t="s">
        <v>135</v>
      </c>
      <c r="Q1176" t="s">
        <v>168</v>
      </c>
      <c r="T1176" t="s">
        <v>169</v>
      </c>
      <c r="U1176" t="s">
        <v>137</v>
      </c>
      <c r="V1176" t="s">
        <v>352</v>
      </c>
      <c r="W1176" s="9">
        <v>46192.188893287035</v>
      </c>
      <c r="X1176" t="s">
        <v>56</v>
      </c>
      <c r="AA1176" t="s">
        <v>292</v>
      </c>
      <c r="AB1176" t="s">
        <v>1</v>
      </c>
      <c r="AC1176" t="s">
        <v>24</v>
      </c>
      <c r="AD1176" t="s">
        <v>128</v>
      </c>
      <c r="AE1176" s="97">
        <f>VLOOKUP(A:A,SUMMERY!AA:AC,2,FALSE)</f>
        <v>46233</v>
      </c>
      <c r="AF1176" s="6" t="str">
        <f>VLOOKUP(A:A,SUMMERY!AA:AC,3,FALSE)</f>
        <v>Priority-1</v>
      </c>
    </row>
    <row r="1177" spans="1:32" x14ac:dyDescent="0.3">
      <c r="A1177" t="s">
        <v>5676</v>
      </c>
      <c r="B1177" t="s">
        <v>1152</v>
      </c>
      <c r="G1177" t="s">
        <v>5356</v>
      </c>
      <c r="H1177" t="s">
        <v>132</v>
      </c>
      <c r="I1177" t="s">
        <v>1</v>
      </c>
      <c r="J1177" t="s">
        <v>5298</v>
      </c>
      <c r="K1177" t="s">
        <v>51</v>
      </c>
      <c r="L1177" t="s">
        <v>1153</v>
      </c>
      <c r="M1177" t="s">
        <v>134</v>
      </c>
      <c r="N1177" t="s">
        <v>135</v>
      </c>
      <c r="Q1177" t="s">
        <v>168</v>
      </c>
      <c r="T1177" t="s">
        <v>169</v>
      </c>
      <c r="U1177" t="s">
        <v>137</v>
      </c>
      <c r="V1177" t="s">
        <v>352</v>
      </c>
      <c r="W1177" s="9">
        <v>46192.190356099534</v>
      </c>
      <c r="X1177" t="s">
        <v>56</v>
      </c>
      <c r="AA1177" t="s">
        <v>292</v>
      </c>
      <c r="AB1177" t="s">
        <v>1</v>
      </c>
      <c r="AC1177" t="s">
        <v>24</v>
      </c>
      <c r="AD1177" t="s">
        <v>128</v>
      </c>
      <c r="AE1177" s="97">
        <f>VLOOKUP(A:A,SUMMERY!AA:AC,2,FALSE)</f>
        <v>46233</v>
      </c>
      <c r="AF1177" s="6" t="str">
        <f>VLOOKUP(A:A,SUMMERY!AA:AC,3,FALSE)</f>
        <v>Priority-1</v>
      </c>
    </row>
    <row r="1178" spans="1:32" x14ac:dyDescent="0.3">
      <c r="A1178" t="s">
        <v>5677</v>
      </c>
      <c r="B1178" t="s">
        <v>1155</v>
      </c>
      <c r="G1178" t="s">
        <v>5356</v>
      </c>
      <c r="H1178" t="s">
        <v>132</v>
      </c>
      <c r="I1178" t="s">
        <v>1</v>
      </c>
      <c r="J1178" t="s">
        <v>5298</v>
      </c>
      <c r="K1178" t="s">
        <v>51</v>
      </c>
      <c r="L1178" t="s">
        <v>1156</v>
      </c>
      <c r="M1178" t="s">
        <v>134</v>
      </c>
      <c r="N1178" t="s">
        <v>135</v>
      </c>
      <c r="Q1178" t="s">
        <v>168</v>
      </c>
      <c r="T1178" t="s">
        <v>169</v>
      </c>
      <c r="U1178" t="s">
        <v>137</v>
      </c>
      <c r="V1178" t="s">
        <v>352</v>
      </c>
      <c r="W1178" s="9">
        <v>46192.190429247683</v>
      </c>
      <c r="X1178" t="s">
        <v>56</v>
      </c>
      <c r="AA1178" t="s">
        <v>292</v>
      </c>
      <c r="AB1178" t="s">
        <v>1</v>
      </c>
      <c r="AC1178" t="s">
        <v>24</v>
      </c>
      <c r="AD1178" t="s">
        <v>128</v>
      </c>
      <c r="AE1178" s="97">
        <f>VLOOKUP(A:A,SUMMERY!AA:AC,2,FALSE)</f>
        <v>46233</v>
      </c>
      <c r="AF1178" s="6" t="str">
        <f>VLOOKUP(A:A,SUMMERY!AA:AC,3,FALSE)</f>
        <v>Priority-1</v>
      </c>
    </row>
    <row r="1179" spans="1:32" x14ac:dyDescent="0.3">
      <c r="A1179" t="s">
        <v>5678</v>
      </c>
      <c r="B1179" t="s">
        <v>1158</v>
      </c>
      <c r="G1179" t="s">
        <v>5356</v>
      </c>
      <c r="H1179" t="s">
        <v>132</v>
      </c>
      <c r="I1179" t="s">
        <v>1</v>
      </c>
      <c r="J1179" t="s">
        <v>5298</v>
      </c>
      <c r="K1179" t="s">
        <v>51</v>
      </c>
      <c r="L1179" t="s">
        <v>1159</v>
      </c>
      <c r="M1179" t="s">
        <v>134</v>
      </c>
      <c r="N1179" t="s">
        <v>135</v>
      </c>
      <c r="Q1179" t="s">
        <v>168</v>
      </c>
      <c r="T1179" t="s">
        <v>169</v>
      </c>
      <c r="U1179" t="s">
        <v>137</v>
      </c>
      <c r="V1179" t="s">
        <v>147</v>
      </c>
      <c r="W1179" s="9">
        <v>46192.190484687497</v>
      </c>
      <c r="X1179" t="s">
        <v>70</v>
      </c>
      <c r="AA1179" t="s">
        <v>292</v>
      </c>
      <c r="AB1179" t="s">
        <v>1</v>
      </c>
      <c r="AC1179" t="s">
        <v>24</v>
      </c>
      <c r="AD1179" t="s">
        <v>128</v>
      </c>
      <c r="AE1179" s="97">
        <f>VLOOKUP(A:A,SUMMERY!AA:AC,2,FALSE)</f>
        <v>46220</v>
      </c>
      <c r="AF1179" s="6" t="str">
        <f>VLOOKUP(A:A,SUMMERY!AA:AC,3,FALSE)</f>
        <v>Priority-1</v>
      </c>
    </row>
    <row r="1180" spans="1:32" x14ac:dyDescent="0.3">
      <c r="A1180" t="s">
        <v>5679</v>
      </c>
      <c r="B1180" t="s">
        <v>1161</v>
      </c>
      <c r="G1180" t="s">
        <v>5356</v>
      </c>
      <c r="H1180" t="s">
        <v>132</v>
      </c>
      <c r="I1180" t="s">
        <v>1</v>
      </c>
      <c r="J1180" t="s">
        <v>5298</v>
      </c>
      <c r="K1180" t="s">
        <v>51</v>
      </c>
      <c r="L1180" t="s">
        <v>1162</v>
      </c>
      <c r="M1180" t="s">
        <v>134</v>
      </c>
      <c r="N1180" t="s">
        <v>135</v>
      </c>
      <c r="Q1180" t="s">
        <v>168</v>
      </c>
      <c r="T1180" t="s">
        <v>169</v>
      </c>
      <c r="U1180" t="s">
        <v>137</v>
      </c>
      <c r="V1180" t="s">
        <v>147</v>
      </c>
      <c r="W1180" s="9">
        <v>46192.19060228009</v>
      </c>
      <c r="X1180" t="s">
        <v>70</v>
      </c>
      <c r="AA1180" t="s">
        <v>292</v>
      </c>
      <c r="AB1180" t="s">
        <v>1</v>
      </c>
      <c r="AC1180" t="s">
        <v>24</v>
      </c>
      <c r="AD1180" t="s">
        <v>128</v>
      </c>
      <c r="AE1180" s="97">
        <f>VLOOKUP(A:A,SUMMERY!AA:AC,2,FALSE)</f>
        <v>46220</v>
      </c>
      <c r="AF1180" s="6" t="str">
        <f>VLOOKUP(A:A,SUMMERY!AA:AC,3,FALSE)</f>
        <v>Priority-1</v>
      </c>
    </row>
    <row r="1181" spans="1:32" x14ac:dyDescent="0.3">
      <c r="A1181" t="s">
        <v>5682</v>
      </c>
      <c r="B1181" t="s">
        <v>1170</v>
      </c>
      <c r="G1181" t="s">
        <v>5356</v>
      </c>
      <c r="H1181" t="s">
        <v>132</v>
      </c>
      <c r="I1181" t="s">
        <v>1</v>
      </c>
      <c r="J1181" t="s">
        <v>5298</v>
      </c>
      <c r="K1181" t="s">
        <v>51</v>
      </c>
      <c r="L1181" t="s">
        <v>1171</v>
      </c>
      <c r="M1181" t="s">
        <v>134</v>
      </c>
      <c r="N1181" t="s">
        <v>135</v>
      </c>
      <c r="Q1181" t="s">
        <v>168</v>
      </c>
      <c r="T1181" t="s">
        <v>169</v>
      </c>
      <c r="U1181" t="s">
        <v>137</v>
      </c>
      <c r="V1181" t="s">
        <v>162</v>
      </c>
      <c r="X1181" t="s">
        <v>113</v>
      </c>
      <c r="AA1181" t="s">
        <v>292</v>
      </c>
      <c r="AB1181" t="s">
        <v>1</v>
      </c>
      <c r="AC1181" t="s">
        <v>138</v>
      </c>
      <c r="AD1181" t="s">
        <v>129</v>
      </c>
      <c r="AE1181" s="97">
        <f>VLOOKUP(A:A,SUMMERY!AA:AC,2,FALSE)</f>
        <v>46234</v>
      </c>
      <c r="AF1181" s="6" t="str">
        <f>VLOOKUP(A:A,SUMMERY!AA:AC,3,FALSE)</f>
        <v>Priority-1</v>
      </c>
    </row>
    <row r="1182" spans="1:32" x14ac:dyDescent="0.3">
      <c r="A1182" t="s">
        <v>5683</v>
      </c>
      <c r="B1182" t="s">
        <v>1173</v>
      </c>
      <c r="G1182" t="s">
        <v>5356</v>
      </c>
      <c r="H1182" t="s">
        <v>132</v>
      </c>
      <c r="I1182" t="s">
        <v>1</v>
      </c>
      <c r="J1182" t="s">
        <v>5298</v>
      </c>
      <c r="K1182" t="s">
        <v>51</v>
      </c>
      <c r="L1182" t="s">
        <v>1174</v>
      </c>
      <c r="M1182" t="s">
        <v>134</v>
      </c>
      <c r="N1182" t="s">
        <v>135</v>
      </c>
      <c r="Q1182" t="s">
        <v>168</v>
      </c>
      <c r="T1182" t="s">
        <v>169</v>
      </c>
      <c r="U1182" t="s">
        <v>137</v>
      </c>
      <c r="V1182" t="s">
        <v>162</v>
      </c>
      <c r="X1182" t="s">
        <v>113</v>
      </c>
      <c r="AA1182" t="s">
        <v>292</v>
      </c>
      <c r="AB1182" t="s">
        <v>1</v>
      </c>
      <c r="AC1182" t="s">
        <v>138</v>
      </c>
      <c r="AD1182" t="s">
        <v>129</v>
      </c>
      <c r="AE1182" s="97">
        <f>VLOOKUP(A:A,SUMMERY!AA:AC,2,FALSE)</f>
        <v>46234</v>
      </c>
      <c r="AF1182" s="6" t="str">
        <f>VLOOKUP(A:A,SUMMERY!AA:AC,3,FALSE)</f>
        <v>Priority-1</v>
      </c>
    </row>
    <row r="1183" spans="1:32" x14ac:dyDescent="0.3">
      <c r="A1183" t="s">
        <v>5684</v>
      </c>
      <c r="B1183" t="s">
        <v>1176</v>
      </c>
      <c r="G1183" t="s">
        <v>5356</v>
      </c>
      <c r="H1183" t="s">
        <v>132</v>
      </c>
      <c r="I1183" t="s">
        <v>1</v>
      </c>
      <c r="J1183" t="s">
        <v>5298</v>
      </c>
      <c r="K1183" t="s">
        <v>51</v>
      </c>
      <c r="L1183" t="s">
        <v>1177</v>
      </c>
      <c r="M1183" t="s">
        <v>134</v>
      </c>
      <c r="N1183" t="s">
        <v>135</v>
      </c>
      <c r="Q1183" t="s">
        <v>168</v>
      </c>
      <c r="T1183" t="s">
        <v>169</v>
      </c>
      <c r="U1183" t="s">
        <v>137</v>
      </c>
      <c r="V1183" t="s">
        <v>352</v>
      </c>
      <c r="W1183" s="9">
        <v>46192.355972569443</v>
      </c>
      <c r="X1183" t="s">
        <v>56</v>
      </c>
      <c r="AA1183" t="s">
        <v>292</v>
      </c>
      <c r="AB1183" t="s">
        <v>1</v>
      </c>
      <c r="AC1183" t="s">
        <v>24</v>
      </c>
      <c r="AD1183" t="s">
        <v>128</v>
      </c>
      <c r="AE1183" s="97">
        <f>VLOOKUP(A:A,SUMMERY!AA:AC,2,FALSE)</f>
        <v>46233</v>
      </c>
      <c r="AF1183" s="6" t="str">
        <f>VLOOKUP(A:A,SUMMERY!AA:AC,3,FALSE)</f>
        <v>Priority-1</v>
      </c>
    </row>
    <row r="1184" spans="1:32" x14ac:dyDescent="0.3">
      <c r="A1184" t="s">
        <v>5685</v>
      </c>
      <c r="B1184" t="s">
        <v>1179</v>
      </c>
      <c r="G1184" t="s">
        <v>5356</v>
      </c>
      <c r="H1184" t="s">
        <v>132</v>
      </c>
      <c r="I1184" t="s">
        <v>1</v>
      </c>
      <c r="J1184" t="s">
        <v>5298</v>
      </c>
      <c r="K1184" t="s">
        <v>51</v>
      </c>
      <c r="L1184" t="s">
        <v>1180</v>
      </c>
      <c r="M1184" t="s">
        <v>134</v>
      </c>
      <c r="N1184" t="s">
        <v>135</v>
      </c>
      <c r="Q1184" t="s">
        <v>168</v>
      </c>
      <c r="T1184" t="s">
        <v>169</v>
      </c>
      <c r="U1184" t="s">
        <v>137</v>
      </c>
      <c r="V1184" t="s">
        <v>352</v>
      </c>
      <c r="W1184" s="9">
        <v>46192.355845868056</v>
      </c>
      <c r="X1184" t="s">
        <v>56</v>
      </c>
      <c r="AA1184" t="s">
        <v>292</v>
      </c>
      <c r="AB1184" t="s">
        <v>1</v>
      </c>
      <c r="AC1184" t="s">
        <v>24</v>
      </c>
      <c r="AD1184" t="s">
        <v>128</v>
      </c>
      <c r="AE1184" s="97">
        <f>VLOOKUP(A:A,SUMMERY!AA:AC,2,FALSE)</f>
        <v>46233</v>
      </c>
      <c r="AF1184" s="6" t="str">
        <f>VLOOKUP(A:A,SUMMERY!AA:AC,3,FALSE)</f>
        <v>Priority-1</v>
      </c>
    </row>
    <row r="1185" spans="1:32" x14ac:dyDescent="0.3">
      <c r="A1185" t="s">
        <v>5686</v>
      </c>
      <c r="B1185" t="s">
        <v>1182</v>
      </c>
      <c r="G1185" t="s">
        <v>5356</v>
      </c>
      <c r="H1185" t="s">
        <v>132</v>
      </c>
      <c r="I1185" t="s">
        <v>1</v>
      </c>
      <c r="J1185" t="s">
        <v>5298</v>
      </c>
      <c r="K1185" t="s">
        <v>51</v>
      </c>
      <c r="L1185" t="s">
        <v>1183</v>
      </c>
      <c r="M1185" t="s">
        <v>134</v>
      </c>
      <c r="N1185" t="s">
        <v>135</v>
      </c>
      <c r="Q1185" t="s">
        <v>168</v>
      </c>
      <c r="T1185" t="s">
        <v>169</v>
      </c>
      <c r="U1185" t="s">
        <v>137</v>
      </c>
      <c r="V1185" t="s">
        <v>358</v>
      </c>
      <c r="X1185" t="s">
        <v>124</v>
      </c>
      <c r="AA1185" t="s">
        <v>292</v>
      </c>
      <c r="AB1185" t="s">
        <v>1</v>
      </c>
      <c r="AC1185" t="s">
        <v>138</v>
      </c>
      <c r="AD1185" t="s">
        <v>130</v>
      </c>
      <c r="AE1185" s="97">
        <f>VLOOKUP(A:A,SUMMERY!AA:AC,2,FALSE)</f>
        <v>46234</v>
      </c>
      <c r="AF1185" s="6" t="str">
        <f>VLOOKUP(A:A,SUMMERY!AA:AC,3,FALSE)</f>
        <v>Priority-1</v>
      </c>
    </row>
    <row r="1186" spans="1:32" x14ac:dyDescent="0.3">
      <c r="A1186" t="s">
        <v>5687</v>
      </c>
      <c r="B1186" t="s">
        <v>1185</v>
      </c>
      <c r="G1186" t="s">
        <v>5356</v>
      </c>
      <c r="H1186" t="s">
        <v>132</v>
      </c>
      <c r="I1186" t="s">
        <v>1</v>
      </c>
      <c r="J1186" t="s">
        <v>5298</v>
      </c>
      <c r="K1186" t="s">
        <v>51</v>
      </c>
      <c r="L1186" t="s">
        <v>1186</v>
      </c>
      <c r="M1186" t="s">
        <v>134</v>
      </c>
      <c r="N1186" t="s">
        <v>135</v>
      </c>
      <c r="Q1186" t="s">
        <v>168</v>
      </c>
      <c r="T1186" t="s">
        <v>169</v>
      </c>
      <c r="U1186" t="s">
        <v>137</v>
      </c>
      <c r="V1186" t="s">
        <v>358</v>
      </c>
      <c r="X1186" t="s">
        <v>124</v>
      </c>
      <c r="AA1186" t="s">
        <v>292</v>
      </c>
      <c r="AB1186" t="s">
        <v>1</v>
      </c>
      <c r="AC1186" t="s">
        <v>138</v>
      </c>
      <c r="AD1186" t="s">
        <v>130</v>
      </c>
      <c r="AE1186" s="97">
        <f>VLOOKUP(A:A,SUMMERY!AA:AC,2,FALSE)</f>
        <v>46234</v>
      </c>
      <c r="AF1186" s="6" t="str">
        <f>VLOOKUP(A:A,SUMMERY!AA:AC,3,FALSE)</f>
        <v>Priority-1</v>
      </c>
    </row>
    <row r="1187" spans="1:32" x14ac:dyDescent="0.3">
      <c r="A1187" t="s">
        <v>5688</v>
      </c>
      <c r="B1187" t="s">
        <v>1188</v>
      </c>
      <c r="G1187" t="s">
        <v>5356</v>
      </c>
      <c r="H1187" t="s">
        <v>132</v>
      </c>
      <c r="I1187" t="s">
        <v>1</v>
      </c>
      <c r="J1187" t="s">
        <v>5298</v>
      </c>
      <c r="K1187" t="s">
        <v>51</v>
      </c>
      <c r="L1187" t="s">
        <v>1189</v>
      </c>
      <c r="M1187" t="s">
        <v>134</v>
      </c>
      <c r="N1187" t="s">
        <v>135</v>
      </c>
      <c r="Q1187" t="s">
        <v>168</v>
      </c>
      <c r="T1187" t="s">
        <v>169</v>
      </c>
      <c r="U1187" t="s">
        <v>137</v>
      </c>
      <c r="V1187" t="s">
        <v>1190</v>
      </c>
      <c r="W1187" s="9">
        <v>46192.203636805556</v>
      </c>
      <c r="X1187" t="s">
        <v>67</v>
      </c>
      <c r="AA1187" t="s">
        <v>292</v>
      </c>
      <c r="AB1187" t="s">
        <v>1</v>
      </c>
      <c r="AC1187" t="s">
        <v>24</v>
      </c>
      <c r="AD1187" t="s">
        <v>128</v>
      </c>
      <c r="AE1187" s="97">
        <f>VLOOKUP(A:A,SUMMERY!AA:AC,2,FALSE)</f>
        <v>46220</v>
      </c>
      <c r="AF1187" s="6" t="str">
        <f>VLOOKUP(A:A,SUMMERY!AA:AC,3,FALSE)</f>
        <v>Priority-1</v>
      </c>
    </row>
    <row r="1188" spans="1:32" x14ac:dyDescent="0.3">
      <c r="A1188" t="s">
        <v>5689</v>
      </c>
      <c r="B1188" t="s">
        <v>1192</v>
      </c>
      <c r="G1188" t="s">
        <v>5356</v>
      </c>
      <c r="H1188" t="s">
        <v>132</v>
      </c>
      <c r="I1188" t="s">
        <v>1</v>
      </c>
      <c r="J1188" t="s">
        <v>5298</v>
      </c>
      <c r="K1188" t="s">
        <v>51</v>
      </c>
      <c r="L1188" t="s">
        <v>1193</v>
      </c>
      <c r="M1188" t="s">
        <v>134</v>
      </c>
      <c r="N1188" t="s">
        <v>135</v>
      </c>
      <c r="Q1188" t="s">
        <v>168</v>
      </c>
      <c r="T1188" t="s">
        <v>169</v>
      </c>
      <c r="U1188" t="s">
        <v>137</v>
      </c>
      <c r="V1188" t="s">
        <v>1194</v>
      </c>
      <c r="W1188" s="9">
        <v>46192.203761076387</v>
      </c>
      <c r="X1188" t="s">
        <v>75</v>
      </c>
      <c r="AA1188" t="s">
        <v>292</v>
      </c>
      <c r="AB1188" t="s">
        <v>1</v>
      </c>
      <c r="AC1188" t="s">
        <v>24</v>
      </c>
      <c r="AD1188" t="s">
        <v>128</v>
      </c>
      <c r="AE1188" s="97">
        <f>VLOOKUP(A:A,SUMMERY!AA:AC,2,FALSE)</f>
        <v>46220</v>
      </c>
      <c r="AF1188" s="6" t="str">
        <f>VLOOKUP(A:A,SUMMERY!AA:AC,3,FALSE)</f>
        <v>Priority-1</v>
      </c>
    </row>
    <row r="1189" spans="1:32" x14ac:dyDescent="0.3">
      <c r="A1189" t="s">
        <v>5695</v>
      </c>
      <c r="B1189" t="s">
        <v>1216</v>
      </c>
      <c r="G1189" t="s">
        <v>5356</v>
      </c>
      <c r="H1189" t="s">
        <v>132</v>
      </c>
      <c r="I1189" t="s">
        <v>1</v>
      </c>
      <c r="J1189" t="s">
        <v>5298</v>
      </c>
      <c r="K1189" t="s">
        <v>51</v>
      </c>
      <c r="L1189" t="s">
        <v>1217</v>
      </c>
      <c r="M1189" t="s">
        <v>134</v>
      </c>
      <c r="N1189" t="s">
        <v>135</v>
      </c>
      <c r="Q1189" t="s">
        <v>168</v>
      </c>
      <c r="T1189" t="s">
        <v>169</v>
      </c>
      <c r="U1189" t="s">
        <v>137</v>
      </c>
      <c r="V1189" t="s">
        <v>147</v>
      </c>
      <c r="W1189" s="9">
        <v>46167.732295520836</v>
      </c>
      <c r="X1189" t="s">
        <v>70</v>
      </c>
      <c r="AA1189" t="s">
        <v>292</v>
      </c>
      <c r="AB1189" t="s">
        <v>1</v>
      </c>
      <c r="AC1189" t="s">
        <v>24</v>
      </c>
      <c r="AD1189" t="s">
        <v>128</v>
      </c>
      <c r="AE1189" s="97">
        <f>VLOOKUP(A:A,SUMMERY!AA:AC,2,FALSE)</f>
        <v>46220</v>
      </c>
      <c r="AF1189" s="6" t="str">
        <f>VLOOKUP(A:A,SUMMERY!AA:AC,3,FALSE)</f>
        <v>Priority-1</v>
      </c>
    </row>
    <row r="1190" spans="1:32" x14ac:dyDescent="0.3">
      <c r="A1190" t="s">
        <v>5696</v>
      </c>
      <c r="B1190" t="s">
        <v>1219</v>
      </c>
      <c r="G1190" t="s">
        <v>5356</v>
      </c>
      <c r="H1190" t="s">
        <v>132</v>
      </c>
      <c r="I1190" t="s">
        <v>1</v>
      </c>
      <c r="J1190" t="s">
        <v>5298</v>
      </c>
      <c r="K1190" t="s">
        <v>51</v>
      </c>
      <c r="L1190" t="s">
        <v>1220</v>
      </c>
      <c r="M1190" t="s">
        <v>134</v>
      </c>
      <c r="N1190" t="s">
        <v>135</v>
      </c>
      <c r="Q1190" t="s">
        <v>168</v>
      </c>
      <c r="T1190" t="s">
        <v>169</v>
      </c>
      <c r="U1190" t="s">
        <v>137</v>
      </c>
      <c r="V1190" t="s">
        <v>150</v>
      </c>
      <c r="W1190" s="9">
        <v>46167.732601585645</v>
      </c>
      <c r="X1190" t="s">
        <v>76</v>
      </c>
      <c r="AA1190" t="s">
        <v>292</v>
      </c>
      <c r="AB1190" t="s">
        <v>1</v>
      </c>
      <c r="AC1190" t="s">
        <v>24</v>
      </c>
      <c r="AD1190" t="s">
        <v>128</v>
      </c>
      <c r="AE1190" s="97">
        <f>VLOOKUP(A:A,SUMMERY!AA:AC,2,FALSE)</f>
        <v>46233</v>
      </c>
      <c r="AF1190" s="6" t="str">
        <f>VLOOKUP(A:A,SUMMERY!AA:AC,3,FALSE)</f>
        <v>Priority-1</v>
      </c>
    </row>
    <row r="1191" spans="1:32" x14ac:dyDescent="0.3">
      <c r="A1191" t="s">
        <v>5702</v>
      </c>
      <c r="B1191" t="s">
        <v>1237</v>
      </c>
      <c r="G1191" t="s">
        <v>5356</v>
      </c>
      <c r="H1191" t="s">
        <v>132</v>
      </c>
      <c r="I1191" t="s">
        <v>1</v>
      </c>
      <c r="J1191" t="s">
        <v>5298</v>
      </c>
      <c r="K1191" t="s">
        <v>51</v>
      </c>
      <c r="L1191" t="s">
        <v>1238</v>
      </c>
      <c r="M1191" t="s">
        <v>134</v>
      </c>
      <c r="N1191" t="s">
        <v>135</v>
      </c>
      <c r="Q1191" t="s">
        <v>168</v>
      </c>
      <c r="T1191" t="s">
        <v>169</v>
      </c>
      <c r="U1191" t="s">
        <v>137</v>
      </c>
      <c r="V1191" t="s">
        <v>1239</v>
      </c>
      <c r="X1191" t="s">
        <v>127</v>
      </c>
      <c r="AA1191" t="s">
        <v>292</v>
      </c>
      <c r="AB1191" t="s">
        <v>1</v>
      </c>
      <c r="AC1191" t="s">
        <v>138</v>
      </c>
      <c r="AD1191" t="s">
        <v>131</v>
      </c>
      <c r="AE1191" s="97">
        <f>VLOOKUP(A:A,SUMMERY!AA:AC,2,FALSE)</f>
        <v>46234</v>
      </c>
      <c r="AF1191" s="6" t="str">
        <f>VLOOKUP(A:A,SUMMERY!AA:AC,3,FALSE)</f>
        <v>Priority-2</v>
      </c>
    </row>
    <row r="1192" spans="1:32" x14ac:dyDescent="0.3">
      <c r="A1192" t="s">
        <v>5703</v>
      </c>
      <c r="B1192" t="s">
        <v>1241</v>
      </c>
      <c r="G1192" t="s">
        <v>5356</v>
      </c>
      <c r="H1192" t="s">
        <v>132</v>
      </c>
      <c r="I1192" t="s">
        <v>1</v>
      </c>
      <c r="J1192" t="s">
        <v>5298</v>
      </c>
      <c r="K1192" t="s">
        <v>51</v>
      </c>
      <c r="L1192" t="s">
        <v>1242</v>
      </c>
      <c r="M1192" t="s">
        <v>134</v>
      </c>
      <c r="N1192" t="s">
        <v>135</v>
      </c>
      <c r="Q1192" t="s">
        <v>168</v>
      </c>
      <c r="T1192" t="s">
        <v>169</v>
      </c>
      <c r="U1192" t="s">
        <v>137</v>
      </c>
      <c r="V1192" t="s">
        <v>1239</v>
      </c>
      <c r="X1192" t="s">
        <v>127</v>
      </c>
      <c r="AA1192" t="s">
        <v>292</v>
      </c>
      <c r="AB1192" t="s">
        <v>1</v>
      </c>
      <c r="AC1192" t="s">
        <v>138</v>
      </c>
      <c r="AD1192" t="s">
        <v>131</v>
      </c>
      <c r="AE1192" s="97">
        <f>VLOOKUP(A:A,SUMMERY!AA:AC,2,FALSE)</f>
        <v>46234</v>
      </c>
      <c r="AF1192" s="6" t="str">
        <f>VLOOKUP(A:A,SUMMERY!AA:AC,3,FALSE)</f>
        <v>Priority-2</v>
      </c>
    </row>
    <row r="1193" spans="1:32" x14ac:dyDescent="0.3">
      <c r="A1193" t="s">
        <v>5704</v>
      </c>
      <c r="B1193" t="s">
        <v>1244</v>
      </c>
      <c r="G1193" t="s">
        <v>5356</v>
      </c>
      <c r="H1193" t="s">
        <v>132</v>
      </c>
      <c r="I1193" t="s">
        <v>1</v>
      </c>
      <c r="J1193" t="s">
        <v>5298</v>
      </c>
      <c r="K1193" t="s">
        <v>51</v>
      </c>
      <c r="L1193" t="s">
        <v>1245</v>
      </c>
      <c r="M1193" t="s">
        <v>134</v>
      </c>
      <c r="N1193" t="s">
        <v>135</v>
      </c>
      <c r="Q1193" t="s">
        <v>168</v>
      </c>
      <c r="T1193" t="s">
        <v>169</v>
      </c>
      <c r="U1193" t="s">
        <v>137</v>
      </c>
      <c r="V1193" t="s">
        <v>1239</v>
      </c>
      <c r="X1193" t="s">
        <v>127</v>
      </c>
      <c r="AA1193" t="s">
        <v>292</v>
      </c>
      <c r="AB1193" t="s">
        <v>1</v>
      </c>
      <c r="AC1193" t="s">
        <v>138</v>
      </c>
      <c r="AD1193" t="s">
        <v>131</v>
      </c>
      <c r="AE1193" s="97">
        <f>VLOOKUP(A:A,SUMMERY!AA:AC,2,FALSE)</f>
        <v>46234</v>
      </c>
      <c r="AF1193" s="6" t="str">
        <f>VLOOKUP(A:A,SUMMERY!AA:AC,3,FALSE)</f>
        <v>Priority-2</v>
      </c>
    </row>
    <row r="1194" spans="1:32" x14ac:dyDescent="0.3">
      <c r="A1194" t="s">
        <v>5705</v>
      </c>
      <c r="B1194" t="s">
        <v>1247</v>
      </c>
      <c r="G1194" t="s">
        <v>5356</v>
      </c>
      <c r="H1194" t="s">
        <v>132</v>
      </c>
      <c r="I1194" t="s">
        <v>1</v>
      </c>
      <c r="J1194" t="s">
        <v>5298</v>
      </c>
      <c r="K1194" t="s">
        <v>51</v>
      </c>
      <c r="L1194" t="s">
        <v>1248</v>
      </c>
      <c r="M1194" t="s">
        <v>134</v>
      </c>
      <c r="N1194" t="s">
        <v>135</v>
      </c>
      <c r="Q1194" t="s">
        <v>168</v>
      </c>
      <c r="T1194" t="s">
        <v>169</v>
      </c>
      <c r="U1194" t="s">
        <v>137</v>
      </c>
      <c r="V1194" t="s">
        <v>1249</v>
      </c>
      <c r="W1194" s="9">
        <v>46192.192585381941</v>
      </c>
      <c r="X1194" t="s">
        <v>61</v>
      </c>
      <c r="AA1194" t="s">
        <v>292</v>
      </c>
      <c r="AB1194" t="s">
        <v>1</v>
      </c>
      <c r="AC1194" t="s">
        <v>24</v>
      </c>
      <c r="AD1194" t="s">
        <v>128</v>
      </c>
      <c r="AE1194" s="97">
        <f>VLOOKUP(A:A,SUMMERY!AA:AC,2,FALSE)</f>
        <v>46224</v>
      </c>
      <c r="AF1194" s="6" t="str">
        <f>VLOOKUP(A:A,SUMMERY!AA:AC,3,FALSE)</f>
        <v>Priority-1</v>
      </c>
    </row>
    <row r="1195" spans="1:32" x14ac:dyDescent="0.3">
      <c r="A1195" t="s">
        <v>5706</v>
      </c>
      <c r="B1195" t="s">
        <v>1251</v>
      </c>
      <c r="G1195" t="s">
        <v>5356</v>
      </c>
      <c r="H1195" t="s">
        <v>132</v>
      </c>
      <c r="I1195" t="s">
        <v>1</v>
      </c>
      <c r="J1195" t="s">
        <v>5298</v>
      </c>
      <c r="K1195" t="s">
        <v>51</v>
      </c>
      <c r="L1195" t="s">
        <v>1252</v>
      </c>
      <c r="M1195" t="s">
        <v>134</v>
      </c>
      <c r="N1195" t="s">
        <v>135</v>
      </c>
      <c r="Q1195" t="s">
        <v>168</v>
      </c>
      <c r="T1195" t="s">
        <v>169</v>
      </c>
      <c r="U1195" t="s">
        <v>137</v>
      </c>
      <c r="V1195" t="s">
        <v>1249</v>
      </c>
      <c r="W1195" s="9">
        <v>46192.192874224536</v>
      </c>
      <c r="X1195" t="s">
        <v>61</v>
      </c>
      <c r="AA1195" t="s">
        <v>292</v>
      </c>
      <c r="AB1195" t="s">
        <v>1</v>
      </c>
      <c r="AC1195" t="s">
        <v>24</v>
      </c>
      <c r="AD1195" t="s">
        <v>128</v>
      </c>
      <c r="AE1195" s="97">
        <f>VLOOKUP(A:A,SUMMERY!AA:AC,2,FALSE)</f>
        <v>46224</v>
      </c>
      <c r="AF1195" s="6" t="str">
        <f>VLOOKUP(A:A,SUMMERY!AA:AC,3,FALSE)</f>
        <v>Priority-1</v>
      </c>
    </row>
    <row r="1196" spans="1:32" x14ac:dyDescent="0.3">
      <c r="A1196" t="s">
        <v>5707</v>
      </c>
      <c r="B1196" t="s">
        <v>1254</v>
      </c>
      <c r="G1196" t="s">
        <v>5356</v>
      </c>
      <c r="H1196" t="s">
        <v>132</v>
      </c>
      <c r="I1196" t="s">
        <v>1</v>
      </c>
      <c r="J1196" t="s">
        <v>5298</v>
      </c>
      <c r="K1196" t="s">
        <v>51</v>
      </c>
      <c r="L1196" t="s">
        <v>1255</v>
      </c>
      <c r="M1196" t="s">
        <v>134</v>
      </c>
      <c r="N1196" t="s">
        <v>135</v>
      </c>
      <c r="Q1196" t="s">
        <v>168</v>
      </c>
      <c r="T1196" t="s">
        <v>169</v>
      </c>
      <c r="U1196" t="s">
        <v>137</v>
      </c>
      <c r="V1196" t="s">
        <v>1249</v>
      </c>
      <c r="W1196" s="9">
        <v>46179.201117048608</v>
      </c>
      <c r="X1196" t="s">
        <v>61</v>
      </c>
      <c r="AA1196" t="s">
        <v>292</v>
      </c>
      <c r="AB1196" t="s">
        <v>1</v>
      </c>
      <c r="AC1196" t="s">
        <v>24</v>
      </c>
      <c r="AD1196" t="s">
        <v>128</v>
      </c>
      <c r="AE1196" s="97">
        <f>VLOOKUP(A:A,SUMMERY!AA:AC,2,FALSE)</f>
        <v>46224</v>
      </c>
      <c r="AF1196" s="6" t="str">
        <f>VLOOKUP(A:A,SUMMERY!AA:AC,3,FALSE)</f>
        <v>Priority-1</v>
      </c>
    </row>
    <row r="1197" spans="1:32" x14ac:dyDescent="0.3">
      <c r="A1197" t="s">
        <v>5708</v>
      </c>
      <c r="B1197" t="s">
        <v>1257</v>
      </c>
      <c r="G1197" t="s">
        <v>5356</v>
      </c>
      <c r="H1197" t="s">
        <v>132</v>
      </c>
      <c r="I1197" t="s">
        <v>1</v>
      </c>
      <c r="J1197" t="s">
        <v>5298</v>
      </c>
      <c r="K1197" t="s">
        <v>51</v>
      </c>
      <c r="L1197" t="s">
        <v>1258</v>
      </c>
      <c r="M1197" t="s">
        <v>134</v>
      </c>
      <c r="N1197" t="s">
        <v>135</v>
      </c>
      <c r="Q1197" t="s">
        <v>168</v>
      </c>
      <c r="T1197" t="s">
        <v>169</v>
      </c>
      <c r="U1197" t="s">
        <v>137</v>
      </c>
      <c r="V1197" t="s">
        <v>1259</v>
      </c>
      <c r="W1197" s="9">
        <v>46184.205284756943</v>
      </c>
      <c r="X1197" t="s">
        <v>126</v>
      </c>
      <c r="AA1197" t="s">
        <v>292</v>
      </c>
      <c r="AB1197" t="s">
        <v>1</v>
      </c>
      <c r="AC1197" t="s">
        <v>24</v>
      </c>
      <c r="AD1197" t="s">
        <v>131</v>
      </c>
      <c r="AE1197" s="97">
        <f>VLOOKUP(A:A,SUMMERY!AA:AC,2,FALSE)</f>
        <v>46234</v>
      </c>
      <c r="AF1197" s="6" t="str">
        <f>VLOOKUP(A:A,SUMMERY!AA:AC,3,FALSE)</f>
        <v>Priority-2</v>
      </c>
    </row>
    <row r="1198" spans="1:32" x14ac:dyDescent="0.3">
      <c r="A1198" t="s">
        <v>5709</v>
      </c>
      <c r="B1198" t="s">
        <v>1261</v>
      </c>
      <c r="G1198" t="s">
        <v>5356</v>
      </c>
      <c r="H1198" t="s">
        <v>132</v>
      </c>
      <c r="I1198" t="s">
        <v>1</v>
      </c>
      <c r="J1198" t="s">
        <v>5298</v>
      </c>
      <c r="K1198" t="s">
        <v>51</v>
      </c>
      <c r="L1198" t="s">
        <v>1262</v>
      </c>
      <c r="M1198" t="s">
        <v>134</v>
      </c>
      <c r="N1198" t="s">
        <v>135</v>
      </c>
      <c r="Q1198" t="s">
        <v>168</v>
      </c>
      <c r="T1198" t="s">
        <v>169</v>
      </c>
      <c r="U1198" t="s">
        <v>137</v>
      </c>
      <c r="V1198" t="s">
        <v>1263</v>
      </c>
      <c r="W1198" s="9">
        <v>46177.749149884257</v>
      </c>
      <c r="X1198" t="s">
        <v>69</v>
      </c>
      <c r="AA1198" t="s">
        <v>292</v>
      </c>
      <c r="AB1198" t="s">
        <v>1</v>
      </c>
      <c r="AC1198" t="s">
        <v>24</v>
      </c>
      <c r="AD1198" t="s">
        <v>128</v>
      </c>
      <c r="AE1198" s="97">
        <f>VLOOKUP(A:A,SUMMERY!AA:AC,2,FALSE)</f>
        <v>46224</v>
      </c>
      <c r="AF1198" s="6" t="str">
        <f>VLOOKUP(A:A,SUMMERY!AA:AC,3,FALSE)</f>
        <v>Priority-1</v>
      </c>
    </row>
    <row r="1199" spans="1:32" x14ac:dyDescent="0.3">
      <c r="A1199" t="s">
        <v>5710</v>
      </c>
      <c r="B1199" t="s">
        <v>1265</v>
      </c>
      <c r="G1199" t="s">
        <v>5356</v>
      </c>
      <c r="H1199" t="s">
        <v>132</v>
      </c>
      <c r="I1199" t="s">
        <v>1</v>
      </c>
      <c r="J1199" t="s">
        <v>5298</v>
      </c>
      <c r="K1199" t="s">
        <v>51</v>
      </c>
      <c r="L1199" t="s">
        <v>1266</v>
      </c>
      <c r="M1199" t="s">
        <v>134</v>
      </c>
      <c r="N1199" t="s">
        <v>135</v>
      </c>
      <c r="Q1199" t="s">
        <v>168</v>
      </c>
      <c r="T1199" t="s">
        <v>169</v>
      </c>
      <c r="U1199" t="s">
        <v>137</v>
      </c>
      <c r="V1199" t="s">
        <v>1259</v>
      </c>
      <c r="W1199" s="9">
        <v>46184.205567442128</v>
      </c>
      <c r="X1199" t="s">
        <v>126</v>
      </c>
      <c r="AA1199" t="s">
        <v>292</v>
      </c>
      <c r="AB1199" t="s">
        <v>1</v>
      </c>
      <c r="AC1199" t="s">
        <v>24</v>
      </c>
      <c r="AD1199" t="s">
        <v>131</v>
      </c>
      <c r="AE1199" s="97">
        <f>VLOOKUP(A:A,SUMMERY!AA:AC,2,FALSE)</f>
        <v>46234</v>
      </c>
      <c r="AF1199" s="6" t="str">
        <f>VLOOKUP(A:A,SUMMERY!AA:AC,3,FALSE)</f>
        <v>Priority-2</v>
      </c>
    </row>
    <row r="1200" spans="1:32" x14ac:dyDescent="0.3">
      <c r="A1200" t="s">
        <v>5711</v>
      </c>
      <c r="B1200" t="s">
        <v>1268</v>
      </c>
      <c r="G1200" t="s">
        <v>5356</v>
      </c>
      <c r="H1200" t="s">
        <v>132</v>
      </c>
      <c r="I1200" t="s">
        <v>1</v>
      </c>
      <c r="J1200" t="s">
        <v>5298</v>
      </c>
      <c r="K1200" t="s">
        <v>51</v>
      </c>
      <c r="L1200" t="s">
        <v>1269</v>
      </c>
      <c r="M1200" t="s">
        <v>134</v>
      </c>
      <c r="N1200" t="s">
        <v>135</v>
      </c>
      <c r="Q1200" t="s">
        <v>168</v>
      </c>
      <c r="T1200" t="s">
        <v>169</v>
      </c>
      <c r="U1200" t="s">
        <v>137</v>
      </c>
      <c r="V1200" t="s">
        <v>1263</v>
      </c>
      <c r="W1200" s="9">
        <v>46177.749659490742</v>
      </c>
      <c r="X1200" t="s">
        <v>69</v>
      </c>
      <c r="AA1200" t="s">
        <v>292</v>
      </c>
      <c r="AB1200" t="s">
        <v>1</v>
      </c>
      <c r="AC1200" t="s">
        <v>24</v>
      </c>
      <c r="AD1200" t="s">
        <v>128</v>
      </c>
      <c r="AE1200" s="97">
        <f>VLOOKUP(A:A,SUMMERY!AA:AC,2,FALSE)</f>
        <v>46224</v>
      </c>
      <c r="AF1200" s="6" t="str">
        <f>VLOOKUP(A:A,SUMMERY!AA:AC,3,FALSE)</f>
        <v>Priority-1</v>
      </c>
    </row>
    <row r="1201" spans="1:32" x14ac:dyDescent="0.3">
      <c r="A1201" t="s">
        <v>5712</v>
      </c>
      <c r="B1201" t="s">
        <v>1271</v>
      </c>
      <c r="G1201" t="s">
        <v>5356</v>
      </c>
      <c r="H1201" t="s">
        <v>132</v>
      </c>
      <c r="I1201" t="s">
        <v>1</v>
      </c>
      <c r="J1201" t="s">
        <v>5298</v>
      </c>
      <c r="K1201" t="s">
        <v>51</v>
      </c>
      <c r="L1201" t="s">
        <v>1272</v>
      </c>
      <c r="M1201" t="s">
        <v>134</v>
      </c>
      <c r="N1201" t="s">
        <v>135</v>
      </c>
      <c r="Q1201" t="s">
        <v>168</v>
      </c>
      <c r="T1201" t="s">
        <v>169</v>
      </c>
      <c r="U1201" t="s">
        <v>137</v>
      </c>
      <c r="V1201" t="s">
        <v>1259</v>
      </c>
      <c r="W1201" s="9">
        <v>46177.750676932868</v>
      </c>
      <c r="X1201" t="s">
        <v>126</v>
      </c>
      <c r="AA1201" t="s">
        <v>292</v>
      </c>
      <c r="AB1201" t="s">
        <v>1</v>
      </c>
      <c r="AC1201" t="s">
        <v>24</v>
      </c>
      <c r="AD1201" t="s">
        <v>131</v>
      </c>
      <c r="AE1201" s="97">
        <f>VLOOKUP(A:A,SUMMERY!AA:AC,2,FALSE)</f>
        <v>46234</v>
      </c>
      <c r="AF1201" s="6" t="str">
        <f>VLOOKUP(A:A,SUMMERY!AA:AC,3,FALSE)</f>
        <v>Priority-2</v>
      </c>
    </row>
    <row r="1202" spans="1:32" x14ac:dyDescent="0.3">
      <c r="A1202" t="s">
        <v>5713</v>
      </c>
      <c r="B1202" t="s">
        <v>1274</v>
      </c>
      <c r="G1202" t="s">
        <v>5356</v>
      </c>
      <c r="H1202" t="s">
        <v>132</v>
      </c>
      <c r="I1202" t="s">
        <v>1</v>
      </c>
      <c r="J1202" t="s">
        <v>5298</v>
      </c>
      <c r="K1202" t="s">
        <v>51</v>
      </c>
      <c r="L1202" t="s">
        <v>1275</v>
      </c>
      <c r="M1202" t="s">
        <v>134</v>
      </c>
      <c r="N1202" t="s">
        <v>135</v>
      </c>
      <c r="Q1202" t="s">
        <v>168</v>
      </c>
      <c r="T1202" t="s">
        <v>169</v>
      </c>
      <c r="U1202" t="s">
        <v>137</v>
      </c>
      <c r="V1202" t="s">
        <v>1259</v>
      </c>
      <c r="W1202" s="9">
        <v>46184.206566932873</v>
      </c>
      <c r="X1202" t="s">
        <v>126</v>
      </c>
      <c r="AA1202" t="s">
        <v>292</v>
      </c>
      <c r="AB1202" t="s">
        <v>1</v>
      </c>
      <c r="AC1202" t="s">
        <v>24</v>
      </c>
      <c r="AD1202" t="s">
        <v>131</v>
      </c>
      <c r="AE1202" s="97">
        <f>VLOOKUP(A:A,SUMMERY!AA:AC,2,FALSE)</f>
        <v>46234</v>
      </c>
      <c r="AF1202" s="6" t="str">
        <f>VLOOKUP(A:A,SUMMERY!AA:AC,3,FALSE)</f>
        <v>Priority-2</v>
      </c>
    </row>
    <row r="1203" spans="1:32" x14ac:dyDescent="0.3">
      <c r="A1203" t="s">
        <v>5714</v>
      </c>
      <c r="B1203" t="s">
        <v>1277</v>
      </c>
      <c r="G1203" t="s">
        <v>5356</v>
      </c>
      <c r="H1203" t="s">
        <v>132</v>
      </c>
      <c r="I1203" t="s">
        <v>1</v>
      </c>
      <c r="J1203" t="s">
        <v>5298</v>
      </c>
      <c r="K1203" t="s">
        <v>51</v>
      </c>
      <c r="L1203" t="s">
        <v>1278</v>
      </c>
      <c r="M1203" t="s">
        <v>134</v>
      </c>
      <c r="N1203" t="s">
        <v>135</v>
      </c>
      <c r="Q1203" t="s">
        <v>168</v>
      </c>
      <c r="U1203" t="s">
        <v>137</v>
      </c>
      <c r="V1203" t="s">
        <v>1279</v>
      </c>
      <c r="W1203" s="9">
        <v>46200.372557372684</v>
      </c>
      <c r="X1203" t="s">
        <v>71</v>
      </c>
      <c r="AA1203" t="s">
        <v>292</v>
      </c>
      <c r="AB1203" t="s">
        <v>1</v>
      </c>
      <c r="AC1203" t="s">
        <v>24</v>
      </c>
      <c r="AD1203" t="s">
        <v>128</v>
      </c>
      <c r="AE1203" s="97">
        <f>VLOOKUP(A:A,SUMMERY!AA:AC,2,FALSE)</f>
        <v>46233</v>
      </c>
      <c r="AF1203" s="6" t="str">
        <f>VLOOKUP(A:A,SUMMERY!AA:AC,3,FALSE)</f>
        <v>Priority-1</v>
      </c>
    </row>
    <row r="1204" spans="1:32" x14ac:dyDescent="0.3">
      <c r="A1204" t="s">
        <v>5715</v>
      </c>
      <c r="B1204" t="s">
        <v>1281</v>
      </c>
      <c r="G1204" t="s">
        <v>5356</v>
      </c>
      <c r="H1204" t="s">
        <v>132</v>
      </c>
      <c r="I1204" t="s">
        <v>1</v>
      </c>
      <c r="J1204" t="s">
        <v>5298</v>
      </c>
      <c r="K1204" t="s">
        <v>51</v>
      </c>
      <c r="L1204" t="s">
        <v>1282</v>
      </c>
      <c r="M1204" t="s">
        <v>134</v>
      </c>
      <c r="N1204" t="s">
        <v>135</v>
      </c>
      <c r="Q1204" t="s">
        <v>168</v>
      </c>
      <c r="U1204" t="s">
        <v>137</v>
      </c>
      <c r="V1204" t="s">
        <v>1283</v>
      </c>
      <c r="W1204" s="9">
        <v>46200.384338738426</v>
      </c>
      <c r="X1204" t="s">
        <v>78</v>
      </c>
      <c r="AA1204" t="s">
        <v>292</v>
      </c>
      <c r="AB1204" t="s">
        <v>1</v>
      </c>
      <c r="AC1204" t="s">
        <v>24</v>
      </c>
      <c r="AD1204" t="s">
        <v>128</v>
      </c>
      <c r="AE1204" s="97">
        <f>VLOOKUP(A:A,SUMMERY!AA:AC,2,FALSE)</f>
        <v>46234</v>
      </c>
      <c r="AF1204" s="6" t="str">
        <f>VLOOKUP(A:A,SUMMERY!AA:AC,3,FALSE)</f>
        <v>Priority-1</v>
      </c>
    </row>
    <row r="1205" spans="1:32" x14ac:dyDescent="0.3">
      <c r="A1205" t="s">
        <v>5721</v>
      </c>
      <c r="B1205" t="s">
        <v>1305</v>
      </c>
      <c r="G1205" t="s">
        <v>5356</v>
      </c>
      <c r="H1205" t="s">
        <v>132</v>
      </c>
      <c r="I1205" t="s">
        <v>1</v>
      </c>
      <c r="J1205" t="s">
        <v>5298</v>
      </c>
      <c r="K1205" t="s">
        <v>51</v>
      </c>
      <c r="L1205" t="s">
        <v>1306</v>
      </c>
      <c r="M1205" t="s">
        <v>134</v>
      </c>
      <c r="N1205" t="s">
        <v>135</v>
      </c>
      <c r="Q1205" t="s">
        <v>168</v>
      </c>
      <c r="U1205" t="s">
        <v>137</v>
      </c>
      <c r="V1205" t="s">
        <v>1279</v>
      </c>
      <c r="W1205" s="9">
        <v>46204.527465543979</v>
      </c>
      <c r="X1205" t="s">
        <v>71</v>
      </c>
      <c r="AA1205" t="s">
        <v>292</v>
      </c>
      <c r="AB1205" t="s">
        <v>1</v>
      </c>
      <c r="AC1205" t="s">
        <v>24</v>
      </c>
      <c r="AD1205" t="s">
        <v>128</v>
      </c>
      <c r="AE1205" s="97">
        <f>VLOOKUP(A:A,SUMMERY!AA:AC,2,FALSE)</f>
        <v>46233</v>
      </c>
      <c r="AF1205" s="6" t="str">
        <f>VLOOKUP(A:A,SUMMERY!AA:AC,3,FALSE)</f>
        <v>Priority-1</v>
      </c>
    </row>
    <row r="1206" spans="1:32" x14ac:dyDescent="0.3">
      <c r="A1206" t="s">
        <v>5722</v>
      </c>
      <c r="B1206" t="s">
        <v>1308</v>
      </c>
      <c r="G1206" t="s">
        <v>5356</v>
      </c>
      <c r="H1206" t="s">
        <v>132</v>
      </c>
      <c r="I1206" t="s">
        <v>1</v>
      </c>
      <c r="J1206" t="s">
        <v>5298</v>
      </c>
      <c r="K1206" t="s">
        <v>51</v>
      </c>
      <c r="L1206" t="s">
        <v>1309</v>
      </c>
      <c r="M1206" t="s">
        <v>134</v>
      </c>
      <c r="N1206" t="s">
        <v>135</v>
      </c>
      <c r="Q1206" t="s">
        <v>168</v>
      </c>
      <c r="U1206" t="s">
        <v>137</v>
      </c>
      <c r="V1206" t="s">
        <v>1283</v>
      </c>
      <c r="X1206" t="s">
        <v>78</v>
      </c>
      <c r="AA1206" t="s">
        <v>292</v>
      </c>
      <c r="AB1206" t="s">
        <v>1</v>
      </c>
      <c r="AC1206" t="s">
        <v>138</v>
      </c>
      <c r="AD1206" t="s">
        <v>128</v>
      </c>
      <c r="AE1206" s="97">
        <f>VLOOKUP(A:A,SUMMERY!AA:AC,2,FALSE)</f>
        <v>46234</v>
      </c>
      <c r="AF1206" s="6" t="str">
        <f>VLOOKUP(A:A,SUMMERY!AA:AC,3,FALSE)</f>
        <v>Priority-1</v>
      </c>
    </row>
    <row r="1207" spans="1:32" x14ac:dyDescent="0.3">
      <c r="A1207" t="s">
        <v>5728</v>
      </c>
      <c r="B1207" t="s">
        <v>1326</v>
      </c>
      <c r="G1207" t="s">
        <v>5356</v>
      </c>
      <c r="H1207" t="s">
        <v>132</v>
      </c>
      <c r="I1207" t="s">
        <v>1</v>
      </c>
      <c r="J1207" t="s">
        <v>5298</v>
      </c>
      <c r="K1207" t="s">
        <v>51</v>
      </c>
      <c r="L1207" t="s">
        <v>1327</v>
      </c>
      <c r="M1207" t="s">
        <v>134</v>
      </c>
      <c r="N1207" t="s">
        <v>135</v>
      </c>
      <c r="Q1207" t="s">
        <v>168</v>
      </c>
      <c r="U1207" t="s">
        <v>137</v>
      </c>
      <c r="V1207" t="s">
        <v>1279</v>
      </c>
      <c r="W1207" s="9">
        <v>46204.527050659723</v>
      </c>
      <c r="X1207" t="s">
        <v>71</v>
      </c>
      <c r="AA1207" t="s">
        <v>292</v>
      </c>
      <c r="AB1207" t="s">
        <v>1</v>
      </c>
      <c r="AC1207" t="s">
        <v>24</v>
      </c>
      <c r="AD1207" t="s">
        <v>128</v>
      </c>
      <c r="AE1207" s="97">
        <f>VLOOKUP(A:A,SUMMERY!AA:AC,2,FALSE)</f>
        <v>46233</v>
      </c>
      <c r="AF1207" s="6" t="str">
        <f>VLOOKUP(A:A,SUMMERY!AA:AC,3,FALSE)</f>
        <v>Priority-1</v>
      </c>
    </row>
    <row r="1208" spans="1:32" x14ac:dyDescent="0.3">
      <c r="A1208" t="s">
        <v>5729</v>
      </c>
      <c r="B1208" t="s">
        <v>1329</v>
      </c>
      <c r="G1208" t="s">
        <v>5356</v>
      </c>
      <c r="H1208" t="s">
        <v>132</v>
      </c>
      <c r="I1208" t="s">
        <v>1</v>
      </c>
      <c r="J1208" t="s">
        <v>5298</v>
      </c>
      <c r="K1208" t="s">
        <v>51</v>
      </c>
      <c r="L1208" t="s">
        <v>1330</v>
      </c>
      <c r="M1208" t="s">
        <v>134</v>
      </c>
      <c r="N1208" t="s">
        <v>135</v>
      </c>
      <c r="Q1208" t="s">
        <v>168</v>
      </c>
      <c r="U1208" t="s">
        <v>137</v>
      </c>
      <c r="V1208" t="s">
        <v>1283</v>
      </c>
      <c r="W1208" s="9">
        <v>46204.559159108794</v>
      </c>
      <c r="X1208" t="s">
        <v>78</v>
      </c>
      <c r="AA1208" t="s">
        <v>292</v>
      </c>
      <c r="AB1208" t="s">
        <v>1</v>
      </c>
      <c r="AC1208" t="s">
        <v>24</v>
      </c>
      <c r="AD1208" t="s">
        <v>128</v>
      </c>
      <c r="AE1208" s="97">
        <f>VLOOKUP(A:A,SUMMERY!AA:AC,2,FALSE)</f>
        <v>46234</v>
      </c>
      <c r="AF1208" s="6" t="str">
        <f>VLOOKUP(A:A,SUMMERY!AA:AC,3,FALSE)</f>
        <v>Priority-1</v>
      </c>
    </row>
    <row r="1209" spans="1:32" x14ac:dyDescent="0.3">
      <c r="A1209" t="s">
        <v>5735</v>
      </c>
      <c r="B1209" t="s">
        <v>1347</v>
      </c>
      <c r="G1209" t="s">
        <v>5356</v>
      </c>
      <c r="H1209" t="s">
        <v>132</v>
      </c>
      <c r="I1209" t="s">
        <v>1</v>
      </c>
      <c r="J1209" t="s">
        <v>5298</v>
      </c>
      <c r="K1209" t="s">
        <v>51</v>
      </c>
      <c r="L1209" t="s">
        <v>1348</v>
      </c>
      <c r="M1209" t="s">
        <v>134</v>
      </c>
      <c r="N1209" t="s">
        <v>135</v>
      </c>
      <c r="Q1209" t="s">
        <v>168</v>
      </c>
      <c r="U1209" t="s">
        <v>137</v>
      </c>
      <c r="V1209" t="s">
        <v>1279</v>
      </c>
      <c r="W1209" s="9">
        <v>46204.526677893518</v>
      </c>
      <c r="X1209" t="s">
        <v>71</v>
      </c>
      <c r="AA1209" t="s">
        <v>292</v>
      </c>
      <c r="AB1209" t="s">
        <v>1</v>
      </c>
      <c r="AC1209" t="s">
        <v>24</v>
      </c>
      <c r="AD1209" t="s">
        <v>128</v>
      </c>
      <c r="AE1209" s="97">
        <f>VLOOKUP(A:A,SUMMERY!AA:AC,2,FALSE)</f>
        <v>46233</v>
      </c>
      <c r="AF1209" s="6" t="str">
        <f>VLOOKUP(A:A,SUMMERY!AA:AC,3,FALSE)</f>
        <v>Priority-1</v>
      </c>
    </row>
    <row r="1210" spans="1:32" x14ac:dyDescent="0.3">
      <c r="A1210" t="s">
        <v>5736</v>
      </c>
      <c r="B1210" t="s">
        <v>1350</v>
      </c>
      <c r="G1210" t="s">
        <v>5356</v>
      </c>
      <c r="H1210" t="s">
        <v>132</v>
      </c>
      <c r="I1210" t="s">
        <v>1</v>
      </c>
      <c r="J1210" t="s">
        <v>5298</v>
      </c>
      <c r="K1210" t="s">
        <v>51</v>
      </c>
      <c r="L1210" t="s">
        <v>1348</v>
      </c>
      <c r="M1210" t="s">
        <v>134</v>
      </c>
      <c r="N1210" t="s">
        <v>135</v>
      </c>
      <c r="Q1210" t="s">
        <v>168</v>
      </c>
      <c r="U1210" t="s">
        <v>137</v>
      </c>
      <c r="V1210" t="s">
        <v>1279</v>
      </c>
      <c r="W1210" s="9">
        <v>46204.591482754629</v>
      </c>
      <c r="X1210" t="s">
        <v>71</v>
      </c>
      <c r="AA1210" t="s">
        <v>292</v>
      </c>
      <c r="AB1210" t="s">
        <v>1</v>
      </c>
      <c r="AC1210" t="s">
        <v>24</v>
      </c>
      <c r="AD1210" t="s">
        <v>128</v>
      </c>
      <c r="AE1210" s="97">
        <f>VLOOKUP(A:A,SUMMERY!AA:AC,2,FALSE)</f>
        <v>46233</v>
      </c>
      <c r="AF1210" s="6" t="str">
        <f>VLOOKUP(A:A,SUMMERY!AA:AC,3,FALSE)</f>
        <v>Priority-1</v>
      </c>
    </row>
    <row r="1211" spans="1:32" x14ac:dyDescent="0.3">
      <c r="A1211" t="s">
        <v>5737</v>
      </c>
      <c r="B1211" t="s">
        <v>1352</v>
      </c>
      <c r="G1211" t="s">
        <v>5356</v>
      </c>
      <c r="H1211" t="s">
        <v>132</v>
      </c>
      <c r="I1211" t="s">
        <v>1</v>
      </c>
      <c r="J1211" t="s">
        <v>5298</v>
      </c>
      <c r="K1211" t="s">
        <v>51</v>
      </c>
      <c r="L1211" t="s">
        <v>1348</v>
      </c>
      <c r="M1211" t="s">
        <v>134</v>
      </c>
      <c r="N1211" t="s">
        <v>135</v>
      </c>
      <c r="Q1211" t="s">
        <v>168</v>
      </c>
      <c r="U1211" t="s">
        <v>137</v>
      </c>
      <c r="V1211" t="s">
        <v>1279</v>
      </c>
      <c r="W1211" s="9">
        <v>46204.560932025466</v>
      </c>
      <c r="X1211" t="s">
        <v>71</v>
      </c>
      <c r="AA1211" t="s">
        <v>292</v>
      </c>
      <c r="AB1211" t="s">
        <v>1</v>
      </c>
      <c r="AC1211" t="s">
        <v>24</v>
      </c>
      <c r="AD1211" t="s">
        <v>128</v>
      </c>
      <c r="AE1211" s="97">
        <f>VLOOKUP(A:A,SUMMERY!AA:AC,2,FALSE)</f>
        <v>46233</v>
      </c>
      <c r="AF1211" s="6" t="str">
        <f>VLOOKUP(A:A,SUMMERY!AA:AC,3,FALSE)</f>
        <v>Priority-1</v>
      </c>
    </row>
    <row r="1212" spans="1:32" x14ac:dyDescent="0.3">
      <c r="A1212" t="s">
        <v>5738</v>
      </c>
      <c r="B1212" t="s">
        <v>1354</v>
      </c>
      <c r="G1212" t="s">
        <v>5356</v>
      </c>
      <c r="H1212" t="s">
        <v>132</v>
      </c>
      <c r="I1212" t="s">
        <v>1</v>
      </c>
      <c r="J1212" t="s">
        <v>5298</v>
      </c>
      <c r="K1212" t="s">
        <v>51</v>
      </c>
      <c r="L1212" t="s">
        <v>1348</v>
      </c>
      <c r="M1212" t="s">
        <v>134</v>
      </c>
      <c r="N1212" t="s">
        <v>135</v>
      </c>
      <c r="Q1212" t="s">
        <v>168</v>
      </c>
      <c r="U1212" t="s">
        <v>137</v>
      </c>
      <c r="V1212" t="s">
        <v>1279</v>
      </c>
      <c r="W1212" s="9">
        <v>46204.525116585646</v>
      </c>
      <c r="X1212" t="s">
        <v>71</v>
      </c>
      <c r="AA1212" t="s">
        <v>292</v>
      </c>
      <c r="AB1212" t="s">
        <v>1</v>
      </c>
      <c r="AC1212" t="s">
        <v>24</v>
      </c>
      <c r="AD1212" t="s">
        <v>128</v>
      </c>
      <c r="AE1212" s="97">
        <f>VLOOKUP(A:A,SUMMERY!AA:AC,2,FALSE)</f>
        <v>46233</v>
      </c>
      <c r="AF1212" s="6" t="str">
        <f>VLOOKUP(A:A,SUMMERY!AA:AC,3,FALSE)</f>
        <v>Priority-1</v>
      </c>
    </row>
    <row r="1213" spans="1:32" x14ac:dyDescent="0.3">
      <c r="A1213" t="s">
        <v>5739</v>
      </c>
      <c r="B1213" t="s">
        <v>1356</v>
      </c>
      <c r="G1213" t="s">
        <v>5356</v>
      </c>
      <c r="H1213" t="s">
        <v>132</v>
      </c>
      <c r="I1213" t="s">
        <v>1</v>
      </c>
      <c r="J1213" t="s">
        <v>5298</v>
      </c>
      <c r="K1213" t="s">
        <v>51</v>
      </c>
      <c r="L1213" t="s">
        <v>1348</v>
      </c>
      <c r="M1213" t="s">
        <v>134</v>
      </c>
      <c r="N1213" t="s">
        <v>135</v>
      </c>
      <c r="Q1213" t="s">
        <v>168</v>
      </c>
      <c r="U1213" t="s">
        <v>137</v>
      </c>
      <c r="V1213" t="s">
        <v>1279</v>
      </c>
      <c r="W1213" s="9">
        <v>46204.523525775461</v>
      </c>
      <c r="X1213" t="s">
        <v>71</v>
      </c>
      <c r="AA1213" t="s">
        <v>292</v>
      </c>
      <c r="AB1213" t="s">
        <v>1</v>
      </c>
      <c r="AC1213" t="s">
        <v>24</v>
      </c>
      <c r="AD1213" t="s">
        <v>128</v>
      </c>
      <c r="AE1213" s="97">
        <f>VLOOKUP(A:A,SUMMERY!AA:AC,2,FALSE)</f>
        <v>46233</v>
      </c>
      <c r="AF1213" s="6" t="str">
        <f>VLOOKUP(A:A,SUMMERY!AA:AC,3,FALSE)</f>
        <v>Priority-1</v>
      </c>
    </row>
    <row r="1214" spans="1:32" x14ac:dyDescent="0.3">
      <c r="A1214" t="s">
        <v>5740</v>
      </c>
      <c r="B1214" t="s">
        <v>1358</v>
      </c>
      <c r="G1214" t="s">
        <v>5356</v>
      </c>
      <c r="H1214" t="s">
        <v>132</v>
      </c>
      <c r="I1214" t="s">
        <v>1</v>
      </c>
      <c r="J1214" t="s">
        <v>5298</v>
      </c>
      <c r="K1214" t="s">
        <v>51</v>
      </c>
      <c r="L1214" t="s">
        <v>1348</v>
      </c>
      <c r="M1214" t="s">
        <v>134</v>
      </c>
      <c r="N1214" t="s">
        <v>135</v>
      </c>
      <c r="Q1214" t="s">
        <v>168</v>
      </c>
      <c r="U1214" t="s">
        <v>137</v>
      </c>
      <c r="V1214" t="s">
        <v>1279</v>
      </c>
      <c r="W1214" s="9">
        <v>46204.523061805558</v>
      </c>
      <c r="X1214" t="s">
        <v>71</v>
      </c>
      <c r="AA1214" t="s">
        <v>292</v>
      </c>
      <c r="AB1214" t="s">
        <v>1</v>
      </c>
      <c r="AC1214" t="s">
        <v>24</v>
      </c>
      <c r="AD1214" t="s">
        <v>128</v>
      </c>
      <c r="AE1214" s="97">
        <f>VLOOKUP(A:A,SUMMERY!AA:AC,2,FALSE)</f>
        <v>46233</v>
      </c>
      <c r="AF1214" s="6" t="str">
        <f>VLOOKUP(A:A,SUMMERY!AA:AC,3,FALSE)</f>
        <v>Priority-1</v>
      </c>
    </row>
    <row r="1215" spans="1:32" x14ac:dyDescent="0.3">
      <c r="A1215" t="s">
        <v>5741</v>
      </c>
      <c r="B1215" t="s">
        <v>1360</v>
      </c>
      <c r="G1215" t="s">
        <v>5356</v>
      </c>
      <c r="H1215" t="s">
        <v>132</v>
      </c>
      <c r="I1215" t="s">
        <v>1</v>
      </c>
      <c r="J1215" t="s">
        <v>5298</v>
      </c>
      <c r="K1215" t="s">
        <v>51</v>
      </c>
      <c r="L1215" t="s">
        <v>1348</v>
      </c>
      <c r="M1215" t="s">
        <v>134</v>
      </c>
      <c r="N1215" t="s">
        <v>135</v>
      </c>
      <c r="Q1215" t="s">
        <v>168</v>
      </c>
      <c r="U1215" t="s">
        <v>137</v>
      </c>
      <c r="V1215" t="s">
        <v>1279</v>
      </c>
      <c r="W1215" s="9">
        <v>46204.52258769676</v>
      </c>
      <c r="X1215" t="s">
        <v>71</v>
      </c>
      <c r="AA1215" t="s">
        <v>292</v>
      </c>
      <c r="AB1215" t="s">
        <v>1</v>
      </c>
      <c r="AC1215" t="s">
        <v>24</v>
      </c>
      <c r="AD1215" t="s">
        <v>128</v>
      </c>
      <c r="AE1215" s="97">
        <f>VLOOKUP(A:A,SUMMERY!AA:AC,2,FALSE)</f>
        <v>46233</v>
      </c>
      <c r="AF1215" s="6" t="str">
        <f>VLOOKUP(A:A,SUMMERY!AA:AC,3,FALSE)</f>
        <v>Priority-1</v>
      </c>
    </row>
    <row r="1216" spans="1:32" x14ac:dyDescent="0.3">
      <c r="A1216" t="s">
        <v>5742</v>
      </c>
      <c r="B1216" t="s">
        <v>1362</v>
      </c>
      <c r="G1216" t="s">
        <v>5356</v>
      </c>
      <c r="H1216" t="s">
        <v>132</v>
      </c>
      <c r="I1216" t="s">
        <v>1</v>
      </c>
      <c r="J1216" t="s">
        <v>5298</v>
      </c>
      <c r="K1216" t="s">
        <v>51</v>
      </c>
      <c r="L1216" t="s">
        <v>1348</v>
      </c>
      <c r="M1216" t="s">
        <v>134</v>
      </c>
      <c r="N1216" t="s">
        <v>135</v>
      </c>
      <c r="Q1216" t="s">
        <v>168</v>
      </c>
      <c r="U1216" t="s">
        <v>137</v>
      </c>
      <c r="V1216" t="s">
        <v>1279</v>
      </c>
      <c r="W1216" s="9">
        <v>46204.522245451386</v>
      </c>
      <c r="X1216" t="s">
        <v>71</v>
      </c>
      <c r="AA1216" t="s">
        <v>292</v>
      </c>
      <c r="AB1216" t="s">
        <v>1</v>
      </c>
      <c r="AC1216" t="s">
        <v>24</v>
      </c>
      <c r="AD1216" t="s">
        <v>128</v>
      </c>
      <c r="AE1216" s="97">
        <f>VLOOKUP(A:A,SUMMERY!AA:AC,2,FALSE)</f>
        <v>46233</v>
      </c>
      <c r="AF1216" s="6" t="str">
        <f>VLOOKUP(A:A,SUMMERY!AA:AC,3,FALSE)</f>
        <v>Priority-1</v>
      </c>
    </row>
    <row r="1217" spans="1:32" x14ac:dyDescent="0.3">
      <c r="A1217" t="s">
        <v>5743</v>
      </c>
      <c r="B1217" t="s">
        <v>1364</v>
      </c>
      <c r="G1217" t="s">
        <v>5356</v>
      </c>
      <c r="H1217" t="s">
        <v>132</v>
      </c>
      <c r="I1217" t="s">
        <v>1</v>
      </c>
      <c r="J1217" t="s">
        <v>5298</v>
      </c>
      <c r="K1217" t="s">
        <v>51</v>
      </c>
      <c r="L1217" t="s">
        <v>1348</v>
      </c>
      <c r="M1217" t="s">
        <v>134</v>
      </c>
      <c r="N1217" t="s">
        <v>135</v>
      </c>
      <c r="Q1217" t="s">
        <v>168</v>
      </c>
      <c r="U1217" t="s">
        <v>137</v>
      </c>
      <c r="V1217" t="s">
        <v>1279</v>
      </c>
      <c r="W1217" s="9">
        <v>46204.561637928244</v>
      </c>
      <c r="X1217" t="s">
        <v>71</v>
      </c>
      <c r="AA1217" t="s">
        <v>292</v>
      </c>
      <c r="AB1217" t="s">
        <v>1</v>
      </c>
      <c r="AC1217" t="s">
        <v>24</v>
      </c>
      <c r="AD1217" t="s">
        <v>128</v>
      </c>
      <c r="AE1217" s="97">
        <f>VLOOKUP(A:A,SUMMERY!AA:AC,2,FALSE)</f>
        <v>46233</v>
      </c>
      <c r="AF1217" s="6" t="str">
        <f>VLOOKUP(A:A,SUMMERY!AA:AC,3,FALSE)</f>
        <v>Priority-1</v>
      </c>
    </row>
    <row r="1218" spans="1:32" x14ac:dyDescent="0.3">
      <c r="A1218" t="s">
        <v>5744</v>
      </c>
      <c r="B1218" t="s">
        <v>1366</v>
      </c>
      <c r="G1218" t="s">
        <v>5356</v>
      </c>
      <c r="H1218" t="s">
        <v>132</v>
      </c>
      <c r="I1218" t="s">
        <v>1</v>
      </c>
      <c r="J1218" t="s">
        <v>5298</v>
      </c>
      <c r="K1218" t="s">
        <v>51</v>
      </c>
      <c r="L1218" t="s">
        <v>1348</v>
      </c>
      <c r="M1218" t="s">
        <v>134</v>
      </c>
      <c r="N1218" t="s">
        <v>135</v>
      </c>
      <c r="Q1218" t="s">
        <v>168</v>
      </c>
      <c r="U1218" t="s">
        <v>137</v>
      </c>
      <c r="V1218" t="s">
        <v>1279</v>
      </c>
      <c r="W1218" s="9">
        <v>46204.521891284719</v>
      </c>
      <c r="X1218" t="s">
        <v>71</v>
      </c>
      <c r="AA1218" t="s">
        <v>292</v>
      </c>
      <c r="AB1218" t="s">
        <v>1</v>
      </c>
      <c r="AC1218" t="s">
        <v>24</v>
      </c>
      <c r="AD1218" t="s">
        <v>128</v>
      </c>
      <c r="AE1218" s="97">
        <f>VLOOKUP(A:A,SUMMERY!AA:AC,2,FALSE)</f>
        <v>46233</v>
      </c>
      <c r="AF1218" s="6" t="str">
        <f>VLOOKUP(A:A,SUMMERY!AA:AC,3,FALSE)</f>
        <v>Priority-1</v>
      </c>
    </row>
    <row r="1219" spans="1:32" x14ac:dyDescent="0.3">
      <c r="A1219" t="s">
        <v>5745</v>
      </c>
      <c r="B1219" t="s">
        <v>1368</v>
      </c>
      <c r="G1219" t="s">
        <v>5356</v>
      </c>
      <c r="H1219" t="s">
        <v>132</v>
      </c>
      <c r="I1219" t="s">
        <v>1</v>
      </c>
      <c r="J1219" t="s">
        <v>5298</v>
      </c>
      <c r="K1219" t="s">
        <v>51</v>
      </c>
      <c r="L1219" t="s">
        <v>1348</v>
      </c>
      <c r="M1219" t="s">
        <v>134</v>
      </c>
      <c r="N1219" t="s">
        <v>135</v>
      </c>
      <c r="Q1219" t="s">
        <v>168</v>
      </c>
      <c r="U1219" t="s">
        <v>137</v>
      </c>
      <c r="V1219" t="s">
        <v>1279</v>
      </c>
      <c r="W1219" s="9">
        <v>46204.520550462963</v>
      </c>
      <c r="X1219" t="s">
        <v>71</v>
      </c>
      <c r="AA1219" t="s">
        <v>292</v>
      </c>
      <c r="AB1219" t="s">
        <v>1</v>
      </c>
      <c r="AC1219" t="s">
        <v>24</v>
      </c>
      <c r="AD1219" t="s">
        <v>128</v>
      </c>
      <c r="AE1219" s="97">
        <f>VLOOKUP(A:A,SUMMERY!AA:AC,2,FALSE)</f>
        <v>46233</v>
      </c>
      <c r="AF1219" s="6" t="str">
        <f>VLOOKUP(A:A,SUMMERY!AA:AC,3,FALSE)</f>
        <v>Priority-1</v>
      </c>
    </row>
    <row r="1220" spans="1:32" x14ac:dyDescent="0.3">
      <c r="A1220" t="s">
        <v>5746</v>
      </c>
      <c r="B1220" t="s">
        <v>1370</v>
      </c>
      <c r="G1220" t="s">
        <v>5356</v>
      </c>
      <c r="H1220" t="s">
        <v>132</v>
      </c>
      <c r="I1220" t="s">
        <v>1</v>
      </c>
      <c r="J1220" t="s">
        <v>5298</v>
      </c>
      <c r="K1220" t="s">
        <v>51</v>
      </c>
      <c r="L1220" t="s">
        <v>1371</v>
      </c>
      <c r="M1220" t="s">
        <v>134</v>
      </c>
      <c r="N1220" t="s">
        <v>135</v>
      </c>
      <c r="Q1220" t="s">
        <v>168</v>
      </c>
      <c r="U1220" t="s">
        <v>137</v>
      </c>
      <c r="V1220" t="s">
        <v>1283</v>
      </c>
      <c r="W1220" s="9">
        <v>46204.52012685185</v>
      </c>
      <c r="X1220" t="s">
        <v>78</v>
      </c>
      <c r="AA1220" t="s">
        <v>292</v>
      </c>
      <c r="AB1220" t="s">
        <v>1</v>
      </c>
      <c r="AC1220" t="s">
        <v>24</v>
      </c>
      <c r="AD1220" t="s">
        <v>128</v>
      </c>
      <c r="AE1220" s="97">
        <f>VLOOKUP(A:A,SUMMERY!AA:AC,2,FALSE)</f>
        <v>46234</v>
      </c>
      <c r="AF1220" s="6" t="str">
        <f>VLOOKUP(A:A,SUMMERY!AA:AC,3,FALSE)</f>
        <v>Priority-1</v>
      </c>
    </row>
    <row r="1221" spans="1:32" x14ac:dyDescent="0.3">
      <c r="A1221" t="s">
        <v>5747</v>
      </c>
      <c r="B1221" t="s">
        <v>1373</v>
      </c>
      <c r="G1221" t="s">
        <v>5356</v>
      </c>
      <c r="H1221" t="s">
        <v>132</v>
      </c>
      <c r="I1221" t="s">
        <v>1</v>
      </c>
      <c r="J1221" t="s">
        <v>5298</v>
      </c>
      <c r="K1221" t="s">
        <v>51</v>
      </c>
      <c r="L1221" t="s">
        <v>1371</v>
      </c>
      <c r="M1221" t="s">
        <v>134</v>
      </c>
      <c r="N1221" t="s">
        <v>135</v>
      </c>
      <c r="Q1221" t="s">
        <v>168</v>
      </c>
      <c r="U1221" t="s">
        <v>137</v>
      </c>
      <c r="V1221" t="s">
        <v>1283</v>
      </c>
      <c r="W1221" s="9">
        <v>46204.562924108795</v>
      </c>
      <c r="X1221" t="s">
        <v>78</v>
      </c>
      <c r="AA1221" t="s">
        <v>292</v>
      </c>
      <c r="AB1221" t="s">
        <v>1</v>
      </c>
      <c r="AC1221" t="s">
        <v>24</v>
      </c>
      <c r="AD1221" t="s">
        <v>128</v>
      </c>
      <c r="AE1221" s="97">
        <f>VLOOKUP(A:A,SUMMERY!AA:AC,2,FALSE)</f>
        <v>46234</v>
      </c>
      <c r="AF1221" s="6" t="str">
        <f>VLOOKUP(A:A,SUMMERY!AA:AC,3,FALSE)</f>
        <v>Priority-1</v>
      </c>
    </row>
    <row r="1222" spans="1:32" x14ac:dyDescent="0.3">
      <c r="A1222" t="s">
        <v>5748</v>
      </c>
      <c r="B1222" t="s">
        <v>1375</v>
      </c>
      <c r="G1222" t="s">
        <v>5356</v>
      </c>
      <c r="H1222" t="s">
        <v>132</v>
      </c>
      <c r="I1222" t="s">
        <v>1</v>
      </c>
      <c r="J1222" t="s">
        <v>5298</v>
      </c>
      <c r="K1222" t="s">
        <v>51</v>
      </c>
      <c r="L1222" t="s">
        <v>1371</v>
      </c>
      <c r="M1222" t="s">
        <v>134</v>
      </c>
      <c r="N1222" t="s">
        <v>135</v>
      </c>
      <c r="Q1222" t="s">
        <v>168</v>
      </c>
      <c r="U1222" t="s">
        <v>137</v>
      </c>
      <c r="V1222" t="s">
        <v>1283</v>
      </c>
      <c r="W1222" s="9">
        <v>46204.563542326388</v>
      </c>
      <c r="X1222" t="s">
        <v>78</v>
      </c>
      <c r="AA1222" t="s">
        <v>292</v>
      </c>
      <c r="AB1222" t="s">
        <v>1</v>
      </c>
      <c r="AC1222" t="s">
        <v>24</v>
      </c>
      <c r="AD1222" t="s">
        <v>128</v>
      </c>
      <c r="AE1222" s="97">
        <f>VLOOKUP(A:A,SUMMERY!AA:AC,2,FALSE)</f>
        <v>46234</v>
      </c>
      <c r="AF1222" s="6" t="str">
        <f>VLOOKUP(A:A,SUMMERY!AA:AC,3,FALSE)</f>
        <v>Priority-1</v>
      </c>
    </row>
    <row r="1223" spans="1:32" x14ac:dyDescent="0.3">
      <c r="A1223" t="s">
        <v>5749</v>
      </c>
      <c r="B1223" t="s">
        <v>1377</v>
      </c>
      <c r="G1223" t="s">
        <v>5356</v>
      </c>
      <c r="H1223" t="s">
        <v>132</v>
      </c>
      <c r="I1223" t="s">
        <v>1</v>
      </c>
      <c r="J1223" t="s">
        <v>5298</v>
      </c>
      <c r="K1223" t="s">
        <v>51</v>
      </c>
      <c r="L1223" t="s">
        <v>1371</v>
      </c>
      <c r="M1223" t="s">
        <v>134</v>
      </c>
      <c r="N1223" t="s">
        <v>135</v>
      </c>
      <c r="Q1223" t="s">
        <v>168</v>
      </c>
      <c r="U1223" t="s">
        <v>137</v>
      </c>
      <c r="V1223" t="s">
        <v>1283</v>
      </c>
      <c r="W1223" s="9">
        <v>46204.519662037033</v>
      </c>
      <c r="X1223" t="s">
        <v>78</v>
      </c>
      <c r="AA1223" t="s">
        <v>292</v>
      </c>
      <c r="AB1223" t="s">
        <v>1</v>
      </c>
      <c r="AC1223" t="s">
        <v>24</v>
      </c>
      <c r="AD1223" t="s">
        <v>128</v>
      </c>
      <c r="AE1223" s="97">
        <f>VLOOKUP(A:A,SUMMERY!AA:AC,2,FALSE)</f>
        <v>46234</v>
      </c>
      <c r="AF1223" s="6" t="str">
        <f>VLOOKUP(A:A,SUMMERY!AA:AC,3,FALSE)</f>
        <v>Priority-1</v>
      </c>
    </row>
    <row r="1224" spans="1:32" x14ac:dyDescent="0.3">
      <c r="A1224" t="s">
        <v>5750</v>
      </c>
      <c r="B1224" t="s">
        <v>1379</v>
      </c>
      <c r="G1224" t="s">
        <v>5356</v>
      </c>
      <c r="H1224" t="s">
        <v>132</v>
      </c>
      <c r="I1224" t="s">
        <v>1</v>
      </c>
      <c r="J1224" t="s">
        <v>5298</v>
      </c>
      <c r="K1224" t="s">
        <v>51</v>
      </c>
      <c r="L1224" t="s">
        <v>1371</v>
      </c>
      <c r="M1224" t="s">
        <v>134</v>
      </c>
      <c r="N1224" t="s">
        <v>135</v>
      </c>
      <c r="Q1224" t="s">
        <v>168</v>
      </c>
      <c r="U1224" t="s">
        <v>137</v>
      </c>
      <c r="V1224" t="s">
        <v>1283</v>
      </c>
      <c r="W1224" s="9">
        <v>46204.519211076389</v>
      </c>
      <c r="X1224" t="s">
        <v>78</v>
      </c>
      <c r="AA1224" t="s">
        <v>292</v>
      </c>
      <c r="AB1224" t="s">
        <v>1</v>
      </c>
      <c r="AC1224" t="s">
        <v>24</v>
      </c>
      <c r="AD1224" t="s">
        <v>128</v>
      </c>
      <c r="AE1224" s="97">
        <f>VLOOKUP(A:A,SUMMERY!AA:AC,2,FALSE)</f>
        <v>46234</v>
      </c>
      <c r="AF1224" s="6" t="str">
        <f>VLOOKUP(A:A,SUMMERY!AA:AC,3,FALSE)</f>
        <v>Priority-1</v>
      </c>
    </row>
    <row r="1225" spans="1:32" x14ac:dyDescent="0.3">
      <c r="A1225" t="s">
        <v>5751</v>
      </c>
      <c r="B1225" t="s">
        <v>1381</v>
      </c>
      <c r="G1225" t="s">
        <v>5356</v>
      </c>
      <c r="H1225" t="s">
        <v>132</v>
      </c>
      <c r="I1225" t="s">
        <v>1</v>
      </c>
      <c r="J1225" t="s">
        <v>5298</v>
      </c>
      <c r="K1225" t="s">
        <v>51</v>
      </c>
      <c r="L1225" t="s">
        <v>1371</v>
      </c>
      <c r="M1225" t="s">
        <v>134</v>
      </c>
      <c r="N1225" t="s">
        <v>135</v>
      </c>
      <c r="Q1225" t="s">
        <v>168</v>
      </c>
      <c r="U1225" t="s">
        <v>137</v>
      </c>
      <c r="V1225" t="s">
        <v>1283</v>
      </c>
      <c r="W1225" s="9">
        <v>46204.518753668985</v>
      </c>
      <c r="X1225" t="s">
        <v>78</v>
      </c>
      <c r="AA1225" t="s">
        <v>292</v>
      </c>
      <c r="AB1225" t="s">
        <v>1</v>
      </c>
      <c r="AC1225" t="s">
        <v>24</v>
      </c>
      <c r="AD1225" t="s">
        <v>128</v>
      </c>
      <c r="AE1225" s="97">
        <f>VLOOKUP(A:A,SUMMERY!AA:AC,2,FALSE)</f>
        <v>46234</v>
      </c>
      <c r="AF1225" s="6" t="str">
        <f>VLOOKUP(A:A,SUMMERY!AA:AC,3,FALSE)</f>
        <v>Priority-1</v>
      </c>
    </row>
    <row r="1226" spans="1:32" x14ac:dyDescent="0.3">
      <c r="A1226" t="s">
        <v>5752</v>
      </c>
      <c r="B1226" t="s">
        <v>1383</v>
      </c>
      <c r="G1226" t="s">
        <v>5356</v>
      </c>
      <c r="H1226" t="s">
        <v>132</v>
      </c>
      <c r="I1226" t="s">
        <v>1</v>
      </c>
      <c r="J1226" t="s">
        <v>5298</v>
      </c>
      <c r="K1226" t="s">
        <v>51</v>
      </c>
      <c r="L1226" t="s">
        <v>1371</v>
      </c>
      <c r="M1226" t="s">
        <v>134</v>
      </c>
      <c r="N1226" t="s">
        <v>135</v>
      </c>
      <c r="Q1226" t="s">
        <v>168</v>
      </c>
      <c r="U1226" t="s">
        <v>137</v>
      </c>
      <c r="V1226" t="s">
        <v>1283</v>
      </c>
      <c r="W1226" s="9">
        <v>46204.518339085647</v>
      </c>
      <c r="X1226" t="s">
        <v>78</v>
      </c>
      <c r="AA1226" t="s">
        <v>292</v>
      </c>
      <c r="AB1226" t="s">
        <v>1</v>
      </c>
      <c r="AC1226" t="s">
        <v>24</v>
      </c>
      <c r="AD1226" t="s">
        <v>128</v>
      </c>
      <c r="AE1226" s="97">
        <f>VLOOKUP(A:A,SUMMERY!AA:AC,2,FALSE)</f>
        <v>46234</v>
      </c>
      <c r="AF1226" s="6" t="str">
        <f>VLOOKUP(A:A,SUMMERY!AA:AC,3,FALSE)</f>
        <v>Priority-1</v>
      </c>
    </row>
    <row r="1227" spans="1:32" x14ac:dyDescent="0.3">
      <c r="A1227" t="s">
        <v>5753</v>
      </c>
      <c r="B1227" t="s">
        <v>1385</v>
      </c>
      <c r="G1227" t="s">
        <v>5356</v>
      </c>
      <c r="H1227" t="s">
        <v>132</v>
      </c>
      <c r="I1227" t="s">
        <v>1</v>
      </c>
      <c r="J1227" t="s">
        <v>5298</v>
      </c>
      <c r="K1227" t="s">
        <v>51</v>
      </c>
      <c r="L1227" t="s">
        <v>1371</v>
      </c>
      <c r="M1227" t="s">
        <v>134</v>
      </c>
      <c r="N1227" t="s">
        <v>135</v>
      </c>
      <c r="Q1227" t="s">
        <v>168</v>
      </c>
      <c r="U1227" t="s">
        <v>137</v>
      </c>
      <c r="V1227" t="s">
        <v>1283</v>
      </c>
      <c r="W1227" s="9">
        <v>46204.517638773148</v>
      </c>
      <c r="X1227" t="s">
        <v>78</v>
      </c>
      <c r="AA1227" t="s">
        <v>292</v>
      </c>
      <c r="AB1227" t="s">
        <v>1</v>
      </c>
      <c r="AC1227" t="s">
        <v>24</v>
      </c>
      <c r="AD1227" t="s">
        <v>128</v>
      </c>
      <c r="AE1227" s="97">
        <f>VLOOKUP(A:A,SUMMERY!AA:AC,2,FALSE)</f>
        <v>46234</v>
      </c>
      <c r="AF1227" s="6" t="str">
        <f>VLOOKUP(A:A,SUMMERY!AA:AC,3,FALSE)</f>
        <v>Priority-1</v>
      </c>
    </row>
    <row r="1228" spans="1:32" x14ac:dyDescent="0.3">
      <c r="A1228" t="s">
        <v>5754</v>
      </c>
      <c r="B1228" t="s">
        <v>1387</v>
      </c>
      <c r="G1228" t="s">
        <v>5356</v>
      </c>
      <c r="H1228" t="s">
        <v>132</v>
      </c>
      <c r="I1228" t="s">
        <v>1</v>
      </c>
      <c r="J1228" t="s">
        <v>5298</v>
      </c>
      <c r="K1228" t="s">
        <v>51</v>
      </c>
      <c r="L1228" t="s">
        <v>1371</v>
      </c>
      <c r="M1228" t="s">
        <v>134</v>
      </c>
      <c r="N1228" t="s">
        <v>135</v>
      </c>
      <c r="Q1228" t="s">
        <v>168</v>
      </c>
      <c r="U1228" t="s">
        <v>137</v>
      </c>
      <c r="V1228" t="s">
        <v>1283</v>
      </c>
      <c r="W1228" s="9">
        <v>46204.517282141205</v>
      </c>
      <c r="X1228" t="s">
        <v>78</v>
      </c>
      <c r="AA1228" t="s">
        <v>292</v>
      </c>
      <c r="AB1228" t="s">
        <v>1</v>
      </c>
      <c r="AC1228" t="s">
        <v>24</v>
      </c>
      <c r="AD1228" t="s">
        <v>128</v>
      </c>
      <c r="AE1228" s="97">
        <f>VLOOKUP(A:A,SUMMERY!AA:AC,2,FALSE)</f>
        <v>46234</v>
      </c>
      <c r="AF1228" s="6" t="str">
        <f>VLOOKUP(A:A,SUMMERY!AA:AC,3,FALSE)</f>
        <v>Priority-1</v>
      </c>
    </row>
    <row r="1229" spans="1:32" x14ac:dyDescent="0.3">
      <c r="A1229" t="s">
        <v>5755</v>
      </c>
      <c r="B1229" t="s">
        <v>1389</v>
      </c>
      <c r="G1229" t="s">
        <v>5356</v>
      </c>
      <c r="H1229" t="s">
        <v>132</v>
      </c>
      <c r="I1229" t="s">
        <v>1</v>
      </c>
      <c r="J1229" t="s">
        <v>5298</v>
      </c>
      <c r="K1229" t="s">
        <v>51</v>
      </c>
      <c r="L1229" t="s">
        <v>1371</v>
      </c>
      <c r="M1229" t="s">
        <v>134</v>
      </c>
      <c r="N1229" t="s">
        <v>135</v>
      </c>
      <c r="Q1229" t="s">
        <v>168</v>
      </c>
      <c r="U1229" t="s">
        <v>137</v>
      </c>
      <c r="V1229" t="s">
        <v>1283</v>
      </c>
      <c r="W1229" s="9">
        <v>46204.516968750002</v>
      </c>
      <c r="X1229" t="s">
        <v>78</v>
      </c>
      <c r="AA1229" t="s">
        <v>292</v>
      </c>
      <c r="AB1229" t="s">
        <v>1</v>
      </c>
      <c r="AC1229" t="s">
        <v>24</v>
      </c>
      <c r="AD1229" t="s">
        <v>128</v>
      </c>
      <c r="AE1229" s="97">
        <f>VLOOKUP(A:A,SUMMERY!AA:AC,2,FALSE)</f>
        <v>46234</v>
      </c>
      <c r="AF1229" s="6" t="str">
        <f>VLOOKUP(A:A,SUMMERY!AA:AC,3,FALSE)</f>
        <v>Priority-1</v>
      </c>
    </row>
    <row r="1230" spans="1:32" x14ac:dyDescent="0.3">
      <c r="A1230" t="s">
        <v>5756</v>
      </c>
      <c r="B1230" t="s">
        <v>1391</v>
      </c>
      <c r="G1230" t="s">
        <v>5356</v>
      </c>
      <c r="H1230" t="s">
        <v>132</v>
      </c>
      <c r="I1230" t="s">
        <v>1</v>
      </c>
      <c r="J1230" t="s">
        <v>5298</v>
      </c>
      <c r="K1230" t="s">
        <v>51</v>
      </c>
      <c r="L1230" t="s">
        <v>1371</v>
      </c>
      <c r="M1230" t="s">
        <v>134</v>
      </c>
      <c r="N1230" t="s">
        <v>135</v>
      </c>
      <c r="Q1230" t="s">
        <v>168</v>
      </c>
      <c r="U1230" t="s">
        <v>137</v>
      </c>
      <c r="V1230" t="s">
        <v>1283</v>
      </c>
      <c r="W1230" s="9">
        <v>46204.516575891204</v>
      </c>
      <c r="X1230" t="s">
        <v>78</v>
      </c>
      <c r="AA1230" t="s">
        <v>292</v>
      </c>
      <c r="AB1230" t="s">
        <v>1</v>
      </c>
      <c r="AC1230" t="s">
        <v>24</v>
      </c>
      <c r="AD1230" t="s">
        <v>128</v>
      </c>
      <c r="AE1230" s="97">
        <f>VLOOKUP(A:A,SUMMERY!AA:AC,2,FALSE)</f>
        <v>46234</v>
      </c>
      <c r="AF1230" s="6" t="str">
        <f>VLOOKUP(A:A,SUMMERY!AA:AC,3,FALSE)</f>
        <v>Priority-1</v>
      </c>
    </row>
    <row r="1231" spans="1:32" x14ac:dyDescent="0.3">
      <c r="A1231" t="s">
        <v>5812</v>
      </c>
      <c r="B1231" t="s">
        <v>1508</v>
      </c>
      <c r="G1231" t="s">
        <v>5356</v>
      </c>
      <c r="H1231" t="s">
        <v>132</v>
      </c>
      <c r="I1231" t="s">
        <v>1</v>
      </c>
      <c r="J1231" t="s">
        <v>5298</v>
      </c>
      <c r="K1231" t="s">
        <v>51</v>
      </c>
      <c r="L1231" t="s">
        <v>1509</v>
      </c>
      <c r="M1231" t="s">
        <v>134</v>
      </c>
      <c r="N1231" t="s">
        <v>135</v>
      </c>
      <c r="Q1231" t="s">
        <v>168</v>
      </c>
      <c r="U1231" t="s">
        <v>137</v>
      </c>
      <c r="V1231" t="s">
        <v>1279</v>
      </c>
      <c r="W1231" s="9">
        <v>46204.516227581022</v>
      </c>
      <c r="X1231" t="s">
        <v>71</v>
      </c>
      <c r="AA1231" t="s">
        <v>292</v>
      </c>
      <c r="AB1231" t="s">
        <v>1</v>
      </c>
      <c r="AC1231" t="s">
        <v>24</v>
      </c>
      <c r="AD1231" t="s">
        <v>128</v>
      </c>
      <c r="AE1231" s="97">
        <f>VLOOKUP(A:A,SUMMERY!AA:AC,2,FALSE)</f>
        <v>46233</v>
      </c>
      <c r="AF1231" s="6" t="str">
        <f>VLOOKUP(A:A,SUMMERY!AA:AC,3,FALSE)</f>
        <v>Priority-1</v>
      </c>
    </row>
    <row r="1232" spans="1:32" x14ac:dyDescent="0.3">
      <c r="A1232" t="s">
        <v>5813</v>
      </c>
      <c r="B1232" t="s">
        <v>1511</v>
      </c>
      <c r="G1232" t="s">
        <v>5356</v>
      </c>
      <c r="H1232" t="s">
        <v>132</v>
      </c>
      <c r="I1232" t="s">
        <v>1</v>
      </c>
      <c r="J1232" t="s">
        <v>5298</v>
      </c>
      <c r="K1232" t="s">
        <v>51</v>
      </c>
      <c r="L1232" t="s">
        <v>1512</v>
      </c>
      <c r="M1232" t="s">
        <v>134</v>
      </c>
      <c r="N1232" t="s">
        <v>135</v>
      </c>
      <c r="Q1232" t="s">
        <v>168</v>
      </c>
      <c r="U1232" t="s">
        <v>137</v>
      </c>
      <c r="V1232" t="s">
        <v>1283</v>
      </c>
      <c r="W1232" s="9">
        <v>46204.515812418984</v>
      </c>
      <c r="X1232" t="s">
        <v>78</v>
      </c>
      <c r="AA1232" t="s">
        <v>292</v>
      </c>
      <c r="AB1232" t="s">
        <v>1</v>
      </c>
      <c r="AC1232" t="s">
        <v>24</v>
      </c>
      <c r="AD1232" t="s">
        <v>128</v>
      </c>
      <c r="AE1232" s="97">
        <f>VLOOKUP(A:A,SUMMERY!AA:AC,2,FALSE)</f>
        <v>46234</v>
      </c>
      <c r="AF1232" s="6" t="str">
        <f>VLOOKUP(A:A,SUMMERY!AA:AC,3,FALSE)</f>
        <v>Priority-1</v>
      </c>
    </row>
    <row r="1233" spans="1:32" x14ac:dyDescent="0.3">
      <c r="A1233" t="s">
        <v>5819</v>
      </c>
      <c r="B1233" t="s">
        <v>1529</v>
      </c>
      <c r="G1233" t="s">
        <v>5356</v>
      </c>
      <c r="H1233" t="s">
        <v>132</v>
      </c>
      <c r="I1233" t="s">
        <v>1</v>
      </c>
      <c r="J1233" t="s">
        <v>5298</v>
      </c>
      <c r="K1233" t="s">
        <v>51</v>
      </c>
      <c r="L1233" t="s">
        <v>1530</v>
      </c>
      <c r="M1233" t="s">
        <v>134</v>
      </c>
      <c r="N1233" t="s">
        <v>135</v>
      </c>
      <c r="Q1233" t="s">
        <v>168</v>
      </c>
      <c r="U1233" t="s">
        <v>137</v>
      </c>
      <c r="V1233" t="s">
        <v>1279</v>
      </c>
      <c r="X1233" t="s">
        <v>71</v>
      </c>
      <c r="AA1233" t="s">
        <v>292</v>
      </c>
      <c r="AB1233" t="s">
        <v>1</v>
      </c>
      <c r="AC1233" t="s">
        <v>138</v>
      </c>
      <c r="AD1233" t="s">
        <v>128</v>
      </c>
      <c r="AE1233" s="97">
        <f>VLOOKUP(A:A,SUMMERY!AA:AC,2,FALSE)</f>
        <v>46233</v>
      </c>
      <c r="AF1233" s="6" t="str">
        <f>VLOOKUP(A:A,SUMMERY!AA:AC,3,FALSE)</f>
        <v>Priority-1</v>
      </c>
    </row>
    <row r="1234" spans="1:32" x14ac:dyDescent="0.3">
      <c r="A1234" t="s">
        <v>5820</v>
      </c>
      <c r="B1234" t="s">
        <v>1532</v>
      </c>
      <c r="G1234" t="s">
        <v>5356</v>
      </c>
      <c r="H1234" t="s">
        <v>132</v>
      </c>
      <c r="I1234" t="s">
        <v>1</v>
      </c>
      <c r="J1234" t="s">
        <v>5298</v>
      </c>
      <c r="K1234" t="s">
        <v>51</v>
      </c>
      <c r="L1234" t="s">
        <v>1533</v>
      </c>
      <c r="M1234" t="s">
        <v>134</v>
      </c>
      <c r="N1234" t="s">
        <v>135</v>
      </c>
      <c r="Q1234" t="s">
        <v>168</v>
      </c>
      <c r="U1234" t="s">
        <v>137</v>
      </c>
      <c r="V1234" t="s">
        <v>1283</v>
      </c>
      <c r="X1234" t="s">
        <v>78</v>
      </c>
      <c r="AA1234" t="s">
        <v>292</v>
      </c>
      <c r="AB1234" t="s">
        <v>1</v>
      </c>
      <c r="AC1234" t="s">
        <v>138</v>
      </c>
      <c r="AD1234" t="s">
        <v>128</v>
      </c>
      <c r="AE1234" s="97">
        <f>VLOOKUP(A:A,SUMMERY!AA:AC,2,FALSE)</f>
        <v>46234</v>
      </c>
      <c r="AF1234" s="6" t="str">
        <f>VLOOKUP(A:A,SUMMERY!AA:AC,3,FALSE)</f>
        <v>Priority-1</v>
      </c>
    </row>
    <row r="1235" spans="1:32" x14ac:dyDescent="0.3">
      <c r="A1235" t="s">
        <v>5826</v>
      </c>
      <c r="B1235" t="s">
        <v>1550</v>
      </c>
      <c r="G1235" t="s">
        <v>5356</v>
      </c>
      <c r="H1235" t="s">
        <v>132</v>
      </c>
      <c r="I1235" t="s">
        <v>1</v>
      </c>
      <c r="J1235" t="s">
        <v>5298</v>
      </c>
      <c r="K1235" t="s">
        <v>51</v>
      </c>
      <c r="L1235" t="s">
        <v>1551</v>
      </c>
      <c r="M1235" t="s">
        <v>134</v>
      </c>
      <c r="N1235" t="s">
        <v>135</v>
      </c>
      <c r="Q1235" t="s">
        <v>168</v>
      </c>
      <c r="U1235" t="s">
        <v>137</v>
      </c>
      <c r="V1235" t="s">
        <v>1259</v>
      </c>
      <c r="W1235" s="9">
        <v>46206.388242627312</v>
      </c>
      <c r="X1235" t="s">
        <v>126</v>
      </c>
      <c r="AA1235" t="s">
        <v>292</v>
      </c>
      <c r="AB1235" t="s">
        <v>1</v>
      </c>
      <c r="AC1235" t="s">
        <v>24</v>
      </c>
      <c r="AD1235" t="s">
        <v>131</v>
      </c>
      <c r="AE1235" s="97">
        <f>VLOOKUP(A:A,SUMMERY!AA:AC,2,FALSE)</f>
        <v>46234</v>
      </c>
      <c r="AF1235" s="6" t="str">
        <f>VLOOKUP(A:A,SUMMERY!AA:AC,3,FALSE)</f>
        <v>Priority-2</v>
      </c>
    </row>
    <row r="1236" spans="1:32" x14ac:dyDescent="0.3">
      <c r="A1236" t="s">
        <v>5827</v>
      </c>
      <c r="B1236" t="s">
        <v>1553</v>
      </c>
      <c r="G1236" t="s">
        <v>5356</v>
      </c>
      <c r="H1236" t="s">
        <v>132</v>
      </c>
      <c r="I1236" t="s">
        <v>1</v>
      </c>
      <c r="J1236" t="s">
        <v>5298</v>
      </c>
      <c r="K1236" t="s">
        <v>51</v>
      </c>
      <c r="L1236" t="s">
        <v>1551</v>
      </c>
      <c r="M1236" t="s">
        <v>134</v>
      </c>
      <c r="N1236" t="s">
        <v>135</v>
      </c>
      <c r="Q1236" t="s">
        <v>168</v>
      </c>
      <c r="U1236" t="s">
        <v>137</v>
      </c>
      <c r="V1236" t="s">
        <v>1259</v>
      </c>
      <c r="X1236" t="s">
        <v>126</v>
      </c>
      <c r="AA1236" t="s">
        <v>292</v>
      </c>
      <c r="AB1236" t="s">
        <v>1</v>
      </c>
      <c r="AC1236" t="s">
        <v>138</v>
      </c>
      <c r="AD1236" t="s">
        <v>131</v>
      </c>
      <c r="AE1236" s="97">
        <f>VLOOKUP(A:A,SUMMERY!AA:AC,2,FALSE)</f>
        <v>46234</v>
      </c>
      <c r="AF1236" s="6" t="str">
        <f>VLOOKUP(A:A,SUMMERY!AA:AC,3,FALSE)</f>
        <v>Priority-2</v>
      </c>
    </row>
    <row r="1237" spans="1:32" x14ac:dyDescent="0.3">
      <c r="A1237" t="s">
        <v>5828</v>
      </c>
      <c r="B1237" t="s">
        <v>1555</v>
      </c>
      <c r="G1237" t="s">
        <v>5356</v>
      </c>
      <c r="H1237" t="s">
        <v>132</v>
      </c>
      <c r="I1237" t="s">
        <v>1</v>
      </c>
      <c r="J1237" t="s">
        <v>5298</v>
      </c>
      <c r="K1237" t="s">
        <v>51</v>
      </c>
      <c r="L1237" t="s">
        <v>1551</v>
      </c>
      <c r="M1237" t="s">
        <v>134</v>
      </c>
      <c r="N1237" t="s">
        <v>135</v>
      </c>
      <c r="Q1237" t="s">
        <v>168</v>
      </c>
      <c r="U1237" t="s">
        <v>137</v>
      </c>
      <c r="V1237" t="s">
        <v>1259</v>
      </c>
      <c r="W1237" s="9">
        <v>46206.389907141202</v>
      </c>
      <c r="X1237" t="s">
        <v>126</v>
      </c>
      <c r="AA1237" t="s">
        <v>292</v>
      </c>
      <c r="AB1237" t="s">
        <v>1</v>
      </c>
      <c r="AC1237" t="s">
        <v>24</v>
      </c>
      <c r="AD1237" t="s">
        <v>131</v>
      </c>
      <c r="AE1237" s="97">
        <f>VLOOKUP(A:A,SUMMERY!AA:AC,2,FALSE)</f>
        <v>46234</v>
      </c>
      <c r="AF1237" s="6" t="str">
        <f>VLOOKUP(A:A,SUMMERY!AA:AC,3,FALSE)</f>
        <v>Priority-2</v>
      </c>
    </row>
    <row r="1238" spans="1:32" x14ac:dyDescent="0.3">
      <c r="A1238" t="s">
        <v>5829</v>
      </c>
      <c r="B1238" t="s">
        <v>1557</v>
      </c>
      <c r="G1238" t="s">
        <v>5356</v>
      </c>
      <c r="H1238" t="s">
        <v>132</v>
      </c>
      <c r="I1238" t="s">
        <v>1</v>
      </c>
      <c r="J1238" t="s">
        <v>5298</v>
      </c>
      <c r="K1238" t="s">
        <v>51</v>
      </c>
      <c r="L1238" t="s">
        <v>1558</v>
      </c>
      <c r="M1238" t="s">
        <v>134</v>
      </c>
      <c r="N1238" t="s">
        <v>135</v>
      </c>
      <c r="Q1238" t="s">
        <v>168</v>
      </c>
      <c r="U1238" t="s">
        <v>137</v>
      </c>
      <c r="V1238" t="s">
        <v>1259</v>
      </c>
      <c r="W1238" s="9">
        <v>46206.391697488427</v>
      </c>
      <c r="X1238" t="s">
        <v>126</v>
      </c>
      <c r="AA1238" t="s">
        <v>292</v>
      </c>
      <c r="AB1238" t="s">
        <v>1</v>
      </c>
      <c r="AC1238" t="s">
        <v>24</v>
      </c>
      <c r="AD1238" t="s">
        <v>131</v>
      </c>
      <c r="AE1238" s="97">
        <f>VLOOKUP(A:A,SUMMERY!AA:AC,2,FALSE)</f>
        <v>46234</v>
      </c>
      <c r="AF1238" s="6" t="str">
        <f>VLOOKUP(A:A,SUMMERY!AA:AC,3,FALSE)</f>
        <v>Priority-2</v>
      </c>
    </row>
    <row r="1239" spans="1:32" x14ac:dyDescent="0.3">
      <c r="A1239" t="s">
        <v>5830</v>
      </c>
      <c r="B1239" t="s">
        <v>1560</v>
      </c>
      <c r="G1239" t="s">
        <v>5356</v>
      </c>
      <c r="H1239" t="s">
        <v>132</v>
      </c>
      <c r="I1239" t="s">
        <v>1</v>
      </c>
      <c r="J1239" t="s">
        <v>5298</v>
      </c>
      <c r="K1239" t="s">
        <v>51</v>
      </c>
      <c r="L1239" t="s">
        <v>1558</v>
      </c>
      <c r="M1239" t="s">
        <v>134</v>
      </c>
      <c r="N1239" t="s">
        <v>135</v>
      </c>
      <c r="Q1239" t="s">
        <v>168</v>
      </c>
      <c r="U1239" t="s">
        <v>137</v>
      </c>
      <c r="V1239" t="s">
        <v>1259</v>
      </c>
      <c r="X1239" t="s">
        <v>126</v>
      </c>
      <c r="AA1239" t="s">
        <v>292</v>
      </c>
      <c r="AB1239" t="s">
        <v>1</v>
      </c>
      <c r="AC1239" t="s">
        <v>138</v>
      </c>
      <c r="AD1239" t="s">
        <v>131</v>
      </c>
      <c r="AE1239" s="97">
        <f>VLOOKUP(A:A,SUMMERY!AA:AC,2,FALSE)</f>
        <v>46234</v>
      </c>
      <c r="AF1239" s="6" t="str">
        <f>VLOOKUP(A:A,SUMMERY!AA:AC,3,FALSE)</f>
        <v>Priority-2</v>
      </c>
    </row>
    <row r="1240" spans="1:32" x14ac:dyDescent="0.3">
      <c r="A1240" t="s">
        <v>5831</v>
      </c>
      <c r="B1240" t="s">
        <v>1562</v>
      </c>
      <c r="G1240" t="s">
        <v>5356</v>
      </c>
      <c r="H1240" t="s">
        <v>132</v>
      </c>
      <c r="I1240" t="s">
        <v>1</v>
      </c>
      <c r="J1240" t="s">
        <v>5298</v>
      </c>
      <c r="K1240" t="s">
        <v>51</v>
      </c>
      <c r="L1240" t="s">
        <v>1558</v>
      </c>
      <c r="M1240" t="s">
        <v>134</v>
      </c>
      <c r="N1240" t="s">
        <v>135</v>
      </c>
      <c r="Q1240" t="s">
        <v>168</v>
      </c>
      <c r="U1240" t="s">
        <v>137</v>
      </c>
      <c r="V1240" t="s">
        <v>1259</v>
      </c>
      <c r="X1240" t="s">
        <v>126</v>
      </c>
      <c r="AA1240" t="s">
        <v>292</v>
      </c>
      <c r="AB1240" t="s">
        <v>1</v>
      </c>
      <c r="AC1240" t="s">
        <v>138</v>
      </c>
      <c r="AD1240" t="s">
        <v>131</v>
      </c>
      <c r="AE1240" s="97">
        <f>VLOOKUP(A:A,SUMMERY!AA:AC,2,FALSE)</f>
        <v>46234</v>
      </c>
      <c r="AF1240" s="6" t="str">
        <f>VLOOKUP(A:A,SUMMERY!AA:AC,3,FALSE)</f>
        <v>Priority-2</v>
      </c>
    </row>
    <row r="1241" spans="1:32" x14ac:dyDescent="0.3">
      <c r="A1241" t="s">
        <v>5832</v>
      </c>
      <c r="B1241" t="s">
        <v>1564</v>
      </c>
      <c r="G1241" t="s">
        <v>5356</v>
      </c>
      <c r="H1241" t="s">
        <v>132</v>
      </c>
      <c r="I1241" t="s">
        <v>1</v>
      </c>
      <c r="J1241" t="s">
        <v>5298</v>
      </c>
      <c r="K1241" t="s">
        <v>51</v>
      </c>
      <c r="L1241" t="s">
        <v>1558</v>
      </c>
      <c r="M1241" t="s">
        <v>134</v>
      </c>
      <c r="N1241" t="s">
        <v>135</v>
      </c>
      <c r="Q1241" t="s">
        <v>168</v>
      </c>
      <c r="U1241" t="s">
        <v>137</v>
      </c>
      <c r="V1241" t="s">
        <v>1259</v>
      </c>
      <c r="X1241" t="s">
        <v>126</v>
      </c>
      <c r="AA1241" t="s">
        <v>292</v>
      </c>
      <c r="AB1241" t="s">
        <v>1</v>
      </c>
      <c r="AC1241" t="s">
        <v>138</v>
      </c>
      <c r="AD1241" t="s">
        <v>131</v>
      </c>
      <c r="AE1241" s="97">
        <f>VLOOKUP(A:A,SUMMERY!AA:AC,2,FALSE)</f>
        <v>46234</v>
      </c>
      <c r="AF1241" s="6" t="str">
        <f>VLOOKUP(A:A,SUMMERY!AA:AC,3,FALSE)</f>
        <v>Priority-2</v>
      </c>
    </row>
    <row r="1242" spans="1:32" x14ac:dyDescent="0.3">
      <c r="A1242" t="s">
        <v>5833</v>
      </c>
      <c r="B1242" t="s">
        <v>1566</v>
      </c>
      <c r="G1242" t="s">
        <v>5356</v>
      </c>
      <c r="H1242" t="s">
        <v>132</v>
      </c>
      <c r="I1242" t="s">
        <v>1</v>
      </c>
      <c r="J1242" t="s">
        <v>5298</v>
      </c>
      <c r="K1242" t="s">
        <v>51</v>
      </c>
      <c r="L1242" t="s">
        <v>1567</v>
      </c>
      <c r="M1242" t="s">
        <v>134</v>
      </c>
      <c r="N1242" t="s">
        <v>135</v>
      </c>
      <c r="Q1242" t="s">
        <v>168</v>
      </c>
      <c r="U1242" t="s">
        <v>137</v>
      </c>
      <c r="V1242" t="s">
        <v>1259</v>
      </c>
      <c r="X1242" t="s">
        <v>126</v>
      </c>
      <c r="AA1242" t="s">
        <v>292</v>
      </c>
      <c r="AB1242" t="s">
        <v>1</v>
      </c>
      <c r="AC1242" t="s">
        <v>138</v>
      </c>
      <c r="AD1242" t="s">
        <v>131</v>
      </c>
      <c r="AE1242" s="97">
        <f>VLOOKUP(A:A,SUMMERY!AA:AC,2,FALSE)</f>
        <v>46234</v>
      </c>
      <c r="AF1242" s="6" t="str">
        <f>VLOOKUP(A:A,SUMMERY!AA:AC,3,FALSE)</f>
        <v>Priority-2</v>
      </c>
    </row>
    <row r="1243" spans="1:32" x14ac:dyDescent="0.3">
      <c r="A1243" t="s">
        <v>5834</v>
      </c>
      <c r="B1243" t="s">
        <v>1569</v>
      </c>
      <c r="G1243" t="s">
        <v>5356</v>
      </c>
      <c r="H1243" t="s">
        <v>132</v>
      </c>
      <c r="I1243" t="s">
        <v>1</v>
      </c>
      <c r="J1243" t="s">
        <v>5298</v>
      </c>
      <c r="K1243" t="s">
        <v>51</v>
      </c>
      <c r="L1243" t="s">
        <v>1570</v>
      </c>
      <c r="M1243" t="s">
        <v>134</v>
      </c>
      <c r="N1243" t="s">
        <v>135</v>
      </c>
      <c r="Q1243" t="s">
        <v>168</v>
      </c>
      <c r="U1243" t="s">
        <v>137</v>
      </c>
      <c r="V1243" t="s">
        <v>1263</v>
      </c>
      <c r="W1243" s="9">
        <v>46204.514595057874</v>
      </c>
      <c r="X1243" t="s">
        <v>69</v>
      </c>
      <c r="AA1243" t="s">
        <v>292</v>
      </c>
      <c r="AB1243" t="s">
        <v>1</v>
      </c>
      <c r="AC1243" t="s">
        <v>24</v>
      </c>
      <c r="AD1243" t="s">
        <v>128</v>
      </c>
      <c r="AE1243" s="97">
        <f>VLOOKUP(A:A,SUMMERY!AA:AC,2,FALSE)</f>
        <v>46224</v>
      </c>
      <c r="AF1243" s="6" t="str">
        <f>VLOOKUP(A:A,SUMMERY!AA:AC,3,FALSE)</f>
        <v>Priority-1</v>
      </c>
    </row>
    <row r="1244" spans="1:32" x14ac:dyDescent="0.3">
      <c r="A1244" t="s">
        <v>5835</v>
      </c>
      <c r="B1244" t="s">
        <v>1572</v>
      </c>
      <c r="G1244" t="s">
        <v>5356</v>
      </c>
      <c r="H1244" t="s">
        <v>132</v>
      </c>
      <c r="I1244" t="s">
        <v>1</v>
      </c>
      <c r="J1244" t="s">
        <v>5298</v>
      </c>
      <c r="K1244" t="s">
        <v>51</v>
      </c>
      <c r="L1244" t="s">
        <v>1570</v>
      </c>
      <c r="M1244" t="s">
        <v>134</v>
      </c>
      <c r="N1244" t="s">
        <v>135</v>
      </c>
      <c r="Q1244" t="s">
        <v>168</v>
      </c>
      <c r="U1244" t="s">
        <v>137</v>
      </c>
      <c r="V1244" t="s">
        <v>1263</v>
      </c>
      <c r="W1244" s="9">
        <v>46204.512872534724</v>
      </c>
      <c r="X1244" t="s">
        <v>69</v>
      </c>
      <c r="AA1244" t="s">
        <v>292</v>
      </c>
      <c r="AB1244" t="s">
        <v>1</v>
      </c>
      <c r="AC1244" t="s">
        <v>24</v>
      </c>
      <c r="AD1244" t="s">
        <v>128</v>
      </c>
      <c r="AE1244" s="97">
        <f>VLOOKUP(A:A,SUMMERY!AA:AC,2,FALSE)</f>
        <v>46224</v>
      </c>
      <c r="AF1244" s="6" t="str">
        <f>VLOOKUP(A:A,SUMMERY!AA:AC,3,FALSE)</f>
        <v>Priority-1</v>
      </c>
    </row>
    <row r="1245" spans="1:32" x14ac:dyDescent="0.3">
      <c r="A1245" t="s">
        <v>5836</v>
      </c>
      <c r="B1245" t="s">
        <v>1574</v>
      </c>
      <c r="G1245" t="s">
        <v>5356</v>
      </c>
      <c r="H1245" t="s">
        <v>132</v>
      </c>
      <c r="I1245" t="s">
        <v>1</v>
      </c>
      <c r="J1245" t="s">
        <v>5298</v>
      </c>
      <c r="K1245" t="s">
        <v>51</v>
      </c>
      <c r="L1245" t="s">
        <v>1570</v>
      </c>
      <c r="M1245" t="s">
        <v>134</v>
      </c>
      <c r="N1245" t="s">
        <v>135</v>
      </c>
      <c r="Q1245" t="s">
        <v>168</v>
      </c>
      <c r="U1245" t="s">
        <v>137</v>
      </c>
      <c r="V1245" t="s">
        <v>1263</v>
      </c>
      <c r="W1245" s="9">
        <v>46204.591116284719</v>
      </c>
      <c r="X1245" t="s">
        <v>69</v>
      </c>
      <c r="AA1245" t="s">
        <v>292</v>
      </c>
      <c r="AB1245" t="s">
        <v>1</v>
      </c>
      <c r="AC1245" t="s">
        <v>24</v>
      </c>
      <c r="AD1245" t="s">
        <v>128</v>
      </c>
      <c r="AE1245" s="97">
        <f>VLOOKUP(A:A,SUMMERY!AA:AC,2,FALSE)</f>
        <v>46224</v>
      </c>
      <c r="AF1245" s="6" t="str">
        <f>VLOOKUP(A:A,SUMMERY!AA:AC,3,FALSE)</f>
        <v>Priority-1</v>
      </c>
    </row>
    <row r="1246" spans="1:32" x14ac:dyDescent="0.3">
      <c r="A1246" t="s">
        <v>5837</v>
      </c>
      <c r="B1246" t="s">
        <v>1576</v>
      </c>
      <c r="G1246" t="s">
        <v>5356</v>
      </c>
      <c r="H1246" t="s">
        <v>132</v>
      </c>
      <c r="I1246" t="s">
        <v>1</v>
      </c>
      <c r="J1246" t="s">
        <v>5298</v>
      </c>
      <c r="K1246" t="s">
        <v>51</v>
      </c>
      <c r="L1246" t="s">
        <v>1577</v>
      </c>
      <c r="M1246" t="s">
        <v>134</v>
      </c>
      <c r="N1246" t="s">
        <v>135</v>
      </c>
      <c r="Q1246" t="s">
        <v>168</v>
      </c>
      <c r="U1246" t="s">
        <v>137</v>
      </c>
      <c r="V1246" t="s">
        <v>1263</v>
      </c>
      <c r="W1246" s="9">
        <v>46204.511735729167</v>
      </c>
      <c r="X1246" t="s">
        <v>69</v>
      </c>
      <c r="AA1246" t="s">
        <v>292</v>
      </c>
      <c r="AB1246" t="s">
        <v>1</v>
      </c>
      <c r="AC1246" t="s">
        <v>24</v>
      </c>
      <c r="AD1246" t="s">
        <v>128</v>
      </c>
      <c r="AE1246" s="97">
        <f>VLOOKUP(A:A,SUMMERY!AA:AC,2,FALSE)</f>
        <v>46224</v>
      </c>
      <c r="AF1246" s="6" t="str">
        <f>VLOOKUP(A:A,SUMMERY!AA:AC,3,FALSE)</f>
        <v>Priority-1</v>
      </c>
    </row>
    <row r="1247" spans="1:32" x14ac:dyDescent="0.3">
      <c r="A1247" t="s">
        <v>5839</v>
      </c>
      <c r="B1247" t="s">
        <v>1581</v>
      </c>
      <c r="G1247" t="s">
        <v>5838</v>
      </c>
      <c r="H1247" t="s">
        <v>132</v>
      </c>
      <c r="I1247" t="s">
        <v>1</v>
      </c>
      <c r="J1247" t="s">
        <v>5298</v>
      </c>
      <c r="K1247" t="s">
        <v>51</v>
      </c>
      <c r="L1247" t="s">
        <v>832</v>
      </c>
      <c r="M1247" t="s">
        <v>134</v>
      </c>
      <c r="N1247" t="s">
        <v>135</v>
      </c>
      <c r="Q1247" t="s">
        <v>168</v>
      </c>
      <c r="S1247" t="s">
        <v>168</v>
      </c>
      <c r="T1247" t="s">
        <v>169</v>
      </c>
      <c r="U1247" t="s">
        <v>137</v>
      </c>
      <c r="V1247" t="s">
        <v>147</v>
      </c>
      <c r="W1247" s="9">
        <v>46192.358609456016</v>
      </c>
      <c r="X1247" t="s">
        <v>70</v>
      </c>
      <c r="AA1247" t="s">
        <v>1579</v>
      </c>
      <c r="AB1247" t="s">
        <v>1</v>
      </c>
      <c r="AC1247" t="s">
        <v>24</v>
      </c>
      <c r="AD1247" t="s">
        <v>128</v>
      </c>
      <c r="AE1247" s="97">
        <f>VLOOKUP(A:A,SUMMERY!AA:AC,2,FALSE)</f>
        <v>46220</v>
      </c>
      <c r="AF1247" s="6" t="str">
        <f>VLOOKUP(A:A,SUMMERY!AA:AC,3,FALSE)</f>
        <v>Priority-1</v>
      </c>
    </row>
    <row r="1248" spans="1:32" x14ac:dyDescent="0.3">
      <c r="A1248" t="s">
        <v>5840</v>
      </c>
      <c r="B1248" t="s">
        <v>1583</v>
      </c>
      <c r="G1248" t="s">
        <v>5838</v>
      </c>
      <c r="H1248" t="s">
        <v>132</v>
      </c>
      <c r="I1248" t="s">
        <v>1</v>
      </c>
      <c r="J1248" t="s">
        <v>5298</v>
      </c>
      <c r="K1248" t="s">
        <v>51</v>
      </c>
      <c r="L1248" t="s">
        <v>832</v>
      </c>
      <c r="M1248" t="s">
        <v>134</v>
      </c>
      <c r="N1248" t="s">
        <v>135</v>
      </c>
      <c r="Q1248" t="s">
        <v>168</v>
      </c>
      <c r="T1248" t="s">
        <v>169</v>
      </c>
      <c r="U1248" t="s">
        <v>137</v>
      </c>
      <c r="V1248" t="s">
        <v>147</v>
      </c>
      <c r="W1248" s="9">
        <v>46192.35867947917</v>
      </c>
      <c r="X1248" t="s">
        <v>70</v>
      </c>
      <c r="AA1248" t="s">
        <v>1579</v>
      </c>
      <c r="AB1248" t="s">
        <v>1</v>
      </c>
      <c r="AC1248" t="s">
        <v>24</v>
      </c>
      <c r="AD1248" t="s">
        <v>128</v>
      </c>
      <c r="AE1248" s="97">
        <f>VLOOKUP(A:A,SUMMERY!AA:AC,2,FALSE)</f>
        <v>46220</v>
      </c>
      <c r="AF1248" s="6" t="str">
        <f>VLOOKUP(A:A,SUMMERY!AA:AC,3,FALSE)</f>
        <v>Priority-1</v>
      </c>
    </row>
    <row r="1249" spans="1:32" x14ac:dyDescent="0.3">
      <c r="A1249" t="s">
        <v>5841</v>
      </c>
      <c r="B1249" t="s">
        <v>1585</v>
      </c>
      <c r="G1249" t="s">
        <v>5838</v>
      </c>
      <c r="H1249" t="s">
        <v>132</v>
      </c>
      <c r="I1249" t="s">
        <v>1</v>
      </c>
      <c r="J1249" t="s">
        <v>5298</v>
      </c>
      <c r="K1249" t="s">
        <v>51</v>
      </c>
      <c r="L1249" t="s">
        <v>832</v>
      </c>
      <c r="M1249" t="s">
        <v>134</v>
      </c>
      <c r="N1249" t="s">
        <v>135</v>
      </c>
      <c r="Q1249" t="s">
        <v>168</v>
      </c>
      <c r="T1249" t="s">
        <v>169</v>
      </c>
      <c r="U1249" t="s">
        <v>137</v>
      </c>
      <c r="V1249" t="s">
        <v>147</v>
      </c>
      <c r="W1249" s="9">
        <v>46192.358733796296</v>
      </c>
      <c r="X1249" t="s">
        <v>70</v>
      </c>
      <c r="AA1249" t="s">
        <v>1579</v>
      </c>
      <c r="AB1249" t="s">
        <v>1</v>
      </c>
      <c r="AC1249" t="s">
        <v>24</v>
      </c>
      <c r="AD1249" t="s">
        <v>128</v>
      </c>
      <c r="AE1249" s="97">
        <f>VLOOKUP(A:A,SUMMERY!AA:AC,2,FALSE)</f>
        <v>46220</v>
      </c>
      <c r="AF1249" s="6" t="str">
        <f>VLOOKUP(A:A,SUMMERY!AA:AC,3,FALSE)</f>
        <v>Priority-1</v>
      </c>
    </row>
    <row r="1250" spans="1:32" x14ac:dyDescent="0.3">
      <c r="A1250" t="s">
        <v>5842</v>
      </c>
      <c r="B1250" t="s">
        <v>1587</v>
      </c>
      <c r="G1250" t="s">
        <v>5838</v>
      </c>
      <c r="H1250" t="s">
        <v>132</v>
      </c>
      <c r="I1250" t="s">
        <v>1</v>
      </c>
      <c r="J1250" t="s">
        <v>5298</v>
      </c>
      <c r="K1250" t="s">
        <v>51</v>
      </c>
      <c r="L1250" t="s">
        <v>841</v>
      </c>
      <c r="M1250" t="s">
        <v>134</v>
      </c>
      <c r="N1250" t="s">
        <v>135</v>
      </c>
      <c r="Q1250" t="s">
        <v>168</v>
      </c>
      <c r="T1250" t="s">
        <v>169</v>
      </c>
      <c r="U1250" t="s">
        <v>137</v>
      </c>
      <c r="V1250" t="s">
        <v>150</v>
      </c>
      <c r="W1250" s="9">
        <v>46192.358808414348</v>
      </c>
      <c r="X1250" t="s">
        <v>76</v>
      </c>
      <c r="AA1250" t="s">
        <v>1579</v>
      </c>
      <c r="AB1250" t="s">
        <v>1</v>
      </c>
      <c r="AC1250" t="s">
        <v>24</v>
      </c>
      <c r="AD1250" t="s">
        <v>128</v>
      </c>
      <c r="AE1250" s="97">
        <f>VLOOKUP(A:A,SUMMERY!AA:AC,2,FALSE)</f>
        <v>46233</v>
      </c>
      <c r="AF1250" s="6" t="str">
        <f>VLOOKUP(A:A,SUMMERY!AA:AC,3,FALSE)</f>
        <v>Priority-1</v>
      </c>
    </row>
    <row r="1251" spans="1:32" x14ac:dyDescent="0.3">
      <c r="A1251" t="s">
        <v>5843</v>
      </c>
      <c r="B1251" t="s">
        <v>1589</v>
      </c>
      <c r="G1251" t="s">
        <v>5838</v>
      </c>
      <c r="H1251" t="s">
        <v>132</v>
      </c>
      <c r="I1251" t="s">
        <v>1</v>
      </c>
      <c r="J1251" t="s">
        <v>5298</v>
      </c>
      <c r="K1251" t="s">
        <v>51</v>
      </c>
      <c r="L1251" t="s">
        <v>841</v>
      </c>
      <c r="M1251" t="s">
        <v>134</v>
      </c>
      <c r="N1251" t="s">
        <v>135</v>
      </c>
      <c r="Q1251" t="s">
        <v>168</v>
      </c>
      <c r="T1251" t="s">
        <v>169</v>
      </c>
      <c r="U1251" t="s">
        <v>137</v>
      </c>
      <c r="V1251" t="s">
        <v>150</v>
      </c>
      <c r="W1251" s="9">
        <v>46192.358541516202</v>
      </c>
      <c r="X1251" t="s">
        <v>76</v>
      </c>
      <c r="AA1251" t="s">
        <v>1579</v>
      </c>
      <c r="AB1251" t="s">
        <v>1</v>
      </c>
      <c r="AC1251" t="s">
        <v>24</v>
      </c>
      <c r="AD1251" t="s">
        <v>128</v>
      </c>
      <c r="AE1251" s="97">
        <f>VLOOKUP(A:A,SUMMERY!AA:AC,2,FALSE)</f>
        <v>46233</v>
      </c>
      <c r="AF1251" s="6" t="str">
        <f>VLOOKUP(A:A,SUMMERY!AA:AC,3,FALSE)</f>
        <v>Priority-1</v>
      </c>
    </row>
    <row r="1252" spans="1:32" x14ac:dyDescent="0.3">
      <c r="A1252" t="s">
        <v>5844</v>
      </c>
      <c r="B1252" t="s">
        <v>1591</v>
      </c>
      <c r="G1252" t="s">
        <v>5838</v>
      </c>
      <c r="H1252" t="s">
        <v>132</v>
      </c>
      <c r="I1252" t="s">
        <v>1</v>
      </c>
      <c r="J1252" t="s">
        <v>5298</v>
      </c>
      <c r="K1252" t="s">
        <v>51</v>
      </c>
      <c r="L1252" t="s">
        <v>841</v>
      </c>
      <c r="M1252" t="s">
        <v>134</v>
      </c>
      <c r="N1252" t="s">
        <v>135</v>
      </c>
      <c r="Q1252" t="s">
        <v>168</v>
      </c>
      <c r="T1252" t="s">
        <v>169</v>
      </c>
      <c r="U1252" t="s">
        <v>137</v>
      </c>
      <c r="V1252" t="s">
        <v>150</v>
      </c>
      <c r="W1252" s="9">
        <v>46192.360319988424</v>
      </c>
      <c r="X1252" t="s">
        <v>76</v>
      </c>
      <c r="AA1252" t="s">
        <v>1579</v>
      </c>
      <c r="AB1252" t="s">
        <v>1</v>
      </c>
      <c r="AC1252" t="s">
        <v>24</v>
      </c>
      <c r="AD1252" t="s">
        <v>128</v>
      </c>
      <c r="AE1252" s="97">
        <f>VLOOKUP(A:A,SUMMERY!AA:AC,2,FALSE)</f>
        <v>46233</v>
      </c>
      <c r="AF1252" s="6" t="str">
        <f>VLOOKUP(A:A,SUMMERY!AA:AC,3,FALSE)</f>
        <v>Priority-1</v>
      </c>
    </row>
    <row r="1253" spans="1:32" x14ac:dyDescent="0.3">
      <c r="A1253" t="s">
        <v>5860</v>
      </c>
      <c r="B1253" t="s">
        <v>1623</v>
      </c>
      <c r="G1253" t="s">
        <v>5838</v>
      </c>
      <c r="H1253" t="s">
        <v>132</v>
      </c>
      <c r="I1253" t="s">
        <v>1</v>
      </c>
      <c r="J1253" t="s">
        <v>5298</v>
      </c>
      <c r="K1253" t="s">
        <v>51</v>
      </c>
      <c r="L1253" t="s">
        <v>1624</v>
      </c>
      <c r="M1253" t="s">
        <v>134</v>
      </c>
      <c r="N1253" t="s">
        <v>135</v>
      </c>
      <c r="Q1253" t="s">
        <v>168</v>
      </c>
      <c r="T1253" t="s">
        <v>169</v>
      </c>
      <c r="U1253" t="s">
        <v>137</v>
      </c>
      <c r="V1253" t="s">
        <v>147</v>
      </c>
      <c r="W1253" s="9">
        <v>46192.204348182873</v>
      </c>
      <c r="X1253" t="s">
        <v>70</v>
      </c>
      <c r="AA1253" t="s">
        <v>1579</v>
      </c>
      <c r="AB1253" t="s">
        <v>1</v>
      </c>
      <c r="AC1253" t="s">
        <v>24</v>
      </c>
      <c r="AD1253" t="s">
        <v>128</v>
      </c>
      <c r="AE1253" s="97">
        <f>VLOOKUP(A:A,SUMMERY!AA:AC,2,FALSE)</f>
        <v>46220</v>
      </c>
      <c r="AF1253" s="6" t="str">
        <f>VLOOKUP(A:A,SUMMERY!AA:AC,3,FALSE)</f>
        <v>Priority-1</v>
      </c>
    </row>
    <row r="1254" spans="1:32" x14ac:dyDescent="0.3">
      <c r="A1254" t="s">
        <v>5861</v>
      </c>
      <c r="B1254" t="s">
        <v>1626</v>
      </c>
      <c r="G1254" t="s">
        <v>5838</v>
      </c>
      <c r="H1254" t="s">
        <v>132</v>
      </c>
      <c r="I1254" t="s">
        <v>1</v>
      </c>
      <c r="J1254" t="s">
        <v>5298</v>
      </c>
      <c r="K1254" t="s">
        <v>51</v>
      </c>
      <c r="L1254" t="s">
        <v>1624</v>
      </c>
      <c r="M1254" t="s">
        <v>134</v>
      </c>
      <c r="N1254" t="s">
        <v>135</v>
      </c>
      <c r="Q1254" t="s">
        <v>168</v>
      </c>
      <c r="T1254" t="s">
        <v>169</v>
      </c>
      <c r="U1254" t="s">
        <v>137</v>
      </c>
      <c r="V1254" t="s">
        <v>147</v>
      </c>
      <c r="W1254" s="9">
        <v>46192.359291666668</v>
      </c>
      <c r="X1254" t="s">
        <v>70</v>
      </c>
      <c r="AA1254" t="s">
        <v>1579</v>
      </c>
      <c r="AB1254" t="s">
        <v>1</v>
      </c>
      <c r="AC1254" t="s">
        <v>24</v>
      </c>
      <c r="AD1254" t="s">
        <v>128</v>
      </c>
      <c r="AE1254" s="97">
        <f>VLOOKUP(A:A,SUMMERY!AA:AC,2,FALSE)</f>
        <v>46220</v>
      </c>
      <c r="AF1254" s="6" t="str">
        <f>VLOOKUP(A:A,SUMMERY!AA:AC,3,FALSE)</f>
        <v>Priority-1</v>
      </c>
    </row>
    <row r="1255" spans="1:32" x14ac:dyDescent="0.3">
      <c r="A1255" t="s">
        <v>5862</v>
      </c>
      <c r="B1255" t="s">
        <v>1628</v>
      </c>
      <c r="G1255" t="s">
        <v>5838</v>
      </c>
      <c r="H1255" t="s">
        <v>132</v>
      </c>
      <c r="I1255" t="s">
        <v>1</v>
      </c>
      <c r="J1255" t="s">
        <v>5298</v>
      </c>
      <c r="K1255" t="s">
        <v>51</v>
      </c>
      <c r="L1255" t="s">
        <v>1629</v>
      </c>
      <c r="M1255" t="s">
        <v>134</v>
      </c>
      <c r="N1255" t="s">
        <v>135</v>
      </c>
      <c r="Q1255" t="s">
        <v>168</v>
      </c>
      <c r="T1255" t="s">
        <v>169</v>
      </c>
      <c r="U1255" t="s">
        <v>137</v>
      </c>
      <c r="V1255" t="s">
        <v>147</v>
      </c>
      <c r="W1255" s="9">
        <v>46192.193146493053</v>
      </c>
      <c r="X1255" t="s">
        <v>70</v>
      </c>
      <c r="AA1255" t="s">
        <v>1579</v>
      </c>
      <c r="AB1255" t="s">
        <v>1</v>
      </c>
      <c r="AC1255" t="s">
        <v>24</v>
      </c>
      <c r="AD1255" t="s">
        <v>128</v>
      </c>
      <c r="AE1255" s="97">
        <f>VLOOKUP(A:A,SUMMERY!AA:AC,2,FALSE)</f>
        <v>46220</v>
      </c>
      <c r="AF1255" s="6" t="str">
        <f>VLOOKUP(A:A,SUMMERY!AA:AC,3,FALSE)</f>
        <v>Priority-1</v>
      </c>
    </row>
    <row r="1256" spans="1:32" x14ac:dyDescent="0.3">
      <c r="A1256" t="s">
        <v>5863</v>
      </c>
      <c r="B1256" t="s">
        <v>1631</v>
      </c>
      <c r="G1256" t="s">
        <v>5838</v>
      </c>
      <c r="H1256" t="s">
        <v>132</v>
      </c>
      <c r="I1256" t="s">
        <v>1</v>
      </c>
      <c r="J1256" t="s">
        <v>5298</v>
      </c>
      <c r="K1256" t="s">
        <v>51</v>
      </c>
      <c r="L1256" t="s">
        <v>1624</v>
      </c>
      <c r="M1256" t="s">
        <v>134</v>
      </c>
      <c r="N1256" t="s">
        <v>135</v>
      </c>
      <c r="Q1256" t="s">
        <v>168</v>
      </c>
      <c r="T1256" t="s">
        <v>169</v>
      </c>
      <c r="U1256" t="s">
        <v>137</v>
      </c>
      <c r="V1256" t="s">
        <v>147</v>
      </c>
      <c r="W1256" s="9">
        <v>46192.360416747688</v>
      </c>
      <c r="X1256" t="s">
        <v>70</v>
      </c>
      <c r="AA1256" t="s">
        <v>1579</v>
      </c>
      <c r="AB1256" t="s">
        <v>1</v>
      </c>
      <c r="AC1256" t="s">
        <v>24</v>
      </c>
      <c r="AD1256" t="s">
        <v>128</v>
      </c>
      <c r="AE1256" s="97">
        <f>VLOOKUP(A:A,SUMMERY!AA:AC,2,FALSE)</f>
        <v>46220</v>
      </c>
      <c r="AF1256" s="6" t="str">
        <f>VLOOKUP(A:A,SUMMERY!AA:AC,3,FALSE)</f>
        <v>Priority-1</v>
      </c>
    </row>
    <row r="1257" spans="1:32" x14ac:dyDescent="0.3">
      <c r="A1257" t="s">
        <v>5864</v>
      </c>
      <c r="B1257" t="s">
        <v>1637</v>
      </c>
      <c r="G1257" t="s">
        <v>5838</v>
      </c>
      <c r="H1257" t="s">
        <v>132</v>
      </c>
      <c r="I1257" t="s">
        <v>1</v>
      </c>
      <c r="J1257" t="s">
        <v>5298</v>
      </c>
      <c r="K1257" t="s">
        <v>51</v>
      </c>
      <c r="L1257" t="s">
        <v>1638</v>
      </c>
      <c r="M1257" t="s">
        <v>134</v>
      </c>
      <c r="N1257" t="s">
        <v>135</v>
      </c>
      <c r="Q1257" t="s">
        <v>168</v>
      </c>
      <c r="T1257" t="s">
        <v>169</v>
      </c>
      <c r="U1257" t="s">
        <v>137</v>
      </c>
      <c r="V1257" t="s">
        <v>147</v>
      </c>
      <c r="W1257" s="9">
        <v>46192.359840972225</v>
      </c>
      <c r="X1257" t="s">
        <v>70</v>
      </c>
      <c r="AA1257" t="s">
        <v>1579</v>
      </c>
      <c r="AB1257" t="s">
        <v>1</v>
      </c>
      <c r="AC1257" t="s">
        <v>24</v>
      </c>
      <c r="AD1257" t="s">
        <v>128</v>
      </c>
      <c r="AE1257" s="97">
        <f>VLOOKUP(A:A,SUMMERY!AA:AC,2,FALSE)</f>
        <v>46220</v>
      </c>
      <c r="AF1257" s="6" t="str">
        <f>VLOOKUP(A:A,SUMMERY!AA:AC,3,FALSE)</f>
        <v>Priority-1</v>
      </c>
    </row>
    <row r="1258" spans="1:32" x14ac:dyDescent="0.3">
      <c r="A1258" t="s">
        <v>5865</v>
      </c>
      <c r="B1258" t="s">
        <v>1640</v>
      </c>
      <c r="G1258" t="s">
        <v>5838</v>
      </c>
      <c r="H1258" t="s">
        <v>132</v>
      </c>
      <c r="I1258" t="s">
        <v>1</v>
      </c>
      <c r="J1258" t="s">
        <v>5298</v>
      </c>
      <c r="K1258" t="s">
        <v>51</v>
      </c>
      <c r="L1258" t="s">
        <v>1641</v>
      </c>
      <c r="M1258" t="s">
        <v>134</v>
      </c>
      <c r="N1258" t="s">
        <v>135</v>
      </c>
      <c r="Q1258" t="s">
        <v>168</v>
      </c>
      <c r="T1258" t="s">
        <v>169</v>
      </c>
      <c r="U1258" t="s">
        <v>137</v>
      </c>
      <c r="V1258" t="s">
        <v>147</v>
      </c>
      <c r="W1258" s="9">
        <v>46200.395843055558</v>
      </c>
      <c r="X1258" t="s">
        <v>70</v>
      </c>
      <c r="AA1258" t="s">
        <v>1579</v>
      </c>
      <c r="AB1258" t="s">
        <v>1</v>
      </c>
      <c r="AC1258" t="s">
        <v>24</v>
      </c>
      <c r="AD1258" t="s">
        <v>128</v>
      </c>
      <c r="AE1258" s="97">
        <f>VLOOKUP(A:A,SUMMERY!AA:AC,2,FALSE)</f>
        <v>46220</v>
      </c>
      <c r="AF1258" s="6" t="str">
        <f>VLOOKUP(A:A,SUMMERY!AA:AC,3,FALSE)</f>
        <v>Priority-1</v>
      </c>
    </row>
    <row r="1259" spans="1:32" x14ac:dyDescent="0.3">
      <c r="A1259" t="s">
        <v>5866</v>
      </c>
      <c r="B1259" t="s">
        <v>1643</v>
      </c>
      <c r="G1259" t="s">
        <v>5838</v>
      </c>
      <c r="H1259" t="s">
        <v>132</v>
      </c>
      <c r="I1259" t="s">
        <v>1</v>
      </c>
      <c r="J1259" t="s">
        <v>5298</v>
      </c>
      <c r="K1259" t="s">
        <v>51</v>
      </c>
      <c r="L1259" t="s">
        <v>1644</v>
      </c>
      <c r="M1259" t="s">
        <v>134</v>
      </c>
      <c r="N1259" t="s">
        <v>135</v>
      </c>
      <c r="Q1259" t="s">
        <v>168</v>
      </c>
      <c r="T1259" t="s">
        <v>169</v>
      </c>
      <c r="U1259" t="s">
        <v>137</v>
      </c>
      <c r="V1259" t="s">
        <v>150</v>
      </c>
      <c r="W1259" s="9">
        <v>46192.360211539351</v>
      </c>
      <c r="X1259" t="s">
        <v>76</v>
      </c>
      <c r="AA1259" t="s">
        <v>1579</v>
      </c>
      <c r="AB1259" t="s">
        <v>1</v>
      </c>
      <c r="AC1259" t="s">
        <v>24</v>
      </c>
      <c r="AD1259" t="s">
        <v>128</v>
      </c>
      <c r="AE1259" s="97">
        <f>VLOOKUP(A:A,SUMMERY!AA:AC,2,FALSE)</f>
        <v>46233</v>
      </c>
      <c r="AF1259" s="6" t="str">
        <f>VLOOKUP(A:A,SUMMERY!AA:AC,3,FALSE)</f>
        <v>Priority-1</v>
      </c>
    </row>
    <row r="1260" spans="1:32" x14ac:dyDescent="0.3">
      <c r="A1260" t="s">
        <v>5867</v>
      </c>
      <c r="B1260" t="s">
        <v>1646</v>
      </c>
      <c r="G1260" t="s">
        <v>5838</v>
      </c>
      <c r="H1260" t="s">
        <v>132</v>
      </c>
      <c r="I1260" t="s">
        <v>1</v>
      </c>
      <c r="J1260" t="s">
        <v>5298</v>
      </c>
      <c r="K1260" t="s">
        <v>51</v>
      </c>
      <c r="L1260" t="s">
        <v>1644</v>
      </c>
      <c r="M1260" t="s">
        <v>134</v>
      </c>
      <c r="N1260" t="s">
        <v>135</v>
      </c>
      <c r="Q1260" t="s">
        <v>168</v>
      </c>
      <c r="T1260" t="s">
        <v>169</v>
      </c>
      <c r="U1260" t="s">
        <v>137</v>
      </c>
      <c r="V1260" t="s">
        <v>150</v>
      </c>
      <c r="W1260" s="9">
        <v>46192.360911724536</v>
      </c>
      <c r="X1260" t="s">
        <v>76</v>
      </c>
      <c r="AA1260" t="s">
        <v>1579</v>
      </c>
      <c r="AB1260" t="s">
        <v>1</v>
      </c>
      <c r="AC1260" t="s">
        <v>24</v>
      </c>
      <c r="AD1260" t="s">
        <v>128</v>
      </c>
      <c r="AE1260" s="97">
        <f>VLOOKUP(A:A,SUMMERY!AA:AC,2,FALSE)</f>
        <v>46233</v>
      </c>
      <c r="AF1260" s="6" t="str">
        <f>VLOOKUP(A:A,SUMMERY!AA:AC,3,FALSE)</f>
        <v>Priority-1</v>
      </c>
    </row>
    <row r="1261" spans="1:32" x14ac:dyDescent="0.3">
      <c r="A1261" t="s">
        <v>5868</v>
      </c>
      <c r="B1261" t="s">
        <v>1648</v>
      </c>
      <c r="G1261" t="s">
        <v>5838</v>
      </c>
      <c r="H1261" t="s">
        <v>132</v>
      </c>
      <c r="I1261" t="s">
        <v>1</v>
      </c>
      <c r="J1261" t="s">
        <v>5298</v>
      </c>
      <c r="K1261" t="s">
        <v>51</v>
      </c>
      <c r="L1261" t="s">
        <v>1649</v>
      </c>
      <c r="M1261" t="s">
        <v>134</v>
      </c>
      <c r="N1261" t="s">
        <v>135</v>
      </c>
      <c r="Q1261" t="s">
        <v>168</v>
      </c>
      <c r="T1261" t="s">
        <v>169</v>
      </c>
      <c r="U1261" t="s">
        <v>137</v>
      </c>
      <c r="V1261" t="s">
        <v>150</v>
      </c>
      <c r="W1261" s="9">
        <v>46192.357156284721</v>
      </c>
      <c r="X1261" t="s">
        <v>76</v>
      </c>
      <c r="AA1261" t="s">
        <v>1579</v>
      </c>
      <c r="AB1261" t="s">
        <v>1</v>
      </c>
      <c r="AC1261" t="s">
        <v>24</v>
      </c>
      <c r="AD1261" t="s">
        <v>128</v>
      </c>
      <c r="AE1261" s="97">
        <f>VLOOKUP(A:A,SUMMERY!AA:AC,2,FALSE)</f>
        <v>46233</v>
      </c>
      <c r="AF1261" s="6" t="str">
        <f>VLOOKUP(A:A,SUMMERY!AA:AC,3,FALSE)</f>
        <v>Priority-1</v>
      </c>
    </row>
    <row r="1262" spans="1:32" x14ac:dyDescent="0.3">
      <c r="A1262" t="s">
        <v>5869</v>
      </c>
      <c r="B1262" t="s">
        <v>1651</v>
      </c>
      <c r="G1262" t="s">
        <v>5838</v>
      </c>
      <c r="H1262" t="s">
        <v>132</v>
      </c>
      <c r="I1262" t="s">
        <v>1</v>
      </c>
      <c r="J1262" t="s">
        <v>5298</v>
      </c>
      <c r="K1262" t="s">
        <v>51</v>
      </c>
      <c r="L1262" t="s">
        <v>1644</v>
      </c>
      <c r="M1262" t="s">
        <v>134</v>
      </c>
      <c r="N1262" t="s">
        <v>135</v>
      </c>
      <c r="Q1262" t="s">
        <v>168</v>
      </c>
      <c r="T1262" t="s">
        <v>169</v>
      </c>
      <c r="U1262" t="s">
        <v>137</v>
      </c>
      <c r="V1262" t="s">
        <v>150</v>
      </c>
      <c r="W1262" s="9">
        <v>46192.204914351852</v>
      </c>
      <c r="X1262" t="s">
        <v>76</v>
      </c>
      <c r="AA1262" t="s">
        <v>1579</v>
      </c>
      <c r="AB1262" t="s">
        <v>1</v>
      </c>
      <c r="AC1262" t="s">
        <v>24</v>
      </c>
      <c r="AD1262" t="s">
        <v>128</v>
      </c>
      <c r="AE1262" s="97">
        <f>VLOOKUP(A:A,SUMMERY!AA:AC,2,FALSE)</f>
        <v>46233</v>
      </c>
      <c r="AF1262" s="6" t="str">
        <f>VLOOKUP(A:A,SUMMERY!AA:AC,3,FALSE)</f>
        <v>Priority-1</v>
      </c>
    </row>
    <row r="1263" spans="1:32" x14ac:dyDescent="0.3">
      <c r="A1263" t="s">
        <v>5870</v>
      </c>
      <c r="B1263" t="s">
        <v>1657</v>
      </c>
      <c r="G1263" t="s">
        <v>5838</v>
      </c>
      <c r="H1263" t="s">
        <v>132</v>
      </c>
      <c r="I1263" t="s">
        <v>1</v>
      </c>
      <c r="J1263" t="s">
        <v>5298</v>
      </c>
      <c r="K1263" t="s">
        <v>51</v>
      </c>
      <c r="L1263" t="s">
        <v>1658</v>
      </c>
      <c r="M1263" t="s">
        <v>134</v>
      </c>
      <c r="N1263" t="s">
        <v>135</v>
      </c>
      <c r="Q1263" t="s">
        <v>168</v>
      </c>
      <c r="T1263" t="s">
        <v>169</v>
      </c>
      <c r="U1263" t="s">
        <v>137</v>
      </c>
      <c r="V1263" t="s">
        <v>150</v>
      </c>
      <c r="W1263" s="9">
        <v>46192.361312037036</v>
      </c>
      <c r="X1263" t="s">
        <v>76</v>
      </c>
      <c r="AA1263" t="s">
        <v>1579</v>
      </c>
      <c r="AB1263" t="s">
        <v>1</v>
      </c>
      <c r="AC1263" t="s">
        <v>24</v>
      </c>
      <c r="AD1263" t="s">
        <v>128</v>
      </c>
      <c r="AE1263" s="97">
        <f>VLOOKUP(A:A,SUMMERY!AA:AC,2,FALSE)</f>
        <v>46233</v>
      </c>
      <c r="AF1263" s="6" t="str">
        <f>VLOOKUP(A:A,SUMMERY!AA:AC,3,FALSE)</f>
        <v>Priority-1</v>
      </c>
    </row>
    <row r="1264" spans="1:32" x14ac:dyDescent="0.3">
      <c r="A1264" t="s">
        <v>5871</v>
      </c>
      <c r="B1264" t="s">
        <v>1660</v>
      </c>
      <c r="G1264" t="s">
        <v>5838</v>
      </c>
      <c r="H1264" t="s">
        <v>132</v>
      </c>
      <c r="I1264" t="s">
        <v>1</v>
      </c>
      <c r="J1264" t="s">
        <v>5298</v>
      </c>
      <c r="K1264" t="s">
        <v>51</v>
      </c>
      <c r="L1264" t="s">
        <v>1661</v>
      </c>
      <c r="M1264" t="s">
        <v>134</v>
      </c>
      <c r="N1264" t="s">
        <v>135</v>
      </c>
      <c r="Q1264" t="s">
        <v>168</v>
      </c>
      <c r="T1264" t="s">
        <v>169</v>
      </c>
      <c r="U1264" t="s">
        <v>137</v>
      </c>
      <c r="V1264" t="s">
        <v>150</v>
      </c>
      <c r="W1264" s="9">
        <v>46200.396603553243</v>
      </c>
      <c r="X1264" t="s">
        <v>76</v>
      </c>
      <c r="AA1264" t="s">
        <v>1579</v>
      </c>
      <c r="AB1264" t="s">
        <v>1</v>
      </c>
      <c r="AC1264" t="s">
        <v>24</v>
      </c>
      <c r="AD1264" t="s">
        <v>128</v>
      </c>
      <c r="AE1264" s="97">
        <f>VLOOKUP(A:A,SUMMERY!AA:AC,2,FALSE)</f>
        <v>46233</v>
      </c>
      <c r="AF1264" s="6" t="str">
        <f>VLOOKUP(A:A,SUMMERY!AA:AC,3,FALSE)</f>
        <v>Priority-1</v>
      </c>
    </row>
    <row r="1265" spans="1:32" x14ac:dyDescent="0.3">
      <c r="A1265" t="s">
        <v>5902</v>
      </c>
      <c r="B1265" t="s">
        <v>1792</v>
      </c>
      <c r="G1265" t="s">
        <v>5903</v>
      </c>
      <c r="H1265" t="s">
        <v>132</v>
      </c>
      <c r="I1265" t="s">
        <v>1</v>
      </c>
      <c r="J1265" t="s">
        <v>5298</v>
      </c>
      <c r="K1265" t="s">
        <v>51</v>
      </c>
      <c r="L1265" t="s">
        <v>1794</v>
      </c>
      <c r="M1265" t="s">
        <v>134</v>
      </c>
      <c r="N1265" t="s">
        <v>135</v>
      </c>
      <c r="Q1265" t="s">
        <v>1765</v>
      </c>
      <c r="U1265" t="s">
        <v>137</v>
      </c>
      <c r="V1265" t="s">
        <v>890</v>
      </c>
      <c r="X1265" t="s">
        <v>59</v>
      </c>
      <c r="AA1265" t="s">
        <v>5904</v>
      </c>
      <c r="AB1265" t="s">
        <v>1</v>
      </c>
      <c r="AC1265" t="s">
        <v>138</v>
      </c>
      <c r="AD1265" t="s">
        <v>128</v>
      </c>
      <c r="AE1265" s="97">
        <f>VLOOKUP(A:A,SUMMERY!AA:AC,2,FALSE)</f>
        <v>46220</v>
      </c>
      <c r="AF1265" s="6" t="str">
        <f>VLOOKUP(A:A,SUMMERY!AA:AC,3,FALSE)</f>
        <v>Priority-1</v>
      </c>
    </row>
    <row r="1266" spans="1:32" x14ac:dyDescent="0.3">
      <c r="A1266" t="s">
        <v>5905</v>
      </c>
      <c r="B1266" t="s">
        <v>1797</v>
      </c>
      <c r="G1266" t="s">
        <v>5903</v>
      </c>
      <c r="H1266" t="s">
        <v>132</v>
      </c>
      <c r="I1266" t="s">
        <v>1</v>
      </c>
      <c r="J1266" t="s">
        <v>5298</v>
      </c>
      <c r="K1266" t="s">
        <v>51</v>
      </c>
      <c r="L1266" t="s">
        <v>1798</v>
      </c>
      <c r="M1266" t="s">
        <v>134</v>
      </c>
      <c r="N1266" t="s">
        <v>135</v>
      </c>
      <c r="Q1266" t="s">
        <v>1765</v>
      </c>
      <c r="U1266" t="s">
        <v>137</v>
      </c>
      <c r="V1266" t="s">
        <v>897</v>
      </c>
      <c r="X1266" t="s">
        <v>64</v>
      </c>
      <c r="AA1266" t="s">
        <v>5904</v>
      </c>
      <c r="AB1266" t="s">
        <v>1</v>
      </c>
      <c r="AC1266" t="s">
        <v>138</v>
      </c>
      <c r="AD1266" t="s">
        <v>128</v>
      </c>
      <c r="AE1266" s="97">
        <f>VLOOKUP(A:A,SUMMERY!AA:AC,2,FALSE)</f>
        <v>46233</v>
      </c>
      <c r="AF1266" s="6" t="str">
        <f>VLOOKUP(A:A,SUMMERY!AA:AC,3,FALSE)</f>
        <v>Priority-1</v>
      </c>
    </row>
    <row r="1267" spans="1:32" x14ac:dyDescent="0.3">
      <c r="A1267" t="s">
        <v>5911</v>
      </c>
      <c r="B1267" t="s">
        <v>1815</v>
      </c>
      <c r="G1267" t="s">
        <v>5903</v>
      </c>
      <c r="H1267" t="s">
        <v>132</v>
      </c>
      <c r="I1267" t="s">
        <v>1</v>
      </c>
      <c r="J1267" t="s">
        <v>5298</v>
      </c>
      <c r="K1267" t="s">
        <v>51</v>
      </c>
      <c r="L1267" t="s">
        <v>1816</v>
      </c>
      <c r="M1267" t="s">
        <v>134</v>
      </c>
      <c r="N1267" t="s">
        <v>135</v>
      </c>
      <c r="Q1267" t="s">
        <v>1765</v>
      </c>
      <c r="U1267" t="s">
        <v>137</v>
      </c>
      <c r="V1267" t="s">
        <v>352</v>
      </c>
      <c r="X1267" t="s">
        <v>56</v>
      </c>
      <c r="AA1267" t="s">
        <v>5904</v>
      </c>
      <c r="AB1267" t="s">
        <v>1</v>
      </c>
      <c r="AC1267" t="s">
        <v>138</v>
      </c>
      <c r="AD1267" t="s">
        <v>128</v>
      </c>
      <c r="AE1267" s="97">
        <f>VLOOKUP(A:A,SUMMERY!AA:AC,2,FALSE)</f>
        <v>46233</v>
      </c>
      <c r="AF1267" s="6" t="str">
        <f>VLOOKUP(A:A,SUMMERY!AA:AC,3,FALSE)</f>
        <v>Priority-1</v>
      </c>
    </row>
    <row r="1268" spans="1:32" x14ac:dyDescent="0.3">
      <c r="A1268" t="s">
        <v>5912</v>
      </c>
      <c r="B1268" t="s">
        <v>1818</v>
      </c>
      <c r="G1268" t="s">
        <v>5903</v>
      </c>
      <c r="H1268" t="s">
        <v>132</v>
      </c>
      <c r="I1268" t="s">
        <v>1</v>
      </c>
      <c r="J1268" t="s">
        <v>5298</v>
      </c>
      <c r="K1268" t="s">
        <v>51</v>
      </c>
      <c r="L1268" t="s">
        <v>1819</v>
      </c>
      <c r="M1268" t="s">
        <v>134</v>
      </c>
      <c r="N1268" t="s">
        <v>135</v>
      </c>
      <c r="Q1268" t="s">
        <v>1765</v>
      </c>
      <c r="U1268" t="s">
        <v>137</v>
      </c>
      <c r="V1268" t="s">
        <v>324</v>
      </c>
      <c r="X1268" t="s">
        <v>60</v>
      </c>
      <c r="AA1268" t="s">
        <v>5904</v>
      </c>
      <c r="AB1268" t="s">
        <v>1</v>
      </c>
      <c r="AC1268" t="s">
        <v>138</v>
      </c>
      <c r="AD1268" t="s">
        <v>128</v>
      </c>
      <c r="AE1268" s="97">
        <f>VLOOKUP(A:A,SUMMERY!AA:AC,2,FALSE)</f>
        <v>46220</v>
      </c>
      <c r="AF1268" s="6" t="str">
        <f>VLOOKUP(A:A,SUMMERY!AA:AC,3,FALSE)</f>
        <v>Priority-1</v>
      </c>
    </row>
    <row r="1269" spans="1:32" x14ac:dyDescent="0.3">
      <c r="A1269" t="s">
        <v>5913</v>
      </c>
      <c r="B1269" t="s">
        <v>1821</v>
      </c>
      <c r="G1269" t="s">
        <v>5903</v>
      </c>
      <c r="H1269" t="s">
        <v>132</v>
      </c>
      <c r="I1269" t="s">
        <v>1</v>
      </c>
      <c r="J1269" t="s">
        <v>5298</v>
      </c>
      <c r="K1269" t="s">
        <v>51</v>
      </c>
      <c r="L1269" t="s">
        <v>1822</v>
      </c>
      <c r="M1269" t="s">
        <v>134</v>
      </c>
      <c r="N1269" t="s">
        <v>135</v>
      </c>
      <c r="Q1269" t="s">
        <v>1765</v>
      </c>
      <c r="U1269" t="s">
        <v>137</v>
      </c>
      <c r="V1269" t="s">
        <v>328</v>
      </c>
      <c r="X1269" t="s">
        <v>65</v>
      </c>
      <c r="AA1269" t="s">
        <v>5904</v>
      </c>
      <c r="AB1269" t="s">
        <v>1</v>
      </c>
      <c r="AC1269" t="s">
        <v>138</v>
      </c>
      <c r="AD1269" t="s">
        <v>128</v>
      </c>
      <c r="AE1269" s="97">
        <f>VLOOKUP(A:A,SUMMERY!AA:AC,2,FALSE)</f>
        <v>46233</v>
      </c>
      <c r="AF1269" s="6" t="str">
        <f>VLOOKUP(A:A,SUMMERY!AA:AC,3,FALSE)</f>
        <v>Priority-1</v>
      </c>
    </row>
    <row r="1270" spans="1:32" x14ac:dyDescent="0.3">
      <c r="A1270" t="s">
        <v>5919</v>
      </c>
      <c r="B1270" t="s">
        <v>1839</v>
      </c>
      <c r="G1270" t="s">
        <v>5903</v>
      </c>
      <c r="H1270" t="s">
        <v>132</v>
      </c>
      <c r="I1270" t="s">
        <v>1</v>
      </c>
      <c r="J1270" t="s">
        <v>5298</v>
      </c>
      <c r="K1270" t="s">
        <v>51</v>
      </c>
      <c r="L1270" t="s">
        <v>1840</v>
      </c>
      <c r="M1270" t="s">
        <v>134</v>
      </c>
      <c r="N1270" t="s">
        <v>135</v>
      </c>
      <c r="Q1270" t="s">
        <v>1765</v>
      </c>
      <c r="U1270" t="s">
        <v>137</v>
      </c>
      <c r="V1270" t="s">
        <v>352</v>
      </c>
      <c r="X1270" t="s">
        <v>56</v>
      </c>
      <c r="AA1270" t="s">
        <v>5904</v>
      </c>
      <c r="AB1270" t="s">
        <v>1</v>
      </c>
      <c r="AC1270" t="s">
        <v>138</v>
      </c>
      <c r="AD1270" t="s">
        <v>128</v>
      </c>
      <c r="AE1270" s="97">
        <f>VLOOKUP(A:A,SUMMERY!AA:AC,2,FALSE)</f>
        <v>46233</v>
      </c>
      <c r="AF1270" s="6" t="str">
        <f>VLOOKUP(A:A,SUMMERY!AA:AC,3,FALSE)</f>
        <v>Priority-1</v>
      </c>
    </row>
    <row r="1271" spans="1:32" x14ac:dyDescent="0.3">
      <c r="A1271" t="s">
        <v>5920</v>
      </c>
      <c r="B1271" t="s">
        <v>1842</v>
      </c>
      <c r="G1271" t="s">
        <v>5903</v>
      </c>
      <c r="H1271" t="s">
        <v>132</v>
      </c>
      <c r="I1271" t="s">
        <v>1</v>
      </c>
      <c r="J1271" t="s">
        <v>5298</v>
      </c>
      <c r="K1271" t="s">
        <v>51</v>
      </c>
      <c r="L1271" t="s">
        <v>1843</v>
      </c>
      <c r="M1271" t="s">
        <v>134</v>
      </c>
      <c r="N1271" t="s">
        <v>135</v>
      </c>
      <c r="Q1271" t="s">
        <v>1765</v>
      </c>
      <c r="U1271" t="s">
        <v>137</v>
      </c>
      <c r="V1271" t="s">
        <v>147</v>
      </c>
      <c r="X1271" t="s">
        <v>70</v>
      </c>
      <c r="AA1271" t="s">
        <v>5904</v>
      </c>
      <c r="AB1271" t="s">
        <v>1</v>
      </c>
      <c r="AC1271" t="s">
        <v>138</v>
      </c>
      <c r="AD1271" t="s">
        <v>128</v>
      </c>
      <c r="AE1271" s="97">
        <f>VLOOKUP(A:A,SUMMERY!AA:AC,2,FALSE)</f>
        <v>46220</v>
      </c>
      <c r="AF1271" s="6" t="str">
        <f>VLOOKUP(A:A,SUMMERY!AA:AC,3,FALSE)</f>
        <v>Priority-1</v>
      </c>
    </row>
    <row r="1272" spans="1:32" x14ac:dyDescent="0.3">
      <c r="A1272" t="s">
        <v>5921</v>
      </c>
      <c r="B1272" t="s">
        <v>1845</v>
      </c>
      <c r="G1272" t="s">
        <v>5903</v>
      </c>
      <c r="H1272" t="s">
        <v>132</v>
      </c>
      <c r="I1272" t="s">
        <v>1</v>
      </c>
      <c r="J1272" t="s">
        <v>5298</v>
      </c>
      <c r="K1272" t="s">
        <v>51</v>
      </c>
      <c r="L1272" t="s">
        <v>1843</v>
      </c>
      <c r="M1272" t="s">
        <v>134</v>
      </c>
      <c r="N1272" t="s">
        <v>135</v>
      </c>
      <c r="Q1272" t="s">
        <v>1765</v>
      </c>
      <c r="U1272" t="s">
        <v>137</v>
      </c>
      <c r="V1272" t="s">
        <v>150</v>
      </c>
      <c r="X1272" t="s">
        <v>76</v>
      </c>
      <c r="AA1272" t="s">
        <v>5904</v>
      </c>
      <c r="AB1272" t="s">
        <v>1</v>
      </c>
      <c r="AC1272" t="s">
        <v>138</v>
      </c>
      <c r="AD1272" t="s">
        <v>128</v>
      </c>
      <c r="AE1272" s="97">
        <f>VLOOKUP(A:A,SUMMERY!AA:AC,2,FALSE)</f>
        <v>46233</v>
      </c>
      <c r="AF1272" s="6" t="str">
        <f>VLOOKUP(A:A,SUMMERY!AA:AC,3,FALSE)</f>
        <v>Priority-1</v>
      </c>
    </row>
    <row r="1273" spans="1:32" x14ac:dyDescent="0.3">
      <c r="A1273" t="s">
        <v>5927</v>
      </c>
      <c r="B1273" t="s">
        <v>1857</v>
      </c>
      <c r="G1273" t="s">
        <v>5903</v>
      </c>
      <c r="H1273" t="s">
        <v>132</v>
      </c>
      <c r="I1273" t="s">
        <v>1</v>
      </c>
      <c r="J1273" t="s">
        <v>5298</v>
      </c>
      <c r="K1273" t="s">
        <v>51</v>
      </c>
      <c r="L1273" t="s">
        <v>1858</v>
      </c>
      <c r="M1273" t="s">
        <v>134</v>
      </c>
      <c r="N1273" t="s">
        <v>135</v>
      </c>
      <c r="Q1273" t="s">
        <v>1765</v>
      </c>
      <c r="U1273" t="s">
        <v>137</v>
      </c>
      <c r="V1273" t="s">
        <v>296</v>
      </c>
      <c r="X1273" t="s">
        <v>63</v>
      </c>
      <c r="AA1273" t="s">
        <v>5904</v>
      </c>
      <c r="AB1273" t="s">
        <v>1</v>
      </c>
      <c r="AC1273" t="s">
        <v>138</v>
      </c>
      <c r="AD1273" t="s">
        <v>128</v>
      </c>
      <c r="AE1273" s="97">
        <f>VLOOKUP(A:A,SUMMERY!AA:AC,2,FALSE)</f>
        <v>46220</v>
      </c>
      <c r="AF1273" s="6" t="str">
        <f>VLOOKUP(A:A,SUMMERY!AA:AC,3,FALSE)</f>
        <v>Priority-1</v>
      </c>
    </row>
    <row r="1274" spans="1:32" x14ac:dyDescent="0.3">
      <c r="A1274" t="s">
        <v>5928</v>
      </c>
      <c r="B1274" t="s">
        <v>1860</v>
      </c>
      <c r="G1274" t="s">
        <v>5903</v>
      </c>
      <c r="H1274" t="s">
        <v>132</v>
      </c>
      <c r="I1274" t="s">
        <v>1</v>
      </c>
      <c r="J1274" t="s">
        <v>5298</v>
      </c>
      <c r="K1274" t="s">
        <v>51</v>
      </c>
      <c r="L1274" t="s">
        <v>1861</v>
      </c>
      <c r="M1274" t="s">
        <v>134</v>
      </c>
      <c r="N1274" t="s">
        <v>135</v>
      </c>
      <c r="Q1274" t="s">
        <v>1765</v>
      </c>
      <c r="U1274" t="s">
        <v>137</v>
      </c>
      <c r="V1274" t="s">
        <v>300</v>
      </c>
      <c r="X1274" t="s">
        <v>72</v>
      </c>
      <c r="AA1274" t="s">
        <v>5904</v>
      </c>
      <c r="AB1274" t="s">
        <v>1</v>
      </c>
      <c r="AC1274" t="s">
        <v>138</v>
      </c>
      <c r="AD1274" t="s">
        <v>128</v>
      </c>
      <c r="AE1274" s="97">
        <f>VLOOKUP(A:A,SUMMERY!AA:AC,2,FALSE)</f>
        <v>46234</v>
      </c>
      <c r="AF1274" s="6" t="str">
        <f>VLOOKUP(A:A,SUMMERY!AA:AC,3,FALSE)</f>
        <v>Priority-1</v>
      </c>
    </row>
    <row r="1275" spans="1:32" x14ac:dyDescent="0.3">
      <c r="A1275" t="s">
        <v>5934</v>
      </c>
      <c r="B1275" t="s">
        <v>1878</v>
      </c>
      <c r="G1275" t="s">
        <v>5903</v>
      </c>
      <c r="H1275" t="s">
        <v>132</v>
      </c>
      <c r="I1275" t="s">
        <v>1</v>
      </c>
      <c r="J1275" t="s">
        <v>5298</v>
      </c>
      <c r="K1275" t="s">
        <v>51</v>
      </c>
      <c r="L1275" t="s">
        <v>1879</v>
      </c>
      <c r="M1275" t="s">
        <v>134</v>
      </c>
      <c r="N1275" t="s">
        <v>135</v>
      </c>
      <c r="Q1275" t="s">
        <v>1765</v>
      </c>
      <c r="U1275" t="s">
        <v>137</v>
      </c>
      <c r="V1275" t="s">
        <v>1239</v>
      </c>
      <c r="X1275" t="s">
        <v>127</v>
      </c>
      <c r="AA1275" t="s">
        <v>5904</v>
      </c>
      <c r="AB1275" t="s">
        <v>1</v>
      </c>
      <c r="AC1275" t="s">
        <v>138</v>
      </c>
      <c r="AD1275" t="s">
        <v>131</v>
      </c>
      <c r="AE1275" s="97">
        <f>VLOOKUP(A:A,SUMMERY!AA:AC,2,FALSE)</f>
        <v>46234</v>
      </c>
      <c r="AF1275" s="6" t="str">
        <f>VLOOKUP(A:A,SUMMERY!AA:AC,3,FALSE)</f>
        <v>Priority-2</v>
      </c>
    </row>
    <row r="1276" spans="1:32" x14ac:dyDescent="0.3">
      <c r="A1276" t="s">
        <v>5935</v>
      </c>
      <c r="B1276" t="s">
        <v>1881</v>
      </c>
      <c r="G1276" t="s">
        <v>5903</v>
      </c>
      <c r="H1276" t="s">
        <v>132</v>
      </c>
      <c r="I1276" t="s">
        <v>1</v>
      </c>
      <c r="J1276" t="s">
        <v>5298</v>
      </c>
      <c r="K1276" t="s">
        <v>51</v>
      </c>
      <c r="L1276" t="s">
        <v>1882</v>
      </c>
      <c r="M1276" t="s">
        <v>134</v>
      </c>
      <c r="N1276" t="s">
        <v>135</v>
      </c>
      <c r="Q1276" t="s">
        <v>1765</v>
      </c>
      <c r="U1276" t="s">
        <v>137</v>
      </c>
      <c r="V1276" t="s">
        <v>1249</v>
      </c>
      <c r="X1276" t="s">
        <v>61</v>
      </c>
      <c r="AA1276" t="s">
        <v>5904</v>
      </c>
      <c r="AB1276" t="s">
        <v>1</v>
      </c>
      <c r="AC1276" t="s">
        <v>138</v>
      </c>
      <c r="AD1276" t="s">
        <v>128</v>
      </c>
      <c r="AE1276" s="97">
        <f>VLOOKUP(A:A,SUMMERY!AA:AC,2,FALSE)</f>
        <v>46224</v>
      </c>
      <c r="AF1276" s="6" t="str">
        <f>VLOOKUP(A:A,SUMMERY!AA:AC,3,FALSE)</f>
        <v>Priority-1</v>
      </c>
    </row>
    <row r="1277" spans="1:32" x14ac:dyDescent="0.3">
      <c r="A1277" t="s">
        <v>5937</v>
      </c>
      <c r="B1277" t="s">
        <v>1770</v>
      </c>
      <c r="G1277" t="s">
        <v>5936</v>
      </c>
      <c r="H1277" t="s">
        <v>132</v>
      </c>
      <c r="I1277" t="s">
        <v>1</v>
      </c>
      <c r="J1277" t="s">
        <v>5298</v>
      </c>
      <c r="K1277" t="s">
        <v>51</v>
      </c>
      <c r="L1277" t="s">
        <v>1771</v>
      </c>
      <c r="M1277" t="s">
        <v>134</v>
      </c>
      <c r="N1277" t="s">
        <v>135</v>
      </c>
      <c r="Q1277" t="s">
        <v>1765</v>
      </c>
      <c r="U1277" t="s">
        <v>137</v>
      </c>
      <c r="V1277" t="s">
        <v>147</v>
      </c>
      <c r="X1277" t="s">
        <v>70</v>
      </c>
      <c r="AA1277" t="s">
        <v>1768</v>
      </c>
      <c r="AB1277" t="s">
        <v>1</v>
      </c>
      <c r="AC1277" t="s">
        <v>138</v>
      </c>
      <c r="AD1277" t="s">
        <v>128</v>
      </c>
      <c r="AE1277" s="97">
        <f>VLOOKUP(A:A,SUMMERY!AA:AC,2,FALSE)</f>
        <v>46220</v>
      </c>
      <c r="AF1277" s="6" t="str">
        <f>VLOOKUP(A:A,SUMMERY!AA:AC,3,FALSE)</f>
        <v>Priority-1</v>
      </c>
    </row>
    <row r="1278" spans="1:32" x14ac:dyDescent="0.3">
      <c r="A1278" t="s">
        <v>5938</v>
      </c>
      <c r="B1278" t="s">
        <v>1773</v>
      </c>
      <c r="G1278" t="s">
        <v>5936</v>
      </c>
      <c r="H1278" t="s">
        <v>132</v>
      </c>
      <c r="I1278" t="s">
        <v>1</v>
      </c>
      <c r="J1278" t="s">
        <v>5298</v>
      </c>
      <c r="K1278" t="s">
        <v>51</v>
      </c>
      <c r="L1278" t="s">
        <v>1774</v>
      </c>
      <c r="M1278" t="s">
        <v>134</v>
      </c>
      <c r="N1278" t="s">
        <v>135</v>
      </c>
      <c r="Q1278" t="s">
        <v>1765</v>
      </c>
      <c r="U1278" t="s">
        <v>137</v>
      </c>
      <c r="V1278" t="s">
        <v>150</v>
      </c>
      <c r="X1278" t="s">
        <v>76</v>
      </c>
      <c r="AA1278" t="s">
        <v>1768</v>
      </c>
      <c r="AB1278" t="s">
        <v>1</v>
      </c>
      <c r="AC1278" t="s">
        <v>138</v>
      </c>
      <c r="AD1278" t="s">
        <v>128</v>
      </c>
      <c r="AE1278" s="97">
        <f>VLOOKUP(A:A,SUMMERY!AA:AC,2,FALSE)</f>
        <v>46233</v>
      </c>
      <c r="AF1278" s="6" t="str">
        <f>VLOOKUP(A:A,SUMMERY!AA:AC,3,FALSE)</f>
        <v>Priority-1</v>
      </c>
    </row>
    <row r="1279" spans="1:32" x14ac:dyDescent="0.3">
      <c r="A1279" t="s">
        <v>7224</v>
      </c>
      <c r="B1279" t="s">
        <v>7076</v>
      </c>
      <c r="G1279" t="s">
        <v>7223</v>
      </c>
      <c r="H1279" t="s">
        <v>132</v>
      </c>
      <c r="I1279" t="s">
        <v>1</v>
      </c>
      <c r="J1279" t="s">
        <v>5298</v>
      </c>
      <c r="K1279" t="s">
        <v>51</v>
      </c>
      <c r="L1279" t="s">
        <v>7070</v>
      </c>
      <c r="M1279" t="s">
        <v>134</v>
      </c>
      <c r="N1279" t="s">
        <v>135</v>
      </c>
      <c r="Q1279" t="s">
        <v>139</v>
      </c>
      <c r="T1279" t="s">
        <v>7077</v>
      </c>
      <c r="U1279" t="s">
        <v>137</v>
      </c>
      <c r="V1279" t="s">
        <v>7071</v>
      </c>
      <c r="X1279" t="s">
        <v>7072</v>
      </c>
      <c r="AA1279" t="s">
        <v>7073</v>
      </c>
      <c r="AB1279" t="s">
        <v>1</v>
      </c>
      <c r="AC1279" t="s">
        <v>138</v>
      </c>
      <c r="AD1279" t="s">
        <v>7074</v>
      </c>
      <c r="AE1279" s="97">
        <f>VLOOKUP(A:A,SUMMERY!AA:AC,2,FALSE)</f>
        <v>46223</v>
      </c>
      <c r="AF1279" s="6" t="str">
        <f>VLOOKUP(A:A,SUMMERY!AA:AC,3,FALSE)</f>
        <v>Priority-1</v>
      </c>
    </row>
    <row r="1280" spans="1:32" x14ac:dyDescent="0.3">
      <c r="A1280" t="s">
        <v>7225</v>
      </c>
      <c r="B1280" t="s">
        <v>7079</v>
      </c>
      <c r="G1280" t="s">
        <v>7223</v>
      </c>
      <c r="H1280" t="s">
        <v>132</v>
      </c>
      <c r="I1280" t="s">
        <v>1</v>
      </c>
      <c r="J1280" t="s">
        <v>5298</v>
      </c>
      <c r="K1280" t="s">
        <v>51</v>
      </c>
      <c r="L1280" t="s">
        <v>7070</v>
      </c>
      <c r="M1280" t="s">
        <v>134</v>
      </c>
      <c r="N1280" t="s">
        <v>135</v>
      </c>
      <c r="Q1280" t="s">
        <v>139</v>
      </c>
      <c r="T1280" t="s">
        <v>7080</v>
      </c>
      <c r="U1280" t="s">
        <v>137</v>
      </c>
      <c r="V1280" t="s">
        <v>7071</v>
      </c>
      <c r="X1280" t="s">
        <v>7072</v>
      </c>
      <c r="AA1280" t="s">
        <v>7073</v>
      </c>
      <c r="AB1280" t="s">
        <v>1</v>
      </c>
      <c r="AC1280" t="s">
        <v>138</v>
      </c>
      <c r="AD1280" t="s">
        <v>7074</v>
      </c>
      <c r="AE1280" s="97">
        <f>VLOOKUP(A:A,SUMMERY!AA:AC,2,FALSE)</f>
        <v>46223</v>
      </c>
      <c r="AF1280" s="6" t="str">
        <f>VLOOKUP(A:A,SUMMERY!AA:AC,3,FALSE)</f>
        <v>Priority-1</v>
      </c>
    </row>
    <row r="1281" spans="1:32" x14ac:dyDescent="0.3">
      <c r="A1281" t="s">
        <v>7226</v>
      </c>
      <c r="B1281" t="s">
        <v>7082</v>
      </c>
      <c r="G1281" t="s">
        <v>7223</v>
      </c>
      <c r="H1281" t="s">
        <v>132</v>
      </c>
      <c r="I1281" t="s">
        <v>1</v>
      </c>
      <c r="J1281" t="s">
        <v>5298</v>
      </c>
      <c r="K1281" t="s">
        <v>51</v>
      </c>
      <c r="L1281" t="s">
        <v>7070</v>
      </c>
      <c r="M1281" t="s">
        <v>134</v>
      </c>
      <c r="N1281" t="s">
        <v>135</v>
      </c>
      <c r="Q1281" t="s">
        <v>139</v>
      </c>
      <c r="T1281" t="s">
        <v>7083</v>
      </c>
      <c r="U1281" t="s">
        <v>137</v>
      </c>
      <c r="V1281" t="s">
        <v>7071</v>
      </c>
      <c r="X1281" t="s">
        <v>7072</v>
      </c>
      <c r="AA1281" t="s">
        <v>7073</v>
      </c>
      <c r="AB1281" t="s">
        <v>1</v>
      </c>
      <c r="AC1281" t="s">
        <v>138</v>
      </c>
      <c r="AD1281" t="s">
        <v>7074</v>
      </c>
      <c r="AE1281" s="97">
        <f>VLOOKUP(A:A,SUMMERY!AA:AC,2,FALSE)</f>
        <v>46223</v>
      </c>
      <c r="AF1281" s="6" t="str">
        <f>VLOOKUP(A:A,SUMMERY!AA:AC,3,FALSE)</f>
        <v>Priority-1</v>
      </c>
    </row>
    <row r="1282" spans="1:32" x14ac:dyDescent="0.3">
      <c r="A1282" t="s">
        <v>7227</v>
      </c>
      <c r="B1282" t="s">
        <v>7085</v>
      </c>
      <c r="G1282" t="s">
        <v>7223</v>
      </c>
      <c r="H1282" t="s">
        <v>132</v>
      </c>
      <c r="I1282" t="s">
        <v>1</v>
      </c>
      <c r="J1282" t="s">
        <v>5298</v>
      </c>
      <c r="K1282" t="s">
        <v>51</v>
      </c>
      <c r="L1282" t="s">
        <v>7086</v>
      </c>
      <c r="M1282" t="s">
        <v>134</v>
      </c>
      <c r="N1282" t="s">
        <v>135</v>
      </c>
      <c r="Q1282" t="s">
        <v>139</v>
      </c>
      <c r="T1282" t="s">
        <v>7087</v>
      </c>
      <c r="U1282" t="s">
        <v>137</v>
      </c>
      <c r="V1282" t="s">
        <v>7088</v>
      </c>
      <c r="X1282" t="s">
        <v>7089</v>
      </c>
      <c r="AA1282" t="s">
        <v>7073</v>
      </c>
      <c r="AB1282" t="s">
        <v>1</v>
      </c>
      <c r="AC1282" t="s">
        <v>138</v>
      </c>
      <c r="AD1282" t="s">
        <v>128</v>
      </c>
      <c r="AE1282" s="97">
        <f>VLOOKUP(A:A,SUMMERY!AA:AC,2,FALSE)</f>
        <v>46194</v>
      </c>
      <c r="AF1282" s="6" t="str">
        <f>VLOOKUP(A:A,SUMMERY!AA:AC,3,FALSE)</f>
        <v>Priority-1</v>
      </c>
    </row>
    <row r="1283" spans="1:32" x14ac:dyDescent="0.3">
      <c r="A1283" t="s">
        <v>6928</v>
      </c>
      <c r="B1283" t="s">
        <v>6776</v>
      </c>
      <c r="G1283" t="s">
        <v>5944</v>
      </c>
      <c r="H1283" t="s">
        <v>132</v>
      </c>
      <c r="I1283" t="s">
        <v>2</v>
      </c>
      <c r="J1283" t="s">
        <v>5298</v>
      </c>
      <c r="K1283" t="s">
        <v>52</v>
      </c>
      <c r="L1283" t="s">
        <v>6777</v>
      </c>
      <c r="M1283" t="s">
        <v>134</v>
      </c>
      <c r="N1283" t="s">
        <v>135</v>
      </c>
      <c r="Q1283" t="s">
        <v>168</v>
      </c>
      <c r="S1283" t="s">
        <v>168</v>
      </c>
      <c r="U1283" t="s">
        <v>137</v>
      </c>
      <c r="V1283" t="s">
        <v>147</v>
      </c>
      <c r="X1283" t="s">
        <v>70</v>
      </c>
      <c r="AA1283" t="s">
        <v>2163</v>
      </c>
      <c r="AB1283" t="s">
        <v>2</v>
      </c>
      <c r="AC1283" t="s">
        <v>138</v>
      </c>
      <c r="AD1283" t="s">
        <v>128</v>
      </c>
      <c r="AE1283" s="97">
        <f>VLOOKUP(A:A,SUMMERY!AA:AC,2,FALSE)</f>
        <v>46220</v>
      </c>
      <c r="AF1283" s="6" t="str">
        <f>VLOOKUP(A:A,SUMMERY!AA:AC,3,FALSE)</f>
        <v>Priority-1</v>
      </c>
    </row>
    <row r="1284" spans="1:32" x14ac:dyDescent="0.3">
      <c r="A1284" t="s">
        <v>6929</v>
      </c>
      <c r="B1284" t="s">
        <v>6779</v>
      </c>
      <c r="G1284" t="s">
        <v>5944</v>
      </c>
      <c r="H1284" t="s">
        <v>132</v>
      </c>
      <c r="I1284" t="s">
        <v>2</v>
      </c>
      <c r="J1284" t="s">
        <v>5298</v>
      </c>
      <c r="K1284" t="s">
        <v>52</v>
      </c>
      <c r="L1284" t="s">
        <v>6780</v>
      </c>
      <c r="M1284" t="s">
        <v>134</v>
      </c>
      <c r="N1284" t="s">
        <v>135</v>
      </c>
      <c r="Q1284" t="s">
        <v>168</v>
      </c>
      <c r="S1284" t="s">
        <v>168</v>
      </c>
      <c r="U1284" t="s">
        <v>137</v>
      </c>
      <c r="V1284" t="s">
        <v>150</v>
      </c>
      <c r="X1284" t="s">
        <v>76</v>
      </c>
      <c r="AA1284" t="s">
        <v>2163</v>
      </c>
      <c r="AB1284" t="s">
        <v>2</v>
      </c>
      <c r="AC1284" t="s">
        <v>138</v>
      </c>
      <c r="AD1284" t="s">
        <v>128</v>
      </c>
      <c r="AE1284" s="97">
        <f>VLOOKUP(A:A,SUMMERY!AA:AC,2,FALSE)</f>
        <v>46233</v>
      </c>
      <c r="AF1284" s="6" t="str">
        <f>VLOOKUP(A:A,SUMMERY!AA:AC,3,FALSE)</f>
        <v>Priority-1</v>
      </c>
    </row>
    <row r="1285" spans="1:32" x14ac:dyDescent="0.3">
      <c r="A1285" t="s">
        <v>6935</v>
      </c>
      <c r="B1285" t="s">
        <v>6797</v>
      </c>
      <c r="G1285" t="s">
        <v>5944</v>
      </c>
      <c r="H1285" t="s">
        <v>132</v>
      </c>
      <c r="I1285" t="s">
        <v>2</v>
      </c>
      <c r="J1285" t="s">
        <v>5298</v>
      </c>
      <c r="K1285" t="s">
        <v>52</v>
      </c>
      <c r="L1285" t="s">
        <v>2273</v>
      </c>
      <c r="M1285" t="s">
        <v>134</v>
      </c>
      <c r="N1285" t="s">
        <v>135</v>
      </c>
      <c r="Q1285" t="s">
        <v>168</v>
      </c>
      <c r="S1285" t="s">
        <v>168</v>
      </c>
      <c r="U1285" t="s">
        <v>137</v>
      </c>
      <c r="V1285" t="s">
        <v>352</v>
      </c>
      <c r="X1285" t="s">
        <v>56</v>
      </c>
      <c r="AA1285" t="s">
        <v>2163</v>
      </c>
      <c r="AB1285" t="s">
        <v>2</v>
      </c>
      <c r="AC1285" t="s">
        <v>138</v>
      </c>
      <c r="AD1285" t="s">
        <v>128</v>
      </c>
      <c r="AE1285" s="97">
        <f>VLOOKUP(A:A,SUMMERY!AA:AC,2,FALSE)</f>
        <v>46233</v>
      </c>
      <c r="AF1285" s="6" t="str">
        <f>VLOOKUP(A:A,SUMMERY!AA:AC,3,FALSE)</f>
        <v>Priority-1</v>
      </c>
    </row>
    <row r="1286" spans="1:32" x14ac:dyDescent="0.3">
      <c r="A1286" t="s">
        <v>6936</v>
      </c>
      <c r="B1286" t="s">
        <v>6799</v>
      </c>
      <c r="G1286" t="s">
        <v>5944</v>
      </c>
      <c r="H1286" t="s">
        <v>132</v>
      </c>
      <c r="I1286" t="s">
        <v>2</v>
      </c>
      <c r="J1286" t="s">
        <v>5298</v>
      </c>
      <c r="K1286" t="s">
        <v>52</v>
      </c>
      <c r="L1286" t="s">
        <v>6800</v>
      </c>
      <c r="M1286" t="s">
        <v>134</v>
      </c>
      <c r="N1286" t="s">
        <v>135</v>
      </c>
      <c r="Q1286" t="s">
        <v>168</v>
      </c>
      <c r="S1286" t="s">
        <v>168</v>
      </c>
      <c r="U1286" t="s">
        <v>137</v>
      </c>
      <c r="V1286" t="s">
        <v>147</v>
      </c>
      <c r="X1286" t="s">
        <v>70</v>
      </c>
      <c r="AA1286" t="s">
        <v>2163</v>
      </c>
      <c r="AB1286" t="s">
        <v>2</v>
      </c>
      <c r="AC1286" t="s">
        <v>138</v>
      </c>
      <c r="AD1286" t="s">
        <v>128</v>
      </c>
      <c r="AE1286" s="97">
        <f>VLOOKUP(A:A,SUMMERY!AA:AC,2,FALSE)</f>
        <v>46220</v>
      </c>
      <c r="AF1286" s="6" t="str">
        <f>VLOOKUP(A:A,SUMMERY!AA:AC,3,FALSE)</f>
        <v>Priority-1</v>
      </c>
    </row>
    <row r="1287" spans="1:32" x14ac:dyDescent="0.3">
      <c r="A1287" t="s">
        <v>6937</v>
      </c>
      <c r="B1287" t="s">
        <v>6802</v>
      </c>
      <c r="G1287" t="s">
        <v>5944</v>
      </c>
      <c r="H1287" t="s">
        <v>132</v>
      </c>
      <c r="I1287" t="s">
        <v>2</v>
      </c>
      <c r="J1287" t="s">
        <v>5298</v>
      </c>
      <c r="K1287" t="s">
        <v>52</v>
      </c>
      <c r="L1287" t="s">
        <v>6800</v>
      </c>
      <c r="M1287" t="s">
        <v>134</v>
      </c>
      <c r="N1287" t="s">
        <v>135</v>
      </c>
      <c r="Q1287" t="s">
        <v>168</v>
      </c>
      <c r="S1287" t="s">
        <v>168</v>
      </c>
      <c r="U1287" t="s">
        <v>137</v>
      </c>
      <c r="V1287" t="s">
        <v>147</v>
      </c>
      <c r="X1287" t="s">
        <v>70</v>
      </c>
      <c r="AA1287" t="s">
        <v>2163</v>
      </c>
      <c r="AB1287" t="s">
        <v>2</v>
      </c>
      <c r="AC1287" t="s">
        <v>138</v>
      </c>
      <c r="AD1287" t="s">
        <v>128</v>
      </c>
      <c r="AE1287" s="97">
        <f>VLOOKUP(A:A,SUMMERY!AA:AC,2,FALSE)</f>
        <v>46220</v>
      </c>
      <c r="AF1287" s="6" t="str">
        <f>VLOOKUP(A:A,SUMMERY!AA:AC,3,FALSE)</f>
        <v>Priority-1</v>
      </c>
    </row>
    <row r="1288" spans="1:32" x14ac:dyDescent="0.3">
      <c r="A1288" t="s">
        <v>6938</v>
      </c>
      <c r="B1288" t="s">
        <v>6804</v>
      </c>
      <c r="G1288" t="s">
        <v>5944</v>
      </c>
      <c r="H1288" t="s">
        <v>132</v>
      </c>
      <c r="I1288" t="s">
        <v>2</v>
      </c>
      <c r="J1288" t="s">
        <v>5298</v>
      </c>
      <c r="K1288" t="s">
        <v>52</v>
      </c>
      <c r="L1288" t="s">
        <v>6800</v>
      </c>
      <c r="M1288" t="s">
        <v>134</v>
      </c>
      <c r="N1288" t="s">
        <v>135</v>
      </c>
      <c r="Q1288" t="s">
        <v>168</v>
      </c>
      <c r="S1288" t="s">
        <v>168</v>
      </c>
      <c r="U1288" t="s">
        <v>137</v>
      </c>
      <c r="V1288" t="s">
        <v>147</v>
      </c>
      <c r="X1288" t="s">
        <v>70</v>
      </c>
      <c r="AA1288" t="s">
        <v>2163</v>
      </c>
      <c r="AB1288" t="s">
        <v>2</v>
      </c>
      <c r="AC1288" t="s">
        <v>138</v>
      </c>
      <c r="AD1288" t="s">
        <v>128</v>
      </c>
      <c r="AE1288" s="97">
        <f>VLOOKUP(A:A,SUMMERY!AA:AC,2,FALSE)</f>
        <v>46220</v>
      </c>
      <c r="AF1288" s="6" t="str">
        <f>VLOOKUP(A:A,SUMMERY!AA:AC,3,FALSE)</f>
        <v>Priority-1</v>
      </c>
    </row>
    <row r="1289" spans="1:32" x14ac:dyDescent="0.3">
      <c r="A1289" t="s">
        <v>6939</v>
      </c>
      <c r="B1289" t="s">
        <v>6806</v>
      </c>
      <c r="G1289" t="s">
        <v>5944</v>
      </c>
      <c r="H1289" t="s">
        <v>132</v>
      </c>
      <c r="I1289" t="s">
        <v>2</v>
      </c>
      <c r="J1289" t="s">
        <v>5298</v>
      </c>
      <c r="K1289" t="s">
        <v>52</v>
      </c>
      <c r="L1289" t="s">
        <v>6807</v>
      </c>
      <c r="M1289" t="s">
        <v>134</v>
      </c>
      <c r="N1289" t="s">
        <v>135</v>
      </c>
      <c r="Q1289" t="s">
        <v>168</v>
      </c>
      <c r="S1289" t="s">
        <v>168</v>
      </c>
      <c r="U1289" t="s">
        <v>137</v>
      </c>
      <c r="V1289" t="s">
        <v>150</v>
      </c>
      <c r="X1289" t="s">
        <v>76</v>
      </c>
      <c r="AA1289" t="s">
        <v>2163</v>
      </c>
      <c r="AB1289" t="s">
        <v>2</v>
      </c>
      <c r="AC1289" t="s">
        <v>138</v>
      </c>
      <c r="AD1289" t="s">
        <v>128</v>
      </c>
      <c r="AE1289" s="97">
        <f>VLOOKUP(A:A,SUMMERY!AA:AC,2,FALSE)</f>
        <v>46233</v>
      </c>
      <c r="AF1289" s="6" t="str">
        <f>VLOOKUP(A:A,SUMMERY!AA:AC,3,FALSE)</f>
        <v>Priority-1</v>
      </c>
    </row>
    <row r="1290" spans="1:32" x14ac:dyDescent="0.3">
      <c r="A1290" t="s">
        <v>6940</v>
      </c>
      <c r="B1290" t="s">
        <v>6809</v>
      </c>
      <c r="G1290" t="s">
        <v>5944</v>
      </c>
      <c r="H1290" t="s">
        <v>132</v>
      </c>
      <c r="I1290" t="s">
        <v>2</v>
      </c>
      <c r="J1290" t="s">
        <v>5298</v>
      </c>
      <c r="K1290" t="s">
        <v>52</v>
      </c>
      <c r="L1290" t="s">
        <v>6807</v>
      </c>
      <c r="M1290" t="s">
        <v>134</v>
      </c>
      <c r="N1290" t="s">
        <v>135</v>
      </c>
      <c r="Q1290" t="s">
        <v>168</v>
      </c>
      <c r="S1290" t="s">
        <v>168</v>
      </c>
      <c r="U1290" t="s">
        <v>137</v>
      </c>
      <c r="V1290" t="s">
        <v>150</v>
      </c>
      <c r="X1290" t="s">
        <v>76</v>
      </c>
      <c r="AA1290" t="s">
        <v>2163</v>
      </c>
      <c r="AB1290" t="s">
        <v>2</v>
      </c>
      <c r="AC1290" t="s">
        <v>138</v>
      </c>
      <c r="AD1290" t="s">
        <v>128</v>
      </c>
      <c r="AE1290" s="97">
        <f>VLOOKUP(A:A,SUMMERY!AA:AC,2,FALSE)</f>
        <v>46233</v>
      </c>
      <c r="AF1290" s="6" t="str">
        <f>VLOOKUP(A:A,SUMMERY!AA:AC,3,FALSE)</f>
        <v>Priority-1</v>
      </c>
    </row>
    <row r="1291" spans="1:32" x14ac:dyDescent="0.3">
      <c r="A1291" t="s">
        <v>6941</v>
      </c>
      <c r="B1291" t="s">
        <v>6811</v>
      </c>
      <c r="G1291" t="s">
        <v>5944</v>
      </c>
      <c r="H1291" t="s">
        <v>132</v>
      </c>
      <c r="I1291" t="s">
        <v>2</v>
      </c>
      <c r="J1291" t="s">
        <v>5298</v>
      </c>
      <c r="K1291" t="s">
        <v>52</v>
      </c>
      <c r="L1291" t="s">
        <v>6807</v>
      </c>
      <c r="M1291" t="s">
        <v>134</v>
      </c>
      <c r="N1291" t="s">
        <v>135</v>
      </c>
      <c r="Q1291" t="s">
        <v>168</v>
      </c>
      <c r="S1291" t="s">
        <v>168</v>
      </c>
      <c r="U1291" t="s">
        <v>137</v>
      </c>
      <c r="V1291" t="s">
        <v>150</v>
      </c>
      <c r="X1291" t="s">
        <v>76</v>
      </c>
      <c r="AA1291" t="s">
        <v>2163</v>
      </c>
      <c r="AB1291" t="s">
        <v>2</v>
      </c>
      <c r="AC1291" t="s">
        <v>138</v>
      </c>
      <c r="AD1291" t="s">
        <v>128</v>
      </c>
      <c r="AE1291" s="97">
        <f>VLOOKUP(A:A,SUMMERY!AA:AC,2,FALSE)</f>
        <v>46233</v>
      </c>
      <c r="AF1291" s="6" t="str">
        <f>VLOOKUP(A:A,SUMMERY!AA:AC,3,FALSE)</f>
        <v>Priority-1</v>
      </c>
    </row>
    <row r="1292" spans="1:32" x14ac:dyDescent="0.3">
      <c r="A1292" t="s">
        <v>6957</v>
      </c>
      <c r="B1292" t="s">
        <v>6848</v>
      </c>
      <c r="G1292" t="s">
        <v>5944</v>
      </c>
      <c r="H1292" t="s">
        <v>132</v>
      </c>
      <c r="I1292" t="s">
        <v>2</v>
      </c>
      <c r="J1292" t="s">
        <v>5298</v>
      </c>
      <c r="K1292" t="s">
        <v>52</v>
      </c>
      <c r="L1292" t="s">
        <v>6849</v>
      </c>
      <c r="M1292" t="s">
        <v>134</v>
      </c>
      <c r="N1292" t="s">
        <v>135</v>
      </c>
      <c r="Q1292" t="s">
        <v>168</v>
      </c>
      <c r="S1292" t="s">
        <v>168</v>
      </c>
      <c r="U1292" t="s">
        <v>137</v>
      </c>
      <c r="V1292" t="s">
        <v>324</v>
      </c>
      <c r="X1292" t="s">
        <v>60</v>
      </c>
      <c r="AA1292" t="s">
        <v>2163</v>
      </c>
      <c r="AB1292" t="s">
        <v>2</v>
      </c>
      <c r="AC1292" t="s">
        <v>138</v>
      </c>
      <c r="AD1292" t="s">
        <v>128</v>
      </c>
      <c r="AE1292" s="97">
        <f>VLOOKUP(A:A,SUMMERY!AA:AC,2,FALSE)</f>
        <v>46220</v>
      </c>
      <c r="AF1292" s="6" t="str">
        <f>VLOOKUP(A:A,SUMMERY!AA:AC,3,FALSE)</f>
        <v>Priority-1</v>
      </c>
    </row>
    <row r="1293" spans="1:32" x14ac:dyDescent="0.3">
      <c r="A1293" t="s">
        <v>6958</v>
      </c>
      <c r="B1293" t="s">
        <v>6851</v>
      </c>
      <c r="G1293" t="s">
        <v>5944</v>
      </c>
      <c r="H1293" t="s">
        <v>132</v>
      </c>
      <c r="I1293" t="s">
        <v>2</v>
      </c>
      <c r="J1293" t="s">
        <v>5298</v>
      </c>
      <c r="K1293" t="s">
        <v>52</v>
      </c>
      <c r="L1293" t="s">
        <v>6849</v>
      </c>
      <c r="M1293" t="s">
        <v>134</v>
      </c>
      <c r="N1293" t="s">
        <v>135</v>
      </c>
      <c r="Q1293" t="s">
        <v>168</v>
      </c>
      <c r="S1293" t="s">
        <v>168</v>
      </c>
      <c r="U1293" t="s">
        <v>137</v>
      </c>
      <c r="V1293" t="s">
        <v>324</v>
      </c>
      <c r="X1293" t="s">
        <v>60</v>
      </c>
      <c r="AA1293" t="s">
        <v>2163</v>
      </c>
      <c r="AB1293" t="s">
        <v>2</v>
      </c>
      <c r="AC1293" t="s">
        <v>138</v>
      </c>
      <c r="AD1293" t="s">
        <v>128</v>
      </c>
      <c r="AE1293" s="97">
        <f>VLOOKUP(A:A,SUMMERY!AA:AC,2,FALSE)</f>
        <v>46220</v>
      </c>
      <c r="AF1293" s="6" t="str">
        <f>VLOOKUP(A:A,SUMMERY!AA:AC,3,FALSE)</f>
        <v>Priority-1</v>
      </c>
    </row>
    <row r="1294" spans="1:32" x14ac:dyDescent="0.3">
      <c r="A1294" t="s">
        <v>6959</v>
      </c>
      <c r="B1294" t="s">
        <v>6853</v>
      </c>
      <c r="G1294" t="s">
        <v>5944</v>
      </c>
      <c r="H1294" t="s">
        <v>132</v>
      </c>
      <c r="I1294" t="s">
        <v>2</v>
      </c>
      <c r="J1294" t="s">
        <v>5298</v>
      </c>
      <c r="K1294" t="s">
        <v>52</v>
      </c>
      <c r="L1294" t="s">
        <v>6854</v>
      </c>
      <c r="M1294" t="s">
        <v>134</v>
      </c>
      <c r="N1294" t="s">
        <v>135</v>
      </c>
      <c r="Q1294" t="s">
        <v>168</v>
      </c>
      <c r="S1294" t="s">
        <v>168</v>
      </c>
      <c r="U1294" t="s">
        <v>137</v>
      </c>
      <c r="V1294" t="s">
        <v>328</v>
      </c>
      <c r="X1294" t="s">
        <v>65</v>
      </c>
      <c r="AA1294" t="s">
        <v>2163</v>
      </c>
      <c r="AB1294" t="s">
        <v>2</v>
      </c>
      <c r="AC1294" t="s">
        <v>138</v>
      </c>
      <c r="AD1294" t="s">
        <v>128</v>
      </c>
      <c r="AE1294" s="97">
        <f>VLOOKUP(A:A,SUMMERY!AA:AC,2,FALSE)</f>
        <v>46233</v>
      </c>
      <c r="AF1294" s="6" t="str">
        <f>VLOOKUP(A:A,SUMMERY!AA:AC,3,FALSE)</f>
        <v>Priority-1</v>
      </c>
    </row>
    <row r="1295" spans="1:32" x14ac:dyDescent="0.3">
      <c r="A1295" t="s">
        <v>6960</v>
      </c>
      <c r="B1295" t="s">
        <v>6856</v>
      </c>
      <c r="G1295" t="s">
        <v>5944</v>
      </c>
      <c r="H1295" t="s">
        <v>132</v>
      </c>
      <c r="I1295" t="s">
        <v>2</v>
      </c>
      <c r="J1295" t="s">
        <v>5298</v>
      </c>
      <c r="K1295" t="s">
        <v>52</v>
      </c>
      <c r="L1295" t="s">
        <v>6854</v>
      </c>
      <c r="M1295" t="s">
        <v>134</v>
      </c>
      <c r="N1295" t="s">
        <v>135</v>
      </c>
      <c r="Q1295" t="s">
        <v>168</v>
      </c>
      <c r="S1295" t="s">
        <v>168</v>
      </c>
      <c r="U1295" t="s">
        <v>137</v>
      </c>
      <c r="V1295" t="s">
        <v>328</v>
      </c>
      <c r="X1295" t="s">
        <v>65</v>
      </c>
      <c r="AA1295" t="s">
        <v>2163</v>
      </c>
      <c r="AB1295" t="s">
        <v>2</v>
      </c>
      <c r="AC1295" t="s">
        <v>138</v>
      </c>
      <c r="AD1295" t="s">
        <v>128</v>
      </c>
      <c r="AE1295" s="97">
        <f>VLOOKUP(A:A,SUMMERY!AA:AC,2,FALSE)</f>
        <v>46233</v>
      </c>
      <c r="AF1295" s="6" t="str">
        <f>VLOOKUP(A:A,SUMMERY!AA:AC,3,FALSE)</f>
        <v>Priority-1</v>
      </c>
    </row>
    <row r="1296" spans="1:32" x14ac:dyDescent="0.3">
      <c r="A1296" t="s">
        <v>6971</v>
      </c>
      <c r="B1296" t="s">
        <v>6883</v>
      </c>
      <c r="G1296" t="s">
        <v>5944</v>
      </c>
      <c r="H1296" t="s">
        <v>132</v>
      </c>
      <c r="I1296" t="s">
        <v>2</v>
      </c>
      <c r="J1296" t="s">
        <v>5298</v>
      </c>
      <c r="K1296" t="s">
        <v>52</v>
      </c>
      <c r="L1296" t="s">
        <v>6884</v>
      </c>
      <c r="M1296" t="s">
        <v>134</v>
      </c>
      <c r="N1296" t="s">
        <v>135</v>
      </c>
      <c r="Q1296" t="s">
        <v>168</v>
      </c>
      <c r="S1296" t="s">
        <v>168</v>
      </c>
      <c r="U1296" t="s">
        <v>137</v>
      </c>
      <c r="V1296" t="s">
        <v>352</v>
      </c>
      <c r="X1296" t="s">
        <v>56</v>
      </c>
      <c r="AA1296" t="s">
        <v>2163</v>
      </c>
      <c r="AB1296" t="s">
        <v>2</v>
      </c>
      <c r="AC1296" t="s">
        <v>138</v>
      </c>
      <c r="AD1296" t="s">
        <v>128</v>
      </c>
      <c r="AE1296" s="97">
        <f>VLOOKUP(A:A,SUMMERY!AA:AC,2,FALSE)</f>
        <v>46233</v>
      </c>
      <c r="AF1296" s="6" t="str">
        <f>VLOOKUP(A:A,SUMMERY!AA:AC,3,FALSE)</f>
        <v>Priority-1</v>
      </c>
    </row>
    <row r="1297" spans="1:32" x14ac:dyDescent="0.3">
      <c r="A1297" t="s">
        <v>6972</v>
      </c>
      <c r="B1297" t="s">
        <v>6886</v>
      </c>
      <c r="G1297" t="s">
        <v>5944</v>
      </c>
      <c r="H1297" t="s">
        <v>132</v>
      </c>
      <c r="I1297" t="s">
        <v>2</v>
      </c>
      <c r="J1297" t="s">
        <v>5298</v>
      </c>
      <c r="K1297" t="s">
        <v>52</v>
      </c>
      <c r="L1297" t="s">
        <v>6884</v>
      </c>
      <c r="M1297" t="s">
        <v>134</v>
      </c>
      <c r="N1297" t="s">
        <v>135</v>
      </c>
      <c r="Q1297" t="s">
        <v>168</v>
      </c>
      <c r="S1297" t="s">
        <v>168</v>
      </c>
      <c r="U1297" t="s">
        <v>137</v>
      </c>
      <c r="V1297" t="s">
        <v>352</v>
      </c>
      <c r="X1297" t="s">
        <v>56</v>
      </c>
      <c r="AA1297" t="s">
        <v>2163</v>
      </c>
      <c r="AB1297" t="s">
        <v>2</v>
      </c>
      <c r="AC1297" t="s">
        <v>138</v>
      </c>
      <c r="AD1297" t="s">
        <v>128</v>
      </c>
      <c r="AE1297" s="97">
        <f>VLOOKUP(A:A,SUMMERY!AA:AC,2,FALSE)</f>
        <v>46233</v>
      </c>
      <c r="AF1297" s="6" t="str">
        <f>VLOOKUP(A:A,SUMMERY!AA:AC,3,FALSE)</f>
        <v>Priority-1</v>
      </c>
    </row>
    <row r="1298" spans="1:32" x14ac:dyDescent="0.3">
      <c r="A1298" t="s">
        <v>6973</v>
      </c>
      <c r="B1298" t="s">
        <v>6888</v>
      </c>
      <c r="G1298" t="s">
        <v>5944</v>
      </c>
      <c r="H1298" t="s">
        <v>132</v>
      </c>
      <c r="I1298" t="s">
        <v>2</v>
      </c>
      <c r="J1298" t="s">
        <v>5298</v>
      </c>
      <c r="K1298" t="s">
        <v>52</v>
      </c>
      <c r="L1298" t="s">
        <v>3182</v>
      </c>
      <c r="M1298" t="s">
        <v>134</v>
      </c>
      <c r="N1298" t="s">
        <v>135</v>
      </c>
      <c r="Q1298" t="s">
        <v>168</v>
      </c>
      <c r="S1298" t="s">
        <v>168</v>
      </c>
      <c r="U1298" t="s">
        <v>137</v>
      </c>
      <c r="V1298" t="s">
        <v>352</v>
      </c>
      <c r="X1298" t="s">
        <v>56</v>
      </c>
      <c r="AA1298" t="s">
        <v>2163</v>
      </c>
      <c r="AB1298" t="s">
        <v>2</v>
      </c>
      <c r="AC1298" t="s">
        <v>138</v>
      </c>
      <c r="AD1298" t="s">
        <v>128</v>
      </c>
      <c r="AE1298" s="97">
        <f>VLOOKUP(A:A,SUMMERY!AA:AC,2,FALSE)</f>
        <v>46233</v>
      </c>
      <c r="AF1298" s="6" t="str">
        <f>VLOOKUP(A:A,SUMMERY!AA:AC,3,FALSE)</f>
        <v>Priority-1</v>
      </c>
    </row>
    <row r="1299" spans="1:32" x14ac:dyDescent="0.3">
      <c r="A1299" t="s">
        <v>6974</v>
      </c>
      <c r="B1299" t="s">
        <v>6890</v>
      </c>
      <c r="G1299" t="s">
        <v>5944</v>
      </c>
      <c r="H1299" t="s">
        <v>132</v>
      </c>
      <c r="I1299" t="s">
        <v>2</v>
      </c>
      <c r="J1299" t="s">
        <v>5298</v>
      </c>
      <c r="K1299" t="s">
        <v>52</v>
      </c>
      <c r="L1299" t="s">
        <v>3182</v>
      </c>
      <c r="M1299" t="s">
        <v>134</v>
      </c>
      <c r="N1299" t="s">
        <v>135</v>
      </c>
      <c r="Q1299" t="s">
        <v>168</v>
      </c>
      <c r="S1299" t="s">
        <v>168</v>
      </c>
      <c r="U1299" t="s">
        <v>137</v>
      </c>
      <c r="V1299" t="s">
        <v>352</v>
      </c>
      <c r="X1299" t="s">
        <v>56</v>
      </c>
      <c r="AA1299" t="s">
        <v>2163</v>
      </c>
      <c r="AB1299" t="s">
        <v>2</v>
      </c>
      <c r="AC1299" t="s">
        <v>138</v>
      </c>
      <c r="AD1299" t="s">
        <v>128</v>
      </c>
      <c r="AE1299" s="97">
        <f>VLOOKUP(A:A,SUMMERY!AA:AC,2,FALSE)</f>
        <v>46233</v>
      </c>
      <c r="AF1299" s="6" t="str">
        <f>VLOOKUP(A:A,SUMMERY!AA:AC,3,FALSE)</f>
        <v>Priority-1</v>
      </c>
    </row>
    <row r="1300" spans="1:32" x14ac:dyDescent="0.3">
      <c r="A1300" t="s">
        <v>6975</v>
      </c>
      <c r="B1300" t="s">
        <v>6892</v>
      </c>
      <c r="G1300" t="s">
        <v>5944</v>
      </c>
      <c r="H1300" t="s">
        <v>132</v>
      </c>
      <c r="I1300" t="s">
        <v>2</v>
      </c>
      <c r="J1300" t="s">
        <v>5298</v>
      </c>
      <c r="K1300" t="s">
        <v>52</v>
      </c>
      <c r="L1300" t="s">
        <v>6893</v>
      </c>
      <c r="M1300" t="s">
        <v>134</v>
      </c>
      <c r="N1300" t="s">
        <v>135</v>
      </c>
      <c r="Q1300" t="s">
        <v>168</v>
      </c>
      <c r="S1300" t="s">
        <v>168</v>
      </c>
      <c r="U1300" t="s">
        <v>137</v>
      </c>
      <c r="V1300" t="s">
        <v>1279</v>
      </c>
      <c r="X1300" t="s">
        <v>71</v>
      </c>
      <c r="AA1300" t="s">
        <v>2163</v>
      </c>
      <c r="AB1300" t="s">
        <v>2</v>
      </c>
      <c r="AC1300" t="s">
        <v>138</v>
      </c>
      <c r="AD1300" t="s">
        <v>128</v>
      </c>
      <c r="AE1300" s="97">
        <f>VLOOKUP(A:A,SUMMERY!AA:AC,2,FALSE)</f>
        <v>46233</v>
      </c>
      <c r="AF1300" s="6" t="str">
        <f>VLOOKUP(A:A,SUMMERY!AA:AC,3,FALSE)</f>
        <v>Priority-1</v>
      </c>
    </row>
    <row r="1301" spans="1:32" x14ac:dyDescent="0.3">
      <c r="A1301" t="s">
        <v>6976</v>
      </c>
      <c r="B1301" t="s">
        <v>6895</v>
      </c>
      <c r="G1301" t="s">
        <v>5944</v>
      </c>
      <c r="H1301" t="s">
        <v>132</v>
      </c>
      <c r="I1301" t="s">
        <v>2</v>
      </c>
      <c r="J1301" t="s">
        <v>5298</v>
      </c>
      <c r="K1301" t="s">
        <v>52</v>
      </c>
      <c r="L1301" t="s">
        <v>6896</v>
      </c>
      <c r="M1301" t="s">
        <v>134</v>
      </c>
      <c r="N1301" t="s">
        <v>135</v>
      </c>
      <c r="Q1301" t="s">
        <v>168</v>
      </c>
      <c r="S1301" t="s">
        <v>168</v>
      </c>
      <c r="U1301" t="s">
        <v>137</v>
      </c>
      <c r="V1301" t="s">
        <v>1283</v>
      </c>
      <c r="X1301" t="s">
        <v>78</v>
      </c>
      <c r="AA1301" t="s">
        <v>2163</v>
      </c>
      <c r="AB1301" t="s">
        <v>2</v>
      </c>
      <c r="AC1301" t="s">
        <v>138</v>
      </c>
      <c r="AD1301" t="s">
        <v>128</v>
      </c>
      <c r="AE1301" s="97">
        <f>VLOOKUP(A:A,SUMMERY!AA:AC,2,FALSE)</f>
        <v>46234</v>
      </c>
      <c r="AF1301" s="6" t="str">
        <f>VLOOKUP(A:A,SUMMERY!AA:AC,3,FALSE)</f>
        <v>Priority-1</v>
      </c>
    </row>
    <row r="1302" spans="1:32" x14ac:dyDescent="0.3">
      <c r="A1302" t="s">
        <v>6982</v>
      </c>
      <c r="B1302" t="s">
        <v>6913</v>
      </c>
      <c r="G1302" t="s">
        <v>5944</v>
      </c>
      <c r="H1302" t="s">
        <v>132</v>
      </c>
      <c r="I1302" t="s">
        <v>2</v>
      </c>
      <c r="J1302" t="s">
        <v>5298</v>
      </c>
      <c r="K1302" t="s">
        <v>52</v>
      </c>
      <c r="L1302" t="s">
        <v>6893</v>
      </c>
      <c r="M1302" t="s">
        <v>134</v>
      </c>
      <c r="N1302" t="s">
        <v>135</v>
      </c>
      <c r="Q1302" t="s">
        <v>168</v>
      </c>
      <c r="S1302" t="s">
        <v>168</v>
      </c>
      <c r="U1302" t="s">
        <v>137</v>
      </c>
      <c r="V1302" t="s">
        <v>1279</v>
      </c>
      <c r="X1302" t="s">
        <v>71</v>
      </c>
      <c r="AA1302" t="s">
        <v>2163</v>
      </c>
      <c r="AB1302" t="s">
        <v>2</v>
      </c>
      <c r="AC1302" t="s">
        <v>138</v>
      </c>
      <c r="AD1302" t="s">
        <v>128</v>
      </c>
      <c r="AE1302" s="97">
        <f>VLOOKUP(A:A,SUMMERY!AA:AC,2,FALSE)</f>
        <v>46233</v>
      </c>
      <c r="AF1302" s="6" t="str">
        <f>VLOOKUP(A:A,SUMMERY!AA:AC,3,FALSE)</f>
        <v>Priority-1</v>
      </c>
    </row>
    <row r="1303" spans="1:32" x14ac:dyDescent="0.3">
      <c r="A1303" t="s">
        <v>6983</v>
      </c>
      <c r="B1303" t="s">
        <v>6915</v>
      </c>
      <c r="G1303" t="s">
        <v>5944</v>
      </c>
      <c r="H1303" t="s">
        <v>132</v>
      </c>
      <c r="I1303" t="s">
        <v>2</v>
      </c>
      <c r="J1303" t="s">
        <v>5298</v>
      </c>
      <c r="K1303" t="s">
        <v>52</v>
      </c>
      <c r="L1303" t="s">
        <v>6896</v>
      </c>
      <c r="M1303" t="s">
        <v>134</v>
      </c>
      <c r="N1303" t="s">
        <v>135</v>
      </c>
      <c r="Q1303" t="s">
        <v>168</v>
      </c>
      <c r="S1303" t="s">
        <v>168</v>
      </c>
      <c r="U1303" t="s">
        <v>137</v>
      </c>
      <c r="V1303" t="s">
        <v>1283</v>
      </c>
      <c r="X1303" t="s">
        <v>78</v>
      </c>
      <c r="AA1303" t="s">
        <v>2163</v>
      </c>
      <c r="AB1303" t="s">
        <v>2</v>
      </c>
      <c r="AC1303" t="s">
        <v>138</v>
      </c>
      <c r="AD1303" t="s">
        <v>128</v>
      </c>
      <c r="AE1303" s="97">
        <f>VLOOKUP(A:A,SUMMERY!AA:AC,2,FALSE)</f>
        <v>46234</v>
      </c>
      <c r="AF1303" s="6" t="str">
        <f>VLOOKUP(A:A,SUMMERY!AA:AC,3,FALSE)</f>
        <v>Priority-1</v>
      </c>
    </row>
    <row r="1304" spans="1:32" x14ac:dyDescent="0.3">
      <c r="A1304" t="s">
        <v>5955</v>
      </c>
      <c r="B1304" t="s">
        <v>2201</v>
      </c>
      <c r="G1304" t="s">
        <v>5944</v>
      </c>
      <c r="H1304" t="s">
        <v>132</v>
      </c>
      <c r="I1304" t="s">
        <v>2</v>
      </c>
      <c r="J1304" t="s">
        <v>5298</v>
      </c>
      <c r="K1304" t="s">
        <v>52</v>
      </c>
      <c r="L1304" t="s">
        <v>2202</v>
      </c>
      <c r="M1304" t="s">
        <v>134</v>
      </c>
      <c r="N1304" t="s">
        <v>135</v>
      </c>
      <c r="Q1304" t="s">
        <v>168</v>
      </c>
      <c r="T1304" t="s">
        <v>2165</v>
      </c>
      <c r="U1304" t="s">
        <v>137</v>
      </c>
      <c r="V1304" t="s">
        <v>362</v>
      </c>
      <c r="X1304" t="s">
        <v>58</v>
      </c>
      <c r="AA1304" t="s">
        <v>2163</v>
      </c>
      <c r="AB1304" t="s">
        <v>2</v>
      </c>
      <c r="AC1304" t="s">
        <v>138</v>
      </c>
      <c r="AD1304" t="s">
        <v>128</v>
      </c>
      <c r="AE1304" s="97">
        <f>VLOOKUP(A:A,SUMMERY!AA:AC,2,FALSE)</f>
        <v>46220</v>
      </c>
      <c r="AF1304" s="6" t="str">
        <f>VLOOKUP(A:A,SUMMERY!AA:AC,3,FALSE)</f>
        <v>Priority-1</v>
      </c>
    </row>
    <row r="1305" spans="1:32" x14ac:dyDescent="0.3">
      <c r="A1305" t="s">
        <v>5956</v>
      </c>
      <c r="B1305" t="s">
        <v>2204</v>
      </c>
      <c r="G1305" t="s">
        <v>5944</v>
      </c>
      <c r="H1305" t="s">
        <v>132</v>
      </c>
      <c r="I1305" t="s">
        <v>2</v>
      </c>
      <c r="J1305" t="s">
        <v>5298</v>
      </c>
      <c r="K1305" t="s">
        <v>52</v>
      </c>
      <c r="L1305" t="s">
        <v>2205</v>
      </c>
      <c r="M1305" t="s">
        <v>134</v>
      </c>
      <c r="N1305" t="s">
        <v>135</v>
      </c>
      <c r="Q1305" t="s">
        <v>168</v>
      </c>
      <c r="T1305" t="s">
        <v>2165</v>
      </c>
      <c r="U1305" t="s">
        <v>137</v>
      </c>
      <c r="V1305" t="s">
        <v>371</v>
      </c>
      <c r="X1305" t="s">
        <v>57</v>
      </c>
      <c r="AA1305" t="s">
        <v>2163</v>
      </c>
      <c r="AB1305" t="s">
        <v>2</v>
      </c>
      <c r="AC1305" t="s">
        <v>138</v>
      </c>
      <c r="AD1305" t="s">
        <v>128</v>
      </c>
      <c r="AE1305" s="97">
        <f>VLOOKUP(A:A,SUMMERY!AA:AC,2,FALSE)</f>
        <v>46220</v>
      </c>
      <c r="AF1305" s="6" t="str">
        <f>VLOOKUP(A:A,SUMMERY!AA:AC,3,FALSE)</f>
        <v>Priority-1</v>
      </c>
    </row>
    <row r="1306" spans="1:32" x14ac:dyDescent="0.3">
      <c r="A1306" t="s">
        <v>5957</v>
      </c>
      <c r="B1306" t="s">
        <v>2207</v>
      </c>
      <c r="G1306" t="s">
        <v>5944</v>
      </c>
      <c r="H1306" t="s">
        <v>132</v>
      </c>
      <c r="I1306" t="s">
        <v>2</v>
      </c>
      <c r="J1306" t="s">
        <v>5298</v>
      </c>
      <c r="K1306" t="s">
        <v>52</v>
      </c>
      <c r="L1306" t="s">
        <v>2208</v>
      </c>
      <c r="M1306" t="s">
        <v>134</v>
      </c>
      <c r="N1306" t="s">
        <v>135</v>
      </c>
      <c r="Q1306" t="s">
        <v>168</v>
      </c>
      <c r="T1306" t="s">
        <v>2165</v>
      </c>
      <c r="U1306" t="s">
        <v>137</v>
      </c>
      <c r="V1306" t="s">
        <v>403</v>
      </c>
      <c r="X1306" t="s">
        <v>68</v>
      </c>
      <c r="AA1306" t="s">
        <v>2163</v>
      </c>
      <c r="AB1306" t="s">
        <v>2</v>
      </c>
      <c r="AC1306" t="s">
        <v>138</v>
      </c>
      <c r="AD1306" t="s">
        <v>128</v>
      </c>
      <c r="AE1306" s="97">
        <f>VLOOKUP(A:A,SUMMERY!AA:AC,2,FALSE)</f>
        <v>46233</v>
      </c>
      <c r="AF1306" s="6" t="str">
        <f>VLOOKUP(A:A,SUMMERY!AA:AC,3,FALSE)</f>
        <v>Priority-1</v>
      </c>
    </row>
    <row r="1307" spans="1:32" x14ac:dyDescent="0.3">
      <c r="A1307" t="s">
        <v>5958</v>
      </c>
      <c r="B1307" t="s">
        <v>2210</v>
      </c>
      <c r="G1307" t="s">
        <v>5944</v>
      </c>
      <c r="H1307" t="s">
        <v>132</v>
      </c>
      <c r="I1307" t="s">
        <v>2</v>
      </c>
      <c r="J1307" t="s">
        <v>5298</v>
      </c>
      <c r="K1307" t="s">
        <v>52</v>
      </c>
      <c r="L1307" t="s">
        <v>2211</v>
      </c>
      <c r="M1307" t="s">
        <v>134</v>
      </c>
      <c r="N1307" t="s">
        <v>135</v>
      </c>
      <c r="Q1307" t="s">
        <v>168</v>
      </c>
      <c r="T1307" t="s">
        <v>2165</v>
      </c>
      <c r="U1307" t="s">
        <v>137</v>
      </c>
      <c r="V1307" t="s">
        <v>407</v>
      </c>
      <c r="X1307" t="s">
        <v>77</v>
      </c>
      <c r="AA1307" t="s">
        <v>2163</v>
      </c>
      <c r="AB1307" t="s">
        <v>2</v>
      </c>
      <c r="AC1307" t="s">
        <v>138</v>
      </c>
      <c r="AD1307" t="s">
        <v>128</v>
      </c>
      <c r="AE1307" s="97">
        <f>VLOOKUP(A:A,SUMMERY!AA:AC,2,FALSE)</f>
        <v>46233</v>
      </c>
      <c r="AF1307" s="6" t="str">
        <f>VLOOKUP(A:A,SUMMERY!AA:AC,3,FALSE)</f>
        <v>Priority-1</v>
      </c>
    </row>
    <row r="1308" spans="1:32" x14ac:dyDescent="0.3">
      <c r="A1308" t="s">
        <v>5964</v>
      </c>
      <c r="B1308" t="s">
        <v>2228</v>
      </c>
      <c r="G1308" t="s">
        <v>5944</v>
      </c>
      <c r="H1308" t="s">
        <v>132</v>
      </c>
      <c r="I1308" t="s">
        <v>2</v>
      </c>
      <c r="J1308" t="s">
        <v>5298</v>
      </c>
      <c r="K1308" t="s">
        <v>52</v>
      </c>
      <c r="L1308" t="s">
        <v>2229</v>
      </c>
      <c r="M1308" t="s">
        <v>134</v>
      </c>
      <c r="N1308" t="s">
        <v>135</v>
      </c>
      <c r="Q1308" t="s">
        <v>168</v>
      </c>
      <c r="T1308" t="s">
        <v>2165</v>
      </c>
      <c r="U1308" t="s">
        <v>137</v>
      </c>
      <c r="V1308" t="s">
        <v>147</v>
      </c>
      <c r="X1308" t="s">
        <v>70</v>
      </c>
      <c r="AA1308" t="s">
        <v>2163</v>
      </c>
      <c r="AB1308" t="s">
        <v>2</v>
      </c>
      <c r="AC1308" t="s">
        <v>138</v>
      </c>
      <c r="AD1308" t="s">
        <v>128</v>
      </c>
      <c r="AE1308" s="97">
        <f>VLOOKUP(A:A,SUMMERY!AA:AC,2,FALSE)</f>
        <v>46220</v>
      </c>
      <c r="AF1308" s="6" t="str">
        <f>VLOOKUP(A:A,SUMMERY!AA:AC,3,FALSE)</f>
        <v>Priority-1</v>
      </c>
    </row>
    <row r="1309" spans="1:32" x14ac:dyDescent="0.3">
      <c r="A1309" t="s">
        <v>5965</v>
      </c>
      <c r="B1309" t="s">
        <v>2231</v>
      </c>
      <c r="G1309" t="s">
        <v>5944</v>
      </c>
      <c r="H1309" t="s">
        <v>132</v>
      </c>
      <c r="I1309" t="s">
        <v>2</v>
      </c>
      <c r="J1309" t="s">
        <v>5298</v>
      </c>
      <c r="K1309" t="s">
        <v>52</v>
      </c>
      <c r="L1309" t="s">
        <v>2229</v>
      </c>
      <c r="M1309" t="s">
        <v>134</v>
      </c>
      <c r="N1309" t="s">
        <v>135</v>
      </c>
      <c r="Q1309" t="s">
        <v>168</v>
      </c>
      <c r="T1309" t="s">
        <v>2165</v>
      </c>
      <c r="U1309" t="s">
        <v>137</v>
      </c>
      <c r="V1309" t="s">
        <v>147</v>
      </c>
      <c r="X1309" t="s">
        <v>70</v>
      </c>
      <c r="AA1309" t="s">
        <v>2163</v>
      </c>
      <c r="AB1309" t="s">
        <v>2</v>
      </c>
      <c r="AC1309" t="s">
        <v>138</v>
      </c>
      <c r="AD1309" t="s">
        <v>128</v>
      </c>
      <c r="AE1309" s="97">
        <f>VLOOKUP(A:A,SUMMERY!AA:AC,2,FALSE)</f>
        <v>46220</v>
      </c>
      <c r="AF1309" s="6" t="str">
        <f>VLOOKUP(A:A,SUMMERY!AA:AC,3,FALSE)</f>
        <v>Priority-1</v>
      </c>
    </row>
    <row r="1310" spans="1:32" x14ac:dyDescent="0.3">
      <c r="A1310" t="s">
        <v>5966</v>
      </c>
      <c r="B1310" t="s">
        <v>2233</v>
      </c>
      <c r="G1310" t="s">
        <v>5944</v>
      </c>
      <c r="H1310" t="s">
        <v>132</v>
      </c>
      <c r="I1310" t="s">
        <v>2</v>
      </c>
      <c r="J1310" t="s">
        <v>5298</v>
      </c>
      <c r="K1310" t="s">
        <v>52</v>
      </c>
      <c r="L1310" t="s">
        <v>2234</v>
      </c>
      <c r="M1310" t="s">
        <v>134</v>
      </c>
      <c r="N1310" t="s">
        <v>135</v>
      </c>
      <c r="Q1310" t="s">
        <v>168</v>
      </c>
      <c r="T1310" t="s">
        <v>2165</v>
      </c>
      <c r="U1310" t="s">
        <v>137</v>
      </c>
      <c r="V1310" t="s">
        <v>150</v>
      </c>
      <c r="X1310" t="s">
        <v>76</v>
      </c>
      <c r="AA1310" t="s">
        <v>2163</v>
      </c>
      <c r="AB1310" t="s">
        <v>2</v>
      </c>
      <c r="AC1310" t="s">
        <v>138</v>
      </c>
      <c r="AD1310" t="s">
        <v>128</v>
      </c>
      <c r="AE1310" s="97">
        <f>VLOOKUP(A:A,SUMMERY!AA:AC,2,FALSE)</f>
        <v>46233</v>
      </c>
      <c r="AF1310" s="6" t="str">
        <f>VLOOKUP(A:A,SUMMERY!AA:AC,3,FALSE)</f>
        <v>Priority-1</v>
      </c>
    </row>
    <row r="1311" spans="1:32" x14ac:dyDescent="0.3">
      <c r="A1311" t="s">
        <v>5967</v>
      </c>
      <c r="B1311" t="s">
        <v>2236</v>
      </c>
      <c r="G1311" t="s">
        <v>5944</v>
      </c>
      <c r="H1311" t="s">
        <v>132</v>
      </c>
      <c r="I1311" t="s">
        <v>2</v>
      </c>
      <c r="J1311" t="s">
        <v>5298</v>
      </c>
      <c r="K1311" t="s">
        <v>52</v>
      </c>
      <c r="L1311" t="s">
        <v>2234</v>
      </c>
      <c r="M1311" t="s">
        <v>134</v>
      </c>
      <c r="N1311" t="s">
        <v>135</v>
      </c>
      <c r="Q1311" t="s">
        <v>168</v>
      </c>
      <c r="T1311" t="s">
        <v>2165</v>
      </c>
      <c r="U1311" t="s">
        <v>137</v>
      </c>
      <c r="V1311" t="s">
        <v>150</v>
      </c>
      <c r="X1311" t="s">
        <v>76</v>
      </c>
      <c r="AA1311" t="s">
        <v>2163</v>
      </c>
      <c r="AB1311" t="s">
        <v>2</v>
      </c>
      <c r="AC1311" t="s">
        <v>138</v>
      </c>
      <c r="AD1311" t="s">
        <v>128</v>
      </c>
      <c r="AE1311" s="97">
        <f>VLOOKUP(A:A,SUMMERY!AA:AC,2,FALSE)</f>
        <v>46233</v>
      </c>
      <c r="AF1311" s="6" t="str">
        <f>VLOOKUP(A:A,SUMMERY!AA:AC,3,FALSE)</f>
        <v>Priority-1</v>
      </c>
    </row>
    <row r="1312" spans="1:32" x14ac:dyDescent="0.3">
      <c r="A1312" t="s">
        <v>5978</v>
      </c>
      <c r="B1312" t="s">
        <v>2263</v>
      </c>
      <c r="G1312" t="s">
        <v>5944</v>
      </c>
      <c r="H1312" t="s">
        <v>132</v>
      </c>
      <c r="I1312" t="s">
        <v>2</v>
      </c>
      <c r="J1312" t="s">
        <v>5298</v>
      </c>
      <c r="K1312" t="s">
        <v>52</v>
      </c>
      <c r="L1312" t="s">
        <v>2264</v>
      </c>
      <c r="M1312" t="s">
        <v>134</v>
      </c>
      <c r="N1312" t="s">
        <v>135</v>
      </c>
      <c r="Q1312" t="s">
        <v>168</v>
      </c>
      <c r="T1312" t="s">
        <v>2165</v>
      </c>
      <c r="U1312" t="s">
        <v>137</v>
      </c>
      <c r="V1312" t="s">
        <v>352</v>
      </c>
      <c r="X1312" t="s">
        <v>56</v>
      </c>
      <c r="AA1312" t="s">
        <v>2163</v>
      </c>
      <c r="AB1312" t="s">
        <v>2</v>
      </c>
      <c r="AC1312" t="s">
        <v>138</v>
      </c>
      <c r="AD1312" t="s">
        <v>128</v>
      </c>
      <c r="AE1312" s="97">
        <f>VLOOKUP(A:A,SUMMERY!AA:AC,2,FALSE)</f>
        <v>46233</v>
      </c>
      <c r="AF1312" s="6" t="str">
        <f>VLOOKUP(A:A,SUMMERY!AA:AC,3,FALSE)</f>
        <v>Priority-1</v>
      </c>
    </row>
    <row r="1313" spans="1:32" x14ac:dyDescent="0.3">
      <c r="A1313" t="s">
        <v>5979</v>
      </c>
      <c r="B1313" t="s">
        <v>2266</v>
      </c>
      <c r="G1313" t="s">
        <v>5944</v>
      </c>
      <c r="H1313" t="s">
        <v>132</v>
      </c>
      <c r="I1313" t="s">
        <v>2</v>
      </c>
      <c r="J1313" t="s">
        <v>5298</v>
      </c>
      <c r="K1313" t="s">
        <v>52</v>
      </c>
      <c r="L1313" t="s">
        <v>2264</v>
      </c>
      <c r="M1313" t="s">
        <v>134</v>
      </c>
      <c r="N1313" t="s">
        <v>135</v>
      </c>
      <c r="Q1313" t="s">
        <v>168</v>
      </c>
      <c r="T1313" t="s">
        <v>2165</v>
      </c>
      <c r="U1313" t="s">
        <v>137</v>
      </c>
      <c r="V1313" t="s">
        <v>352</v>
      </c>
      <c r="X1313" t="s">
        <v>56</v>
      </c>
      <c r="AA1313" t="s">
        <v>2163</v>
      </c>
      <c r="AB1313" t="s">
        <v>2</v>
      </c>
      <c r="AC1313" t="s">
        <v>138</v>
      </c>
      <c r="AD1313" t="s">
        <v>128</v>
      </c>
      <c r="AE1313" s="97">
        <f>VLOOKUP(A:A,SUMMERY!AA:AC,2,FALSE)</f>
        <v>46233</v>
      </c>
      <c r="AF1313" s="6" t="str">
        <f>VLOOKUP(A:A,SUMMERY!AA:AC,3,FALSE)</f>
        <v>Priority-1</v>
      </c>
    </row>
    <row r="1314" spans="1:32" x14ac:dyDescent="0.3">
      <c r="A1314" t="s">
        <v>5980</v>
      </c>
      <c r="B1314" t="s">
        <v>2268</v>
      </c>
      <c r="G1314" t="s">
        <v>5944</v>
      </c>
      <c r="H1314" t="s">
        <v>132</v>
      </c>
      <c r="I1314" t="s">
        <v>2</v>
      </c>
      <c r="J1314" t="s">
        <v>5298</v>
      </c>
      <c r="K1314" t="s">
        <v>52</v>
      </c>
      <c r="L1314" t="s">
        <v>2264</v>
      </c>
      <c r="M1314" t="s">
        <v>134</v>
      </c>
      <c r="N1314" t="s">
        <v>135</v>
      </c>
      <c r="Q1314" t="s">
        <v>168</v>
      </c>
      <c r="T1314" t="s">
        <v>2165</v>
      </c>
      <c r="U1314" t="s">
        <v>137</v>
      </c>
      <c r="V1314" t="s">
        <v>352</v>
      </c>
      <c r="X1314" t="s">
        <v>56</v>
      </c>
      <c r="AA1314" t="s">
        <v>2163</v>
      </c>
      <c r="AB1314" t="s">
        <v>2</v>
      </c>
      <c r="AC1314" t="s">
        <v>138</v>
      </c>
      <c r="AD1314" t="s">
        <v>128</v>
      </c>
      <c r="AE1314" s="97">
        <f>VLOOKUP(A:A,SUMMERY!AA:AC,2,FALSE)</f>
        <v>46233</v>
      </c>
      <c r="AF1314" s="6" t="str">
        <f>VLOOKUP(A:A,SUMMERY!AA:AC,3,FALSE)</f>
        <v>Priority-1</v>
      </c>
    </row>
    <row r="1315" spans="1:32" x14ac:dyDescent="0.3">
      <c r="A1315" t="s">
        <v>5981</v>
      </c>
      <c r="B1315" t="s">
        <v>2270</v>
      </c>
      <c r="G1315" t="s">
        <v>5944</v>
      </c>
      <c r="H1315" t="s">
        <v>132</v>
      </c>
      <c r="I1315" t="s">
        <v>2</v>
      </c>
      <c r="J1315" t="s">
        <v>5298</v>
      </c>
      <c r="K1315" t="s">
        <v>52</v>
      </c>
      <c r="L1315" t="s">
        <v>2264</v>
      </c>
      <c r="M1315" t="s">
        <v>134</v>
      </c>
      <c r="N1315" t="s">
        <v>135</v>
      </c>
      <c r="Q1315" t="s">
        <v>168</v>
      </c>
      <c r="T1315" t="s">
        <v>2165</v>
      </c>
      <c r="U1315" t="s">
        <v>137</v>
      </c>
      <c r="V1315" t="s">
        <v>352</v>
      </c>
      <c r="X1315" t="s">
        <v>56</v>
      </c>
      <c r="AA1315" t="s">
        <v>2163</v>
      </c>
      <c r="AB1315" t="s">
        <v>2</v>
      </c>
      <c r="AC1315" t="s">
        <v>138</v>
      </c>
      <c r="AD1315" t="s">
        <v>128</v>
      </c>
      <c r="AE1315" s="97">
        <f>VLOOKUP(A:A,SUMMERY!AA:AC,2,FALSE)</f>
        <v>46233</v>
      </c>
      <c r="AF1315" s="6" t="str">
        <f>VLOOKUP(A:A,SUMMERY!AA:AC,3,FALSE)</f>
        <v>Priority-1</v>
      </c>
    </row>
    <row r="1316" spans="1:32" x14ac:dyDescent="0.3">
      <c r="A1316" t="s">
        <v>5982</v>
      </c>
      <c r="B1316" t="s">
        <v>2272</v>
      </c>
      <c r="G1316" t="s">
        <v>5944</v>
      </c>
      <c r="H1316" t="s">
        <v>132</v>
      </c>
      <c r="I1316" t="s">
        <v>2</v>
      </c>
      <c r="J1316" t="s">
        <v>5298</v>
      </c>
      <c r="K1316" t="s">
        <v>52</v>
      </c>
      <c r="L1316" t="s">
        <v>2273</v>
      </c>
      <c r="M1316" t="s">
        <v>134</v>
      </c>
      <c r="N1316" t="s">
        <v>135</v>
      </c>
      <c r="Q1316" t="s">
        <v>168</v>
      </c>
      <c r="T1316" t="s">
        <v>2165</v>
      </c>
      <c r="U1316" t="s">
        <v>137</v>
      </c>
      <c r="V1316" t="s">
        <v>352</v>
      </c>
      <c r="X1316" t="s">
        <v>56</v>
      </c>
      <c r="AA1316" t="s">
        <v>2163</v>
      </c>
      <c r="AB1316" t="s">
        <v>2</v>
      </c>
      <c r="AC1316" t="s">
        <v>138</v>
      </c>
      <c r="AD1316" t="s">
        <v>128</v>
      </c>
      <c r="AE1316" s="97">
        <f>VLOOKUP(A:A,SUMMERY!AA:AC,2,FALSE)</f>
        <v>46233</v>
      </c>
      <c r="AF1316" s="6" t="str">
        <f>VLOOKUP(A:A,SUMMERY!AA:AC,3,FALSE)</f>
        <v>Priority-1</v>
      </c>
    </row>
    <row r="1317" spans="1:32" x14ac:dyDescent="0.3">
      <c r="A1317" t="s">
        <v>5983</v>
      </c>
      <c r="B1317" t="s">
        <v>2275</v>
      </c>
      <c r="G1317" t="s">
        <v>5944</v>
      </c>
      <c r="H1317" t="s">
        <v>132</v>
      </c>
      <c r="I1317" t="s">
        <v>2</v>
      </c>
      <c r="J1317" t="s">
        <v>5298</v>
      </c>
      <c r="K1317" t="s">
        <v>52</v>
      </c>
      <c r="L1317" t="s">
        <v>2273</v>
      </c>
      <c r="M1317" t="s">
        <v>134</v>
      </c>
      <c r="N1317" t="s">
        <v>135</v>
      </c>
      <c r="Q1317" t="s">
        <v>168</v>
      </c>
      <c r="T1317" t="s">
        <v>2165</v>
      </c>
      <c r="U1317" t="s">
        <v>137</v>
      </c>
      <c r="V1317" t="s">
        <v>352</v>
      </c>
      <c r="X1317" t="s">
        <v>56</v>
      </c>
      <c r="AA1317" t="s">
        <v>2163</v>
      </c>
      <c r="AB1317" t="s">
        <v>2</v>
      </c>
      <c r="AC1317" t="s">
        <v>138</v>
      </c>
      <c r="AD1317" t="s">
        <v>128</v>
      </c>
      <c r="AE1317" s="97">
        <f>VLOOKUP(A:A,SUMMERY!AA:AC,2,FALSE)</f>
        <v>46233</v>
      </c>
      <c r="AF1317" s="6" t="str">
        <f>VLOOKUP(A:A,SUMMERY!AA:AC,3,FALSE)</f>
        <v>Priority-1</v>
      </c>
    </row>
    <row r="1318" spans="1:32" x14ac:dyDescent="0.3">
      <c r="A1318" t="s">
        <v>5984</v>
      </c>
      <c r="B1318" t="s">
        <v>2277</v>
      </c>
      <c r="G1318" t="s">
        <v>5944</v>
      </c>
      <c r="H1318" t="s">
        <v>132</v>
      </c>
      <c r="I1318" t="s">
        <v>2</v>
      </c>
      <c r="J1318" t="s">
        <v>5298</v>
      </c>
      <c r="K1318" t="s">
        <v>52</v>
      </c>
      <c r="L1318" t="s">
        <v>2278</v>
      </c>
      <c r="M1318" t="s">
        <v>134</v>
      </c>
      <c r="N1318" t="s">
        <v>135</v>
      </c>
      <c r="Q1318" t="s">
        <v>168</v>
      </c>
      <c r="T1318" t="s">
        <v>2165</v>
      </c>
      <c r="U1318" t="s">
        <v>137</v>
      </c>
      <c r="V1318" t="s">
        <v>147</v>
      </c>
      <c r="X1318" t="s">
        <v>70</v>
      </c>
      <c r="AA1318" t="s">
        <v>2163</v>
      </c>
      <c r="AB1318" t="s">
        <v>2</v>
      </c>
      <c r="AC1318" t="s">
        <v>138</v>
      </c>
      <c r="AD1318" t="s">
        <v>128</v>
      </c>
      <c r="AE1318" s="97">
        <f>VLOOKUP(A:A,SUMMERY!AA:AC,2,FALSE)</f>
        <v>46220</v>
      </c>
      <c r="AF1318" s="6" t="str">
        <f>VLOOKUP(A:A,SUMMERY!AA:AC,3,FALSE)</f>
        <v>Priority-1</v>
      </c>
    </row>
    <row r="1319" spans="1:32" x14ac:dyDescent="0.3">
      <c r="A1319" t="s">
        <v>5985</v>
      </c>
      <c r="B1319" t="s">
        <v>2280</v>
      </c>
      <c r="G1319" t="s">
        <v>5944</v>
      </c>
      <c r="H1319" t="s">
        <v>132</v>
      </c>
      <c r="I1319" t="s">
        <v>2</v>
      </c>
      <c r="J1319" t="s">
        <v>5298</v>
      </c>
      <c r="K1319" t="s">
        <v>52</v>
      </c>
      <c r="L1319" t="s">
        <v>2281</v>
      </c>
      <c r="M1319" t="s">
        <v>134</v>
      </c>
      <c r="N1319" t="s">
        <v>135</v>
      </c>
      <c r="Q1319" t="s">
        <v>168</v>
      </c>
      <c r="T1319" t="s">
        <v>2165</v>
      </c>
      <c r="U1319" t="s">
        <v>137</v>
      </c>
      <c r="V1319" t="s">
        <v>150</v>
      </c>
      <c r="X1319" t="s">
        <v>76</v>
      </c>
      <c r="AA1319" t="s">
        <v>2163</v>
      </c>
      <c r="AB1319" t="s">
        <v>2</v>
      </c>
      <c r="AC1319" t="s">
        <v>138</v>
      </c>
      <c r="AD1319" t="s">
        <v>128</v>
      </c>
      <c r="AE1319" s="97">
        <f>VLOOKUP(A:A,SUMMERY!AA:AC,2,FALSE)</f>
        <v>46233</v>
      </c>
      <c r="AF1319" s="6" t="str">
        <f>VLOOKUP(A:A,SUMMERY!AA:AC,3,FALSE)</f>
        <v>Priority-1</v>
      </c>
    </row>
    <row r="1320" spans="1:32" x14ac:dyDescent="0.3">
      <c r="A1320" t="s">
        <v>5991</v>
      </c>
      <c r="B1320" t="s">
        <v>2298</v>
      </c>
      <c r="G1320" t="s">
        <v>5944</v>
      </c>
      <c r="H1320" t="s">
        <v>132</v>
      </c>
      <c r="I1320" t="s">
        <v>2</v>
      </c>
      <c r="J1320" t="s">
        <v>5298</v>
      </c>
      <c r="K1320" t="s">
        <v>52</v>
      </c>
      <c r="L1320" t="s">
        <v>2299</v>
      </c>
      <c r="M1320" t="s">
        <v>134</v>
      </c>
      <c r="N1320" t="s">
        <v>135</v>
      </c>
      <c r="Q1320" t="s">
        <v>168</v>
      </c>
      <c r="T1320" t="s">
        <v>2165</v>
      </c>
      <c r="U1320" t="s">
        <v>137</v>
      </c>
      <c r="V1320" t="s">
        <v>147</v>
      </c>
      <c r="X1320" t="s">
        <v>70</v>
      </c>
      <c r="AA1320" t="s">
        <v>2163</v>
      </c>
      <c r="AB1320" t="s">
        <v>2</v>
      </c>
      <c r="AC1320" t="s">
        <v>138</v>
      </c>
      <c r="AD1320" t="s">
        <v>128</v>
      </c>
      <c r="AE1320" s="97">
        <f>VLOOKUP(A:A,SUMMERY!AA:AC,2,FALSE)</f>
        <v>46220</v>
      </c>
      <c r="AF1320" s="6" t="str">
        <f>VLOOKUP(A:A,SUMMERY!AA:AC,3,FALSE)</f>
        <v>Priority-1</v>
      </c>
    </row>
    <row r="1321" spans="1:32" x14ac:dyDescent="0.3">
      <c r="A1321" t="s">
        <v>5992</v>
      </c>
      <c r="B1321" t="s">
        <v>2301</v>
      </c>
      <c r="G1321" t="s">
        <v>5944</v>
      </c>
      <c r="H1321" t="s">
        <v>132</v>
      </c>
      <c r="I1321" t="s">
        <v>2</v>
      </c>
      <c r="J1321" t="s">
        <v>5298</v>
      </c>
      <c r="K1321" t="s">
        <v>52</v>
      </c>
      <c r="L1321" t="s">
        <v>2299</v>
      </c>
      <c r="M1321" t="s">
        <v>134</v>
      </c>
      <c r="N1321" t="s">
        <v>135</v>
      </c>
      <c r="Q1321" t="s">
        <v>168</v>
      </c>
      <c r="T1321" t="s">
        <v>2165</v>
      </c>
      <c r="U1321" t="s">
        <v>137</v>
      </c>
      <c r="V1321" t="s">
        <v>147</v>
      </c>
      <c r="X1321" t="s">
        <v>70</v>
      </c>
      <c r="AA1321" t="s">
        <v>2163</v>
      </c>
      <c r="AB1321" t="s">
        <v>2</v>
      </c>
      <c r="AC1321" t="s">
        <v>138</v>
      </c>
      <c r="AD1321" t="s">
        <v>128</v>
      </c>
      <c r="AE1321" s="97">
        <f>VLOOKUP(A:A,SUMMERY!AA:AC,2,FALSE)</f>
        <v>46220</v>
      </c>
      <c r="AF1321" s="6" t="str">
        <f>VLOOKUP(A:A,SUMMERY!AA:AC,3,FALSE)</f>
        <v>Priority-1</v>
      </c>
    </row>
    <row r="1322" spans="1:32" x14ac:dyDescent="0.3">
      <c r="A1322" t="s">
        <v>5993</v>
      </c>
      <c r="B1322" t="s">
        <v>2303</v>
      </c>
      <c r="G1322" t="s">
        <v>5944</v>
      </c>
      <c r="H1322" t="s">
        <v>132</v>
      </c>
      <c r="I1322" t="s">
        <v>2</v>
      </c>
      <c r="J1322" t="s">
        <v>5298</v>
      </c>
      <c r="K1322" t="s">
        <v>52</v>
      </c>
      <c r="L1322" t="s">
        <v>2304</v>
      </c>
      <c r="M1322" t="s">
        <v>134</v>
      </c>
      <c r="N1322" t="s">
        <v>135</v>
      </c>
      <c r="Q1322" t="s">
        <v>168</v>
      </c>
      <c r="T1322" t="s">
        <v>2165</v>
      </c>
      <c r="U1322" t="s">
        <v>137</v>
      </c>
      <c r="V1322" t="s">
        <v>150</v>
      </c>
      <c r="X1322" t="s">
        <v>76</v>
      </c>
      <c r="AA1322" t="s">
        <v>2163</v>
      </c>
      <c r="AB1322" t="s">
        <v>2</v>
      </c>
      <c r="AC1322" t="s">
        <v>138</v>
      </c>
      <c r="AD1322" t="s">
        <v>128</v>
      </c>
      <c r="AE1322" s="97">
        <f>VLOOKUP(A:A,SUMMERY!AA:AC,2,FALSE)</f>
        <v>46233</v>
      </c>
      <c r="AF1322" s="6" t="str">
        <f>VLOOKUP(A:A,SUMMERY!AA:AC,3,FALSE)</f>
        <v>Priority-1</v>
      </c>
    </row>
    <row r="1323" spans="1:32" x14ac:dyDescent="0.3">
      <c r="A1323" t="s">
        <v>5994</v>
      </c>
      <c r="B1323" t="s">
        <v>2306</v>
      </c>
      <c r="G1323" t="s">
        <v>5944</v>
      </c>
      <c r="H1323" t="s">
        <v>132</v>
      </c>
      <c r="I1323" t="s">
        <v>2</v>
      </c>
      <c r="J1323" t="s">
        <v>5298</v>
      </c>
      <c r="K1323" t="s">
        <v>52</v>
      </c>
      <c r="L1323" t="s">
        <v>2304</v>
      </c>
      <c r="M1323" t="s">
        <v>134</v>
      </c>
      <c r="N1323" t="s">
        <v>135</v>
      </c>
      <c r="Q1323" t="s">
        <v>168</v>
      </c>
      <c r="T1323" t="s">
        <v>2165</v>
      </c>
      <c r="U1323" t="s">
        <v>137</v>
      </c>
      <c r="V1323" t="s">
        <v>150</v>
      </c>
      <c r="X1323" t="s">
        <v>76</v>
      </c>
      <c r="AA1323" t="s">
        <v>2163</v>
      </c>
      <c r="AB1323" t="s">
        <v>2</v>
      </c>
      <c r="AC1323" t="s">
        <v>138</v>
      </c>
      <c r="AD1323" t="s">
        <v>128</v>
      </c>
      <c r="AE1323" s="97">
        <f>VLOOKUP(A:A,SUMMERY!AA:AC,2,FALSE)</f>
        <v>46233</v>
      </c>
      <c r="AF1323" s="6" t="str">
        <f>VLOOKUP(A:A,SUMMERY!AA:AC,3,FALSE)</f>
        <v>Priority-1</v>
      </c>
    </row>
    <row r="1324" spans="1:32" x14ac:dyDescent="0.3">
      <c r="A1324" t="s">
        <v>6005</v>
      </c>
      <c r="B1324" t="s">
        <v>2333</v>
      </c>
      <c r="G1324" t="s">
        <v>5944</v>
      </c>
      <c r="H1324" t="s">
        <v>132</v>
      </c>
      <c r="I1324" t="s">
        <v>2</v>
      </c>
      <c r="J1324" t="s">
        <v>5298</v>
      </c>
      <c r="K1324" t="s">
        <v>52</v>
      </c>
      <c r="L1324" t="s">
        <v>2334</v>
      </c>
      <c r="M1324" t="s">
        <v>134</v>
      </c>
      <c r="N1324" t="s">
        <v>135</v>
      </c>
      <c r="Q1324" t="s">
        <v>168</v>
      </c>
      <c r="T1324" t="s">
        <v>2165</v>
      </c>
      <c r="U1324" t="s">
        <v>137</v>
      </c>
      <c r="V1324" t="s">
        <v>890</v>
      </c>
      <c r="X1324" t="s">
        <v>59</v>
      </c>
      <c r="AA1324" t="s">
        <v>2163</v>
      </c>
      <c r="AB1324" t="s">
        <v>2</v>
      </c>
      <c r="AC1324" t="s">
        <v>138</v>
      </c>
      <c r="AD1324" t="s">
        <v>128</v>
      </c>
      <c r="AE1324" s="97">
        <f>VLOOKUP(A:A,SUMMERY!AA:AC,2,FALSE)</f>
        <v>46220</v>
      </c>
      <c r="AF1324" s="6" t="str">
        <f>VLOOKUP(A:A,SUMMERY!AA:AC,3,FALSE)</f>
        <v>Priority-1</v>
      </c>
    </row>
    <row r="1325" spans="1:32" x14ac:dyDescent="0.3">
      <c r="A1325" t="s">
        <v>6006</v>
      </c>
      <c r="B1325" t="s">
        <v>2336</v>
      </c>
      <c r="G1325" t="s">
        <v>5944</v>
      </c>
      <c r="H1325" t="s">
        <v>132</v>
      </c>
      <c r="I1325" t="s">
        <v>2</v>
      </c>
      <c r="J1325" t="s">
        <v>5298</v>
      </c>
      <c r="K1325" t="s">
        <v>52</v>
      </c>
      <c r="L1325" t="s">
        <v>1348</v>
      </c>
      <c r="M1325" t="s">
        <v>134</v>
      </c>
      <c r="N1325" t="s">
        <v>135</v>
      </c>
      <c r="Q1325" t="s">
        <v>168</v>
      </c>
      <c r="T1325" t="s">
        <v>2165</v>
      </c>
      <c r="U1325" t="s">
        <v>137</v>
      </c>
      <c r="V1325" t="s">
        <v>296</v>
      </c>
      <c r="X1325" t="s">
        <v>63</v>
      </c>
      <c r="AA1325" t="s">
        <v>2163</v>
      </c>
      <c r="AB1325" t="s">
        <v>2</v>
      </c>
      <c r="AC1325" t="s">
        <v>138</v>
      </c>
      <c r="AD1325" t="s">
        <v>128</v>
      </c>
      <c r="AE1325" s="97">
        <f>VLOOKUP(A:A,SUMMERY!AA:AC,2,FALSE)</f>
        <v>46220</v>
      </c>
      <c r="AF1325" s="6" t="str">
        <f>VLOOKUP(A:A,SUMMERY!AA:AC,3,FALSE)</f>
        <v>Priority-1</v>
      </c>
    </row>
    <row r="1326" spans="1:32" x14ac:dyDescent="0.3">
      <c r="A1326" t="s">
        <v>6007</v>
      </c>
      <c r="B1326" t="s">
        <v>2338</v>
      </c>
      <c r="G1326" t="s">
        <v>5944</v>
      </c>
      <c r="H1326" t="s">
        <v>132</v>
      </c>
      <c r="I1326" t="s">
        <v>2</v>
      </c>
      <c r="J1326" t="s">
        <v>5298</v>
      </c>
      <c r="K1326" t="s">
        <v>52</v>
      </c>
      <c r="L1326" t="s">
        <v>1348</v>
      </c>
      <c r="M1326" t="s">
        <v>134</v>
      </c>
      <c r="N1326" t="s">
        <v>135</v>
      </c>
      <c r="Q1326" t="s">
        <v>168</v>
      </c>
      <c r="T1326" t="s">
        <v>2165</v>
      </c>
      <c r="U1326" t="s">
        <v>137</v>
      </c>
      <c r="V1326" t="s">
        <v>296</v>
      </c>
      <c r="X1326" t="s">
        <v>63</v>
      </c>
      <c r="AA1326" t="s">
        <v>2163</v>
      </c>
      <c r="AB1326" t="s">
        <v>2</v>
      </c>
      <c r="AC1326" t="s">
        <v>138</v>
      </c>
      <c r="AD1326" t="s">
        <v>128</v>
      </c>
      <c r="AE1326" s="97">
        <f>VLOOKUP(A:A,SUMMERY!AA:AC,2,FALSE)</f>
        <v>46220</v>
      </c>
      <c r="AF1326" s="6" t="str">
        <f>VLOOKUP(A:A,SUMMERY!AA:AC,3,FALSE)</f>
        <v>Priority-1</v>
      </c>
    </row>
    <row r="1327" spans="1:32" x14ac:dyDescent="0.3">
      <c r="A1327" t="s">
        <v>6008</v>
      </c>
      <c r="B1327" t="s">
        <v>2340</v>
      </c>
      <c r="G1327" t="s">
        <v>5944</v>
      </c>
      <c r="H1327" t="s">
        <v>132</v>
      </c>
      <c r="I1327" t="s">
        <v>2</v>
      </c>
      <c r="J1327" t="s">
        <v>5298</v>
      </c>
      <c r="K1327" t="s">
        <v>52</v>
      </c>
      <c r="L1327" t="s">
        <v>1348</v>
      </c>
      <c r="M1327" t="s">
        <v>134</v>
      </c>
      <c r="N1327" t="s">
        <v>135</v>
      </c>
      <c r="Q1327" t="s">
        <v>168</v>
      </c>
      <c r="T1327" t="s">
        <v>2165</v>
      </c>
      <c r="U1327" t="s">
        <v>137</v>
      </c>
      <c r="V1327" t="s">
        <v>296</v>
      </c>
      <c r="X1327" t="s">
        <v>63</v>
      </c>
      <c r="AA1327" t="s">
        <v>2163</v>
      </c>
      <c r="AB1327" t="s">
        <v>2</v>
      </c>
      <c r="AC1327" t="s">
        <v>138</v>
      </c>
      <c r="AD1327" t="s">
        <v>128</v>
      </c>
      <c r="AE1327" s="97">
        <f>VLOOKUP(A:A,SUMMERY!AA:AC,2,FALSE)</f>
        <v>46220</v>
      </c>
      <c r="AF1327" s="6" t="str">
        <f>VLOOKUP(A:A,SUMMERY!AA:AC,3,FALSE)</f>
        <v>Priority-1</v>
      </c>
    </row>
    <row r="1328" spans="1:32" x14ac:dyDescent="0.3">
      <c r="A1328" t="s">
        <v>6009</v>
      </c>
      <c r="B1328" t="s">
        <v>2342</v>
      </c>
      <c r="G1328" t="s">
        <v>5944</v>
      </c>
      <c r="H1328" t="s">
        <v>132</v>
      </c>
      <c r="I1328" t="s">
        <v>2</v>
      </c>
      <c r="J1328" t="s">
        <v>5298</v>
      </c>
      <c r="K1328" t="s">
        <v>52</v>
      </c>
      <c r="L1328" t="s">
        <v>1348</v>
      </c>
      <c r="M1328" t="s">
        <v>134</v>
      </c>
      <c r="N1328" t="s">
        <v>135</v>
      </c>
      <c r="Q1328" t="s">
        <v>168</v>
      </c>
      <c r="T1328" t="s">
        <v>2165</v>
      </c>
      <c r="U1328" t="s">
        <v>137</v>
      </c>
      <c r="V1328" t="s">
        <v>296</v>
      </c>
      <c r="X1328" t="s">
        <v>63</v>
      </c>
      <c r="AA1328" t="s">
        <v>2163</v>
      </c>
      <c r="AB1328" t="s">
        <v>2</v>
      </c>
      <c r="AC1328" t="s">
        <v>138</v>
      </c>
      <c r="AD1328" t="s">
        <v>128</v>
      </c>
      <c r="AE1328" s="97">
        <f>VLOOKUP(A:A,SUMMERY!AA:AC,2,FALSE)</f>
        <v>46220</v>
      </c>
      <c r="AF1328" s="6" t="str">
        <f>VLOOKUP(A:A,SUMMERY!AA:AC,3,FALSE)</f>
        <v>Priority-1</v>
      </c>
    </row>
    <row r="1329" spans="1:32" x14ac:dyDescent="0.3">
      <c r="A1329" t="s">
        <v>6010</v>
      </c>
      <c r="B1329" t="s">
        <v>2344</v>
      </c>
      <c r="G1329" t="s">
        <v>5944</v>
      </c>
      <c r="H1329" t="s">
        <v>132</v>
      </c>
      <c r="I1329" t="s">
        <v>2</v>
      </c>
      <c r="J1329" t="s">
        <v>5298</v>
      </c>
      <c r="K1329" t="s">
        <v>52</v>
      </c>
      <c r="L1329" t="s">
        <v>1348</v>
      </c>
      <c r="M1329" t="s">
        <v>134</v>
      </c>
      <c r="N1329" t="s">
        <v>135</v>
      </c>
      <c r="Q1329" t="s">
        <v>168</v>
      </c>
      <c r="T1329" t="s">
        <v>2165</v>
      </c>
      <c r="U1329" t="s">
        <v>137</v>
      </c>
      <c r="V1329" t="s">
        <v>296</v>
      </c>
      <c r="X1329" t="s">
        <v>63</v>
      </c>
      <c r="AA1329" t="s">
        <v>2163</v>
      </c>
      <c r="AB1329" t="s">
        <v>2</v>
      </c>
      <c r="AC1329" t="s">
        <v>138</v>
      </c>
      <c r="AD1329" t="s">
        <v>128</v>
      </c>
      <c r="AE1329" s="97">
        <f>VLOOKUP(A:A,SUMMERY!AA:AC,2,FALSE)</f>
        <v>46220</v>
      </c>
      <c r="AF1329" s="6" t="str">
        <f>VLOOKUP(A:A,SUMMERY!AA:AC,3,FALSE)</f>
        <v>Priority-1</v>
      </c>
    </row>
    <row r="1330" spans="1:32" x14ac:dyDescent="0.3">
      <c r="A1330" t="s">
        <v>6011</v>
      </c>
      <c r="B1330" t="s">
        <v>2346</v>
      </c>
      <c r="G1330" t="s">
        <v>5944</v>
      </c>
      <c r="H1330" t="s">
        <v>132</v>
      </c>
      <c r="I1330" t="s">
        <v>2</v>
      </c>
      <c r="J1330" t="s">
        <v>5298</v>
      </c>
      <c r="K1330" t="s">
        <v>52</v>
      </c>
      <c r="L1330" t="s">
        <v>2347</v>
      </c>
      <c r="M1330" t="s">
        <v>134</v>
      </c>
      <c r="N1330" t="s">
        <v>135</v>
      </c>
      <c r="Q1330" t="s">
        <v>168</v>
      </c>
      <c r="T1330" t="s">
        <v>2165</v>
      </c>
      <c r="U1330" t="s">
        <v>137</v>
      </c>
      <c r="V1330" t="s">
        <v>897</v>
      </c>
      <c r="X1330" t="s">
        <v>64</v>
      </c>
      <c r="AA1330" t="s">
        <v>2163</v>
      </c>
      <c r="AB1330" t="s">
        <v>2</v>
      </c>
      <c r="AC1330" t="s">
        <v>138</v>
      </c>
      <c r="AD1330" t="s">
        <v>128</v>
      </c>
      <c r="AE1330" s="97">
        <f>VLOOKUP(A:A,SUMMERY!AA:AC,2,FALSE)</f>
        <v>46233</v>
      </c>
      <c r="AF1330" s="6" t="str">
        <f>VLOOKUP(A:A,SUMMERY!AA:AC,3,FALSE)</f>
        <v>Priority-1</v>
      </c>
    </row>
    <row r="1331" spans="1:32" x14ac:dyDescent="0.3">
      <c r="A1331" t="s">
        <v>6012</v>
      </c>
      <c r="B1331" t="s">
        <v>2349</v>
      </c>
      <c r="G1331" t="s">
        <v>5944</v>
      </c>
      <c r="H1331" t="s">
        <v>132</v>
      </c>
      <c r="I1331" t="s">
        <v>2</v>
      </c>
      <c r="J1331" t="s">
        <v>5298</v>
      </c>
      <c r="K1331" t="s">
        <v>52</v>
      </c>
      <c r="L1331" t="s">
        <v>1371</v>
      </c>
      <c r="M1331" t="s">
        <v>134</v>
      </c>
      <c r="N1331" t="s">
        <v>135</v>
      </c>
      <c r="Q1331" t="s">
        <v>168</v>
      </c>
      <c r="T1331" t="s">
        <v>2165</v>
      </c>
      <c r="U1331" t="s">
        <v>137</v>
      </c>
      <c r="V1331" t="s">
        <v>300</v>
      </c>
      <c r="X1331" t="s">
        <v>72</v>
      </c>
      <c r="AA1331" t="s">
        <v>2163</v>
      </c>
      <c r="AB1331" t="s">
        <v>2</v>
      </c>
      <c r="AC1331" t="s">
        <v>138</v>
      </c>
      <c r="AD1331" t="s">
        <v>128</v>
      </c>
      <c r="AE1331" s="97">
        <f>VLOOKUP(A:A,SUMMERY!AA:AC,2,FALSE)</f>
        <v>46234</v>
      </c>
      <c r="AF1331" s="6" t="str">
        <f>VLOOKUP(A:A,SUMMERY!AA:AC,3,FALSE)</f>
        <v>Priority-1</v>
      </c>
    </row>
    <row r="1332" spans="1:32" x14ac:dyDescent="0.3">
      <c r="A1332" t="s">
        <v>6013</v>
      </c>
      <c r="B1332" t="s">
        <v>2351</v>
      </c>
      <c r="G1332" t="s">
        <v>5944</v>
      </c>
      <c r="H1332" t="s">
        <v>132</v>
      </c>
      <c r="I1332" t="s">
        <v>2</v>
      </c>
      <c r="J1332" t="s">
        <v>5298</v>
      </c>
      <c r="K1332" t="s">
        <v>52</v>
      </c>
      <c r="L1332" t="s">
        <v>1371</v>
      </c>
      <c r="M1332" t="s">
        <v>134</v>
      </c>
      <c r="N1332" t="s">
        <v>135</v>
      </c>
      <c r="Q1332" t="s">
        <v>168</v>
      </c>
      <c r="T1332" t="s">
        <v>2165</v>
      </c>
      <c r="U1332" t="s">
        <v>137</v>
      </c>
      <c r="V1332" t="s">
        <v>300</v>
      </c>
      <c r="X1332" t="s">
        <v>72</v>
      </c>
      <c r="AA1332" t="s">
        <v>2163</v>
      </c>
      <c r="AB1332" t="s">
        <v>2</v>
      </c>
      <c r="AC1332" t="s">
        <v>138</v>
      </c>
      <c r="AD1332" t="s">
        <v>128</v>
      </c>
      <c r="AE1332" s="97">
        <f>VLOOKUP(A:A,SUMMERY!AA:AC,2,FALSE)</f>
        <v>46234</v>
      </c>
      <c r="AF1332" s="6" t="str">
        <f>VLOOKUP(A:A,SUMMERY!AA:AC,3,FALSE)</f>
        <v>Priority-1</v>
      </c>
    </row>
    <row r="1333" spans="1:32" x14ac:dyDescent="0.3">
      <c r="A1333" t="s">
        <v>6014</v>
      </c>
      <c r="B1333" t="s">
        <v>2353</v>
      </c>
      <c r="G1333" t="s">
        <v>5944</v>
      </c>
      <c r="H1333" t="s">
        <v>132</v>
      </c>
      <c r="I1333" t="s">
        <v>2</v>
      </c>
      <c r="J1333" t="s">
        <v>5298</v>
      </c>
      <c r="K1333" t="s">
        <v>52</v>
      </c>
      <c r="L1333" t="s">
        <v>1371</v>
      </c>
      <c r="M1333" t="s">
        <v>134</v>
      </c>
      <c r="N1333" t="s">
        <v>135</v>
      </c>
      <c r="Q1333" t="s">
        <v>168</v>
      </c>
      <c r="T1333" t="s">
        <v>2165</v>
      </c>
      <c r="U1333" t="s">
        <v>137</v>
      </c>
      <c r="V1333" t="s">
        <v>300</v>
      </c>
      <c r="X1333" t="s">
        <v>72</v>
      </c>
      <c r="AA1333" t="s">
        <v>2163</v>
      </c>
      <c r="AB1333" t="s">
        <v>2</v>
      </c>
      <c r="AC1333" t="s">
        <v>138</v>
      </c>
      <c r="AD1333" t="s">
        <v>128</v>
      </c>
      <c r="AE1333" s="97">
        <f>VLOOKUP(A:A,SUMMERY!AA:AC,2,FALSE)</f>
        <v>46234</v>
      </c>
      <c r="AF1333" s="6" t="str">
        <f>VLOOKUP(A:A,SUMMERY!AA:AC,3,FALSE)</f>
        <v>Priority-1</v>
      </c>
    </row>
    <row r="1334" spans="1:32" x14ac:dyDescent="0.3">
      <c r="A1334" t="s">
        <v>6015</v>
      </c>
      <c r="B1334" t="s">
        <v>2355</v>
      </c>
      <c r="G1334" t="s">
        <v>5944</v>
      </c>
      <c r="H1334" t="s">
        <v>132</v>
      </c>
      <c r="I1334" t="s">
        <v>2</v>
      </c>
      <c r="J1334" t="s">
        <v>5298</v>
      </c>
      <c r="K1334" t="s">
        <v>52</v>
      </c>
      <c r="L1334" t="s">
        <v>1371</v>
      </c>
      <c r="M1334" t="s">
        <v>134</v>
      </c>
      <c r="N1334" t="s">
        <v>135</v>
      </c>
      <c r="Q1334" t="s">
        <v>168</v>
      </c>
      <c r="T1334" t="s">
        <v>2165</v>
      </c>
      <c r="U1334" t="s">
        <v>137</v>
      </c>
      <c r="V1334" t="s">
        <v>300</v>
      </c>
      <c r="X1334" t="s">
        <v>72</v>
      </c>
      <c r="AA1334" t="s">
        <v>2163</v>
      </c>
      <c r="AB1334" t="s">
        <v>2</v>
      </c>
      <c r="AC1334" t="s">
        <v>138</v>
      </c>
      <c r="AD1334" t="s">
        <v>128</v>
      </c>
      <c r="AE1334" s="97">
        <f>VLOOKUP(A:A,SUMMERY!AA:AC,2,FALSE)</f>
        <v>46234</v>
      </c>
      <c r="AF1334" s="6" t="str">
        <f>VLOOKUP(A:A,SUMMERY!AA:AC,3,FALSE)</f>
        <v>Priority-1</v>
      </c>
    </row>
    <row r="1335" spans="1:32" x14ac:dyDescent="0.3">
      <c r="A1335" t="s">
        <v>6016</v>
      </c>
      <c r="B1335" t="s">
        <v>2357</v>
      </c>
      <c r="G1335" t="s">
        <v>5944</v>
      </c>
      <c r="H1335" t="s">
        <v>132</v>
      </c>
      <c r="I1335" t="s">
        <v>2</v>
      </c>
      <c r="J1335" t="s">
        <v>5298</v>
      </c>
      <c r="K1335" t="s">
        <v>52</v>
      </c>
      <c r="L1335" t="s">
        <v>1371</v>
      </c>
      <c r="M1335" t="s">
        <v>134</v>
      </c>
      <c r="N1335" t="s">
        <v>135</v>
      </c>
      <c r="Q1335" t="s">
        <v>168</v>
      </c>
      <c r="T1335" t="s">
        <v>2165</v>
      </c>
      <c r="U1335" t="s">
        <v>137</v>
      </c>
      <c r="V1335" t="s">
        <v>300</v>
      </c>
      <c r="X1335" t="s">
        <v>72</v>
      </c>
      <c r="AA1335" t="s">
        <v>2163</v>
      </c>
      <c r="AB1335" t="s">
        <v>2</v>
      </c>
      <c r="AC1335" t="s">
        <v>138</v>
      </c>
      <c r="AD1335" t="s">
        <v>128</v>
      </c>
      <c r="AE1335" s="97">
        <f>VLOOKUP(A:A,SUMMERY!AA:AC,2,FALSE)</f>
        <v>46234</v>
      </c>
      <c r="AF1335" s="6" t="str">
        <f>VLOOKUP(A:A,SUMMERY!AA:AC,3,FALSE)</f>
        <v>Priority-1</v>
      </c>
    </row>
    <row r="1336" spans="1:32" x14ac:dyDescent="0.3">
      <c r="A1336" t="s">
        <v>6047</v>
      </c>
      <c r="B1336" t="s">
        <v>2424</v>
      </c>
      <c r="G1336" t="s">
        <v>5944</v>
      </c>
      <c r="H1336" t="s">
        <v>132</v>
      </c>
      <c r="I1336" t="s">
        <v>2</v>
      </c>
      <c r="J1336" t="s">
        <v>5298</v>
      </c>
      <c r="K1336" t="s">
        <v>52</v>
      </c>
      <c r="L1336" t="s">
        <v>2425</v>
      </c>
      <c r="M1336" t="s">
        <v>134</v>
      </c>
      <c r="N1336" t="s">
        <v>135</v>
      </c>
      <c r="Q1336" t="s">
        <v>168</v>
      </c>
      <c r="T1336" t="s">
        <v>2165</v>
      </c>
      <c r="U1336" t="s">
        <v>137</v>
      </c>
      <c r="V1336" t="s">
        <v>147</v>
      </c>
      <c r="X1336" t="s">
        <v>70</v>
      </c>
      <c r="AA1336" t="s">
        <v>2163</v>
      </c>
      <c r="AB1336" t="s">
        <v>2</v>
      </c>
      <c r="AC1336" t="s">
        <v>138</v>
      </c>
      <c r="AD1336" t="s">
        <v>128</v>
      </c>
      <c r="AE1336" s="97">
        <f>VLOOKUP(A:A,SUMMERY!AA:AC,2,FALSE)</f>
        <v>46220</v>
      </c>
      <c r="AF1336" s="6" t="str">
        <f>VLOOKUP(A:A,SUMMERY!AA:AC,3,FALSE)</f>
        <v>Priority-1</v>
      </c>
    </row>
    <row r="1337" spans="1:32" x14ac:dyDescent="0.3">
      <c r="A1337" t="s">
        <v>6048</v>
      </c>
      <c r="B1337" t="s">
        <v>2427</v>
      </c>
      <c r="G1337" t="s">
        <v>5944</v>
      </c>
      <c r="H1337" t="s">
        <v>132</v>
      </c>
      <c r="I1337" t="s">
        <v>2</v>
      </c>
      <c r="J1337" t="s">
        <v>5298</v>
      </c>
      <c r="K1337" t="s">
        <v>52</v>
      </c>
      <c r="L1337" t="s">
        <v>2428</v>
      </c>
      <c r="M1337" t="s">
        <v>134</v>
      </c>
      <c r="N1337" t="s">
        <v>135</v>
      </c>
      <c r="Q1337" t="s">
        <v>168</v>
      </c>
      <c r="T1337" t="s">
        <v>2165</v>
      </c>
      <c r="U1337" t="s">
        <v>137</v>
      </c>
      <c r="V1337" t="s">
        <v>147</v>
      </c>
      <c r="X1337" t="s">
        <v>70</v>
      </c>
      <c r="AA1337" t="s">
        <v>2163</v>
      </c>
      <c r="AB1337" t="s">
        <v>2</v>
      </c>
      <c r="AC1337" t="s">
        <v>138</v>
      </c>
      <c r="AD1337" t="s">
        <v>128</v>
      </c>
      <c r="AE1337" s="97">
        <f>VLOOKUP(A:A,SUMMERY!AA:AC,2,FALSE)</f>
        <v>46220</v>
      </c>
      <c r="AF1337" s="6" t="str">
        <f>VLOOKUP(A:A,SUMMERY!AA:AC,3,FALSE)</f>
        <v>Priority-1</v>
      </c>
    </row>
    <row r="1338" spans="1:32" x14ac:dyDescent="0.3">
      <c r="A1338" t="s">
        <v>6049</v>
      </c>
      <c r="B1338" t="s">
        <v>2430</v>
      </c>
      <c r="G1338" t="s">
        <v>5944</v>
      </c>
      <c r="H1338" t="s">
        <v>132</v>
      </c>
      <c r="I1338" t="s">
        <v>2</v>
      </c>
      <c r="J1338" t="s">
        <v>5298</v>
      </c>
      <c r="K1338" t="s">
        <v>52</v>
      </c>
      <c r="L1338" t="s">
        <v>2431</v>
      </c>
      <c r="M1338" t="s">
        <v>134</v>
      </c>
      <c r="N1338" t="s">
        <v>135</v>
      </c>
      <c r="Q1338" t="s">
        <v>168</v>
      </c>
      <c r="T1338" t="s">
        <v>2165</v>
      </c>
      <c r="U1338" t="s">
        <v>137</v>
      </c>
      <c r="V1338" t="s">
        <v>147</v>
      </c>
      <c r="X1338" t="s">
        <v>70</v>
      </c>
      <c r="AA1338" t="s">
        <v>2163</v>
      </c>
      <c r="AB1338" t="s">
        <v>2</v>
      </c>
      <c r="AC1338" t="s">
        <v>138</v>
      </c>
      <c r="AD1338" t="s">
        <v>128</v>
      </c>
      <c r="AE1338" s="97">
        <f>VLOOKUP(A:A,SUMMERY!AA:AC,2,FALSE)</f>
        <v>46220</v>
      </c>
      <c r="AF1338" s="6" t="str">
        <f>VLOOKUP(A:A,SUMMERY!AA:AC,3,FALSE)</f>
        <v>Priority-1</v>
      </c>
    </row>
    <row r="1339" spans="1:32" x14ac:dyDescent="0.3">
      <c r="A1339" t="s">
        <v>6050</v>
      </c>
      <c r="B1339" t="s">
        <v>2433</v>
      </c>
      <c r="G1339" t="s">
        <v>5944</v>
      </c>
      <c r="H1339" t="s">
        <v>132</v>
      </c>
      <c r="I1339" t="s">
        <v>2</v>
      </c>
      <c r="J1339" t="s">
        <v>5298</v>
      </c>
      <c r="K1339" t="s">
        <v>52</v>
      </c>
      <c r="L1339" t="s">
        <v>2434</v>
      </c>
      <c r="M1339" t="s">
        <v>134</v>
      </c>
      <c r="N1339" t="s">
        <v>135</v>
      </c>
      <c r="Q1339" t="s">
        <v>168</v>
      </c>
      <c r="T1339" t="s">
        <v>2165</v>
      </c>
      <c r="U1339" t="s">
        <v>137</v>
      </c>
      <c r="V1339" t="s">
        <v>147</v>
      </c>
      <c r="X1339" t="s">
        <v>70</v>
      </c>
      <c r="AA1339" t="s">
        <v>2163</v>
      </c>
      <c r="AB1339" t="s">
        <v>2</v>
      </c>
      <c r="AC1339" t="s">
        <v>138</v>
      </c>
      <c r="AD1339" t="s">
        <v>128</v>
      </c>
      <c r="AE1339" s="97">
        <f>VLOOKUP(A:A,SUMMERY!AA:AC,2,FALSE)</f>
        <v>46220</v>
      </c>
      <c r="AF1339" s="6" t="str">
        <f>VLOOKUP(A:A,SUMMERY!AA:AC,3,FALSE)</f>
        <v>Priority-1</v>
      </c>
    </row>
    <row r="1340" spans="1:32" x14ac:dyDescent="0.3">
      <c r="A1340" t="s">
        <v>6051</v>
      </c>
      <c r="B1340" t="s">
        <v>2436</v>
      </c>
      <c r="G1340" t="s">
        <v>5944</v>
      </c>
      <c r="H1340" t="s">
        <v>132</v>
      </c>
      <c r="I1340" t="s">
        <v>2</v>
      </c>
      <c r="J1340" t="s">
        <v>5298</v>
      </c>
      <c r="K1340" t="s">
        <v>52</v>
      </c>
      <c r="L1340" t="s">
        <v>2437</v>
      </c>
      <c r="M1340" t="s">
        <v>134</v>
      </c>
      <c r="N1340" t="s">
        <v>135</v>
      </c>
      <c r="Q1340" t="s">
        <v>168</v>
      </c>
      <c r="T1340" t="s">
        <v>2165</v>
      </c>
      <c r="U1340" t="s">
        <v>137</v>
      </c>
      <c r="V1340" t="s">
        <v>150</v>
      </c>
      <c r="X1340" t="s">
        <v>76</v>
      </c>
      <c r="AA1340" t="s">
        <v>2163</v>
      </c>
      <c r="AB1340" t="s">
        <v>2</v>
      </c>
      <c r="AC1340" t="s">
        <v>138</v>
      </c>
      <c r="AD1340" t="s">
        <v>128</v>
      </c>
      <c r="AE1340" s="97">
        <f>VLOOKUP(A:A,SUMMERY!AA:AC,2,FALSE)</f>
        <v>46233</v>
      </c>
      <c r="AF1340" s="6" t="str">
        <f>VLOOKUP(A:A,SUMMERY!AA:AC,3,FALSE)</f>
        <v>Priority-1</v>
      </c>
    </row>
    <row r="1341" spans="1:32" x14ac:dyDescent="0.3">
      <c r="A1341" t="s">
        <v>6052</v>
      </c>
      <c r="B1341" t="s">
        <v>2439</v>
      </c>
      <c r="G1341" t="s">
        <v>5944</v>
      </c>
      <c r="H1341" t="s">
        <v>132</v>
      </c>
      <c r="I1341" t="s">
        <v>2</v>
      </c>
      <c r="J1341" t="s">
        <v>5298</v>
      </c>
      <c r="K1341" t="s">
        <v>52</v>
      </c>
      <c r="L1341" t="s">
        <v>2440</v>
      </c>
      <c r="M1341" t="s">
        <v>134</v>
      </c>
      <c r="N1341" t="s">
        <v>135</v>
      </c>
      <c r="Q1341" t="s">
        <v>168</v>
      </c>
      <c r="T1341" t="s">
        <v>2165</v>
      </c>
      <c r="U1341" t="s">
        <v>137</v>
      </c>
      <c r="V1341" t="s">
        <v>150</v>
      </c>
      <c r="X1341" t="s">
        <v>76</v>
      </c>
      <c r="AA1341" t="s">
        <v>2163</v>
      </c>
      <c r="AB1341" t="s">
        <v>2</v>
      </c>
      <c r="AC1341" t="s">
        <v>138</v>
      </c>
      <c r="AD1341" t="s">
        <v>128</v>
      </c>
      <c r="AE1341" s="97">
        <f>VLOOKUP(A:A,SUMMERY!AA:AC,2,FALSE)</f>
        <v>46233</v>
      </c>
      <c r="AF1341" s="6" t="str">
        <f>VLOOKUP(A:A,SUMMERY!AA:AC,3,FALSE)</f>
        <v>Priority-1</v>
      </c>
    </row>
    <row r="1342" spans="1:32" x14ac:dyDescent="0.3">
      <c r="A1342" t="s">
        <v>6053</v>
      </c>
      <c r="B1342" t="s">
        <v>2442</v>
      </c>
      <c r="G1342" t="s">
        <v>5944</v>
      </c>
      <c r="H1342" t="s">
        <v>132</v>
      </c>
      <c r="I1342" t="s">
        <v>2</v>
      </c>
      <c r="J1342" t="s">
        <v>5298</v>
      </c>
      <c r="K1342" t="s">
        <v>52</v>
      </c>
      <c r="L1342" t="s">
        <v>2443</v>
      </c>
      <c r="M1342" t="s">
        <v>134</v>
      </c>
      <c r="N1342" t="s">
        <v>135</v>
      </c>
      <c r="Q1342" t="s">
        <v>168</v>
      </c>
      <c r="T1342" t="s">
        <v>2165</v>
      </c>
      <c r="U1342" t="s">
        <v>137</v>
      </c>
      <c r="V1342" t="s">
        <v>150</v>
      </c>
      <c r="X1342" t="s">
        <v>76</v>
      </c>
      <c r="AA1342" t="s">
        <v>2163</v>
      </c>
      <c r="AB1342" t="s">
        <v>2</v>
      </c>
      <c r="AC1342" t="s">
        <v>138</v>
      </c>
      <c r="AD1342" t="s">
        <v>128</v>
      </c>
      <c r="AE1342" s="97">
        <f>VLOOKUP(A:A,SUMMERY!AA:AC,2,FALSE)</f>
        <v>46233</v>
      </c>
      <c r="AF1342" s="6" t="str">
        <f>VLOOKUP(A:A,SUMMERY!AA:AC,3,FALSE)</f>
        <v>Priority-1</v>
      </c>
    </row>
    <row r="1343" spans="1:32" x14ac:dyDescent="0.3">
      <c r="A1343" t="s">
        <v>6054</v>
      </c>
      <c r="B1343" t="s">
        <v>2445</v>
      </c>
      <c r="G1343" t="s">
        <v>5944</v>
      </c>
      <c r="H1343" t="s">
        <v>132</v>
      </c>
      <c r="I1343" t="s">
        <v>2</v>
      </c>
      <c r="J1343" t="s">
        <v>5298</v>
      </c>
      <c r="K1343" t="s">
        <v>52</v>
      </c>
      <c r="L1343" t="s">
        <v>2446</v>
      </c>
      <c r="M1343" t="s">
        <v>134</v>
      </c>
      <c r="N1343" t="s">
        <v>135</v>
      </c>
      <c r="Q1343" t="s">
        <v>168</v>
      </c>
      <c r="T1343" t="s">
        <v>2165</v>
      </c>
      <c r="U1343" t="s">
        <v>137</v>
      </c>
      <c r="V1343" t="s">
        <v>150</v>
      </c>
      <c r="X1343" t="s">
        <v>76</v>
      </c>
      <c r="AA1343" t="s">
        <v>2163</v>
      </c>
      <c r="AB1343" t="s">
        <v>2</v>
      </c>
      <c r="AC1343" t="s">
        <v>138</v>
      </c>
      <c r="AD1343" t="s">
        <v>128</v>
      </c>
      <c r="AE1343" s="97">
        <f>VLOOKUP(A:A,SUMMERY!AA:AC,2,FALSE)</f>
        <v>46233</v>
      </c>
      <c r="AF1343" s="6" t="str">
        <f>VLOOKUP(A:A,SUMMERY!AA:AC,3,FALSE)</f>
        <v>Priority-1</v>
      </c>
    </row>
    <row r="1344" spans="1:32" x14ac:dyDescent="0.3">
      <c r="A1344" t="s">
        <v>6075</v>
      </c>
      <c r="B1344" t="s">
        <v>2508</v>
      </c>
      <c r="G1344" t="s">
        <v>5944</v>
      </c>
      <c r="H1344" t="s">
        <v>132</v>
      </c>
      <c r="I1344" t="s">
        <v>2</v>
      </c>
      <c r="J1344" t="s">
        <v>5298</v>
      </c>
      <c r="K1344" t="s">
        <v>52</v>
      </c>
      <c r="L1344" t="s">
        <v>2509</v>
      </c>
      <c r="M1344" t="s">
        <v>134</v>
      </c>
      <c r="N1344" t="s">
        <v>135</v>
      </c>
      <c r="Q1344" t="s">
        <v>168</v>
      </c>
      <c r="T1344" t="s">
        <v>2165</v>
      </c>
      <c r="U1344" t="s">
        <v>137</v>
      </c>
      <c r="V1344" t="s">
        <v>147</v>
      </c>
      <c r="X1344" t="s">
        <v>70</v>
      </c>
      <c r="AA1344" t="s">
        <v>2163</v>
      </c>
      <c r="AB1344" t="s">
        <v>2</v>
      </c>
      <c r="AC1344" t="s">
        <v>138</v>
      </c>
      <c r="AD1344" t="s">
        <v>128</v>
      </c>
      <c r="AE1344" s="97">
        <f>VLOOKUP(A:A,SUMMERY!AA:AC,2,FALSE)</f>
        <v>46220</v>
      </c>
      <c r="AF1344" s="6" t="str">
        <f>VLOOKUP(A:A,SUMMERY!AA:AC,3,FALSE)</f>
        <v>Priority-1</v>
      </c>
    </row>
    <row r="1345" spans="1:32" x14ac:dyDescent="0.3">
      <c r="A1345" t="s">
        <v>6076</v>
      </c>
      <c r="B1345" t="s">
        <v>2511</v>
      </c>
      <c r="G1345" t="s">
        <v>5944</v>
      </c>
      <c r="H1345" t="s">
        <v>132</v>
      </c>
      <c r="I1345" t="s">
        <v>2</v>
      </c>
      <c r="J1345" t="s">
        <v>5298</v>
      </c>
      <c r="K1345" t="s">
        <v>52</v>
      </c>
      <c r="L1345" t="s">
        <v>2509</v>
      </c>
      <c r="M1345" t="s">
        <v>134</v>
      </c>
      <c r="N1345" t="s">
        <v>135</v>
      </c>
      <c r="Q1345" t="s">
        <v>168</v>
      </c>
      <c r="T1345" t="s">
        <v>2165</v>
      </c>
      <c r="U1345" t="s">
        <v>137</v>
      </c>
      <c r="V1345" t="s">
        <v>147</v>
      </c>
      <c r="X1345" t="s">
        <v>70</v>
      </c>
      <c r="AA1345" t="s">
        <v>2163</v>
      </c>
      <c r="AB1345" t="s">
        <v>2</v>
      </c>
      <c r="AC1345" t="s">
        <v>138</v>
      </c>
      <c r="AD1345" t="s">
        <v>128</v>
      </c>
      <c r="AE1345" s="97">
        <f>VLOOKUP(A:A,SUMMERY!AA:AC,2,FALSE)</f>
        <v>46220</v>
      </c>
      <c r="AF1345" s="6" t="str">
        <f>VLOOKUP(A:A,SUMMERY!AA:AC,3,FALSE)</f>
        <v>Priority-1</v>
      </c>
    </row>
    <row r="1346" spans="1:32" x14ac:dyDescent="0.3">
      <c r="A1346" t="s">
        <v>6077</v>
      </c>
      <c r="B1346" t="s">
        <v>2513</v>
      </c>
      <c r="G1346" t="s">
        <v>5944</v>
      </c>
      <c r="H1346" t="s">
        <v>132</v>
      </c>
      <c r="I1346" t="s">
        <v>2</v>
      </c>
      <c r="J1346" t="s">
        <v>5298</v>
      </c>
      <c r="K1346" t="s">
        <v>52</v>
      </c>
      <c r="L1346" t="s">
        <v>2509</v>
      </c>
      <c r="M1346" t="s">
        <v>134</v>
      </c>
      <c r="N1346" t="s">
        <v>135</v>
      </c>
      <c r="Q1346" t="s">
        <v>168</v>
      </c>
      <c r="T1346" t="s">
        <v>2165</v>
      </c>
      <c r="U1346" t="s">
        <v>137</v>
      </c>
      <c r="V1346" t="s">
        <v>147</v>
      </c>
      <c r="W1346" s="9">
        <v>46204.549928819448</v>
      </c>
      <c r="X1346" t="s">
        <v>70</v>
      </c>
      <c r="AA1346" t="s">
        <v>2163</v>
      </c>
      <c r="AB1346" t="s">
        <v>2</v>
      </c>
      <c r="AC1346" t="s">
        <v>24</v>
      </c>
      <c r="AD1346" t="s">
        <v>128</v>
      </c>
      <c r="AE1346" s="97">
        <f>VLOOKUP(A:A,SUMMERY!AA:AC,2,FALSE)</f>
        <v>46220</v>
      </c>
      <c r="AF1346" s="6" t="str">
        <f>VLOOKUP(A:A,SUMMERY!AA:AC,3,FALSE)</f>
        <v>Priority-1</v>
      </c>
    </row>
    <row r="1347" spans="1:32" x14ac:dyDescent="0.3">
      <c r="A1347" t="s">
        <v>6078</v>
      </c>
      <c r="B1347" t="s">
        <v>2515</v>
      </c>
      <c r="G1347" t="s">
        <v>5944</v>
      </c>
      <c r="H1347" t="s">
        <v>132</v>
      </c>
      <c r="I1347" t="s">
        <v>2</v>
      </c>
      <c r="J1347" t="s">
        <v>5298</v>
      </c>
      <c r="K1347" t="s">
        <v>52</v>
      </c>
      <c r="L1347" t="s">
        <v>2516</v>
      </c>
      <c r="M1347" t="s">
        <v>134</v>
      </c>
      <c r="N1347" t="s">
        <v>135</v>
      </c>
      <c r="Q1347" t="s">
        <v>168</v>
      </c>
      <c r="T1347" t="s">
        <v>2165</v>
      </c>
      <c r="U1347" t="s">
        <v>137</v>
      </c>
      <c r="V1347" t="s">
        <v>147</v>
      </c>
      <c r="X1347" t="s">
        <v>70</v>
      </c>
      <c r="AA1347" t="s">
        <v>2163</v>
      </c>
      <c r="AB1347" t="s">
        <v>2</v>
      </c>
      <c r="AC1347" t="s">
        <v>138</v>
      </c>
      <c r="AD1347" t="s">
        <v>128</v>
      </c>
      <c r="AE1347" s="97">
        <f>VLOOKUP(A:A,SUMMERY!AA:AC,2,FALSE)</f>
        <v>46220</v>
      </c>
      <c r="AF1347" s="6" t="str">
        <f>VLOOKUP(A:A,SUMMERY!AA:AC,3,FALSE)</f>
        <v>Priority-1</v>
      </c>
    </row>
    <row r="1348" spans="1:32" x14ac:dyDescent="0.3">
      <c r="A1348" t="s">
        <v>6079</v>
      </c>
      <c r="B1348" t="s">
        <v>2518</v>
      </c>
      <c r="G1348" t="s">
        <v>5944</v>
      </c>
      <c r="H1348" t="s">
        <v>132</v>
      </c>
      <c r="I1348" t="s">
        <v>2</v>
      </c>
      <c r="J1348" t="s">
        <v>5298</v>
      </c>
      <c r="K1348" t="s">
        <v>52</v>
      </c>
      <c r="L1348" t="s">
        <v>2519</v>
      </c>
      <c r="M1348" t="s">
        <v>134</v>
      </c>
      <c r="N1348" t="s">
        <v>135</v>
      </c>
      <c r="Q1348" t="s">
        <v>168</v>
      </c>
      <c r="T1348" t="s">
        <v>2165</v>
      </c>
      <c r="U1348" t="s">
        <v>137</v>
      </c>
      <c r="V1348" t="s">
        <v>150</v>
      </c>
      <c r="X1348" t="s">
        <v>76</v>
      </c>
      <c r="AA1348" t="s">
        <v>2163</v>
      </c>
      <c r="AB1348" t="s">
        <v>2</v>
      </c>
      <c r="AC1348" t="s">
        <v>138</v>
      </c>
      <c r="AD1348" t="s">
        <v>128</v>
      </c>
      <c r="AE1348" s="97">
        <f>VLOOKUP(A:A,SUMMERY!AA:AC,2,FALSE)</f>
        <v>46233</v>
      </c>
      <c r="AF1348" s="6" t="str">
        <f>VLOOKUP(A:A,SUMMERY!AA:AC,3,FALSE)</f>
        <v>Priority-1</v>
      </c>
    </row>
    <row r="1349" spans="1:32" x14ac:dyDescent="0.3">
      <c r="A1349" t="s">
        <v>6080</v>
      </c>
      <c r="B1349" t="s">
        <v>2521</v>
      </c>
      <c r="G1349" t="s">
        <v>5944</v>
      </c>
      <c r="H1349" t="s">
        <v>132</v>
      </c>
      <c r="I1349" t="s">
        <v>2</v>
      </c>
      <c r="J1349" t="s">
        <v>5298</v>
      </c>
      <c r="K1349" t="s">
        <v>52</v>
      </c>
      <c r="L1349" t="s">
        <v>2519</v>
      </c>
      <c r="M1349" t="s">
        <v>134</v>
      </c>
      <c r="N1349" t="s">
        <v>135</v>
      </c>
      <c r="Q1349" t="s">
        <v>168</v>
      </c>
      <c r="T1349" t="s">
        <v>2165</v>
      </c>
      <c r="U1349" t="s">
        <v>137</v>
      </c>
      <c r="V1349" t="s">
        <v>150</v>
      </c>
      <c r="X1349" t="s">
        <v>76</v>
      </c>
      <c r="AA1349" t="s">
        <v>2163</v>
      </c>
      <c r="AB1349" t="s">
        <v>2</v>
      </c>
      <c r="AC1349" t="s">
        <v>138</v>
      </c>
      <c r="AD1349" t="s">
        <v>128</v>
      </c>
      <c r="AE1349" s="97">
        <f>VLOOKUP(A:A,SUMMERY!AA:AC,2,FALSE)</f>
        <v>46233</v>
      </c>
      <c r="AF1349" s="6" t="str">
        <f>VLOOKUP(A:A,SUMMERY!AA:AC,3,FALSE)</f>
        <v>Priority-1</v>
      </c>
    </row>
    <row r="1350" spans="1:32" x14ac:dyDescent="0.3">
      <c r="A1350" t="s">
        <v>6081</v>
      </c>
      <c r="B1350" t="s">
        <v>2523</v>
      </c>
      <c r="G1350" t="s">
        <v>5944</v>
      </c>
      <c r="H1350" t="s">
        <v>132</v>
      </c>
      <c r="I1350" t="s">
        <v>2</v>
      </c>
      <c r="J1350" t="s">
        <v>5298</v>
      </c>
      <c r="K1350" t="s">
        <v>52</v>
      </c>
      <c r="L1350" t="s">
        <v>2519</v>
      </c>
      <c r="M1350" t="s">
        <v>134</v>
      </c>
      <c r="N1350" t="s">
        <v>135</v>
      </c>
      <c r="Q1350" t="s">
        <v>168</v>
      </c>
      <c r="T1350" t="s">
        <v>2165</v>
      </c>
      <c r="U1350" t="s">
        <v>137</v>
      </c>
      <c r="V1350" t="s">
        <v>150</v>
      </c>
      <c r="W1350" s="9">
        <v>46204.550786111111</v>
      </c>
      <c r="X1350" t="s">
        <v>76</v>
      </c>
      <c r="AA1350" t="s">
        <v>2163</v>
      </c>
      <c r="AB1350" t="s">
        <v>2</v>
      </c>
      <c r="AC1350" t="s">
        <v>24</v>
      </c>
      <c r="AD1350" t="s">
        <v>128</v>
      </c>
      <c r="AE1350" s="97">
        <f>VLOOKUP(A:A,SUMMERY!AA:AC,2,FALSE)</f>
        <v>46233</v>
      </c>
      <c r="AF1350" s="6" t="str">
        <f>VLOOKUP(A:A,SUMMERY!AA:AC,3,FALSE)</f>
        <v>Priority-1</v>
      </c>
    </row>
    <row r="1351" spans="1:32" x14ac:dyDescent="0.3">
      <c r="A1351" t="s">
        <v>6082</v>
      </c>
      <c r="B1351" t="s">
        <v>2525</v>
      </c>
      <c r="G1351" t="s">
        <v>5944</v>
      </c>
      <c r="H1351" t="s">
        <v>132</v>
      </c>
      <c r="I1351" t="s">
        <v>2</v>
      </c>
      <c r="J1351" t="s">
        <v>5298</v>
      </c>
      <c r="K1351" t="s">
        <v>52</v>
      </c>
      <c r="L1351" t="s">
        <v>2526</v>
      </c>
      <c r="M1351" t="s">
        <v>134</v>
      </c>
      <c r="N1351" t="s">
        <v>135</v>
      </c>
      <c r="Q1351" t="s">
        <v>168</v>
      </c>
      <c r="T1351" t="s">
        <v>2165</v>
      </c>
      <c r="U1351" t="s">
        <v>137</v>
      </c>
      <c r="V1351" t="s">
        <v>150</v>
      </c>
      <c r="X1351" t="s">
        <v>76</v>
      </c>
      <c r="AA1351" t="s">
        <v>2163</v>
      </c>
      <c r="AB1351" t="s">
        <v>2</v>
      </c>
      <c r="AC1351" t="s">
        <v>138</v>
      </c>
      <c r="AD1351" t="s">
        <v>128</v>
      </c>
      <c r="AE1351" s="97">
        <f>VLOOKUP(A:A,SUMMERY!AA:AC,2,FALSE)</f>
        <v>46233</v>
      </c>
      <c r="AF1351" s="6" t="str">
        <f>VLOOKUP(A:A,SUMMERY!AA:AC,3,FALSE)</f>
        <v>Priority-1</v>
      </c>
    </row>
    <row r="1352" spans="1:32" x14ac:dyDescent="0.3">
      <c r="A1352" t="s">
        <v>6103</v>
      </c>
      <c r="B1352" t="s">
        <v>2578</v>
      </c>
      <c r="G1352" t="s">
        <v>5944</v>
      </c>
      <c r="H1352" t="s">
        <v>132</v>
      </c>
      <c r="I1352" t="s">
        <v>2</v>
      </c>
      <c r="J1352" t="s">
        <v>5298</v>
      </c>
      <c r="K1352" t="s">
        <v>52</v>
      </c>
      <c r="L1352" t="s">
        <v>1509</v>
      </c>
      <c r="M1352" t="s">
        <v>134</v>
      </c>
      <c r="N1352" t="s">
        <v>135</v>
      </c>
      <c r="Q1352" t="s">
        <v>168</v>
      </c>
      <c r="T1352" t="s">
        <v>2165</v>
      </c>
      <c r="U1352" t="s">
        <v>137</v>
      </c>
      <c r="V1352" t="s">
        <v>1279</v>
      </c>
      <c r="X1352" t="s">
        <v>71</v>
      </c>
      <c r="AA1352" t="s">
        <v>2163</v>
      </c>
      <c r="AB1352" t="s">
        <v>2</v>
      </c>
      <c r="AC1352" t="s">
        <v>138</v>
      </c>
      <c r="AD1352" t="s">
        <v>128</v>
      </c>
      <c r="AE1352" s="97">
        <f>VLOOKUP(A:A,SUMMERY!AA:AC,2,FALSE)</f>
        <v>46233</v>
      </c>
      <c r="AF1352" s="6" t="str">
        <f>VLOOKUP(A:A,SUMMERY!AA:AC,3,FALSE)</f>
        <v>Priority-1</v>
      </c>
    </row>
    <row r="1353" spans="1:32" x14ac:dyDescent="0.3">
      <c r="A1353" t="s">
        <v>6104</v>
      </c>
      <c r="B1353" t="s">
        <v>2580</v>
      </c>
      <c r="G1353" t="s">
        <v>5944</v>
      </c>
      <c r="H1353" t="s">
        <v>132</v>
      </c>
      <c r="I1353" t="s">
        <v>2</v>
      </c>
      <c r="J1353" t="s">
        <v>5298</v>
      </c>
      <c r="K1353" t="s">
        <v>52</v>
      </c>
      <c r="L1353" t="s">
        <v>1512</v>
      </c>
      <c r="M1353" t="s">
        <v>134</v>
      </c>
      <c r="N1353" t="s">
        <v>135</v>
      </c>
      <c r="Q1353" t="s">
        <v>168</v>
      </c>
      <c r="T1353" t="s">
        <v>2165</v>
      </c>
      <c r="U1353" t="s">
        <v>137</v>
      </c>
      <c r="V1353" t="s">
        <v>1283</v>
      </c>
      <c r="X1353" t="s">
        <v>78</v>
      </c>
      <c r="AA1353" t="s">
        <v>2163</v>
      </c>
      <c r="AB1353" t="s">
        <v>2</v>
      </c>
      <c r="AC1353" t="s">
        <v>138</v>
      </c>
      <c r="AD1353" t="s">
        <v>128</v>
      </c>
      <c r="AE1353" s="97">
        <f>VLOOKUP(A:A,SUMMERY!AA:AC,2,FALSE)</f>
        <v>46234</v>
      </c>
      <c r="AF1353" s="6" t="str">
        <f>VLOOKUP(A:A,SUMMERY!AA:AC,3,FALSE)</f>
        <v>Priority-1</v>
      </c>
    </row>
    <row r="1354" spans="1:32" x14ac:dyDescent="0.3">
      <c r="A1354" t="s">
        <v>6110</v>
      </c>
      <c r="B1354" t="s">
        <v>2592</v>
      </c>
      <c r="G1354" t="s">
        <v>5944</v>
      </c>
      <c r="H1354" t="s">
        <v>132</v>
      </c>
      <c r="I1354" t="s">
        <v>2</v>
      </c>
      <c r="J1354" t="s">
        <v>5298</v>
      </c>
      <c r="K1354" t="s">
        <v>52</v>
      </c>
      <c r="L1354" t="s">
        <v>2593</v>
      </c>
      <c r="M1354" t="s">
        <v>134</v>
      </c>
      <c r="N1354" t="s">
        <v>135</v>
      </c>
      <c r="Q1354" t="s">
        <v>168</v>
      </c>
      <c r="T1354" t="s">
        <v>2165</v>
      </c>
      <c r="U1354" t="s">
        <v>137</v>
      </c>
      <c r="V1354" t="s">
        <v>147</v>
      </c>
      <c r="X1354" t="s">
        <v>70</v>
      </c>
      <c r="AA1354" t="s">
        <v>2163</v>
      </c>
      <c r="AB1354" t="s">
        <v>2</v>
      </c>
      <c r="AC1354" t="s">
        <v>138</v>
      </c>
      <c r="AD1354" t="s">
        <v>128</v>
      </c>
      <c r="AE1354" s="97">
        <f>VLOOKUP(A:A,SUMMERY!AA:AC,2,FALSE)</f>
        <v>46220</v>
      </c>
      <c r="AF1354" s="6" t="str">
        <f>VLOOKUP(A:A,SUMMERY!AA:AC,3,FALSE)</f>
        <v>Priority-1</v>
      </c>
    </row>
    <row r="1355" spans="1:32" x14ac:dyDescent="0.3">
      <c r="A1355" t="s">
        <v>6111</v>
      </c>
      <c r="B1355" t="s">
        <v>2595</v>
      </c>
      <c r="G1355" t="s">
        <v>5944</v>
      </c>
      <c r="H1355" t="s">
        <v>132</v>
      </c>
      <c r="I1355" t="s">
        <v>2</v>
      </c>
      <c r="J1355" t="s">
        <v>5298</v>
      </c>
      <c r="K1355" t="s">
        <v>52</v>
      </c>
      <c r="L1355" t="s">
        <v>2593</v>
      </c>
      <c r="M1355" t="s">
        <v>134</v>
      </c>
      <c r="N1355" t="s">
        <v>135</v>
      </c>
      <c r="Q1355" t="s">
        <v>168</v>
      </c>
      <c r="T1355" t="s">
        <v>2165</v>
      </c>
      <c r="U1355" t="s">
        <v>137</v>
      </c>
      <c r="V1355" t="s">
        <v>147</v>
      </c>
      <c r="X1355" t="s">
        <v>70</v>
      </c>
      <c r="AA1355" t="s">
        <v>2163</v>
      </c>
      <c r="AB1355" t="s">
        <v>2</v>
      </c>
      <c r="AC1355" t="s">
        <v>138</v>
      </c>
      <c r="AD1355" t="s">
        <v>128</v>
      </c>
      <c r="AE1355" s="97">
        <f>VLOOKUP(A:A,SUMMERY!AA:AC,2,FALSE)</f>
        <v>46220</v>
      </c>
      <c r="AF1355" s="6" t="str">
        <f>VLOOKUP(A:A,SUMMERY!AA:AC,3,FALSE)</f>
        <v>Priority-1</v>
      </c>
    </row>
    <row r="1356" spans="1:32" x14ac:dyDescent="0.3">
      <c r="A1356" t="s">
        <v>6112</v>
      </c>
      <c r="B1356" t="s">
        <v>2597</v>
      </c>
      <c r="G1356" t="s">
        <v>5944</v>
      </c>
      <c r="H1356" t="s">
        <v>132</v>
      </c>
      <c r="I1356" t="s">
        <v>2</v>
      </c>
      <c r="J1356" t="s">
        <v>5298</v>
      </c>
      <c r="K1356" t="s">
        <v>52</v>
      </c>
      <c r="L1356" t="s">
        <v>2598</v>
      </c>
      <c r="M1356" t="s">
        <v>134</v>
      </c>
      <c r="N1356" t="s">
        <v>135</v>
      </c>
      <c r="Q1356" t="s">
        <v>168</v>
      </c>
      <c r="T1356" t="s">
        <v>2165</v>
      </c>
      <c r="U1356" t="s">
        <v>137</v>
      </c>
      <c r="V1356" t="s">
        <v>150</v>
      </c>
      <c r="X1356" t="s">
        <v>76</v>
      </c>
      <c r="AA1356" t="s">
        <v>2163</v>
      </c>
      <c r="AB1356" t="s">
        <v>2</v>
      </c>
      <c r="AC1356" t="s">
        <v>138</v>
      </c>
      <c r="AD1356" t="s">
        <v>128</v>
      </c>
      <c r="AE1356" s="97">
        <f>VLOOKUP(A:A,SUMMERY!AA:AC,2,FALSE)</f>
        <v>46233</v>
      </c>
      <c r="AF1356" s="6" t="str">
        <f>VLOOKUP(A:A,SUMMERY!AA:AC,3,FALSE)</f>
        <v>Priority-1</v>
      </c>
    </row>
    <row r="1357" spans="1:32" x14ac:dyDescent="0.3">
      <c r="A1357" t="s">
        <v>6113</v>
      </c>
      <c r="B1357" t="s">
        <v>2600</v>
      </c>
      <c r="G1357" t="s">
        <v>5944</v>
      </c>
      <c r="H1357" t="s">
        <v>132</v>
      </c>
      <c r="I1357" t="s">
        <v>2</v>
      </c>
      <c r="J1357" t="s">
        <v>5298</v>
      </c>
      <c r="K1357" t="s">
        <v>52</v>
      </c>
      <c r="L1357" t="s">
        <v>2598</v>
      </c>
      <c r="M1357" t="s">
        <v>134</v>
      </c>
      <c r="N1357" t="s">
        <v>135</v>
      </c>
      <c r="Q1357" t="s">
        <v>168</v>
      </c>
      <c r="T1357" t="s">
        <v>2165</v>
      </c>
      <c r="U1357" t="s">
        <v>137</v>
      </c>
      <c r="V1357" t="s">
        <v>150</v>
      </c>
      <c r="X1357" t="s">
        <v>76</v>
      </c>
      <c r="AA1357" t="s">
        <v>2163</v>
      </c>
      <c r="AB1357" t="s">
        <v>2</v>
      </c>
      <c r="AC1357" t="s">
        <v>138</v>
      </c>
      <c r="AD1357" t="s">
        <v>128</v>
      </c>
      <c r="AE1357" s="97">
        <f>VLOOKUP(A:A,SUMMERY!AA:AC,2,FALSE)</f>
        <v>46233</v>
      </c>
      <c r="AF1357" s="6" t="str">
        <f>VLOOKUP(A:A,SUMMERY!AA:AC,3,FALSE)</f>
        <v>Priority-1</v>
      </c>
    </row>
    <row r="1358" spans="1:32" x14ac:dyDescent="0.3">
      <c r="A1358" t="s">
        <v>6124</v>
      </c>
      <c r="B1358" t="s">
        <v>2627</v>
      </c>
      <c r="G1358" t="s">
        <v>5944</v>
      </c>
      <c r="H1358" t="s">
        <v>132</v>
      </c>
      <c r="I1358" t="s">
        <v>2</v>
      </c>
      <c r="J1358" t="s">
        <v>5298</v>
      </c>
      <c r="K1358" t="s">
        <v>52</v>
      </c>
      <c r="L1358" t="s">
        <v>2628</v>
      </c>
      <c r="M1358" t="s">
        <v>134</v>
      </c>
      <c r="N1358" t="s">
        <v>135</v>
      </c>
      <c r="Q1358" t="s">
        <v>168</v>
      </c>
      <c r="T1358" t="s">
        <v>2165</v>
      </c>
      <c r="U1358" t="s">
        <v>137</v>
      </c>
      <c r="V1358" t="s">
        <v>150</v>
      </c>
      <c r="X1358" t="s">
        <v>76</v>
      </c>
      <c r="AA1358" t="s">
        <v>2163</v>
      </c>
      <c r="AB1358" t="s">
        <v>2</v>
      </c>
      <c r="AC1358" t="s">
        <v>138</v>
      </c>
      <c r="AD1358" t="s">
        <v>128</v>
      </c>
      <c r="AE1358" s="97">
        <f>VLOOKUP(A:A,SUMMERY!AA:AC,2,FALSE)</f>
        <v>46233</v>
      </c>
      <c r="AF1358" s="6" t="str">
        <f>VLOOKUP(A:A,SUMMERY!AA:AC,3,FALSE)</f>
        <v>Priority-1</v>
      </c>
    </row>
    <row r="1359" spans="1:32" x14ac:dyDescent="0.3">
      <c r="A1359" t="s">
        <v>6130</v>
      </c>
      <c r="B1359" t="s">
        <v>2645</v>
      </c>
      <c r="G1359" t="s">
        <v>5944</v>
      </c>
      <c r="H1359" t="s">
        <v>132</v>
      </c>
      <c r="I1359" t="s">
        <v>2</v>
      </c>
      <c r="J1359" t="s">
        <v>5298</v>
      </c>
      <c r="K1359" t="s">
        <v>52</v>
      </c>
      <c r="L1359" t="s">
        <v>2646</v>
      </c>
      <c r="M1359" t="s">
        <v>134</v>
      </c>
      <c r="N1359" t="s">
        <v>135</v>
      </c>
      <c r="Q1359" t="s">
        <v>168</v>
      </c>
      <c r="T1359" t="s">
        <v>2165</v>
      </c>
      <c r="U1359" t="s">
        <v>137</v>
      </c>
      <c r="V1359" t="s">
        <v>890</v>
      </c>
      <c r="X1359" t="s">
        <v>59</v>
      </c>
      <c r="AA1359" t="s">
        <v>2163</v>
      </c>
      <c r="AB1359" t="s">
        <v>2</v>
      </c>
      <c r="AC1359" t="s">
        <v>138</v>
      </c>
      <c r="AD1359" t="s">
        <v>128</v>
      </c>
      <c r="AE1359" s="97">
        <f>VLOOKUP(A:A,SUMMERY!AA:AC,2,FALSE)</f>
        <v>46220</v>
      </c>
      <c r="AF1359" s="6" t="str">
        <f>VLOOKUP(A:A,SUMMERY!AA:AC,3,FALSE)</f>
        <v>Priority-1</v>
      </c>
    </row>
    <row r="1360" spans="1:32" x14ac:dyDescent="0.3">
      <c r="A1360" t="s">
        <v>6131</v>
      </c>
      <c r="B1360" t="s">
        <v>2648</v>
      </c>
      <c r="G1360" t="s">
        <v>5944</v>
      </c>
      <c r="H1360" t="s">
        <v>132</v>
      </c>
      <c r="I1360" t="s">
        <v>2</v>
      </c>
      <c r="J1360" t="s">
        <v>5298</v>
      </c>
      <c r="K1360" t="s">
        <v>52</v>
      </c>
      <c r="L1360" t="s">
        <v>2646</v>
      </c>
      <c r="M1360" t="s">
        <v>134</v>
      </c>
      <c r="N1360" t="s">
        <v>135</v>
      </c>
      <c r="Q1360" t="s">
        <v>168</v>
      </c>
      <c r="T1360" t="s">
        <v>2165</v>
      </c>
      <c r="U1360" t="s">
        <v>137</v>
      </c>
      <c r="V1360" t="s">
        <v>890</v>
      </c>
      <c r="X1360" t="s">
        <v>59</v>
      </c>
      <c r="AA1360" t="s">
        <v>2163</v>
      </c>
      <c r="AB1360" t="s">
        <v>2</v>
      </c>
      <c r="AC1360" t="s">
        <v>138</v>
      </c>
      <c r="AD1360" t="s">
        <v>128</v>
      </c>
      <c r="AE1360" s="97">
        <f>VLOOKUP(A:A,SUMMERY!AA:AC,2,FALSE)</f>
        <v>46220</v>
      </c>
      <c r="AF1360" s="6" t="str">
        <f>VLOOKUP(A:A,SUMMERY!AA:AC,3,FALSE)</f>
        <v>Priority-1</v>
      </c>
    </row>
    <row r="1361" spans="1:32" x14ac:dyDescent="0.3">
      <c r="A1361" t="s">
        <v>6132</v>
      </c>
      <c r="B1361" t="s">
        <v>2650</v>
      </c>
      <c r="G1361" t="s">
        <v>5944</v>
      </c>
      <c r="H1361" t="s">
        <v>132</v>
      </c>
      <c r="I1361" t="s">
        <v>2</v>
      </c>
      <c r="J1361" t="s">
        <v>5298</v>
      </c>
      <c r="K1361" t="s">
        <v>52</v>
      </c>
      <c r="L1361" t="s">
        <v>2646</v>
      </c>
      <c r="M1361" t="s">
        <v>134</v>
      </c>
      <c r="N1361" t="s">
        <v>135</v>
      </c>
      <c r="Q1361" t="s">
        <v>168</v>
      </c>
      <c r="T1361" t="s">
        <v>2165</v>
      </c>
      <c r="U1361" t="s">
        <v>137</v>
      </c>
      <c r="V1361" t="s">
        <v>890</v>
      </c>
      <c r="X1361" t="s">
        <v>59</v>
      </c>
      <c r="AA1361" t="s">
        <v>2163</v>
      </c>
      <c r="AB1361" t="s">
        <v>2</v>
      </c>
      <c r="AC1361" t="s">
        <v>138</v>
      </c>
      <c r="AD1361" t="s">
        <v>128</v>
      </c>
      <c r="AE1361" s="97">
        <f>VLOOKUP(A:A,SUMMERY!AA:AC,2,FALSE)</f>
        <v>46220</v>
      </c>
      <c r="AF1361" s="6" t="str">
        <f>VLOOKUP(A:A,SUMMERY!AA:AC,3,FALSE)</f>
        <v>Priority-1</v>
      </c>
    </row>
    <row r="1362" spans="1:32" x14ac:dyDescent="0.3">
      <c r="A1362" t="s">
        <v>6133</v>
      </c>
      <c r="B1362" t="s">
        <v>2652</v>
      </c>
      <c r="G1362" t="s">
        <v>5944</v>
      </c>
      <c r="H1362" t="s">
        <v>132</v>
      </c>
      <c r="I1362" t="s">
        <v>2</v>
      </c>
      <c r="J1362" t="s">
        <v>5298</v>
      </c>
      <c r="K1362" t="s">
        <v>52</v>
      </c>
      <c r="L1362" t="s">
        <v>2646</v>
      </c>
      <c r="M1362" t="s">
        <v>134</v>
      </c>
      <c r="N1362" t="s">
        <v>135</v>
      </c>
      <c r="Q1362" t="s">
        <v>168</v>
      </c>
      <c r="T1362" t="s">
        <v>2165</v>
      </c>
      <c r="U1362" t="s">
        <v>137</v>
      </c>
      <c r="V1362" t="s">
        <v>890</v>
      </c>
      <c r="X1362" t="s">
        <v>59</v>
      </c>
      <c r="AA1362" t="s">
        <v>2163</v>
      </c>
      <c r="AB1362" t="s">
        <v>2</v>
      </c>
      <c r="AC1362" t="s">
        <v>138</v>
      </c>
      <c r="AD1362" t="s">
        <v>128</v>
      </c>
      <c r="AE1362" s="97">
        <f>VLOOKUP(A:A,SUMMERY!AA:AC,2,FALSE)</f>
        <v>46220</v>
      </c>
      <c r="AF1362" s="6" t="str">
        <f>VLOOKUP(A:A,SUMMERY!AA:AC,3,FALSE)</f>
        <v>Priority-1</v>
      </c>
    </row>
    <row r="1363" spans="1:32" x14ac:dyDescent="0.3">
      <c r="A1363" t="s">
        <v>6134</v>
      </c>
      <c r="B1363" t="s">
        <v>2654</v>
      </c>
      <c r="G1363" t="s">
        <v>5944</v>
      </c>
      <c r="H1363" t="s">
        <v>132</v>
      </c>
      <c r="I1363" t="s">
        <v>2</v>
      </c>
      <c r="J1363" t="s">
        <v>5298</v>
      </c>
      <c r="K1363" t="s">
        <v>52</v>
      </c>
      <c r="L1363" t="s">
        <v>2646</v>
      </c>
      <c r="M1363" t="s">
        <v>134</v>
      </c>
      <c r="N1363" t="s">
        <v>135</v>
      </c>
      <c r="Q1363" t="s">
        <v>168</v>
      </c>
      <c r="T1363" t="s">
        <v>2165</v>
      </c>
      <c r="U1363" t="s">
        <v>137</v>
      </c>
      <c r="V1363" t="s">
        <v>890</v>
      </c>
      <c r="X1363" t="s">
        <v>59</v>
      </c>
      <c r="AA1363" t="s">
        <v>2163</v>
      </c>
      <c r="AB1363" t="s">
        <v>2</v>
      </c>
      <c r="AC1363" t="s">
        <v>138</v>
      </c>
      <c r="AD1363" t="s">
        <v>128</v>
      </c>
      <c r="AE1363" s="97">
        <f>VLOOKUP(A:A,SUMMERY!AA:AC,2,FALSE)</f>
        <v>46220</v>
      </c>
      <c r="AF1363" s="6" t="str">
        <f>VLOOKUP(A:A,SUMMERY!AA:AC,3,FALSE)</f>
        <v>Priority-1</v>
      </c>
    </row>
    <row r="1364" spans="1:32" x14ac:dyDescent="0.3">
      <c r="A1364" t="s">
        <v>6135</v>
      </c>
      <c r="B1364" t="s">
        <v>2656</v>
      </c>
      <c r="G1364" t="s">
        <v>5944</v>
      </c>
      <c r="H1364" t="s">
        <v>132</v>
      </c>
      <c r="I1364" t="s">
        <v>2</v>
      </c>
      <c r="J1364" t="s">
        <v>5298</v>
      </c>
      <c r="K1364" t="s">
        <v>52</v>
      </c>
      <c r="L1364" t="s">
        <v>1638</v>
      </c>
      <c r="M1364" t="s">
        <v>134</v>
      </c>
      <c r="N1364" t="s">
        <v>135</v>
      </c>
      <c r="Q1364" t="s">
        <v>168</v>
      </c>
      <c r="T1364" t="s">
        <v>2165</v>
      </c>
      <c r="U1364" t="s">
        <v>137</v>
      </c>
      <c r="V1364" t="s">
        <v>890</v>
      </c>
      <c r="X1364" t="s">
        <v>59</v>
      </c>
      <c r="AA1364" t="s">
        <v>2163</v>
      </c>
      <c r="AB1364" t="s">
        <v>2</v>
      </c>
      <c r="AC1364" t="s">
        <v>138</v>
      </c>
      <c r="AD1364" t="s">
        <v>128</v>
      </c>
      <c r="AE1364" s="97">
        <f>VLOOKUP(A:A,SUMMERY!AA:AC,2,FALSE)</f>
        <v>46220</v>
      </c>
      <c r="AF1364" s="6" t="str">
        <f>VLOOKUP(A:A,SUMMERY!AA:AC,3,FALSE)</f>
        <v>Priority-1</v>
      </c>
    </row>
    <row r="1365" spans="1:32" x14ac:dyDescent="0.3">
      <c r="A1365" t="s">
        <v>6136</v>
      </c>
      <c r="B1365" t="s">
        <v>2658</v>
      </c>
      <c r="G1365" t="s">
        <v>5944</v>
      </c>
      <c r="H1365" t="s">
        <v>132</v>
      </c>
      <c r="I1365" t="s">
        <v>2</v>
      </c>
      <c r="J1365" t="s">
        <v>5298</v>
      </c>
      <c r="K1365" t="s">
        <v>52</v>
      </c>
      <c r="L1365" t="s">
        <v>1638</v>
      </c>
      <c r="M1365" t="s">
        <v>134</v>
      </c>
      <c r="N1365" t="s">
        <v>135</v>
      </c>
      <c r="Q1365" t="s">
        <v>168</v>
      </c>
      <c r="T1365" t="s">
        <v>2165</v>
      </c>
      <c r="U1365" t="s">
        <v>137</v>
      </c>
      <c r="V1365" t="s">
        <v>890</v>
      </c>
      <c r="X1365" t="s">
        <v>59</v>
      </c>
      <c r="AA1365" t="s">
        <v>2163</v>
      </c>
      <c r="AB1365" t="s">
        <v>2</v>
      </c>
      <c r="AC1365" t="s">
        <v>138</v>
      </c>
      <c r="AD1365" t="s">
        <v>128</v>
      </c>
      <c r="AE1365" s="97">
        <f>VLOOKUP(A:A,SUMMERY!AA:AC,2,FALSE)</f>
        <v>46220</v>
      </c>
      <c r="AF1365" s="6" t="str">
        <f>VLOOKUP(A:A,SUMMERY!AA:AC,3,FALSE)</f>
        <v>Priority-1</v>
      </c>
    </row>
    <row r="1366" spans="1:32" x14ac:dyDescent="0.3">
      <c r="A1366" t="s">
        <v>6137</v>
      </c>
      <c r="B1366" t="s">
        <v>2660</v>
      </c>
      <c r="G1366" t="s">
        <v>5944</v>
      </c>
      <c r="H1366" t="s">
        <v>132</v>
      </c>
      <c r="I1366" t="s">
        <v>2</v>
      </c>
      <c r="J1366" t="s">
        <v>5298</v>
      </c>
      <c r="K1366" t="s">
        <v>52</v>
      </c>
      <c r="L1366" t="s">
        <v>1638</v>
      </c>
      <c r="M1366" t="s">
        <v>134</v>
      </c>
      <c r="N1366" t="s">
        <v>135</v>
      </c>
      <c r="Q1366" t="s">
        <v>168</v>
      </c>
      <c r="T1366" t="s">
        <v>2165</v>
      </c>
      <c r="U1366" t="s">
        <v>137</v>
      </c>
      <c r="V1366" t="s">
        <v>890</v>
      </c>
      <c r="X1366" t="s">
        <v>59</v>
      </c>
      <c r="AA1366" t="s">
        <v>2163</v>
      </c>
      <c r="AB1366" t="s">
        <v>2</v>
      </c>
      <c r="AC1366" t="s">
        <v>138</v>
      </c>
      <c r="AD1366" t="s">
        <v>128</v>
      </c>
      <c r="AE1366" s="97">
        <f>VLOOKUP(A:A,SUMMERY!AA:AC,2,FALSE)</f>
        <v>46220</v>
      </c>
      <c r="AF1366" s="6" t="str">
        <f>VLOOKUP(A:A,SUMMERY!AA:AC,3,FALSE)</f>
        <v>Priority-1</v>
      </c>
    </row>
    <row r="1367" spans="1:32" x14ac:dyDescent="0.3">
      <c r="A1367" t="s">
        <v>6138</v>
      </c>
      <c r="B1367" t="s">
        <v>2662</v>
      </c>
      <c r="G1367" t="s">
        <v>5944</v>
      </c>
      <c r="H1367" t="s">
        <v>132</v>
      </c>
      <c r="I1367" t="s">
        <v>2</v>
      </c>
      <c r="J1367" t="s">
        <v>5298</v>
      </c>
      <c r="K1367" t="s">
        <v>52</v>
      </c>
      <c r="L1367" t="s">
        <v>1638</v>
      </c>
      <c r="M1367" t="s">
        <v>134</v>
      </c>
      <c r="N1367" t="s">
        <v>135</v>
      </c>
      <c r="Q1367" t="s">
        <v>168</v>
      </c>
      <c r="T1367" t="s">
        <v>2165</v>
      </c>
      <c r="U1367" t="s">
        <v>137</v>
      </c>
      <c r="V1367" t="s">
        <v>890</v>
      </c>
      <c r="X1367" t="s">
        <v>59</v>
      </c>
      <c r="AA1367" t="s">
        <v>2163</v>
      </c>
      <c r="AB1367" t="s">
        <v>2</v>
      </c>
      <c r="AC1367" t="s">
        <v>138</v>
      </c>
      <c r="AD1367" t="s">
        <v>128</v>
      </c>
      <c r="AE1367" s="97">
        <f>VLOOKUP(A:A,SUMMERY!AA:AC,2,FALSE)</f>
        <v>46220</v>
      </c>
      <c r="AF1367" s="6" t="str">
        <f>VLOOKUP(A:A,SUMMERY!AA:AC,3,FALSE)</f>
        <v>Priority-1</v>
      </c>
    </row>
    <row r="1368" spans="1:32" x14ac:dyDescent="0.3">
      <c r="A1368" t="s">
        <v>6139</v>
      </c>
      <c r="B1368" t="s">
        <v>2664</v>
      </c>
      <c r="G1368" t="s">
        <v>5944</v>
      </c>
      <c r="H1368" t="s">
        <v>132</v>
      </c>
      <c r="I1368" t="s">
        <v>2</v>
      </c>
      <c r="J1368" t="s">
        <v>5298</v>
      </c>
      <c r="K1368" t="s">
        <v>52</v>
      </c>
      <c r="L1368" t="s">
        <v>1641</v>
      </c>
      <c r="M1368" t="s">
        <v>134</v>
      </c>
      <c r="N1368" t="s">
        <v>135</v>
      </c>
      <c r="Q1368" t="s">
        <v>168</v>
      </c>
      <c r="T1368" t="s">
        <v>2165</v>
      </c>
      <c r="U1368" t="s">
        <v>137</v>
      </c>
      <c r="V1368" t="s">
        <v>890</v>
      </c>
      <c r="X1368" t="s">
        <v>59</v>
      </c>
      <c r="AA1368" t="s">
        <v>2163</v>
      </c>
      <c r="AB1368" t="s">
        <v>2</v>
      </c>
      <c r="AC1368" t="s">
        <v>138</v>
      </c>
      <c r="AD1368" t="s">
        <v>128</v>
      </c>
      <c r="AE1368" s="97">
        <f>VLOOKUP(A:A,SUMMERY!AA:AC,2,FALSE)</f>
        <v>46220</v>
      </c>
      <c r="AF1368" s="6" t="str">
        <f>VLOOKUP(A:A,SUMMERY!AA:AC,3,FALSE)</f>
        <v>Priority-1</v>
      </c>
    </row>
    <row r="1369" spans="1:32" x14ac:dyDescent="0.3">
      <c r="A1369" t="s">
        <v>6140</v>
      </c>
      <c r="B1369" t="s">
        <v>2666</v>
      </c>
      <c r="G1369" t="s">
        <v>5944</v>
      </c>
      <c r="H1369" t="s">
        <v>132</v>
      </c>
      <c r="I1369" t="s">
        <v>2</v>
      </c>
      <c r="J1369" t="s">
        <v>5298</v>
      </c>
      <c r="K1369" t="s">
        <v>52</v>
      </c>
      <c r="L1369" t="s">
        <v>1641</v>
      </c>
      <c r="M1369" t="s">
        <v>134</v>
      </c>
      <c r="N1369" t="s">
        <v>135</v>
      </c>
      <c r="Q1369" t="s">
        <v>168</v>
      </c>
      <c r="T1369" t="s">
        <v>2165</v>
      </c>
      <c r="U1369" t="s">
        <v>137</v>
      </c>
      <c r="V1369" t="s">
        <v>890</v>
      </c>
      <c r="X1369" t="s">
        <v>59</v>
      </c>
      <c r="AA1369" t="s">
        <v>2163</v>
      </c>
      <c r="AB1369" t="s">
        <v>2</v>
      </c>
      <c r="AC1369" t="s">
        <v>138</v>
      </c>
      <c r="AD1369" t="s">
        <v>128</v>
      </c>
      <c r="AE1369" s="97">
        <f>VLOOKUP(A:A,SUMMERY!AA:AC,2,FALSE)</f>
        <v>46220</v>
      </c>
      <c r="AF1369" s="6" t="str">
        <f>VLOOKUP(A:A,SUMMERY!AA:AC,3,FALSE)</f>
        <v>Priority-1</v>
      </c>
    </row>
    <row r="1370" spans="1:32" x14ac:dyDescent="0.3">
      <c r="A1370" t="s">
        <v>6141</v>
      </c>
      <c r="B1370" t="s">
        <v>2668</v>
      </c>
      <c r="G1370" t="s">
        <v>5944</v>
      </c>
      <c r="H1370" t="s">
        <v>132</v>
      </c>
      <c r="I1370" t="s">
        <v>2</v>
      </c>
      <c r="J1370" t="s">
        <v>5298</v>
      </c>
      <c r="K1370" t="s">
        <v>52</v>
      </c>
      <c r="L1370" t="s">
        <v>1638</v>
      </c>
      <c r="M1370" t="s">
        <v>134</v>
      </c>
      <c r="N1370" t="s">
        <v>135</v>
      </c>
      <c r="Q1370" t="s">
        <v>168</v>
      </c>
      <c r="T1370" t="s">
        <v>2165</v>
      </c>
      <c r="U1370" t="s">
        <v>137</v>
      </c>
      <c r="V1370" t="s">
        <v>890</v>
      </c>
      <c r="X1370" t="s">
        <v>59</v>
      </c>
      <c r="AA1370" t="s">
        <v>2163</v>
      </c>
      <c r="AB1370" t="s">
        <v>2</v>
      </c>
      <c r="AC1370" t="s">
        <v>138</v>
      </c>
      <c r="AD1370" t="s">
        <v>128</v>
      </c>
      <c r="AE1370" s="97">
        <f>VLOOKUP(A:A,SUMMERY!AA:AC,2,FALSE)</f>
        <v>46220</v>
      </c>
      <c r="AF1370" s="6" t="str">
        <f>VLOOKUP(A:A,SUMMERY!AA:AC,3,FALSE)</f>
        <v>Priority-1</v>
      </c>
    </row>
    <row r="1371" spans="1:32" x14ac:dyDescent="0.3">
      <c r="A1371" t="s">
        <v>6142</v>
      </c>
      <c r="B1371" t="s">
        <v>2670</v>
      </c>
      <c r="G1371" t="s">
        <v>5944</v>
      </c>
      <c r="H1371" t="s">
        <v>132</v>
      </c>
      <c r="I1371" t="s">
        <v>2</v>
      </c>
      <c r="J1371" t="s">
        <v>5298</v>
      </c>
      <c r="K1371" t="s">
        <v>52</v>
      </c>
      <c r="L1371" t="s">
        <v>1638</v>
      </c>
      <c r="M1371" t="s">
        <v>134</v>
      </c>
      <c r="N1371" t="s">
        <v>135</v>
      </c>
      <c r="Q1371" t="s">
        <v>168</v>
      </c>
      <c r="T1371" t="s">
        <v>2165</v>
      </c>
      <c r="U1371" t="s">
        <v>137</v>
      </c>
      <c r="V1371" t="s">
        <v>890</v>
      </c>
      <c r="X1371" t="s">
        <v>59</v>
      </c>
      <c r="AA1371" t="s">
        <v>2163</v>
      </c>
      <c r="AB1371" t="s">
        <v>2</v>
      </c>
      <c r="AC1371" t="s">
        <v>138</v>
      </c>
      <c r="AD1371" t="s">
        <v>128</v>
      </c>
      <c r="AE1371" s="97">
        <f>VLOOKUP(A:A,SUMMERY!AA:AC,2,FALSE)</f>
        <v>46220</v>
      </c>
      <c r="AF1371" s="6" t="str">
        <f>VLOOKUP(A:A,SUMMERY!AA:AC,3,FALSE)</f>
        <v>Priority-1</v>
      </c>
    </row>
    <row r="1372" spans="1:32" x14ac:dyDescent="0.3">
      <c r="A1372" t="s">
        <v>6143</v>
      </c>
      <c r="B1372" t="s">
        <v>2672</v>
      </c>
      <c r="G1372" t="s">
        <v>5944</v>
      </c>
      <c r="H1372" t="s">
        <v>132</v>
      </c>
      <c r="I1372" t="s">
        <v>2</v>
      </c>
      <c r="J1372" t="s">
        <v>5298</v>
      </c>
      <c r="K1372" t="s">
        <v>52</v>
      </c>
      <c r="L1372" t="s">
        <v>1638</v>
      </c>
      <c r="M1372" t="s">
        <v>134</v>
      </c>
      <c r="N1372" t="s">
        <v>135</v>
      </c>
      <c r="Q1372" t="s">
        <v>168</v>
      </c>
      <c r="T1372" t="s">
        <v>2165</v>
      </c>
      <c r="U1372" t="s">
        <v>137</v>
      </c>
      <c r="V1372" t="s">
        <v>890</v>
      </c>
      <c r="X1372" t="s">
        <v>59</v>
      </c>
      <c r="AA1372" t="s">
        <v>2163</v>
      </c>
      <c r="AB1372" t="s">
        <v>2</v>
      </c>
      <c r="AC1372" t="s">
        <v>138</v>
      </c>
      <c r="AD1372" t="s">
        <v>128</v>
      </c>
      <c r="AE1372" s="97">
        <f>VLOOKUP(A:A,SUMMERY!AA:AC,2,FALSE)</f>
        <v>46220</v>
      </c>
      <c r="AF1372" s="6" t="str">
        <f>VLOOKUP(A:A,SUMMERY!AA:AC,3,FALSE)</f>
        <v>Priority-1</v>
      </c>
    </row>
    <row r="1373" spans="1:32" x14ac:dyDescent="0.3">
      <c r="A1373" t="s">
        <v>6144</v>
      </c>
      <c r="B1373" t="s">
        <v>2682</v>
      </c>
      <c r="G1373" t="s">
        <v>5944</v>
      </c>
      <c r="H1373" t="s">
        <v>132</v>
      </c>
      <c r="I1373" t="s">
        <v>2</v>
      </c>
      <c r="J1373" t="s">
        <v>5298</v>
      </c>
      <c r="K1373" t="s">
        <v>52</v>
      </c>
      <c r="L1373" t="s">
        <v>2683</v>
      </c>
      <c r="M1373" t="s">
        <v>134</v>
      </c>
      <c r="N1373" t="s">
        <v>135</v>
      </c>
      <c r="Q1373" t="s">
        <v>168</v>
      </c>
      <c r="T1373" t="s">
        <v>2165</v>
      </c>
      <c r="U1373" t="s">
        <v>137</v>
      </c>
      <c r="V1373" t="s">
        <v>890</v>
      </c>
      <c r="X1373" t="s">
        <v>59</v>
      </c>
      <c r="AA1373" t="s">
        <v>2163</v>
      </c>
      <c r="AB1373" t="s">
        <v>2</v>
      </c>
      <c r="AC1373" t="s">
        <v>138</v>
      </c>
      <c r="AD1373" t="s">
        <v>128</v>
      </c>
      <c r="AE1373" s="97">
        <f>VLOOKUP(A:A,SUMMERY!AA:AC,2,FALSE)</f>
        <v>46220</v>
      </c>
      <c r="AF1373" s="6" t="str">
        <f>VLOOKUP(A:A,SUMMERY!AA:AC,3,FALSE)</f>
        <v>Priority-1</v>
      </c>
    </row>
    <row r="1374" spans="1:32" x14ac:dyDescent="0.3">
      <c r="A1374" t="s">
        <v>6145</v>
      </c>
      <c r="B1374" t="s">
        <v>2685</v>
      </c>
      <c r="G1374" t="s">
        <v>5944</v>
      </c>
      <c r="H1374" t="s">
        <v>132</v>
      </c>
      <c r="I1374" t="s">
        <v>2</v>
      </c>
      <c r="J1374" t="s">
        <v>5298</v>
      </c>
      <c r="K1374" t="s">
        <v>52</v>
      </c>
      <c r="L1374" t="s">
        <v>2686</v>
      </c>
      <c r="M1374" t="s">
        <v>134</v>
      </c>
      <c r="N1374" t="s">
        <v>135</v>
      </c>
      <c r="Q1374" t="s">
        <v>168</v>
      </c>
      <c r="T1374" t="s">
        <v>2165</v>
      </c>
      <c r="U1374" t="s">
        <v>137</v>
      </c>
      <c r="V1374" t="s">
        <v>890</v>
      </c>
      <c r="X1374" t="s">
        <v>59</v>
      </c>
      <c r="AA1374" t="s">
        <v>2163</v>
      </c>
      <c r="AB1374" t="s">
        <v>2</v>
      </c>
      <c r="AC1374" t="s">
        <v>138</v>
      </c>
      <c r="AD1374" t="s">
        <v>128</v>
      </c>
      <c r="AE1374" s="97">
        <f>VLOOKUP(A:A,SUMMERY!AA:AC,2,FALSE)</f>
        <v>46220</v>
      </c>
      <c r="AF1374" s="6" t="str">
        <f>VLOOKUP(A:A,SUMMERY!AA:AC,3,FALSE)</f>
        <v>Priority-1</v>
      </c>
    </row>
    <row r="1375" spans="1:32" x14ac:dyDescent="0.3">
      <c r="A1375" t="s">
        <v>6146</v>
      </c>
      <c r="B1375" t="s">
        <v>2688</v>
      </c>
      <c r="G1375" t="s">
        <v>5944</v>
      </c>
      <c r="H1375" t="s">
        <v>132</v>
      </c>
      <c r="I1375" t="s">
        <v>2</v>
      </c>
      <c r="J1375" t="s">
        <v>5298</v>
      </c>
      <c r="K1375" t="s">
        <v>52</v>
      </c>
      <c r="L1375" t="s">
        <v>2689</v>
      </c>
      <c r="M1375" t="s">
        <v>134</v>
      </c>
      <c r="N1375" t="s">
        <v>135</v>
      </c>
      <c r="Q1375" t="s">
        <v>168</v>
      </c>
      <c r="T1375" t="s">
        <v>2165</v>
      </c>
      <c r="U1375" t="s">
        <v>137</v>
      </c>
      <c r="V1375" t="s">
        <v>897</v>
      </c>
      <c r="X1375" t="s">
        <v>64</v>
      </c>
      <c r="AA1375" t="s">
        <v>2163</v>
      </c>
      <c r="AB1375" t="s">
        <v>2</v>
      </c>
      <c r="AC1375" t="s">
        <v>138</v>
      </c>
      <c r="AD1375" t="s">
        <v>128</v>
      </c>
      <c r="AE1375" s="97">
        <f>VLOOKUP(A:A,SUMMERY!AA:AC,2,FALSE)</f>
        <v>46233</v>
      </c>
      <c r="AF1375" s="6" t="str">
        <f>VLOOKUP(A:A,SUMMERY!AA:AC,3,FALSE)</f>
        <v>Priority-1</v>
      </c>
    </row>
    <row r="1376" spans="1:32" x14ac:dyDescent="0.3">
      <c r="A1376" t="s">
        <v>6147</v>
      </c>
      <c r="B1376" t="s">
        <v>2691</v>
      </c>
      <c r="G1376" t="s">
        <v>5944</v>
      </c>
      <c r="H1376" t="s">
        <v>132</v>
      </c>
      <c r="I1376" t="s">
        <v>2</v>
      </c>
      <c r="J1376" t="s">
        <v>5298</v>
      </c>
      <c r="K1376" t="s">
        <v>52</v>
      </c>
      <c r="L1376" t="s">
        <v>2689</v>
      </c>
      <c r="M1376" t="s">
        <v>134</v>
      </c>
      <c r="N1376" t="s">
        <v>135</v>
      </c>
      <c r="Q1376" t="s">
        <v>168</v>
      </c>
      <c r="T1376" t="s">
        <v>2165</v>
      </c>
      <c r="U1376" t="s">
        <v>137</v>
      </c>
      <c r="V1376" t="s">
        <v>897</v>
      </c>
      <c r="X1376" t="s">
        <v>64</v>
      </c>
      <c r="AA1376" t="s">
        <v>2163</v>
      </c>
      <c r="AB1376" t="s">
        <v>2</v>
      </c>
      <c r="AC1376" t="s">
        <v>138</v>
      </c>
      <c r="AD1376" t="s">
        <v>128</v>
      </c>
      <c r="AE1376" s="97">
        <f>VLOOKUP(A:A,SUMMERY!AA:AC,2,FALSE)</f>
        <v>46233</v>
      </c>
      <c r="AF1376" s="6" t="str">
        <f>VLOOKUP(A:A,SUMMERY!AA:AC,3,FALSE)</f>
        <v>Priority-1</v>
      </c>
    </row>
    <row r="1377" spans="1:32" x14ac:dyDescent="0.3">
      <c r="A1377" t="s">
        <v>6148</v>
      </c>
      <c r="B1377" t="s">
        <v>2693</v>
      </c>
      <c r="G1377" t="s">
        <v>5944</v>
      </c>
      <c r="H1377" t="s">
        <v>132</v>
      </c>
      <c r="I1377" t="s">
        <v>2</v>
      </c>
      <c r="J1377" t="s">
        <v>5298</v>
      </c>
      <c r="K1377" t="s">
        <v>52</v>
      </c>
      <c r="L1377" t="s">
        <v>2689</v>
      </c>
      <c r="M1377" t="s">
        <v>134</v>
      </c>
      <c r="N1377" t="s">
        <v>135</v>
      </c>
      <c r="Q1377" t="s">
        <v>168</v>
      </c>
      <c r="T1377" t="s">
        <v>2165</v>
      </c>
      <c r="U1377" t="s">
        <v>137</v>
      </c>
      <c r="V1377" t="s">
        <v>897</v>
      </c>
      <c r="X1377" t="s">
        <v>64</v>
      </c>
      <c r="AA1377" t="s">
        <v>2163</v>
      </c>
      <c r="AB1377" t="s">
        <v>2</v>
      </c>
      <c r="AC1377" t="s">
        <v>138</v>
      </c>
      <c r="AD1377" t="s">
        <v>128</v>
      </c>
      <c r="AE1377" s="97">
        <f>VLOOKUP(A:A,SUMMERY!AA:AC,2,FALSE)</f>
        <v>46233</v>
      </c>
      <c r="AF1377" s="6" t="str">
        <f>VLOOKUP(A:A,SUMMERY!AA:AC,3,FALSE)</f>
        <v>Priority-1</v>
      </c>
    </row>
    <row r="1378" spans="1:32" x14ac:dyDescent="0.3">
      <c r="A1378" t="s">
        <v>6149</v>
      </c>
      <c r="B1378" t="s">
        <v>2695</v>
      </c>
      <c r="G1378" t="s">
        <v>5944</v>
      </c>
      <c r="H1378" t="s">
        <v>132</v>
      </c>
      <c r="I1378" t="s">
        <v>2</v>
      </c>
      <c r="J1378" t="s">
        <v>5298</v>
      </c>
      <c r="K1378" t="s">
        <v>52</v>
      </c>
      <c r="L1378" t="s">
        <v>2689</v>
      </c>
      <c r="M1378" t="s">
        <v>134</v>
      </c>
      <c r="N1378" t="s">
        <v>135</v>
      </c>
      <c r="Q1378" t="s">
        <v>168</v>
      </c>
      <c r="T1378" t="s">
        <v>2165</v>
      </c>
      <c r="U1378" t="s">
        <v>137</v>
      </c>
      <c r="V1378" t="s">
        <v>897</v>
      </c>
      <c r="X1378" t="s">
        <v>64</v>
      </c>
      <c r="AA1378" t="s">
        <v>2163</v>
      </c>
      <c r="AB1378" t="s">
        <v>2</v>
      </c>
      <c r="AC1378" t="s">
        <v>138</v>
      </c>
      <c r="AD1378" t="s">
        <v>128</v>
      </c>
      <c r="AE1378" s="97">
        <f>VLOOKUP(A:A,SUMMERY!AA:AC,2,FALSE)</f>
        <v>46233</v>
      </c>
      <c r="AF1378" s="6" t="str">
        <f>VLOOKUP(A:A,SUMMERY!AA:AC,3,FALSE)</f>
        <v>Priority-1</v>
      </c>
    </row>
    <row r="1379" spans="1:32" x14ac:dyDescent="0.3">
      <c r="A1379" t="s">
        <v>6150</v>
      </c>
      <c r="B1379" t="s">
        <v>2697</v>
      </c>
      <c r="G1379" t="s">
        <v>5944</v>
      </c>
      <c r="H1379" t="s">
        <v>132</v>
      </c>
      <c r="I1379" t="s">
        <v>2</v>
      </c>
      <c r="J1379" t="s">
        <v>5298</v>
      </c>
      <c r="K1379" t="s">
        <v>52</v>
      </c>
      <c r="L1379" t="s">
        <v>2689</v>
      </c>
      <c r="M1379" t="s">
        <v>134</v>
      </c>
      <c r="N1379" t="s">
        <v>135</v>
      </c>
      <c r="Q1379" t="s">
        <v>168</v>
      </c>
      <c r="T1379" t="s">
        <v>2165</v>
      </c>
      <c r="U1379" t="s">
        <v>137</v>
      </c>
      <c r="V1379" t="s">
        <v>897</v>
      </c>
      <c r="X1379" t="s">
        <v>64</v>
      </c>
      <c r="AA1379" t="s">
        <v>2163</v>
      </c>
      <c r="AB1379" t="s">
        <v>2</v>
      </c>
      <c r="AC1379" t="s">
        <v>138</v>
      </c>
      <c r="AD1379" t="s">
        <v>128</v>
      </c>
      <c r="AE1379" s="97">
        <f>VLOOKUP(A:A,SUMMERY!AA:AC,2,FALSE)</f>
        <v>46233</v>
      </c>
      <c r="AF1379" s="6" t="str">
        <f>VLOOKUP(A:A,SUMMERY!AA:AC,3,FALSE)</f>
        <v>Priority-1</v>
      </c>
    </row>
    <row r="1380" spans="1:32" x14ac:dyDescent="0.3">
      <c r="A1380" t="s">
        <v>6151</v>
      </c>
      <c r="B1380" t="s">
        <v>2699</v>
      </c>
      <c r="G1380" t="s">
        <v>5944</v>
      </c>
      <c r="H1380" t="s">
        <v>132</v>
      </c>
      <c r="I1380" t="s">
        <v>2</v>
      </c>
      <c r="J1380" t="s">
        <v>5298</v>
      </c>
      <c r="K1380" t="s">
        <v>52</v>
      </c>
      <c r="L1380" t="s">
        <v>1658</v>
      </c>
      <c r="M1380" t="s">
        <v>134</v>
      </c>
      <c r="N1380" t="s">
        <v>135</v>
      </c>
      <c r="Q1380" t="s">
        <v>168</v>
      </c>
      <c r="T1380" t="s">
        <v>2165</v>
      </c>
      <c r="U1380" t="s">
        <v>137</v>
      </c>
      <c r="V1380" t="s">
        <v>897</v>
      </c>
      <c r="X1380" t="s">
        <v>64</v>
      </c>
      <c r="AA1380" t="s">
        <v>2163</v>
      </c>
      <c r="AB1380" t="s">
        <v>2</v>
      </c>
      <c r="AC1380" t="s">
        <v>138</v>
      </c>
      <c r="AD1380" t="s">
        <v>128</v>
      </c>
      <c r="AE1380" s="97">
        <f>VLOOKUP(A:A,SUMMERY!AA:AC,2,FALSE)</f>
        <v>46233</v>
      </c>
      <c r="AF1380" s="6" t="str">
        <f>VLOOKUP(A:A,SUMMERY!AA:AC,3,FALSE)</f>
        <v>Priority-1</v>
      </c>
    </row>
    <row r="1381" spans="1:32" x14ac:dyDescent="0.3">
      <c r="A1381" t="s">
        <v>6152</v>
      </c>
      <c r="B1381" t="s">
        <v>2701</v>
      </c>
      <c r="G1381" t="s">
        <v>5944</v>
      </c>
      <c r="H1381" t="s">
        <v>132</v>
      </c>
      <c r="I1381" t="s">
        <v>2</v>
      </c>
      <c r="J1381" t="s">
        <v>5298</v>
      </c>
      <c r="K1381" t="s">
        <v>52</v>
      </c>
      <c r="L1381" t="s">
        <v>1658</v>
      </c>
      <c r="M1381" t="s">
        <v>134</v>
      </c>
      <c r="N1381" t="s">
        <v>135</v>
      </c>
      <c r="Q1381" t="s">
        <v>168</v>
      </c>
      <c r="T1381" t="s">
        <v>2165</v>
      </c>
      <c r="U1381" t="s">
        <v>137</v>
      </c>
      <c r="V1381" t="s">
        <v>897</v>
      </c>
      <c r="X1381" t="s">
        <v>64</v>
      </c>
      <c r="AA1381" t="s">
        <v>2163</v>
      </c>
      <c r="AB1381" t="s">
        <v>2</v>
      </c>
      <c r="AC1381" t="s">
        <v>138</v>
      </c>
      <c r="AD1381" t="s">
        <v>128</v>
      </c>
      <c r="AE1381" s="97">
        <f>VLOOKUP(A:A,SUMMERY!AA:AC,2,FALSE)</f>
        <v>46233</v>
      </c>
      <c r="AF1381" s="6" t="str">
        <f>VLOOKUP(A:A,SUMMERY!AA:AC,3,FALSE)</f>
        <v>Priority-1</v>
      </c>
    </row>
    <row r="1382" spans="1:32" x14ac:dyDescent="0.3">
      <c r="A1382" t="s">
        <v>6153</v>
      </c>
      <c r="B1382" t="s">
        <v>2703</v>
      </c>
      <c r="G1382" t="s">
        <v>5944</v>
      </c>
      <c r="H1382" t="s">
        <v>132</v>
      </c>
      <c r="I1382" t="s">
        <v>2</v>
      </c>
      <c r="J1382" t="s">
        <v>5298</v>
      </c>
      <c r="K1382" t="s">
        <v>52</v>
      </c>
      <c r="L1382" t="s">
        <v>1658</v>
      </c>
      <c r="M1382" t="s">
        <v>134</v>
      </c>
      <c r="N1382" t="s">
        <v>135</v>
      </c>
      <c r="Q1382" t="s">
        <v>168</v>
      </c>
      <c r="T1382" t="s">
        <v>2165</v>
      </c>
      <c r="U1382" t="s">
        <v>137</v>
      </c>
      <c r="V1382" t="s">
        <v>897</v>
      </c>
      <c r="X1382" t="s">
        <v>64</v>
      </c>
      <c r="AA1382" t="s">
        <v>2163</v>
      </c>
      <c r="AB1382" t="s">
        <v>2</v>
      </c>
      <c r="AC1382" t="s">
        <v>138</v>
      </c>
      <c r="AD1382" t="s">
        <v>128</v>
      </c>
      <c r="AE1382" s="97">
        <f>VLOOKUP(A:A,SUMMERY!AA:AC,2,FALSE)</f>
        <v>46233</v>
      </c>
      <c r="AF1382" s="6" t="str">
        <f>VLOOKUP(A:A,SUMMERY!AA:AC,3,FALSE)</f>
        <v>Priority-1</v>
      </c>
    </row>
    <row r="1383" spans="1:32" x14ac:dyDescent="0.3">
      <c r="A1383" t="s">
        <v>6154</v>
      </c>
      <c r="B1383" t="s">
        <v>2705</v>
      </c>
      <c r="G1383" t="s">
        <v>5944</v>
      </c>
      <c r="H1383" t="s">
        <v>132</v>
      </c>
      <c r="I1383" t="s">
        <v>2</v>
      </c>
      <c r="J1383" t="s">
        <v>5298</v>
      </c>
      <c r="K1383" t="s">
        <v>52</v>
      </c>
      <c r="L1383" t="s">
        <v>1658</v>
      </c>
      <c r="M1383" t="s">
        <v>134</v>
      </c>
      <c r="N1383" t="s">
        <v>135</v>
      </c>
      <c r="Q1383" t="s">
        <v>168</v>
      </c>
      <c r="T1383" t="s">
        <v>2165</v>
      </c>
      <c r="U1383" t="s">
        <v>137</v>
      </c>
      <c r="V1383" t="s">
        <v>897</v>
      </c>
      <c r="X1383" t="s">
        <v>64</v>
      </c>
      <c r="AA1383" t="s">
        <v>2163</v>
      </c>
      <c r="AB1383" t="s">
        <v>2</v>
      </c>
      <c r="AC1383" t="s">
        <v>138</v>
      </c>
      <c r="AD1383" t="s">
        <v>128</v>
      </c>
      <c r="AE1383" s="97">
        <f>VLOOKUP(A:A,SUMMERY!AA:AC,2,FALSE)</f>
        <v>46233</v>
      </c>
      <c r="AF1383" s="6" t="str">
        <f>VLOOKUP(A:A,SUMMERY!AA:AC,3,FALSE)</f>
        <v>Priority-1</v>
      </c>
    </row>
    <row r="1384" spans="1:32" x14ac:dyDescent="0.3">
      <c r="A1384" t="s">
        <v>6155</v>
      </c>
      <c r="B1384" t="s">
        <v>2707</v>
      </c>
      <c r="G1384" t="s">
        <v>5944</v>
      </c>
      <c r="H1384" t="s">
        <v>132</v>
      </c>
      <c r="I1384" t="s">
        <v>2</v>
      </c>
      <c r="J1384" t="s">
        <v>5298</v>
      </c>
      <c r="K1384" t="s">
        <v>52</v>
      </c>
      <c r="L1384" t="s">
        <v>1661</v>
      </c>
      <c r="M1384" t="s">
        <v>134</v>
      </c>
      <c r="N1384" t="s">
        <v>135</v>
      </c>
      <c r="Q1384" t="s">
        <v>168</v>
      </c>
      <c r="T1384" t="s">
        <v>2165</v>
      </c>
      <c r="U1384" t="s">
        <v>137</v>
      </c>
      <c r="V1384" t="s">
        <v>897</v>
      </c>
      <c r="X1384" t="s">
        <v>64</v>
      </c>
      <c r="AA1384" t="s">
        <v>2163</v>
      </c>
      <c r="AB1384" t="s">
        <v>2</v>
      </c>
      <c r="AC1384" t="s">
        <v>138</v>
      </c>
      <c r="AD1384" t="s">
        <v>128</v>
      </c>
      <c r="AE1384" s="97">
        <f>VLOOKUP(A:A,SUMMERY!AA:AC,2,FALSE)</f>
        <v>46233</v>
      </c>
      <c r="AF1384" s="6" t="str">
        <f>VLOOKUP(A:A,SUMMERY!AA:AC,3,FALSE)</f>
        <v>Priority-1</v>
      </c>
    </row>
    <row r="1385" spans="1:32" x14ac:dyDescent="0.3">
      <c r="A1385" t="s">
        <v>6156</v>
      </c>
      <c r="B1385" t="s">
        <v>2709</v>
      </c>
      <c r="G1385" t="s">
        <v>5944</v>
      </c>
      <c r="H1385" t="s">
        <v>132</v>
      </c>
      <c r="I1385" t="s">
        <v>2</v>
      </c>
      <c r="J1385" t="s">
        <v>5298</v>
      </c>
      <c r="K1385" t="s">
        <v>52</v>
      </c>
      <c r="L1385" t="s">
        <v>1661</v>
      </c>
      <c r="M1385" t="s">
        <v>134</v>
      </c>
      <c r="N1385" t="s">
        <v>135</v>
      </c>
      <c r="Q1385" t="s">
        <v>168</v>
      </c>
      <c r="T1385" t="s">
        <v>2165</v>
      </c>
      <c r="U1385" t="s">
        <v>137</v>
      </c>
      <c r="V1385" t="s">
        <v>897</v>
      </c>
      <c r="X1385" t="s">
        <v>64</v>
      </c>
      <c r="AA1385" t="s">
        <v>2163</v>
      </c>
      <c r="AB1385" t="s">
        <v>2</v>
      </c>
      <c r="AC1385" t="s">
        <v>138</v>
      </c>
      <c r="AD1385" t="s">
        <v>128</v>
      </c>
      <c r="AE1385" s="97">
        <f>VLOOKUP(A:A,SUMMERY!AA:AC,2,FALSE)</f>
        <v>46233</v>
      </c>
      <c r="AF1385" s="6" t="str">
        <f>VLOOKUP(A:A,SUMMERY!AA:AC,3,FALSE)</f>
        <v>Priority-1</v>
      </c>
    </row>
    <row r="1386" spans="1:32" x14ac:dyDescent="0.3">
      <c r="A1386" t="s">
        <v>6157</v>
      </c>
      <c r="B1386" t="s">
        <v>2711</v>
      </c>
      <c r="G1386" t="s">
        <v>5944</v>
      </c>
      <c r="H1386" t="s">
        <v>132</v>
      </c>
      <c r="I1386" t="s">
        <v>2</v>
      </c>
      <c r="J1386" t="s">
        <v>5298</v>
      </c>
      <c r="K1386" t="s">
        <v>52</v>
      </c>
      <c r="L1386" t="s">
        <v>1658</v>
      </c>
      <c r="M1386" t="s">
        <v>134</v>
      </c>
      <c r="N1386" t="s">
        <v>135</v>
      </c>
      <c r="Q1386" t="s">
        <v>168</v>
      </c>
      <c r="T1386" t="s">
        <v>2165</v>
      </c>
      <c r="U1386" t="s">
        <v>137</v>
      </c>
      <c r="V1386" t="s">
        <v>897</v>
      </c>
      <c r="X1386" t="s">
        <v>64</v>
      </c>
      <c r="AA1386" t="s">
        <v>2163</v>
      </c>
      <c r="AB1386" t="s">
        <v>2</v>
      </c>
      <c r="AC1386" t="s">
        <v>138</v>
      </c>
      <c r="AD1386" t="s">
        <v>128</v>
      </c>
      <c r="AE1386" s="97">
        <f>VLOOKUP(A:A,SUMMERY!AA:AC,2,FALSE)</f>
        <v>46233</v>
      </c>
      <c r="AF1386" s="6" t="str">
        <f>VLOOKUP(A:A,SUMMERY!AA:AC,3,FALSE)</f>
        <v>Priority-1</v>
      </c>
    </row>
    <row r="1387" spans="1:32" x14ac:dyDescent="0.3">
      <c r="A1387" t="s">
        <v>6158</v>
      </c>
      <c r="B1387" t="s">
        <v>2713</v>
      </c>
      <c r="G1387" t="s">
        <v>5944</v>
      </c>
      <c r="H1387" t="s">
        <v>132</v>
      </c>
      <c r="I1387" t="s">
        <v>2</v>
      </c>
      <c r="J1387" t="s">
        <v>5298</v>
      </c>
      <c r="K1387" t="s">
        <v>52</v>
      </c>
      <c r="L1387" t="s">
        <v>1658</v>
      </c>
      <c r="M1387" t="s">
        <v>134</v>
      </c>
      <c r="N1387" t="s">
        <v>135</v>
      </c>
      <c r="Q1387" t="s">
        <v>168</v>
      </c>
      <c r="T1387" t="s">
        <v>2165</v>
      </c>
      <c r="U1387" t="s">
        <v>137</v>
      </c>
      <c r="V1387" t="s">
        <v>897</v>
      </c>
      <c r="X1387" t="s">
        <v>64</v>
      </c>
      <c r="AA1387" t="s">
        <v>2163</v>
      </c>
      <c r="AB1387" t="s">
        <v>2</v>
      </c>
      <c r="AC1387" t="s">
        <v>138</v>
      </c>
      <c r="AD1387" t="s">
        <v>128</v>
      </c>
      <c r="AE1387" s="97">
        <f>VLOOKUP(A:A,SUMMERY!AA:AC,2,FALSE)</f>
        <v>46233</v>
      </c>
      <c r="AF1387" s="6" t="str">
        <f>VLOOKUP(A:A,SUMMERY!AA:AC,3,FALSE)</f>
        <v>Priority-1</v>
      </c>
    </row>
    <row r="1388" spans="1:32" x14ac:dyDescent="0.3">
      <c r="A1388" t="s">
        <v>6159</v>
      </c>
      <c r="B1388" t="s">
        <v>2715</v>
      </c>
      <c r="G1388" t="s">
        <v>5944</v>
      </c>
      <c r="H1388" t="s">
        <v>132</v>
      </c>
      <c r="I1388" t="s">
        <v>2</v>
      </c>
      <c r="J1388" t="s">
        <v>5298</v>
      </c>
      <c r="K1388" t="s">
        <v>52</v>
      </c>
      <c r="L1388" t="s">
        <v>1658</v>
      </c>
      <c r="M1388" t="s">
        <v>134</v>
      </c>
      <c r="N1388" t="s">
        <v>135</v>
      </c>
      <c r="Q1388" t="s">
        <v>168</v>
      </c>
      <c r="T1388" t="s">
        <v>2165</v>
      </c>
      <c r="U1388" t="s">
        <v>137</v>
      </c>
      <c r="V1388" t="s">
        <v>897</v>
      </c>
      <c r="X1388" t="s">
        <v>64</v>
      </c>
      <c r="AA1388" t="s">
        <v>2163</v>
      </c>
      <c r="AB1388" t="s">
        <v>2</v>
      </c>
      <c r="AC1388" t="s">
        <v>138</v>
      </c>
      <c r="AD1388" t="s">
        <v>128</v>
      </c>
      <c r="AE1388" s="97">
        <f>VLOOKUP(A:A,SUMMERY!AA:AC,2,FALSE)</f>
        <v>46233</v>
      </c>
      <c r="AF1388" s="6" t="str">
        <f>VLOOKUP(A:A,SUMMERY!AA:AC,3,FALSE)</f>
        <v>Priority-1</v>
      </c>
    </row>
    <row r="1389" spans="1:32" x14ac:dyDescent="0.3">
      <c r="A1389" t="s">
        <v>6160</v>
      </c>
      <c r="B1389" t="s">
        <v>2725</v>
      </c>
      <c r="G1389" t="s">
        <v>5944</v>
      </c>
      <c r="H1389" t="s">
        <v>132</v>
      </c>
      <c r="I1389" t="s">
        <v>2</v>
      </c>
      <c r="J1389" t="s">
        <v>5298</v>
      </c>
      <c r="K1389" t="s">
        <v>52</v>
      </c>
      <c r="L1389" t="s">
        <v>2726</v>
      </c>
      <c r="M1389" t="s">
        <v>134</v>
      </c>
      <c r="N1389" t="s">
        <v>135</v>
      </c>
      <c r="Q1389" t="s">
        <v>168</v>
      </c>
      <c r="T1389" t="s">
        <v>2165</v>
      </c>
      <c r="U1389" t="s">
        <v>137</v>
      </c>
      <c r="V1389" t="s">
        <v>897</v>
      </c>
      <c r="X1389" t="s">
        <v>64</v>
      </c>
      <c r="AA1389" t="s">
        <v>2163</v>
      </c>
      <c r="AB1389" t="s">
        <v>2</v>
      </c>
      <c r="AC1389" t="s">
        <v>138</v>
      </c>
      <c r="AD1389" t="s">
        <v>128</v>
      </c>
      <c r="AE1389" s="97">
        <f>VLOOKUP(A:A,SUMMERY!AA:AC,2,FALSE)</f>
        <v>46233</v>
      </c>
      <c r="AF1389" s="6" t="str">
        <f>VLOOKUP(A:A,SUMMERY!AA:AC,3,FALSE)</f>
        <v>Priority-1</v>
      </c>
    </row>
    <row r="1390" spans="1:32" x14ac:dyDescent="0.3">
      <c r="A1390" t="s">
        <v>6161</v>
      </c>
      <c r="B1390" t="s">
        <v>2728</v>
      </c>
      <c r="G1390" t="s">
        <v>5944</v>
      </c>
      <c r="H1390" t="s">
        <v>132</v>
      </c>
      <c r="I1390" t="s">
        <v>2</v>
      </c>
      <c r="J1390" t="s">
        <v>5298</v>
      </c>
      <c r="K1390" t="s">
        <v>52</v>
      </c>
      <c r="L1390" t="s">
        <v>2729</v>
      </c>
      <c r="M1390" t="s">
        <v>134</v>
      </c>
      <c r="N1390" t="s">
        <v>135</v>
      </c>
      <c r="Q1390" t="s">
        <v>168</v>
      </c>
      <c r="T1390" t="s">
        <v>2165</v>
      </c>
      <c r="U1390" t="s">
        <v>137</v>
      </c>
      <c r="V1390" t="s">
        <v>897</v>
      </c>
      <c r="X1390" t="s">
        <v>64</v>
      </c>
      <c r="AA1390" t="s">
        <v>2163</v>
      </c>
      <c r="AB1390" t="s">
        <v>2</v>
      </c>
      <c r="AC1390" t="s">
        <v>138</v>
      </c>
      <c r="AD1390" t="s">
        <v>128</v>
      </c>
      <c r="AE1390" s="97">
        <f>VLOOKUP(A:A,SUMMERY!AA:AC,2,FALSE)</f>
        <v>46233</v>
      </c>
      <c r="AF1390" s="6" t="str">
        <f>VLOOKUP(A:A,SUMMERY!AA:AC,3,FALSE)</f>
        <v>Priority-1</v>
      </c>
    </row>
    <row r="1391" spans="1:32" x14ac:dyDescent="0.3">
      <c r="A1391" t="s">
        <v>6242</v>
      </c>
      <c r="B1391" t="s">
        <v>2951</v>
      </c>
      <c r="G1391" t="s">
        <v>5944</v>
      </c>
      <c r="H1391" t="s">
        <v>132</v>
      </c>
      <c r="I1391" t="s">
        <v>2</v>
      </c>
      <c r="J1391" t="s">
        <v>5298</v>
      </c>
      <c r="K1391" t="s">
        <v>52</v>
      </c>
      <c r="L1391" t="s">
        <v>2952</v>
      </c>
      <c r="M1391" t="s">
        <v>134</v>
      </c>
      <c r="N1391" t="s">
        <v>135</v>
      </c>
      <c r="Q1391" t="s">
        <v>168</v>
      </c>
      <c r="T1391" t="s">
        <v>2165</v>
      </c>
      <c r="U1391" t="s">
        <v>137</v>
      </c>
      <c r="V1391" t="s">
        <v>352</v>
      </c>
      <c r="X1391" t="s">
        <v>56</v>
      </c>
      <c r="AA1391" t="s">
        <v>2163</v>
      </c>
      <c r="AB1391" t="s">
        <v>2</v>
      </c>
      <c r="AC1391" t="s">
        <v>138</v>
      </c>
      <c r="AD1391" t="s">
        <v>128</v>
      </c>
      <c r="AE1391" s="97">
        <f>VLOOKUP(A:A,SUMMERY!AA:AC,2,FALSE)</f>
        <v>46233</v>
      </c>
      <c r="AF1391" s="6" t="str">
        <f>VLOOKUP(A:A,SUMMERY!AA:AC,3,FALSE)</f>
        <v>Priority-1</v>
      </c>
    </row>
    <row r="1392" spans="1:32" x14ac:dyDescent="0.3">
      <c r="A1392" t="s">
        <v>6243</v>
      </c>
      <c r="B1392" t="s">
        <v>2954</v>
      </c>
      <c r="G1392" t="s">
        <v>5944</v>
      </c>
      <c r="H1392" t="s">
        <v>132</v>
      </c>
      <c r="I1392" t="s">
        <v>2</v>
      </c>
      <c r="J1392" t="s">
        <v>5298</v>
      </c>
      <c r="K1392" t="s">
        <v>52</v>
      </c>
      <c r="L1392" t="s">
        <v>2955</v>
      </c>
      <c r="M1392" t="s">
        <v>134</v>
      </c>
      <c r="N1392" t="s">
        <v>135</v>
      </c>
      <c r="Q1392" t="s">
        <v>168</v>
      </c>
      <c r="T1392" t="s">
        <v>2165</v>
      </c>
      <c r="U1392" t="s">
        <v>137</v>
      </c>
      <c r="V1392" t="s">
        <v>352</v>
      </c>
      <c r="X1392" t="s">
        <v>56</v>
      </c>
      <c r="AA1392" t="s">
        <v>2163</v>
      </c>
      <c r="AB1392" t="s">
        <v>2</v>
      </c>
      <c r="AC1392" t="s">
        <v>138</v>
      </c>
      <c r="AD1392" t="s">
        <v>128</v>
      </c>
      <c r="AE1392" s="97">
        <f>VLOOKUP(A:A,SUMMERY!AA:AC,2,FALSE)</f>
        <v>46233</v>
      </c>
      <c r="AF1392" s="6" t="str">
        <f>VLOOKUP(A:A,SUMMERY!AA:AC,3,FALSE)</f>
        <v>Priority-1</v>
      </c>
    </row>
    <row r="1393" spans="1:32" x14ac:dyDescent="0.3">
      <c r="A1393" t="s">
        <v>6244</v>
      </c>
      <c r="B1393" t="s">
        <v>2957</v>
      </c>
      <c r="G1393" t="s">
        <v>5944</v>
      </c>
      <c r="H1393" t="s">
        <v>132</v>
      </c>
      <c r="I1393" t="s">
        <v>2</v>
      </c>
      <c r="J1393" t="s">
        <v>5298</v>
      </c>
      <c r="K1393" t="s">
        <v>52</v>
      </c>
      <c r="L1393" t="s">
        <v>2958</v>
      </c>
      <c r="M1393" t="s">
        <v>134</v>
      </c>
      <c r="N1393" t="s">
        <v>135</v>
      </c>
      <c r="Q1393" t="s">
        <v>168</v>
      </c>
      <c r="T1393" t="s">
        <v>2165</v>
      </c>
      <c r="U1393" t="s">
        <v>137</v>
      </c>
      <c r="V1393" t="s">
        <v>352</v>
      </c>
      <c r="X1393" t="s">
        <v>56</v>
      </c>
      <c r="AA1393" t="s">
        <v>2163</v>
      </c>
      <c r="AB1393" t="s">
        <v>2</v>
      </c>
      <c r="AC1393" t="s">
        <v>138</v>
      </c>
      <c r="AD1393" t="s">
        <v>128</v>
      </c>
      <c r="AE1393" s="97">
        <f>VLOOKUP(A:A,SUMMERY!AA:AC,2,FALSE)</f>
        <v>46233</v>
      </c>
      <c r="AF1393" s="6" t="str">
        <f>VLOOKUP(A:A,SUMMERY!AA:AC,3,FALSE)</f>
        <v>Priority-1</v>
      </c>
    </row>
    <row r="1394" spans="1:32" x14ac:dyDescent="0.3">
      <c r="A1394" t="s">
        <v>6245</v>
      </c>
      <c r="B1394" t="s">
        <v>2960</v>
      </c>
      <c r="G1394" t="s">
        <v>5944</v>
      </c>
      <c r="H1394" t="s">
        <v>132</v>
      </c>
      <c r="I1394" t="s">
        <v>2</v>
      </c>
      <c r="J1394" t="s">
        <v>5298</v>
      </c>
      <c r="K1394" t="s">
        <v>52</v>
      </c>
      <c r="L1394" t="s">
        <v>2961</v>
      </c>
      <c r="M1394" t="s">
        <v>134</v>
      </c>
      <c r="N1394" t="s">
        <v>135</v>
      </c>
      <c r="Q1394" t="s">
        <v>168</v>
      </c>
      <c r="T1394" t="s">
        <v>2165</v>
      </c>
      <c r="U1394" t="s">
        <v>137</v>
      </c>
      <c r="V1394" t="s">
        <v>352</v>
      </c>
      <c r="X1394" t="s">
        <v>56</v>
      </c>
      <c r="AA1394" t="s">
        <v>2163</v>
      </c>
      <c r="AB1394" t="s">
        <v>2</v>
      </c>
      <c r="AC1394" t="s">
        <v>138</v>
      </c>
      <c r="AD1394" t="s">
        <v>128</v>
      </c>
      <c r="AE1394" s="97">
        <f>VLOOKUP(A:A,SUMMERY!AA:AC,2,FALSE)</f>
        <v>46233</v>
      </c>
      <c r="AF1394" s="6" t="str">
        <f>VLOOKUP(A:A,SUMMERY!AA:AC,3,FALSE)</f>
        <v>Priority-1</v>
      </c>
    </row>
    <row r="1395" spans="1:32" x14ac:dyDescent="0.3">
      <c r="A1395" t="s">
        <v>6246</v>
      </c>
      <c r="B1395" t="s">
        <v>2963</v>
      </c>
      <c r="G1395" t="s">
        <v>5944</v>
      </c>
      <c r="H1395" t="s">
        <v>132</v>
      </c>
      <c r="I1395" t="s">
        <v>2</v>
      </c>
      <c r="J1395" t="s">
        <v>5298</v>
      </c>
      <c r="K1395" t="s">
        <v>52</v>
      </c>
      <c r="L1395" t="s">
        <v>2964</v>
      </c>
      <c r="M1395" t="s">
        <v>134</v>
      </c>
      <c r="N1395" t="s">
        <v>135</v>
      </c>
      <c r="Q1395" t="s">
        <v>168</v>
      </c>
      <c r="T1395" t="s">
        <v>2165</v>
      </c>
      <c r="U1395" t="s">
        <v>137</v>
      </c>
      <c r="V1395" t="s">
        <v>352</v>
      </c>
      <c r="X1395" t="s">
        <v>56</v>
      </c>
      <c r="AA1395" t="s">
        <v>2163</v>
      </c>
      <c r="AB1395" t="s">
        <v>2</v>
      </c>
      <c r="AC1395" t="s">
        <v>138</v>
      </c>
      <c r="AD1395" t="s">
        <v>128</v>
      </c>
      <c r="AE1395" s="97">
        <f>VLOOKUP(A:A,SUMMERY!AA:AC,2,FALSE)</f>
        <v>46233</v>
      </c>
      <c r="AF1395" s="6" t="str">
        <f>VLOOKUP(A:A,SUMMERY!AA:AC,3,FALSE)</f>
        <v>Priority-1</v>
      </c>
    </row>
    <row r="1396" spans="1:32" x14ac:dyDescent="0.3">
      <c r="A1396" t="s">
        <v>6247</v>
      </c>
      <c r="B1396" t="s">
        <v>2966</v>
      </c>
      <c r="G1396" t="s">
        <v>5944</v>
      </c>
      <c r="H1396" t="s">
        <v>132</v>
      </c>
      <c r="I1396" t="s">
        <v>2</v>
      </c>
      <c r="J1396" t="s">
        <v>5298</v>
      </c>
      <c r="K1396" t="s">
        <v>52</v>
      </c>
      <c r="L1396" t="s">
        <v>2967</v>
      </c>
      <c r="M1396" t="s">
        <v>134</v>
      </c>
      <c r="N1396" t="s">
        <v>135</v>
      </c>
      <c r="Q1396" t="s">
        <v>168</v>
      </c>
      <c r="T1396" t="s">
        <v>2165</v>
      </c>
      <c r="U1396" t="s">
        <v>137</v>
      </c>
      <c r="V1396" t="s">
        <v>352</v>
      </c>
      <c r="X1396" t="s">
        <v>56</v>
      </c>
      <c r="AA1396" t="s">
        <v>2163</v>
      </c>
      <c r="AB1396" t="s">
        <v>2</v>
      </c>
      <c r="AC1396" t="s">
        <v>138</v>
      </c>
      <c r="AD1396" t="s">
        <v>128</v>
      </c>
      <c r="AE1396" s="97">
        <f>VLOOKUP(A:A,SUMMERY!AA:AC,2,FALSE)</f>
        <v>46233</v>
      </c>
      <c r="AF1396" s="6" t="str">
        <f>VLOOKUP(A:A,SUMMERY!AA:AC,3,FALSE)</f>
        <v>Priority-1</v>
      </c>
    </row>
    <row r="1397" spans="1:32" x14ac:dyDescent="0.3">
      <c r="A1397" t="s">
        <v>6248</v>
      </c>
      <c r="B1397" t="s">
        <v>2969</v>
      </c>
      <c r="G1397" t="s">
        <v>5944</v>
      </c>
      <c r="H1397" t="s">
        <v>132</v>
      </c>
      <c r="I1397" t="s">
        <v>2</v>
      </c>
      <c r="J1397" t="s">
        <v>5298</v>
      </c>
      <c r="K1397" t="s">
        <v>52</v>
      </c>
      <c r="L1397" t="s">
        <v>2970</v>
      </c>
      <c r="M1397" t="s">
        <v>134</v>
      </c>
      <c r="N1397" t="s">
        <v>135</v>
      </c>
      <c r="Q1397" t="s">
        <v>168</v>
      </c>
      <c r="T1397" t="s">
        <v>2165</v>
      </c>
      <c r="U1397" t="s">
        <v>137</v>
      </c>
      <c r="V1397" t="s">
        <v>352</v>
      </c>
      <c r="X1397" t="s">
        <v>56</v>
      </c>
      <c r="AA1397" t="s">
        <v>2163</v>
      </c>
      <c r="AB1397" t="s">
        <v>2</v>
      </c>
      <c r="AC1397" t="s">
        <v>138</v>
      </c>
      <c r="AD1397" t="s">
        <v>128</v>
      </c>
      <c r="AE1397" s="97">
        <f>VLOOKUP(A:A,SUMMERY!AA:AC,2,FALSE)</f>
        <v>46233</v>
      </c>
      <c r="AF1397" s="6" t="str">
        <f>VLOOKUP(A:A,SUMMERY!AA:AC,3,FALSE)</f>
        <v>Priority-1</v>
      </c>
    </row>
    <row r="1398" spans="1:32" x14ac:dyDescent="0.3">
      <c r="A1398" t="s">
        <v>6249</v>
      </c>
      <c r="B1398" t="s">
        <v>2978</v>
      </c>
      <c r="G1398" t="s">
        <v>5944</v>
      </c>
      <c r="H1398" t="s">
        <v>132</v>
      </c>
      <c r="I1398" t="s">
        <v>2</v>
      </c>
      <c r="J1398" t="s">
        <v>5298</v>
      </c>
      <c r="K1398" t="s">
        <v>52</v>
      </c>
      <c r="L1398" t="s">
        <v>2979</v>
      </c>
      <c r="M1398" t="s">
        <v>134</v>
      </c>
      <c r="N1398" t="s">
        <v>135</v>
      </c>
      <c r="Q1398" t="s">
        <v>168</v>
      </c>
      <c r="T1398" t="s">
        <v>2165</v>
      </c>
      <c r="U1398" t="s">
        <v>137</v>
      </c>
      <c r="V1398" t="s">
        <v>403</v>
      </c>
      <c r="X1398" t="s">
        <v>68</v>
      </c>
      <c r="AA1398" t="s">
        <v>2163</v>
      </c>
      <c r="AB1398" t="s">
        <v>2</v>
      </c>
      <c r="AC1398" t="s">
        <v>138</v>
      </c>
      <c r="AD1398" t="s">
        <v>128</v>
      </c>
      <c r="AE1398" s="97">
        <f>VLOOKUP(A:A,SUMMERY!AA:AC,2,FALSE)</f>
        <v>46233</v>
      </c>
      <c r="AF1398" s="6" t="str">
        <f>VLOOKUP(A:A,SUMMERY!AA:AC,3,FALSE)</f>
        <v>Priority-1</v>
      </c>
    </row>
    <row r="1399" spans="1:32" x14ac:dyDescent="0.3">
      <c r="A1399" t="s">
        <v>6250</v>
      </c>
      <c r="B1399" t="s">
        <v>2981</v>
      </c>
      <c r="G1399" t="s">
        <v>5944</v>
      </c>
      <c r="H1399" t="s">
        <v>132</v>
      </c>
      <c r="I1399" t="s">
        <v>2</v>
      </c>
      <c r="J1399" t="s">
        <v>5298</v>
      </c>
      <c r="K1399" t="s">
        <v>52</v>
      </c>
      <c r="L1399" t="s">
        <v>2979</v>
      </c>
      <c r="M1399" t="s">
        <v>134</v>
      </c>
      <c r="N1399" t="s">
        <v>135</v>
      </c>
      <c r="Q1399" t="s">
        <v>168</v>
      </c>
      <c r="T1399" t="s">
        <v>2165</v>
      </c>
      <c r="U1399" t="s">
        <v>137</v>
      </c>
      <c r="V1399" t="s">
        <v>403</v>
      </c>
      <c r="X1399" t="s">
        <v>68</v>
      </c>
      <c r="AA1399" t="s">
        <v>2163</v>
      </c>
      <c r="AB1399" t="s">
        <v>2</v>
      </c>
      <c r="AC1399" t="s">
        <v>138</v>
      </c>
      <c r="AD1399" t="s">
        <v>128</v>
      </c>
      <c r="AE1399" s="97">
        <f>VLOOKUP(A:A,SUMMERY!AA:AC,2,FALSE)</f>
        <v>46233</v>
      </c>
      <c r="AF1399" s="6" t="str">
        <f>VLOOKUP(A:A,SUMMERY!AA:AC,3,FALSE)</f>
        <v>Priority-1</v>
      </c>
    </row>
    <row r="1400" spans="1:32" x14ac:dyDescent="0.3">
      <c r="A1400" t="s">
        <v>6251</v>
      </c>
      <c r="B1400" t="s">
        <v>2983</v>
      </c>
      <c r="G1400" t="s">
        <v>5944</v>
      </c>
      <c r="H1400" t="s">
        <v>132</v>
      </c>
      <c r="I1400" t="s">
        <v>2</v>
      </c>
      <c r="J1400" t="s">
        <v>5298</v>
      </c>
      <c r="K1400" t="s">
        <v>52</v>
      </c>
      <c r="L1400" t="s">
        <v>2979</v>
      </c>
      <c r="M1400" t="s">
        <v>134</v>
      </c>
      <c r="N1400" t="s">
        <v>135</v>
      </c>
      <c r="Q1400" t="s">
        <v>168</v>
      </c>
      <c r="T1400" t="s">
        <v>2165</v>
      </c>
      <c r="U1400" t="s">
        <v>137</v>
      </c>
      <c r="V1400" t="s">
        <v>403</v>
      </c>
      <c r="X1400" t="s">
        <v>68</v>
      </c>
      <c r="AA1400" t="s">
        <v>2163</v>
      </c>
      <c r="AB1400" t="s">
        <v>2</v>
      </c>
      <c r="AC1400" t="s">
        <v>138</v>
      </c>
      <c r="AD1400" t="s">
        <v>128</v>
      </c>
      <c r="AE1400" s="97">
        <f>VLOOKUP(A:A,SUMMERY!AA:AC,2,FALSE)</f>
        <v>46233</v>
      </c>
      <c r="AF1400" s="6" t="str">
        <f>VLOOKUP(A:A,SUMMERY!AA:AC,3,FALSE)</f>
        <v>Priority-1</v>
      </c>
    </row>
    <row r="1401" spans="1:32" x14ac:dyDescent="0.3">
      <c r="A1401" t="s">
        <v>6252</v>
      </c>
      <c r="B1401" t="s">
        <v>2985</v>
      </c>
      <c r="G1401" t="s">
        <v>5944</v>
      </c>
      <c r="H1401" t="s">
        <v>132</v>
      </c>
      <c r="I1401" t="s">
        <v>2</v>
      </c>
      <c r="J1401" t="s">
        <v>5298</v>
      </c>
      <c r="K1401" t="s">
        <v>52</v>
      </c>
      <c r="L1401" t="s">
        <v>2979</v>
      </c>
      <c r="M1401" t="s">
        <v>134</v>
      </c>
      <c r="N1401" t="s">
        <v>135</v>
      </c>
      <c r="Q1401" t="s">
        <v>168</v>
      </c>
      <c r="T1401" t="s">
        <v>2165</v>
      </c>
      <c r="U1401" t="s">
        <v>137</v>
      </c>
      <c r="V1401" t="s">
        <v>403</v>
      </c>
      <c r="W1401" s="9">
        <v>46204.554085960648</v>
      </c>
      <c r="X1401" t="s">
        <v>68</v>
      </c>
      <c r="AA1401" t="s">
        <v>2163</v>
      </c>
      <c r="AB1401" t="s">
        <v>2</v>
      </c>
      <c r="AC1401" t="s">
        <v>24</v>
      </c>
      <c r="AD1401" t="s">
        <v>128</v>
      </c>
      <c r="AE1401" s="97">
        <f>VLOOKUP(A:A,SUMMERY!AA:AC,2,FALSE)</f>
        <v>46233</v>
      </c>
      <c r="AF1401" s="6" t="str">
        <f>VLOOKUP(A:A,SUMMERY!AA:AC,3,FALSE)</f>
        <v>Priority-1</v>
      </c>
    </row>
    <row r="1402" spans="1:32" x14ac:dyDescent="0.3">
      <c r="A1402" t="s">
        <v>6253</v>
      </c>
      <c r="B1402" t="s">
        <v>2987</v>
      </c>
      <c r="G1402" t="s">
        <v>5944</v>
      </c>
      <c r="H1402" t="s">
        <v>132</v>
      </c>
      <c r="I1402" t="s">
        <v>2</v>
      </c>
      <c r="J1402" t="s">
        <v>5298</v>
      </c>
      <c r="K1402" t="s">
        <v>52</v>
      </c>
      <c r="L1402" t="s">
        <v>2988</v>
      </c>
      <c r="M1402" t="s">
        <v>134</v>
      </c>
      <c r="N1402" t="s">
        <v>135</v>
      </c>
      <c r="Q1402" t="s">
        <v>168</v>
      </c>
      <c r="T1402" t="s">
        <v>2165</v>
      </c>
      <c r="U1402" t="s">
        <v>137</v>
      </c>
      <c r="V1402" t="s">
        <v>407</v>
      </c>
      <c r="X1402" t="s">
        <v>77</v>
      </c>
      <c r="AA1402" t="s">
        <v>2163</v>
      </c>
      <c r="AB1402" t="s">
        <v>2</v>
      </c>
      <c r="AC1402" t="s">
        <v>138</v>
      </c>
      <c r="AD1402" t="s">
        <v>128</v>
      </c>
      <c r="AE1402" s="97">
        <f>VLOOKUP(A:A,SUMMERY!AA:AC,2,FALSE)</f>
        <v>46233</v>
      </c>
      <c r="AF1402" s="6" t="str">
        <f>VLOOKUP(A:A,SUMMERY!AA:AC,3,FALSE)</f>
        <v>Priority-1</v>
      </c>
    </row>
    <row r="1403" spans="1:32" x14ac:dyDescent="0.3">
      <c r="A1403" t="s">
        <v>6254</v>
      </c>
      <c r="B1403" t="s">
        <v>2990</v>
      </c>
      <c r="G1403" t="s">
        <v>5944</v>
      </c>
      <c r="H1403" t="s">
        <v>132</v>
      </c>
      <c r="I1403" t="s">
        <v>2</v>
      </c>
      <c r="J1403" t="s">
        <v>5298</v>
      </c>
      <c r="K1403" t="s">
        <v>52</v>
      </c>
      <c r="L1403" t="s">
        <v>2988</v>
      </c>
      <c r="M1403" t="s">
        <v>134</v>
      </c>
      <c r="N1403" t="s">
        <v>135</v>
      </c>
      <c r="Q1403" t="s">
        <v>168</v>
      </c>
      <c r="T1403" t="s">
        <v>2165</v>
      </c>
      <c r="U1403" t="s">
        <v>137</v>
      </c>
      <c r="V1403" t="s">
        <v>407</v>
      </c>
      <c r="X1403" t="s">
        <v>77</v>
      </c>
      <c r="AA1403" t="s">
        <v>2163</v>
      </c>
      <c r="AB1403" t="s">
        <v>2</v>
      </c>
      <c r="AC1403" t="s">
        <v>138</v>
      </c>
      <c r="AD1403" t="s">
        <v>128</v>
      </c>
      <c r="AE1403" s="97">
        <f>VLOOKUP(A:A,SUMMERY!AA:AC,2,FALSE)</f>
        <v>46233</v>
      </c>
      <c r="AF1403" s="6" t="str">
        <f>VLOOKUP(A:A,SUMMERY!AA:AC,3,FALSE)</f>
        <v>Priority-1</v>
      </c>
    </row>
    <row r="1404" spans="1:32" x14ac:dyDescent="0.3">
      <c r="A1404" t="s">
        <v>6255</v>
      </c>
      <c r="B1404" t="s">
        <v>2992</v>
      </c>
      <c r="G1404" t="s">
        <v>5944</v>
      </c>
      <c r="H1404" t="s">
        <v>132</v>
      </c>
      <c r="I1404" t="s">
        <v>2</v>
      </c>
      <c r="J1404" t="s">
        <v>5298</v>
      </c>
      <c r="K1404" t="s">
        <v>52</v>
      </c>
      <c r="L1404" t="s">
        <v>2988</v>
      </c>
      <c r="M1404" t="s">
        <v>134</v>
      </c>
      <c r="N1404" t="s">
        <v>135</v>
      </c>
      <c r="Q1404" t="s">
        <v>168</v>
      </c>
      <c r="T1404" t="s">
        <v>2165</v>
      </c>
      <c r="U1404" t="s">
        <v>137</v>
      </c>
      <c r="V1404" t="s">
        <v>407</v>
      </c>
      <c r="X1404" t="s">
        <v>77</v>
      </c>
      <c r="AA1404" t="s">
        <v>2163</v>
      </c>
      <c r="AB1404" t="s">
        <v>2</v>
      </c>
      <c r="AC1404" t="s">
        <v>138</v>
      </c>
      <c r="AD1404" t="s">
        <v>128</v>
      </c>
      <c r="AE1404" s="97">
        <f>VLOOKUP(A:A,SUMMERY!AA:AC,2,FALSE)</f>
        <v>46233</v>
      </c>
      <c r="AF1404" s="6" t="str">
        <f>VLOOKUP(A:A,SUMMERY!AA:AC,3,FALSE)</f>
        <v>Priority-1</v>
      </c>
    </row>
    <row r="1405" spans="1:32" x14ac:dyDescent="0.3">
      <c r="A1405" t="s">
        <v>6256</v>
      </c>
      <c r="B1405" t="s">
        <v>2994</v>
      </c>
      <c r="G1405" t="s">
        <v>5944</v>
      </c>
      <c r="H1405" t="s">
        <v>132</v>
      </c>
      <c r="I1405" t="s">
        <v>2</v>
      </c>
      <c r="J1405" t="s">
        <v>5298</v>
      </c>
      <c r="K1405" t="s">
        <v>52</v>
      </c>
      <c r="L1405" t="s">
        <v>2988</v>
      </c>
      <c r="M1405" t="s">
        <v>134</v>
      </c>
      <c r="N1405" t="s">
        <v>135</v>
      </c>
      <c r="Q1405" t="s">
        <v>168</v>
      </c>
      <c r="T1405" t="s">
        <v>2165</v>
      </c>
      <c r="U1405" t="s">
        <v>137</v>
      </c>
      <c r="V1405" t="s">
        <v>407</v>
      </c>
      <c r="W1405" s="9">
        <v>46204.554426504626</v>
      </c>
      <c r="X1405" t="s">
        <v>77</v>
      </c>
      <c r="AA1405" t="s">
        <v>2163</v>
      </c>
      <c r="AB1405" t="s">
        <v>2</v>
      </c>
      <c r="AC1405" t="s">
        <v>24</v>
      </c>
      <c r="AD1405" t="s">
        <v>128</v>
      </c>
      <c r="AE1405" s="97">
        <f>VLOOKUP(A:A,SUMMERY!AA:AC,2,FALSE)</f>
        <v>46233</v>
      </c>
      <c r="AF1405" s="6" t="str">
        <f>VLOOKUP(A:A,SUMMERY!AA:AC,3,FALSE)</f>
        <v>Priority-1</v>
      </c>
    </row>
    <row r="1406" spans="1:32" x14ac:dyDescent="0.3">
      <c r="A1406" t="s">
        <v>6277</v>
      </c>
      <c r="B1406" t="s">
        <v>3041</v>
      </c>
      <c r="G1406" t="s">
        <v>5944</v>
      </c>
      <c r="H1406" t="s">
        <v>132</v>
      </c>
      <c r="I1406" t="s">
        <v>2</v>
      </c>
      <c r="J1406" t="s">
        <v>5298</v>
      </c>
      <c r="K1406" t="s">
        <v>52</v>
      </c>
      <c r="L1406" t="s">
        <v>3042</v>
      </c>
      <c r="M1406" t="s">
        <v>134</v>
      </c>
      <c r="N1406" t="s">
        <v>135</v>
      </c>
      <c r="Q1406" t="s">
        <v>168</v>
      </c>
      <c r="T1406" t="s">
        <v>2165</v>
      </c>
      <c r="U1406" t="s">
        <v>137</v>
      </c>
      <c r="V1406" t="s">
        <v>296</v>
      </c>
      <c r="X1406" t="s">
        <v>63</v>
      </c>
      <c r="AA1406" t="s">
        <v>2163</v>
      </c>
      <c r="AB1406" t="s">
        <v>2</v>
      </c>
      <c r="AC1406" t="s">
        <v>138</v>
      </c>
      <c r="AD1406" t="s">
        <v>128</v>
      </c>
      <c r="AE1406" s="97">
        <f>VLOOKUP(A:A,SUMMERY!AA:AC,2,FALSE)</f>
        <v>46220</v>
      </c>
      <c r="AF1406" s="6" t="str">
        <f>VLOOKUP(A:A,SUMMERY!AA:AC,3,FALSE)</f>
        <v>Priority-1</v>
      </c>
    </row>
    <row r="1407" spans="1:32" x14ac:dyDescent="0.3">
      <c r="A1407" t="s">
        <v>6278</v>
      </c>
      <c r="B1407" t="s">
        <v>3044</v>
      </c>
      <c r="G1407" t="s">
        <v>5944</v>
      </c>
      <c r="H1407" t="s">
        <v>132</v>
      </c>
      <c r="I1407" t="s">
        <v>2</v>
      </c>
      <c r="J1407" t="s">
        <v>5298</v>
      </c>
      <c r="K1407" t="s">
        <v>52</v>
      </c>
      <c r="L1407" t="s">
        <v>3042</v>
      </c>
      <c r="M1407" t="s">
        <v>134</v>
      </c>
      <c r="N1407" t="s">
        <v>135</v>
      </c>
      <c r="Q1407" t="s">
        <v>168</v>
      </c>
      <c r="T1407" t="s">
        <v>2165</v>
      </c>
      <c r="U1407" t="s">
        <v>137</v>
      </c>
      <c r="V1407" t="s">
        <v>296</v>
      </c>
      <c r="X1407" t="s">
        <v>63</v>
      </c>
      <c r="AA1407" t="s">
        <v>2163</v>
      </c>
      <c r="AB1407" t="s">
        <v>2</v>
      </c>
      <c r="AC1407" t="s">
        <v>138</v>
      </c>
      <c r="AD1407" t="s">
        <v>128</v>
      </c>
      <c r="AE1407" s="97">
        <f>VLOOKUP(A:A,SUMMERY!AA:AC,2,FALSE)</f>
        <v>46220</v>
      </c>
      <c r="AF1407" s="6" t="str">
        <f>VLOOKUP(A:A,SUMMERY!AA:AC,3,FALSE)</f>
        <v>Priority-1</v>
      </c>
    </row>
    <row r="1408" spans="1:32" x14ac:dyDescent="0.3">
      <c r="A1408" t="s">
        <v>6279</v>
      </c>
      <c r="B1408" t="s">
        <v>3046</v>
      </c>
      <c r="G1408" t="s">
        <v>5944</v>
      </c>
      <c r="H1408" t="s">
        <v>132</v>
      </c>
      <c r="I1408" t="s">
        <v>2</v>
      </c>
      <c r="J1408" t="s">
        <v>5298</v>
      </c>
      <c r="K1408" t="s">
        <v>52</v>
      </c>
      <c r="L1408" t="s">
        <v>3042</v>
      </c>
      <c r="M1408" t="s">
        <v>134</v>
      </c>
      <c r="N1408" t="s">
        <v>135</v>
      </c>
      <c r="Q1408" t="s">
        <v>168</v>
      </c>
      <c r="T1408" t="s">
        <v>2165</v>
      </c>
      <c r="U1408" t="s">
        <v>137</v>
      </c>
      <c r="V1408" t="s">
        <v>296</v>
      </c>
      <c r="X1408" t="s">
        <v>63</v>
      </c>
      <c r="AA1408" t="s">
        <v>2163</v>
      </c>
      <c r="AB1408" t="s">
        <v>2</v>
      </c>
      <c r="AC1408" t="s">
        <v>138</v>
      </c>
      <c r="AD1408" t="s">
        <v>128</v>
      </c>
      <c r="AE1408" s="97">
        <f>VLOOKUP(A:A,SUMMERY!AA:AC,2,FALSE)</f>
        <v>46220</v>
      </c>
      <c r="AF1408" s="6" t="str">
        <f>VLOOKUP(A:A,SUMMERY!AA:AC,3,FALSE)</f>
        <v>Priority-1</v>
      </c>
    </row>
    <row r="1409" spans="1:32" x14ac:dyDescent="0.3">
      <c r="A1409" t="s">
        <v>6280</v>
      </c>
      <c r="B1409" t="s">
        <v>3048</v>
      </c>
      <c r="G1409" t="s">
        <v>5944</v>
      </c>
      <c r="H1409" t="s">
        <v>132</v>
      </c>
      <c r="I1409" t="s">
        <v>2</v>
      </c>
      <c r="J1409" t="s">
        <v>5298</v>
      </c>
      <c r="K1409" t="s">
        <v>52</v>
      </c>
      <c r="L1409" t="s">
        <v>3042</v>
      </c>
      <c r="M1409" t="s">
        <v>134</v>
      </c>
      <c r="N1409" t="s">
        <v>135</v>
      </c>
      <c r="Q1409" t="s">
        <v>168</v>
      </c>
      <c r="T1409" t="s">
        <v>2165</v>
      </c>
      <c r="U1409" t="s">
        <v>137</v>
      </c>
      <c r="V1409" t="s">
        <v>296</v>
      </c>
      <c r="X1409" t="s">
        <v>63</v>
      </c>
      <c r="AA1409" t="s">
        <v>2163</v>
      </c>
      <c r="AB1409" t="s">
        <v>2</v>
      </c>
      <c r="AC1409" t="s">
        <v>138</v>
      </c>
      <c r="AD1409" t="s">
        <v>128</v>
      </c>
      <c r="AE1409" s="97">
        <f>VLOOKUP(A:A,SUMMERY!AA:AC,2,FALSE)</f>
        <v>46220</v>
      </c>
      <c r="AF1409" s="6" t="str">
        <f>VLOOKUP(A:A,SUMMERY!AA:AC,3,FALSE)</f>
        <v>Priority-1</v>
      </c>
    </row>
    <row r="1410" spans="1:32" x14ac:dyDescent="0.3">
      <c r="A1410" t="s">
        <v>6281</v>
      </c>
      <c r="B1410" t="s">
        <v>3050</v>
      </c>
      <c r="G1410" t="s">
        <v>5944</v>
      </c>
      <c r="H1410" t="s">
        <v>132</v>
      </c>
      <c r="I1410" t="s">
        <v>2</v>
      </c>
      <c r="J1410" t="s">
        <v>5298</v>
      </c>
      <c r="K1410" t="s">
        <v>52</v>
      </c>
      <c r="L1410" t="s">
        <v>3042</v>
      </c>
      <c r="M1410" t="s">
        <v>134</v>
      </c>
      <c r="N1410" t="s">
        <v>135</v>
      </c>
      <c r="Q1410" t="s">
        <v>168</v>
      </c>
      <c r="T1410" t="s">
        <v>2165</v>
      </c>
      <c r="U1410" t="s">
        <v>137</v>
      </c>
      <c r="V1410" t="s">
        <v>296</v>
      </c>
      <c r="X1410" t="s">
        <v>63</v>
      </c>
      <c r="AA1410" t="s">
        <v>2163</v>
      </c>
      <c r="AB1410" t="s">
        <v>2</v>
      </c>
      <c r="AC1410" t="s">
        <v>138</v>
      </c>
      <c r="AD1410" t="s">
        <v>128</v>
      </c>
      <c r="AE1410" s="97">
        <f>VLOOKUP(A:A,SUMMERY!AA:AC,2,FALSE)</f>
        <v>46220</v>
      </c>
      <c r="AF1410" s="6" t="str">
        <f>VLOOKUP(A:A,SUMMERY!AA:AC,3,FALSE)</f>
        <v>Priority-1</v>
      </c>
    </row>
    <row r="1411" spans="1:32" x14ac:dyDescent="0.3">
      <c r="A1411" t="s">
        <v>6282</v>
      </c>
      <c r="B1411" t="s">
        <v>3052</v>
      </c>
      <c r="G1411" t="s">
        <v>5944</v>
      </c>
      <c r="H1411" t="s">
        <v>132</v>
      </c>
      <c r="I1411" t="s">
        <v>2</v>
      </c>
      <c r="J1411" t="s">
        <v>5298</v>
      </c>
      <c r="K1411" t="s">
        <v>52</v>
      </c>
      <c r="L1411" t="s">
        <v>3042</v>
      </c>
      <c r="M1411" t="s">
        <v>134</v>
      </c>
      <c r="N1411" t="s">
        <v>135</v>
      </c>
      <c r="Q1411" t="s">
        <v>168</v>
      </c>
      <c r="T1411" t="s">
        <v>2165</v>
      </c>
      <c r="U1411" t="s">
        <v>137</v>
      </c>
      <c r="V1411" t="s">
        <v>296</v>
      </c>
      <c r="X1411" t="s">
        <v>63</v>
      </c>
      <c r="AA1411" t="s">
        <v>2163</v>
      </c>
      <c r="AB1411" t="s">
        <v>2</v>
      </c>
      <c r="AC1411" t="s">
        <v>138</v>
      </c>
      <c r="AD1411" t="s">
        <v>128</v>
      </c>
      <c r="AE1411" s="97">
        <f>VLOOKUP(A:A,SUMMERY!AA:AC,2,FALSE)</f>
        <v>46220</v>
      </c>
      <c r="AF1411" s="6" t="str">
        <f>VLOOKUP(A:A,SUMMERY!AA:AC,3,FALSE)</f>
        <v>Priority-1</v>
      </c>
    </row>
    <row r="1412" spans="1:32" x14ac:dyDescent="0.3">
      <c r="A1412" t="s">
        <v>6283</v>
      </c>
      <c r="B1412" t="s">
        <v>3054</v>
      </c>
      <c r="G1412" t="s">
        <v>5944</v>
      </c>
      <c r="H1412" t="s">
        <v>132</v>
      </c>
      <c r="I1412" t="s">
        <v>2</v>
      </c>
      <c r="J1412" t="s">
        <v>5298</v>
      </c>
      <c r="K1412" t="s">
        <v>52</v>
      </c>
      <c r="L1412" t="s">
        <v>3055</v>
      </c>
      <c r="M1412" t="s">
        <v>134</v>
      </c>
      <c r="N1412" t="s">
        <v>135</v>
      </c>
      <c r="Q1412" t="s">
        <v>168</v>
      </c>
      <c r="T1412" t="s">
        <v>2165</v>
      </c>
      <c r="U1412" t="s">
        <v>137</v>
      </c>
      <c r="V1412" t="s">
        <v>300</v>
      </c>
      <c r="X1412" t="s">
        <v>72</v>
      </c>
      <c r="AA1412" t="s">
        <v>2163</v>
      </c>
      <c r="AB1412" t="s">
        <v>2</v>
      </c>
      <c r="AC1412" t="s">
        <v>138</v>
      </c>
      <c r="AD1412" t="s">
        <v>128</v>
      </c>
      <c r="AE1412" s="97">
        <f>VLOOKUP(A:A,SUMMERY!AA:AC,2,FALSE)</f>
        <v>46234</v>
      </c>
      <c r="AF1412" s="6" t="str">
        <f>VLOOKUP(A:A,SUMMERY!AA:AC,3,FALSE)</f>
        <v>Priority-1</v>
      </c>
    </row>
    <row r="1413" spans="1:32" x14ac:dyDescent="0.3">
      <c r="A1413" t="s">
        <v>6284</v>
      </c>
      <c r="B1413" t="s">
        <v>3057</v>
      </c>
      <c r="G1413" t="s">
        <v>5944</v>
      </c>
      <c r="H1413" t="s">
        <v>132</v>
      </c>
      <c r="I1413" t="s">
        <v>2</v>
      </c>
      <c r="J1413" t="s">
        <v>5298</v>
      </c>
      <c r="K1413" t="s">
        <v>52</v>
      </c>
      <c r="L1413" t="s">
        <v>3055</v>
      </c>
      <c r="M1413" t="s">
        <v>134</v>
      </c>
      <c r="N1413" t="s">
        <v>135</v>
      </c>
      <c r="Q1413" t="s">
        <v>168</v>
      </c>
      <c r="T1413" t="s">
        <v>2165</v>
      </c>
      <c r="U1413" t="s">
        <v>137</v>
      </c>
      <c r="V1413" t="s">
        <v>300</v>
      </c>
      <c r="X1413" t="s">
        <v>72</v>
      </c>
      <c r="AA1413" t="s">
        <v>2163</v>
      </c>
      <c r="AB1413" t="s">
        <v>2</v>
      </c>
      <c r="AC1413" t="s">
        <v>138</v>
      </c>
      <c r="AD1413" t="s">
        <v>128</v>
      </c>
      <c r="AE1413" s="97">
        <f>VLOOKUP(A:A,SUMMERY!AA:AC,2,FALSE)</f>
        <v>46234</v>
      </c>
      <c r="AF1413" s="6" t="str">
        <f>VLOOKUP(A:A,SUMMERY!AA:AC,3,FALSE)</f>
        <v>Priority-1</v>
      </c>
    </row>
    <row r="1414" spans="1:32" x14ac:dyDescent="0.3">
      <c r="A1414" t="s">
        <v>6285</v>
      </c>
      <c r="B1414" t="s">
        <v>3059</v>
      </c>
      <c r="G1414" t="s">
        <v>5944</v>
      </c>
      <c r="H1414" t="s">
        <v>132</v>
      </c>
      <c r="I1414" t="s">
        <v>2</v>
      </c>
      <c r="J1414" t="s">
        <v>5298</v>
      </c>
      <c r="K1414" t="s">
        <v>52</v>
      </c>
      <c r="L1414" t="s">
        <v>3055</v>
      </c>
      <c r="M1414" t="s">
        <v>134</v>
      </c>
      <c r="N1414" t="s">
        <v>135</v>
      </c>
      <c r="Q1414" t="s">
        <v>168</v>
      </c>
      <c r="T1414" t="s">
        <v>2165</v>
      </c>
      <c r="U1414" t="s">
        <v>137</v>
      </c>
      <c r="V1414" t="s">
        <v>300</v>
      </c>
      <c r="X1414" t="s">
        <v>72</v>
      </c>
      <c r="AA1414" t="s">
        <v>2163</v>
      </c>
      <c r="AB1414" t="s">
        <v>2</v>
      </c>
      <c r="AC1414" t="s">
        <v>138</v>
      </c>
      <c r="AD1414" t="s">
        <v>128</v>
      </c>
      <c r="AE1414" s="97">
        <f>VLOOKUP(A:A,SUMMERY!AA:AC,2,FALSE)</f>
        <v>46234</v>
      </c>
      <c r="AF1414" s="6" t="str">
        <f>VLOOKUP(A:A,SUMMERY!AA:AC,3,FALSE)</f>
        <v>Priority-1</v>
      </c>
    </row>
    <row r="1415" spans="1:32" x14ac:dyDescent="0.3">
      <c r="A1415" t="s">
        <v>6286</v>
      </c>
      <c r="B1415" t="s">
        <v>3061</v>
      </c>
      <c r="G1415" t="s">
        <v>5944</v>
      </c>
      <c r="H1415" t="s">
        <v>132</v>
      </c>
      <c r="I1415" t="s">
        <v>2</v>
      </c>
      <c r="J1415" t="s">
        <v>5298</v>
      </c>
      <c r="K1415" t="s">
        <v>52</v>
      </c>
      <c r="L1415" t="s">
        <v>3055</v>
      </c>
      <c r="M1415" t="s">
        <v>134</v>
      </c>
      <c r="N1415" t="s">
        <v>135</v>
      </c>
      <c r="Q1415" t="s">
        <v>168</v>
      </c>
      <c r="T1415" t="s">
        <v>2165</v>
      </c>
      <c r="U1415" t="s">
        <v>137</v>
      </c>
      <c r="V1415" t="s">
        <v>300</v>
      </c>
      <c r="X1415" t="s">
        <v>72</v>
      </c>
      <c r="AA1415" t="s">
        <v>2163</v>
      </c>
      <c r="AB1415" t="s">
        <v>2</v>
      </c>
      <c r="AC1415" t="s">
        <v>138</v>
      </c>
      <c r="AD1415" t="s">
        <v>128</v>
      </c>
      <c r="AE1415" s="97">
        <f>VLOOKUP(A:A,SUMMERY!AA:AC,2,FALSE)</f>
        <v>46234</v>
      </c>
      <c r="AF1415" s="6" t="str">
        <f>VLOOKUP(A:A,SUMMERY!AA:AC,3,FALSE)</f>
        <v>Priority-1</v>
      </c>
    </row>
    <row r="1416" spans="1:32" x14ac:dyDescent="0.3">
      <c r="A1416" t="s">
        <v>6287</v>
      </c>
      <c r="B1416" t="s">
        <v>3063</v>
      </c>
      <c r="G1416" t="s">
        <v>5944</v>
      </c>
      <c r="H1416" t="s">
        <v>132</v>
      </c>
      <c r="I1416" t="s">
        <v>2</v>
      </c>
      <c r="J1416" t="s">
        <v>5298</v>
      </c>
      <c r="K1416" t="s">
        <v>52</v>
      </c>
      <c r="L1416" t="s">
        <v>3055</v>
      </c>
      <c r="M1416" t="s">
        <v>134</v>
      </c>
      <c r="N1416" t="s">
        <v>135</v>
      </c>
      <c r="Q1416" t="s">
        <v>168</v>
      </c>
      <c r="T1416" t="s">
        <v>2165</v>
      </c>
      <c r="U1416" t="s">
        <v>137</v>
      </c>
      <c r="V1416" t="s">
        <v>300</v>
      </c>
      <c r="X1416" t="s">
        <v>72</v>
      </c>
      <c r="AA1416" t="s">
        <v>2163</v>
      </c>
      <c r="AB1416" t="s">
        <v>2</v>
      </c>
      <c r="AC1416" t="s">
        <v>138</v>
      </c>
      <c r="AD1416" t="s">
        <v>128</v>
      </c>
      <c r="AE1416" s="97">
        <f>VLOOKUP(A:A,SUMMERY!AA:AC,2,FALSE)</f>
        <v>46234</v>
      </c>
      <c r="AF1416" s="6" t="str">
        <f>VLOOKUP(A:A,SUMMERY!AA:AC,3,FALSE)</f>
        <v>Priority-1</v>
      </c>
    </row>
    <row r="1417" spans="1:32" x14ac:dyDescent="0.3">
      <c r="A1417" t="s">
        <v>6288</v>
      </c>
      <c r="B1417" t="s">
        <v>3065</v>
      </c>
      <c r="G1417" t="s">
        <v>5944</v>
      </c>
      <c r="H1417" t="s">
        <v>132</v>
      </c>
      <c r="I1417" t="s">
        <v>2</v>
      </c>
      <c r="J1417" t="s">
        <v>5298</v>
      </c>
      <c r="K1417" t="s">
        <v>52</v>
      </c>
      <c r="L1417" t="s">
        <v>3055</v>
      </c>
      <c r="M1417" t="s">
        <v>134</v>
      </c>
      <c r="N1417" t="s">
        <v>135</v>
      </c>
      <c r="Q1417" t="s">
        <v>168</v>
      </c>
      <c r="T1417" t="s">
        <v>2165</v>
      </c>
      <c r="U1417" t="s">
        <v>137</v>
      </c>
      <c r="V1417" t="s">
        <v>300</v>
      </c>
      <c r="X1417" t="s">
        <v>72</v>
      </c>
      <c r="AA1417" t="s">
        <v>2163</v>
      </c>
      <c r="AB1417" t="s">
        <v>2</v>
      </c>
      <c r="AC1417" t="s">
        <v>138</v>
      </c>
      <c r="AD1417" t="s">
        <v>128</v>
      </c>
      <c r="AE1417" s="97">
        <f>VLOOKUP(A:A,SUMMERY!AA:AC,2,FALSE)</f>
        <v>46234</v>
      </c>
      <c r="AF1417" s="6" t="str">
        <f>VLOOKUP(A:A,SUMMERY!AA:AC,3,FALSE)</f>
        <v>Priority-1</v>
      </c>
    </row>
    <row r="1418" spans="1:32" x14ac:dyDescent="0.3">
      <c r="A1418" t="s">
        <v>6319</v>
      </c>
      <c r="B1418" t="s">
        <v>3132</v>
      </c>
      <c r="G1418" t="s">
        <v>5944</v>
      </c>
      <c r="H1418" t="s">
        <v>132</v>
      </c>
      <c r="I1418" t="s">
        <v>2</v>
      </c>
      <c r="J1418" t="s">
        <v>5298</v>
      </c>
      <c r="K1418" t="s">
        <v>52</v>
      </c>
      <c r="L1418" t="s">
        <v>3133</v>
      </c>
      <c r="M1418" t="s">
        <v>134</v>
      </c>
      <c r="N1418" t="s">
        <v>135</v>
      </c>
      <c r="Q1418" t="s">
        <v>168</v>
      </c>
      <c r="T1418" t="s">
        <v>2165</v>
      </c>
      <c r="U1418" t="s">
        <v>137</v>
      </c>
      <c r="V1418" t="s">
        <v>147</v>
      </c>
      <c r="X1418" t="s">
        <v>70</v>
      </c>
      <c r="AA1418" t="s">
        <v>2163</v>
      </c>
      <c r="AB1418" t="s">
        <v>2</v>
      </c>
      <c r="AC1418" t="s">
        <v>138</v>
      </c>
      <c r="AD1418" t="s">
        <v>128</v>
      </c>
      <c r="AE1418" s="97">
        <f>VLOOKUP(A:A,SUMMERY!AA:AC,2,FALSE)</f>
        <v>46220</v>
      </c>
      <c r="AF1418" s="6" t="str">
        <f>VLOOKUP(A:A,SUMMERY!AA:AC,3,FALSE)</f>
        <v>Priority-1</v>
      </c>
    </row>
    <row r="1419" spans="1:32" x14ac:dyDescent="0.3">
      <c r="A1419" t="s">
        <v>6320</v>
      </c>
      <c r="B1419" t="s">
        <v>3135</v>
      </c>
      <c r="G1419" t="s">
        <v>5944</v>
      </c>
      <c r="H1419" t="s">
        <v>132</v>
      </c>
      <c r="I1419" t="s">
        <v>2</v>
      </c>
      <c r="J1419" t="s">
        <v>5298</v>
      </c>
      <c r="K1419" t="s">
        <v>52</v>
      </c>
      <c r="L1419" t="s">
        <v>3133</v>
      </c>
      <c r="M1419" t="s">
        <v>134</v>
      </c>
      <c r="N1419" t="s">
        <v>135</v>
      </c>
      <c r="Q1419" t="s">
        <v>168</v>
      </c>
      <c r="T1419" t="s">
        <v>2165</v>
      </c>
      <c r="U1419" t="s">
        <v>137</v>
      </c>
      <c r="V1419" t="s">
        <v>147</v>
      </c>
      <c r="X1419" t="s">
        <v>70</v>
      </c>
      <c r="AA1419" t="s">
        <v>2163</v>
      </c>
      <c r="AB1419" t="s">
        <v>2</v>
      </c>
      <c r="AC1419" t="s">
        <v>138</v>
      </c>
      <c r="AD1419" t="s">
        <v>128</v>
      </c>
      <c r="AE1419" s="97">
        <f>VLOOKUP(A:A,SUMMERY!AA:AC,2,FALSE)</f>
        <v>46220</v>
      </c>
      <c r="AF1419" s="6" t="str">
        <f>VLOOKUP(A:A,SUMMERY!AA:AC,3,FALSE)</f>
        <v>Priority-1</v>
      </c>
    </row>
    <row r="1420" spans="1:32" x14ac:dyDescent="0.3">
      <c r="A1420" t="s">
        <v>6321</v>
      </c>
      <c r="B1420" t="s">
        <v>3137</v>
      </c>
      <c r="G1420" t="s">
        <v>5944</v>
      </c>
      <c r="H1420" t="s">
        <v>132</v>
      </c>
      <c r="I1420" t="s">
        <v>2</v>
      </c>
      <c r="J1420" t="s">
        <v>5298</v>
      </c>
      <c r="K1420" t="s">
        <v>52</v>
      </c>
      <c r="L1420" t="s">
        <v>3133</v>
      </c>
      <c r="M1420" t="s">
        <v>134</v>
      </c>
      <c r="N1420" t="s">
        <v>135</v>
      </c>
      <c r="Q1420" t="s">
        <v>168</v>
      </c>
      <c r="T1420" t="s">
        <v>2165</v>
      </c>
      <c r="U1420" t="s">
        <v>137</v>
      </c>
      <c r="V1420" t="s">
        <v>147</v>
      </c>
      <c r="X1420" t="s">
        <v>70</v>
      </c>
      <c r="AA1420" t="s">
        <v>2163</v>
      </c>
      <c r="AB1420" t="s">
        <v>2</v>
      </c>
      <c r="AC1420" t="s">
        <v>138</v>
      </c>
      <c r="AD1420" t="s">
        <v>128</v>
      </c>
      <c r="AE1420" s="97">
        <f>VLOOKUP(A:A,SUMMERY!AA:AC,2,FALSE)</f>
        <v>46220</v>
      </c>
      <c r="AF1420" s="6" t="str">
        <f>VLOOKUP(A:A,SUMMERY!AA:AC,3,FALSE)</f>
        <v>Priority-1</v>
      </c>
    </row>
    <row r="1421" spans="1:32" x14ac:dyDescent="0.3">
      <c r="A1421" t="s">
        <v>6322</v>
      </c>
      <c r="B1421" t="s">
        <v>3139</v>
      </c>
      <c r="G1421" t="s">
        <v>5944</v>
      </c>
      <c r="H1421" t="s">
        <v>132</v>
      </c>
      <c r="I1421" t="s">
        <v>2</v>
      </c>
      <c r="J1421" t="s">
        <v>5298</v>
      </c>
      <c r="K1421" t="s">
        <v>52</v>
      </c>
      <c r="L1421" t="s">
        <v>3140</v>
      </c>
      <c r="M1421" t="s">
        <v>134</v>
      </c>
      <c r="N1421" t="s">
        <v>135</v>
      </c>
      <c r="Q1421" t="s">
        <v>168</v>
      </c>
      <c r="T1421" t="s">
        <v>2165</v>
      </c>
      <c r="U1421" t="s">
        <v>137</v>
      </c>
      <c r="V1421" t="s">
        <v>147</v>
      </c>
      <c r="X1421" t="s">
        <v>70</v>
      </c>
      <c r="AA1421" t="s">
        <v>2163</v>
      </c>
      <c r="AB1421" t="s">
        <v>2</v>
      </c>
      <c r="AC1421" t="s">
        <v>138</v>
      </c>
      <c r="AD1421" t="s">
        <v>128</v>
      </c>
      <c r="AE1421" s="97">
        <f>VLOOKUP(A:A,SUMMERY!AA:AC,2,FALSE)</f>
        <v>46220</v>
      </c>
      <c r="AF1421" s="6" t="str">
        <f>VLOOKUP(A:A,SUMMERY!AA:AC,3,FALSE)</f>
        <v>Priority-1</v>
      </c>
    </row>
    <row r="1422" spans="1:32" x14ac:dyDescent="0.3">
      <c r="A1422" t="s">
        <v>6323</v>
      </c>
      <c r="B1422" t="s">
        <v>3142</v>
      </c>
      <c r="G1422" t="s">
        <v>5944</v>
      </c>
      <c r="H1422" t="s">
        <v>132</v>
      </c>
      <c r="I1422" t="s">
        <v>2</v>
      </c>
      <c r="J1422" t="s">
        <v>5298</v>
      </c>
      <c r="K1422" t="s">
        <v>52</v>
      </c>
      <c r="L1422" t="s">
        <v>3140</v>
      </c>
      <c r="M1422" t="s">
        <v>134</v>
      </c>
      <c r="N1422" t="s">
        <v>135</v>
      </c>
      <c r="Q1422" t="s">
        <v>168</v>
      </c>
      <c r="T1422" t="s">
        <v>2165</v>
      </c>
      <c r="U1422" t="s">
        <v>137</v>
      </c>
      <c r="V1422" t="s">
        <v>147</v>
      </c>
      <c r="X1422" t="s">
        <v>70</v>
      </c>
      <c r="AA1422" t="s">
        <v>2163</v>
      </c>
      <c r="AB1422" t="s">
        <v>2</v>
      </c>
      <c r="AC1422" t="s">
        <v>138</v>
      </c>
      <c r="AD1422" t="s">
        <v>128</v>
      </c>
      <c r="AE1422" s="97">
        <f>VLOOKUP(A:A,SUMMERY!AA:AC,2,FALSE)</f>
        <v>46220</v>
      </c>
      <c r="AF1422" s="6" t="str">
        <f>VLOOKUP(A:A,SUMMERY!AA:AC,3,FALSE)</f>
        <v>Priority-1</v>
      </c>
    </row>
    <row r="1423" spans="1:32" x14ac:dyDescent="0.3">
      <c r="A1423" t="s">
        <v>6324</v>
      </c>
      <c r="B1423" t="s">
        <v>3144</v>
      </c>
      <c r="G1423" t="s">
        <v>5944</v>
      </c>
      <c r="H1423" t="s">
        <v>132</v>
      </c>
      <c r="I1423" t="s">
        <v>2</v>
      </c>
      <c r="J1423" t="s">
        <v>5298</v>
      </c>
      <c r="K1423" t="s">
        <v>52</v>
      </c>
      <c r="L1423" t="s">
        <v>3140</v>
      </c>
      <c r="M1423" t="s">
        <v>134</v>
      </c>
      <c r="N1423" t="s">
        <v>135</v>
      </c>
      <c r="Q1423" t="s">
        <v>168</v>
      </c>
      <c r="T1423" t="s">
        <v>2165</v>
      </c>
      <c r="U1423" t="s">
        <v>137</v>
      </c>
      <c r="V1423" t="s">
        <v>147</v>
      </c>
      <c r="X1423" t="s">
        <v>70</v>
      </c>
      <c r="AA1423" t="s">
        <v>2163</v>
      </c>
      <c r="AB1423" t="s">
        <v>2</v>
      </c>
      <c r="AC1423" t="s">
        <v>138</v>
      </c>
      <c r="AD1423" t="s">
        <v>128</v>
      </c>
      <c r="AE1423" s="97">
        <f>VLOOKUP(A:A,SUMMERY!AA:AC,2,FALSE)</f>
        <v>46220</v>
      </c>
      <c r="AF1423" s="6" t="str">
        <f>VLOOKUP(A:A,SUMMERY!AA:AC,3,FALSE)</f>
        <v>Priority-1</v>
      </c>
    </row>
    <row r="1424" spans="1:32" x14ac:dyDescent="0.3">
      <c r="A1424" t="s">
        <v>6325</v>
      </c>
      <c r="B1424" t="s">
        <v>3146</v>
      </c>
      <c r="G1424" t="s">
        <v>5944</v>
      </c>
      <c r="H1424" t="s">
        <v>132</v>
      </c>
      <c r="I1424" t="s">
        <v>2</v>
      </c>
      <c r="J1424" t="s">
        <v>5298</v>
      </c>
      <c r="K1424" t="s">
        <v>52</v>
      </c>
      <c r="L1424" t="s">
        <v>3147</v>
      </c>
      <c r="M1424" t="s">
        <v>134</v>
      </c>
      <c r="N1424" t="s">
        <v>135</v>
      </c>
      <c r="Q1424" t="s">
        <v>168</v>
      </c>
      <c r="T1424" t="s">
        <v>2165</v>
      </c>
      <c r="U1424" t="s">
        <v>137</v>
      </c>
      <c r="V1424" t="s">
        <v>147</v>
      </c>
      <c r="X1424" t="s">
        <v>70</v>
      </c>
      <c r="AA1424" t="s">
        <v>2163</v>
      </c>
      <c r="AB1424" t="s">
        <v>2</v>
      </c>
      <c r="AC1424" t="s">
        <v>138</v>
      </c>
      <c r="AD1424" t="s">
        <v>128</v>
      </c>
      <c r="AE1424" s="97">
        <f>VLOOKUP(A:A,SUMMERY!AA:AC,2,FALSE)</f>
        <v>46220</v>
      </c>
      <c r="AF1424" s="6" t="str">
        <f>VLOOKUP(A:A,SUMMERY!AA:AC,3,FALSE)</f>
        <v>Priority-1</v>
      </c>
    </row>
    <row r="1425" spans="1:32" x14ac:dyDescent="0.3">
      <c r="A1425" t="s">
        <v>6326</v>
      </c>
      <c r="B1425" t="s">
        <v>3149</v>
      </c>
      <c r="G1425" t="s">
        <v>5944</v>
      </c>
      <c r="H1425" t="s">
        <v>132</v>
      </c>
      <c r="I1425" t="s">
        <v>2</v>
      </c>
      <c r="J1425" t="s">
        <v>5298</v>
      </c>
      <c r="K1425" t="s">
        <v>52</v>
      </c>
      <c r="L1425" t="s">
        <v>3147</v>
      </c>
      <c r="M1425" t="s">
        <v>134</v>
      </c>
      <c r="N1425" t="s">
        <v>135</v>
      </c>
      <c r="Q1425" t="s">
        <v>168</v>
      </c>
      <c r="T1425" t="s">
        <v>2165</v>
      </c>
      <c r="U1425" t="s">
        <v>137</v>
      </c>
      <c r="V1425" t="s">
        <v>147</v>
      </c>
      <c r="X1425" t="s">
        <v>70</v>
      </c>
      <c r="AA1425" t="s">
        <v>2163</v>
      </c>
      <c r="AB1425" t="s">
        <v>2</v>
      </c>
      <c r="AC1425" t="s">
        <v>138</v>
      </c>
      <c r="AD1425" t="s">
        <v>128</v>
      </c>
      <c r="AE1425" s="97">
        <f>VLOOKUP(A:A,SUMMERY!AA:AC,2,FALSE)</f>
        <v>46220</v>
      </c>
      <c r="AF1425" s="6" t="str">
        <f>VLOOKUP(A:A,SUMMERY!AA:AC,3,FALSE)</f>
        <v>Priority-1</v>
      </c>
    </row>
    <row r="1426" spans="1:32" x14ac:dyDescent="0.3">
      <c r="A1426" t="s">
        <v>6327</v>
      </c>
      <c r="B1426" t="s">
        <v>3151</v>
      </c>
      <c r="G1426" t="s">
        <v>5944</v>
      </c>
      <c r="H1426" t="s">
        <v>132</v>
      </c>
      <c r="I1426" t="s">
        <v>2</v>
      </c>
      <c r="J1426" t="s">
        <v>5298</v>
      </c>
      <c r="K1426" t="s">
        <v>52</v>
      </c>
      <c r="L1426" t="s">
        <v>3147</v>
      </c>
      <c r="M1426" t="s">
        <v>134</v>
      </c>
      <c r="N1426" t="s">
        <v>135</v>
      </c>
      <c r="Q1426" t="s">
        <v>168</v>
      </c>
      <c r="T1426" t="s">
        <v>2165</v>
      </c>
      <c r="U1426" t="s">
        <v>137</v>
      </c>
      <c r="V1426" t="s">
        <v>147</v>
      </c>
      <c r="X1426" t="s">
        <v>70</v>
      </c>
      <c r="AA1426" t="s">
        <v>2163</v>
      </c>
      <c r="AB1426" t="s">
        <v>2</v>
      </c>
      <c r="AC1426" t="s">
        <v>138</v>
      </c>
      <c r="AD1426" t="s">
        <v>128</v>
      </c>
      <c r="AE1426" s="97">
        <f>VLOOKUP(A:A,SUMMERY!AA:AC,2,FALSE)</f>
        <v>46220</v>
      </c>
      <c r="AF1426" s="6" t="str">
        <f>VLOOKUP(A:A,SUMMERY!AA:AC,3,FALSE)</f>
        <v>Priority-1</v>
      </c>
    </row>
    <row r="1427" spans="1:32" x14ac:dyDescent="0.3">
      <c r="A1427" t="s">
        <v>6334</v>
      </c>
      <c r="B1427" t="s">
        <v>3167</v>
      </c>
      <c r="G1427" t="s">
        <v>5944</v>
      </c>
      <c r="H1427" t="s">
        <v>132</v>
      </c>
      <c r="I1427" t="s">
        <v>2</v>
      </c>
      <c r="J1427" t="s">
        <v>5298</v>
      </c>
      <c r="K1427" t="s">
        <v>52</v>
      </c>
      <c r="L1427" t="s">
        <v>3168</v>
      </c>
      <c r="M1427" t="s">
        <v>134</v>
      </c>
      <c r="N1427" t="s">
        <v>135</v>
      </c>
      <c r="Q1427" t="s">
        <v>168</v>
      </c>
      <c r="T1427" t="s">
        <v>2165</v>
      </c>
      <c r="U1427" t="s">
        <v>137</v>
      </c>
      <c r="V1427" t="s">
        <v>162</v>
      </c>
      <c r="X1427" t="s">
        <v>113</v>
      </c>
      <c r="AA1427" t="s">
        <v>2163</v>
      </c>
      <c r="AB1427" t="s">
        <v>2</v>
      </c>
      <c r="AC1427" t="s">
        <v>138</v>
      </c>
      <c r="AD1427" t="s">
        <v>129</v>
      </c>
      <c r="AE1427" s="97">
        <f>VLOOKUP(A:A,SUMMERY!AA:AC,2,FALSE)</f>
        <v>46234</v>
      </c>
      <c r="AF1427" s="6" t="str">
        <f>VLOOKUP(A:A,SUMMERY!AA:AC,3,FALSE)</f>
        <v>Priority-1</v>
      </c>
    </row>
    <row r="1428" spans="1:32" x14ac:dyDescent="0.3">
      <c r="A1428" t="s">
        <v>6335</v>
      </c>
      <c r="B1428" t="s">
        <v>3170</v>
      </c>
      <c r="G1428" t="s">
        <v>5944</v>
      </c>
      <c r="H1428" t="s">
        <v>132</v>
      </c>
      <c r="I1428" t="s">
        <v>2</v>
      </c>
      <c r="J1428" t="s">
        <v>5298</v>
      </c>
      <c r="K1428" t="s">
        <v>52</v>
      </c>
      <c r="L1428" t="s">
        <v>3168</v>
      </c>
      <c r="M1428" t="s">
        <v>134</v>
      </c>
      <c r="N1428" t="s">
        <v>135</v>
      </c>
      <c r="Q1428" t="s">
        <v>168</v>
      </c>
      <c r="T1428" t="s">
        <v>2165</v>
      </c>
      <c r="U1428" t="s">
        <v>137</v>
      </c>
      <c r="V1428" t="s">
        <v>162</v>
      </c>
      <c r="X1428" t="s">
        <v>113</v>
      </c>
      <c r="AA1428" t="s">
        <v>2163</v>
      </c>
      <c r="AB1428" t="s">
        <v>2</v>
      </c>
      <c r="AC1428" t="s">
        <v>138</v>
      </c>
      <c r="AD1428" t="s">
        <v>129</v>
      </c>
      <c r="AE1428" s="97">
        <f>VLOOKUP(A:A,SUMMERY!AA:AC,2,FALSE)</f>
        <v>46234</v>
      </c>
      <c r="AF1428" s="6" t="str">
        <f>VLOOKUP(A:A,SUMMERY!AA:AC,3,FALSE)</f>
        <v>Priority-1</v>
      </c>
    </row>
    <row r="1429" spans="1:32" x14ac:dyDescent="0.3">
      <c r="A1429" t="s">
        <v>6336</v>
      </c>
      <c r="B1429" t="s">
        <v>3172</v>
      </c>
      <c r="G1429" t="s">
        <v>5944</v>
      </c>
      <c r="H1429" t="s">
        <v>132</v>
      </c>
      <c r="I1429" t="s">
        <v>2</v>
      </c>
      <c r="J1429" t="s">
        <v>5298</v>
      </c>
      <c r="K1429" t="s">
        <v>52</v>
      </c>
      <c r="L1429" t="s">
        <v>3168</v>
      </c>
      <c r="M1429" t="s">
        <v>134</v>
      </c>
      <c r="N1429" t="s">
        <v>135</v>
      </c>
      <c r="Q1429" t="s">
        <v>168</v>
      </c>
      <c r="T1429" t="s">
        <v>2165</v>
      </c>
      <c r="U1429" t="s">
        <v>137</v>
      </c>
      <c r="V1429" t="s">
        <v>162</v>
      </c>
      <c r="X1429" t="s">
        <v>113</v>
      </c>
      <c r="AA1429" t="s">
        <v>2163</v>
      </c>
      <c r="AB1429" t="s">
        <v>2</v>
      </c>
      <c r="AC1429" t="s">
        <v>138</v>
      </c>
      <c r="AD1429" t="s">
        <v>129</v>
      </c>
      <c r="AE1429" s="97">
        <f>VLOOKUP(A:A,SUMMERY!AA:AC,2,FALSE)</f>
        <v>46234</v>
      </c>
      <c r="AF1429" s="6" t="str">
        <f>VLOOKUP(A:A,SUMMERY!AA:AC,3,FALSE)</f>
        <v>Priority-1</v>
      </c>
    </row>
    <row r="1430" spans="1:32" x14ac:dyDescent="0.3">
      <c r="A1430" t="s">
        <v>6337</v>
      </c>
      <c r="B1430" t="s">
        <v>3174</v>
      </c>
      <c r="G1430" t="s">
        <v>5944</v>
      </c>
      <c r="H1430" t="s">
        <v>132</v>
      </c>
      <c r="I1430" t="s">
        <v>2</v>
      </c>
      <c r="J1430" t="s">
        <v>5298</v>
      </c>
      <c r="K1430" t="s">
        <v>52</v>
      </c>
      <c r="L1430" t="s">
        <v>3175</v>
      </c>
      <c r="M1430" t="s">
        <v>134</v>
      </c>
      <c r="N1430" t="s">
        <v>135</v>
      </c>
      <c r="Q1430" t="s">
        <v>168</v>
      </c>
      <c r="T1430" t="s">
        <v>2165</v>
      </c>
      <c r="U1430" t="s">
        <v>137</v>
      </c>
      <c r="V1430" t="s">
        <v>162</v>
      </c>
      <c r="X1430" t="s">
        <v>113</v>
      </c>
      <c r="AA1430" t="s">
        <v>2163</v>
      </c>
      <c r="AB1430" t="s">
        <v>2</v>
      </c>
      <c r="AC1430" t="s">
        <v>138</v>
      </c>
      <c r="AD1430" t="s">
        <v>129</v>
      </c>
      <c r="AE1430" s="97">
        <f>VLOOKUP(A:A,SUMMERY!AA:AC,2,FALSE)</f>
        <v>46234</v>
      </c>
      <c r="AF1430" s="6" t="str">
        <f>VLOOKUP(A:A,SUMMERY!AA:AC,3,FALSE)</f>
        <v>Priority-1</v>
      </c>
    </row>
    <row r="1431" spans="1:32" x14ac:dyDescent="0.3">
      <c r="A1431" t="s">
        <v>6338</v>
      </c>
      <c r="B1431" t="s">
        <v>3177</v>
      </c>
      <c r="G1431" t="s">
        <v>5944</v>
      </c>
      <c r="H1431" t="s">
        <v>132</v>
      </c>
      <c r="I1431" t="s">
        <v>2</v>
      </c>
      <c r="J1431" t="s">
        <v>5298</v>
      </c>
      <c r="K1431" t="s">
        <v>52</v>
      </c>
      <c r="L1431" t="s">
        <v>3175</v>
      </c>
      <c r="M1431" t="s">
        <v>134</v>
      </c>
      <c r="N1431" t="s">
        <v>135</v>
      </c>
      <c r="Q1431" t="s">
        <v>168</v>
      </c>
      <c r="T1431" t="s">
        <v>2165</v>
      </c>
      <c r="U1431" t="s">
        <v>137</v>
      </c>
      <c r="V1431" t="s">
        <v>162</v>
      </c>
      <c r="X1431" t="s">
        <v>113</v>
      </c>
      <c r="AA1431" t="s">
        <v>2163</v>
      </c>
      <c r="AB1431" t="s">
        <v>2</v>
      </c>
      <c r="AC1431" t="s">
        <v>138</v>
      </c>
      <c r="AD1431" t="s">
        <v>129</v>
      </c>
      <c r="AE1431" s="97">
        <f>VLOOKUP(A:A,SUMMERY!AA:AC,2,FALSE)</f>
        <v>46234</v>
      </c>
      <c r="AF1431" s="6" t="str">
        <f>VLOOKUP(A:A,SUMMERY!AA:AC,3,FALSE)</f>
        <v>Priority-1</v>
      </c>
    </row>
    <row r="1432" spans="1:32" x14ac:dyDescent="0.3">
      <c r="A1432" t="s">
        <v>6339</v>
      </c>
      <c r="B1432" t="s">
        <v>3179</v>
      </c>
      <c r="G1432" t="s">
        <v>5944</v>
      </c>
      <c r="H1432" t="s">
        <v>132</v>
      </c>
      <c r="I1432" t="s">
        <v>2</v>
      </c>
      <c r="J1432" t="s">
        <v>5298</v>
      </c>
      <c r="K1432" t="s">
        <v>52</v>
      </c>
      <c r="L1432" t="s">
        <v>3175</v>
      </c>
      <c r="M1432" t="s">
        <v>134</v>
      </c>
      <c r="N1432" t="s">
        <v>135</v>
      </c>
      <c r="Q1432" t="s">
        <v>168</v>
      </c>
      <c r="T1432" t="s">
        <v>2165</v>
      </c>
      <c r="U1432" t="s">
        <v>137</v>
      </c>
      <c r="V1432" t="s">
        <v>162</v>
      </c>
      <c r="X1432" t="s">
        <v>113</v>
      </c>
      <c r="AA1432" t="s">
        <v>2163</v>
      </c>
      <c r="AB1432" t="s">
        <v>2</v>
      </c>
      <c r="AC1432" t="s">
        <v>138</v>
      </c>
      <c r="AD1432" t="s">
        <v>129</v>
      </c>
      <c r="AE1432" s="97">
        <f>VLOOKUP(A:A,SUMMERY!AA:AC,2,FALSE)</f>
        <v>46234</v>
      </c>
      <c r="AF1432" s="6" t="str">
        <f>VLOOKUP(A:A,SUMMERY!AA:AC,3,FALSE)</f>
        <v>Priority-1</v>
      </c>
    </row>
    <row r="1433" spans="1:32" x14ac:dyDescent="0.3">
      <c r="A1433" t="s">
        <v>6340</v>
      </c>
      <c r="B1433" t="s">
        <v>3181</v>
      </c>
      <c r="G1433" t="s">
        <v>5944</v>
      </c>
      <c r="H1433" t="s">
        <v>132</v>
      </c>
      <c r="I1433" t="s">
        <v>2</v>
      </c>
      <c r="J1433" t="s">
        <v>5298</v>
      </c>
      <c r="K1433" t="s">
        <v>52</v>
      </c>
      <c r="L1433" t="s">
        <v>3182</v>
      </c>
      <c r="M1433" t="s">
        <v>134</v>
      </c>
      <c r="N1433" t="s">
        <v>135</v>
      </c>
      <c r="Q1433" t="s">
        <v>168</v>
      </c>
      <c r="T1433" t="s">
        <v>2165</v>
      </c>
      <c r="U1433" t="s">
        <v>137</v>
      </c>
      <c r="V1433" t="s">
        <v>352</v>
      </c>
      <c r="X1433" t="s">
        <v>56</v>
      </c>
      <c r="AA1433" t="s">
        <v>2163</v>
      </c>
      <c r="AB1433" t="s">
        <v>2</v>
      </c>
      <c r="AC1433" t="s">
        <v>138</v>
      </c>
      <c r="AD1433" t="s">
        <v>128</v>
      </c>
      <c r="AE1433" s="97">
        <f>VLOOKUP(A:A,SUMMERY!AA:AC,2,FALSE)</f>
        <v>46233</v>
      </c>
      <c r="AF1433" s="6" t="str">
        <f>VLOOKUP(A:A,SUMMERY!AA:AC,3,FALSE)</f>
        <v>Priority-1</v>
      </c>
    </row>
    <row r="1434" spans="1:32" x14ac:dyDescent="0.3">
      <c r="A1434" t="s">
        <v>6341</v>
      </c>
      <c r="B1434" t="s">
        <v>3184</v>
      </c>
      <c r="G1434" t="s">
        <v>5944</v>
      </c>
      <c r="H1434" t="s">
        <v>132</v>
      </c>
      <c r="I1434" t="s">
        <v>2</v>
      </c>
      <c r="J1434" t="s">
        <v>5298</v>
      </c>
      <c r="K1434" t="s">
        <v>52</v>
      </c>
      <c r="L1434" t="s">
        <v>3185</v>
      </c>
      <c r="M1434" t="s">
        <v>134</v>
      </c>
      <c r="N1434" t="s">
        <v>135</v>
      </c>
      <c r="Q1434" t="s">
        <v>168</v>
      </c>
      <c r="T1434" t="s">
        <v>2165</v>
      </c>
      <c r="U1434" t="s">
        <v>137</v>
      </c>
      <c r="V1434" t="s">
        <v>358</v>
      </c>
      <c r="X1434" t="s">
        <v>124</v>
      </c>
      <c r="AA1434" t="s">
        <v>2163</v>
      </c>
      <c r="AB1434" t="s">
        <v>2</v>
      </c>
      <c r="AC1434" t="s">
        <v>138</v>
      </c>
      <c r="AD1434" t="s">
        <v>130</v>
      </c>
      <c r="AE1434" s="97">
        <f>VLOOKUP(A:A,SUMMERY!AA:AC,2,FALSE)</f>
        <v>46234</v>
      </c>
      <c r="AF1434" s="6" t="str">
        <f>VLOOKUP(A:A,SUMMERY!AA:AC,3,FALSE)</f>
        <v>Priority-1</v>
      </c>
    </row>
    <row r="1435" spans="1:32" x14ac:dyDescent="0.3">
      <c r="A1435" t="s">
        <v>6342</v>
      </c>
      <c r="B1435" t="s">
        <v>3187</v>
      </c>
      <c r="G1435" t="s">
        <v>5944</v>
      </c>
      <c r="H1435" t="s">
        <v>132</v>
      </c>
      <c r="I1435" t="s">
        <v>2</v>
      </c>
      <c r="J1435" t="s">
        <v>5298</v>
      </c>
      <c r="K1435" t="s">
        <v>52</v>
      </c>
      <c r="L1435" t="s">
        <v>3188</v>
      </c>
      <c r="M1435" t="s">
        <v>134</v>
      </c>
      <c r="N1435" t="s">
        <v>135</v>
      </c>
      <c r="Q1435" t="s">
        <v>168</v>
      </c>
      <c r="T1435" t="s">
        <v>2165</v>
      </c>
      <c r="U1435" t="s">
        <v>137</v>
      </c>
      <c r="V1435" t="s">
        <v>358</v>
      </c>
      <c r="X1435" t="s">
        <v>124</v>
      </c>
      <c r="AA1435" t="s">
        <v>2163</v>
      </c>
      <c r="AB1435" t="s">
        <v>2</v>
      </c>
      <c r="AC1435" t="s">
        <v>138</v>
      </c>
      <c r="AD1435" t="s">
        <v>130</v>
      </c>
      <c r="AE1435" s="97">
        <f>VLOOKUP(A:A,SUMMERY!AA:AC,2,FALSE)</f>
        <v>46234</v>
      </c>
      <c r="AF1435" s="6" t="str">
        <f>VLOOKUP(A:A,SUMMERY!AA:AC,3,FALSE)</f>
        <v>Priority-1</v>
      </c>
    </row>
    <row r="1436" spans="1:32" x14ac:dyDescent="0.3">
      <c r="A1436" t="s">
        <v>6343</v>
      </c>
      <c r="B1436" t="s">
        <v>3190</v>
      </c>
      <c r="G1436" t="s">
        <v>5944</v>
      </c>
      <c r="H1436" t="s">
        <v>132</v>
      </c>
      <c r="I1436" t="s">
        <v>2</v>
      </c>
      <c r="J1436" t="s">
        <v>5298</v>
      </c>
      <c r="K1436" t="s">
        <v>52</v>
      </c>
      <c r="L1436" t="s">
        <v>3191</v>
      </c>
      <c r="M1436" t="s">
        <v>134</v>
      </c>
      <c r="N1436" t="s">
        <v>135</v>
      </c>
      <c r="Q1436" t="s">
        <v>168</v>
      </c>
      <c r="T1436" t="s">
        <v>2165</v>
      </c>
      <c r="U1436" t="s">
        <v>137</v>
      </c>
      <c r="V1436" t="s">
        <v>358</v>
      </c>
      <c r="X1436" t="s">
        <v>124</v>
      </c>
      <c r="AA1436" t="s">
        <v>2163</v>
      </c>
      <c r="AB1436" t="s">
        <v>2</v>
      </c>
      <c r="AC1436" t="s">
        <v>138</v>
      </c>
      <c r="AD1436" t="s">
        <v>130</v>
      </c>
      <c r="AE1436" s="97">
        <f>VLOOKUP(A:A,SUMMERY!AA:AC,2,FALSE)</f>
        <v>46234</v>
      </c>
      <c r="AF1436" s="6" t="str">
        <f>VLOOKUP(A:A,SUMMERY!AA:AC,3,FALSE)</f>
        <v>Priority-1</v>
      </c>
    </row>
    <row r="1437" spans="1:32" x14ac:dyDescent="0.3">
      <c r="A1437" t="s">
        <v>6344</v>
      </c>
      <c r="B1437" t="s">
        <v>3193</v>
      </c>
      <c r="G1437" t="s">
        <v>5944</v>
      </c>
      <c r="H1437" t="s">
        <v>132</v>
      </c>
      <c r="I1437" t="s">
        <v>2</v>
      </c>
      <c r="J1437" t="s">
        <v>5298</v>
      </c>
      <c r="K1437" t="s">
        <v>52</v>
      </c>
      <c r="L1437" t="s">
        <v>3194</v>
      </c>
      <c r="M1437" t="s">
        <v>134</v>
      </c>
      <c r="N1437" t="s">
        <v>135</v>
      </c>
      <c r="Q1437" t="s">
        <v>168</v>
      </c>
      <c r="T1437" t="s">
        <v>2165</v>
      </c>
      <c r="U1437" t="s">
        <v>137</v>
      </c>
      <c r="V1437" t="s">
        <v>358</v>
      </c>
      <c r="X1437" t="s">
        <v>124</v>
      </c>
      <c r="AA1437" t="s">
        <v>2163</v>
      </c>
      <c r="AB1437" t="s">
        <v>2</v>
      </c>
      <c r="AC1437" t="s">
        <v>138</v>
      </c>
      <c r="AD1437" t="s">
        <v>130</v>
      </c>
      <c r="AE1437" s="97">
        <f>VLOOKUP(A:A,SUMMERY!AA:AC,2,FALSE)</f>
        <v>46234</v>
      </c>
      <c r="AF1437" s="6" t="str">
        <f>VLOOKUP(A:A,SUMMERY!AA:AC,3,FALSE)</f>
        <v>Priority-1</v>
      </c>
    </row>
    <row r="1438" spans="1:32" x14ac:dyDescent="0.3">
      <c r="A1438" t="s">
        <v>6345</v>
      </c>
      <c r="B1438" t="s">
        <v>3196</v>
      </c>
      <c r="G1438" t="s">
        <v>5944</v>
      </c>
      <c r="H1438" t="s">
        <v>132</v>
      </c>
      <c r="I1438" t="s">
        <v>2</v>
      </c>
      <c r="J1438" t="s">
        <v>5298</v>
      </c>
      <c r="K1438" t="s">
        <v>52</v>
      </c>
      <c r="L1438" t="s">
        <v>3197</v>
      </c>
      <c r="M1438" t="s">
        <v>134</v>
      </c>
      <c r="N1438" t="s">
        <v>135</v>
      </c>
      <c r="Q1438" t="s">
        <v>168</v>
      </c>
      <c r="T1438" t="s">
        <v>2165</v>
      </c>
      <c r="U1438" t="s">
        <v>137</v>
      </c>
      <c r="V1438" t="s">
        <v>358</v>
      </c>
      <c r="X1438" t="s">
        <v>124</v>
      </c>
      <c r="AA1438" t="s">
        <v>2163</v>
      </c>
      <c r="AB1438" t="s">
        <v>2</v>
      </c>
      <c r="AC1438" t="s">
        <v>138</v>
      </c>
      <c r="AD1438" t="s">
        <v>130</v>
      </c>
      <c r="AE1438" s="97">
        <f>VLOOKUP(A:A,SUMMERY!AA:AC,2,FALSE)</f>
        <v>46234</v>
      </c>
      <c r="AF1438" s="6" t="str">
        <f>VLOOKUP(A:A,SUMMERY!AA:AC,3,FALSE)</f>
        <v>Priority-1</v>
      </c>
    </row>
    <row r="1439" spans="1:32" x14ac:dyDescent="0.3">
      <c r="A1439" t="s">
        <v>6346</v>
      </c>
      <c r="B1439" t="s">
        <v>3199</v>
      </c>
      <c r="G1439" t="s">
        <v>5944</v>
      </c>
      <c r="H1439" t="s">
        <v>132</v>
      </c>
      <c r="I1439" t="s">
        <v>2</v>
      </c>
      <c r="J1439" t="s">
        <v>5298</v>
      </c>
      <c r="K1439" t="s">
        <v>52</v>
      </c>
      <c r="L1439" t="s">
        <v>3200</v>
      </c>
      <c r="M1439" t="s">
        <v>134</v>
      </c>
      <c r="N1439" t="s">
        <v>135</v>
      </c>
      <c r="Q1439" t="s">
        <v>168</v>
      </c>
      <c r="T1439" t="s">
        <v>2165</v>
      </c>
      <c r="U1439" t="s">
        <v>137</v>
      </c>
      <c r="V1439" t="s">
        <v>358</v>
      </c>
      <c r="X1439" t="s">
        <v>124</v>
      </c>
      <c r="AA1439" t="s">
        <v>2163</v>
      </c>
      <c r="AB1439" t="s">
        <v>2</v>
      </c>
      <c r="AC1439" t="s">
        <v>138</v>
      </c>
      <c r="AD1439" t="s">
        <v>130</v>
      </c>
      <c r="AE1439" s="97">
        <f>VLOOKUP(A:A,SUMMERY!AA:AC,2,FALSE)</f>
        <v>46234</v>
      </c>
      <c r="AF1439" s="6" t="str">
        <f>VLOOKUP(A:A,SUMMERY!AA:AC,3,FALSE)</f>
        <v>Priority-1</v>
      </c>
    </row>
    <row r="1440" spans="1:32" x14ac:dyDescent="0.3">
      <c r="A1440" t="s">
        <v>6347</v>
      </c>
      <c r="B1440" t="s">
        <v>3202</v>
      </c>
      <c r="G1440" t="s">
        <v>5944</v>
      </c>
      <c r="H1440" t="s">
        <v>132</v>
      </c>
      <c r="I1440" t="s">
        <v>2</v>
      </c>
      <c r="J1440" t="s">
        <v>5298</v>
      </c>
      <c r="K1440" t="s">
        <v>52</v>
      </c>
      <c r="L1440" t="s">
        <v>3203</v>
      </c>
      <c r="M1440" t="s">
        <v>134</v>
      </c>
      <c r="N1440" t="s">
        <v>135</v>
      </c>
      <c r="Q1440" t="s">
        <v>168</v>
      </c>
      <c r="T1440" t="s">
        <v>2165</v>
      </c>
      <c r="U1440" t="s">
        <v>137</v>
      </c>
      <c r="V1440" t="s">
        <v>358</v>
      </c>
      <c r="X1440" t="s">
        <v>124</v>
      </c>
      <c r="AA1440" t="s">
        <v>2163</v>
      </c>
      <c r="AB1440" t="s">
        <v>2</v>
      </c>
      <c r="AC1440" t="s">
        <v>138</v>
      </c>
      <c r="AD1440" t="s">
        <v>130</v>
      </c>
      <c r="AE1440" s="97">
        <f>VLOOKUP(A:A,SUMMERY!AA:AC,2,FALSE)</f>
        <v>46234</v>
      </c>
      <c r="AF1440" s="6" t="str">
        <f>VLOOKUP(A:A,SUMMERY!AA:AC,3,FALSE)</f>
        <v>Priority-1</v>
      </c>
    </row>
    <row r="1441" spans="1:32" x14ac:dyDescent="0.3">
      <c r="A1441" t="s">
        <v>6348</v>
      </c>
      <c r="B1441" t="s">
        <v>3205</v>
      </c>
      <c r="G1441" t="s">
        <v>5944</v>
      </c>
      <c r="H1441" t="s">
        <v>132</v>
      </c>
      <c r="I1441" t="s">
        <v>2</v>
      </c>
      <c r="J1441" t="s">
        <v>5298</v>
      </c>
      <c r="K1441" t="s">
        <v>52</v>
      </c>
      <c r="L1441" t="s">
        <v>3206</v>
      </c>
      <c r="M1441" t="s">
        <v>134</v>
      </c>
      <c r="N1441" t="s">
        <v>135</v>
      </c>
      <c r="Q1441" t="s">
        <v>168</v>
      </c>
      <c r="T1441" t="s">
        <v>2165</v>
      </c>
      <c r="U1441" t="s">
        <v>137</v>
      </c>
      <c r="V1441" t="s">
        <v>358</v>
      </c>
      <c r="X1441" t="s">
        <v>124</v>
      </c>
      <c r="AA1441" t="s">
        <v>2163</v>
      </c>
      <c r="AB1441" t="s">
        <v>2</v>
      </c>
      <c r="AC1441" t="s">
        <v>138</v>
      </c>
      <c r="AD1441" t="s">
        <v>130</v>
      </c>
      <c r="AE1441" s="97">
        <f>VLOOKUP(A:A,SUMMERY!AA:AC,2,FALSE)</f>
        <v>46234</v>
      </c>
      <c r="AF1441" s="6" t="str">
        <f>VLOOKUP(A:A,SUMMERY!AA:AC,3,FALSE)</f>
        <v>Priority-1</v>
      </c>
    </row>
    <row r="1442" spans="1:32" x14ac:dyDescent="0.3">
      <c r="A1442" t="s">
        <v>6349</v>
      </c>
      <c r="B1442" t="s">
        <v>3208</v>
      </c>
      <c r="G1442" t="s">
        <v>5944</v>
      </c>
      <c r="H1442" t="s">
        <v>132</v>
      </c>
      <c r="I1442" t="s">
        <v>2</v>
      </c>
      <c r="J1442" t="s">
        <v>5298</v>
      </c>
      <c r="K1442" t="s">
        <v>52</v>
      </c>
      <c r="L1442" t="s">
        <v>3185</v>
      </c>
      <c r="M1442" t="s">
        <v>134</v>
      </c>
      <c r="N1442" t="s">
        <v>135</v>
      </c>
      <c r="Q1442" t="s">
        <v>168</v>
      </c>
      <c r="T1442" t="s">
        <v>2165</v>
      </c>
      <c r="U1442" t="s">
        <v>137</v>
      </c>
      <c r="V1442" t="s">
        <v>358</v>
      </c>
      <c r="X1442" t="s">
        <v>124</v>
      </c>
      <c r="AA1442" t="s">
        <v>2163</v>
      </c>
      <c r="AB1442" t="s">
        <v>2</v>
      </c>
      <c r="AC1442" t="s">
        <v>138</v>
      </c>
      <c r="AD1442" t="s">
        <v>130</v>
      </c>
      <c r="AE1442" s="97">
        <f>VLOOKUP(A:A,SUMMERY!AA:AC,2,FALSE)</f>
        <v>46234</v>
      </c>
      <c r="AF1442" s="6" t="str">
        <f>VLOOKUP(A:A,SUMMERY!AA:AC,3,FALSE)</f>
        <v>Priority-1</v>
      </c>
    </row>
    <row r="1443" spans="1:32" x14ac:dyDescent="0.3">
      <c r="A1443" t="s">
        <v>6350</v>
      </c>
      <c r="B1443" t="s">
        <v>3210</v>
      </c>
      <c r="G1443" t="s">
        <v>5944</v>
      </c>
      <c r="H1443" t="s">
        <v>132</v>
      </c>
      <c r="I1443" t="s">
        <v>2</v>
      </c>
      <c r="J1443" t="s">
        <v>5298</v>
      </c>
      <c r="K1443" t="s">
        <v>52</v>
      </c>
      <c r="L1443" t="s">
        <v>3188</v>
      </c>
      <c r="M1443" t="s">
        <v>134</v>
      </c>
      <c r="N1443" t="s">
        <v>135</v>
      </c>
      <c r="Q1443" t="s">
        <v>168</v>
      </c>
      <c r="T1443" t="s">
        <v>2165</v>
      </c>
      <c r="U1443" t="s">
        <v>137</v>
      </c>
      <c r="V1443" t="s">
        <v>358</v>
      </c>
      <c r="X1443" t="s">
        <v>124</v>
      </c>
      <c r="AA1443" t="s">
        <v>2163</v>
      </c>
      <c r="AB1443" t="s">
        <v>2</v>
      </c>
      <c r="AC1443" t="s">
        <v>138</v>
      </c>
      <c r="AD1443" t="s">
        <v>130</v>
      </c>
      <c r="AE1443" s="97">
        <f>VLOOKUP(A:A,SUMMERY!AA:AC,2,FALSE)</f>
        <v>46234</v>
      </c>
      <c r="AF1443" s="6" t="str">
        <f>VLOOKUP(A:A,SUMMERY!AA:AC,3,FALSE)</f>
        <v>Priority-1</v>
      </c>
    </row>
    <row r="1444" spans="1:32" x14ac:dyDescent="0.3">
      <c r="A1444" t="s">
        <v>6351</v>
      </c>
      <c r="B1444" t="s">
        <v>3212</v>
      </c>
      <c r="G1444" t="s">
        <v>5944</v>
      </c>
      <c r="H1444" t="s">
        <v>132</v>
      </c>
      <c r="I1444" t="s">
        <v>2</v>
      </c>
      <c r="J1444" t="s">
        <v>5298</v>
      </c>
      <c r="K1444" t="s">
        <v>52</v>
      </c>
      <c r="L1444" t="s">
        <v>3191</v>
      </c>
      <c r="M1444" t="s">
        <v>134</v>
      </c>
      <c r="N1444" t="s">
        <v>135</v>
      </c>
      <c r="Q1444" t="s">
        <v>168</v>
      </c>
      <c r="T1444" t="s">
        <v>2165</v>
      </c>
      <c r="U1444" t="s">
        <v>137</v>
      </c>
      <c r="V1444" t="s">
        <v>358</v>
      </c>
      <c r="X1444" t="s">
        <v>124</v>
      </c>
      <c r="AA1444" t="s">
        <v>2163</v>
      </c>
      <c r="AB1444" t="s">
        <v>2</v>
      </c>
      <c r="AC1444" t="s">
        <v>138</v>
      </c>
      <c r="AD1444" t="s">
        <v>130</v>
      </c>
      <c r="AE1444" s="97">
        <f>VLOOKUP(A:A,SUMMERY!AA:AC,2,FALSE)</f>
        <v>46234</v>
      </c>
      <c r="AF1444" s="6" t="str">
        <f>VLOOKUP(A:A,SUMMERY!AA:AC,3,FALSE)</f>
        <v>Priority-1</v>
      </c>
    </row>
    <row r="1445" spans="1:32" x14ac:dyDescent="0.3">
      <c r="A1445" t="s">
        <v>6352</v>
      </c>
      <c r="B1445" t="s">
        <v>3214</v>
      </c>
      <c r="G1445" t="s">
        <v>5944</v>
      </c>
      <c r="H1445" t="s">
        <v>132</v>
      </c>
      <c r="I1445" t="s">
        <v>2</v>
      </c>
      <c r="J1445" t="s">
        <v>5298</v>
      </c>
      <c r="K1445" t="s">
        <v>52</v>
      </c>
      <c r="L1445" t="s">
        <v>3194</v>
      </c>
      <c r="M1445" t="s">
        <v>134</v>
      </c>
      <c r="N1445" t="s">
        <v>135</v>
      </c>
      <c r="Q1445" t="s">
        <v>168</v>
      </c>
      <c r="T1445" t="s">
        <v>2165</v>
      </c>
      <c r="U1445" t="s">
        <v>137</v>
      </c>
      <c r="V1445" t="s">
        <v>358</v>
      </c>
      <c r="X1445" t="s">
        <v>124</v>
      </c>
      <c r="AA1445" t="s">
        <v>2163</v>
      </c>
      <c r="AB1445" t="s">
        <v>2</v>
      </c>
      <c r="AC1445" t="s">
        <v>138</v>
      </c>
      <c r="AD1445" t="s">
        <v>130</v>
      </c>
      <c r="AE1445" s="97">
        <f>VLOOKUP(A:A,SUMMERY!AA:AC,2,FALSE)</f>
        <v>46234</v>
      </c>
      <c r="AF1445" s="6" t="str">
        <f>VLOOKUP(A:A,SUMMERY!AA:AC,3,FALSE)</f>
        <v>Priority-1</v>
      </c>
    </row>
    <row r="1446" spans="1:32" x14ac:dyDescent="0.3">
      <c r="A1446" t="s">
        <v>6353</v>
      </c>
      <c r="B1446" t="s">
        <v>3216</v>
      </c>
      <c r="G1446" t="s">
        <v>5944</v>
      </c>
      <c r="H1446" t="s">
        <v>132</v>
      </c>
      <c r="I1446" t="s">
        <v>2</v>
      </c>
      <c r="J1446" t="s">
        <v>5298</v>
      </c>
      <c r="K1446" t="s">
        <v>52</v>
      </c>
      <c r="L1446" t="s">
        <v>3197</v>
      </c>
      <c r="M1446" t="s">
        <v>134</v>
      </c>
      <c r="N1446" t="s">
        <v>135</v>
      </c>
      <c r="Q1446" t="s">
        <v>168</v>
      </c>
      <c r="T1446" t="s">
        <v>2165</v>
      </c>
      <c r="U1446" t="s">
        <v>137</v>
      </c>
      <c r="V1446" t="s">
        <v>358</v>
      </c>
      <c r="X1446" t="s">
        <v>124</v>
      </c>
      <c r="AA1446" t="s">
        <v>2163</v>
      </c>
      <c r="AB1446" t="s">
        <v>2</v>
      </c>
      <c r="AC1446" t="s">
        <v>138</v>
      </c>
      <c r="AD1446" t="s">
        <v>130</v>
      </c>
      <c r="AE1446" s="97">
        <f>VLOOKUP(A:A,SUMMERY!AA:AC,2,FALSE)</f>
        <v>46234</v>
      </c>
      <c r="AF1446" s="6" t="str">
        <f>VLOOKUP(A:A,SUMMERY!AA:AC,3,FALSE)</f>
        <v>Priority-1</v>
      </c>
    </row>
    <row r="1447" spans="1:32" x14ac:dyDescent="0.3">
      <c r="A1447" t="s">
        <v>6354</v>
      </c>
      <c r="B1447" t="s">
        <v>3218</v>
      </c>
      <c r="G1447" t="s">
        <v>5944</v>
      </c>
      <c r="H1447" t="s">
        <v>132</v>
      </c>
      <c r="I1447" t="s">
        <v>2</v>
      </c>
      <c r="J1447" t="s">
        <v>5298</v>
      </c>
      <c r="K1447" t="s">
        <v>52</v>
      </c>
      <c r="L1447" t="s">
        <v>3200</v>
      </c>
      <c r="M1447" t="s">
        <v>134</v>
      </c>
      <c r="N1447" t="s">
        <v>135</v>
      </c>
      <c r="Q1447" t="s">
        <v>168</v>
      </c>
      <c r="T1447" t="s">
        <v>2165</v>
      </c>
      <c r="U1447" t="s">
        <v>137</v>
      </c>
      <c r="V1447" t="s">
        <v>358</v>
      </c>
      <c r="X1447" t="s">
        <v>124</v>
      </c>
      <c r="AA1447" t="s">
        <v>2163</v>
      </c>
      <c r="AB1447" t="s">
        <v>2</v>
      </c>
      <c r="AC1447" t="s">
        <v>138</v>
      </c>
      <c r="AD1447" t="s">
        <v>130</v>
      </c>
      <c r="AE1447" s="97">
        <f>VLOOKUP(A:A,SUMMERY!AA:AC,2,FALSE)</f>
        <v>46234</v>
      </c>
      <c r="AF1447" s="6" t="str">
        <f>VLOOKUP(A:A,SUMMERY!AA:AC,3,FALSE)</f>
        <v>Priority-1</v>
      </c>
    </row>
    <row r="1448" spans="1:32" x14ac:dyDescent="0.3">
      <c r="A1448" t="s">
        <v>6355</v>
      </c>
      <c r="B1448" t="s">
        <v>3220</v>
      </c>
      <c r="G1448" t="s">
        <v>5944</v>
      </c>
      <c r="H1448" t="s">
        <v>132</v>
      </c>
      <c r="I1448" t="s">
        <v>2</v>
      </c>
      <c r="J1448" t="s">
        <v>5298</v>
      </c>
      <c r="K1448" t="s">
        <v>52</v>
      </c>
      <c r="L1448" t="s">
        <v>3203</v>
      </c>
      <c r="M1448" t="s">
        <v>134</v>
      </c>
      <c r="N1448" t="s">
        <v>135</v>
      </c>
      <c r="Q1448" t="s">
        <v>168</v>
      </c>
      <c r="T1448" t="s">
        <v>2165</v>
      </c>
      <c r="U1448" t="s">
        <v>137</v>
      </c>
      <c r="V1448" t="s">
        <v>358</v>
      </c>
      <c r="X1448" t="s">
        <v>124</v>
      </c>
      <c r="AA1448" t="s">
        <v>2163</v>
      </c>
      <c r="AB1448" t="s">
        <v>2</v>
      </c>
      <c r="AC1448" t="s">
        <v>138</v>
      </c>
      <c r="AD1448" t="s">
        <v>130</v>
      </c>
      <c r="AE1448" s="97">
        <f>VLOOKUP(A:A,SUMMERY!AA:AC,2,FALSE)</f>
        <v>46234</v>
      </c>
      <c r="AF1448" s="6" t="str">
        <f>VLOOKUP(A:A,SUMMERY!AA:AC,3,FALSE)</f>
        <v>Priority-1</v>
      </c>
    </row>
    <row r="1449" spans="1:32" x14ac:dyDescent="0.3">
      <c r="A1449" t="s">
        <v>6356</v>
      </c>
      <c r="B1449" t="s">
        <v>3224</v>
      </c>
      <c r="G1449" t="s">
        <v>5944</v>
      </c>
      <c r="H1449" t="s">
        <v>132</v>
      </c>
      <c r="I1449" t="s">
        <v>2</v>
      </c>
      <c r="J1449" t="s">
        <v>5298</v>
      </c>
      <c r="K1449" t="s">
        <v>52</v>
      </c>
      <c r="L1449" t="s">
        <v>3225</v>
      </c>
      <c r="M1449" t="s">
        <v>134</v>
      </c>
      <c r="N1449" t="s">
        <v>135</v>
      </c>
      <c r="Q1449" t="s">
        <v>168</v>
      </c>
      <c r="T1449" t="s">
        <v>2165</v>
      </c>
      <c r="U1449" t="s">
        <v>137</v>
      </c>
      <c r="V1449" t="s">
        <v>1190</v>
      </c>
      <c r="X1449" t="s">
        <v>67</v>
      </c>
      <c r="AA1449" t="s">
        <v>2163</v>
      </c>
      <c r="AB1449" t="s">
        <v>2</v>
      </c>
      <c r="AC1449" t="s">
        <v>138</v>
      </c>
      <c r="AD1449" t="s">
        <v>128</v>
      </c>
      <c r="AE1449" s="97">
        <f>VLOOKUP(A:A,SUMMERY!AA:AC,2,FALSE)</f>
        <v>46220</v>
      </c>
      <c r="AF1449" s="6" t="str">
        <f>VLOOKUP(A:A,SUMMERY!AA:AC,3,FALSE)</f>
        <v>Priority-1</v>
      </c>
    </row>
    <row r="1450" spans="1:32" x14ac:dyDescent="0.3">
      <c r="A1450" t="s">
        <v>6357</v>
      </c>
      <c r="B1450" t="s">
        <v>3227</v>
      </c>
      <c r="G1450" t="s">
        <v>5944</v>
      </c>
      <c r="H1450" t="s">
        <v>132</v>
      </c>
      <c r="I1450" t="s">
        <v>2</v>
      </c>
      <c r="J1450" t="s">
        <v>5298</v>
      </c>
      <c r="K1450" t="s">
        <v>52</v>
      </c>
      <c r="L1450" t="s">
        <v>3228</v>
      </c>
      <c r="M1450" t="s">
        <v>134</v>
      </c>
      <c r="N1450" t="s">
        <v>135</v>
      </c>
      <c r="Q1450" t="s">
        <v>168</v>
      </c>
      <c r="T1450" t="s">
        <v>2165</v>
      </c>
      <c r="U1450" t="s">
        <v>137</v>
      </c>
      <c r="V1450" t="s">
        <v>1194</v>
      </c>
      <c r="X1450" t="s">
        <v>75</v>
      </c>
      <c r="AA1450" t="s">
        <v>2163</v>
      </c>
      <c r="AB1450" t="s">
        <v>2</v>
      </c>
      <c r="AC1450" t="s">
        <v>138</v>
      </c>
      <c r="AD1450" t="s">
        <v>128</v>
      </c>
      <c r="AE1450" s="97">
        <f>VLOOKUP(A:A,SUMMERY!AA:AC,2,FALSE)</f>
        <v>46220</v>
      </c>
      <c r="AF1450" s="6" t="str">
        <f>VLOOKUP(A:A,SUMMERY!AA:AC,3,FALSE)</f>
        <v>Priority-1</v>
      </c>
    </row>
    <row r="1451" spans="1:32" x14ac:dyDescent="0.3">
      <c r="A1451" t="s">
        <v>6363</v>
      </c>
      <c r="B1451" t="s">
        <v>3245</v>
      </c>
      <c r="G1451" t="s">
        <v>5944</v>
      </c>
      <c r="H1451" t="s">
        <v>132</v>
      </c>
      <c r="I1451" t="s">
        <v>2</v>
      </c>
      <c r="J1451" t="s">
        <v>5298</v>
      </c>
      <c r="K1451" t="s">
        <v>52</v>
      </c>
      <c r="L1451" t="s">
        <v>3246</v>
      </c>
      <c r="M1451" t="s">
        <v>134</v>
      </c>
      <c r="N1451" t="s">
        <v>135</v>
      </c>
      <c r="Q1451" t="s">
        <v>168</v>
      </c>
      <c r="T1451" t="s">
        <v>2165</v>
      </c>
      <c r="U1451" t="s">
        <v>137</v>
      </c>
      <c r="V1451" t="s">
        <v>147</v>
      </c>
      <c r="X1451" t="s">
        <v>70</v>
      </c>
      <c r="AA1451" t="s">
        <v>2163</v>
      </c>
      <c r="AB1451" t="s">
        <v>2</v>
      </c>
      <c r="AC1451" t="s">
        <v>138</v>
      </c>
      <c r="AD1451" t="s">
        <v>128</v>
      </c>
      <c r="AE1451" s="97">
        <f>VLOOKUP(A:A,SUMMERY!AA:AC,2,FALSE)</f>
        <v>46220</v>
      </c>
      <c r="AF1451" s="6" t="str">
        <f>VLOOKUP(A:A,SUMMERY!AA:AC,3,FALSE)</f>
        <v>Priority-1</v>
      </c>
    </row>
    <row r="1452" spans="1:32" x14ac:dyDescent="0.3">
      <c r="A1452" t="s">
        <v>6364</v>
      </c>
      <c r="B1452" t="s">
        <v>3248</v>
      </c>
      <c r="G1452" t="s">
        <v>5944</v>
      </c>
      <c r="H1452" t="s">
        <v>132</v>
      </c>
      <c r="I1452" t="s">
        <v>2</v>
      </c>
      <c r="J1452" t="s">
        <v>5298</v>
      </c>
      <c r="K1452" t="s">
        <v>52</v>
      </c>
      <c r="L1452" t="s">
        <v>3246</v>
      </c>
      <c r="M1452" t="s">
        <v>134</v>
      </c>
      <c r="N1452" t="s">
        <v>135</v>
      </c>
      <c r="Q1452" t="s">
        <v>168</v>
      </c>
      <c r="T1452" t="s">
        <v>2165</v>
      </c>
      <c r="U1452" t="s">
        <v>137</v>
      </c>
      <c r="V1452" t="s">
        <v>147</v>
      </c>
      <c r="X1452" t="s">
        <v>70</v>
      </c>
      <c r="AA1452" t="s">
        <v>2163</v>
      </c>
      <c r="AB1452" t="s">
        <v>2</v>
      </c>
      <c r="AC1452" t="s">
        <v>138</v>
      </c>
      <c r="AD1452" t="s">
        <v>128</v>
      </c>
      <c r="AE1452" s="97">
        <f>VLOOKUP(A:A,SUMMERY!AA:AC,2,FALSE)</f>
        <v>46220</v>
      </c>
      <c r="AF1452" s="6" t="str">
        <f>VLOOKUP(A:A,SUMMERY!AA:AC,3,FALSE)</f>
        <v>Priority-1</v>
      </c>
    </row>
    <row r="1453" spans="1:32" x14ac:dyDescent="0.3">
      <c r="A1453" t="s">
        <v>6365</v>
      </c>
      <c r="B1453" t="s">
        <v>3250</v>
      </c>
      <c r="G1453" t="s">
        <v>5944</v>
      </c>
      <c r="H1453" t="s">
        <v>132</v>
      </c>
      <c r="I1453" t="s">
        <v>2</v>
      </c>
      <c r="J1453" t="s">
        <v>5298</v>
      </c>
      <c r="K1453" t="s">
        <v>52</v>
      </c>
      <c r="L1453" t="s">
        <v>3251</v>
      </c>
      <c r="M1453" t="s">
        <v>134</v>
      </c>
      <c r="N1453" t="s">
        <v>135</v>
      </c>
      <c r="Q1453" t="s">
        <v>168</v>
      </c>
      <c r="T1453" t="s">
        <v>2165</v>
      </c>
      <c r="U1453" t="s">
        <v>137</v>
      </c>
      <c r="V1453" t="s">
        <v>147</v>
      </c>
      <c r="X1453" t="s">
        <v>70</v>
      </c>
      <c r="AA1453" t="s">
        <v>2163</v>
      </c>
      <c r="AB1453" t="s">
        <v>2</v>
      </c>
      <c r="AC1453" t="s">
        <v>138</v>
      </c>
      <c r="AD1453" t="s">
        <v>128</v>
      </c>
      <c r="AE1453" s="97">
        <f>VLOOKUP(A:A,SUMMERY!AA:AC,2,FALSE)</f>
        <v>46220</v>
      </c>
      <c r="AF1453" s="6" t="str">
        <f>VLOOKUP(A:A,SUMMERY!AA:AC,3,FALSE)</f>
        <v>Priority-1</v>
      </c>
    </row>
    <row r="1454" spans="1:32" x14ac:dyDescent="0.3">
      <c r="A1454" t="s">
        <v>6366</v>
      </c>
      <c r="B1454" t="s">
        <v>3253</v>
      </c>
      <c r="G1454" t="s">
        <v>5944</v>
      </c>
      <c r="H1454" t="s">
        <v>132</v>
      </c>
      <c r="I1454" t="s">
        <v>2</v>
      </c>
      <c r="J1454" t="s">
        <v>5298</v>
      </c>
      <c r="K1454" t="s">
        <v>52</v>
      </c>
      <c r="L1454" t="s">
        <v>3254</v>
      </c>
      <c r="M1454" t="s">
        <v>134</v>
      </c>
      <c r="N1454" t="s">
        <v>135</v>
      </c>
      <c r="Q1454" t="s">
        <v>168</v>
      </c>
      <c r="T1454" t="s">
        <v>2165</v>
      </c>
      <c r="U1454" t="s">
        <v>137</v>
      </c>
      <c r="V1454" t="s">
        <v>150</v>
      </c>
      <c r="X1454" t="s">
        <v>76</v>
      </c>
      <c r="AA1454" t="s">
        <v>2163</v>
      </c>
      <c r="AB1454" t="s">
        <v>2</v>
      </c>
      <c r="AC1454" t="s">
        <v>138</v>
      </c>
      <c r="AD1454" t="s">
        <v>128</v>
      </c>
      <c r="AE1454" s="97">
        <f>VLOOKUP(A:A,SUMMERY!AA:AC,2,FALSE)</f>
        <v>46233</v>
      </c>
      <c r="AF1454" s="6" t="str">
        <f>VLOOKUP(A:A,SUMMERY!AA:AC,3,FALSE)</f>
        <v>Priority-1</v>
      </c>
    </row>
    <row r="1455" spans="1:32" x14ac:dyDescent="0.3">
      <c r="A1455" t="s">
        <v>6367</v>
      </c>
      <c r="B1455" t="s">
        <v>3256</v>
      </c>
      <c r="G1455" t="s">
        <v>5944</v>
      </c>
      <c r="H1455" t="s">
        <v>132</v>
      </c>
      <c r="I1455" t="s">
        <v>2</v>
      </c>
      <c r="J1455" t="s">
        <v>5298</v>
      </c>
      <c r="K1455" t="s">
        <v>52</v>
      </c>
      <c r="L1455" t="s">
        <v>3254</v>
      </c>
      <c r="M1455" t="s">
        <v>134</v>
      </c>
      <c r="N1455" t="s">
        <v>135</v>
      </c>
      <c r="Q1455" t="s">
        <v>168</v>
      </c>
      <c r="T1455" t="s">
        <v>2165</v>
      </c>
      <c r="U1455" t="s">
        <v>137</v>
      </c>
      <c r="V1455" t="s">
        <v>150</v>
      </c>
      <c r="X1455" t="s">
        <v>76</v>
      </c>
      <c r="AA1455" t="s">
        <v>2163</v>
      </c>
      <c r="AB1455" t="s">
        <v>2</v>
      </c>
      <c r="AC1455" t="s">
        <v>138</v>
      </c>
      <c r="AD1455" t="s">
        <v>128</v>
      </c>
      <c r="AE1455" s="97">
        <f>VLOOKUP(A:A,SUMMERY!AA:AC,2,FALSE)</f>
        <v>46233</v>
      </c>
      <c r="AF1455" s="6" t="str">
        <f>VLOOKUP(A:A,SUMMERY!AA:AC,3,FALSE)</f>
        <v>Priority-1</v>
      </c>
    </row>
    <row r="1456" spans="1:32" x14ac:dyDescent="0.3">
      <c r="A1456" t="s">
        <v>6368</v>
      </c>
      <c r="B1456" t="s">
        <v>3258</v>
      </c>
      <c r="G1456" t="s">
        <v>5944</v>
      </c>
      <c r="H1456" t="s">
        <v>132</v>
      </c>
      <c r="I1456" t="s">
        <v>2</v>
      </c>
      <c r="J1456" t="s">
        <v>5298</v>
      </c>
      <c r="K1456" t="s">
        <v>52</v>
      </c>
      <c r="L1456" t="s">
        <v>3259</v>
      </c>
      <c r="M1456" t="s">
        <v>134</v>
      </c>
      <c r="N1456" t="s">
        <v>135</v>
      </c>
      <c r="Q1456" t="s">
        <v>168</v>
      </c>
      <c r="T1456" t="s">
        <v>2165</v>
      </c>
      <c r="U1456" t="s">
        <v>137</v>
      </c>
      <c r="V1456" t="s">
        <v>150</v>
      </c>
      <c r="X1456" t="s">
        <v>76</v>
      </c>
      <c r="AA1456" t="s">
        <v>2163</v>
      </c>
      <c r="AB1456" t="s">
        <v>2</v>
      </c>
      <c r="AC1456" t="s">
        <v>138</v>
      </c>
      <c r="AD1456" t="s">
        <v>128</v>
      </c>
      <c r="AE1456" s="97">
        <f>VLOOKUP(A:A,SUMMERY!AA:AC,2,FALSE)</f>
        <v>46233</v>
      </c>
      <c r="AF1456" s="6" t="str">
        <f>VLOOKUP(A:A,SUMMERY!AA:AC,3,FALSE)</f>
        <v>Priority-1</v>
      </c>
    </row>
    <row r="1457" spans="1:32" x14ac:dyDescent="0.3">
      <c r="A1457" t="s">
        <v>6384</v>
      </c>
      <c r="B1457" t="s">
        <v>3301</v>
      </c>
      <c r="G1457" t="s">
        <v>5944</v>
      </c>
      <c r="H1457" t="s">
        <v>132</v>
      </c>
      <c r="I1457" t="s">
        <v>2</v>
      </c>
      <c r="J1457" t="s">
        <v>5298</v>
      </c>
      <c r="K1457" t="s">
        <v>52</v>
      </c>
      <c r="L1457" t="s">
        <v>3302</v>
      </c>
      <c r="M1457" t="s">
        <v>134</v>
      </c>
      <c r="N1457" t="s">
        <v>135</v>
      </c>
      <c r="Q1457" t="s">
        <v>168</v>
      </c>
      <c r="T1457" t="s">
        <v>2165</v>
      </c>
      <c r="U1457" t="s">
        <v>137</v>
      </c>
      <c r="V1457" t="s">
        <v>1967</v>
      </c>
      <c r="X1457" t="s">
        <v>125</v>
      </c>
      <c r="AA1457" t="s">
        <v>2163</v>
      </c>
      <c r="AB1457" t="s">
        <v>2</v>
      </c>
      <c r="AC1457" t="s">
        <v>138</v>
      </c>
      <c r="AD1457" t="s">
        <v>131</v>
      </c>
      <c r="AE1457" s="97">
        <f>VLOOKUP(A:A,SUMMERY!AA:AC,2,FALSE)</f>
        <v>46234</v>
      </c>
      <c r="AF1457" s="6" t="str">
        <f>VLOOKUP(A:A,SUMMERY!AA:AC,3,FALSE)</f>
        <v>Priority-2</v>
      </c>
    </row>
    <row r="1458" spans="1:32" x14ac:dyDescent="0.3">
      <c r="A1458" t="s">
        <v>6385</v>
      </c>
      <c r="B1458" t="s">
        <v>3304</v>
      </c>
      <c r="G1458" t="s">
        <v>5944</v>
      </c>
      <c r="H1458" t="s">
        <v>132</v>
      </c>
      <c r="I1458" t="s">
        <v>2</v>
      </c>
      <c r="J1458" t="s">
        <v>5298</v>
      </c>
      <c r="K1458" t="s">
        <v>52</v>
      </c>
      <c r="L1458" t="s">
        <v>3305</v>
      </c>
      <c r="M1458" t="s">
        <v>134</v>
      </c>
      <c r="N1458" t="s">
        <v>135</v>
      </c>
      <c r="Q1458" t="s">
        <v>168</v>
      </c>
      <c r="T1458" t="s">
        <v>2165</v>
      </c>
      <c r="U1458" t="s">
        <v>137</v>
      </c>
      <c r="V1458" t="s">
        <v>1967</v>
      </c>
      <c r="X1458" t="s">
        <v>125</v>
      </c>
      <c r="AA1458" t="s">
        <v>2163</v>
      </c>
      <c r="AB1458" t="s">
        <v>2</v>
      </c>
      <c r="AC1458" t="s">
        <v>138</v>
      </c>
      <c r="AD1458" t="s">
        <v>131</v>
      </c>
      <c r="AE1458" s="97">
        <f>VLOOKUP(A:A,SUMMERY!AA:AC,2,FALSE)</f>
        <v>46234</v>
      </c>
      <c r="AF1458" s="6" t="str">
        <f>VLOOKUP(A:A,SUMMERY!AA:AC,3,FALSE)</f>
        <v>Priority-2</v>
      </c>
    </row>
    <row r="1459" spans="1:32" x14ac:dyDescent="0.3">
      <c r="A1459" t="s">
        <v>6386</v>
      </c>
      <c r="B1459" t="s">
        <v>3307</v>
      </c>
      <c r="G1459" t="s">
        <v>5944</v>
      </c>
      <c r="H1459" t="s">
        <v>132</v>
      </c>
      <c r="I1459" t="s">
        <v>2</v>
      </c>
      <c r="J1459" t="s">
        <v>5298</v>
      </c>
      <c r="K1459" t="s">
        <v>52</v>
      </c>
      <c r="L1459" t="s">
        <v>3308</v>
      </c>
      <c r="M1459" t="s">
        <v>134</v>
      </c>
      <c r="N1459" t="s">
        <v>135</v>
      </c>
      <c r="Q1459" t="s">
        <v>168</v>
      </c>
      <c r="T1459" t="s">
        <v>2165</v>
      </c>
      <c r="U1459" t="s">
        <v>137</v>
      </c>
      <c r="V1459" t="s">
        <v>1259</v>
      </c>
      <c r="X1459" t="s">
        <v>126</v>
      </c>
      <c r="AA1459" t="s">
        <v>2163</v>
      </c>
      <c r="AB1459" t="s">
        <v>2</v>
      </c>
      <c r="AC1459" t="s">
        <v>138</v>
      </c>
      <c r="AD1459" t="s">
        <v>131</v>
      </c>
      <c r="AE1459" s="97">
        <f>VLOOKUP(A:A,SUMMERY!AA:AC,2,FALSE)</f>
        <v>46234</v>
      </c>
      <c r="AF1459" s="6" t="str">
        <f>VLOOKUP(A:A,SUMMERY!AA:AC,3,FALSE)</f>
        <v>Priority-2</v>
      </c>
    </row>
    <row r="1460" spans="1:32" x14ac:dyDescent="0.3">
      <c r="A1460" t="s">
        <v>6387</v>
      </c>
      <c r="B1460" t="s">
        <v>3310</v>
      </c>
      <c r="G1460" t="s">
        <v>5944</v>
      </c>
      <c r="H1460" t="s">
        <v>132</v>
      </c>
      <c r="I1460" t="s">
        <v>2</v>
      </c>
      <c r="J1460" t="s">
        <v>5298</v>
      </c>
      <c r="K1460" t="s">
        <v>52</v>
      </c>
      <c r="L1460" t="s">
        <v>1558</v>
      </c>
      <c r="M1460" t="s">
        <v>134</v>
      </c>
      <c r="N1460" t="s">
        <v>135</v>
      </c>
      <c r="Q1460" t="s">
        <v>168</v>
      </c>
      <c r="T1460" t="s">
        <v>2165</v>
      </c>
      <c r="U1460" t="s">
        <v>137</v>
      </c>
      <c r="V1460" t="s">
        <v>1259</v>
      </c>
      <c r="X1460" t="s">
        <v>126</v>
      </c>
      <c r="AA1460" t="s">
        <v>2163</v>
      </c>
      <c r="AB1460" t="s">
        <v>2</v>
      </c>
      <c r="AC1460" t="s">
        <v>138</v>
      </c>
      <c r="AD1460" t="s">
        <v>131</v>
      </c>
      <c r="AE1460" s="97">
        <f>VLOOKUP(A:A,SUMMERY!AA:AC,2,FALSE)</f>
        <v>46234</v>
      </c>
      <c r="AF1460" s="6" t="str">
        <f>VLOOKUP(A:A,SUMMERY!AA:AC,3,FALSE)</f>
        <v>Priority-2</v>
      </c>
    </row>
    <row r="1461" spans="1:32" x14ac:dyDescent="0.3">
      <c r="A1461" t="s">
        <v>6388</v>
      </c>
      <c r="B1461" t="s">
        <v>3312</v>
      </c>
      <c r="G1461" t="s">
        <v>5944</v>
      </c>
      <c r="H1461" t="s">
        <v>132</v>
      </c>
      <c r="I1461" t="s">
        <v>2</v>
      </c>
      <c r="J1461" t="s">
        <v>5298</v>
      </c>
      <c r="K1461" t="s">
        <v>52</v>
      </c>
      <c r="L1461" t="s">
        <v>1558</v>
      </c>
      <c r="M1461" t="s">
        <v>134</v>
      </c>
      <c r="N1461" t="s">
        <v>135</v>
      </c>
      <c r="Q1461" t="s">
        <v>168</v>
      </c>
      <c r="T1461" t="s">
        <v>2165</v>
      </c>
      <c r="U1461" t="s">
        <v>137</v>
      </c>
      <c r="V1461" t="s">
        <v>1259</v>
      </c>
      <c r="X1461" t="s">
        <v>126</v>
      </c>
      <c r="AA1461" t="s">
        <v>2163</v>
      </c>
      <c r="AB1461" t="s">
        <v>2</v>
      </c>
      <c r="AC1461" t="s">
        <v>138</v>
      </c>
      <c r="AD1461" t="s">
        <v>131</v>
      </c>
      <c r="AE1461" s="97">
        <f>VLOOKUP(A:A,SUMMERY!AA:AC,2,FALSE)</f>
        <v>46234</v>
      </c>
      <c r="AF1461" s="6" t="str">
        <f>VLOOKUP(A:A,SUMMERY!AA:AC,3,FALSE)</f>
        <v>Priority-2</v>
      </c>
    </row>
    <row r="1462" spans="1:32" x14ac:dyDescent="0.3">
      <c r="A1462" t="s">
        <v>6389</v>
      </c>
      <c r="B1462" t="s">
        <v>3314</v>
      </c>
      <c r="G1462" t="s">
        <v>5944</v>
      </c>
      <c r="H1462" t="s">
        <v>132</v>
      </c>
      <c r="I1462" t="s">
        <v>2</v>
      </c>
      <c r="J1462" t="s">
        <v>5298</v>
      </c>
      <c r="K1462" t="s">
        <v>52</v>
      </c>
      <c r="L1462" t="s">
        <v>1558</v>
      </c>
      <c r="M1462" t="s">
        <v>134</v>
      </c>
      <c r="N1462" t="s">
        <v>135</v>
      </c>
      <c r="Q1462" t="s">
        <v>168</v>
      </c>
      <c r="T1462" t="s">
        <v>2165</v>
      </c>
      <c r="U1462" t="s">
        <v>137</v>
      </c>
      <c r="V1462" t="s">
        <v>1259</v>
      </c>
      <c r="X1462" t="s">
        <v>126</v>
      </c>
      <c r="AA1462" t="s">
        <v>2163</v>
      </c>
      <c r="AB1462" t="s">
        <v>2</v>
      </c>
      <c r="AC1462" t="s">
        <v>138</v>
      </c>
      <c r="AD1462" t="s">
        <v>131</v>
      </c>
      <c r="AE1462" s="97">
        <f>VLOOKUP(A:A,SUMMERY!AA:AC,2,FALSE)</f>
        <v>46234</v>
      </c>
      <c r="AF1462" s="6" t="str">
        <f>VLOOKUP(A:A,SUMMERY!AA:AC,3,FALSE)</f>
        <v>Priority-2</v>
      </c>
    </row>
    <row r="1463" spans="1:32" x14ac:dyDescent="0.3">
      <c r="A1463" t="s">
        <v>6390</v>
      </c>
      <c r="B1463" t="s">
        <v>3316</v>
      </c>
      <c r="G1463" t="s">
        <v>5944</v>
      </c>
      <c r="H1463" t="s">
        <v>132</v>
      </c>
      <c r="I1463" t="s">
        <v>2</v>
      </c>
      <c r="J1463" t="s">
        <v>5298</v>
      </c>
      <c r="K1463" t="s">
        <v>52</v>
      </c>
      <c r="L1463" t="s">
        <v>1567</v>
      </c>
      <c r="M1463" t="s">
        <v>134</v>
      </c>
      <c r="N1463" t="s">
        <v>135</v>
      </c>
      <c r="Q1463" t="s">
        <v>168</v>
      </c>
      <c r="T1463" t="s">
        <v>2165</v>
      </c>
      <c r="U1463" t="s">
        <v>137</v>
      </c>
      <c r="V1463" t="s">
        <v>1259</v>
      </c>
      <c r="X1463" t="s">
        <v>126</v>
      </c>
      <c r="AA1463" t="s">
        <v>2163</v>
      </c>
      <c r="AB1463" t="s">
        <v>2</v>
      </c>
      <c r="AC1463" t="s">
        <v>138</v>
      </c>
      <c r="AD1463" t="s">
        <v>131</v>
      </c>
      <c r="AE1463" s="97">
        <f>VLOOKUP(A:A,SUMMERY!AA:AC,2,FALSE)</f>
        <v>46234</v>
      </c>
      <c r="AF1463" s="6" t="str">
        <f>VLOOKUP(A:A,SUMMERY!AA:AC,3,FALSE)</f>
        <v>Priority-2</v>
      </c>
    </row>
    <row r="1464" spans="1:32" x14ac:dyDescent="0.3">
      <c r="A1464" t="s">
        <v>6391</v>
      </c>
      <c r="B1464" t="s">
        <v>3318</v>
      </c>
      <c r="G1464" t="s">
        <v>5944</v>
      </c>
      <c r="H1464" t="s">
        <v>132</v>
      </c>
      <c r="I1464" t="s">
        <v>2</v>
      </c>
      <c r="J1464" t="s">
        <v>5298</v>
      </c>
      <c r="K1464" t="s">
        <v>52</v>
      </c>
      <c r="L1464" t="s">
        <v>1570</v>
      </c>
      <c r="M1464" t="s">
        <v>134</v>
      </c>
      <c r="N1464" t="s">
        <v>135</v>
      </c>
      <c r="Q1464" t="s">
        <v>168</v>
      </c>
      <c r="T1464" t="s">
        <v>2165</v>
      </c>
      <c r="U1464" t="s">
        <v>137</v>
      </c>
      <c r="V1464" t="s">
        <v>1249</v>
      </c>
      <c r="X1464" t="s">
        <v>61</v>
      </c>
      <c r="AA1464" t="s">
        <v>2163</v>
      </c>
      <c r="AB1464" t="s">
        <v>2</v>
      </c>
      <c r="AC1464" t="s">
        <v>138</v>
      </c>
      <c r="AD1464" t="s">
        <v>128</v>
      </c>
      <c r="AE1464" s="97">
        <f>VLOOKUP(A:A,SUMMERY!AA:AC,2,FALSE)</f>
        <v>46224</v>
      </c>
      <c r="AF1464" s="6" t="str">
        <f>VLOOKUP(A:A,SUMMERY!AA:AC,3,FALSE)</f>
        <v>Priority-1</v>
      </c>
    </row>
    <row r="1465" spans="1:32" x14ac:dyDescent="0.3">
      <c r="A1465" t="s">
        <v>6392</v>
      </c>
      <c r="B1465" t="s">
        <v>3320</v>
      </c>
      <c r="G1465" t="s">
        <v>5944</v>
      </c>
      <c r="H1465" t="s">
        <v>132</v>
      </c>
      <c r="I1465" t="s">
        <v>2</v>
      </c>
      <c r="J1465" t="s">
        <v>5298</v>
      </c>
      <c r="K1465" t="s">
        <v>52</v>
      </c>
      <c r="L1465" t="s">
        <v>3321</v>
      </c>
      <c r="M1465" t="s">
        <v>134</v>
      </c>
      <c r="N1465" t="s">
        <v>135</v>
      </c>
      <c r="Q1465" t="s">
        <v>168</v>
      </c>
      <c r="T1465" t="s">
        <v>2165</v>
      </c>
      <c r="U1465" t="s">
        <v>137</v>
      </c>
      <c r="V1465" t="s">
        <v>1249</v>
      </c>
      <c r="X1465" t="s">
        <v>61</v>
      </c>
      <c r="AA1465" t="s">
        <v>2163</v>
      </c>
      <c r="AB1465" t="s">
        <v>2</v>
      </c>
      <c r="AC1465" t="s">
        <v>138</v>
      </c>
      <c r="AD1465" t="s">
        <v>128</v>
      </c>
      <c r="AE1465" s="97">
        <f>VLOOKUP(A:A,SUMMERY!AA:AC,2,FALSE)</f>
        <v>46224</v>
      </c>
      <c r="AF1465" s="6" t="str">
        <f>VLOOKUP(A:A,SUMMERY!AA:AC,3,FALSE)</f>
        <v>Priority-1</v>
      </c>
    </row>
    <row r="1466" spans="1:32" x14ac:dyDescent="0.3">
      <c r="A1466" t="s">
        <v>6393</v>
      </c>
      <c r="B1466" t="s">
        <v>3323</v>
      </c>
      <c r="G1466" t="s">
        <v>5944</v>
      </c>
      <c r="H1466" t="s">
        <v>132</v>
      </c>
      <c r="I1466" t="s">
        <v>2</v>
      </c>
      <c r="J1466" t="s">
        <v>5298</v>
      </c>
      <c r="K1466" t="s">
        <v>52</v>
      </c>
      <c r="L1466" t="s">
        <v>1577</v>
      </c>
      <c r="M1466" t="s">
        <v>134</v>
      </c>
      <c r="N1466" t="s">
        <v>135</v>
      </c>
      <c r="Q1466" t="s">
        <v>168</v>
      </c>
      <c r="T1466" t="s">
        <v>2165</v>
      </c>
      <c r="U1466" t="s">
        <v>137</v>
      </c>
      <c r="V1466" t="s">
        <v>1263</v>
      </c>
      <c r="X1466" t="s">
        <v>69</v>
      </c>
      <c r="AA1466" t="s">
        <v>2163</v>
      </c>
      <c r="AB1466" t="s">
        <v>2</v>
      </c>
      <c r="AC1466" t="s">
        <v>138</v>
      </c>
      <c r="AD1466" t="s">
        <v>128</v>
      </c>
      <c r="AE1466" s="97">
        <f>VLOOKUP(A:A,SUMMERY!AA:AC,2,FALSE)</f>
        <v>46224</v>
      </c>
      <c r="AF1466" s="6" t="str">
        <f>VLOOKUP(A:A,SUMMERY!AA:AC,3,FALSE)</f>
        <v>Priority-1</v>
      </c>
    </row>
    <row r="1467" spans="1:32" x14ac:dyDescent="0.3">
      <c r="A1467" t="s">
        <v>6394</v>
      </c>
      <c r="B1467" t="s">
        <v>3325</v>
      </c>
      <c r="G1467" t="s">
        <v>5944</v>
      </c>
      <c r="H1467" t="s">
        <v>132</v>
      </c>
      <c r="I1467" t="s">
        <v>2</v>
      </c>
      <c r="J1467" t="s">
        <v>5298</v>
      </c>
      <c r="K1467" t="s">
        <v>52</v>
      </c>
      <c r="L1467" t="s">
        <v>3326</v>
      </c>
      <c r="M1467" t="s">
        <v>134</v>
      </c>
      <c r="N1467" t="s">
        <v>135</v>
      </c>
      <c r="Q1467" t="s">
        <v>168</v>
      </c>
      <c r="T1467" t="s">
        <v>2165</v>
      </c>
      <c r="U1467" t="s">
        <v>137</v>
      </c>
      <c r="V1467" t="s">
        <v>1967</v>
      </c>
      <c r="X1467" t="s">
        <v>125</v>
      </c>
      <c r="AA1467" t="s">
        <v>2163</v>
      </c>
      <c r="AB1467" t="s">
        <v>2</v>
      </c>
      <c r="AC1467" t="s">
        <v>138</v>
      </c>
      <c r="AD1467" t="s">
        <v>131</v>
      </c>
      <c r="AE1467" s="97">
        <f>VLOOKUP(A:A,SUMMERY!AA:AC,2,FALSE)</f>
        <v>46234</v>
      </c>
      <c r="AF1467" s="6" t="str">
        <f>VLOOKUP(A:A,SUMMERY!AA:AC,3,FALSE)</f>
        <v>Priority-2</v>
      </c>
    </row>
    <row r="1468" spans="1:32" x14ac:dyDescent="0.3">
      <c r="A1468" t="s">
        <v>6395</v>
      </c>
      <c r="B1468" t="s">
        <v>3328</v>
      </c>
      <c r="G1468" t="s">
        <v>5944</v>
      </c>
      <c r="H1468" t="s">
        <v>132</v>
      </c>
      <c r="I1468" t="s">
        <v>2</v>
      </c>
      <c r="J1468" t="s">
        <v>5298</v>
      </c>
      <c r="K1468" t="s">
        <v>52</v>
      </c>
      <c r="L1468" t="s">
        <v>3326</v>
      </c>
      <c r="M1468" t="s">
        <v>134</v>
      </c>
      <c r="N1468" t="s">
        <v>135</v>
      </c>
      <c r="Q1468" t="s">
        <v>168</v>
      </c>
      <c r="T1468" t="s">
        <v>2165</v>
      </c>
      <c r="U1468" t="s">
        <v>137</v>
      </c>
      <c r="V1468" t="s">
        <v>1967</v>
      </c>
      <c r="X1468" t="s">
        <v>125</v>
      </c>
      <c r="AA1468" t="s">
        <v>2163</v>
      </c>
      <c r="AB1468" t="s">
        <v>2</v>
      </c>
      <c r="AC1468" t="s">
        <v>138</v>
      </c>
      <c r="AD1468" t="s">
        <v>131</v>
      </c>
      <c r="AE1468" s="97">
        <f>VLOOKUP(A:A,SUMMERY!AA:AC,2,FALSE)</f>
        <v>46234</v>
      </c>
      <c r="AF1468" s="6" t="str">
        <f>VLOOKUP(A:A,SUMMERY!AA:AC,3,FALSE)</f>
        <v>Priority-2</v>
      </c>
    </row>
    <row r="1469" spans="1:32" x14ac:dyDescent="0.3">
      <c r="A1469" t="s">
        <v>6396</v>
      </c>
      <c r="B1469" t="s">
        <v>3330</v>
      </c>
      <c r="G1469" t="s">
        <v>5944</v>
      </c>
      <c r="H1469" t="s">
        <v>132</v>
      </c>
      <c r="I1469" t="s">
        <v>2</v>
      </c>
      <c r="J1469" t="s">
        <v>5298</v>
      </c>
      <c r="K1469" t="s">
        <v>52</v>
      </c>
      <c r="L1469" t="s">
        <v>3331</v>
      </c>
      <c r="M1469" t="s">
        <v>134</v>
      </c>
      <c r="N1469" t="s">
        <v>135</v>
      </c>
      <c r="Q1469" t="s">
        <v>168</v>
      </c>
      <c r="T1469" t="s">
        <v>2165</v>
      </c>
      <c r="U1469" t="s">
        <v>137</v>
      </c>
      <c r="V1469" t="s">
        <v>1967</v>
      </c>
      <c r="X1469" t="s">
        <v>125</v>
      </c>
      <c r="AA1469" t="s">
        <v>2163</v>
      </c>
      <c r="AB1469" t="s">
        <v>2</v>
      </c>
      <c r="AC1469" t="s">
        <v>138</v>
      </c>
      <c r="AD1469" t="s">
        <v>131</v>
      </c>
      <c r="AE1469" s="97">
        <f>VLOOKUP(A:A,SUMMERY!AA:AC,2,FALSE)</f>
        <v>46234</v>
      </c>
      <c r="AF1469" s="6" t="str">
        <f>VLOOKUP(A:A,SUMMERY!AA:AC,3,FALSE)</f>
        <v>Priority-2</v>
      </c>
    </row>
    <row r="1470" spans="1:32" x14ac:dyDescent="0.3">
      <c r="A1470" t="s">
        <v>6397</v>
      </c>
      <c r="B1470" t="s">
        <v>3333</v>
      </c>
      <c r="G1470" t="s">
        <v>5944</v>
      </c>
      <c r="H1470" t="s">
        <v>132</v>
      </c>
      <c r="I1470" t="s">
        <v>2</v>
      </c>
      <c r="J1470" t="s">
        <v>5298</v>
      </c>
      <c r="K1470" t="s">
        <v>52</v>
      </c>
      <c r="L1470" t="s">
        <v>3331</v>
      </c>
      <c r="M1470" t="s">
        <v>134</v>
      </c>
      <c r="N1470" t="s">
        <v>135</v>
      </c>
      <c r="Q1470" t="s">
        <v>168</v>
      </c>
      <c r="T1470" t="s">
        <v>2165</v>
      </c>
      <c r="U1470" t="s">
        <v>137</v>
      </c>
      <c r="V1470" t="s">
        <v>1967</v>
      </c>
      <c r="X1470" t="s">
        <v>125</v>
      </c>
      <c r="AA1470" t="s">
        <v>2163</v>
      </c>
      <c r="AB1470" t="s">
        <v>2</v>
      </c>
      <c r="AC1470" t="s">
        <v>138</v>
      </c>
      <c r="AD1470" t="s">
        <v>131</v>
      </c>
      <c r="AE1470" s="97">
        <f>VLOOKUP(A:A,SUMMERY!AA:AC,2,FALSE)</f>
        <v>46234</v>
      </c>
      <c r="AF1470" s="6" t="str">
        <f>VLOOKUP(A:A,SUMMERY!AA:AC,3,FALSE)</f>
        <v>Priority-2</v>
      </c>
    </row>
    <row r="1471" spans="1:32" x14ac:dyDescent="0.3">
      <c r="A1471" t="s">
        <v>6398</v>
      </c>
      <c r="B1471" t="s">
        <v>3335</v>
      </c>
      <c r="G1471" t="s">
        <v>5944</v>
      </c>
      <c r="H1471" t="s">
        <v>132</v>
      </c>
      <c r="I1471" t="s">
        <v>2</v>
      </c>
      <c r="J1471" t="s">
        <v>5298</v>
      </c>
      <c r="K1471" t="s">
        <v>52</v>
      </c>
      <c r="L1471" t="s">
        <v>3336</v>
      </c>
      <c r="M1471" t="s">
        <v>134</v>
      </c>
      <c r="N1471" t="s">
        <v>135</v>
      </c>
      <c r="Q1471" t="s">
        <v>168</v>
      </c>
      <c r="T1471" t="s">
        <v>2165</v>
      </c>
      <c r="U1471" t="s">
        <v>137</v>
      </c>
      <c r="V1471" t="s">
        <v>1967</v>
      </c>
      <c r="X1471" t="s">
        <v>125</v>
      </c>
      <c r="AA1471" t="s">
        <v>2163</v>
      </c>
      <c r="AB1471" t="s">
        <v>2</v>
      </c>
      <c r="AC1471" t="s">
        <v>138</v>
      </c>
      <c r="AD1471" t="s">
        <v>131</v>
      </c>
      <c r="AE1471" s="97">
        <f>VLOOKUP(A:A,SUMMERY!AA:AC,2,FALSE)</f>
        <v>46234</v>
      </c>
      <c r="AF1471" s="6" t="str">
        <f>VLOOKUP(A:A,SUMMERY!AA:AC,3,FALSE)</f>
        <v>Priority-2</v>
      </c>
    </row>
    <row r="1472" spans="1:32" x14ac:dyDescent="0.3">
      <c r="A1472" t="s">
        <v>6399</v>
      </c>
      <c r="B1472" t="s">
        <v>3338</v>
      </c>
      <c r="G1472" t="s">
        <v>5944</v>
      </c>
      <c r="H1472" t="s">
        <v>132</v>
      </c>
      <c r="I1472" t="s">
        <v>2</v>
      </c>
      <c r="J1472" t="s">
        <v>5298</v>
      </c>
      <c r="K1472" t="s">
        <v>52</v>
      </c>
      <c r="L1472" t="s">
        <v>3336</v>
      </c>
      <c r="M1472" t="s">
        <v>134</v>
      </c>
      <c r="N1472" t="s">
        <v>135</v>
      </c>
      <c r="Q1472" t="s">
        <v>168</v>
      </c>
      <c r="T1472" t="s">
        <v>2165</v>
      </c>
      <c r="U1472" t="s">
        <v>137</v>
      </c>
      <c r="V1472" t="s">
        <v>1967</v>
      </c>
      <c r="X1472" t="s">
        <v>125</v>
      </c>
      <c r="AA1472" t="s">
        <v>2163</v>
      </c>
      <c r="AB1472" t="s">
        <v>2</v>
      </c>
      <c r="AC1472" t="s">
        <v>138</v>
      </c>
      <c r="AD1472" t="s">
        <v>131</v>
      </c>
      <c r="AE1472" s="97">
        <f>VLOOKUP(A:A,SUMMERY!AA:AC,2,FALSE)</f>
        <v>46234</v>
      </c>
      <c r="AF1472" s="6" t="str">
        <f>VLOOKUP(A:A,SUMMERY!AA:AC,3,FALSE)</f>
        <v>Priority-2</v>
      </c>
    </row>
    <row r="1473" spans="1:32" x14ac:dyDescent="0.3">
      <c r="A1473" t="s">
        <v>6400</v>
      </c>
      <c r="B1473" t="s">
        <v>3340</v>
      </c>
      <c r="G1473" t="s">
        <v>5944</v>
      </c>
      <c r="H1473" t="s">
        <v>132</v>
      </c>
      <c r="I1473" t="s">
        <v>2</v>
      </c>
      <c r="J1473" t="s">
        <v>5298</v>
      </c>
      <c r="K1473" t="s">
        <v>52</v>
      </c>
      <c r="L1473" t="s">
        <v>3336</v>
      </c>
      <c r="M1473" t="s">
        <v>134</v>
      </c>
      <c r="N1473" t="s">
        <v>135</v>
      </c>
      <c r="Q1473" t="s">
        <v>168</v>
      </c>
      <c r="T1473" t="s">
        <v>2165</v>
      </c>
      <c r="U1473" t="s">
        <v>137</v>
      </c>
      <c r="V1473" t="s">
        <v>1967</v>
      </c>
      <c r="X1473" t="s">
        <v>125</v>
      </c>
      <c r="AA1473" t="s">
        <v>2163</v>
      </c>
      <c r="AB1473" t="s">
        <v>2</v>
      </c>
      <c r="AC1473" t="s">
        <v>138</v>
      </c>
      <c r="AD1473" t="s">
        <v>131</v>
      </c>
      <c r="AE1473" s="97">
        <f>VLOOKUP(A:A,SUMMERY!AA:AC,2,FALSE)</f>
        <v>46234</v>
      </c>
      <c r="AF1473" s="6" t="str">
        <f>VLOOKUP(A:A,SUMMERY!AA:AC,3,FALSE)</f>
        <v>Priority-2</v>
      </c>
    </row>
    <row r="1474" spans="1:32" x14ac:dyDescent="0.3">
      <c r="A1474" t="s">
        <v>6401</v>
      </c>
      <c r="B1474" t="s">
        <v>3342</v>
      </c>
      <c r="G1474" t="s">
        <v>5944</v>
      </c>
      <c r="H1474" t="s">
        <v>132</v>
      </c>
      <c r="I1474" t="s">
        <v>2</v>
      </c>
      <c r="J1474" t="s">
        <v>5298</v>
      </c>
      <c r="K1474" t="s">
        <v>52</v>
      </c>
      <c r="L1474" t="s">
        <v>3336</v>
      </c>
      <c r="M1474" t="s">
        <v>134</v>
      </c>
      <c r="N1474" t="s">
        <v>135</v>
      </c>
      <c r="Q1474" t="s">
        <v>168</v>
      </c>
      <c r="T1474" t="s">
        <v>2165</v>
      </c>
      <c r="U1474" t="s">
        <v>137</v>
      </c>
      <c r="V1474" t="s">
        <v>1967</v>
      </c>
      <c r="X1474" t="s">
        <v>125</v>
      </c>
      <c r="AA1474" t="s">
        <v>2163</v>
      </c>
      <c r="AB1474" t="s">
        <v>2</v>
      </c>
      <c r="AC1474" t="s">
        <v>138</v>
      </c>
      <c r="AD1474" t="s">
        <v>131</v>
      </c>
      <c r="AE1474" s="97">
        <f>VLOOKUP(A:A,SUMMERY!AA:AC,2,FALSE)</f>
        <v>46234</v>
      </c>
      <c r="AF1474" s="6" t="str">
        <f>VLOOKUP(A:A,SUMMERY!AA:AC,3,FALSE)</f>
        <v>Priority-2</v>
      </c>
    </row>
    <row r="1475" spans="1:32" x14ac:dyDescent="0.3">
      <c r="A1475" t="s">
        <v>6402</v>
      </c>
      <c r="B1475" t="s">
        <v>3344</v>
      </c>
      <c r="G1475" t="s">
        <v>5944</v>
      </c>
      <c r="H1475" t="s">
        <v>132</v>
      </c>
      <c r="I1475" t="s">
        <v>2</v>
      </c>
      <c r="J1475" t="s">
        <v>5298</v>
      </c>
      <c r="K1475" t="s">
        <v>52</v>
      </c>
      <c r="L1475" t="s">
        <v>3336</v>
      </c>
      <c r="M1475" t="s">
        <v>134</v>
      </c>
      <c r="N1475" t="s">
        <v>135</v>
      </c>
      <c r="Q1475" t="s">
        <v>168</v>
      </c>
      <c r="T1475" t="s">
        <v>2165</v>
      </c>
      <c r="U1475" t="s">
        <v>137</v>
      </c>
      <c r="V1475" t="s">
        <v>1967</v>
      </c>
      <c r="X1475" t="s">
        <v>125</v>
      </c>
      <c r="AA1475" t="s">
        <v>2163</v>
      </c>
      <c r="AB1475" t="s">
        <v>2</v>
      </c>
      <c r="AC1475" t="s">
        <v>138</v>
      </c>
      <c r="AD1475" t="s">
        <v>131</v>
      </c>
      <c r="AE1475" s="97">
        <f>VLOOKUP(A:A,SUMMERY!AA:AC,2,FALSE)</f>
        <v>46234</v>
      </c>
      <c r="AF1475" s="6" t="str">
        <f>VLOOKUP(A:A,SUMMERY!AA:AC,3,FALSE)</f>
        <v>Priority-2</v>
      </c>
    </row>
    <row r="1476" spans="1:32" x14ac:dyDescent="0.3">
      <c r="A1476" t="s">
        <v>6403</v>
      </c>
      <c r="B1476" t="s">
        <v>3346</v>
      </c>
      <c r="G1476" t="s">
        <v>5944</v>
      </c>
      <c r="H1476" t="s">
        <v>132</v>
      </c>
      <c r="I1476" t="s">
        <v>2</v>
      </c>
      <c r="J1476" t="s">
        <v>5298</v>
      </c>
      <c r="K1476" t="s">
        <v>52</v>
      </c>
      <c r="L1476" t="s">
        <v>3347</v>
      </c>
      <c r="M1476" t="s">
        <v>134</v>
      </c>
      <c r="N1476" t="s">
        <v>135</v>
      </c>
      <c r="Q1476" t="s">
        <v>168</v>
      </c>
      <c r="T1476" t="s">
        <v>2165</v>
      </c>
      <c r="U1476" t="s">
        <v>137</v>
      </c>
      <c r="V1476" t="s">
        <v>1967</v>
      </c>
      <c r="X1476" t="s">
        <v>125</v>
      </c>
      <c r="AA1476" t="s">
        <v>2163</v>
      </c>
      <c r="AB1476" t="s">
        <v>2</v>
      </c>
      <c r="AC1476" t="s">
        <v>138</v>
      </c>
      <c r="AD1476" t="s">
        <v>131</v>
      </c>
      <c r="AE1476" s="97">
        <f>VLOOKUP(A:A,SUMMERY!AA:AC,2,FALSE)</f>
        <v>46234</v>
      </c>
      <c r="AF1476" s="6" t="str">
        <f>VLOOKUP(A:A,SUMMERY!AA:AC,3,FALSE)</f>
        <v>Priority-2</v>
      </c>
    </row>
    <row r="1477" spans="1:32" x14ac:dyDescent="0.3">
      <c r="A1477" t="s">
        <v>6404</v>
      </c>
      <c r="B1477" t="s">
        <v>3349</v>
      </c>
      <c r="G1477" t="s">
        <v>5944</v>
      </c>
      <c r="H1477" t="s">
        <v>132</v>
      </c>
      <c r="I1477" t="s">
        <v>2</v>
      </c>
      <c r="J1477" t="s">
        <v>5298</v>
      </c>
      <c r="K1477" t="s">
        <v>52</v>
      </c>
      <c r="L1477" t="s">
        <v>3347</v>
      </c>
      <c r="M1477" t="s">
        <v>134</v>
      </c>
      <c r="N1477" t="s">
        <v>135</v>
      </c>
      <c r="Q1477" t="s">
        <v>168</v>
      </c>
      <c r="T1477" t="s">
        <v>2165</v>
      </c>
      <c r="U1477" t="s">
        <v>137</v>
      </c>
      <c r="V1477" t="s">
        <v>1967</v>
      </c>
      <c r="X1477" t="s">
        <v>125</v>
      </c>
      <c r="AA1477" t="s">
        <v>2163</v>
      </c>
      <c r="AB1477" t="s">
        <v>2</v>
      </c>
      <c r="AC1477" t="s">
        <v>138</v>
      </c>
      <c r="AD1477" t="s">
        <v>131</v>
      </c>
      <c r="AE1477" s="97">
        <f>VLOOKUP(A:A,SUMMERY!AA:AC,2,FALSE)</f>
        <v>46234</v>
      </c>
      <c r="AF1477" s="6" t="str">
        <f>VLOOKUP(A:A,SUMMERY!AA:AC,3,FALSE)</f>
        <v>Priority-2</v>
      </c>
    </row>
    <row r="1478" spans="1:32" x14ac:dyDescent="0.3">
      <c r="A1478" t="s">
        <v>6405</v>
      </c>
      <c r="B1478" t="s">
        <v>3351</v>
      </c>
      <c r="G1478" t="s">
        <v>5944</v>
      </c>
      <c r="H1478" t="s">
        <v>132</v>
      </c>
      <c r="I1478" t="s">
        <v>2</v>
      </c>
      <c r="J1478" t="s">
        <v>5298</v>
      </c>
      <c r="K1478" t="s">
        <v>52</v>
      </c>
      <c r="L1478" t="s">
        <v>3347</v>
      </c>
      <c r="M1478" t="s">
        <v>134</v>
      </c>
      <c r="N1478" t="s">
        <v>135</v>
      </c>
      <c r="Q1478" t="s">
        <v>168</v>
      </c>
      <c r="T1478" t="s">
        <v>2165</v>
      </c>
      <c r="U1478" t="s">
        <v>137</v>
      </c>
      <c r="V1478" t="s">
        <v>1967</v>
      </c>
      <c r="X1478" t="s">
        <v>125</v>
      </c>
      <c r="AA1478" t="s">
        <v>2163</v>
      </c>
      <c r="AB1478" t="s">
        <v>2</v>
      </c>
      <c r="AC1478" t="s">
        <v>138</v>
      </c>
      <c r="AD1478" t="s">
        <v>131</v>
      </c>
      <c r="AE1478" s="97">
        <f>VLOOKUP(A:A,SUMMERY!AA:AC,2,FALSE)</f>
        <v>46234</v>
      </c>
      <c r="AF1478" s="6" t="str">
        <f>VLOOKUP(A:A,SUMMERY!AA:AC,3,FALSE)</f>
        <v>Priority-2</v>
      </c>
    </row>
    <row r="1479" spans="1:32" x14ac:dyDescent="0.3">
      <c r="A1479" t="s">
        <v>6406</v>
      </c>
      <c r="B1479" t="s">
        <v>3353</v>
      </c>
      <c r="G1479" t="s">
        <v>5944</v>
      </c>
      <c r="H1479" t="s">
        <v>132</v>
      </c>
      <c r="I1479" t="s">
        <v>2</v>
      </c>
      <c r="J1479" t="s">
        <v>5298</v>
      </c>
      <c r="K1479" t="s">
        <v>52</v>
      </c>
      <c r="L1479" t="s">
        <v>3347</v>
      </c>
      <c r="M1479" t="s">
        <v>134</v>
      </c>
      <c r="N1479" t="s">
        <v>135</v>
      </c>
      <c r="Q1479" t="s">
        <v>168</v>
      </c>
      <c r="T1479" t="s">
        <v>2165</v>
      </c>
      <c r="U1479" t="s">
        <v>137</v>
      </c>
      <c r="V1479" t="s">
        <v>1967</v>
      </c>
      <c r="X1479" t="s">
        <v>125</v>
      </c>
      <c r="AA1479" t="s">
        <v>2163</v>
      </c>
      <c r="AB1479" t="s">
        <v>2</v>
      </c>
      <c r="AC1479" t="s">
        <v>138</v>
      </c>
      <c r="AD1479" t="s">
        <v>131</v>
      </c>
      <c r="AE1479" s="97">
        <f>VLOOKUP(A:A,SUMMERY!AA:AC,2,FALSE)</f>
        <v>46234</v>
      </c>
      <c r="AF1479" s="6" t="str">
        <f>VLOOKUP(A:A,SUMMERY!AA:AC,3,FALSE)</f>
        <v>Priority-2</v>
      </c>
    </row>
    <row r="1480" spans="1:32" x14ac:dyDescent="0.3">
      <c r="A1480" t="s">
        <v>6407</v>
      </c>
      <c r="B1480" t="s">
        <v>3355</v>
      </c>
      <c r="G1480" t="s">
        <v>5944</v>
      </c>
      <c r="H1480" t="s">
        <v>132</v>
      </c>
      <c r="I1480" t="s">
        <v>2</v>
      </c>
      <c r="J1480" t="s">
        <v>5298</v>
      </c>
      <c r="K1480" t="s">
        <v>52</v>
      </c>
      <c r="L1480" t="s">
        <v>3347</v>
      </c>
      <c r="M1480" t="s">
        <v>134</v>
      </c>
      <c r="N1480" t="s">
        <v>135</v>
      </c>
      <c r="Q1480" t="s">
        <v>168</v>
      </c>
      <c r="T1480" t="s">
        <v>2165</v>
      </c>
      <c r="U1480" t="s">
        <v>137</v>
      </c>
      <c r="V1480" t="s">
        <v>1967</v>
      </c>
      <c r="X1480" t="s">
        <v>125</v>
      </c>
      <c r="AA1480" t="s">
        <v>2163</v>
      </c>
      <c r="AB1480" t="s">
        <v>2</v>
      </c>
      <c r="AC1480" t="s">
        <v>138</v>
      </c>
      <c r="AD1480" t="s">
        <v>131</v>
      </c>
      <c r="AE1480" s="97">
        <f>VLOOKUP(A:A,SUMMERY!AA:AC,2,FALSE)</f>
        <v>46234</v>
      </c>
      <c r="AF1480" s="6" t="str">
        <f>VLOOKUP(A:A,SUMMERY!AA:AC,3,FALSE)</f>
        <v>Priority-2</v>
      </c>
    </row>
    <row r="1481" spans="1:32" x14ac:dyDescent="0.3">
      <c r="A1481" t="s">
        <v>6408</v>
      </c>
      <c r="B1481" t="s">
        <v>3357</v>
      </c>
      <c r="G1481" t="s">
        <v>5944</v>
      </c>
      <c r="H1481" t="s">
        <v>132</v>
      </c>
      <c r="I1481" t="s">
        <v>2</v>
      </c>
      <c r="J1481" t="s">
        <v>5298</v>
      </c>
      <c r="K1481" t="s">
        <v>52</v>
      </c>
      <c r="L1481" t="s">
        <v>3358</v>
      </c>
      <c r="M1481" t="s">
        <v>134</v>
      </c>
      <c r="N1481" t="s">
        <v>135</v>
      </c>
      <c r="Q1481" t="s">
        <v>168</v>
      </c>
      <c r="T1481" t="s">
        <v>2165</v>
      </c>
      <c r="U1481" t="s">
        <v>137</v>
      </c>
      <c r="V1481" t="s">
        <v>1239</v>
      </c>
      <c r="X1481" t="s">
        <v>127</v>
      </c>
      <c r="AA1481" t="s">
        <v>2163</v>
      </c>
      <c r="AB1481" t="s">
        <v>2</v>
      </c>
      <c r="AC1481" t="s">
        <v>138</v>
      </c>
      <c r="AD1481" t="s">
        <v>131</v>
      </c>
      <c r="AE1481" s="97">
        <f>VLOOKUP(A:A,SUMMERY!AA:AC,2,FALSE)</f>
        <v>46234</v>
      </c>
      <c r="AF1481" s="6" t="str">
        <f>VLOOKUP(A:A,SUMMERY!AA:AC,3,FALSE)</f>
        <v>Priority-2</v>
      </c>
    </row>
    <row r="1482" spans="1:32" x14ac:dyDescent="0.3">
      <c r="A1482" t="s">
        <v>6409</v>
      </c>
      <c r="B1482" t="s">
        <v>3360</v>
      </c>
      <c r="G1482" t="s">
        <v>5944</v>
      </c>
      <c r="H1482" t="s">
        <v>132</v>
      </c>
      <c r="I1482" t="s">
        <v>2</v>
      </c>
      <c r="J1482" t="s">
        <v>5298</v>
      </c>
      <c r="K1482" t="s">
        <v>52</v>
      </c>
      <c r="L1482" t="s">
        <v>3358</v>
      </c>
      <c r="M1482" t="s">
        <v>134</v>
      </c>
      <c r="N1482" t="s">
        <v>135</v>
      </c>
      <c r="Q1482" t="s">
        <v>168</v>
      </c>
      <c r="T1482" t="s">
        <v>2165</v>
      </c>
      <c r="U1482" t="s">
        <v>137</v>
      </c>
      <c r="V1482" t="s">
        <v>1239</v>
      </c>
      <c r="X1482" t="s">
        <v>127</v>
      </c>
      <c r="AA1482" t="s">
        <v>2163</v>
      </c>
      <c r="AB1482" t="s">
        <v>2</v>
      </c>
      <c r="AC1482" t="s">
        <v>138</v>
      </c>
      <c r="AD1482" t="s">
        <v>131</v>
      </c>
      <c r="AE1482" s="97">
        <f>VLOOKUP(A:A,SUMMERY!AA:AC,2,FALSE)</f>
        <v>46234</v>
      </c>
      <c r="AF1482" s="6" t="str">
        <f>VLOOKUP(A:A,SUMMERY!AA:AC,3,FALSE)</f>
        <v>Priority-2</v>
      </c>
    </row>
    <row r="1483" spans="1:32" x14ac:dyDescent="0.3">
      <c r="A1483" t="s">
        <v>6410</v>
      </c>
      <c r="B1483" t="s">
        <v>3362</v>
      </c>
      <c r="G1483" t="s">
        <v>5944</v>
      </c>
      <c r="H1483" t="s">
        <v>132</v>
      </c>
      <c r="I1483" t="s">
        <v>2</v>
      </c>
      <c r="J1483" t="s">
        <v>5298</v>
      </c>
      <c r="K1483" t="s">
        <v>52</v>
      </c>
      <c r="L1483" t="s">
        <v>3358</v>
      </c>
      <c r="M1483" t="s">
        <v>134</v>
      </c>
      <c r="N1483" t="s">
        <v>135</v>
      </c>
      <c r="Q1483" t="s">
        <v>168</v>
      </c>
      <c r="T1483" t="s">
        <v>2165</v>
      </c>
      <c r="U1483" t="s">
        <v>137</v>
      </c>
      <c r="V1483" t="s">
        <v>1239</v>
      </c>
      <c r="X1483" t="s">
        <v>127</v>
      </c>
      <c r="AA1483" t="s">
        <v>2163</v>
      </c>
      <c r="AB1483" t="s">
        <v>2</v>
      </c>
      <c r="AC1483" t="s">
        <v>138</v>
      </c>
      <c r="AD1483" t="s">
        <v>131</v>
      </c>
      <c r="AE1483" s="97">
        <f>VLOOKUP(A:A,SUMMERY!AA:AC,2,FALSE)</f>
        <v>46234</v>
      </c>
      <c r="AF1483" s="6" t="str">
        <f>VLOOKUP(A:A,SUMMERY!AA:AC,3,FALSE)</f>
        <v>Priority-2</v>
      </c>
    </row>
    <row r="1484" spans="1:32" x14ac:dyDescent="0.3">
      <c r="A1484" t="s">
        <v>6411</v>
      </c>
      <c r="B1484" t="s">
        <v>3364</v>
      </c>
      <c r="G1484" t="s">
        <v>5944</v>
      </c>
      <c r="H1484" t="s">
        <v>132</v>
      </c>
      <c r="I1484" t="s">
        <v>2</v>
      </c>
      <c r="J1484" t="s">
        <v>5298</v>
      </c>
      <c r="K1484" t="s">
        <v>52</v>
      </c>
      <c r="L1484" t="s">
        <v>3358</v>
      </c>
      <c r="M1484" t="s">
        <v>134</v>
      </c>
      <c r="N1484" t="s">
        <v>135</v>
      </c>
      <c r="Q1484" t="s">
        <v>168</v>
      </c>
      <c r="T1484" t="s">
        <v>2165</v>
      </c>
      <c r="U1484" t="s">
        <v>137</v>
      </c>
      <c r="V1484" t="s">
        <v>1239</v>
      </c>
      <c r="X1484" t="s">
        <v>127</v>
      </c>
      <c r="AA1484" t="s">
        <v>2163</v>
      </c>
      <c r="AB1484" t="s">
        <v>2</v>
      </c>
      <c r="AC1484" t="s">
        <v>138</v>
      </c>
      <c r="AD1484" t="s">
        <v>131</v>
      </c>
      <c r="AE1484" s="97">
        <f>VLOOKUP(A:A,SUMMERY!AA:AC,2,FALSE)</f>
        <v>46234</v>
      </c>
      <c r="AF1484" s="6" t="str">
        <f>VLOOKUP(A:A,SUMMERY!AA:AC,3,FALSE)</f>
        <v>Priority-2</v>
      </c>
    </row>
    <row r="1485" spans="1:32" x14ac:dyDescent="0.3">
      <c r="A1485" t="s">
        <v>6412</v>
      </c>
      <c r="B1485" t="s">
        <v>3372</v>
      </c>
      <c r="G1485" t="s">
        <v>5944</v>
      </c>
      <c r="H1485" t="s">
        <v>132</v>
      </c>
      <c r="I1485" t="s">
        <v>2</v>
      </c>
      <c r="J1485" t="s">
        <v>5298</v>
      </c>
      <c r="K1485" t="s">
        <v>52</v>
      </c>
      <c r="L1485" t="s">
        <v>3373</v>
      </c>
      <c r="M1485" t="s">
        <v>134</v>
      </c>
      <c r="N1485" t="s">
        <v>135</v>
      </c>
      <c r="Q1485" t="s">
        <v>168</v>
      </c>
      <c r="T1485" t="s">
        <v>2165</v>
      </c>
      <c r="U1485" t="s">
        <v>137</v>
      </c>
      <c r="V1485" t="s">
        <v>1249</v>
      </c>
      <c r="X1485" t="s">
        <v>61</v>
      </c>
      <c r="AA1485" t="s">
        <v>2163</v>
      </c>
      <c r="AB1485" t="s">
        <v>2</v>
      </c>
      <c r="AC1485" t="s">
        <v>138</v>
      </c>
      <c r="AD1485" t="s">
        <v>128</v>
      </c>
      <c r="AE1485" s="97">
        <f>VLOOKUP(A:A,SUMMERY!AA:AC,2,FALSE)</f>
        <v>46224</v>
      </c>
      <c r="AF1485" s="6" t="str">
        <f>VLOOKUP(A:A,SUMMERY!AA:AC,3,FALSE)</f>
        <v>Priority-1</v>
      </c>
    </row>
    <row r="1486" spans="1:32" x14ac:dyDescent="0.3">
      <c r="A1486" t="s">
        <v>6413</v>
      </c>
      <c r="B1486" t="s">
        <v>3375</v>
      </c>
      <c r="G1486" t="s">
        <v>5944</v>
      </c>
      <c r="H1486" t="s">
        <v>132</v>
      </c>
      <c r="I1486" t="s">
        <v>2</v>
      </c>
      <c r="J1486" t="s">
        <v>5298</v>
      </c>
      <c r="K1486" t="s">
        <v>52</v>
      </c>
      <c r="L1486" t="s">
        <v>3373</v>
      </c>
      <c r="M1486" t="s">
        <v>134</v>
      </c>
      <c r="N1486" t="s">
        <v>135</v>
      </c>
      <c r="Q1486" t="s">
        <v>168</v>
      </c>
      <c r="T1486" t="s">
        <v>2165</v>
      </c>
      <c r="U1486" t="s">
        <v>137</v>
      </c>
      <c r="V1486" t="s">
        <v>1249</v>
      </c>
      <c r="X1486" t="s">
        <v>61</v>
      </c>
      <c r="AA1486" t="s">
        <v>2163</v>
      </c>
      <c r="AB1486" t="s">
        <v>2</v>
      </c>
      <c r="AC1486" t="s">
        <v>138</v>
      </c>
      <c r="AD1486" t="s">
        <v>128</v>
      </c>
      <c r="AE1486" s="97">
        <f>VLOOKUP(A:A,SUMMERY!AA:AC,2,FALSE)</f>
        <v>46224</v>
      </c>
      <c r="AF1486" s="6" t="str">
        <f>VLOOKUP(A:A,SUMMERY!AA:AC,3,FALSE)</f>
        <v>Priority-1</v>
      </c>
    </row>
    <row r="1487" spans="1:32" x14ac:dyDescent="0.3">
      <c r="A1487" t="s">
        <v>6414</v>
      </c>
      <c r="B1487" t="s">
        <v>3377</v>
      </c>
      <c r="G1487" t="s">
        <v>5944</v>
      </c>
      <c r="H1487" t="s">
        <v>132</v>
      </c>
      <c r="I1487" t="s">
        <v>2</v>
      </c>
      <c r="J1487" t="s">
        <v>5298</v>
      </c>
      <c r="K1487" t="s">
        <v>52</v>
      </c>
      <c r="L1487" t="s">
        <v>3373</v>
      </c>
      <c r="M1487" t="s">
        <v>134</v>
      </c>
      <c r="N1487" t="s">
        <v>135</v>
      </c>
      <c r="Q1487" t="s">
        <v>168</v>
      </c>
      <c r="T1487" t="s">
        <v>2165</v>
      </c>
      <c r="U1487" t="s">
        <v>137</v>
      </c>
      <c r="V1487" t="s">
        <v>1249</v>
      </c>
      <c r="X1487" t="s">
        <v>61</v>
      </c>
      <c r="AA1487" t="s">
        <v>2163</v>
      </c>
      <c r="AB1487" t="s">
        <v>2</v>
      </c>
      <c r="AC1487" t="s">
        <v>138</v>
      </c>
      <c r="AD1487" t="s">
        <v>128</v>
      </c>
      <c r="AE1487" s="97">
        <f>VLOOKUP(A:A,SUMMERY!AA:AC,2,FALSE)</f>
        <v>46224</v>
      </c>
      <c r="AF1487" s="6" t="str">
        <f>VLOOKUP(A:A,SUMMERY!AA:AC,3,FALSE)</f>
        <v>Priority-1</v>
      </c>
    </row>
    <row r="1488" spans="1:32" x14ac:dyDescent="0.3">
      <c r="A1488" t="s">
        <v>6415</v>
      </c>
      <c r="B1488" t="s">
        <v>3379</v>
      </c>
      <c r="G1488" t="s">
        <v>5944</v>
      </c>
      <c r="H1488" t="s">
        <v>132</v>
      </c>
      <c r="I1488" t="s">
        <v>2</v>
      </c>
      <c r="J1488" t="s">
        <v>5298</v>
      </c>
      <c r="K1488" t="s">
        <v>52</v>
      </c>
      <c r="L1488" t="s">
        <v>3373</v>
      </c>
      <c r="M1488" t="s">
        <v>134</v>
      </c>
      <c r="N1488" t="s">
        <v>135</v>
      </c>
      <c r="Q1488" t="s">
        <v>168</v>
      </c>
      <c r="T1488" t="s">
        <v>2165</v>
      </c>
      <c r="U1488" t="s">
        <v>137</v>
      </c>
      <c r="V1488" t="s">
        <v>1249</v>
      </c>
      <c r="X1488" t="s">
        <v>61</v>
      </c>
      <c r="AA1488" t="s">
        <v>2163</v>
      </c>
      <c r="AB1488" t="s">
        <v>2</v>
      </c>
      <c r="AC1488" t="s">
        <v>138</v>
      </c>
      <c r="AD1488" t="s">
        <v>128</v>
      </c>
      <c r="AE1488" s="97">
        <f>VLOOKUP(A:A,SUMMERY!AA:AC,2,FALSE)</f>
        <v>46224</v>
      </c>
      <c r="AF1488" s="6" t="str">
        <f>VLOOKUP(A:A,SUMMERY!AA:AC,3,FALSE)</f>
        <v>Priority-1</v>
      </c>
    </row>
    <row r="1489" spans="1:32" x14ac:dyDescent="0.3">
      <c r="A1489" t="s">
        <v>6416</v>
      </c>
      <c r="B1489" t="s">
        <v>3387</v>
      </c>
      <c r="G1489" t="s">
        <v>5944</v>
      </c>
      <c r="H1489" t="s">
        <v>132</v>
      </c>
      <c r="I1489" t="s">
        <v>2</v>
      </c>
      <c r="J1489" t="s">
        <v>5298</v>
      </c>
      <c r="K1489" t="s">
        <v>52</v>
      </c>
      <c r="L1489" t="s">
        <v>3388</v>
      </c>
      <c r="M1489" t="s">
        <v>134</v>
      </c>
      <c r="N1489" t="s">
        <v>135</v>
      </c>
      <c r="Q1489" t="s">
        <v>168</v>
      </c>
      <c r="T1489" t="s">
        <v>2164</v>
      </c>
      <c r="U1489" t="s">
        <v>137</v>
      </c>
      <c r="V1489" t="s">
        <v>1259</v>
      </c>
      <c r="X1489" t="s">
        <v>126</v>
      </c>
      <c r="AA1489" t="s">
        <v>2163</v>
      </c>
      <c r="AB1489" t="s">
        <v>2</v>
      </c>
      <c r="AC1489" t="s">
        <v>138</v>
      </c>
      <c r="AD1489" t="s">
        <v>131</v>
      </c>
      <c r="AE1489" s="97">
        <f>VLOOKUP(A:A,SUMMERY!AA:AC,2,FALSE)</f>
        <v>46234</v>
      </c>
      <c r="AF1489" s="6" t="str">
        <f>VLOOKUP(A:A,SUMMERY!AA:AC,3,FALSE)</f>
        <v>Priority-2</v>
      </c>
    </row>
    <row r="1490" spans="1:32" x14ac:dyDescent="0.3">
      <c r="A1490" t="s">
        <v>6417</v>
      </c>
      <c r="B1490" t="s">
        <v>3390</v>
      </c>
      <c r="G1490" t="s">
        <v>5944</v>
      </c>
      <c r="H1490" t="s">
        <v>132</v>
      </c>
      <c r="I1490" t="s">
        <v>2</v>
      </c>
      <c r="J1490" t="s">
        <v>5298</v>
      </c>
      <c r="K1490" t="s">
        <v>52</v>
      </c>
      <c r="L1490" t="s">
        <v>3391</v>
      </c>
      <c r="M1490" t="s">
        <v>134</v>
      </c>
      <c r="N1490" t="s">
        <v>135</v>
      </c>
      <c r="Q1490" t="s">
        <v>168</v>
      </c>
      <c r="T1490" t="s">
        <v>2164</v>
      </c>
      <c r="U1490" t="s">
        <v>137</v>
      </c>
      <c r="V1490" t="s">
        <v>1259</v>
      </c>
      <c r="X1490" t="s">
        <v>126</v>
      </c>
      <c r="AA1490" t="s">
        <v>2163</v>
      </c>
      <c r="AB1490" t="s">
        <v>2</v>
      </c>
      <c r="AC1490" t="s">
        <v>138</v>
      </c>
      <c r="AD1490" t="s">
        <v>131</v>
      </c>
      <c r="AE1490" s="97">
        <f>VLOOKUP(A:A,SUMMERY!AA:AC,2,FALSE)</f>
        <v>46234</v>
      </c>
      <c r="AF1490" s="6" t="str">
        <f>VLOOKUP(A:A,SUMMERY!AA:AC,3,FALSE)</f>
        <v>Priority-2</v>
      </c>
    </row>
    <row r="1491" spans="1:32" x14ac:dyDescent="0.3">
      <c r="A1491" t="s">
        <v>6418</v>
      </c>
      <c r="B1491" t="s">
        <v>3393</v>
      </c>
      <c r="G1491" t="s">
        <v>5944</v>
      </c>
      <c r="H1491" t="s">
        <v>132</v>
      </c>
      <c r="I1491" t="s">
        <v>2</v>
      </c>
      <c r="J1491" t="s">
        <v>5298</v>
      </c>
      <c r="K1491" t="s">
        <v>52</v>
      </c>
      <c r="L1491" t="s">
        <v>3394</v>
      </c>
      <c r="M1491" t="s">
        <v>134</v>
      </c>
      <c r="N1491" t="s">
        <v>135</v>
      </c>
      <c r="Q1491" t="s">
        <v>168</v>
      </c>
      <c r="T1491" t="s">
        <v>2164</v>
      </c>
      <c r="U1491" t="s">
        <v>137</v>
      </c>
      <c r="V1491" t="s">
        <v>1263</v>
      </c>
      <c r="X1491" t="s">
        <v>69</v>
      </c>
      <c r="AA1491" t="s">
        <v>2163</v>
      </c>
      <c r="AB1491" t="s">
        <v>2</v>
      </c>
      <c r="AC1491" t="s">
        <v>138</v>
      </c>
      <c r="AD1491" t="s">
        <v>128</v>
      </c>
      <c r="AE1491" s="97">
        <f>VLOOKUP(A:A,SUMMERY!AA:AC,2,FALSE)</f>
        <v>46224</v>
      </c>
      <c r="AF1491" s="6" t="str">
        <f>VLOOKUP(A:A,SUMMERY!AA:AC,3,FALSE)</f>
        <v>Priority-1</v>
      </c>
    </row>
    <row r="1492" spans="1:32" x14ac:dyDescent="0.3">
      <c r="A1492" t="s">
        <v>6419</v>
      </c>
      <c r="B1492" t="s">
        <v>3396</v>
      </c>
      <c r="G1492" t="s">
        <v>5944</v>
      </c>
      <c r="H1492" t="s">
        <v>132</v>
      </c>
      <c r="I1492" t="s">
        <v>2</v>
      </c>
      <c r="J1492" t="s">
        <v>5298</v>
      </c>
      <c r="K1492" t="s">
        <v>52</v>
      </c>
      <c r="L1492" t="s">
        <v>3397</v>
      </c>
      <c r="M1492" t="s">
        <v>134</v>
      </c>
      <c r="N1492" t="s">
        <v>135</v>
      </c>
      <c r="Q1492" t="s">
        <v>168</v>
      </c>
      <c r="T1492" t="s">
        <v>2164</v>
      </c>
      <c r="U1492" t="s">
        <v>137</v>
      </c>
      <c r="V1492" t="s">
        <v>1263</v>
      </c>
      <c r="X1492" t="s">
        <v>69</v>
      </c>
      <c r="AA1492" t="s">
        <v>2163</v>
      </c>
      <c r="AB1492" t="s">
        <v>2</v>
      </c>
      <c r="AC1492" t="s">
        <v>138</v>
      </c>
      <c r="AD1492" t="s">
        <v>128</v>
      </c>
      <c r="AE1492" s="97">
        <f>VLOOKUP(A:A,SUMMERY!AA:AC,2,FALSE)</f>
        <v>46224</v>
      </c>
      <c r="AF1492" s="6" t="str">
        <f>VLOOKUP(A:A,SUMMERY!AA:AC,3,FALSE)</f>
        <v>Priority-1</v>
      </c>
    </row>
    <row r="1493" spans="1:32" x14ac:dyDescent="0.3">
      <c r="A1493" t="s">
        <v>6420</v>
      </c>
      <c r="B1493" t="s">
        <v>3399</v>
      </c>
      <c r="G1493" t="s">
        <v>5944</v>
      </c>
      <c r="H1493" t="s">
        <v>132</v>
      </c>
      <c r="I1493" t="s">
        <v>2</v>
      </c>
      <c r="J1493" t="s">
        <v>5298</v>
      </c>
      <c r="K1493" t="s">
        <v>52</v>
      </c>
      <c r="L1493" t="s">
        <v>3400</v>
      </c>
      <c r="M1493" t="s">
        <v>134</v>
      </c>
      <c r="N1493" t="s">
        <v>135</v>
      </c>
      <c r="Q1493" t="s">
        <v>168</v>
      </c>
      <c r="T1493" t="s">
        <v>2164</v>
      </c>
      <c r="U1493" t="s">
        <v>137</v>
      </c>
      <c r="V1493" t="s">
        <v>1259</v>
      </c>
      <c r="X1493" t="s">
        <v>126</v>
      </c>
      <c r="AA1493" t="s">
        <v>2163</v>
      </c>
      <c r="AB1493" t="s">
        <v>2</v>
      </c>
      <c r="AC1493" t="s">
        <v>138</v>
      </c>
      <c r="AD1493" t="s">
        <v>131</v>
      </c>
      <c r="AE1493" s="97">
        <f>VLOOKUP(A:A,SUMMERY!AA:AC,2,FALSE)</f>
        <v>46234</v>
      </c>
      <c r="AF1493" s="6" t="str">
        <f>VLOOKUP(A:A,SUMMERY!AA:AC,3,FALSE)</f>
        <v>Priority-2</v>
      </c>
    </row>
    <row r="1494" spans="1:32" x14ac:dyDescent="0.3">
      <c r="A1494" t="s">
        <v>6421</v>
      </c>
      <c r="B1494" t="s">
        <v>3402</v>
      </c>
      <c r="G1494" t="s">
        <v>5944</v>
      </c>
      <c r="H1494" t="s">
        <v>132</v>
      </c>
      <c r="I1494" t="s">
        <v>2</v>
      </c>
      <c r="J1494" t="s">
        <v>5298</v>
      </c>
      <c r="K1494" t="s">
        <v>52</v>
      </c>
      <c r="L1494" t="s">
        <v>3403</v>
      </c>
      <c r="M1494" t="s">
        <v>134</v>
      </c>
      <c r="N1494" t="s">
        <v>135</v>
      </c>
      <c r="Q1494" t="s">
        <v>168</v>
      </c>
      <c r="T1494" t="s">
        <v>2164</v>
      </c>
      <c r="U1494" t="s">
        <v>137</v>
      </c>
      <c r="V1494" t="s">
        <v>1259</v>
      </c>
      <c r="X1494" t="s">
        <v>126</v>
      </c>
      <c r="AA1494" t="s">
        <v>2163</v>
      </c>
      <c r="AB1494" t="s">
        <v>2</v>
      </c>
      <c r="AC1494" t="s">
        <v>138</v>
      </c>
      <c r="AD1494" t="s">
        <v>131</v>
      </c>
      <c r="AE1494" s="97">
        <f>VLOOKUP(A:A,SUMMERY!AA:AC,2,FALSE)</f>
        <v>46234</v>
      </c>
      <c r="AF1494" s="6" t="str">
        <f>VLOOKUP(A:A,SUMMERY!AA:AC,3,FALSE)</f>
        <v>Priority-2</v>
      </c>
    </row>
    <row r="1495" spans="1:32" x14ac:dyDescent="0.3">
      <c r="A1495" t="s">
        <v>6422</v>
      </c>
      <c r="B1495" t="s">
        <v>3405</v>
      </c>
      <c r="G1495" t="s">
        <v>5944</v>
      </c>
      <c r="H1495" t="s">
        <v>132</v>
      </c>
      <c r="I1495" t="s">
        <v>2</v>
      </c>
      <c r="J1495" t="s">
        <v>5298</v>
      </c>
      <c r="K1495" t="s">
        <v>52</v>
      </c>
      <c r="L1495" t="s">
        <v>3406</v>
      </c>
      <c r="M1495" t="s">
        <v>134</v>
      </c>
      <c r="N1495" t="s">
        <v>135</v>
      </c>
      <c r="Q1495" t="s">
        <v>168</v>
      </c>
      <c r="T1495" t="s">
        <v>2164</v>
      </c>
      <c r="U1495" t="s">
        <v>137</v>
      </c>
      <c r="V1495" t="s">
        <v>1263</v>
      </c>
      <c r="X1495" t="s">
        <v>69</v>
      </c>
      <c r="AA1495" t="s">
        <v>2163</v>
      </c>
      <c r="AB1495" t="s">
        <v>2</v>
      </c>
      <c r="AC1495" t="s">
        <v>138</v>
      </c>
      <c r="AD1495" t="s">
        <v>128</v>
      </c>
      <c r="AE1495" s="97">
        <f>VLOOKUP(A:A,SUMMERY!AA:AC,2,FALSE)</f>
        <v>46224</v>
      </c>
      <c r="AF1495" s="6" t="str">
        <f>VLOOKUP(A:A,SUMMERY!AA:AC,3,FALSE)</f>
        <v>Priority-1</v>
      </c>
    </row>
    <row r="1496" spans="1:32" x14ac:dyDescent="0.3">
      <c r="A1496" t="s">
        <v>6423</v>
      </c>
      <c r="B1496" t="s">
        <v>3408</v>
      </c>
      <c r="G1496" t="s">
        <v>5944</v>
      </c>
      <c r="H1496" t="s">
        <v>132</v>
      </c>
      <c r="I1496" t="s">
        <v>2</v>
      </c>
      <c r="J1496" t="s">
        <v>5298</v>
      </c>
      <c r="K1496" t="s">
        <v>52</v>
      </c>
      <c r="L1496" t="s">
        <v>3409</v>
      </c>
      <c r="M1496" t="s">
        <v>134</v>
      </c>
      <c r="N1496" t="s">
        <v>135</v>
      </c>
      <c r="Q1496" t="s">
        <v>168</v>
      </c>
      <c r="T1496" t="s">
        <v>2164</v>
      </c>
      <c r="U1496" t="s">
        <v>137</v>
      </c>
      <c r="V1496" t="s">
        <v>1263</v>
      </c>
      <c r="X1496" t="s">
        <v>69</v>
      </c>
      <c r="AA1496" t="s">
        <v>2163</v>
      </c>
      <c r="AB1496" t="s">
        <v>2</v>
      </c>
      <c r="AC1496" t="s">
        <v>138</v>
      </c>
      <c r="AD1496" t="s">
        <v>128</v>
      </c>
      <c r="AE1496" s="97">
        <f>VLOOKUP(A:A,SUMMERY!AA:AC,2,FALSE)</f>
        <v>46224</v>
      </c>
      <c r="AF1496" s="6" t="str">
        <f>VLOOKUP(A:A,SUMMERY!AA:AC,3,FALSE)</f>
        <v>Priority-1</v>
      </c>
    </row>
    <row r="1497" spans="1:32" x14ac:dyDescent="0.3">
      <c r="A1497" t="s">
        <v>6424</v>
      </c>
      <c r="B1497" t="s">
        <v>3411</v>
      </c>
      <c r="G1497" t="s">
        <v>5944</v>
      </c>
      <c r="H1497" t="s">
        <v>132</v>
      </c>
      <c r="I1497" t="s">
        <v>2</v>
      </c>
      <c r="J1497" t="s">
        <v>5298</v>
      </c>
      <c r="K1497" t="s">
        <v>52</v>
      </c>
      <c r="L1497" t="s">
        <v>3412</v>
      </c>
      <c r="M1497" t="s">
        <v>134</v>
      </c>
      <c r="N1497" t="s">
        <v>135</v>
      </c>
      <c r="Q1497" t="s">
        <v>168</v>
      </c>
      <c r="T1497" t="s">
        <v>2164</v>
      </c>
      <c r="U1497" t="s">
        <v>137</v>
      </c>
      <c r="V1497" t="s">
        <v>1259</v>
      </c>
      <c r="X1497" t="s">
        <v>126</v>
      </c>
      <c r="AA1497" t="s">
        <v>2163</v>
      </c>
      <c r="AB1497" t="s">
        <v>2</v>
      </c>
      <c r="AC1497" t="s">
        <v>138</v>
      </c>
      <c r="AD1497" t="s">
        <v>131</v>
      </c>
      <c r="AE1497" s="97">
        <f>VLOOKUP(A:A,SUMMERY!AA:AC,2,FALSE)</f>
        <v>46234</v>
      </c>
      <c r="AF1497" s="6" t="str">
        <f>VLOOKUP(A:A,SUMMERY!AA:AC,3,FALSE)</f>
        <v>Priority-2</v>
      </c>
    </row>
    <row r="1498" spans="1:32" x14ac:dyDescent="0.3">
      <c r="A1498" t="s">
        <v>6425</v>
      </c>
      <c r="B1498" t="s">
        <v>3414</v>
      </c>
      <c r="G1498" t="s">
        <v>5944</v>
      </c>
      <c r="H1498" t="s">
        <v>132</v>
      </c>
      <c r="I1498" t="s">
        <v>2</v>
      </c>
      <c r="J1498" t="s">
        <v>5298</v>
      </c>
      <c r="K1498" t="s">
        <v>52</v>
      </c>
      <c r="L1498" t="s">
        <v>3415</v>
      </c>
      <c r="M1498" t="s">
        <v>134</v>
      </c>
      <c r="N1498" t="s">
        <v>135</v>
      </c>
      <c r="Q1498" t="s">
        <v>168</v>
      </c>
      <c r="T1498" t="s">
        <v>2164</v>
      </c>
      <c r="U1498" t="s">
        <v>137</v>
      </c>
      <c r="V1498" t="s">
        <v>1259</v>
      </c>
      <c r="X1498" t="s">
        <v>126</v>
      </c>
      <c r="AA1498" t="s">
        <v>2163</v>
      </c>
      <c r="AB1498" t="s">
        <v>2</v>
      </c>
      <c r="AC1498" t="s">
        <v>138</v>
      </c>
      <c r="AD1498" t="s">
        <v>131</v>
      </c>
      <c r="AE1498" s="97">
        <f>VLOOKUP(A:A,SUMMERY!AA:AC,2,FALSE)</f>
        <v>46234</v>
      </c>
      <c r="AF1498" s="6" t="str">
        <f>VLOOKUP(A:A,SUMMERY!AA:AC,3,FALSE)</f>
        <v>Priority-2</v>
      </c>
    </row>
    <row r="1499" spans="1:32" x14ac:dyDescent="0.3">
      <c r="A1499" t="s">
        <v>6426</v>
      </c>
      <c r="B1499" t="s">
        <v>3417</v>
      </c>
      <c r="G1499" t="s">
        <v>5944</v>
      </c>
      <c r="H1499" t="s">
        <v>132</v>
      </c>
      <c r="I1499" t="s">
        <v>2</v>
      </c>
      <c r="J1499" t="s">
        <v>5298</v>
      </c>
      <c r="K1499" t="s">
        <v>52</v>
      </c>
      <c r="L1499" t="s">
        <v>3418</v>
      </c>
      <c r="M1499" t="s">
        <v>134</v>
      </c>
      <c r="N1499" t="s">
        <v>135</v>
      </c>
      <c r="Q1499" t="s">
        <v>168</v>
      </c>
      <c r="T1499" t="s">
        <v>2164</v>
      </c>
      <c r="U1499" t="s">
        <v>137</v>
      </c>
      <c r="V1499" t="s">
        <v>1263</v>
      </c>
      <c r="X1499" t="s">
        <v>69</v>
      </c>
      <c r="AA1499" t="s">
        <v>2163</v>
      </c>
      <c r="AB1499" t="s">
        <v>2</v>
      </c>
      <c r="AC1499" t="s">
        <v>138</v>
      </c>
      <c r="AD1499" t="s">
        <v>128</v>
      </c>
      <c r="AE1499" s="97">
        <f>VLOOKUP(A:A,SUMMERY!AA:AC,2,FALSE)</f>
        <v>46224</v>
      </c>
      <c r="AF1499" s="6" t="str">
        <f>VLOOKUP(A:A,SUMMERY!AA:AC,3,FALSE)</f>
        <v>Priority-1</v>
      </c>
    </row>
    <row r="1500" spans="1:32" x14ac:dyDescent="0.3">
      <c r="A1500" t="s">
        <v>6427</v>
      </c>
      <c r="B1500" t="s">
        <v>3420</v>
      </c>
      <c r="G1500" t="s">
        <v>5944</v>
      </c>
      <c r="H1500" t="s">
        <v>132</v>
      </c>
      <c r="I1500" t="s">
        <v>2</v>
      </c>
      <c r="J1500" t="s">
        <v>5298</v>
      </c>
      <c r="K1500" t="s">
        <v>52</v>
      </c>
      <c r="L1500" t="s">
        <v>3421</v>
      </c>
      <c r="M1500" t="s">
        <v>134</v>
      </c>
      <c r="N1500" t="s">
        <v>135</v>
      </c>
      <c r="Q1500" t="s">
        <v>168</v>
      </c>
      <c r="T1500" t="s">
        <v>2164</v>
      </c>
      <c r="U1500" t="s">
        <v>137</v>
      </c>
      <c r="V1500" t="s">
        <v>1263</v>
      </c>
      <c r="X1500" t="s">
        <v>69</v>
      </c>
      <c r="AA1500" t="s">
        <v>2163</v>
      </c>
      <c r="AB1500" t="s">
        <v>2</v>
      </c>
      <c r="AC1500" t="s">
        <v>138</v>
      </c>
      <c r="AD1500" t="s">
        <v>128</v>
      </c>
      <c r="AE1500" s="97">
        <f>VLOOKUP(A:A,SUMMERY!AA:AC,2,FALSE)</f>
        <v>46224</v>
      </c>
      <c r="AF1500" s="6" t="str">
        <f>VLOOKUP(A:A,SUMMERY!AA:AC,3,FALSE)</f>
        <v>Priority-1</v>
      </c>
    </row>
    <row r="1501" spans="1:32" x14ac:dyDescent="0.3">
      <c r="A1501" t="s">
        <v>6428</v>
      </c>
      <c r="B1501" t="s">
        <v>3423</v>
      </c>
      <c r="G1501" t="s">
        <v>5944</v>
      </c>
      <c r="H1501" t="s">
        <v>132</v>
      </c>
      <c r="I1501" t="s">
        <v>2</v>
      </c>
      <c r="J1501" t="s">
        <v>5298</v>
      </c>
      <c r="K1501" t="s">
        <v>52</v>
      </c>
      <c r="L1501" t="s">
        <v>3424</v>
      </c>
      <c r="M1501" t="s">
        <v>134</v>
      </c>
      <c r="N1501" t="s">
        <v>135</v>
      </c>
      <c r="Q1501" t="s">
        <v>168</v>
      </c>
      <c r="T1501" t="s">
        <v>2164</v>
      </c>
      <c r="U1501" t="s">
        <v>137</v>
      </c>
      <c r="V1501" t="s">
        <v>1259</v>
      </c>
      <c r="X1501" t="s">
        <v>126</v>
      </c>
      <c r="AA1501" t="s">
        <v>2163</v>
      </c>
      <c r="AB1501" t="s">
        <v>2</v>
      </c>
      <c r="AC1501" t="s">
        <v>138</v>
      </c>
      <c r="AD1501" t="s">
        <v>131</v>
      </c>
      <c r="AE1501" s="97">
        <f>VLOOKUP(A:A,SUMMERY!AA:AC,2,FALSE)</f>
        <v>46234</v>
      </c>
      <c r="AF1501" s="6" t="str">
        <f>VLOOKUP(A:A,SUMMERY!AA:AC,3,FALSE)</f>
        <v>Priority-2</v>
      </c>
    </row>
    <row r="1502" spans="1:32" x14ac:dyDescent="0.3">
      <c r="A1502" t="s">
        <v>6429</v>
      </c>
      <c r="B1502" t="s">
        <v>3426</v>
      </c>
      <c r="G1502" t="s">
        <v>5944</v>
      </c>
      <c r="H1502" t="s">
        <v>132</v>
      </c>
      <c r="I1502" t="s">
        <v>2</v>
      </c>
      <c r="J1502" t="s">
        <v>5298</v>
      </c>
      <c r="K1502" t="s">
        <v>52</v>
      </c>
      <c r="L1502" t="s">
        <v>3427</v>
      </c>
      <c r="M1502" t="s">
        <v>134</v>
      </c>
      <c r="N1502" t="s">
        <v>135</v>
      </c>
      <c r="Q1502" t="s">
        <v>168</v>
      </c>
      <c r="T1502" t="s">
        <v>2164</v>
      </c>
      <c r="U1502" t="s">
        <v>137</v>
      </c>
      <c r="V1502" t="s">
        <v>1259</v>
      </c>
      <c r="X1502" t="s">
        <v>126</v>
      </c>
      <c r="AA1502" t="s">
        <v>2163</v>
      </c>
      <c r="AB1502" t="s">
        <v>2</v>
      </c>
      <c r="AC1502" t="s">
        <v>138</v>
      </c>
      <c r="AD1502" t="s">
        <v>131</v>
      </c>
      <c r="AE1502" s="97">
        <f>VLOOKUP(A:A,SUMMERY!AA:AC,2,FALSE)</f>
        <v>46234</v>
      </c>
      <c r="AF1502" s="6" t="str">
        <f>VLOOKUP(A:A,SUMMERY!AA:AC,3,FALSE)</f>
        <v>Priority-2</v>
      </c>
    </row>
    <row r="1503" spans="1:32" x14ac:dyDescent="0.3">
      <c r="A1503" t="s">
        <v>6430</v>
      </c>
      <c r="B1503" t="s">
        <v>3429</v>
      </c>
      <c r="G1503" t="s">
        <v>5944</v>
      </c>
      <c r="H1503" t="s">
        <v>132</v>
      </c>
      <c r="I1503" t="s">
        <v>2</v>
      </c>
      <c r="J1503" t="s">
        <v>5298</v>
      </c>
      <c r="K1503" t="s">
        <v>52</v>
      </c>
      <c r="L1503" t="s">
        <v>3430</v>
      </c>
      <c r="M1503" t="s">
        <v>134</v>
      </c>
      <c r="N1503" t="s">
        <v>135</v>
      </c>
      <c r="Q1503" t="s">
        <v>168</v>
      </c>
      <c r="T1503" t="s">
        <v>2164</v>
      </c>
      <c r="U1503" t="s">
        <v>137</v>
      </c>
      <c r="V1503" t="s">
        <v>1263</v>
      </c>
      <c r="X1503" t="s">
        <v>69</v>
      </c>
      <c r="AA1503" t="s">
        <v>2163</v>
      </c>
      <c r="AB1503" t="s">
        <v>2</v>
      </c>
      <c r="AC1503" t="s">
        <v>138</v>
      </c>
      <c r="AD1503" t="s">
        <v>128</v>
      </c>
      <c r="AE1503" s="97">
        <f>VLOOKUP(A:A,SUMMERY!AA:AC,2,FALSE)</f>
        <v>46224</v>
      </c>
      <c r="AF1503" s="6" t="str">
        <f>VLOOKUP(A:A,SUMMERY!AA:AC,3,FALSE)</f>
        <v>Priority-1</v>
      </c>
    </row>
    <row r="1504" spans="1:32" x14ac:dyDescent="0.3">
      <c r="A1504" t="s">
        <v>6431</v>
      </c>
      <c r="B1504" t="s">
        <v>3432</v>
      </c>
      <c r="G1504" t="s">
        <v>5944</v>
      </c>
      <c r="H1504" t="s">
        <v>132</v>
      </c>
      <c r="I1504" t="s">
        <v>2</v>
      </c>
      <c r="J1504" t="s">
        <v>5298</v>
      </c>
      <c r="K1504" t="s">
        <v>52</v>
      </c>
      <c r="L1504" t="s">
        <v>3433</v>
      </c>
      <c r="M1504" t="s">
        <v>134</v>
      </c>
      <c r="N1504" t="s">
        <v>135</v>
      </c>
      <c r="Q1504" t="s">
        <v>168</v>
      </c>
      <c r="T1504" t="s">
        <v>2164</v>
      </c>
      <c r="U1504" t="s">
        <v>137</v>
      </c>
      <c r="V1504" t="s">
        <v>1263</v>
      </c>
      <c r="X1504" t="s">
        <v>69</v>
      </c>
      <c r="AA1504" t="s">
        <v>2163</v>
      </c>
      <c r="AB1504" t="s">
        <v>2</v>
      </c>
      <c r="AC1504" t="s">
        <v>138</v>
      </c>
      <c r="AD1504" t="s">
        <v>128</v>
      </c>
      <c r="AE1504" s="97">
        <f>VLOOKUP(A:A,SUMMERY!AA:AC,2,FALSE)</f>
        <v>46224</v>
      </c>
      <c r="AF1504" s="6" t="str">
        <f>VLOOKUP(A:A,SUMMERY!AA:AC,3,FALSE)</f>
        <v>Priority-1</v>
      </c>
    </row>
    <row r="1505" spans="1:32" x14ac:dyDescent="0.3">
      <c r="A1505" t="s">
        <v>6434</v>
      </c>
      <c r="B1505" t="s">
        <v>3441</v>
      </c>
      <c r="G1505" t="s">
        <v>6433</v>
      </c>
      <c r="H1505" t="s">
        <v>132</v>
      </c>
      <c r="I1505" t="s">
        <v>2</v>
      </c>
      <c r="J1505" t="s">
        <v>5298</v>
      </c>
      <c r="K1505" t="s">
        <v>52</v>
      </c>
      <c r="L1505" t="s">
        <v>3442</v>
      </c>
      <c r="M1505" t="s">
        <v>134</v>
      </c>
      <c r="N1505" t="s">
        <v>135</v>
      </c>
      <c r="Q1505" t="s">
        <v>291</v>
      </c>
      <c r="T1505" t="s">
        <v>3438</v>
      </c>
      <c r="U1505" t="s">
        <v>137</v>
      </c>
      <c r="V1505" t="s">
        <v>352</v>
      </c>
      <c r="X1505" t="s">
        <v>56</v>
      </c>
      <c r="AA1505" t="s">
        <v>3439</v>
      </c>
      <c r="AB1505" t="s">
        <v>2</v>
      </c>
      <c r="AC1505" t="s">
        <v>138</v>
      </c>
      <c r="AD1505" t="s">
        <v>128</v>
      </c>
      <c r="AE1505" s="97">
        <f>VLOOKUP(A:A,SUMMERY!AA:AC,2,FALSE)</f>
        <v>46233</v>
      </c>
      <c r="AF1505" s="6" t="str">
        <f>VLOOKUP(A:A,SUMMERY!AA:AC,3,FALSE)</f>
        <v>Priority-1</v>
      </c>
    </row>
    <row r="1506" spans="1:32" x14ac:dyDescent="0.3">
      <c r="A1506" t="s">
        <v>6435</v>
      </c>
      <c r="B1506" t="s">
        <v>3444</v>
      </c>
      <c r="G1506" t="s">
        <v>6433</v>
      </c>
      <c r="H1506" t="s">
        <v>132</v>
      </c>
      <c r="I1506" t="s">
        <v>2</v>
      </c>
      <c r="J1506" t="s">
        <v>5298</v>
      </c>
      <c r="K1506" t="s">
        <v>52</v>
      </c>
      <c r="L1506" t="s">
        <v>3442</v>
      </c>
      <c r="M1506" t="s">
        <v>134</v>
      </c>
      <c r="N1506" t="s">
        <v>135</v>
      </c>
      <c r="Q1506" t="s">
        <v>291</v>
      </c>
      <c r="T1506" t="s">
        <v>3438</v>
      </c>
      <c r="U1506" t="s">
        <v>137</v>
      </c>
      <c r="V1506" t="s">
        <v>352</v>
      </c>
      <c r="X1506" t="s">
        <v>56</v>
      </c>
      <c r="AA1506" t="s">
        <v>3439</v>
      </c>
      <c r="AB1506" t="s">
        <v>2</v>
      </c>
      <c r="AC1506" t="s">
        <v>138</v>
      </c>
      <c r="AD1506" t="s">
        <v>128</v>
      </c>
      <c r="AE1506" s="97">
        <f>VLOOKUP(A:A,SUMMERY!AA:AC,2,FALSE)</f>
        <v>46233</v>
      </c>
      <c r="AF1506" s="6" t="str">
        <f>VLOOKUP(A:A,SUMMERY!AA:AC,3,FALSE)</f>
        <v>Priority-1</v>
      </c>
    </row>
    <row r="1507" spans="1:32" x14ac:dyDescent="0.3">
      <c r="A1507" t="s">
        <v>6436</v>
      </c>
      <c r="B1507" t="s">
        <v>3446</v>
      </c>
      <c r="G1507" t="s">
        <v>6433</v>
      </c>
      <c r="H1507" t="s">
        <v>132</v>
      </c>
      <c r="I1507" t="s">
        <v>2</v>
      </c>
      <c r="J1507" t="s">
        <v>5298</v>
      </c>
      <c r="K1507" t="s">
        <v>52</v>
      </c>
      <c r="L1507" t="s">
        <v>3447</v>
      </c>
      <c r="M1507" t="s">
        <v>134</v>
      </c>
      <c r="N1507" t="s">
        <v>135</v>
      </c>
      <c r="Q1507" t="s">
        <v>291</v>
      </c>
      <c r="T1507" t="s">
        <v>3438</v>
      </c>
      <c r="U1507" t="s">
        <v>137</v>
      </c>
      <c r="V1507" t="s">
        <v>352</v>
      </c>
      <c r="X1507" t="s">
        <v>56</v>
      </c>
      <c r="AA1507" t="s">
        <v>3439</v>
      </c>
      <c r="AB1507" t="s">
        <v>2</v>
      </c>
      <c r="AC1507" t="s">
        <v>138</v>
      </c>
      <c r="AD1507" t="s">
        <v>128</v>
      </c>
      <c r="AE1507" s="97">
        <f>VLOOKUP(A:A,SUMMERY!AA:AC,2,FALSE)</f>
        <v>46233</v>
      </c>
      <c r="AF1507" s="6" t="str">
        <f>VLOOKUP(A:A,SUMMERY!AA:AC,3,FALSE)</f>
        <v>Priority-1</v>
      </c>
    </row>
    <row r="1508" spans="1:32" x14ac:dyDescent="0.3">
      <c r="A1508" t="s">
        <v>6989</v>
      </c>
      <c r="B1508" t="s">
        <v>6927</v>
      </c>
      <c r="G1508" t="s">
        <v>6433</v>
      </c>
      <c r="H1508" t="s">
        <v>132</v>
      </c>
      <c r="I1508" t="s">
        <v>2</v>
      </c>
      <c r="J1508" t="s">
        <v>5298</v>
      </c>
      <c r="K1508" t="s">
        <v>52</v>
      </c>
      <c r="L1508" t="s">
        <v>3447</v>
      </c>
      <c r="M1508" t="s">
        <v>134</v>
      </c>
      <c r="N1508" t="s">
        <v>135</v>
      </c>
      <c r="Q1508" t="s">
        <v>291</v>
      </c>
      <c r="S1508" t="s">
        <v>291</v>
      </c>
      <c r="U1508" t="s">
        <v>137</v>
      </c>
      <c r="V1508" t="s">
        <v>352</v>
      </c>
      <c r="X1508" t="s">
        <v>56</v>
      </c>
      <c r="AA1508" t="s">
        <v>3439</v>
      </c>
      <c r="AB1508" t="s">
        <v>2</v>
      </c>
      <c r="AC1508" t="s">
        <v>138</v>
      </c>
      <c r="AD1508" t="s">
        <v>128</v>
      </c>
      <c r="AE1508" s="97">
        <f>VLOOKUP(A:A,SUMMERY!AA:AC,2,FALSE)</f>
        <v>46233</v>
      </c>
      <c r="AF1508" s="6" t="str">
        <f>VLOOKUP(A:A,SUMMERY!AA:AC,3,FALSE)</f>
        <v>Priority-1</v>
      </c>
    </row>
    <row r="1509" spans="1:32" x14ac:dyDescent="0.3">
      <c r="A1509" t="s">
        <v>6441</v>
      </c>
      <c r="B1509" t="s">
        <v>3457</v>
      </c>
      <c r="G1509" t="s">
        <v>6438</v>
      </c>
      <c r="H1509" t="s">
        <v>132</v>
      </c>
      <c r="I1509" t="s">
        <v>2</v>
      </c>
      <c r="J1509" t="s">
        <v>5298</v>
      </c>
      <c r="K1509" t="s">
        <v>52</v>
      </c>
      <c r="L1509" t="s">
        <v>3451</v>
      </c>
      <c r="M1509" t="s">
        <v>134</v>
      </c>
      <c r="N1509" t="s">
        <v>135</v>
      </c>
      <c r="Q1509" t="s">
        <v>291</v>
      </c>
      <c r="T1509" t="s">
        <v>1892</v>
      </c>
      <c r="U1509" t="s">
        <v>137</v>
      </c>
      <c r="V1509" t="s">
        <v>709</v>
      </c>
      <c r="X1509" t="s">
        <v>73</v>
      </c>
      <c r="AA1509" t="s">
        <v>3451</v>
      </c>
      <c r="AB1509" t="s">
        <v>2</v>
      </c>
      <c r="AC1509" t="s">
        <v>138</v>
      </c>
      <c r="AD1509" t="s">
        <v>128</v>
      </c>
      <c r="AE1509" s="97">
        <f>VLOOKUP(A:A,SUMMERY!AA:AC,2,FALSE)</f>
        <v>46220</v>
      </c>
      <c r="AF1509" s="6" t="str">
        <f>VLOOKUP(A:A,SUMMERY!AA:AC,3,FALSE)</f>
        <v>Priority-1</v>
      </c>
    </row>
    <row r="1510" spans="1:32" x14ac:dyDescent="0.3">
      <c r="A1510" t="s">
        <v>6443</v>
      </c>
      <c r="B1510" t="s">
        <v>3461</v>
      </c>
      <c r="G1510" t="s">
        <v>6438</v>
      </c>
      <c r="H1510" t="s">
        <v>132</v>
      </c>
      <c r="I1510" t="s">
        <v>2</v>
      </c>
      <c r="J1510" t="s">
        <v>5298</v>
      </c>
      <c r="K1510" t="s">
        <v>52</v>
      </c>
      <c r="L1510" t="s">
        <v>3451</v>
      </c>
      <c r="M1510" t="s">
        <v>134</v>
      </c>
      <c r="N1510" t="s">
        <v>135</v>
      </c>
      <c r="Q1510" t="s">
        <v>291</v>
      </c>
      <c r="T1510" t="s">
        <v>1888</v>
      </c>
      <c r="U1510" t="s">
        <v>137</v>
      </c>
      <c r="V1510" t="s">
        <v>703</v>
      </c>
      <c r="X1510" t="s">
        <v>62</v>
      </c>
      <c r="AA1510" t="s">
        <v>3451</v>
      </c>
      <c r="AB1510" t="s">
        <v>2</v>
      </c>
      <c r="AC1510" t="s">
        <v>138</v>
      </c>
      <c r="AD1510" t="s">
        <v>128</v>
      </c>
      <c r="AE1510" s="97">
        <f>VLOOKUP(A:A,SUMMERY!AA:AC,2,FALSE)</f>
        <v>46220</v>
      </c>
      <c r="AF1510" s="6" t="str">
        <f>VLOOKUP(A:A,SUMMERY!AA:AC,3,FALSE)</f>
        <v>Priority-1</v>
      </c>
    </row>
    <row r="1511" spans="1:32" x14ac:dyDescent="0.3">
      <c r="A1511" t="s">
        <v>6448</v>
      </c>
      <c r="B1511" t="s">
        <v>3471</v>
      </c>
      <c r="G1511" t="s">
        <v>6438</v>
      </c>
      <c r="H1511" t="s">
        <v>132</v>
      </c>
      <c r="I1511" t="s">
        <v>2</v>
      </c>
      <c r="J1511" t="s">
        <v>5298</v>
      </c>
      <c r="K1511" t="s">
        <v>52</v>
      </c>
      <c r="L1511" t="s">
        <v>3451</v>
      </c>
      <c r="M1511" t="s">
        <v>134</v>
      </c>
      <c r="N1511" t="s">
        <v>135</v>
      </c>
      <c r="Q1511" t="s">
        <v>291</v>
      </c>
      <c r="T1511" t="s">
        <v>1888</v>
      </c>
      <c r="U1511" t="s">
        <v>137</v>
      </c>
      <c r="V1511" t="s">
        <v>703</v>
      </c>
      <c r="X1511" t="s">
        <v>62</v>
      </c>
      <c r="AA1511" t="s">
        <v>3451</v>
      </c>
      <c r="AB1511" t="s">
        <v>2</v>
      </c>
      <c r="AC1511" t="s">
        <v>138</v>
      </c>
      <c r="AD1511" t="s">
        <v>128</v>
      </c>
      <c r="AE1511" s="97">
        <f>VLOOKUP(A:A,SUMMERY!AA:AC,2,FALSE)</f>
        <v>46220</v>
      </c>
      <c r="AF1511" s="6" t="str">
        <f>VLOOKUP(A:A,SUMMERY!AA:AC,3,FALSE)</f>
        <v>Priority-1</v>
      </c>
    </row>
    <row r="1512" spans="1:32" x14ac:dyDescent="0.3">
      <c r="A1512" t="s">
        <v>6450</v>
      </c>
      <c r="B1512" t="s">
        <v>3475</v>
      </c>
      <c r="G1512" t="s">
        <v>6438</v>
      </c>
      <c r="H1512" t="s">
        <v>132</v>
      </c>
      <c r="I1512" t="s">
        <v>2</v>
      </c>
      <c r="J1512" t="s">
        <v>5298</v>
      </c>
      <c r="K1512" t="s">
        <v>52</v>
      </c>
      <c r="L1512" t="s">
        <v>3451</v>
      </c>
      <c r="M1512" t="s">
        <v>134</v>
      </c>
      <c r="N1512" t="s">
        <v>135</v>
      </c>
      <c r="Q1512" t="s">
        <v>291</v>
      </c>
      <c r="T1512" t="s">
        <v>1892</v>
      </c>
      <c r="U1512" t="s">
        <v>137</v>
      </c>
      <c r="V1512" t="s">
        <v>709</v>
      </c>
      <c r="X1512" t="s">
        <v>73</v>
      </c>
      <c r="AA1512" t="s">
        <v>3451</v>
      </c>
      <c r="AB1512" t="s">
        <v>2</v>
      </c>
      <c r="AC1512" t="s">
        <v>138</v>
      </c>
      <c r="AD1512" t="s">
        <v>128</v>
      </c>
      <c r="AE1512" s="97">
        <f>VLOOKUP(A:A,SUMMERY!AA:AC,2,FALSE)</f>
        <v>46220</v>
      </c>
      <c r="AF1512" s="6" t="str">
        <f>VLOOKUP(A:A,SUMMERY!AA:AC,3,FALSE)</f>
        <v>Priority-1</v>
      </c>
    </row>
    <row r="1513" spans="1:32" x14ac:dyDescent="0.3">
      <c r="A1513" t="s">
        <v>6455</v>
      </c>
      <c r="B1513" t="s">
        <v>3485</v>
      </c>
      <c r="G1513" t="s">
        <v>6438</v>
      </c>
      <c r="H1513" t="s">
        <v>132</v>
      </c>
      <c r="I1513" t="s">
        <v>2</v>
      </c>
      <c r="J1513" t="s">
        <v>5298</v>
      </c>
      <c r="K1513" t="s">
        <v>52</v>
      </c>
      <c r="L1513" t="s">
        <v>3451</v>
      </c>
      <c r="M1513" t="s">
        <v>134</v>
      </c>
      <c r="N1513" t="s">
        <v>135</v>
      </c>
      <c r="Q1513" t="s">
        <v>291</v>
      </c>
      <c r="T1513" t="s">
        <v>1892</v>
      </c>
      <c r="U1513" t="s">
        <v>137</v>
      </c>
      <c r="V1513" t="s">
        <v>709</v>
      </c>
      <c r="X1513" t="s">
        <v>73</v>
      </c>
      <c r="AA1513" t="s">
        <v>3451</v>
      </c>
      <c r="AB1513" t="s">
        <v>2</v>
      </c>
      <c r="AC1513" t="s">
        <v>138</v>
      </c>
      <c r="AD1513" t="s">
        <v>128</v>
      </c>
      <c r="AE1513" s="97">
        <f>VLOOKUP(A:A,SUMMERY!AA:AC,2,FALSE)</f>
        <v>46220</v>
      </c>
      <c r="AF1513" s="6" t="str">
        <f>VLOOKUP(A:A,SUMMERY!AA:AC,3,FALSE)</f>
        <v>Priority-1</v>
      </c>
    </row>
    <row r="1514" spans="1:32" x14ac:dyDescent="0.3">
      <c r="A1514" t="s">
        <v>6456</v>
      </c>
      <c r="B1514" t="s">
        <v>3487</v>
      </c>
      <c r="G1514" t="s">
        <v>6438</v>
      </c>
      <c r="H1514" t="s">
        <v>132</v>
      </c>
      <c r="I1514" t="s">
        <v>2</v>
      </c>
      <c r="J1514" t="s">
        <v>5298</v>
      </c>
      <c r="K1514" t="s">
        <v>52</v>
      </c>
      <c r="L1514" t="s">
        <v>3451</v>
      </c>
      <c r="M1514" t="s">
        <v>134</v>
      </c>
      <c r="N1514" t="s">
        <v>135</v>
      </c>
      <c r="Q1514" t="s">
        <v>291</v>
      </c>
      <c r="T1514" t="s">
        <v>1888</v>
      </c>
      <c r="U1514" t="s">
        <v>137</v>
      </c>
      <c r="V1514" t="s">
        <v>703</v>
      </c>
      <c r="X1514" t="s">
        <v>62</v>
      </c>
      <c r="AA1514" t="s">
        <v>3451</v>
      </c>
      <c r="AB1514" t="s">
        <v>2</v>
      </c>
      <c r="AC1514" t="s">
        <v>138</v>
      </c>
      <c r="AD1514" t="s">
        <v>128</v>
      </c>
      <c r="AE1514" s="97">
        <f>VLOOKUP(A:A,SUMMERY!AA:AC,2,FALSE)</f>
        <v>46220</v>
      </c>
      <c r="AF1514" s="6" t="str">
        <f>VLOOKUP(A:A,SUMMERY!AA:AC,3,FALSE)</f>
        <v>Priority-1</v>
      </c>
    </row>
    <row r="1515" spans="1:32" x14ac:dyDescent="0.3">
      <c r="A1515" t="s">
        <v>6458</v>
      </c>
      <c r="B1515" t="s">
        <v>3491</v>
      </c>
      <c r="G1515" t="s">
        <v>6438</v>
      </c>
      <c r="H1515" t="s">
        <v>132</v>
      </c>
      <c r="I1515" t="s">
        <v>2</v>
      </c>
      <c r="J1515" t="s">
        <v>5298</v>
      </c>
      <c r="K1515" t="s">
        <v>52</v>
      </c>
      <c r="L1515" t="s">
        <v>3451</v>
      </c>
      <c r="M1515" t="s">
        <v>134</v>
      </c>
      <c r="N1515" t="s">
        <v>135</v>
      </c>
      <c r="Q1515" t="s">
        <v>291</v>
      </c>
      <c r="T1515" t="s">
        <v>1888</v>
      </c>
      <c r="U1515" t="s">
        <v>137</v>
      </c>
      <c r="V1515" t="s">
        <v>703</v>
      </c>
      <c r="X1515" t="s">
        <v>62</v>
      </c>
      <c r="AA1515" t="s">
        <v>3451</v>
      </c>
      <c r="AB1515" t="s">
        <v>2</v>
      </c>
      <c r="AC1515" t="s">
        <v>138</v>
      </c>
      <c r="AD1515" t="s">
        <v>128</v>
      </c>
      <c r="AE1515" s="97">
        <f>VLOOKUP(A:A,SUMMERY!AA:AC,2,FALSE)</f>
        <v>46220</v>
      </c>
      <c r="AF1515" s="6" t="str">
        <f>VLOOKUP(A:A,SUMMERY!AA:AC,3,FALSE)</f>
        <v>Priority-1</v>
      </c>
    </row>
    <row r="1516" spans="1:32" x14ac:dyDescent="0.3">
      <c r="A1516" t="s">
        <v>6459</v>
      </c>
      <c r="B1516" t="s">
        <v>3493</v>
      </c>
      <c r="G1516" t="s">
        <v>6438</v>
      </c>
      <c r="H1516" t="s">
        <v>132</v>
      </c>
      <c r="I1516" t="s">
        <v>2</v>
      </c>
      <c r="J1516" t="s">
        <v>5298</v>
      </c>
      <c r="K1516" t="s">
        <v>52</v>
      </c>
      <c r="L1516" t="s">
        <v>3451</v>
      </c>
      <c r="M1516" t="s">
        <v>134</v>
      </c>
      <c r="N1516" t="s">
        <v>135</v>
      </c>
      <c r="Q1516" t="s">
        <v>291</v>
      </c>
      <c r="T1516" t="s">
        <v>1892</v>
      </c>
      <c r="U1516" t="s">
        <v>137</v>
      </c>
      <c r="V1516" t="s">
        <v>709</v>
      </c>
      <c r="X1516" t="s">
        <v>73</v>
      </c>
      <c r="AA1516" t="s">
        <v>3451</v>
      </c>
      <c r="AB1516" t="s">
        <v>2</v>
      </c>
      <c r="AC1516" t="s">
        <v>138</v>
      </c>
      <c r="AD1516" t="s">
        <v>128</v>
      </c>
      <c r="AE1516" s="97">
        <f>VLOOKUP(A:A,SUMMERY!AA:AC,2,FALSE)</f>
        <v>46220</v>
      </c>
      <c r="AF1516" s="6" t="str">
        <f>VLOOKUP(A:A,SUMMERY!AA:AC,3,FALSE)</f>
        <v>Priority-1</v>
      </c>
    </row>
    <row r="1517" spans="1:32" x14ac:dyDescent="0.3">
      <c r="A1517" t="s">
        <v>6466</v>
      </c>
      <c r="B1517" t="s">
        <v>4125</v>
      </c>
      <c r="G1517" t="s">
        <v>6467</v>
      </c>
      <c r="H1517" t="s">
        <v>132</v>
      </c>
      <c r="I1517" t="s">
        <v>5</v>
      </c>
      <c r="J1517" t="s">
        <v>5298</v>
      </c>
      <c r="K1517" t="s">
        <v>55</v>
      </c>
      <c r="L1517" t="s">
        <v>4127</v>
      </c>
      <c r="M1517" t="s">
        <v>134</v>
      </c>
      <c r="N1517" t="s">
        <v>135</v>
      </c>
      <c r="Q1517" t="s">
        <v>1765</v>
      </c>
      <c r="T1517" t="s">
        <v>2165</v>
      </c>
      <c r="U1517" t="s">
        <v>137</v>
      </c>
      <c r="V1517" t="s">
        <v>897</v>
      </c>
      <c r="X1517" t="s">
        <v>64</v>
      </c>
      <c r="AA1517" t="s">
        <v>6468</v>
      </c>
      <c r="AB1517" t="s">
        <v>5</v>
      </c>
      <c r="AC1517" t="s">
        <v>138</v>
      </c>
      <c r="AD1517" t="s">
        <v>128</v>
      </c>
      <c r="AE1517" s="97">
        <f>VLOOKUP(A:A,SUMMERY!AA:AC,2,FALSE)</f>
        <v>46233</v>
      </c>
      <c r="AF1517" s="6" t="str">
        <f>VLOOKUP(A:A,SUMMERY!AA:AC,3,FALSE)</f>
        <v>Priority-1</v>
      </c>
    </row>
    <row r="1518" spans="1:32" x14ac:dyDescent="0.3">
      <c r="A1518" t="s">
        <v>6469</v>
      </c>
      <c r="B1518" t="s">
        <v>4130</v>
      </c>
      <c r="G1518" t="s">
        <v>6467</v>
      </c>
      <c r="H1518" t="s">
        <v>132</v>
      </c>
      <c r="I1518" t="s">
        <v>5</v>
      </c>
      <c r="J1518" t="s">
        <v>5298</v>
      </c>
      <c r="K1518" t="s">
        <v>55</v>
      </c>
      <c r="L1518" t="s">
        <v>4127</v>
      </c>
      <c r="M1518" t="s">
        <v>134</v>
      </c>
      <c r="N1518" t="s">
        <v>135</v>
      </c>
      <c r="Q1518" t="s">
        <v>1765</v>
      </c>
      <c r="T1518" t="s">
        <v>2165</v>
      </c>
      <c r="U1518" t="s">
        <v>137</v>
      </c>
      <c r="V1518" t="s">
        <v>897</v>
      </c>
      <c r="X1518" t="s">
        <v>64</v>
      </c>
      <c r="AA1518" t="s">
        <v>6468</v>
      </c>
      <c r="AB1518" t="s">
        <v>5</v>
      </c>
      <c r="AC1518" t="s">
        <v>138</v>
      </c>
      <c r="AD1518" t="s">
        <v>128</v>
      </c>
      <c r="AE1518" s="97">
        <f>VLOOKUP(A:A,SUMMERY!AA:AC,2,FALSE)</f>
        <v>46233</v>
      </c>
      <c r="AF1518" s="6" t="str">
        <f>VLOOKUP(A:A,SUMMERY!AA:AC,3,FALSE)</f>
        <v>Priority-1</v>
      </c>
    </row>
    <row r="1519" spans="1:32" x14ac:dyDescent="0.3">
      <c r="A1519" t="s">
        <v>6470</v>
      </c>
      <c r="B1519" t="s">
        <v>4132</v>
      </c>
      <c r="G1519" t="s">
        <v>6467</v>
      </c>
      <c r="H1519" t="s">
        <v>132</v>
      </c>
      <c r="I1519" t="s">
        <v>5</v>
      </c>
      <c r="J1519" t="s">
        <v>5298</v>
      </c>
      <c r="K1519" t="s">
        <v>55</v>
      </c>
      <c r="L1519" t="s">
        <v>4127</v>
      </c>
      <c r="M1519" t="s">
        <v>134</v>
      </c>
      <c r="N1519" t="s">
        <v>135</v>
      </c>
      <c r="Q1519" t="s">
        <v>1765</v>
      </c>
      <c r="T1519" t="s">
        <v>2165</v>
      </c>
      <c r="U1519" t="s">
        <v>137</v>
      </c>
      <c r="V1519" t="s">
        <v>897</v>
      </c>
      <c r="X1519" t="s">
        <v>64</v>
      </c>
      <c r="AA1519" t="s">
        <v>6468</v>
      </c>
      <c r="AB1519" t="s">
        <v>5</v>
      </c>
      <c r="AC1519" t="s">
        <v>138</v>
      </c>
      <c r="AD1519" t="s">
        <v>128</v>
      </c>
      <c r="AE1519" s="97">
        <f>VLOOKUP(A:A,SUMMERY!AA:AC,2,FALSE)</f>
        <v>46233</v>
      </c>
      <c r="AF1519" s="6" t="str">
        <f>VLOOKUP(A:A,SUMMERY!AA:AC,3,FALSE)</f>
        <v>Priority-1</v>
      </c>
    </row>
    <row r="1520" spans="1:32" x14ac:dyDescent="0.3">
      <c r="A1520" t="s">
        <v>6471</v>
      </c>
      <c r="B1520" t="s">
        <v>4134</v>
      </c>
      <c r="G1520" t="s">
        <v>6467</v>
      </c>
      <c r="H1520" t="s">
        <v>132</v>
      </c>
      <c r="I1520" t="s">
        <v>5</v>
      </c>
      <c r="J1520" t="s">
        <v>5298</v>
      </c>
      <c r="K1520" t="s">
        <v>55</v>
      </c>
      <c r="L1520" t="s">
        <v>4127</v>
      </c>
      <c r="M1520" t="s">
        <v>134</v>
      </c>
      <c r="N1520" t="s">
        <v>135</v>
      </c>
      <c r="Q1520" t="s">
        <v>1765</v>
      </c>
      <c r="T1520" t="s">
        <v>2165</v>
      </c>
      <c r="U1520" t="s">
        <v>137</v>
      </c>
      <c r="V1520" t="s">
        <v>897</v>
      </c>
      <c r="X1520" t="s">
        <v>64</v>
      </c>
      <c r="AA1520" t="s">
        <v>6468</v>
      </c>
      <c r="AB1520" t="s">
        <v>5</v>
      </c>
      <c r="AC1520" t="s">
        <v>138</v>
      </c>
      <c r="AD1520" t="s">
        <v>128</v>
      </c>
      <c r="AE1520" s="97">
        <f>VLOOKUP(A:A,SUMMERY!AA:AC,2,FALSE)</f>
        <v>46233</v>
      </c>
      <c r="AF1520" s="6" t="str">
        <f>VLOOKUP(A:A,SUMMERY!AA:AC,3,FALSE)</f>
        <v>Priority-1</v>
      </c>
    </row>
    <row r="1521" spans="1:32" x14ac:dyDescent="0.3">
      <c r="A1521" t="s">
        <v>6491</v>
      </c>
      <c r="B1521" t="s">
        <v>4179</v>
      </c>
      <c r="G1521" t="s">
        <v>6467</v>
      </c>
      <c r="H1521" t="s">
        <v>132</v>
      </c>
      <c r="I1521" t="s">
        <v>5</v>
      </c>
      <c r="J1521" t="s">
        <v>5298</v>
      </c>
      <c r="K1521" t="s">
        <v>55</v>
      </c>
      <c r="L1521" t="s">
        <v>2952</v>
      </c>
      <c r="M1521" t="s">
        <v>134</v>
      </c>
      <c r="N1521" t="s">
        <v>135</v>
      </c>
      <c r="Q1521" t="s">
        <v>1765</v>
      </c>
      <c r="T1521" t="s">
        <v>2165</v>
      </c>
      <c r="U1521" t="s">
        <v>137</v>
      </c>
      <c r="V1521" t="s">
        <v>352</v>
      </c>
      <c r="X1521" t="s">
        <v>56</v>
      </c>
      <c r="AA1521" t="s">
        <v>6468</v>
      </c>
      <c r="AB1521" t="s">
        <v>5</v>
      </c>
      <c r="AC1521" t="s">
        <v>138</v>
      </c>
      <c r="AD1521" t="s">
        <v>128</v>
      </c>
      <c r="AE1521" s="97">
        <f>VLOOKUP(A:A,SUMMERY!AA:AC,2,FALSE)</f>
        <v>46233</v>
      </c>
      <c r="AF1521" s="6" t="str">
        <f>VLOOKUP(A:A,SUMMERY!AA:AC,3,FALSE)</f>
        <v>Priority-1</v>
      </c>
    </row>
    <row r="1522" spans="1:32" x14ac:dyDescent="0.3">
      <c r="A1522" t="s">
        <v>6492</v>
      </c>
      <c r="B1522" t="s">
        <v>4181</v>
      </c>
      <c r="G1522" t="s">
        <v>6467</v>
      </c>
      <c r="H1522" t="s">
        <v>132</v>
      </c>
      <c r="I1522" t="s">
        <v>5</v>
      </c>
      <c r="J1522" t="s">
        <v>5298</v>
      </c>
      <c r="K1522" t="s">
        <v>55</v>
      </c>
      <c r="L1522" t="s">
        <v>2970</v>
      </c>
      <c r="M1522" t="s">
        <v>134</v>
      </c>
      <c r="N1522" t="s">
        <v>135</v>
      </c>
      <c r="Q1522" t="s">
        <v>1765</v>
      </c>
      <c r="T1522" t="s">
        <v>2165</v>
      </c>
      <c r="U1522" t="s">
        <v>137</v>
      </c>
      <c r="V1522" t="s">
        <v>352</v>
      </c>
      <c r="X1522" t="s">
        <v>56</v>
      </c>
      <c r="AA1522" t="s">
        <v>6468</v>
      </c>
      <c r="AB1522" t="s">
        <v>5</v>
      </c>
      <c r="AC1522" t="s">
        <v>138</v>
      </c>
      <c r="AD1522" t="s">
        <v>128</v>
      </c>
      <c r="AE1522" s="97">
        <f>VLOOKUP(A:A,SUMMERY!AA:AC,2,FALSE)</f>
        <v>46233</v>
      </c>
      <c r="AF1522" s="6" t="str">
        <f>VLOOKUP(A:A,SUMMERY!AA:AC,3,FALSE)</f>
        <v>Priority-1</v>
      </c>
    </row>
    <row r="1523" spans="1:32" x14ac:dyDescent="0.3">
      <c r="A1523" t="s">
        <v>6493</v>
      </c>
      <c r="B1523" t="s">
        <v>4183</v>
      </c>
      <c r="G1523" t="s">
        <v>6467</v>
      </c>
      <c r="H1523" t="s">
        <v>132</v>
      </c>
      <c r="I1523" t="s">
        <v>5</v>
      </c>
      <c r="J1523" t="s">
        <v>5298</v>
      </c>
      <c r="K1523" t="s">
        <v>55</v>
      </c>
      <c r="L1523" t="s">
        <v>2952</v>
      </c>
      <c r="M1523" t="s">
        <v>134</v>
      </c>
      <c r="N1523" t="s">
        <v>135</v>
      </c>
      <c r="Q1523" t="s">
        <v>1765</v>
      </c>
      <c r="T1523" t="s">
        <v>2165</v>
      </c>
      <c r="U1523" t="s">
        <v>137</v>
      </c>
      <c r="V1523" t="s">
        <v>352</v>
      </c>
      <c r="X1523" t="s">
        <v>56</v>
      </c>
      <c r="AA1523" t="s">
        <v>6468</v>
      </c>
      <c r="AB1523" t="s">
        <v>5</v>
      </c>
      <c r="AC1523" t="s">
        <v>138</v>
      </c>
      <c r="AD1523" t="s">
        <v>128</v>
      </c>
      <c r="AE1523" s="97">
        <f>VLOOKUP(A:A,SUMMERY!AA:AC,2,FALSE)</f>
        <v>46233</v>
      </c>
      <c r="AF1523" s="6" t="str">
        <f>VLOOKUP(A:A,SUMMERY!AA:AC,3,FALSE)</f>
        <v>Priority-1</v>
      </c>
    </row>
    <row r="1524" spans="1:32" x14ac:dyDescent="0.3">
      <c r="A1524" t="s">
        <v>6494</v>
      </c>
      <c r="B1524" t="s">
        <v>4185</v>
      </c>
      <c r="G1524" t="s">
        <v>6467</v>
      </c>
      <c r="H1524" t="s">
        <v>132</v>
      </c>
      <c r="I1524" t="s">
        <v>5</v>
      </c>
      <c r="J1524" t="s">
        <v>5298</v>
      </c>
      <c r="K1524" t="s">
        <v>55</v>
      </c>
      <c r="L1524" t="s">
        <v>2970</v>
      </c>
      <c r="M1524" t="s">
        <v>134</v>
      </c>
      <c r="N1524" t="s">
        <v>135</v>
      </c>
      <c r="Q1524" t="s">
        <v>1765</v>
      </c>
      <c r="T1524" t="s">
        <v>2165</v>
      </c>
      <c r="U1524" t="s">
        <v>137</v>
      </c>
      <c r="V1524" t="s">
        <v>352</v>
      </c>
      <c r="X1524" t="s">
        <v>56</v>
      </c>
      <c r="AA1524" t="s">
        <v>6468</v>
      </c>
      <c r="AB1524" t="s">
        <v>5</v>
      </c>
      <c r="AC1524" t="s">
        <v>138</v>
      </c>
      <c r="AD1524" t="s">
        <v>128</v>
      </c>
      <c r="AE1524" s="97">
        <f>VLOOKUP(A:A,SUMMERY!AA:AC,2,FALSE)</f>
        <v>46233</v>
      </c>
      <c r="AF1524" s="6" t="str">
        <f>VLOOKUP(A:A,SUMMERY!AA:AC,3,FALSE)</f>
        <v>Priority-1</v>
      </c>
    </row>
    <row r="1525" spans="1:32" x14ac:dyDescent="0.3">
      <c r="A1525" t="s">
        <v>6495</v>
      </c>
      <c r="B1525" t="s">
        <v>4187</v>
      </c>
      <c r="G1525" t="s">
        <v>6467</v>
      </c>
      <c r="H1525" t="s">
        <v>132</v>
      </c>
      <c r="I1525" t="s">
        <v>5</v>
      </c>
      <c r="J1525" t="s">
        <v>5298</v>
      </c>
      <c r="K1525" t="s">
        <v>55</v>
      </c>
      <c r="L1525" t="s">
        <v>2952</v>
      </c>
      <c r="M1525" t="s">
        <v>134</v>
      </c>
      <c r="N1525" t="s">
        <v>135</v>
      </c>
      <c r="Q1525" t="s">
        <v>1765</v>
      </c>
      <c r="T1525" t="s">
        <v>2165</v>
      </c>
      <c r="U1525" t="s">
        <v>137</v>
      </c>
      <c r="V1525" t="s">
        <v>352</v>
      </c>
      <c r="X1525" t="s">
        <v>56</v>
      </c>
      <c r="AA1525" t="s">
        <v>6468</v>
      </c>
      <c r="AB1525" t="s">
        <v>5</v>
      </c>
      <c r="AC1525" t="s">
        <v>138</v>
      </c>
      <c r="AD1525" t="s">
        <v>128</v>
      </c>
      <c r="AE1525" s="97">
        <f>VLOOKUP(A:A,SUMMERY!AA:AC,2,FALSE)</f>
        <v>46233</v>
      </c>
      <c r="AF1525" s="6" t="str">
        <f>VLOOKUP(A:A,SUMMERY!AA:AC,3,FALSE)</f>
        <v>Priority-1</v>
      </c>
    </row>
    <row r="1526" spans="1:32" x14ac:dyDescent="0.3">
      <c r="A1526" t="s">
        <v>6496</v>
      </c>
      <c r="B1526" t="s">
        <v>4189</v>
      </c>
      <c r="G1526" t="s">
        <v>6467</v>
      </c>
      <c r="H1526" t="s">
        <v>132</v>
      </c>
      <c r="I1526" t="s">
        <v>5</v>
      </c>
      <c r="J1526" t="s">
        <v>5298</v>
      </c>
      <c r="K1526" t="s">
        <v>55</v>
      </c>
      <c r="L1526" t="s">
        <v>2970</v>
      </c>
      <c r="M1526" t="s">
        <v>134</v>
      </c>
      <c r="N1526" t="s">
        <v>135</v>
      </c>
      <c r="Q1526" t="s">
        <v>1765</v>
      </c>
      <c r="T1526" t="s">
        <v>2165</v>
      </c>
      <c r="U1526" t="s">
        <v>137</v>
      </c>
      <c r="V1526" t="s">
        <v>352</v>
      </c>
      <c r="X1526" t="s">
        <v>56</v>
      </c>
      <c r="AA1526" t="s">
        <v>6468</v>
      </c>
      <c r="AB1526" t="s">
        <v>5</v>
      </c>
      <c r="AC1526" t="s">
        <v>138</v>
      </c>
      <c r="AD1526" t="s">
        <v>128</v>
      </c>
      <c r="AE1526" s="97">
        <f>VLOOKUP(A:A,SUMMERY!AA:AC,2,FALSE)</f>
        <v>46233</v>
      </c>
      <c r="AF1526" s="6" t="str">
        <f>VLOOKUP(A:A,SUMMERY!AA:AC,3,FALSE)</f>
        <v>Priority-1</v>
      </c>
    </row>
    <row r="1527" spans="1:32" x14ac:dyDescent="0.3">
      <c r="A1527" t="s">
        <v>6497</v>
      </c>
      <c r="B1527" t="s">
        <v>4191</v>
      </c>
      <c r="G1527" t="s">
        <v>6467</v>
      </c>
      <c r="H1527" t="s">
        <v>132</v>
      </c>
      <c r="I1527" t="s">
        <v>5</v>
      </c>
      <c r="J1527" t="s">
        <v>5298</v>
      </c>
      <c r="K1527" t="s">
        <v>55</v>
      </c>
      <c r="L1527" t="s">
        <v>4192</v>
      </c>
      <c r="M1527" t="s">
        <v>134</v>
      </c>
      <c r="N1527" t="s">
        <v>135</v>
      </c>
      <c r="Q1527" t="s">
        <v>1765</v>
      </c>
      <c r="T1527" t="s">
        <v>2165</v>
      </c>
      <c r="U1527" t="s">
        <v>137</v>
      </c>
      <c r="V1527" t="s">
        <v>324</v>
      </c>
      <c r="X1527" t="s">
        <v>60</v>
      </c>
      <c r="AA1527" t="s">
        <v>6468</v>
      </c>
      <c r="AB1527" t="s">
        <v>5</v>
      </c>
      <c r="AC1527" t="s">
        <v>138</v>
      </c>
      <c r="AD1527" t="s">
        <v>128</v>
      </c>
      <c r="AE1527" s="97">
        <f>VLOOKUP(A:A,SUMMERY!AA:AC,2,FALSE)</f>
        <v>46220</v>
      </c>
      <c r="AF1527" s="6" t="str">
        <f>VLOOKUP(A:A,SUMMERY!AA:AC,3,FALSE)</f>
        <v>Priority-1</v>
      </c>
    </row>
    <row r="1528" spans="1:32" x14ac:dyDescent="0.3">
      <c r="A1528" t="s">
        <v>6498</v>
      </c>
      <c r="B1528" t="s">
        <v>4194</v>
      </c>
      <c r="G1528" t="s">
        <v>6467</v>
      </c>
      <c r="H1528" t="s">
        <v>132</v>
      </c>
      <c r="I1528" t="s">
        <v>5</v>
      </c>
      <c r="J1528" t="s">
        <v>5298</v>
      </c>
      <c r="K1528" t="s">
        <v>55</v>
      </c>
      <c r="L1528" t="s">
        <v>4195</v>
      </c>
      <c r="M1528" t="s">
        <v>134</v>
      </c>
      <c r="N1528" t="s">
        <v>135</v>
      </c>
      <c r="Q1528" t="s">
        <v>1765</v>
      </c>
      <c r="T1528" t="s">
        <v>2165</v>
      </c>
      <c r="U1528" t="s">
        <v>137</v>
      </c>
      <c r="V1528" t="s">
        <v>328</v>
      </c>
      <c r="X1528" t="s">
        <v>65</v>
      </c>
      <c r="AA1528" t="s">
        <v>6468</v>
      </c>
      <c r="AB1528" t="s">
        <v>5</v>
      </c>
      <c r="AC1528" t="s">
        <v>138</v>
      </c>
      <c r="AD1528" t="s">
        <v>128</v>
      </c>
      <c r="AE1528" s="97">
        <f>VLOOKUP(A:A,SUMMERY!AA:AC,2,FALSE)</f>
        <v>46233</v>
      </c>
      <c r="AF1528" s="6" t="str">
        <f>VLOOKUP(A:A,SUMMERY!AA:AC,3,FALSE)</f>
        <v>Priority-1</v>
      </c>
    </row>
    <row r="1529" spans="1:32" x14ac:dyDescent="0.3">
      <c r="A1529" t="s">
        <v>6504</v>
      </c>
      <c r="B1529" t="s">
        <v>4212</v>
      </c>
      <c r="G1529" t="s">
        <v>6467</v>
      </c>
      <c r="H1529" t="s">
        <v>132</v>
      </c>
      <c r="I1529" t="s">
        <v>5</v>
      </c>
      <c r="J1529" t="s">
        <v>5298</v>
      </c>
      <c r="K1529" t="s">
        <v>55</v>
      </c>
      <c r="L1529" t="s">
        <v>2979</v>
      </c>
      <c r="M1529" t="s">
        <v>134</v>
      </c>
      <c r="N1529" t="s">
        <v>135</v>
      </c>
      <c r="Q1529" t="s">
        <v>1765</v>
      </c>
      <c r="T1529" t="s">
        <v>2165</v>
      </c>
      <c r="U1529" t="s">
        <v>137</v>
      </c>
      <c r="V1529" t="s">
        <v>403</v>
      </c>
      <c r="X1529" t="s">
        <v>68</v>
      </c>
      <c r="AA1529" t="s">
        <v>6468</v>
      </c>
      <c r="AB1529" t="s">
        <v>5</v>
      </c>
      <c r="AC1529" t="s">
        <v>138</v>
      </c>
      <c r="AD1529" t="s">
        <v>128</v>
      </c>
      <c r="AE1529" s="97">
        <f>VLOOKUP(A:A,SUMMERY!AA:AC,2,FALSE)</f>
        <v>46233</v>
      </c>
      <c r="AF1529" s="6" t="str">
        <f>VLOOKUP(A:A,SUMMERY!AA:AC,3,FALSE)</f>
        <v>Priority-1</v>
      </c>
    </row>
    <row r="1530" spans="1:32" x14ac:dyDescent="0.3">
      <c r="A1530" t="s">
        <v>6505</v>
      </c>
      <c r="B1530" t="s">
        <v>4214</v>
      </c>
      <c r="G1530" t="s">
        <v>6467</v>
      </c>
      <c r="H1530" t="s">
        <v>132</v>
      </c>
      <c r="I1530" t="s">
        <v>5</v>
      </c>
      <c r="J1530" t="s">
        <v>5298</v>
      </c>
      <c r="K1530" t="s">
        <v>55</v>
      </c>
      <c r="L1530" t="s">
        <v>2988</v>
      </c>
      <c r="M1530" t="s">
        <v>134</v>
      </c>
      <c r="N1530" t="s">
        <v>135</v>
      </c>
      <c r="Q1530" t="s">
        <v>1765</v>
      </c>
      <c r="T1530" t="s">
        <v>2165</v>
      </c>
      <c r="U1530" t="s">
        <v>137</v>
      </c>
      <c r="V1530" t="s">
        <v>407</v>
      </c>
      <c r="X1530" t="s">
        <v>77</v>
      </c>
      <c r="AA1530" t="s">
        <v>6468</v>
      </c>
      <c r="AB1530" t="s">
        <v>5</v>
      </c>
      <c r="AC1530" t="s">
        <v>138</v>
      </c>
      <c r="AD1530" t="s">
        <v>128</v>
      </c>
      <c r="AE1530" s="97">
        <f>VLOOKUP(A:A,SUMMERY!AA:AC,2,FALSE)</f>
        <v>46233</v>
      </c>
      <c r="AF1530" s="6" t="str">
        <f>VLOOKUP(A:A,SUMMERY!AA:AC,3,FALSE)</f>
        <v>Priority-1</v>
      </c>
    </row>
    <row r="1531" spans="1:32" x14ac:dyDescent="0.3">
      <c r="A1531" t="s">
        <v>6511</v>
      </c>
      <c r="B1531" t="s">
        <v>4226</v>
      </c>
      <c r="G1531" t="s">
        <v>6467</v>
      </c>
      <c r="H1531" t="s">
        <v>132</v>
      </c>
      <c r="I1531" t="s">
        <v>5</v>
      </c>
      <c r="J1531" t="s">
        <v>5298</v>
      </c>
      <c r="K1531" t="s">
        <v>55</v>
      </c>
      <c r="L1531" t="s">
        <v>3042</v>
      </c>
      <c r="M1531" t="s">
        <v>134</v>
      </c>
      <c r="N1531" t="s">
        <v>135</v>
      </c>
      <c r="Q1531" t="s">
        <v>1765</v>
      </c>
      <c r="T1531" t="s">
        <v>2165</v>
      </c>
      <c r="U1531" t="s">
        <v>137</v>
      </c>
      <c r="V1531" t="s">
        <v>296</v>
      </c>
      <c r="X1531" t="s">
        <v>63</v>
      </c>
      <c r="AA1531" t="s">
        <v>6468</v>
      </c>
      <c r="AB1531" t="s">
        <v>5</v>
      </c>
      <c r="AC1531" t="s">
        <v>138</v>
      </c>
      <c r="AD1531" t="s">
        <v>128</v>
      </c>
      <c r="AE1531" s="97">
        <f>VLOOKUP(A:A,SUMMERY!AA:AC,2,FALSE)</f>
        <v>46220</v>
      </c>
      <c r="AF1531" s="6" t="str">
        <f>VLOOKUP(A:A,SUMMERY!AA:AC,3,FALSE)</f>
        <v>Priority-1</v>
      </c>
    </row>
    <row r="1532" spans="1:32" x14ac:dyDescent="0.3">
      <c r="A1532" t="s">
        <v>6512</v>
      </c>
      <c r="B1532" t="s">
        <v>4228</v>
      </c>
      <c r="G1532" t="s">
        <v>6467</v>
      </c>
      <c r="H1532" t="s">
        <v>132</v>
      </c>
      <c r="I1532" t="s">
        <v>5</v>
      </c>
      <c r="J1532" t="s">
        <v>5298</v>
      </c>
      <c r="K1532" t="s">
        <v>55</v>
      </c>
      <c r="L1532" t="s">
        <v>3055</v>
      </c>
      <c r="M1532" t="s">
        <v>134</v>
      </c>
      <c r="N1532" t="s">
        <v>135</v>
      </c>
      <c r="Q1532" t="s">
        <v>1765</v>
      </c>
      <c r="T1532" t="s">
        <v>2165</v>
      </c>
      <c r="U1532" t="s">
        <v>137</v>
      </c>
      <c r="V1532" t="s">
        <v>300</v>
      </c>
      <c r="X1532" t="s">
        <v>72</v>
      </c>
      <c r="AA1532" t="s">
        <v>6468</v>
      </c>
      <c r="AB1532" t="s">
        <v>5</v>
      </c>
      <c r="AC1532" t="s">
        <v>138</v>
      </c>
      <c r="AD1532" t="s">
        <v>128</v>
      </c>
      <c r="AE1532" s="97">
        <f>VLOOKUP(A:A,SUMMERY!AA:AC,2,FALSE)</f>
        <v>46234</v>
      </c>
      <c r="AF1532" s="6" t="str">
        <f>VLOOKUP(A:A,SUMMERY!AA:AC,3,FALSE)</f>
        <v>Priority-1</v>
      </c>
    </row>
    <row r="1533" spans="1:32" x14ac:dyDescent="0.3">
      <c r="A1533" t="s">
        <v>6519</v>
      </c>
      <c r="B1533" t="s">
        <v>4243</v>
      </c>
      <c r="G1533" t="s">
        <v>6467</v>
      </c>
      <c r="H1533" t="s">
        <v>132</v>
      </c>
      <c r="I1533" t="s">
        <v>5</v>
      </c>
      <c r="J1533" t="s">
        <v>5298</v>
      </c>
      <c r="K1533" t="s">
        <v>55</v>
      </c>
      <c r="L1533" t="s">
        <v>4244</v>
      </c>
      <c r="M1533" t="s">
        <v>134</v>
      </c>
      <c r="N1533" t="s">
        <v>135</v>
      </c>
      <c r="Q1533" t="s">
        <v>1765</v>
      </c>
      <c r="T1533" t="s">
        <v>2165</v>
      </c>
      <c r="U1533" t="s">
        <v>137</v>
      </c>
      <c r="V1533" t="s">
        <v>156</v>
      </c>
      <c r="X1533" t="s">
        <v>97</v>
      </c>
      <c r="AA1533" t="s">
        <v>6468</v>
      </c>
      <c r="AB1533" t="s">
        <v>5</v>
      </c>
      <c r="AC1533" t="s">
        <v>138</v>
      </c>
      <c r="AD1533" t="s">
        <v>129</v>
      </c>
      <c r="AE1533" s="97">
        <f>VLOOKUP(A:A,SUMMERY!AA:AC,2,FALSE)</f>
        <v>46233</v>
      </c>
      <c r="AF1533" s="6" t="str">
        <f>VLOOKUP(A:A,SUMMERY!AA:AC,3,FALSE)</f>
        <v>Priority-1</v>
      </c>
    </row>
    <row r="1534" spans="1:32" x14ac:dyDescent="0.3">
      <c r="A1534" t="s">
        <v>6520</v>
      </c>
      <c r="B1534" t="s">
        <v>4246</v>
      </c>
      <c r="G1534" t="s">
        <v>6467</v>
      </c>
      <c r="H1534" t="s">
        <v>132</v>
      </c>
      <c r="I1534" t="s">
        <v>5</v>
      </c>
      <c r="J1534" t="s">
        <v>5298</v>
      </c>
      <c r="K1534" t="s">
        <v>55</v>
      </c>
      <c r="L1534" t="s">
        <v>4244</v>
      </c>
      <c r="M1534" t="s">
        <v>134</v>
      </c>
      <c r="N1534" t="s">
        <v>135</v>
      </c>
      <c r="Q1534" t="s">
        <v>1765</v>
      </c>
      <c r="T1534" t="s">
        <v>2165</v>
      </c>
      <c r="U1534" t="s">
        <v>137</v>
      </c>
      <c r="V1534" t="s">
        <v>156</v>
      </c>
      <c r="X1534" t="s">
        <v>97</v>
      </c>
      <c r="AA1534" t="s">
        <v>6468</v>
      </c>
      <c r="AB1534" t="s">
        <v>5</v>
      </c>
      <c r="AC1534" t="s">
        <v>138</v>
      </c>
      <c r="AD1534" t="s">
        <v>129</v>
      </c>
      <c r="AE1534" s="97">
        <f>VLOOKUP(A:A,SUMMERY!AA:AC,2,FALSE)</f>
        <v>46233</v>
      </c>
      <c r="AF1534" s="6" t="str">
        <f>VLOOKUP(A:A,SUMMERY!AA:AC,3,FALSE)</f>
        <v>Priority-1</v>
      </c>
    </row>
    <row r="1535" spans="1:32" x14ac:dyDescent="0.3">
      <c r="A1535" t="s">
        <v>6521</v>
      </c>
      <c r="B1535" t="s">
        <v>4248</v>
      </c>
      <c r="G1535" t="s">
        <v>6467</v>
      </c>
      <c r="H1535" t="s">
        <v>132</v>
      </c>
      <c r="I1535" t="s">
        <v>5</v>
      </c>
      <c r="J1535" t="s">
        <v>5298</v>
      </c>
      <c r="K1535" t="s">
        <v>55</v>
      </c>
      <c r="L1535" t="s">
        <v>4244</v>
      </c>
      <c r="M1535" t="s">
        <v>134</v>
      </c>
      <c r="N1535" t="s">
        <v>135</v>
      </c>
      <c r="Q1535" t="s">
        <v>1765</v>
      </c>
      <c r="T1535" t="s">
        <v>2165</v>
      </c>
      <c r="U1535" t="s">
        <v>137</v>
      </c>
      <c r="V1535" t="s">
        <v>156</v>
      </c>
      <c r="X1535" t="s">
        <v>97</v>
      </c>
      <c r="AA1535" t="s">
        <v>6468</v>
      </c>
      <c r="AB1535" t="s">
        <v>5</v>
      </c>
      <c r="AC1535" t="s">
        <v>138</v>
      </c>
      <c r="AD1535" t="s">
        <v>129</v>
      </c>
      <c r="AE1535" s="97">
        <f>VLOOKUP(A:A,SUMMERY!AA:AC,2,FALSE)</f>
        <v>46233</v>
      </c>
      <c r="AF1535" s="6" t="str">
        <f>VLOOKUP(A:A,SUMMERY!AA:AC,3,FALSE)</f>
        <v>Priority-1</v>
      </c>
    </row>
    <row r="1536" spans="1:32" x14ac:dyDescent="0.3">
      <c r="A1536" t="s">
        <v>6524</v>
      </c>
      <c r="B1536" t="s">
        <v>4255</v>
      </c>
      <c r="G1536" t="s">
        <v>6467</v>
      </c>
      <c r="H1536" t="s">
        <v>132</v>
      </c>
      <c r="I1536" t="s">
        <v>5</v>
      </c>
      <c r="J1536" t="s">
        <v>5298</v>
      </c>
      <c r="K1536" t="s">
        <v>55</v>
      </c>
      <c r="L1536" t="s">
        <v>4256</v>
      </c>
      <c r="M1536" t="s">
        <v>134</v>
      </c>
      <c r="N1536" t="s">
        <v>135</v>
      </c>
      <c r="Q1536" t="s">
        <v>1765</v>
      </c>
      <c r="T1536" t="s">
        <v>2165</v>
      </c>
      <c r="U1536" t="s">
        <v>137</v>
      </c>
      <c r="V1536" t="s">
        <v>162</v>
      </c>
      <c r="X1536" t="s">
        <v>113</v>
      </c>
      <c r="AA1536" t="s">
        <v>6468</v>
      </c>
      <c r="AB1536" t="s">
        <v>5</v>
      </c>
      <c r="AC1536" t="s">
        <v>138</v>
      </c>
      <c r="AD1536" t="s">
        <v>129</v>
      </c>
      <c r="AE1536" s="97">
        <f>VLOOKUP(A:A,SUMMERY!AA:AC,2,FALSE)</f>
        <v>46234</v>
      </c>
      <c r="AF1536" s="6" t="str">
        <f>VLOOKUP(A:A,SUMMERY!AA:AC,3,FALSE)</f>
        <v>Priority-1</v>
      </c>
    </row>
    <row r="1537" spans="1:32" x14ac:dyDescent="0.3">
      <c r="A1537" t="s">
        <v>6525</v>
      </c>
      <c r="B1537" t="s">
        <v>4258</v>
      </c>
      <c r="G1537" t="s">
        <v>6467</v>
      </c>
      <c r="H1537" t="s">
        <v>132</v>
      </c>
      <c r="I1537" t="s">
        <v>5</v>
      </c>
      <c r="J1537" t="s">
        <v>5298</v>
      </c>
      <c r="K1537" t="s">
        <v>55</v>
      </c>
      <c r="L1537" t="s">
        <v>4259</v>
      </c>
      <c r="M1537" t="s">
        <v>134</v>
      </c>
      <c r="N1537" t="s">
        <v>135</v>
      </c>
      <c r="Q1537" t="s">
        <v>1765</v>
      </c>
      <c r="T1537" t="s">
        <v>2165</v>
      </c>
      <c r="U1537" t="s">
        <v>137</v>
      </c>
      <c r="V1537" t="s">
        <v>162</v>
      </c>
      <c r="X1537" t="s">
        <v>113</v>
      </c>
      <c r="AA1537" t="s">
        <v>6468</v>
      </c>
      <c r="AB1537" t="s">
        <v>5</v>
      </c>
      <c r="AC1537" t="s">
        <v>138</v>
      </c>
      <c r="AD1537" t="s">
        <v>129</v>
      </c>
      <c r="AE1537" s="97">
        <f>VLOOKUP(A:A,SUMMERY!AA:AC,2,FALSE)</f>
        <v>46234</v>
      </c>
      <c r="AF1537" s="6" t="str">
        <f>VLOOKUP(A:A,SUMMERY!AA:AC,3,FALSE)</f>
        <v>Priority-1</v>
      </c>
    </row>
    <row r="1538" spans="1:32" x14ac:dyDescent="0.3">
      <c r="A1538" t="s">
        <v>6526</v>
      </c>
      <c r="B1538" t="s">
        <v>4261</v>
      </c>
      <c r="G1538" t="s">
        <v>6467</v>
      </c>
      <c r="H1538" t="s">
        <v>132</v>
      </c>
      <c r="I1538" t="s">
        <v>5</v>
      </c>
      <c r="J1538" t="s">
        <v>5298</v>
      </c>
      <c r="K1538" t="s">
        <v>55</v>
      </c>
      <c r="L1538" t="s">
        <v>4259</v>
      </c>
      <c r="M1538" t="s">
        <v>134</v>
      </c>
      <c r="N1538" t="s">
        <v>135</v>
      </c>
      <c r="Q1538" t="s">
        <v>1765</v>
      </c>
      <c r="T1538" t="s">
        <v>2165</v>
      </c>
      <c r="U1538" t="s">
        <v>137</v>
      </c>
      <c r="V1538" t="s">
        <v>162</v>
      </c>
      <c r="X1538" t="s">
        <v>113</v>
      </c>
      <c r="AA1538" t="s">
        <v>6468</v>
      </c>
      <c r="AB1538" t="s">
        <v>5</v>
      </c>
      <c r="AC1538" t="s">
        <v>138</v>
      </c>
      <c r="AD1538" t="s">
        <v>129</v>
      </c>
      <c r="AE1538" s="97">
        <f>VLOOKUP(A:A,SUMMERY!AA:AC,2,FALSE)</f>
        <v>46234</v>
      </c>
      <c r="AF1538" s="6" t="str">
        <f>VLOOKUP(A:A,SUMMERY!AA:AC,3,FALSE)</f>
        <v>Priority-1</v>
      </c>
    </row>
    <row r="1539" spans="1:32" x14ac:dyDescent="0.3">
      <c r="A1539" t="s">
        <v>6527</v>
      </c>
      <c r="B1539" t="s">
        <v>4263</v>
      </c>
      <c r="G1539" t="s">
        <v>6467</v>
      </c>
      <c r="H1539" t="s">
        <v>132</v>
      </c>
      <c r="I1539" t="s">
        <v>5</v>
      </c>
      <c r="J1539" t="s">
        <v>5298</v>
      </c>
      <c r="K1539" t="s">
        <v>55</v>
      </c>
      <c r="L1539" t="s">
        <v>4259</v>
      </c>
      <c r="M1539" t="s">
        <v>134</v>
      </c>
      <c r="N1539" t="s">
        <v>135</v>
      </c>
      <c r="Q1539" t="s">
        <v>1765</v>
      </c>
      <c r="T1539" t="s">
        <v>2165</v>
      </c>
      <c r="U1539" t="s">
        <v>137</v>
      </c>
      <c r="V1539" t="s">
        <v>162</v>
      </c>
      <c r="X1539" t="s">
        <v>113</v>
      </c>
      <c r="AA1539" t="s">
        <v>6468</v>
      </c>
      <c r="AB1539" t="s">
        <v>5</v>
      </c>
      <c r="AC1539" t="s">
        <v>138</v>
      </c>
      <c r="AD1539" t="s">
        <v>129</v>
      </c>
      <c r="AE1539" s="97">
        <f>VLOOKUP(A:A,SUMMERY!AA:AC,2,FALSE)</f>
        <v>46234</v>
      </c>
      <c r="AF1539" s="6" t="str">
        <f>VLOOKUP(A:A,SUMMERY!AA:AC,3,FALSE)</f>
        <v>Priority-1</v>
      </c>
    </row>
    <row r="1540" spans="1:32" x14ac:dyDescent="0.3">
      <c r="A1540" t="s">
        <v>6528</v>
      </c>
      <c r="B1540" t="s">
        <v>4265</v>
      </c>
      <c r="G1540" t="s">
        <v>6467</v>
      </c>
      <c r="H1540" t="s">
        <v>132</v>
      </c>
      <c r="I1540" t="s">
        <v>5</v>
      </c>
      <c r="J1540" t="s">
        <v>5298</v>
      </c>
      <c r="K1540" t="s">
        <v>55</v>
      </c>
      <c r="L1540" t="s">
        <v>4266</v>
      </c>
      <c r="M1540" t="s">
        <v>134</v>
      </c>
      <c r="N1540" t="s">
        <v>135</v>
      </c>
      <c r="Q1540" t="s">
        <v>1765</v>
      </c>
      <c r="T1540" t="s">
        <v>2165</v>
      </c>
      <c r="U1540" t="s">
        <v>137</v>
      </c>
      <c r="V1540" t="s">
        <v>162</v>
      </c>
      <c r="X1540" t="s">
        <v>113</v>
      </c>
      <c r="AA1540" t="s">
        <v>6468</v>
      </c>
      <c r="AB1540" t="s">
        <v>5</v>
      </c>
      <c r="AC1540" t="s">
        <v>138</v>
      </c>
      <c r="AD1540" t="s">
        <v>129</v>
      </c>
      <c r="AE1540" s="97">
        <f>VLOOKUP(A:A,SUMMERY!AA:AC,2,FALSE)</f>
        <v>46234</v>
      </c>
      <c r="AF1540" s="6" t="str">
        <f>VLOOKUP(A:A,SUMMERY!AA:AC,3,FALSE)</f>
        <v>Priority-1</v>
      </c>
    </row>
    <row r="1541" spans="1:32" x14ac:dyDescent="0.3">
      <c r="A1541" t="s">
        <v>6529</v>
      </c>
      <c r="B1541" t="s">
        <v>4268</v>
      </c>
      <c r="G1541" t="s">
        <v>6467</v>
      </c>
      <c r="H1541" t="s">
        <v>132</v>
      </c>
      <c r="I1541" t="s">
        <v>5</v>
      </c>
      <c r="J1541" t="s">
        <v>5298</v>
      </c>
      <c r="K1541" t="s">
        <v>55</v>
      </c>
      <c r="L1541" t="s">
        <v>4266</v>
      </c>
      <c r="M1541" t="s">
        <v>134</v>
      </c>
      <c r="N1541" t="s">
        <v>135</v>
      </c>
      <c r="Q1541" t="s">
        <v>1765</v>
      </c>
      <c r="T1541" t="s">
        <v>2165</v>
      </c>
      <c r="U1541" t="s">
        <v>137</v>
      </c>
      <c r="V1541" t="s">
        <v>162</v>
      </c>
      <c r="X1541" t="s">
        <v>113</v>
      </c>
      <c r="AA1541" t="s">
        <v>6468</v>
      </c>
      <c r="AB1541" t="s">
        <v>5</v>
      </c>
      <c r="AC1541" t="s">
        <v>138</v>
      </c>
      <c r="AD1541" t="s">
        <v>129</v>
      </c>
      <c r="AE1541" s="97">
        <f>VLOOKUP(A:A,SUMMERY!AA:AC,2,FALSE)</f>
        <v>46234</v>
      </c>
      <c r="AF1541" s="6" t="str">
        <f>VLOOKUP(A:A,SUMMERY!AA:AC,3,FALSE)</f>
        <v>Priority-1</v>
      </c>
    </row>
    <row r="1542" spans="1:32" x14ac:dyDescent="0.3">
      <c r="A1542" t="s">
        <v>6530</v>
      </c>
      <c r="B1542" t="s">
        <v>4270</v>
      </c>
      <c r="G1542" t="s">
        <v>6467</v>
      </c>
      <c r="H1542" t="s">
        <v>132</v>
      </c>
      <c r="I1542" t="s">
        <v>5</v>
      </c>
      <c r="J1542" t="s">
        <v>5298</v>
      </c>
      <c r="K1542" t="s">
        <v>55</v>
      </c>
      <c r="L1542" t="s">
        <v>3206</v>
      </c>
      <c r="M1542" t="s">
        <v>134</v>
      </c>
      <c r="N1542" t="s">
        <v>135</v>
      </c>
      <c r="Q1542" t="s">
        <v>1765</v>
      </c>
      <c r="T1542" t="s">
        <v>2165</v>
      </c>
      <c r="U1542" t="s">
        <v>137</v>
      </c>
      <c r="V1542" t="s">
        <v>358</v>
      </c>
      <c r="X1542" t="s">
        <v>124</v>
      </c>
      <c r="AA1542" t="s">
        <v>6468</v>
      </c>
      <c r="AB1542" t="s">
        <v>5</v>
      </c>
      <c r="AC1542" t="s">
        <v>138</v>
      </c>
      <c r="AD1542" t="s">
        <v>130</v>
      </c>
      <c r="AE1542" s="97">
        <f>VLOOKUP(A:A,SUMMERY!AA:AC,2,FALSE)</f>
        <v>46234</v>
      </c>
      <c r="AF1542" s="6" t="str">
        <f>VLOOKUP(A:A,SUMMERY!AA:AC,3,FALSE)</f>
        <v>Priority-1</v>
      </c>
    </row>
    <row r="1543" spans="1:32" x14ac:dyDescent="0.3">
      <c r="A1543" t="s">
        <v>6531</v>
      </c>
      <c r="B1543" t="s">
        <v>4272</v>
      </c>
      <c r="G1543" t="s">
        <v>6467</v>
      </c>
      <c r="H1543" t="s">
        <v>132</v>
      </c>
      <c r="I1543" t="s">
        <v>5</v>
      </c>
      <c r="J1543" t="s">
        <v>5298</v>
      </c>
      <c r="K1543" t="s">
        <v>55</v>
      </c>
      <c r="L1543" t="s">
        <v>3358</v>
      </c>
      <c r="M1543" t="s">
        <v>134</v>
      </c>
      <c r="N1543" t="s">
        <v>135</v>
      </c>
      <c r="Q1543" t="s">
        <v>1765</v>
      </c>
      <c r="T1543" t="s">
        <v>2165</v>
      </c>
      <c r="U1543" t="s">
        <v>137</v>
      </c>
      <c r="V1543" t="s">
        <v>1239</v>
      </c>
      <c r="X1543" t="s">
        <v>127</v>
      </c>
      <c r="AA1543" t="s">
        <v>6468</v>
      </c>
      <c r="AB1543" t="s">
        <v>5</v>
      </c>
      <c r="AC1543" t="s">
        <v>138</v>
      </c>
      <c r="AD1543" t="s">
        <v>131</v>
      </c>
      <c r="AE1543" s="97">
        <f>VLOOKUP(A:A,SUMMERY!AA:AC,2,FALSE)</f>
        <v>46234</v>
      </c>
      <c r="AF1543" s="6" t="str">
        <f>VLOOKUP(A:A,SUMMERY!AA:AC,3,FALSE)</f>
        <v>Priority-2</v>
      </c>
    </row>
    <row r="1544" spans="1:32" x14ac:dyDescent="0.3">
      <c r="A1544" t="s">
        <v>6532</v>
      </c>
      <c r="B1544" t="s">
        <v>4274</v>
      </c>
      <c r="G1544" t="s">
        <v>6467</v>
      </c>
      <c r="H1544" t="s">
        <v>132</v>
      </c>
      <c r="I1544" t="s">
        <v>5</v>
      </c>
      <c r="J1544" t="s">
        <v>5298</v>
      </c>
      <c r="K1544" t="s">
        <v>55</v>
      </c>
      <c r="L1544" t="s">
        <v>3373</v>
      </c>
      <c r="M1544" t="s">
        <v>134</v>
      </c>
      <c r="N1544" t="s">
        <v>135</v>
      </c>
      <c r="Q1544" t="s">
        <v>1765</v>
      </c>
      <c r="T1544" t="s">
        <v>2165</v>
      </c>
      <c r="U1544" t="s">
        <v>137</v>
      </c>
      <c r="V1544" t="s">
        <v>1249</v>
      </c>
      <c r="X1544" t="s">
        <v>61</v>
      </c>
      <c r="AA1544" t="s">
        <v>6468</v>
      </c>
      <c r="AB1544" t="s">
        <v>5</v>
      </c>
      <c r="AC1544" t="s">
        <v>138</v>
      </c>
      <c r="AD1544" t="s">
        <v>128</v>
      </c>
      <c r="AE1544" s="97">
        <f>VLOOKUP(A:A,SUMMERY!AA:AC,2,FALSE)</f>
        <v>46224</v>
      </c>
      <c r="AF1544" s="6" t="str">
        <f>VLOOKUP(A:A,SUMMERY!AA:AC,3,FALSE)</f>
        <v>Priority-1</v>
      </c>
    </row>
    <row r="1545" spans="1:32" x14ac:dyDescent="0.3">
      <c r="A1545" t="s">
        <v>6533</v>
      </c>
      <c r="B1545" t="s">
        <v>1886</v>
      </c>
      <c r="G1545" t="s">
        <v>6534</v>
      </c>
      <c r="H1545" t="s">
        <v>132</v>
      </c>
      <c r="I1545" t="s">
        <v>3</v>
      </c>
      <c r="J1545" t="s">
        <v>133</v>
      </c>
      <c r="K1545" t="s">
        <v>53</v>
      </c>
      <c r="L1545" t="s">
        <v>1887</v>
      </c>
      <c r="M1545" t="s">
        <v>134</v>
      </c>
      <c r="N1545" t="s">
        <v>135</v>
      </c>
      <c r="Q1545" t="s">
        <v>139</v>
      </c>
      <c r="T1545" t="s">
        <v>1888</v>
      </c>
      <c r="U1545" t="s">
        <v>137</v>
      </c>
      <c r="V1545" t="s">
        <v>147</v>
      </c>
      <c r="W1545" s="9">
        <v>45540.222380405095</v>
      </c>
      <c r="X1545" t="s">
        <v>70</v>
      </c>
      <c r="AA1545" t="s">
        <v>5059</v>
      </c>
      <c r="AB1545" t="s">
        <v>3</v>
      </c>
      <c r="AC1545" t="s">
        <v>24</v>
      </c>
      <c r="AD1545" t="s">
        <v>128</v>
      </c>
      <c r="AE1545" s="97">
        <f>VLOOKUP(A:A,SUMMERY!AA:AC,2,FALSE)</f>
        <v>46220</v>
      </c>
      <c r="AF1545" s="6" t="str">
        <f>VLOOKUP(A:A,SUMMERY!AA:AC,3,FALSE)</f>
        <v>Priority-1</v>
      </c>
    </row>
    <row r="1546" spans="1:32" x14ac:dyDescent="0.3">
      <c r="A1546" t="s">
        <v>6535</v>
      </c>
      <c r="B1546" t="s">
        <v>1890</v>
      </c>
      <c r="G1546" t="s">
        <v>6534</v>
      </c>
      <c r="H1546" t="s">
        <v>132</v>
      </c>
      <c r="I1546" t="s">
        <v>3</v>
      </c>
      <c r="J1546" t="s">
        <v>133</v>
      </c>
      <c r="K1546" t="s">
        <v>53</v>
      </c>
      <c r="L1546" t="s">
        <v>1891</v>
      </c>
      <c r="M1546" t="s">
        <v>134</v>
      </c>
      <c r="N1546" t="s">
        <v>135</v>
      </c>
      <c r="Q1546" t="s">
        <v>139</v>
      </c>
      <c r="T1546" t="s">
        <v>1892</v>
      </c>
      <c r="U1546" t="s">
        <v>137</v>
      </c>
      <c r="V1546" t="s">
        <v>150</v>
      </c>
      <c r="W1546" s="9">
        <v>45540.22278113426</v>
      </c>
      <c r="X1546" t="s">
        <v>76</v>
      </c>
      <c r="AA1546" t="s">
        <v>5059</v>
      </c>
      <c r="AB1546" t="s">
        <v>3</v>
      </c>
      <c r="AC1546" t="s">
        <v>24</v>
      </c>
      <c r="AD1546" t="s">
        <v>128</v>
      </c>
      <c r="AE1546" s="97">
        <f>VLOOKUP(A:A,SUMMERY!AA:AC,2,FALSE)</f>
        <v>46233</v>
      </c>
      <c r="AF1546" s="6" t="str">
        <f>VLOOKUP(A:A,SUMMERY!AA:AC,3,FALSE)</f>
        <v>Priority-1</v>
      </c>
    </row>
    <row r="1547" spans="1:32" x14ac:dyDescent="0.3">
      <c r="A1547" t="s">
        <v>6541</v>
      </c>
      <c r="B1547" t="s">
        <v>1914</v>
      </c>
      <c r="G1547" t="s">
        <v>6534</v>
      </c>
      <c r="H1547" t="s">
        <v>132</v>
      </c>
      <c r="I1547" t="s">
        <v>3</v>
      </c>
      <c r="J1547" t="s">
        <v>133</v>
      </c>
      <c r="K1547" t="s">
        <v>53</v>
      </c>
      <c r="L1547" t="s">
        <v>1915</v>
      </c>
      <c r="M1547" t="s">
        <v>134</v>
      </c>
      <c r="N1547" t="s">
        <v>135</v>
      </c>
      <c r="Q1547" t="s">
        <v>139</v>
      </c>
      <c r="U1547" t="s">
        <v>137</v>
      </c>
      <c r="V1547" t="s">
        <v>362</v>
      </c>
      <c r="W1547" s="9">
        <v>45744.519576620369</v>
      </c>
      <c r="X1547" t="s">
        <v>58</v>
      </c>
      <c r="AA1547" t="s">
        <v>5059</v>
      </c>
      <c r="AB1547" t="s">
        <v>3</v>
      </c>
      <c r="AC1547" t="s">
        <v>24</v>
      </c>
      <c r="AD1547" t="s">
        <v>128</v>
      </c>
      <c r="AE1547" s="97">
        <f>VLOOKUP(A:A,SUMMERY!AA:AC,2,FALSE)</f>
        <v>46220</v>
      </c>
      <c r="AF1547" s="6" t="str">
        <f>VLOOKUP(A:A,SUMMERY!AA:AC,3,FALSE)</f>
        <v>Priority-1</v>
      </c>
    </row>
    <row r="1548" spans="1:32" x14ac:dyDescent="0.3">
      <c r="A1548" t="s">
        <v>6542</v>
      </c>
      <c r="B1548" t="s">
        <v>1918</v>
      </c>
      <c r="G1548" t="s">
        <v>6534</v>
      </c>
      <c r="H1548" t="s">
        <v>132</v>
      </c>
      <c r="I1548" t="s">
        <v>3</v>
      </c>
      <c r="J1548" t="s">
        <v>133</v>
      </c>
      <c r="K1548" t="s">
        <v>53</v>
      </c>
      <c r="L1548" t="s">
        <v>1919</v>
      </c>
      <c r="M1548" t="s">
        <v>134</v>
      </c>
      <c r="N1548" t="s">
        <v>135</v>
      </c>
      <c r="Q1548" t="s">
        <v>139</v>
      </c>
      <c r="U1548" t="s">
        <v>137</v>
      </c>
      <c r="V1548" t="s">
        <v>403</v>
      </c>
      <c r="W1548" s="9">
        <v>45744.519910451389</v>
      </c>
      <c r="X1548" t="s">
        <v>68</v>
      </c>
      <c r="AA1548" t="s">
        <v>5059</v>
      </c>
      <c r="AB1548" t="s">
        <v>3</v>
      </c>
      <c r="AC1548" t="s">
        <v>24</v>
      </c>
      <c r="AD1548" t="s">
        <v>128</v>
      </c>
      <c r="AE1548" s="97">
        <f>VLOOKUP(A:A,SUMMERY!AA:AC,2,FALSE)</f>
        <v>46233</v>
      </c>
      <c r="AF1548" s="6" t="str">
        <f>VLOOKUP(A:A,SUMMERY!AA:AC,3,FALSE)</f>
        <v>Priority-1</v>
      </c>
    </row>
    <row r="1549" spans="1:32" x14ac:dyDescent="0.3">
      <c r="A1549" t="s">
        <v>6543</v>
      </c>
      <c r="B1549" t="s">
        <v>1922</v>
      </c>
      <c r="G1549" t="s">
        <v>6534</v>
      </c>
      <c r="H1549" t="s">
        <v>132</v>
      </c>
      <c r="I1549" t="s">
        <v>3</v>
      </c>
      <c r="J1549" t="s">
        <v>133</v>
      </c>
      <c r="K1549" t="s">
        <v>53</v>
      </c>
      <c r="L1549" t="s">
        <v>1919</v>
      </c>
      <c r="M1549" t="s">
        <v>134</v>
      </c>
      <c r="N1549" t="s">
        <v>135</v>
      </c>
      <c r="Q1549" t="s">
        <v>139</v>
      </c>
      <c r="U1549" t="s">
        <v>137</v>
      </c>
      <c r="V1549" t="s">
        <v>407</v>
      </c>
      <c r="W1549" s="9">
        <v>45744.5204556713</v>
      </c>
      <c r="X1549" t="s">
        <v>77</v>
      </c>
      <c r="AA1549" t="s">
        <v>5059</v>
      </c>
      <c r="AB1549" t="s">
        <v>3</v>
      </c>
      <c r="AC1549" t="s">
        <v>24</v>
      </c>
      <c r="AD1549" t="s">
        <v>128</v>
      </c>
      <c r="AE1549" s="97">
        <f>VLOOKUP(A:A,SUMMERY!AA:AC,2,FALSE)</f>
        <v>46233</v>
      </c>
      <c r="AF1549" s="6" t="str">
        <f>VLOOKUP(A:A,SUMMERY!AA:AC,3,FALSE)</f>
        <v>Priority-1</v>
      </c>
    </row>
    <row r="1550" spans="1:32" x14ac:dyDescent="0.3">
      <c r="A1550" t="s">
        <v>6549</v>
      </c>
      <c r="B1550" t="s">
        <v>1934</v>
      </c>
      <c r="G1550" t="s">
        <v>6534</v>
      </c>
      <c r="H1550" t="s">
        <v>132</v>
      </c>
      <c r="I1550" t="s">
        <v>3</v>
      </c>
      <c r="J1550" t="s">
        <v>133</v>
      </c>
      <c r="K1550" t="s">
        <v>53</v>
      </c>
      <c r="L1550" t="s">
        <v>1935</v>
      </c>
      <c r="M1550" t="s">
        <v>134</v>
      </c>
      <c r="N1550" t="s">
        <v>135</v>
      </c>
      <c r="Q1550" t="s">
        <v>139</v>
      </c>
      <c r="U1550" t="s">
        <v>137</v>
      </c>
      <c r="V1550" t="s">
        <v>640</v>
      </c>
      <c r="W1550" s="9">
        <v>45782.502413738424</v>
      </c>
      <c r="X1550" t="s">
        <v>66</v>
      </c>
      <c r="AA1550" t="s">
        <v>5059</v>
      </c>
      <c r="AB1550" t="s">
        <v>3</v>
      </c>
      <c r="AC1550" t="s">
        <v>24</v>
      </c>
      <c r="AD1550" t="s">
        <v>128</v>
      </c>
      <c r="AE1550" s="97">
        <f>VLOOKUP(A:A,SUMMERY!AA:AC,2,FALSE)</f>
        <v>46220</v>
      </c>
      <c r="AF1550" s="6" t="str">
        <f>VLOOKUP(A:A,SUMMERY!AA:AC,3,FALSE)</f>
        <v>Priority-1</v>
      </c>
    </row>
    <row r="1551" spans="1:32" x14ac:dyDescent="0.3">
      <c r="A1551" t="s">
        <v>6550</v>
      </c>
      <c r="B1551" t="s">
        <v>1938</v>
      </c>
      <c r="G1551" t="s">
        <v>6534</v>
      </c>
      <c r="H1551" t="s">
        <v>132</v>
      </c>
      <c r="I1551" t="s">
        <v>3</v>
      </c>
      <c r="J1551" t="s">
        <v>133</v>
      </c>
      <c r="K1551" t="s">
        <v>53</v>
      </c>
      <c r="L1551" t="s">
        <v>1935</v>
      </c>
      <c r="M1551" t="s">
        <v>134</v>
      </c>
      <c r="N1551" t="s">
        <v>135</v>
      </c>
      <c r="Q1551" t="s">
        <v>139</v>
      </c>
      <c r="U1551" t="s">
        <v>137</v>
      </c>
      <c r="V1551" t="s">
        <v>646</v>
      </c>
      <c r="W1551" s="9">
        <v>45744.549953969909</v>
      </c>
      <c r="X1551" t="s">
        <v>74</v>
      </c>
      <c r="AA1551" t="s">
        <v>5059</v>
      </c>
      <c r="AB1551" t="s">
        <v>3</v>
      </c>
      <c r="AC1551" t="s">
        <v>24</v>
      </c>
      <c r="AD1551" t="s">
        <v>128</v>
      </c>
      <c r="AE1551" s="97">
        <f>VLOOKUP(A:A,SUMMERY!AA:AC,2,FALSE)</f>
        <v>46220</v>
      </c>
      <c r="AF1551" s="6" t="str">
        <f>VLOOKUP(A:A,SUMMERY!AA:AC,3,FALSE)</f>
        <v>Priority-1</v>
      </c>
    </row>
    <row r="1552" spans="1:32" x14ac:dyDescent="0.3">
      <c r="A1552" t="s">
        <v>6555</v>
      </c>
      <c r="B1552" t="s">
        <v>1948</v>
      </c>
      <c r="G1552" t="s">
        <v>6534</v>
      </c>
      <c r="H1552" t="s">
        <v>132</v>
      </c>
      <c r="I1552" t="s">
        <v>3</v>
      </c>
      <c r="J1552" t="s">
        <v>133</v>
      </c>
      <c r="K1552" t="s">
        <v>53</v>
      </c>
      <c r="L1552" t="s">
        <v>1949</v>
      </c>
      <c r="M1552" t="s">
        <v>134</v>
      </c>
      <c r="N1552" t="s">
        <v>135</v>
      </c>
      <c r="Q1552" t="s">
        <v>139</v>
      </c>
      <c r="U1552" t="s">
        <v>137</v>
      </c>
      <c r="V1552" t="s">
        <v>1190</v>
      </c>
      <c r="W1552" s="9">
        <v>45714.363685335651</v>
      </c>
      <c r="X1552" t="s">
        <v>67</v>
      </c>
      <c r="AA1552" t="s">
        <v>5059</v>
      </c>
      <c r="AB1552" t="s">
        <v>3</v>
      </c>
      <c r="AC1552" t="s">
        <v>24</v>
      </c>
      <c r="AD1552" t="s">
        <v>128</v>
      </c>
      <c r="AE1552" s="97">
        <f>VLOOKUP(A:A,SUMMERY!AA:AC,2,FALSE)</f>
        <v>46220</v>
      </c>
      <c r="AF1552" s="6" t="str">
        <f>VLOOKUP(A:A,SUMMERY!AA:AC,3,FALSE)</f>
        <v>Priority-1</v>
      </c>
    </row>
    <row r="1553" spans="1:32" x14ac:dyDescent="0.3">
      <c r="A1553" t="s">
        <v>6556</v>
      </c>
      <c r="B1553" t="s">
        <v>1952</v>
      </c>
      <c r="G1553" t="s">
        <v>6534</v>
      </c>
      <c r="H1553" t="s">
        <v>132</v>
      </c>
      <c r="I1553" t="s">
        <v>3</v>
      </c>
      <c r="J1553" t="s">
        <v>133</v>
      </c>
      <c r="K1553" t="s">
        <v>53</v>
      </c>
      <c r="L1553" t="s">
        <v>1949</v>
      </c>
      <c r="M1553" t="s">
        <v>134</v>
      </c>
      <c r="N1553" t="s">
        <v>135</v>
      </c>
      <c r="Q1553" t="s">
        <v>139</v>
      </c>
      <c r="U1553" t="s">
        <v>137</v>
      </c>
      <c r="V1553" t="s">
        <v>1194</v>
      </c>
      <c r="W1553" s="9">
        <v>45714.363370023151</v>
      </c>
      <c r="X1553" t="s">
        <v>75</v>
      </c>
      <c r="AA1553" t="s">
        <v>5059</v>
      </c>
      <c r="AB1553" t="s">
        <v>3</v>
      </c>
      <c r="AC1553" t="s">
        <v>24</v>
      </c>
      <c r="AD1553" t="s">
        <v>128</v>
      </c>
      <c r="AE1553" s="97">
        <f>VLOOKUP(A:A,SUMMERY!AA:AC,2,FALSE)</f>
        <v>46220</v>
      </c>
      <c r="AF1553" s="6" t="str">
        <f>VLOOKUP(A:A,SUMMERY!AA:AC,3,FALSE)</f>
        <v>Priority-1</v>
      </c>
    </row>
    <row r="1554" spans="1:32" x14ac:dyDescent="0.3">
      <c r="A1554" t="s">
        <v>6562</v>
      </c>
      <c r="B1554" t="s">
        <v>1964</v>
      </c>
      <c r="G1554" t="s">
        <v>6534</v>
      </c>
      <c r="H1554" t="s">
        <v>132</v>
      </c>
      <c r="I1554" t="s">
        <v>3</v>
      </c>
      <c r="J1554" t="s">
        <v>133</v>
      </c>
      <c r="K1554" t="s">
        <v>53</v>
      </c>
      <c r="L1554" t="s">
        <v>1965</v>
      </c>
      <c r="M1554" t="s">
        <v>134</v>
      </c>
      <c r="N1554" t="s">
        <v>135</v>
      </c>
      <c r="Q1554" t="s">
        <v>139</v>
      </c>
      <c r="U1554" t="s">
        <v>137</v>
      </c>
      <c r="V1554" t="s">
        <v>1967</v>
      </c>
      <c r="W1554" s="9">
        <v>45714.355567824074</v>
      </c>
      <c r="X1554" t="s">
        <v>125</v>
      </c>
      <c r="AA1554" t="s">
        <v>5059</v>
      </c>
      <c r="AB1554" t="s">
        <v>3</v>
      </c>
      <c r="AC1554" t="s">
        <v>24</v>
      </c>
      <c r="AD1554" t="s">
        <v>131</v>
      </c>
      <c r="AE1554" s="97">
        <f>VLOOKUP(A:A,SUMMERY!AA:AC,2,FALSE)</f>
        <v>46234</v>
      </c>
      <c r="AF1554" s="6" t="str">
        <f>VLOOKUP(A:A,SUMMERY!AA:AC,3,FALSE)</f>
        <v>Priority-2</v>
      </c>
    </row>
    <row r="1555" spans="1:32" x14ac:dyDescent="0.3">
      <c r="A1555" t="s">
        <v>6563</v>
      </c>
      <c r="B1555" t="s">
        <v>1969</v>
      </c>
      <c r="G1555" t="s">
        <v>6534</v>
      </c>
      <c r="H1555" t="s">
        <v>132</v>
      </c>
      <c r="I1555" t="s">
        <v>3</v>
      </c>
      <c r="J1555" t="s">
        <v>133</v>
      </c>
      <c r="K1555" t="s">
        <v>53</v>
      </c>
      <c r="L1555" t="s">
        <v>1970</v>
      </c>
      <c r="M1555" t="s">
        <v>134</v>
      </c>
      <c r="N1555" t="s">
        <v>135</v>
      </c>
      <c r="Q1555" t="s">
        <v>139</v>
      </c>
      <c r="U1555" t="s">
        <v>137</v>
      </c>
      <c r="V1555" t="s">
        <v>1967</v>
      </c>
      <c r="W1555" s="9">
        <v>45714.355005324076</v>
      </c>
      <c r="X1555" t="s">
        <v>125</v>
      </c>
      <c r="AA1555" t="s">
        <v>5059</v>
      </c>
      <c r="AB1555" t="s">
        <v>3</v>
      </c>
      <c r="AC1555" t="s">
        <v>24</v>
      </c>
      <c r="AD1555" t="s">
        <v>131</v>
      </c>
      <c r="AE1555" s="97">
        <f>VLOOKUP(A:A,SUMMERY!AA:AC,2,FALSE)</f>
        <v>46234</v>
      </c>
      <c r="AF1555" s="6" t="str">
        <f>VLOOKUP(A:A,SUMMERY!AA:AC,3,FALSE)</f>
        <v>Priority-2</v>
      </c>
    </row>
    <row r="1556" spans="1:32" x14ac:dyDescent="0.3">
      <c r="A1556" t="s">
        <v>6565</v>
      </c>
      <c r="B1556" t="s">
        <v>1886</v>
      </c>
      <c r="G1556" t="s">
        <v>6534</v>
      </c>
      <c r="H1556" t="s">
        <v>132</v>
      </c>
      <c r="I1556" t="s">
        <v>3</v>
      </c>
      <c r="J1556" t="s">
        <v>133</v>
      </c>
      <c r="K1556" t="s">
        <v>53</v>
      </c>
      <c r="L1556" t="s">
        <v>1887</v>
      </c>
      <c r="M1556" t="s">
        <v>134</v>
      </c>
      <c r="N1556" t="s">
        <v>135</v>
      </c>
      <c r="Q1556" t="s">
        <v>139</v>
      </c>
      <c r="T1556" t="s">
        <v>1888</v>
      </c>
      <c r="U1556" t="s">
        <v>137</v>
      </c>
      <c r="V1556" t="s">
        <v>147</v>
      </c>
      <c r="W1556" s="9">
        <v>45714.352953506947</v>
      </c>
      <c r="X1556" t="s">
        <v>70</v>
      </c>
      <c r="AA1556" t="s">
        <v>5059</v>
      </c>
      <c r="AB1556" t="s">
        <v>3</v>
      </c>
      <c r="AC1556" t="s">
        <v>24</v>
      </c>
      <c r="AD1556" t="s">
        <v>128</v>
      </c>
      <c r="AE1556" s="97">
        <f>VLOOKUP(A:A,SUMMERY!AA:AC,2,FALSE)</f>
        <v>46220</v>
      </c>
      <c r="AF1556" s="6" t="str">
        <f>VLOOKUP(A:A,SUMMERY!AA:AC,3,FALSE)</f>
        <v>Priority-1</v>
      </c>
    </row>
    <row r="1557" spans="1:32" x14ac:dyDescent="0.3">
      <c r="A1557" t="s">
        <v>6566</v>
      </c>
      <c r="B1557" t="s">
        <v>1890</v>
      </c>
      <c r="G1557" t="s">
        <v>6534</v>
      </c>
      <c r="H1557" t="s">
        <v>132</v>
      </c>
      <c r="I1557" t="s">
        <v>3</v>
      </c>
      <c r="J1557" t="s">
        <v>133</v>
      </c>
      <c r="K1557" t="s">
        <v>53</v>
      </c>
      <c r="L1557" t="s">
        <v>1891</v>
      </c>
      <c r="M1557" t="s">
        <v>134</v>
      </c>
      <c r="N1557" t="s">
        <v>135</v>
      </c>
      <c r="Q1557" t="s">
        <v>139</v>
      </c>
      <c r="T1557" t="s">
        <v>1892</v>
      </c>
      <c r="U1557" t="s">
        <v>137</v>
      </c>
      <c r="V1557" t="s">
        <v>150</v>
      </c>
      <c r="W1557" s="9">
        <v>45714.339656678239</v>
      </c>
      <c r="X1557" t="s">
        <v>76</v>
      </c>
      <c r="AA1557" t="s">
        <v>5059</v>
      </c>
      <c r="AB1557" t="s">
        <v>3</v>
      </c>
      <c r="AC1557" t="s">
        <v>24</v>
      </c>
      <c r="AD1557" t="s">
        <v>128</v>
      </c>
      <c r="AE1557" s="97">
        <f>VLOOKUP(A:A,SUMMERY!AA:AC,2,FALSE)</f>
        <v>46233</v>
      </c>
      <c r="AF1557" s="6" t="str">
        <f>VLOOKUP(A:A,SUMMERY!AA:AC,3,FALSE)</f>
        <v>Priority-1</v>
      </c>
    </row>
    <row r="1558" spans="1:32" x14ac:dyDescent="0.3">
      <c r="A1558" t="s">
        <v>6580</v>
      </c>
      <c r="B1558" t="s">
        <v>1972</v>
      </c>
      <c r="G1558" t="s">
        <v>6534</v>
      </c>
      <c r="H1558" t="s">
        <v>132</v>
      </c>
      <c r="I1558" t="s">
        <v>3</v>
      </c>
      <c r="J1558" t="s">
        <v>133</v>
      </c>
      <c r="K1558" t="s">
        <v>53</v>
      </c>
      <c r="L1558" t="s">
        <v>1973</v>
      </c>
      <c r="M1558" t="s">
        <v>134</v>
      </c>
      <c r="N1558" t="s">
        <v>135</v>
      </c>
      <c r="Q1558" t="s">
        <v>139</v>
      </c>
      <c r="U1558" t="s">
        <v>137</v>
      </c>
      <c r="V1558" t="s">
        <v>703</v>
      </c>
      <c r="W1558" s="9">
        <v>45835.58567403935</v>
      </c>
      <c r="X1558" t="s">
        <v>62</v>
      </c>
      <c r="AA1558" t="s">
        <v>5059</v>
      </c>
      <c r="AB1558" t="s">
        <v>3</v>
      </c>
      <c r="AC1558" t="s">
        <v>24</v>
      </c>
      <c r="AD1558" t="s">
        <v>128</v>
      </c>
      <c r="AE1558" s="97">
        <f>VLOOKUP(A:A,SUMMERY!AA:AC,2,FALSE)</f>
        <v>46220</v>
      </c>
      <c r="AF1558" s="6" t="str">
        <f>VLOOKUP(A:A,SUMMERY!AA:AC,3,FALSE)</f>
        <v>Priority-1</v>
      </c>
    </row>
    <row r="1559" spans="1:32" x14ac:dyDescent="0.3">
      <c r="A1559" t="s">
        <v>6581</v>
      </c>
      <c r="B1559" t="s">
        <v>1976</v>
      </c>
      <c r="G1559" t="s">
        <v>6534</v>
      </c>
      <c r="H1559" t="s">
        <v>132</v>
      </c>
      <c r="I1559" t="s">
        <v>3</v>
      </c>
      <c r="J1559" t="s">
        <v>133</v>
      </c>
      <c r="K1559" t="s">
        <v>53</v>
      </c>
      <c r="L1559" t="s">
        <v>1973</v>
      </c>
      <c r="M1559" t="s">
        <v>134</v>
      </c>
      <c r="N1559" t="s">
        <v>135</v>
      </c>
      <c r="Q1559" t="s">
        <v>139</v>
      </c>
      <c r="U1559" t="s">
        <v>137</v>
      </c>
      <c r="V1559" t="s">
        <v>703</v>
      </c>
      <c r="W1559" s="9">
        <v>45835.586110150463</v>
      </c>
      <c r="X1559" t="s">
        <v>62</v>
      </c>
      <c r="AA1559" t="s">
        <v>5059</v>
      </c>
      <c r="AB1559" t="s">
        <v>3</v>
      </c>
      <c r="AC1559" t="s">
        <v>24</v>
      </c>
      <c r="AD1559" t="s">
        <v>128</v>
      </c>
      <c r="AE1559" s="97">
        <f>VLOOKUP(A:A,SUMMERY!AA:AC,2,FALSE)</f>
        <v>46220</v>
      </c>
      <c r="AF1559" s="6" t="str">
        <f>VLOOKUP(A:A,SUMMERY!AA:AC,3,FALSE)</f>
        <v>Priority-1</v>
      </c>
    </row>
    <row r="1560" spans="1:32" x14ac:dyDescent="0.3">
      <c r="A1560" t="s">
        <v>6582</v>
      </c>
      <c r="B1560" t="s">
        <v>2007</v>
      </c>
      <c r="G1560" t="s">
        <v>6534</v>
      </c>
      <c r="H1560" t="s">
        <v>132</v>
      </c>
      <c r="I1560" t="s">
        <v>3</v>
      </c>
      <c r="J1560" t="s">
        <v>133</v>
      </c>
      <c r="K1560" t="s">
        <v>53</v>
      </c>
      <c r="L1560" t="s">
        <v>1973</v>
      </c>
      <c r="M1560" t="s">
        <v>134</v>
      </c>
      <c r="N1560" t="s">
        <v>135</v>
      </c>
      <c r="Q1560" t="s">
        <v>139</v>
      </c>
      <c r="U1560" t="s">
        <v>137</v>
      </c>
      <c r="V1560" t="s">
        <v>709</v>
      </c>
      <c r="W1560" s="9">
        <v>45835.586746030094</v>
      </c>
      <c r="X1560" t="s">
        <v>73</v>
      </c>
      <c r="AA1560" t="s">
        <v>5059</v>
      </c>
      <c r="AB1560" t="s">
        <v>3</v>
      </c>
      <c r="AC1560" t="s">
        <v>24</v>
      </c>
      <c r="AD1560" t="s">
        <v>128</v>
      </c>
      <c r="AE1560" s="97">
        <f>VLOOKUP(A:A,SUMMERY!AA:AC,2,FALSE)</f>
        <v>46220</v>
      </c>
      <c r="AF1560" s="6" t="str">
        <f>VLOOKUP(A:A,SUMMERY!AA:AC,3,FALSE)</f>
        <v>Priority-1</v>
      </c>
    </row>
    <row r="1561" spans="1:32" x14ac:dyDescent="0.3">
      <c r="A1561" t="s">
        <v>6583</v>
      </c>
      <c r="B1561" t="s">
        <v>2009</v>
      </c>
      <c r="G1561" t="s">
        <v>6534</v>
      </c>
      <c r="H1561" t="s">
        <v>132</v>
      </c>
      <c r="I1561" t="s">
        <v>3</v>
      </c>
      <c r="J1561" t="s">
        <v>133</v>
      </c>
      <c r="K1561" t="s">
        <v>53</v>
      </c>
      <c r="L1561" t="s">
        <v>1973</v>
      </c>
      <c r="M1561" t="s">
        <v>134</v>
      </c>
      <c r="N1561" t="s">
        <v>135</v>
      </c>
      <c r="Q1561" t="s">
        <v>139</v>
      </c>
      <c r="U1561" t="s">
        <v>137</v>
      </c>
      <c r="V1561" t="s">
        <v>709</v>
      </c>
      <c r="W1561" s="9">
        <v>45835.587086493055</v>
      </c>
      <c r="X1561" t="s">
        <v>73</v>
      </c>
      <c r="AA1561" t="s">
        <v>5059</v>
      </c>
      <c r="AB1561" t="s">
        <v>3</v>
      </c>
      <c r="AC1561" t="s">
        <v>24</v>
      </c>
      <c r="AD1561" t="s">
        <v>128</v>
      </c>
      <c r="AE1561" s="97">
        <f>VLOOKUP(A:A,SUMMERY!AA:AC,2,FALSE)</f>
        <v>46220</v>
      </c>
      <c r="AF1561" s="6" t="str">
        <f>VLOOKUP(A:A,SUMMERY!AA:AC,3,FALSE)</f>
        <v>Priority-1</v>
      </c>
    </row>
    <row r="1562" spans="1:32" x14ac:dyDescent="0.3">
      <c r="A1562" t="s">
        <v>6584</v>
      </c>
      <c r="B1562" t="s">
        <v>2117</v>
      </c>
      <c r="G1562" t="s">
        <v>6534</v>
      </c>
      <c r="H1562" t="s">
        <v>132</v>
      </c>
      <c r="I1562" t="s">
        <v>3</v>
      </c>
      <c r="J1562" t="s">
        <v>133</v>
      </c>
      <c r="K1562" t="s">
        <v>53</v>
      </c>
      <c r="L1562" t="s">
        <v>2115</v>
      </c>
      <c r="M1562" t="s">
        <v>134</v>
      </c>
      <c r="N1562" t="s">
        <v>135</v>
      </c>
      <c r="Q1562" t="s">
        <v>139</v>
      </c>
      <c r="U1562" t="s">
        <v>137</v>
      </c>
      <c r="V1562" t="s">
        <v>1283</v>
      </c>
      <c r="W1562" s="9">
        <v>45853.450540081016</v>
      </c>
      <c r="X1562" t="s">
        <v>78</v>
      </c>
      <c r="AA1562" t="s">
        <v>5059</v>
      </c>
      <c r="AB1562" t="s">
        <v>3</v>
      </c>
      <c r="AC1562" t="s">
        <v>24</v>
      </c>
      <c r="AD1562" t="s">
        <v>128</v>
      </c>
      <c r="AE1562" s="97">
        <f>VLOOKUP(A:A,SUMMERY!AA:AC,2,FALSE)</f>
        <v>46234</v>
      </c>
      <c r="AF1562" s="6" t="str">
        <f>VLOOKUP(A:A,SUMMERY!AA:AC,3,FALSE)</f>
        <v>Priority-1</v>
      </c>
    </row>
    <row r="1563" spans="1:32" x14ac:dyDescent="0.3">
      <c r="A1563" t="s">
        <v>6592</v>
      </c>
      <c r="B1563" t="s">
        <v>2130</v>
      </c>
      <c r="G1563" t="s">
        <v>6534</v>
      </c>
      <c r="H1563" t="s">
        <v>132</v>
      </c>
      <c r="I1563" t="s">
        <v>3</v>
      </c>
      <c r="J1563" t="s">
        <v>133</v>
      </c>
      <c r="K1563" t="s">
        <v>53</v>
      </c>
      <c r="L1563" t="s">
        <v>2131</v>
      </c>
      <c r="M1563" t="s">
        <v>134</v>
      </c>
      <c r="N1563" t="s">
        <v>135</v>
      </c>
      <c r="Q1563" t="s">
        <v>139</v>
      </c>
      <c r="U1563" t="s">
        <v>137</v>
      </c>
      <c r="V1563" t="s">
        <v>1259</v>
      </c>
      <c r="W1563" s="9">
        <v>45854.345426307867</v>
      </c>
      <c r="X1563" t="s">
        <v>126</v>
      </c>
      <c r="AA1563" t="s">
        <v>5059</v>
      </c>
      <c r="AB1563" t="s">
        <v>3</v>
      </c>
      <c r="AC1563" t="s">
        <v>24</v>
      </c>
      <c r="AD1563" t="s">
        <v>131</v>
      </c>
      <c r="AE1563" s="97">
        <f>VLOOKUP(A:A,SUMMERY!AA:AC,2,FALSE)</f>
        <v>46234</v>
      </c>
      <c r="AF1563" s="6" t="str">
        <f>VLOOKUP(A:A,SUMMERY!AA:AC,3,FALSE)</f>
        <v>Priority-2</v>
      </c>
    </row>
    <row r="1564" spans="1:32" x14ac:dyDescent="0.3">
      <c r="A1564" t="s">
        <v>6593</v>
      </c>
      <c r="B1564" t="s">
        <v>2097</v>
      </c>
      <c r="G1564" t="s">
        <v>6534</v>
      </c>
      <c r="H1564" t="s">
        <v>132</v>
      </c>
      <c r="I1564" t="s">
        <v>3</v>
      </c>
      <c r="J1564" t="s">
        <v>133</v>
      </c>
      <c r="K1564" t="s">
        <v>53</v>
      </c>
      <c r="L1564" t="s">
        <v>2098</v>
      </c>
      <c r="M1564" t="s">
        <v>134</v>
      </c>
      <c r="N1564" t="s">
        <v>135</v>
      </c>
      <c r="Q1564" t="s">
        <v>139</v>
      </c>
      <c r="U1564" t="s">
        <v>137</v>
      </c>
      <c r="V1564" t="s">
        <v>147</v>
      </c>
      <c r="W1564" s="9">
        <v>45854.345972453702</v>
      </c>
      <c r="X1564" t="s">
        <v>70</v>
      </c>
      <c r="AA1564" t="s">
        <v>5059</v>
      </c>
      <c r="AB1564" t="s">
        <v>3</v>
      </c>
      <c r="AC1564" t="s">
        <v>24</v>
      </c>
      <c r="AD1564" t="s">
        <v>128</v>
      </c>
      <c r="AE1564" s="97">
        <f>VLOOKUP(A:A,SUMMERY!AA:AC,2,FALSE)</f>
        <v>46220</v>
      </c>
      <c r="AF1564" s="6" t="str">
        <f>VLOOKUP(A:A,SUMMERY!AA:AC,3,FALSE)</f>
        <v>Priority-1</v>
      </c>
    </row>
    <row r="1565" spans="1:32" x14ac:dyDescent="0.3">
      <c r="A1565" t="s">
        <v>6598</v>
      </c>
      <c r="B1565" t="s">
        <v>2100</v>
      </c>
      <c r="G1565" t="s">
        <v>6534</v>
      </c>
      <c r="H1565" t="s">
        <v>132</v>
      </c>
      <c r="I1565" t="s">
        <v>3</v>
      </c>
      <c r="J1565" t="s">
        <v>133</v>
      </c>
      <c r="K1565" t="s">
        <v>53</v>
      </c>
      <c r="L1565" t="s">
        <v>2098</v>
      </c>
      <c r="M1565" t="s">
        <v>134</v>
      </c>
      <c r="N1565" t="s">
        <v>135</v>
      </c>
      <c r="Q1565" t="s">
        <v>139</v>
      </c>
      <c r="U1565" t="s">
        <v>137</v>
      </c>
      <c r="V1565" t="s">
        <v>150</v>
      </c>
      <c r="W1565" s="9">
        <v>45854.348033564813</v>
      </c>
      <c r="X1565" t="s">
        <v>76</v>
      </c>
      <c r="AA1565" t="s">
        <v>5059</v>
      </c>
      <c r="AB1565" t="s">
        <v>3</v>
      </c>
      <c r="AC1565" t="s">
        <v>24</v>
      </c>
      <c r="AD1565" t="s">
        <v>128</v>
      </c>
      <c r="AE1565" s="97">
        <f>VLOOKUP(A:A,SUMMERY!AA:AC,2,FALSE)</f>
        <v>46233</v>
      </c>
      <c r="AF1565" s="6" t="str">
        <f>VLOOKUP(A:A,SUMMERY!AA:AC,3,FALSE)</f>
        <v>Priority-1</v>
      </c>
    </row>
    <row r="1566" spans="1:32" x14ac:dyDescent="0.3">
      <c r="A1566" t="s">
        <v>6602</v>
      </c>
      <c r="B1566" t="s">
        <v>3613</v>
      </c>
      <c r="G1566" t="s">
        <v>6534</v>
      </c>
      <c r="H1566" t="s">
        <v>132</v>
      </c>
      <c r="I1566" t="s">
        <v>3</v>
      </c>
      <c r="J1566" t="s">
        <v>133</v>
      </c>
      <c r="K1566" t="s">
        <v>53</v>
      </c>
      <c r="L1566" t="s">
        <v>3614</v>
      </c>
      <c r="M1566" t="s">
        <v>134</v>
      </c>
      <c r="N1566" t="s">
        <v>135</v>
      </c>
      <c r="Q1566" t="s">
        <v>139</v>
      </c>
      <c r="U1566" t="s">
        <v>137</v>
      </c>
      <c r="V1566" t="s">
        <v>147</v>
      </c>
      <c r="W1566" s="9">
        <v>45854.350273229167</v>
      </c>
      <c r="X1566" t="s">
        <v>70</v>
      </c>
      <c r="AA1566" t="s">
        <v>5059</v>
      </c>
      <c r="AB1566" t="s">
        <v>2</v>
      </c>
      <c r="AC1566" t="s">
        <v>24</v>
      </c>
      <c r="AD1566" t="s">
        <v>128</v>
      </c>
      <c r="AE1566" s="97">
        <f>VLOOKUP(A:A,SUMMERY!AA:AC,2,FALSE)</f>
        <v>46220</v>
      </c>
      <c r="AF1566" s="6" t="str">
        <f>VLOOKUP(A:A,SUMMERY!AA:AC,3,FALSE)</f>
        <v>Priority-1</v>
      </c>
    </row>
    <row r="1567" spans="1:32" x14ac:dyDescent="0.3">
      <c r="A1567" t="s">
        <v>6605</v>
      </c>
      <c r="B1567" t="s">
        <v>3610</v>
      </c>
      <c r="G1567" t="s">
        <v>6534</v>
      </c>
      <c r="H1567" t="s">
        <v>132</v>
      </c>
      <c r="I1567" t="s">
        <v>3</v>
      </c>
      <c r="J1567" t="s">
        <v>133</v>
      </c>
      <c r="K1567" t="s">
        <v>53</v>
      </c>
      <c r="L1567" t="s">
        <v>3611</v>
      </c>
      <c r="M1567" t="s">
        <v>134</v>
      </c>
      <c r="N1567" t="s">
        <v>135</v>
      </c>
      <c r="Q1567" t="s">
        <v>139</v>
      </c>
      <c r="U1567" t="s">
        <v>137</v>
      </c>
      <c r="V1567" t="s">
        <v>358</v>
      </c>
      <c r="W1567" s="9">
        <v>45880.51655497685</v>
      </c>
      <c r="X1567" t="s">
        <v>124</v>
      </c>
      <c r="AA1567" t="s">
        <v>5059</v>
      </c>
      <c r="AB1567" t="s">
        <v>2</v>
      </c>
      <c r="AC1567" t="s">
        <v>24</v>
      </c>
      <c r="AD1567" t="s">
        <v>130</v>
      </c>
      <c r="AE1567" s="97">
        <f>VLOOKUP(A:A,SUMMERY!AA:AC,2,FALSE)</f>
        <v>46234</v>
      </c>
      <c r="AF1567" s="6" t="str">
        <f>VLOOKUP(A:A,SUMMERY!AA:AC,3,FALSE)</f>
        <v>Priority-1</v>
      </c>
    </row>
    <row r="1568" spans="1:32" x14ac:dyDescent="0.3">
      <c r="A1568" t="s">
        <v>6609</v>
      </c>
      <c r="B1568" t="s">
        <v>2093</v>
      </c>
      <c r="G1568" t="s">
        <v>6534</v>
      </c>
      <c r="H1568" t="s">
        <v>132</v>
      </c>
      <c r="I1568" t="s">
        <v>3</v>
      </c>
      <c r="J1568" t="s">
        <v>133</v>
      </c>
      <c r="K1568" t="s">
        <v>53</v>
      </c>
      <c r="L1568" t="s">
        <v>2094</v>
      </c>
      <c r="M1568" t="s">
        <v>134</v>
      </c>
      <c r="N1568" t="s">
        <v>135</v>
      </c>
      <c r="Q1568" t="s">
        <v>139</v>
      </c>
      <c r="U1568" t="s">
        <v>137</v>
      </c>
      <c r="V1568" t="s">
        <v>371</v>
      </c>
      <c r="W1568" s="9">
        <v>46130.232717164348</v>
      </c>
      <c r="X1568" t="s">
        <v>57</v>
      </c>
      <c r="AA1568" t="s">
        <v>5059</v>
      </c>
      <c r="AB1568" t="s">
        <v>3</v>
      </c>
      <c r="AC1568" t="s">
        <v>24</v>
      </c>
      <c r="AD1568" t="s">
        <v>128</v>
      </c>
      <c r="AE1568" s="97">
        <f>VLOOKUP(A:A,SUMMERY!AA:AC,2,FALSE)</f>
        <v>46220</v>
      </c>
      <c r="AF1568" s="6" t="str">
        <f>VLOOKUP(A:A,SUMMERY!AA:AC,3,FALSE)</f>
        <v>Priority-1</v>
      </c>
    </row>
    <row r="1569" spans="1:32" x14ac:dyDescent="0.3">
      <c r="A1569" t="s">
        <v>6610</v>
      </c>
      <c r="B1569" t="s">
        <v>149</v>
      </c>
      <c r="G1569" t="s">
        <v>6534</v>
      </c>
      <c r="H1569" t="s">
        <v>132</v>
      </c>
      <c r="I1569" t="s">
        <v>3</v>
      </c>
      <c r="J1569" t="s">
        <v>133</v>
      </c>
      <c r="K1569" t="s">
        <v>53</v>
      </c>
      <c r="L1569" t="s">
        <v>146</v>
      </c>
      <c r="M1569" t="s">
        <v>134</v>
      </c>
      <c r="N1569" t="s">
        <v>135</v>
      </c>
      <c r="Q1569" t="s">
        <v>139</v>
      </c>
      <c r="U1569" t="s">
        <v>137</v>
      </c>
      <c r="V1569" t="s">
        <v>150</v>
      </c>
      <c r="W1569" s="9">
        <v>45911.28613252315</v>
      </c>
      <c r="X1569" t="s">
        <v>76</v>
      </c>
      <c r="AA1569" t="s">
        <v>5059</v>
      </c>
      <c r="AB1569" t="s">
        <v>1</v>
      </c>
      <c r="AC1569" t="s">
        <v>24</v>
      </c>
      <c r="AD1569" t="s">
        <v>128</v>
      </c>
      <c r="AE1569" s="97">
        <f>VLOOKUP(A:A,SUMMERY!AA:AC,2,FALSE)</f>
        <v>46233</v>
      </c>
      <c r="AF1569" s="6" t="str">
        <f>VLOOKUP(A:A,SUMMERY!AA:AC,3,FALSE)</f>
        <v>Priority-1</v>
      </c>
    </row>
    <row r="1570" spans="1:32" x14ac:dyDescent="0.3">
      <c r="A1570" t="s">
        <v>6750</v>
      </c>
      <c r="B1570" t="s">
        <v>1770</v>
      </c>
      <c r="G1570" t="s">
        <v>6534</v>
      </c>
      <c r="H1570" t="s">
        <v>132</v>
      </c>
      <c r="I1570" t="s">
        <v>3</v>
      </c>
      <c r="J1570" t="s">
        <v>133</v>
      </c>
      <c r="K1570" t="s">
        <v>53</v>
      </c>
      <c r="L1570" t="s">
        <v>1771</v>
      </c>
      <c r="M1570" t="s">
        <v>134</v>
      </c>
      <c r="N1570" t="s">
        <v>135</v>
      </c>
      <c r="Q1570" t="s">
        <v>139</v>
      </c>
      <c r="S1570" t="s">
        <v>139</v>
      </c>
      <c r="U1570" t="s">
        <v>137</v>
      </c>
      <c r="V1570" t="s">
        <v>147</v>
      </c>
      <c r="W1570" s="9">
        <v>46164.420212928242</v>
      </c>
      <c r="X1570" t="s">
        <v>70</v>
      </c>
      <c r="AA1570" t="s">
        <v>5059</v>
      </c>
      <c r="AB1570" t="s">
        <v>1</v>
      </c>
      <c r="AC1570" t="s">
        <v>24</v>
      </c>
      <c r="AD1570" t="s">
        <v>128</v>
      </c>
      <c r="AE1570" s="97">
        <f>VLOOKUP(A:A,SUMMERY!AA:AC,2,FALSE)</f>
        <v>46220</v>
      </c>
      <c r="AF1570" s="6" t="str">
        <f>VLOOKUP(A:A,SUMMERY!AA:AC,3,FALSE)</f>
        <v>Priority-1</v>
      </c>
    </row>
    <row r="1571" spans="1:32" x14ac:dyDescent="0.3">
      <c r="A1571" t="s">
        <v>6751</v>
      </c>
      <c r="B1571" t="s">
        <v>1773</v>
      </c>
      <c r="G1571" t="s">
        <v>6534</v>
      </c>
      <c r="H1571" t="s">
        <v>132</v>
      </c>
      <c r="I1571" t="s">
        <v>3</v>
      </c>
      <c r="J1571" t="s">
        <v>133</v>
      </c>
      <c r="K1571" t="s">
        <v>53</v>
      </c>
      <c r="L1571" t="s">
        <v>1774</v>
      </c>
      <c r="M1571" t="s">
        <v>134</v>
      </c>
      <c r="N1571" t="s">
        <v>135</v>
      </c>
      <c r="Q1571" t="s">
        <v>139</v>
      </c>
      <c r="S1571" t="s">
        <v>139</v>
      </c>
      <c r="U1571" t="s">
        <v>137</v>
      </c>
      <c r="V1571" t="s">
        <v>150</v>
      </c>
      <c r="W1571" s="9">
        <v>46164.4206996875</v>
      </c>
      <c r="X1571" t="s">
        <v>76</v>
      </c>
      <c r="AA1571" t="s">
        <v>5059</v>
      </c>
      <c r="AB1571" t="s">
        <v>1</v>
      </c>
      <c r="AC1571" t="s">
        <v>24</v>
      </c>
      <c r="AD1571" t="s">
        <v>128</v>
      </c>
      <c r="AE1571" s="97">
        <f>VLOOKUP(A:A,SUMMERY!AA:AC,2,FALSE)</f>
        <v>46233</v>
      </c>
      <c r="AF1571" s="6" t="str">
        <f>VLOOKUP(A:A,SUMMERY!AA:AC,3,FALSE)</f>
        <v>Priority-1</v>
      </c>
    </row>
    <row r="1572" spans="1:32" x14ac:dyDescent="0.3">
      <c r="A1572" t="s">
        <v>6673</v>
      </c>
      <c r="B1572" t="s">
        <v>1632</v>
      </c>
      <c r="G1572" t="s">
        <v>6672</v>
      </c>
      <c r="H1572" t="s">
        <v>132</v>
      </c>
      <c r="I1572" t="s">
        <v>1</v>
      </c>
      <c r="J1572" t="s">
        <v>133</v>
      </c>
      <c r="K1572" t="s">
        <v>51</v>
      </c>
      <c r="L1572" t="s">
        <v>1633</v>
      </c>
      <c r="M1572" t="s">
        <v>134</v>
      </c>
      <c r="N1572" t="s">
        <v>135</v>
      </c>
      <c r="Q1572" t="s">
        <v>168</v>
      </c>
      <c r="S1572" t="s">
        <v>168</v>
      </c>
      <c r="U1572" t="s">
        <v>137</v>
      </c>
      <c r="V1572" t="s">
        <v>147</v>
      </c>
      <c r="X1572" t="s">
        <v>70</v>
      </c>
      <c r="AA1572" t="s">
        <v>1579</v>
      </c>
      <c r="AB1572" t="s">
        <v>1</v>
      </c>
      <c r="AC1572" t="s">
        <v>138</v>
      </c>
      <c r="AD1572" t="s">
        <v>128</v>
      </c>
      <c r="AE1572" s="97">
        <f>VLOOKUP(A:A,SUMMERY!AA:AC,2,FALSE)</f>
        <v>46220</v>
      </c>
      <c r="AF1572" s="6" t="str">
        <f>VLOOKUP(A:A,SUMMERY!AA:AC,3,FALSE)</f>
        <v>Priority-1</v>
      </c>
    </row>
    <row r="1573" spans="1:32" x14ac:dyDescent="0.3">
      <c r="A1573" t="s">
        <v>6674</v>
      </c>
      <c r="B1573" t="s">
        <v>1634</v>
      </c>
      <c r="G1573" t="s">
        <v>6672</v>
      </c>
      <c r="H1573" t="s">
        <v>132</v>
      </c>
      <c r="I1573" t="s">
        <v>1</v>
      </c>
      <c r="J1573" t="s">
        <v>133</v>
      </c>
      <c r="K1573" t="s">
        <v>51</v>
      </c>
      <c r="L1573" t="s">
        <v>1633</v>
      </c>
      <c r="M1573" t="s">
        <v>134</v>
      </c>
      <c r="N1573" t="s">
        <v>135</v>
      </c>
      <c r="Q1573" t="s">
        <v>168</v>
      </c>
      <c r="S1573" t="s">
        <v>168</v>
      </c>
      <c r="U1573" t="s">
        <v>137</v>
      </c>
      <c r="V1573" t="s">
        <v>147</v>
      </c>
      <c r="X1573" t="s">
        <v>70</v>
      </c>
      <c r="AA1573" t="s">
        <v>1579</v>
      </c>
      <c r="AB1573" t="s">
        <v>1</v>
      </c>
      <c r="AC1573" t="s">
        <v>138</v>
      </c>
      <c r="AD1573" t="s">
        <v>128</v>
      </c>
      <c r="AE1573" s="97">
        <f>VLOOKUP(A:A,SUMMERY!AA:AC,2,FALSE)</f>
        <v>46220</v>
      </c>
      <c r="AF1573" s="6" t="str">
        <f>VLOOKUP(A:A,SUMMERY!AA:AC,3,FALSE)</f>
        <v>Priority-1</v>
      </c>
    </row>
    <row r="1574" spans="1:32" x14ac:dyDescent="0.3">
      <c r="A1574" t="s">
        <v>6675</v>
      </c>
      <c r="B1574" t="s">
        <v>1635</v>
      </c>
      <c r="G1574" t="s">
        <v>6672</v>
      </c>
      <c r="H1574" t="s">
        <v>132</v>
      </c>
      <c r="I1574" t="s">
        <v>1</v>
      </c>
      <c r="J1574" t="s">
        <v>133</v>
      </c>
      <c r="K1574" t="s">
        <v>51</v>
      </c>
      <c r="L1574" t="s">
        <v>1633</v>
      </c>
      <c r="M1574" t="s">
        <v>134</v>
      </c>
      <c r="N1574" t="s">
        <v>135</v>
      </c>
      <c r="Q1574" t="s">
        <v>168</v>
      </c>
      <c r="S1574" t="s">
        <v>168</v>
      </c>
      <c r="U1574" t="s">
        <v>137</v>
      </c>
      <c r="V1574" t="s">
        <v>147</v>
      </c>
      <c r="X1574" t="s">
        <v>70</v>
      </c>
      <c r="AA1574" t="s">
        <v>1579</v>
      </c>
      <c r="AB1574" t="s">
        <v>1</v>
      </c>
      <c r="AC1574" t="s">
        <v>138</v>
      </c>
      <c r="AD1574" t="s">
        <v>128</v>
      </c>
      <c r="AE1574" s="97">
        <f>VLOOKUP(A:A,SUMMERY!AA:AC,2,FALSE)</f>
        <v>46220</v>
      </c>
      <c r="AF1574" s="6" t="str">
        <f>VLOOKUP(A:A,SUMMERY!AA:AC,3,FALSE)</f>
        <v>Priority-1</v>
      </c>
    </row>
    <row r="1575" spans="1:32" x14ac:dyDescent="0.3">
      <c r="A1575" t="s">
        <v>6676</v>
      </c>
      <c r="B1575" t="s">
        <v>1652</v>
      </c>
      <c r="G1575" t="s">
        <v>6672</v>
      </c>
      <c r="H1575" t="s">
        <v>132</v>
      </c>
      <c r="I1575" t="s">
        <v>1</v>
      </c>
      <c r="J1575" t="s">
        <v>133</v>
      </c>
      <c r="K1575" t="s">
        <v>51</v>
      </c>
      <c r="L1575" t="s">
        <v>1653</v>
      </c>
      <c r="M1575" t="s">
        <v>134</v>
      </c>
      <c r="N1575" t="s">
        <v>135</v>
      </c>
      <c r="Q1575" t="s">
        <v>168</v>
      </c>
      <c r="S1575" t="s">
        <v>168</v>
      </c>
      <c r="U1575" t="s">
        <v>137</v>
      </c>
      <c r="V1575" t="s">
        <v>150</v>
      </c>
      <c r="X1575" t="s">
        <v>76</v>
      </c>
      <c r="AA1575" t="s">
        <v>1579</v>
      </c>
      <c r="AB1575" t="s">
        <v>1</v>
      </c>
      <c r="AC1575" t="s">
        <v>138</v>
      </c>
      <c r="AD1575" t="s">
        <v>128</v>
      </c>
      <c r="AE1575" s="97">
        <f>VLOOKUP(A:A,SUMMERY!AA:AC,2,FALSE)</f>
        <v>46233</v>
      </c>
      <c r="AF1575" s="6" t="str">
        <f>VLOOKUP(A:A,SUMMERY!AA:AC,3,FALSE)</f>
        <v>Priority-1</v>
      </c>
    </row>
    <row r="1576" spans="1:32" x14ac:dyDescent="0.3">
      <c r="A1576" t="s">
        <v>6677</v>
      </c>
      <c r="B1576" t="s">
        <v>1654</v>
      </c>
      <c r="G1576" t="s">
        <v>6672</v>
      </c>
      <c r="H1576" t="s">
        <v>132</v>
      </c>
      <c r="I1576" t="s">
        <v>1</v>
      </c>
      <c r="J1576" t="s">
        <v>133</v>
      </c>
      <c r="K1576" t="s">
        <v>51</v>
      </c>
      <c r="L1576" t="s">
        <v>1653</v>
      </c>
      <c r="M1576" t="s">
        <v>134</v>
      </c>
      <c r="N1576" t="s">
        <v>135</v>
      </c>
      <c r="Q1576" t="s">
        <v>168</v>
      </c>
      <c r="S1576" t="s">
        <v>168</v>
      </c>
      <c r="U1576" t="s">
        <v>137</v>
      </c>
      <c r="V1576" t="s">
        <v>150</v>
      </c>
      <c r="X1576" t="s">
        <v>76</v>
      </c>
      <c r="AA1576" t="s">
        <v>1579</v>
      </c>
      <c r="AB1576" t="s">
        <v>1</v>
      </c>
      <c r="AC1576" t="s">
        <v>138</v>
      </c>
      <c r="AD1576" t="s">
        <v>128</v>
      </c>
      <c r="AE1576" s="97">
        <f>VLOOKUP(A:A,SUMMERY!AA:AC,2,FALSE)</f>
        <v>46233</v>
      </c>
      <c r="AF1576" s="6" t="str">
        <f>VLOOKUP(A:A,SUMMERY!AA:AC,3,FALSE)</f>
        <v>Priority-1</v>
      </c>
    </row>
    <row r="1577" spans="1:32" x14ac:dyDescent="0.3">
      <c r="A1577" t="s">
        <v>6678</v>
      </c>
      <c r="B1577" t="s">
        <v>1655</v>
      </c>
      <c r="G1577" t="s">
        <v>6672</v>
      </c>
      <c r="H1577" t="s">
        <v>132</v>
      </c>
      <c r="I1577" t="s">
        <v>1</v>
      </c>
      <c r="J1577" t="s">
        <v>133</v>
      </c>
      <c r="K1577" t="s">
        <v>51</v>
      </c>
      <c r="L1577" t="s">
        <v>1653</v>
      </c>
      <c r="M1577" t="s">
        <v>134</v>
      </c>
      <c r="N1577" t="s">
        <v>135</v>
      </c>
      <c r="Q1577" t="s">
        <v>168</v>
      </c>
      <c r="S1577" t="s">
        <v>168</v>
      </c>
      <c r="U1577" t="s">
        <v>137</v>
      </c>
      <c r="V1577" t="s">
        <v>150</v>
      </c>
      <c r="X1577" t="s">
        <v>76</v>
      </c>
      <c r="AA1577" t="s">
        <v>1579</v>
      </c>
      <c r="AB1577" t="s">
        <v>1</v>
      </c>
      <c r="AC1577" t="s">
        <v>138</v>
      </c>
      <c r="AD1577" t="s">
        <v>128</v>
      </c>
      <c r="AE1577" s="97">
        <f>VLOOKUP(A:A,SUMMERY!AA:AC,2,FALSE)</f>
        <v>46233</v>
      </c>
      <c r="AF1577" s="6" t="str">
        <f>VLOOKUP(A:A,SUMMERY!AA:AC,3,FALSE)</f>
        <v>Priority-1</v>
      </c>
    </row>
    <row r="1578" spans="1:32" x14ac:dyDescent="0.3">
      <c r="A1578" t="s">
        <v>6694</v>
      </c>
      <c r="B1578" t="s">
        <v>1762</v>
      </c>
      <c r="G1578" t="s">
        <v>6672</v>
      </c>
      <c r="H1578" t="s">
        <v>132</v>
      </c>
      <c r="I1578" t="s">
        <v>1</v>
      </c>
      <c r="J1578" t="s">
        <v>133</v>
      </c>
      <c r="K1578" t="s">
        <v>51</v>
      </c>
      <c r="L1578" t="s">
        <v>1763</v>
      </c>
      <c r="M1578" t="s">
        <v>134</v>
      </c>
      <c r="N1578" t="s">
        <v>135</v>
      </c>
      <c r="Q1578" t="s">
        <v>168</v>
      </c>
      <c r="S1578" t="s">
        <v>168</v>
      </c>
      <c r="U1578" t="s">
        <v>137</v>
      </c>
      <c r="V1578" t="s">
        <v>352</v>
      </c>
      <c r="X1578" t="s">
        <v>56</v>
      </c>
      <c r="AA1578" t="s">
        <v>1579</v>
      </c>
      <c r="AB1578" t="s">
        <v>1</v>
      </c>
      <c r="AC1578" t="s">
        <v>138</v>
      </c>
      <c r="AD1578" t="s">
        <v>128</v>
      </c>
      <c r="AE1578" s="97">
        <f>VLOOKUP(A:A,SUMMERY!AA:AC,2,FALSE)</f>
        <v>46233</v>
      </c>
      <c r="AF1578" s="6" t="str">
        <f>VLOOKUP(A:A,SUMMERY!AA:AC,3,FALSE)</f>
        <v>Priority-1</v>
      </c>
    </row>
    <row r="1579" spans="1:32" x14ac:dyDescent="0.3">
      <c r="A1579" t="s">
        <v>6695</v>
      </c>
      <c r="B1579" t="s">
        <v>1764</v>
      </c>
      <c r="G1579" t="s">
        <v>6672</v>
      </c>
      <c r="H1579" t="s">
        <v>132</v>
      </c>
      <c r="I1579" t="s">
        <v>1</v>
      </c>
      <c r="J1579" t="s">
        <v>133</v>
      </c>
      <c r="K1579" t="s">
        <v>51</v>
      </c>
      <c r="L1579" t="s">
        <v>1763</v>
      </c>
      <c r="M1579" t="s">
        <v>134</v>
      </c>
      <c r="N1579" t="s">
        <v>135</v>
      </c>
      <c r="Q1579" t="s">
        <v>168</v>
      </c>
      <c r="S1579" t="s">
        <v>168</v>
      </c>
      <c r="U1579" t="s">
        <v>137</v>
      </c>
      <c r="V1579" t="s">
        <v>352</v>
      </c>
      <c r="X1579" t="s">
        <v>56</v>
      </c>
      <c r="AA1579" t="s">
        <v>1579</v>
      </c>
      <c r="AB1579" t="s">
        <v>1</v>
      </c>
      <c r="AC1579" t="s">
        <v>138</v>
      </c>
      <c r="AD1579" t="s">
        <v>128</v>
      </c>
      <c r="AE1579" s="97">
        <f>VLOOKUP(A:A,SUMMERY!AA:AC,2,FALSE)</f>
        <v>46233</v>
      </c>
      <c r="AF1579" s="6" t="str">
        <f>VLOOKUP(A:A,SUMMERY!AA:AC,3,FALSE)</f>
        <v>Priority-1</v>
      </c>
    </row>
    <row r="1580" spans="1:32" x14ac:dyDescent="0.3">
      <c r="A1580" t="s">
        <v>6696</v>
      </c>
      <c r="B1580" t="s">
        <v>6651</v>
      </c>
      <c r="G1580" t="s">
        <v>6672</v>
      </c>
      <c r="H1580" t="s">
        <v>132</v>
      </c>
      <c r="I1580" t="s">
        <v>1</v>
      </c>
      <c r="J1580" t="s">
        <v>133</v>
      </c>
      <c r="K1580" t="s">
        <v>51</v>
      </c>
      <c r="L1580" t="s">
        <v>1763</v>
      </c>
      <c r="M1580" t="s">
        <v>134</v>
      </c>
      <c r="N1580" t="s">
        <v>135</v>
      </c>
      <c r="Q1580" t="s">
        <v>168</v>
      </c>
      <c r="S1580" t="s">
        <v>168</v>
      </c>
      <c r="U1580" t="s">
        <v>137</v>
      </c>
      <c r="V1580" t="s">
        <v>352</v>
      </c>
      <c r="X1580" t="s">
        <v>56</v>
      </c>
      <c r="AA1580" t="s">
        <v>1579</v>
      </c>
      <c r="AB1580" t="s">
        <v>1</v>
      </c>
      <c r="AC1580" t="s">
        <v>138</v>
      </c>
      <c r="AD1580" t="s">
        <v>128</v>
      </c>
      <c r="AE1580" s="97">
        <f>VLOOKUP(A:A,SUMMERY!AA:AC,2,FALSE)</f>
        <v>46233</v>
      </c>
      <c r="AF1580" s="6" t="str">
        <f>VLOOKUP(A:A,SUMMERY!AA:AC,3,FALSE)</f>
        <v>Priority-1</v>
      </c>
    </row>
    <row r="1581" spans="1:32" x14ac:dyDescent="0.3">
      <c r="A1581" t="s">
        <v>6697</v>
      </c>
      <c r="B1581" t="s">
        <v>6652</v>
      </c>
      <c r="G1581" t="s">
        <v>6672</v>
      </c>
      <c r="H1581" t="s">
        <v>132</v>
      </c>
      <c r="I1581" t="s">
        <v>1</v>
      </c>
      <c r="J1581" t="s">
        <v>133</v>
      </c>
      <c r="K1581" t="s">
        <v>51</v>
      </c>
      <c r="L1581" t="s">
        <v>1763</v>
      </c>
      <c r="M1581" t="s">
        <v>134</v>
      </c>
      <c r="N1581" t="s">
        <v>135</v>
      </c>
      <c r="Q1581" t="s">
        <v>168</v>
      </c>
      <c r="S1581" t="s">
        <v>168</v>
      </c>
      <c r="U1581" t="s">
        <v>137</v>
      </c>
      <c r="V1581" t="s">
        <v>352</v>
      </c>
      <c r="X1581" t="s">
        <v>56</v>
      </c>
      <c r="AA1581" t="s">
        <v>1579</v>
      </c>
      <c r="AB1581" t="s">
        <v>1</v>
      </c>
      <c r="AC1581" t="s">
        <v>138</v>
      </c>
      <c r="AD1581" t="s">
        <v>128</v>
      </c>
      <c r="AE1581" s="97">
        <f>VLOOKUP(A:A,SUMMERY!AA:AC,2,FALSE)</f>
        <v>46233</v>
      </c>
      <c r="AF1581" s="6" t="str">
        <f>VLOOKUP(A:A,SUMMERY!AA:AC,3,FALSE)</f>
        <v>Priority-1</v>
      </c>
    </row>
    <row r="1582" spans="1:32" x14ac:dyDescent="0.3">
      <c r="A1582" t="s">
        <v>6698</v>
      </c>
      <c r="B1582" t="s">
        <v>6653</v>
      </c>
      <c r="G1582" t="s">
        <v>6672</v>
      </c>
      <c r="H1582" t="s">
        <v>132</v>
      </c>
      <c r="I1582" t="s">
        <v>1</v>
      </c>
      <c r="J1582" t="s">
        <v>133</v>
      </c>
      <c r="K1582" t="s">
        <v>51</v>
      </c>
      <c r="L1582" t="s">
        <v>1763</v>
      </c>
      <c r="M1582" t="s">
        <v>134</v>
      </c>
      <c r="N1582" t="s">
        <v>135</v>
      </c>
      <c r="Q1582" t="s">
        <v>168</v>
      </c>
      <c r="S1582" t="s">
        <v>168</v>
      </c>
      <c r="U1582" t="s">
        <v>137</v>
      </c>
      <c r="V1582" t="s">
        <v>352</v>
      </c>
      <c r="X1582" t="s">
        <v>56</v>
      </c>
      <c r="AA1582" t="s">
        <v>1579</v>
      </c>
      <c r="AB1582" t="s">
        <v>1</v>
      </c>
      <c r="AC1582" t="s">
        <v>138</v>
      </c>
      <c r="AD1582" t="s">
        <v>128</v>
      </c>
      <c r="AE1582" s="97">
        <f>VLOOKUP(A:A,SUMMERY!AA:AC,2,FALSE)</f>
        <v>46233</v>
      </c>
      <c r="AF1582" s="6" t="str">
        <f>VLOOKUP(A:A,SUMMERY!AA:AC,3,FALSE)</f>
        <v>Priority-1</v>
      </c>
    </row>
    <row r="1583" spans="1:32" x14ac:dyDescent="0.3">
      <c r="A1583" t="s">
        <v>7228</v>
      </c>
      <c r="B1583" t="s">
        <v>7229</v>
      </c>
      <c r="G1583" t="s">
        <v>6699</v>
      </c>
      <c r="H1583" t="s">
        <v>132</v>
      </c>
      <c r="I1583" t="s">
        <v>2</v>
      </c>
      <c r="J1583" t="s">
        <v>133</v>
      </c>
      <c r="K1583" t="s">
        <v>52</v>
      </c>
      <c r="L1583" t="s">
        <v>7230</v>
      </c>
      <c r="M1583" t="s">
        <v>134</v>
      </c>
      <c r="N1583" t="s">
        <v>135</v>
      </c>
      <c r="Q1583" t="s">
        <v>168</v>
      </c>
      <c r="S1583" t="s">
        <v>168</v>
      </c>
      <c r="U1583" t="s">
        <v>137</v>
      </c>
      <c r="V1583" t="s">
        <v>7094</v>
      </c>
      <c r="X1583" t="s">
        <v>7095</v>
      </c>
      <c r="AB1583" t="s">
        <v>2</v>
      </c>
      <c r="AC1583" t="s">
        <v>138</v>
      </c>
      <c r="AD1583" t="s">
        <v>7074</v>
      </c>
      <c r="AE1583" s="97">
        <f>VLOOKUP(A:A,SUMMERY!AA:AC,2,FALSE)</f>
        <v>46198</v>
      </c>
      <c r="AF1583" s="6" t="str">
        <f>VLOOKUP(A:A,SUMMERY!AA:AC,3,FALSE)</f>
        <v>Priority-1</v>
      </c>
    </row>
    <row r="1584" spans="1:32" x14ac:dyDescent="0.3">
      <c r="A1584" t="s">
        <v>7231</v>
      </c>
      <c r="B1584" t="s">
        <v>7232</v>
      </c>
      <c r="G1584" t="s">
        <v>6699</v>
      </c>
      <c r="H1584" t="s">
        <v>132</v>
      </c>
      <c r="I1584" t="s">
        <v>2</v>
      </c>
      <c r="J1584" t="s">
        <v>133</v>
      </c>
      <c r="K1584" t="s">
        <v>52</v>
      </c>
      <c r="L1584" t="s">
        <v>7233</v>
      </c>
      <c r="M1584" t="s">
        <v>134</v>
      </c>
      <c r="N1584" t="s">
        <v>135</v>
      </c>
      <c r="Q1584" t="s">
        <v>168</v>
      </c>
      <c r="S1584" t="s">
        <v>168</v>
      </c>
      <c r="U1584" t="s">
        <v>137</v>
      </c>
      <c r="V1584" t="s">
        <v>7094</v>
      </c>
      <c r="X1584" t="s">
        <v>7095</v>
      </c>
      <c r="AB1584" t="s">
        <v>2</v>
      </c>
      <c r="AC1584" t="s">
        <v>138</v>
      </c>
      <c r="AD1584" t="s">
        <v>7074</v>
      </c>
      <c r="AE1584" s="97">
        <f>VLOOKUP(A:A,SUMMERY!AA:AC,2,FALSE)</f>
        <v>46198</v>
      </c>
      <c r="AF1584" s="6" t="str">
        <f>VLOOKUP(A:A,SUMMERY!AA:AC,3,FALSE)</f>
        <v>Priority-1</v>
      </c>
    </row>
    <row r="1585" spans="1:32" x14ac:dyDescent="0.3">
      <c r="A1585" t="s">
        <v>7234</v>
      </c>
      <c r="B1585" t="s">
        <v>7235</v>
      </c>
      <c r="G1585" t="s">
        <v>6699</v>
      </c>
      <c r="H1585" t="s">
        <v>132</v>
      </c>
      <c r="I1585" t="s">
        <v>2</v>
      </c>
      <c r="J1585" t="s">
        <v>133</v>
      </c>
      <c r="K1585" t="s">
        <v>52</v>
      </c>
      <c r="L1585" t="s">
        <v>7236</v>
      </c>
      <c r="M1585" t="s">
        <v>134</v>
      </c>
      <c r="N1585" t="s">
        <v>135</v>
      </c>
      <c r="Q1585" t="s">
        <v>168</v>
      </c>
      <c r="S1585" t="s">
        <v>168</v>
      </c>
      <c r="U1585" t="s">
        <v>137</v>
      </c>
      <c r="V1585" t="s">
        <v>7094</v>
      </c>
      <c r="X1585" t="s">
        <v>7095</v>
      </c>
      <c r="AB1585" t="s">
        <v>2</v>
      </c>
      <c r="AC1585" t="s">
        <v>138</v>
      </c>
      <c r="AD1585" t="s">
        <v>7074</v>
      </c>
      <c r="AE1585" s="97">
        <f>VLOOKUP(A:A,SUMMERY!AA:AC,2,FALSE)</f>
        <v>46198</v>
      </c>
      <c r="AF1585" s="6" t="str">
        <f>VLOOKUP(A:A,SUMMERY!AA:AC,3,FALSE)</f>
        <v>Priority-1</v>
      </c>
    </row>
    <row r="1586" spans="1:32" x14ac:dyDescent="0.3">
      <c r="A1586" t="s">
        <v>7237</v>
      </c>
      <c r="B1586" t="s">
        <v>7238</v>
      </c>
      <c r="G1586" t="s">
        <v>6699</v>
      </c>
      <c r="H1586" t="s">
        <v>132</v>
      </c>
      <c r="I1586" t="s">
        <v>2</v>
      </c>
      <c r="J1586" t="s">
        <v>133</v>
      </c>
      <c r="K1586" t="s">
        <v>52</v>
      </c>
      <c r="L1586" t="s">
        <v>7239</v>
      </c>
      <c r="M1586" t="s">
        <v>134</v>
      </c>
      <c r="N1586" t="s">
        <v>135</v>
      </c>
      <c r="Q1586" t="s">
        <v>168</v>
      </c>
      <c r="S1586" t="s">
        <v>168</v>
      </c>
      <c r="U1586" t="s">
        <v>137</v>
      </c>
      <c r="V1586" t="s">
        <v>7094</v>
      </c>
      <c r="X1586" t="s">
        <v>7095</v>
      </c>
      <c r="AB1586" t="s">
        <v>2</v>
      </c>
      <c r="AC1586" t="s">
        <v>138</v>
      </c>
      <c r="AD1586" t="s">
        <v>7074</v>
      </c>
      <c r="AE1586" s="97">
        <f>VLOOKUP(A:A,SUMMERY!AA:AC,2,FALSE)</f>
        <v>46198</v>
      </c>
      <c r="AF1586" s="6" t="str">
        <f>VLOOKUP(A:A,SUMMERY!AA:AC,3,FALSE)</f>
        <v>Priority-1</v>
      </c>
    </row>
    <row r="1587" spans="1:32" x14ac:dyDescent="0.3">
      <c r="A1587" t="s">
        <v>7240</v>
      </c>
      <c r="B1587" t="s">
        <v>7241</v>
      </c>
      <c r="G1587" t="s">
        <v>6699</v>
      </c>
      <c r="H1587" t="s">
        <v>132</v>
      </c>
      <c r="I1587" t="s">
        <v>2</v>
      </c>
      <c r="J1587" t="s">
        <v>133</v>
      </c>
      <c r="K1587" t="s">
        <v>52</v>
      </c>
      <c r="L1587" t="s">
        <v>7242</v>
      </c>
      <c r="M1587" t="s">
        <v>134</v>
      </c>
      <c r="N1587" t="s">
        <v>135</v>
      </c>
      <c r="Q1587" t="s">
        <v>168</v>
      </c>
      <c r="S1587" t="s">
        <v>168</v>
      </c>
      <c r="U1587" t="s">
        <v>137</v>
      </c>
      <c r="V1587" t="s">
        <v>7094</v>
      </c>
      <c r="X1587" t="s">
        <v>7095</v>
      </c>
      <c r="AB1587" t="s">
        <v>2</v>
      </c>
      <c r="AC1587" t="s">
        <v>138</v>
      </c>
      <c r="AD1587" t="s">
        <v>7074</v>
      </c>
      <c r="AE1587" s="97">
        <f>VLOOKUP(A:A,SUMMERY!AA:AC,2,FALSE)</f>
        <v>46198</v>
      </c>
      <c r="AF1587" s="6" t="str">
        <f>VLOOKUP(A:A,SUMMERY!AA:AC,3,FALSE)</f>
        <v>Priority-1</v>
      </c>
    </row>
    <row r="1588" spans="1:32" x14ac:dyDescent="0.3">
      <c r="A1588" t="s">
        <v>7243</v>
      </c>
      <c r="B1588" t="s">
        <v>7244</v>
      </c>
      <c r="G1588" t="s">
        <v>6699</v>
      </c>
      <c r="H1588" t="s">
        <v>132</v>
      </c>
      <c r="I1588" t="s">
        <v>2</v>
      </c>
      <c r="J1588" t="s">
        <v>133</v>
      </c>
      <c r="K1588" t="s">
        <v>52</v>
      </c>
      <c r="L1588" t="s">
        <v>7245</v>
      </c>
      <c r="M1588" t="s">
        <v>134</v>
      </c>
      <c r="N1588" t="s">
        <v>135</v>
      </c>
      <c r="Q1588" t="s">
        <v>168</v>
      </c>
      <c r="S1588" t="s">
        <v>168</v>
      </c>
      <c r="U1588" t="s">
        <v>137</v>
      </c>
      <c r="V1588" t="s">
        <v>7094</v>
      </c>
      <c r="X1588" t="s">
        <v>7095</v>
      </c>
      <c r="AB1588" t="s">
        <v>2</v>
      </c>
      <c r="AC1588" t="s">
        <v>138</v>
      </c>
      <c r="AD1588" t="s">
        <v>7074</v>
      </c>
      <c r="AE1588" s="97">
        <f>VLOOKUP(A:A,SUMMERY!AA:AC,2,FALSE)</f>
        <v>46198</v>
      </c>
      <c r="AF1588" s="6" t="str">
        <f>VLOOKUP(A:A,SUMMERY!AA:AC,3,FALSE)</f>
        <v>Priority-1</v>
      </c>
    </row>
    <row r="1589" spans="1:32" x14ac:dyDescent="0.3">
      <c r="A1589" t="s">
        <v>7246</v>
      </c>
      <c r="B1589" t="s">
        <v>7247</v>
      </c>
      <c r="G1589" t="s">
        <v>6699</v>
      </c>
      <c r="H1589" t="s">
        <v>132</v>
      </c>
      <c r="I1589" t="s">
        <v>2</v>
      </c>
      <c r="J1589" t="s">
        <v>133</v>
      </c>
      <c r="K1589" t="s">
        <v>52</v>
      </c>
      <c r="L1589" t="s">
        <v>7248</v>
      </c>
      <c r="M1589" t="s">
        <v>134</v>
      </c>
      <c r="N1589" t="s">
        <v>135</v>
      </c>
      <c r="Q1589" t="s">
        <v>168</v>
      </c>
      <c r="S1589" t="s">
        <v>168</v>
      </c>
      <c r="U1589" t="s">
        <v>137</v>
      </c>
      <c r="V1589" t="s">
        <v>7094</v>
      </c>
      <c r="X1589" t="s">
        <v>7095</v>
      </c>
      <c r="AB1589" t="s">
        <v>2</v>
      </c>
      <c r="AC1589" t="s">
        <v>138</v>
      </c>
      <c r="AD1589" t="s">
        <v>7074</v>
      </c>
      <c r="AE1589" s="97">
        <f>VLOOKUP(A:A,SUMMERY!AA:AC,2,FALSE)</f>
        <v>46198</v>
      </c>
      <c r="AF1589" s="6" t="str">
        <f>VLOOKUP(A:A,SUMMERY!AA:AC,3,FALSE)</f>
        <v>Priority-1</v>
      </c>
    </row>
    <row r="1590" spans="1:32" x14ac:dyDescent="0.3">
      <c r="A1590" t="s">
        <v>7249</v>
      </c>
      <c r="B1590" t="s">
        <v>7250</v>
      </c>
      <c r="G1590" t="s">
        <v>6699</v>
      </c>
      <c r="H1590" t="s">
        <v>132</v>
      </c>
      <c r="I1590" t="s">
        <v>2</v>
      </c>
      <c r="J1590" t="s">
        <v>133</v>
      </c>
      <c r="K1590" t="s">
        <v>52</v>
      </c>
      <c r="L1590" t="s">
        <v>7251</v>
      </c>
      <c r="M1590" t="s">
        <v>134</v>
      </c>
      <c r="N1590" t="s">
        <v>135</v>
      </c>
      <c r="Q1590" t="s">
        <v>168</v>
      </c>
      <c r="S1590" t="s">
        <v>168</v>
      </c>
      <c r="U1590" t="s">
        <v>137</v>
      </c>
      <c r="V1590" t="s">
        <v>7094</v>
      </c>
      <c r="X1590" t="s">
        <v>7095</v>
      </c>
      <c r="AB1590" t="s">
        <v>2</v>
      </c>
      <c r="AC1590" t="s">
        <v>138</v>
      </c>
      <c r="AD1590" t="s">
        <v>7074</v>
      </c>
      <c r="AE1590" s="97">
        <f>VLOOKUP(A:A,SUMMERY!AA:AC,2,FALSE)</f>
        <v>46198</v>
      </c>
      <c r="AF1590" s="6" t="str">
        <f>VLOOKUP(A:A,SUMMERY!AA:AC,3,FALSE)</f>
        <v>Priority-1</v>
      </c>
    </row>
    <row r="1591" spans="1:32" x14ac:dyDescent="0.3">
      <c r="A1591" t="s">
        <v>7252</v>
      </c>
      <c r="B1591" t="s">
        <v>7253</v>
      </c>
      <c r="G1591" t="s">
        <v>6699</v>
      </c>
      <c r="H1591" t="s">
        <v>132</v>
      </c>
      <c r="I1591" t="s">
        <v>2</v>
      </c>
      <c r="J1591" t="s">
        <v>133</v>
      </c>
      <c r="K1591" t="s">
        <v>52</v>
      </c>
      <c r="L1591" t="s">
        <v>7254</v>
      </c>
      <c r="M1591" t="s">
        <v>134</v>
      </c>
      <c r="N1591" t="s">
        <v>135</v>
      </c>
      <c r="Q1591" t="s">
        <v>168</v>
      </c>
      <c r="S1591" t="s">
        <v>168</v>
      </c>
      <c r="U1591" t="s">
        <v>137</v>
      </c>
      <c r="V1591" t="s">
        <v>7094</v>
      </c>
      <c r="X1591" t="s">
        <v>7095</v>
      </c>
      <c r="AB1591" t="s">
        <v>2</v>
      </c>
      <c r="AC1591" t="s">
        <v>138</v>
      </c>
      <c r="AD1591" t="s">
        <v>7074</v>
      </c>
      <c r="AE1591" s="97">
        <f>VLOOKUP(A:A,SUMMERY!AA:AC,2,FALSE)</f>
        <v>46198</v>
      </c>
      <c r="AF1591" s="6" t="str">
        <f>VLOOKUP(A:A,SUMMERY!AA:AC,3,FALSE)</f>
        <v>Priority-1</v>
      </c>
    </row>
    <row r="1592" spans="1:32" x14ac:dyDescent="0.3">
      <c r="A1592" t="s">
        <v>7255</v>
      </c>
      <c r="B1592" t="s">
        <v>7256</v>
      </c>
      <c r="G1592" t="s">
        <v>6699</v>
      </c>
      <c r="H1592" t="s">
        <v>132</v>
      </c>
      <c r="I1592" t="s">
        <v>2</v>
      </c>
      <c r="J1592" t="s">
        <v>133</v>
      </c>
      <c r="K1592" t="s">
        <v>52</v>
      </c>
      <c r="L1592" t="s">
        <v>7257</v>
      </c>
      <c r="M1592" t="s">
        <v>134</v>
      </c>
      <c r="N1592" t="s">
        <v>135</v>
      </c>
      <c r="Q1592" t="s">
        <v>168</v>
      </c>
      <c r="S1592" t="s">
        <v>168</v>
      </c>
      <c r="U1592" t="s">
        <v>137</v>
      </c>
      <c r="V1592" t="s">
        <v>7094</v>
      </c>
      <c r="X1592" t="s">
        <v>7095</v>
      </c>
      <c r="AB1592" t="s">
        <v>2</v>
      </c>
      <c r="AC1592" t="s">
        <v>138</v>
      </c>
      <c r="AD1592" t="s">
        <v>7074</v>
      </c>
      <c r="AE1592" s="97">
        <f>VLOOKUP(A:A,SUMMERY!AA:AC,2,FALSE)</f>
        <v>46234</v>
      </c>
      <c r="AF1592" s="6" t="str">
        <f>VLOOKUP(A:A,SUMMERY!AA:AC,3,FALSE)</f>
        <v>Priority-1</v>
      </c>
    </row>
    <row r="1593" spans="1:32" x14ac:dyDescent="0.3">
      <c r="A1593" t="s">
        <v>7258</v>
      </c>
      <c r="B1593" t="s">
        <v>7259</v>
      </c>
      <c r="G1593" t="s">
        <v>6699</v>
      </c>
      <c r="H1593" t="s">
        <v>132</v>
      </c>
      <c r="I1593" t="s">
        <v>2</v>
      </c>
      <c r="J1593" t="s">
        <v>133</v>
      </c>
      <c r="K1593" t="s">
        <v>52</v>
      </c>
      <c r="L1593" t="s">
        <v>7260</v>
      </c>
      <c r="M1593" t="s">
        <v>134</v>
      </c>
      <c r="N1593" t="s">
        <v>135</v>
      </c>
      <c r="Q1593" t="s">
        <v>168</v>
      </c>
      <c r="S1593" t="s">
        <v>168</v>
      </c>
      <c r="U1593" t="s">
        <v>137</v>
      </c>
      <c r="V1593" t="s">
        <v>7094</v>
      </c>
      <c r="X1593" t="s">
        <v>7095</v>
      </c>
      <c r="AB1593" t="s">
        <v>2</v>
      </c>
      <c r="AC1593" t="s">
        <v>138</v>
      </c>
      <c r="AD1593" t="s">
        <v>7074</v>
      </c>
      <c r="AE1593" s="97">
        <f>VLOOKUP(A:A,SUMMERY!AA:AC,2,FALSE)</f>
        <v>46234</v>
      </c>
      <c r="AF1593" s="6" t="str">
        <f>VLOOKUP(A:A,SUMMERY!AA:AC,3,FALSE)</f>
        <v>Priority-1</v>
      </c>
    </row>
    <row r="1594" spans="1:32" x14ac:dyDescent="0.3">
      <c r="A1594" t="s">
        <v>7261</v>
      </c>
      <c r="B1594" t="s">
        <v>7262</v>
      </c>
      <c r="G1594" t="s">
        <v>6699</v>
      </c>
      <c r="H1594" t="s">
        <v>132</v>
      </c>
      <c r="I1594" t="s">
        <v>2</v>
      </c>
      <c r="J1594" t="s">
        <v>133</v>
      </c>
      <c r="K1594" t="s">
        <v>52</v>
      </c>
      <c r="L1594" t="s">
        <v>7263</v>
      </c>
      <c r="M1594" t="s">
        <v>134</v>
      </c>
      <c r="N1594" t="s">
        <v>135</v>
      </c>
      <c r="Q1594" t="s">
        <v>168</v>
      </c>
      <c r="S1594" t="s">
        <v>168</v>
      </c>
      <c r="U1594" t="s">
        <v>137</v>
      </c>
      <c r="V1594" t="s">
        <v>7094</v>
      </c>
      <c r="W1594" s="9">
        <v>46200.358331678239</v>
      </c>
      <c r="X1594" t="s">
        <v>7095</v>
      </c>
      <c r="AA1594" t="s">
        <v>5059</v>
      </c>
      <c r="AB1594" t="s">
        <v>2</v>
      </c>
      <c r="AC1594" t="s">
        <v>24</v>
      </c>
      <c r="AD1594" t="s">
        <v>7074</v>
      </c>
      <c r="AE1594" s="97">
        <f>VLOOKUP(A:A,SUMMERY!AA:AC,2,FALSE)</f>
        <v>46234</v>
      </c>
      <c r="AF1594" s="6" t="str">
        <f>VLOOKUP(A:A,SUMMERY!AA:AC,3,FALSE)</f>
        <v>Priority-1</v>
      </c>
    </row>
    <row r="1595" spans="1:32" x14ac:dyDescent="0.3">
      <c r="A1595" t="s">
        <v>7264</v>
      </c>
      <c r="B1595" t="s">
        <v>7265</v>
      </c>
      <c r="G1595" t="s">
        <v>6699</v>
      </c>
      <c r="H1595" t="s">
        <v>132</v>
      </c>
      <c r="I1595" t="s">
        <v>2</v>
      </c>
      <c r="J1595" t="s">
        <v>133</v>
      </c>
      <c r="K1595" t="s">
        <v>52</v>
      </c>
      <c r="L1595" t="s">
        <v>7266</v>
      </c>
      <c r="M1595" t="s">
        <v>134</v>
      </c>
      <c r="N1595" t="s">
        <v>135</v>
      </c>
      <c r="Q1595" t="s">
        <v>168</v>
      </c>
      <c r="S1595" t="s">
        <v>168</v>
      </c>
      <c r="U1595" t="s">
        <v>137</v>
      </c>
      <c r="V1595" t="s">
        <v>7094</v>
      </c>
      <c r="W1595" s="9">
        <v>46200.355999108797</v>
      </c>
      <c r="X1595" t="s">
        <v>7095</v>
      </c>
      <c r="AA1595" t="s">
        <v>5059</v>
      </c>
      <c r="AB1595" t="s">
        <v>2</v>
      </c>
      <c r="AC1595" t="s">
        <v>24</v>
      </c>
      <c r="AD1595" t="s">
        <v>7074</v>
      </c>
      <c r="AE1595" s="97">
        <f>VLOOKUP(A:A,SUMMERY!AA:AC,2,FALSE)</f>
        <v>46234</v>
      </c>
      <c r="AF1595" s="6" t="str">
        <f>VLOOKUP(A:A,SUMMERY!AA:AC,3,FALSE)</f>
        <v>Priority-1</v>
      </c>
    </row>
    <row r="1596" spans="1:32" x14ac:dyDescent="0.3">
      <c r="A1596" t="s">
        <v>7267</v>
      </c>
      <c r="B1596" t="s">
        <v>7268</v>
      </c>
      <c r="G1596" t="s">
        <v>6699</v>
      </c>
      <c r="H1596" t="s">
        <v>132</v>
      </c>
      <c r="I1596" t="s">
        <v>2</v>
      </c>
      <c r="J1596" t="s">
        <v>133</v>
      </c>
      <c r="K1596" t="s">
        <v>52</v>
      </c>
      <c r="L1596" t="s">
        <v>7269</v>
      </c>
      <c r="M1596" t="s">
        <v>134</v>
      </c>
      <c r="N1596" t="s">
        <v>135</v>
      </c>
      <c r="Q1596" t="s">
        <v>168</v>
      </c>
      <c r="S1596" t="s">
        <v>168</v>
      </c>
      <c r="U1596" t="s">
        <v>137</v>
      </c>
      <c r="V1596" t="s">
        <v>7094</v>
      </c>
      <c r="X1596" t="s">
        <v>7095</v>
      </c>
      <c r="AB1596" t="s">
        <v>2</v>
      </c>
      <c r="AC1596" t="s">
        <v>138</v>
      </c>
      <c r="AD1596" t="s">
        <v>7074</v>
      </c>
      <c r="AE1596" s="97">
        <f>VLOOKUP(A:A,SUMMERY!AA:AC,2,FALSE)</f>
        <v>46234</v>
      </c>
      <c r="AF1596" s="6" t="str">
        <f>VLOOKUP(A:A,SUMMERY!AA:AC,3,FALSE)</f>
        <v>Priority-1</v>
      </c>
    </row>
    <row r="1597" spans="1:32" x14ac:dyDescent="0.3">
      <c r="A1597" t="s">
        <v>7270</v>
      </c>
      <c r="B1597" t="s">
        <v>7271</v>
      </c>
      <c r="G1597" t="s">
        <v>6699</v>
      </c>
      <c r="H1597" t="s">
        <v>132</v>
      </c>
      <c r="I1597" t="s">
        <v>2</v>
      </c>
      <c r="J1597" t="s">
        <v>133</v>
      </c>
      <c r="K1597" t="s">
        <v>52</v>
      </c>
      <c r="L1597" t="s">
        <v>7272</v>
      </c>
      <c r="M1597" t="s">
        <v>134</v>
      </c>
      <c r="N1597" t="s">
        <v>135</v>
      </c>
      <c r="Q1597" t="s">
        <v>168</v>
      </c>
      <c r="S1597" t="s">
        <v>168</v>
      </c>
      <c r="U1597" t="s">
        <v>137</v>
      </c>
      <c r="V1597" t="s">
        <v>7094</v>
      </c>
      <c r="X1597" t="s">
        <v>7095</v>
      </c>
      <c r="AB1597" t="s">
        <v>2</v>
      </c>
      <c r="AC1597" t="s">
        <v>138</v>
      </c>
      <c r="AD1597" t="s">
        <v>7074</v>
      </c>
      <c r="AE1597" s="97">
        <f>VLOOKUP(A:A,SUMMERY!AA:AC,2,FALSE)</f>
        <v>46234</v>
      </c>
      <c r="AF1597" s="6" t="str">
        <f>VLOOKUP(A:A,SUMMERY!AA:AC,3,FALSE)</f>
        <v>Priority-1</v>
      </c>
    </row>
    <row r="1598" spans="1:32" x14ac:dyDescent="0.3">
      <c r="A1598" t="s">
        <v>7273</v>
      </c>
      <c r="B1598" t="s">
        <v>7274</v>
      </c>
      <c r="G1598" t="s">
        <v>6699</v>
      </c>
      <c r="H1598" t="s">
        <v>132</v>
      </c>
      <c r="I1598" t="s">
        <v>2</v>
      </c>
      <c r="J1598" t="s">
        <v>133</v>
      </c>
      <c r="K1598" t="s">
        <v>52</v>
      </c>
      <c r="L1598" t="s">
        <v>7275</v>
      </c>
      <c r="M1598" t="s">
        <v>134</v>
      </c>
      <c r="N1598" t="s">
        <v>135</v>
      </c>
      <c r="Q1598" t="s">
        <v>168</v>
      </c>
      <c r="S1598" t="s">
        <v>168</v>
      </c>
      <c r="U1598" t="s">
        <v>137</v>
      </c>
      <c r="V1598" t="s">
        <v>7094</v>
      </c>
      <c r="X1598" t="s">
        <v>7095</v>
      </c>
      <c r="AB1598" t="s">
        <v>2</v>
      </c>
      <c r="AC1598" t="s">
        <v>138</v>
      </c>
      <c r="AD1598" t="s">
        <v>7074</v>
      </c>
      <c r="AE1598" s="97">
        <f>VLOOKUP(A:A,SUMMERY!AA:AC,2,FALSE)</f>
        <v>46234</v>
      </c>
      <c r="AF1598" s="6" t="str">
        <f>VLOOKUP(A:A,SUMMERY!AA:AC,3,FALSE)</f>
        <v>Priority-1</v>
      </c>
    </row>
    <row r="1599" spans="1:32" x14ac:dyDescent="0.3">
      <c r="A1599" t="s">
        <v>7276</v>
      </c>
      <c r="B1599" t="s">
        <v>7277</v>
      </c>
      <c r="G1599" t="s">
        <v>6699</v>
      </c>
      <c r="H1599" t="s">
        <v>132</v>
      </c>
      <c r="I1599" t="s">
        <v>2</v>
      </c>
      <c r="J1599" t="s">
        <v>133</v>
      </c>
      <c r="K1599" t="s">
        <v>52</v>
      </c>
      <c r="L1599" t="s">
        <v>7278</v>
      </c>
      <c r="M1599" t="s">
        <v>134</v>
      </c>
      <c r="N1599" t="s">
        <v>135</v>
      </c>
      <c r="Q1599" t="s">
        <v>168</v>
      </c>
      <c r="S1599" t="s">
        <v>168</v>
      </c>
      <c r="U1599" t="s">
        <v>137</v>
      </c>
      <c r="V1599" t="s">
        <v>7094</v>
      </c>
      <c r="X1599" t="s">
        <v>7095</v>
      </c>
      <c r="AB1599" t="s">
        <v>2</v>
      </c>
      <c r="AC1599" t="s">
        <v>138</v>
      </c>
      <c r="AD1599" t="s">
        <v>7074</v>
      </c>
      <c r="AE1599" s="97">
        <f>VLOOKUP(A:A,SUMMERY!AA:AC,2,FALSE)</f>
        <v>46234</v>
      </c>
      <c r="AF1599" s="6" t="str">
        <f>VLOOKUP(A:A,SUMMERY!AA:AC,3,FALSE)</f>
        <v>Priority-1</v>
      </c>
    </row>
    <row r="1600" spans="1:32" x14ac:dyDescent="0.3">
      <c r="A1600" t="s">
        <v>7279</v>
      </c>
      <c r="B1600" t="s">
        <v>7280</v>
      </c>
      <c r="G1600" t="s">
        <v>6699</v>
      </c>
      <c r="H1600" t="s">
        <v>132</v>
      </c>
      <c r="I1600" t="s">
        <v>2</v>
      </c>
      <c r="J1600" t="s">
        <v>133</v>
      </c>
      <c r="K1600" t="s">
        <v>52</v>
      </c>
      <c r="L1600" t="s">
        <v>7281</v>
      </c>
      <c r="M1600" t="s">
        <v>134</v>
      </c>
      <c r="N1600" t="s">
        <v>135</v>
      </c>
      <c r="Q1600" t="s">
        <v>168</v>
      </c>
      <c r="S1600" t="s">
        <v>168</v>
      </c>
      <c r="U1600" t="s">
        <v>137</v>
      </c>
      <c r="V1600" t="s">
        <v>7094</v>
      </c>
      <c r="X1600" t="s">
        <v>7095</v>
      </c>
      <c r="AB1600" t="s">
        <v>2</v>
      </c>
      <c r="AC1600" t="s">
        <v>138</v>
      </c>
      <c r="AD1600" t="s">
        <v>7074</v>
      </c>
      <c r="AE1600" s="97">
        <f>VLOOKUP(A:A,SUMMERY!AA:AC,2,FALSE)</f>
        <v>46234</v>
      </c>
      <c r="AF1600" s="6" t="str">
        <f>VLOOKUP(A:A,SUMMERY!AA:AC,3,FALSE)</f>
        <v>Priority-1</v>
      </c>
    </row>
    <row r="1601" spans="1:32" x14ac:dyDescent="0.3">
      <c r="A1601" t="s">
        <v>7282</v>
      </c>
      <c r="B1601" t="s">
        <v>7283</v>
      </c>
      <c r="G1601" t="s">
        <v>6699</v>
      </c>
      <c r="H1601" t="s">
        <v>132</v>
      </c>
      <c r="I1601" t="s">
        <v>2</v>
      </c>
      <c r="J1601" t="s">
        <v>133</v>
      </c>
      <c r="K1601" t="s">
        <v>52</v>
      </c>
      <c r="L1601" t="s">
        <v>7284</v>
      </c>
      <c r="M1601" t="s">
        <v>134</v>
      </c>
      <c r="N1601" t="s">
        <v>135</v>
      </c>
      <c r="Q1601" t="s">
        <v>168</v>
      </c>
      <c r="S1601" t="s">
        <v>168</v>
      </c>
      <c r="U1601" t="s">
        <v>137</v>
      </c>
      <c r="V1601" t="s">
        <v>7094</v>
      </c>
      <c r="X1601" t="s">
        <v>7095</v>
      </c>
      <c r="AB1601" t="s">
        <v>2</v>
      </c>
      <c r="AC1601" t="s">
        <v>138</v>
      </c>
      <c r="AD1601" t="s">
        <v>7074</v>
      </c>
      <c r="AE1601" s="97">
        <f>VLOOKUP(A:A,SUMMERY!AA:AC,2,FALSE)</f>
        <v>46234</v>
      </c>
      <c r="AF1601" s="6" t="str">
        <f>VLOOKUP(A:A,SUMMERY!AA:AC,3,FALSE)</f>
        <v>Priority-1</v>
      </c>
    </row>
    <row r="1602" spans="1:32" x14ac:dyDescent="0.3">
      <c r="A1602" t="s">
        <v>7285</v>
      </c>
      <c r="B1602" t="s">
        <v>7286</v>
      </c>
      <c r="G1602" t="s">
        <v>6699</v>
      </c>
      <c r="H1602" t="s">
        <v>132</v>
      </c>
      <c r="I1602" t="s">
        <v>2</v>
      </c>
      <c r="J1602" t="s">
        <v>133</v>
      </c>
      <c r="K1602" t="s">
        <v>52</v>
      </c>
      <c r="L1602" t="s">
        <v>7287</v>
      </c>
      <c r="M1602" t="s">
        <v>134</v>
      </c>
      <c r="N1602" t="s">
        <v>135</v>
      </c>
      <c r="Q1602" t="s">
        <v>168</v>
      </c>
      <c r="S1602" t="s">
        <v>168</v>
      </c>
      <c r="U1602" t="s">
        <v>137</v>
      </c>
      <c r="V1602" t="s">
        <v>7094</v>
      </c>
      <c r="X1602" t="s">
        <v>7095</v>
      </c>
      <c r="AB1602" t="s">
        <v>2</v>
      </c>
      <c r="AC1602" t="s">
        <v>138</v>
      </c>
      <c r="AD1602" t="s">
        <v>7074</v>
      </c>
      <c r="AE1602" s="97">
        <f>VLOOKUP(A:A,SUMMERY!AA:AC,2,FALSE)</f>
        <v>46234</v>
      </c>
      <c r="AF1602" s="6" t="str">
        <f>VLOOKUP(A:A,SUMMERY!AA:AC,3,FALSE)</f>
        <v>Priority-1</v>
      </c>
    </row>
    <row r="1603" spans="1:32" x14ac:dyDescent="0.3">
      <c r="A1603" t="s">
        <v>7288</v>
      </c>
      <c r="B1603" t="s">
        <v>7289</v>
      </c>
      <c r="G1603" t="s">
        <v>6699</v>
      </c>
      <c r="H1603" t="s">
        <v>132</v>
      </c>
      <c r="I1603" t="s">
        <v>2</v>
      </c>
      <c r="J1603" t="s">
        <v>133</v>
      </c>
      <c r="K1603" t="s">
        <v>52</v>
      </c>
      <c r="L1603" t="s">
        <v>7290</v>
      </c>
      <c r="M1603" t="s">
        <v>134</v>
      </c>
      <c r="N1603" t="s">
        <v>135</v>
      </c>
      <c r="Q1603" t="s">
        <v>168</v>
      </c>
      <c r="S1603" t="s">
        <v>168</v>
      </c>
      <c r="U1603" t="s">
        <v>137</v>
      </c>
      <c r="V1603" t="s">
        <v>7094</v>
      </c>
      <c r="X1603" t="s">
        <v>7095</v>
      </c>
      <c r="AB1603" t="s">
        <v>2</v>
      </c>
      <c r="AC1603" t="s">
        <v>138</v>
      </c>
      <c r="AD1603" t="s">
        <v>7074</v>
      </c>
      <c r="AE1603" s="97">
        <f>VLOOKUP(A:A,SUMMERY!AA:AC,2,FALSE)</f>
        <v>46234</v>
      </c>
      <c r="AF1603" s="6" t="str">
        <f>VLOOKUP(A:A,SUMMERY!AA:AC,3,FALSE)</f>
        <v>Priority-1</v>
      </c>
    </row>
    <row r="1604" spans="1:32" x14ac:dyDescent="0.3">
      <c r="A1604" t="s">
        <v>7291</v>
      </c>
      <c r="B1604" t="s">
        <v>7292</v>
      </c>
      <c r="G1604" t="s">
        <v>6699</v>
      </c>
      <c r="H1604" t="s">
        <v>132</v>
      </c>
      <c r="I1604" t="s">
        <v>2</v>
      </c>
      <c r="J1604" t="s">
        <v>133</v>
      </c>
      <c r="K1604" t="s">
        <v>52</v>
      </c>
      <c r="L1604" t="s">
        <v>7293</v>
      </c>
      <c r="M1604" t="s">
        <v>134</v>
      </c>
      <c r="N1604" t="s">
        <v>135</v>
      </c>
      <c r="Q1604" t="s">
        <v>168</v>
      </c>
      <c r="S1604" t="s">
        <v>168</v>
      </c>
      <c r="U1604" t="s">
        <v>137</v>
      </c>
      <c r="V1604" t="s">
        <v>7094</v>
      </c>
      <c r="X1604" t="s">
        <v>7095</v>
      </c>
      <c r="AB1604" t="s">
        <v>2</v>
      </c>
      <c r="AC1604" t="s">
        <v>138</v>
      </c>
      <c r="AD1604" t="s">
        <v>7074</v>
      </c>
      <c r="AE1604" s="97">
        <f>VLOOKUP(A:A,SUMMERY!AA:AC,2,FALSE)</f>
        <v>46234</v>
      </c>
      <c r="AF1604" s="6" t="str">
        <f>VLOOKUP(A:A,SUMMERY!AA:AC,3,FALSE)</f>
        <v>Priority-1</v>
      </c>
    </row>
    <row r="1605" spans="1:32" x14ac:dyDescent="0.3">
      <c r="A1605" t="s">
        <v>7294</v>
      </c>
      <c r="B1605" t="s">
        <v>7295</v>
      </c>
      <c r="G1605" t="s">
        <v>6699</v>
      </c>
      <c r="H1605" t="s">
        <v>132</v>
      </c>
      <c r="I1605" t="s">
        <v>2</v>
      </c>
      <c r="J1605" t="s">
        <v>133</v>
      </c>
      <c r="K1605" t="s">
        <v>52</v>
      </c>
      <c r="L1605" t="s">
        <v>7296</v>
      </c>
      <c r="M1605" t="s">
        <v>134</v>
      </c>
      <c r="N1605" t="s">
        <v>135</v>
      </c>
      <c r="Q1605" t="s">
        <v>168</v>
      </c>
      <c r="S1605" t="s">
        <v>168</v>
      </c>
      <c r="U1605" t="s">
        <v>137</v>
      </c>
      <c r="V1605" t="s">
        <v>7094</v>
      </c>
      <c r="W1605" s="9">
        <v>46200.352299652775</v>
      </c>
      <c r="X1605" t="s">
        <v>7095</v>
      </c>
      <c r="AA1605" t="s">
        <v>5059</v>
      </c>
      <c r="AB1605" t="s">
        <v>2</v>
      </c>
      <c r="AC1605" t="s">
        <v>24</v>
      </c>
      <c r="AD1605" t="s">
        <v>7074</v>
      </c>
      <c r="AE1605" s="97">
        <f>VLOOKUP(A:A,SUMMERY!AA:AC,2,FALSE)</f>
        <v>46234</v>
      </c>
      <c r="AF1605" s="6" t="str">
        <f>VLOOKUP(A:A,SUMMERY!AA:AC,3,FALSE)</f>
        <v>Priority-1</v>
      </c>
    </row>
    <row r="1606" spans="1:32" x14ac:dyDescent="0.3">
      <c r="A1606" t="s">
        <v>7297</v>
      </c>
      <c r="B1606" t="s">
        <v>7298</v>
      </c>
      <c r="G1606" t="s">
        <v>6699</v>
      </c>
      <c r="H1606" t="s">
        <v>132</v>
      </c>
      <c r="I1606" t="s">
        <v>2</v>
      </c>
      <c r="J1606" t="s">
        <v>133</v>
      </c>
      <c r="K1606" t="s">
        <v>52</v>
      </c>
      <c r="L1606" t="s">
        <v>7299</v>
      </c>
      <c r="M1606" t="s">
        <v>134</v>
      </c>
      <c r="N1606" t="s">
        <v>135</v>
      </c>
      <c r="Q1606" t="s">
        <v>168</v>
      </c>
      <c r="S1606" t="s">
        <v>168</v>
      </c>
      <c r="U1606" t="s">
        <v>137</v>
      </c>
      <c r="V1606" t="s">
        <v>7094</v>
      </c>
      <c r="W1606" s="9">
        <v>46200.353664849536</v>
      </c>
      <c r="X1606" t="s">
        <v>7095</v>
      </c>
      <c r="AA1606" t="s">
        <v>5059</v>
      </c>
      <c r="AB1606" t="s">
        <v>2</v>
      </c>
      <c r="AC1606" t="s">
        <v>24</v>
      </c>
      <c r="AD1606" t="s">
        <v>7074</v>
      </c>
      <c r="AE1606" s="97">
        <f>VLOOKUP(A:A,SUMMERY!AA:AC,2,FALSE)</f>
        <v>46234</v>
      </c>
      <c r="AF1606" s="6" t="str">
        <f>VLOOKUP(A:A,SUMMERY!AA:AC,3,FALSE)</f>
        <v>Priority-1</v>
      </c>
    </row>
    <row r="1607" spans="1:32" x14ac:dyDescent="0.3">
      <c r="A1607" t="s">
        <v>7300</v>
      </c>
      <c r="B1607" t="s">
        <v>7301</v>
      </c>
      <c r="G1607" t="s">
        <v>6699</v>
      </c>
      <c r="H1607" t="s">
        <v>132</v>
      </c>
      <c r="I1607" t="s">
        <v>2</v>
      </c>
      <c r="J1607" t="s">
        <v>133</v>
      </c>
      <c r="K1607" t="s">
        <v>52</v>
      </c>
      <c r="L1607" t="s">
        <v>7302</v>
      </c>
      <c r="M1607" t="s">
        <v>134</v>
      </c>
      <c r="N1607" t="s">
        <v>135</v>
      </c>
      <c r="Q1607" t="s">
        <v>168</v>
      </c>
      <c r="S1607" t="s">
        <v>168</v>
      </c>
      <c r="U1607" t="s">
        <v>137</v>
      </c>
      <c r="V1607" t="s">
        <v>7094</v>
      </c>
      <c r="X1607" t="s">
        <v>7095</v>
      </c>
      <c r="AB1607" t="s">
        <v>2</v>
      </c>
      <c r="AC1607" t="s">
        <v>138</v>
      </c>
      <c r="AD1607" t="s">
        <v>7074</v>
      </c>
      <c r="AE1607" s="97">
        <f>VLOOKUP(A:A,SUMMERY!AA:AC,2,FALSE)</f>
        <v>46234</v>
      </c>
      <c r="AF1607" s="6" t="str">
        <f>VLOOKUP(A:A,SUMMERY!AA:AC,3,FALSE)</f>
        <v>Priority-1</v>
      </c>
    </row>
    <row r="1608" spans="1:32" x14ac:dyDescent="0.3">
      <c r="A1608" t="s">
        <v>7303</v>
      </c>
      <c r="B1608" t="s">
        <v>7304</v>
      </c>
      <c r="G1608" t="s">
        <v>6699</v>
      </c>
      <c r="H1608" t="s">
        <v>132</v>
      </c>
      <c r="I1608" t="s">
        <v>2</v>
      </c>
      <c r="J1608" t="s">
        <v>133</v>
      </c>
      <c r="K1608" t="s">
        <v>52</v>
      </c>
      <c r="L1608" t="s">
        <v>7305</v>
      </c>
      <c r="M1608" t="s">
        <v>134</v>
      </c>
      <c r="N1608" t="s">
        <v>135</v>
      </c>
      <c r="Q1608" t="s">
        <v>168</v>
      </c>
      <c r="S1608" t="s">
        <v>168</v>
      </c>
      <c r="U1608" t="s">
        <v>137</v>
      </c>
      <c r="V1608" t="s">
        <v>7094</v>
      </c>
      <c r="X1608" t="s">
        <v>7095</v>
      </c>
      <c r="AB1608" t="s">
        <v>2</v>
      </c>
      <c r="AC1608" t="s">
        <v>138</v>
      </c>
      <c r="AD1608" t="s">
        <v>7074</v>
      </c>
      <c r="AE1608" s="97">
        <f>VLOOKUP(A:A,SUMMERY!AA:AC,2,FALSE)</f>
        <v>46234</v>
      </c>
      <c r="AF1608" s="6" t="str">
        <f>VLOOKUP(A:A,SUMMERY!AA:AC,3,FALSE)</f>
        <v>Priority-1</v>
      </c>
    </row>
    <row r="1609" spans="1:32" x14ac:dyDescent="0.3">
      <c r="A1609" t="s">
        <v>7306</v>
      </c>
      <c r="B1609" t="s">
        <v>7307</v>
      </c>
      <c r="G1609" t="s">
        <v>6699</v>
      </c>
      <c r="H1609" t="s">
        <v>132</v>
      </c>
      <c r="I1609" t="s">
        <v>2</v>
      </c>
      <c r="J1609" t="s">
        <v>133</v>
      </c>
      <c r="K1609" t="s">
        <v>52</v>
      </c>
      <c r="L1609" t="s">
        <v>7308</v>
      </c>
      <c r="M1609" t="s">
        <v>134</v>
      </c>
      <c r="N1609" t="s">
        <v>135</v>
      </c>
      <c r="Q1609" t="s">
        <v>168</v>
      </c>
      <c r="S1609" t="s">
        <v>168</v>
      </c>
      <c r="U1609" t="s">
        <v>137</v>
      </c>
      <c r="V1609" t="s">
        <v>7094</v>
      </c>
      <c r="X1609" t="s">
        <v>7095</v>
      </c>
      <c r="AB1609" t="s">
        <v>2</v>
      </c>
      <c r="AC1609" t="s">
        <v>138</v>
      </c>
      <c r="AD1609" t="s">
        <v>7074</v>
      </c>
      <c r="AE1609" s="97">
        <f>VLOOKUP(A:A,SUMMERY!AA:AC,2,FALSE)</f>
        <v>46234</v>
      </c>
      <c r="AF1609" s="6" t="str">
        <f>VLOOKUP(A:A,SUMMERY!AA:AC,3,FALSE)</f>
        <v>Priority-1</v>
      </c>
    </row>
    <row r="1610" spans="1:32" x14ac:dyDescent="0.3">
      <c r="A1610" t="s">
        <v>7309</v>
      </c>
      <c r="B1610" t="s">
        <v>7310</v>
      </c>
      <c r="G1610" t="s">
        <v>6699</v>
      </c>
      <c r="H1610" t="s">
        <v>132</v>
      </c>
      <c r="I1610" t="s">
        <v>2</v>
      </c>
      <c r="J1610" t="s">
        <v>133</v>
      </c>
      <c r="K1610" t="s">
        <v>52</v>
      </c>
      <c r="L1610" t="s">
        <v>7311</v>
      </c>
      <c r="M1610" t="s">
        <v>134</v>
      </c>
      <c r="N1610" t="s">
        <v>135</v>
      </c>
      <c r="Q1610" t="s">
        <v>168</v>
      </c>
      <c r="S1610" t="s">
        <v>168</v>
      </c>
      <c r="U1610" t="s">
        <v>137</v>
      </c>
      <c r="V1610" t="s">
        <v>7094</v>
      </c>
      <c r="X1610" t="s">
        <v>7095</v>
      </c>
      <c r="AB1610" t="s">
        <v>2</v>
      </c>
      <c r="AC1610" t="s">
        <v>138</v>
      </c>
      <c r="AD1610" t="s">
        <v>7074</v>
      </c>
      <c r="AE1610" s="97">
        <f>VLOOKUP(A:A,SUMMERY!AA:AC,2,FALSE)</f>
        <v>46234</v>
      </c>
      <c r="AF1610" s="6" t="str">
        <f>VLOOKUP(A:A,SUMMERY!AA:AC,3,FALSE)</f>
        <v>Priority-1</v>
      </c>
    </row>
    <row r="1611" spans="1:32" x14ac:dyDescent="0.3">
      <c r="A1611" t="s">
        <v>7312</v>
      </c>
      <c r="B1611" t="s">
        <v>7313</v>
      </c>
      <c r="G1611" t="s">
        <v>6699</v>
      </c>
      <c r="H1611" t="s">
        <v>132</v>
      </c>
      <c r="I1611" t="s">
        <v>2</v>
      </c>
      <c r="J1611" t="s">
        <v>133</v>
      </c>
      <c r="K1611" t="s">
        <v>52</v>
      </c>
      <c r="L1611" t="s">
        <v>7314</v>
      </c>
      <c r="M1611" t="s">
        <v>134</v>
      </c>
      <c r="N1611" t="s">
        <v>135</v>
      </c>
      <c r="Q1611" t="s">
        <v>168</v>
      </c>
      <c r="S1611" t="s">
        <v>168</v>
      </c>
      <c r="U1611" t="s">
        <v>137</v>
      </c>
      <c r="V1611" t="s">
        <v>7094</v>
      </c>
      <c r="X1611" t="s">
        <v>7095</v>
      </c>
      <c r="AB1611" t="s">
        <v>2</v>
      </c>
      <c r="AC1611" t="s">
        <v>138</v>
      </c>
      <c r="AD1611" t="s">
        <v>7074</v>
      </c>
      <c r="AE1611" s="97">
        <f>VLOOKUP(A:A,SUMMERY!AA:AC,2,FALSE)</f>
        <v>46234</v>
      </c>
      <c r="AF1611" s="6" t="str">
        <f>VLOOKUP(A:A,SUMMERY!AA:AC,3,FALSE)</f>
        <v>Priority-1</v>
      </c>
    </row>
    <row r="1612" spans="1:32" x14ac:dyDescent="0.3">
      <c r="A1612" t="s">
        <v>7315</v>
      </c>
      <c r="B1612" t="s">
        <v>7316</v>
      </c>
      <c r="G1612" t="s">
        <v>6699</v>
      </c>
      <c r="H1612" t="s">
        <v>132</v>
      </c>
      <c r="I1612" t="s">
        <v>2</v>
      </c>
      <c r="J1612" t="s">
        <v>133</v>
      </c>
      <c r="K1612" t="s">
        <v>52</v>
      </c>
      <c r="L1612" t="s">
        <v>7317</v>
      </c>
      <c r="M1612" t="s">
        <v>134</v>
      </c>
      <c r="N1612" t="s">
        <v>135</v>
      </c>
      <c r="Q1612" t="s">
        <v>168</v>
      </c>
      <c r="S1612" t="s">
        <v>168</v>
      </c>
      <c r="U1612" t="s">
        <v>137</v>
      </c>
      <c r="V1612" t="s">
        <v>7094</v>
      </c>
      <c r="W1612" s="9">
        <v>46200.351577118054</v>
      </c>
      <c r="X1612" t="s">
        <v>7095</v>
      </c>
      <c r="AA1612" t="s">
        <v>5059</v>
      </c>
      <c r="AB1612" t="s">
        <v>2</v>
      </c>
      <c r="AC1612" t="s">
        <v>24</v>
      </c>
      <c r="AD1612" t="s">
        <v>7074</v>
      </c>
      <c r="AE1612" s="97">
        <f>VLOOKUP(A:A,SUMMERY!AA:AC,2,FALSE)</f>
        <v>46234</v>
      </c>
      <c r="AF1612" s="6" t="str">
        <f>VLOOKUP(A:A,SUMMERY!AA:AC,3,FALSE)</f>
        <v>Priority-1</v>
      </c>
    </row>
    <row r="1613" spans="1:32" x14ac:dyDescent="0.3">
      <c r="A1613" t="s">
        <v>7318</v>
      </c>
      <c r="B1613" t="s">
        <v>7319</v>
      </c>
      <c r="G1613" t="s">
        <v>6699</v>
      </c>
      <c r="H1613" t="s">
        <v>132</v>
      </c>
      <c r="I1613" t="s">
        <v>2</v>
      </c>
      <c r="J1613" t="s">
        <v>133</v>
      </c>
      <c r="K1613" t="s">
        <v>52</v>
      </c>
      <c r="L1613" t="s">
        <v>7320</v>
      </c>
      <c r="M1613" t="s">
        <v>134</v>
      </c>
      <c r="N1613" t="s">
        <v>135</v>
      </c>
      <c r="Q1613" t="s">
        <v>168</v>
      </c>
      <c r="S1613" t="s">
        <v>168</v>
      </c>
      <c r="U1613" t="s">
        <v>137</v>
      </c>
      <c r="V1613" t="s">
        <v>7094</v>
      </c>
      <c r="X1613" t="s">
        <v>7095</v>
      </c>
      <c r="AB1613" t="s">
        <v>2</v>
      </c>
      <c r="AC1613" t="s">
        <v>138</v>
      </c>
      <c r="AD1613" t="s">
        <v>7074</v>
      </c>
      <c r="AE1613" s="97">
        <f>VLOOKUP(A:A,SUMMERY!AA:AC,2,FALSE)</f>
        <v>46234</v>
      </c>
      <c r="AF1613" s="6" t="str">
        <f>VLOOKUP(A:A,SUMMERY!AA:AC,3,FALSE)</f>
        <v>Priority-1</v>
      </c>
    </row>
    <row r="1614" spans="1:32" x14ac:dyDescent="0.3">
      <c r="A1614" t="s">
        <v>7321</v>
      </c>
      <c r="B1614" t="s">
        <v>7322</v>
      </c>
      <c r="G1614" t="s">
        <v>6699</v>
      </c>
      <c r="H1614" t="s">
        <v>132</v>
      </c>
      <c r="I1614" t="s">
        <v>2</v>
      </c>
      <c r="J1614" t="s">
        <v>133</v>
      </c>
      <c r="K1614" t="s">
        <v>52</v>
      </c>
      <c r="L1614" t="s">
        <v>7323</v>
      </c>
      <c r="M1614" t="s">
        <v>134</v>
      </c>
      <c r="N1614" t="s">
        <v>135</v>
      </c>
      <c r="Q1614" t="s">
        <v>168</v>
      </c>
      <c r="S1614" t="s">
        <v>168</v>
      </c>
      <c r="U1614" t="s">
        <v>137</v>
      </c>
      <c r="V1614" t="s">
        <v>7094</v>
      </c>
      <c r="W1614" s="9">
        <v>46200.355218368059</v>
      </c>
      <c r="X1614" t="s">
        <v>7095</v>
      </c>
      <c r="AA1614" t="s">
        <v>5059</v>
      </c>
      <c r="AB1614" t="s">
        <v>2</v>
      </c>
      <c r="AC1614" t="s">
        <v>24</v>
      </c>
      <c r="AD1614" t="s">
        <v>7074</v>
      </c>
      <c r="AE1614" s="97">
        <f>VLOOKUP(A:A,SUMMERY!AA:AC,2,FALSE)</f>
        <v>46234</v>
      </c>
      <c r="AF1614" s="6" t="str">
        <f>VLOOKUP(A:A,SUMMERY!AA:AC,3,FALSE)</f>
        <v>Priority-1</v>
      </c>
    </row>
    <row r="1615" spans="1:32" x14ac:dyDescent="0.3">
      <c r="A1615" t="s">
        <v>7324</v>
      </c>
      <c r="B1615" t="s">
        <v>7325</v>
      </c>
      <c r="G1615" t="s">
        <v>6699</v>
      </c>
      <c r="H1615" t="s">
        <v>132</v>
      </c>
      <c r="I1615" t="s">
        <v>2</v>
      </c>
      <c r="J1615" t="s">
        <v>133</v>
      </c>
      <c r="K1615" t="s">
        <v>52</v>
      </c>
      <c r="L1615" t="s">
        <v>7326</v>
      </c>
      <c r="M1615" t="s">
        <v>134</v>
      </c>
      <c r="N1615" t="s">
        <v>135</v>
      </c>
      <c r="Q1615" t="s">
        <v>168</v>
      </c>
      <c r="S1615" t="s">
        <v>168</v>
      </c>
      <c r="U1615" t="s">
        <v>137</v>
      </c>
      <c r="V1615" t="s">
        <v>7094</v>
      </c>
      <c r="W1615" s="9">
        <v>46200.353004942132</v>
      </c>
      <c r="X1615" t="s">
        <v>7095</v>
      </c>
      <c r="AA1615" t="s">
        <v>5059</v>
      </c>
      <c r="AB1615" t="s">
        <v>2</v>
      </c>
      <c r="AC1615" t="s">
        <v>24</v>
      </c>
      <c r="AD1615" t="s">
        <v>7074</v>
      </c>
      <c r="AE1615" s="97">
        <f>VLOOKUP(A:A,SUMMERY!AA:AC,2,FALSE)</f>
        <v>46234</v>
      </c>
      <c r="AF1615" s="6" t="str">
        <f>VLOOKUP(A:A,SUMMERY!AA:AC,3,FALSE)</f>
        <v>Priority-1</v>
      </c>
    </row>
    <row r="1616" spans="1:32" x14ac:dyDescent="0.3">
      <c r="A1616" t="s">
        <v>7327</v>
      </c>
      <c r="B1616" t="s">
        <v>7328</v>
      </c>
      <c r="G1616" t="s">
        <v>6699</v>
      </c>
      <c r="H1616" t="s">
        <v>132</v>
      </c>
      <c r="I1616" t="s">
        <v>2</v>
      </c>
      <c r="J1616" t="s">
        <v>133</v>
      </c>
      <c r="K1616" t="s">
        <v>52</v>
      </c>
      <c r="L1616" t="s">
        <v>7329</v>
      </c>
      <c r="M1616" t="s">
        <v>134</v>
      </c>
      <c r="N1616" t="s">
        <v>135</v>
      </c>
      <c r="Q1616" t="s">
        <v>168</v>
      </c>
      <c r="S1616" t="s">
        <v>168</v>
      </c>
      <c r="U1616" t="s">
        <v>137</v>
      </c>
      <c r="V1616" t="s">
        <v>7094</v>
      </c>
      <c r="W1616" s="9">
        <v>46200.354434375004</v>
      </c>
      <c r="X1616" t="s">
        <v>7095</v>
      </c>
      <c r="AA1616" t="s">
        <v>5059</v>
      </c>
      <c r="AB1616" t="s">
        <v>2</v>
      </c>
      <c r="AC1616" t="s">
        <v>24</v>
      </c>
      <c r="AD1616" t="s">
        <v>7074</v>
      </c>
      <c r="AE1616" s="97">
        <f>VLOOKUP(A:A,SUMMERY!AA:AC,2,FALSE)</f>
        <v>46234</v>
      </c>
      <c r="AF1616" s="6" t="str">
        <f>VLOOKUP(A:A,SUMMERY!AA:AC,3,FALSE)</f>
        <v>Priority-1</v>
      </c>
    </row>
    <row r="1617" spans="1:32" x14ac:dyDescent="0.3">
      <c r="A1617" t="s">
        <v>7330</v>
      </c>
      <c r="B1617" t="s">
        <v>7331</v>
      </c>
      <c r="G1617" t="s">
        <v>6699</v>
      </c>
      <c r="H1617" t="s">
        <v>132</v>
      </c>
      <c r="I1617" t="s">
        <v>2</v>
      </c>
      <c r="J1617" t="s">
        <v>133</v>
      </c>
      <c r="K1617" t="s">
        <v>52</v>
      </c>
      <c r="L1617" t="s">
        <v>7332</v>
      </c>
      <c r="M1617" t="s">
        <v>134</v>
      </c>
      <c r="N1617" t="s">
        <v>135</v>
      </c>
      <c r="Q1617" t="s">
        <v>168</v>
      </c>
      <c r="S1617" t="s">
        <v>168</v>
      </c>
      <c r="U1617" t="s">
        <v>137</v>
      </c>
      <c r="V1617" t="s">
        <v>7094</v>
      </c>
      <c r="X1617" t="s">
        <v>7095</v>
      </c>
      <c r="AB1617" t="s">
        <v>2</v>
      </c>
      <c r="AC1617" t="s">
        <v>138</v>
      </c>
      <c r="AD1617" t="s">
        <v>7074</v>
      </c>
      <c r="AE1617" s="97">
        <f>VLOOKUP(A:A,SUMMERY!AA:AC,2,FALSE)</f>
        <v>46234</v>
      </c>
      <c r="AF1617" s="6" t="str">
        <f>VLOOKUP(A:A,SUMMERY!AA:AC,3,FALSE)</f>
        <v>Priority-1</v>
      </c>
    </row>
    <row r="1618" spans="1:32" x14ac:dyDescent="0.3">
      <c r="A1618" t="s">
        <v>7333</v>
      </c>
      <c r="B1618" t="s">
        <v>7334</v>
      </c>
      <c r="G1618" t="s">
        <v>6699</v>
      </c>
      <c r="H1618" t="s">
        <v>132</v>
      </c>
      <c r="I1618" t="s">
        <v>2</v>
      </c>
      <c r="J1618" t="s">
        <v>133</v>
      </c>
      <c r="K1618" t="s">
        <v>52</v>
      </c>
      <c r="L1618" t="s">
        <v>7335</v>
      </c>
      <c r="M1618" t="s">
        <v>134</v>
      </c>
      <c r="N1618" t="s">
        <v>135</v>
      </c>
      <c r="Q1618" t="s">
        <v>168</v>
      </c>
      <c r="S1618" t="s">
        <v>168</v>
      </c>
      <c r="U1618" t="s">
        <v>137</v>
      </c>
      <c r="V1618" t="s">
        <v>7094</v>
      </c>
      <c r="X1618" t="s">
        <v>7095</v>
      </c>
      <c r="AB1618" t="s">
        <v>2</v>
      </c>
      <c r="AC1618" t="s">
        <v>138</v>
      </c>
      <c r="AD1618" t="s">
        <v>7074</v>
      </c>
      <c r="AE1618" s="97">
        <f>VLOOKUP(A:A,SUMMERY!AA:AC,2,FALSE)</f>
        <v>46234</v>
      </c>
      <c r="AF1618" s="6" t="str">
        <f>VLOOKUP(A:A,SUMMERY!AA:AC,3,FALSE)</f>
        <v>Priority-1</v>
      </c>
    </row>
    <row r="1619" spans="1:32" x14ac:dyDescent="0.3">
      <c r="A1619" t="s">
        <v>7336</v>
      </c>
      <c r="B1619" t="s">
        <v>7337</v>
      </c>
      <c r="G1619" t="s">
        <v>6699</v>
      </c>
      <c r="H1619" t="s">
        <v>132</v>
      </c>
      <c r="I1619" t="s">
        <v>2</v>
      </c>
      <c r="J1619" t="s">
        <v>133</v>
      </c>
      <c r="K1619" t="s">
        <v>52</v>
      </c>
      <c r="L1619" t="s">
        <v>7338</v>
      </c>
      <c r="M1619" t="s">
        <v>134</v>
      </c>
      <c r="N1619" t="s">
        <v>135</v>
      </c>
      <c r="Q1619" t="s">
        <v>168</v>
      </c>
      <c r="S1619" t="s">
        <v>168</v>
      </c>
      <c r="U1619" t="s">
        <v>137</v>
      </c>
      <c r="V1619" t="s">
        <v>7094</v>
      </c>
      <c r="X1619" t="s">
        <v>7095</v>
      </c>
      <c r="AB1619" t="s">
        <v>2</v>
      </c>
      <c r="AC1619" t="s">
        <v>138</v>
      </c>
      <c r="AD1619" t="s">
        <v>7074</v>
      </c>
      <c r="AE1619" s="97">
        <f>VLOOKUP(A:A,SUMMERY!AA:AC,2,FALSE)</f>
        <v>46234</v>
      </c>
      <c r="AF1619" s="6" t="str">
        <f>VLOOKUP(A:A,SUMMERY!AA:AC,3,FALSE)</f>
        <v>Priority-1</v>
      </c>
    </row>
    <row r="1620" spans="1:32" x14ac:dyDescent="0.3">
      <c r="A1620" t="s">
        <v>7339</v>
      </c>
      <c r="B1620" t="s">
        <v>7340</v>
      </c>
      <c r="G1620" t="s">
        <v>6699</v>
      </c>
      <c r="H1620" t="s">
        <v>132</v>
      </c>
      <c r="I1620" t="s">
        <v>2</v>
      </c>
      <c r="J1620" t="s">
        <v>133</v>
      </c>
      <c r="K1620" t="s">
        <v>52</v>
      </c>
      <c r="L1620" t="s">
        <v>7341</v>
      </c>
      <c r="M1620" t="s">
        <v>134</v>
      </c>
      <c r="N1620" t="s">
        <v>135</v>
      </c>
      <c r="Q1620" t="s">
        <v>168</v>
      </c>
      <c r="S1620" t="s">
        <v>168</v>
      </c>
      <c r="U1620" t="s">
        <v>137</v>
      </c>
      <c r="V1620" t="s">
        <v>7094</v>
      </c>
      <c r="X1620" t="s">
        <v>7095</v>
      </c>
      <c r="AB1620" t="s">
        <v>2</v>
      </c>
      <c r="AC1620" t="s">
        <v>138</v>
      </c>
      <c r="AD1620" t="s">
        <v>7074</v>
      </c>
      <c r="AE1620" s="97">
        <f>VLOOKUP(A:A,SUMMERY!AA:AC,2,FALSE)</f>
        <v>46234</v>
      </c>
      <c r="AF1620" s="6" t="str">
        <f>VLOOKUP(A:A,SUMMERY!AA:AC,3,FALSE)</f>
        <v>Priority-1</v>
      </c>
    </row>
    <row r="1621" spans="1:32" x14ac:dyDescent="0.3">
      <c r="A1621" t="s">
        <v>7342</v>
      </c>
      <c r="B1621" t="s">
        <v>7343</v>
      </c>
      <c r="G1621" t="s">
        <v>6699</v>
      </c>
      <c r="H1621" t="s">
        <v>132</v>
      </c>
      <c r="I1621" t="s">
        <v>2</v>
      </c>
      <c r="J1621" t="s">
        <v>133</v>
      </c>
      <c r="K1621" t="s">
        <v>52</v>
      </c>
      <c r="L1621" t="s">
        <v>7344</v>
      </c>
      <c r="M1621" t="s">
        <v>134</v>
      </c>
      <c r="N1621" t="s">
        <v>135</v>
      </c>
      <c r="Q1621" t="s">
        <v>168</v>
      </c>
      <c r="S1621" t="s">
        <v>168</v>
      </c>
      <c r="U1621" t="s">
        <v>137</v>
      </c>
      <c r="V1621" t="s">
        <v>7094</v>
      </c>
      <c r="X1621" t="s">
        <v>7095</v>
      </c>
      <c r="AB1621" t="s">
        <v>2</v>
      </c>
      <c r="AC1621" t="s">
        <v>138</v>
      </c>
      <c r="AD1621" t="s">
        <v>7074</v>
      </c>
      <c r="AE1621" s="97">
        <f>VLOOKUP(A:A,SUMMERY!AA:AC,2,FALSE)</f>
        <v>46234</v>
      </c>
      <c r="AF1621" s="6" t="str">
        <f>VLOOKUP(A:A,SUMMERY!AA:AC,3,FALSE)</f>
        <v>Priority-1</v>
      </c>
    </row>
    <row r="1622" spans="1:32" x14ac:dyDescent="0.3">
      <c r="A1622" t="s">
        <v>6702</v>
      </c>
      <c r="B1622" t="s">
        <v>2673</v>
      </c>
      <c r="G1622" t="s">
        <v>6699</v>
      </c>
      <c r="H1622" t="s">
        <v>132</v>
      </c>
      <c r="I1622" t="s">
        <v>2</v>
      </c>
      <c r="J1622" t="s">
        <v>133</v>
      </c>
      <c r="K1622" t="s">
        <v>52</v>
      </c>
      <c r="L1622" t="s">
        <v>2674</v>
      </c>
      <c r="M1622" t="s">
        <v>134</v>
      </c>
      <c r="N1622" t="s">
        <v>135</v>
      </c>
      <c r="Q1622" t="s">
        <v>168</v>
      </c>
      <c r="S1622" t="s">
        <v>168</v>
      </c>
      <c r="U1622" t="s">
        <v>137</v>
      </c>
      <c r="V1622" t="s">
        <v>890</v>
      </c>
      <c r="X1622" t="s">
        <v>59</v>
      </c>
      <c r="AB1622" t="s">
        <v>2</v>
      </c>
      <c r="AC1622" t="s">
        <v>138</v>
      </c>
      <c r="AD1622" t="s">
        <v>128</v>
      </c>
      <c r="AE1622" s="97">
        <f>VLOOKUP(A:A,SUMMERY!AA:AC,2,FALSE)</f>
        <v>46234</v>
      </c>
      <c r="AF1622" s="6" t="str">
        <f>VLOOKUP(A:A,SUMMERY!AA:AC,3,FALSE)</f>
        <v>Priority-1</v>
      </c>
    </row>
    <row r="1623" spans="1:32" x14ac:dyDescent="0.3">
      <c r="A1623" t="s">
        <v>6703</v>
      </c>
      <c r="B1623" t="s">
        <v>2675</v>
      </c>
      <c r="G1623" t="s">
        <v>6699</v>
      </c>
      <c r="H1623" t="s">
        <v>132</v>
      </c>
      <c r="I1623" t="s">
        <v>2</v>
      </c>
      <c r="J1623" t="s">
        <v>133</v>
      </c>
      <c r="K1623" t="s">
        <v>52</v>
      </c>
      <c r="L1623" t="s">
        <v>2676</v>
      </c>
      <c r="M1623" t="s">
        <v>134</v>
      </c>
      <c r="N1623" t="s">
        <v>135</v>
      </c>
      <c r="Q1623" t="s">
        <v>168</v>
      </c>
      <c r="S1623" t="s">
        <v>168</v>
      </c>
      <c r="U1623" t="s">
        <v>137</v>
      </c>
      <c r="V1623" t="s">
        <v>890</v>
      </c>
      <c r="X1623" t="s">
        <v>59</v>
      </c>
      <c r="AB1623" t="s">
        <v>2</v>
      </c>
      <c r="AC1623" t="s">
        <v>138</v>
      </c>
      <c r="AD1623" t="s">
        <v>128</v>
      </c>
      <c r="AE1623" s="97">
        <f>VLOOKUP(A:A,SUMMERY!AA:AC,2,FALSE)</f>
        <v>46234</v>
      </c>
      <c r="AF1623" s="6" t="str">
        <f>VLOOKUP(A:A,SUMMERY!AA:AC,3,FALSE)</f>
        <v>Priority-1</v>
      </c>
    </row>
    <row r="1624" spans="1:32" x14ac:dyDescent="0.3">
      <c r="A1624" t="s">
        <v>6704</v>
      </c>
      <c r="B1624" t="s">
        <v>2677</v>
      </c>
      <c r="G1624" t="s">
        <v>6699</v>
      </c>
      <c r="H1624" t="s">
        <v>132</v>
      </c>
      <c r="I1624" t="s">
        <v>2</v>
      </c>
      <c r="J1624" t="s">
        <v>133</v>
      </c>
      <c r="K1624" t="s">
        <v>52</v>
      </c>
      <c r="L1624" t="s">
        <v>2678</v>
      </c>
      <c r="M1624" t="s">
        <v>134</v>
      </c>
      <c r="N1624" t="s">
        <v>135</v>
      </c>
      <c r="Q1624" t="s">
        <v>168</v>
      </c>
      <c r="S1624" t="s">
        <v>168</v>
      </c>
      <c r="U1624" t="s">
        <v>137</v>
      </c>
      <c r="V1624" t="s">
        <v>890</v>
      </c>
      <c r="X1624" t="s">
        <v>59</v>
      </c>
      <c r="AB1624" t="s">
        <v>2</v>
      </c>
      <c r="AC1624" t="s">
        <v>138</v>
      </c>
      <c r="AD1624" t="s">
        <v>128</v>
      </c>
      <c r="AE1624" s="97">
        <f>VLOOKUP(A:A,SUMMERY!AA:AC,2,FALSE)</f>
        <v>46234</v>
      </c>
      <c r="AF1624" s="6" t="str">
        <f>VLOOKUP(A:A,SUMMERY!AA:AC,3,FALSE)</f>
        <v>Priority-1</v>
      </c>
    </row>
    <row r="1625" spans="1:32" x14ac:dyDescent="0.3">
      <c r="A1625" t="s">
        <v>6705</v>
      </c>
      <c r="B1625" t="s">
        <v>2679</v>
      </c>
      <c r="G1625" t="s">
        <v>6699</v>
      </c>
      <c r="H1625" t="s">
        <v>132</v>
      </c>
      <c r="I1625" t="s">
        <v>2</v>
      </c>
      <c r="J1625" t="s">
        <v>133</v>
      </c>
      <c r="K1625" t="s">
        <v>52</v>
      </c>
      <c r="L1625" t="s">
        <v>2680</v>
      </c>
      <c r="M1625" t="s">
        <v>134</v>
      </c>
      <c r="N1625" t="s">
        <v>135</v>
      </c>
      <c r="Q1625" t="s">
        <v>168</v>
      </c>
      <c r="S1625" t="s">
        <v>168</v>
      </c>
      <c r="U1625" t="s">
        <v>137</v>
      </c>
      <c r="V1625" t="s">
        <v>890</v>
      </c>
      <c r="X1625" t="s">
        <v>59</v>
      </c>
      <c r="AB1625" t="s">
        <v>2</v>
      </c>
      <c r="AC1625" t="s">
        <v>138</v>
      </c>
      <c r="AD1625" t="s">
        <v>128</v>
      </c>
      <c r="AE1625" s="97">
        <f>VLOOKUP(A:A,SUMMERY!AA:AC,2,FALSE)</f>
        <v>46234</v>
      </c>
      <c r="AF1625" s="6" t="str">
        <f>VLOOKUP(A:A,SUMMERY!AA:AC,3,FALSE)</f>
        <v>Priority-1</v>
      </c>
    </row>
    <row r="1626" spans="1:32" x14ac:dyDescent="0.3">
      <c r="A1626" t="s">
        <v>6706</v>
      </c>
      <c r="B1626" t="s">
        <v>2716</v>
      </c>
      <c r="G1626" t="s">
        <v>6699</v>
      </c>
      <c r="H1626" t="s">
        <v>132</v>
      </c>
      <c r="I1626" t="s">
        <v>2</v>
      </c>
      <c r="J1626" t="s">
        <v>133</v>
      </c>
      <c r="K1626" t="s">
        <v>52</v>
      </c>
      <c r="L1626" t="s">
        <v>2717</v>
      </c>
      <c r="M1626" t="s">
        <v>134</v>
      </c>
      <c r="N1626" t="s">
        <v>135</v>
      </c>
      <c r="Q1626" t="s">
        <v>168</v>
      </c>
      <c r="S1626" t="s">
        <v>168</v>
      </c>
      <c r="U1626" t="s">
        <v>137</v>
      </c>
      <c r="V1626" t="s">
        <v>897</v>
      </c>
      <c r="X1626" t="s">
        <v>64</v>
      </c>
      <c r="AB1626" t="s">
        <v>2</v>
      </c>
      <c r="AC1626" t="s">
        <v>138</v>
      </c>
      <c r="AD1626" t="s">
        <v>128</v>
      </c>
      <c r="AE1626" s="97">
        <f>VLOOKUP(A:A,SUMMERY!AA:AC,2,FALSE)</f>
        <v>46234</v>
      </c>
      <c r="AF1626" s="6" t="str">
        <f>VLOOKUP(A:A,SUMMERY!AA:AC,3,FALSE)</f>
        <v>Priority-1</v>
      </c>
    </row>
    <row r="1627" spans="1:32" x14ac:dyDescent="0.3">
      <c r="A1627" t="s">
        <v>6707</v>
      </c>
      <c r="B1627" t="s">
        <v>2718</v>
      </c>
      <c r="G1627" t="s">
        <v>6699</v>
      </c>
      <c r="H1627" t="s">
        <v>132</v>
      </c>
      <c r="I1627" t="s">
        <v>2</v>
      </c>
      <c r="J1627" t="s">
        <v>133</v>
      </c>
      <c r="K1627" t="s">
        <v>52</v>
      </c>
      <c r="L1627" t="s">
        <v>2719</v>
      </c>
      <c r="M1627" t="s">
        <v>134</v>
      </c>
      <c r="N1627" t="s">
        <v>135</v>
      </c>
      <c r="Q1627" t="s">
        <v>168</v>
      </c>
      <c r="S1627" t="s">
        <v>168</v>
      </c>
      <c r="U1627" t="s">
        <v>137</v>
      </c>
      <c r="V1627" t="s">
        <v>897</v>
      </c>
      <c r="X1627" t="s">
        <v>64</v>
      </c>
      <c r="AB1627" t="s">
        <v>2</v>
      </c>
      <c r="AC1627" t="s">
        <v>138</v>
      </c>
      <c r="AD1627" t="s">
        <v>128</v>
      </c>
      <c r="AE1627" s="97">
        <f>VLOOKUP(A:A,SUMMERY!AA:AC,2,FALSE)</f>
        <v>46234</v>
      </c>
      <c r="AF1627" s="6" t="str">
        <f>VLOOKUP(A:A,SUMMERY!AA:AC,3,FALSE)</f>
        <v>Priority-1</v>
      </c>
    </row>
    <row r="1628" spans="1:32" x14ac:dyDescent="0.3">
      <c r="A1628" t="s">
        <v>6708</v>
      </c>
      <c r="B1628" t="s">
        <v>2720</v>
      </c>
      <c r="G1628" t="s">
        <v>6699</v>
      </c>
      <c r="H1628" t="s">
        <v>132</v>
      </c>
      <c r="I1628" t="s">
        <v>2</v>
      </c>
      <c r="J1628" t="s">
        <v>133</v>
      </c>
      <c r="K1628" t="s">
        <v>52</v>
      </c>
      <c r="L1628" t="s">
        <v>2721</v>
      </c>
      <c r="M1628" t="s">
        <v>134</v>
      </c>
      <c r="N1628" t="s">
        <v>135</v>
      </c>
      <c r="Q1628" t="s">
        <v>168</v>
      </c>
      <c r="S1628" t="s">
        <v>168</v>
      </c>
      <c r="U1628" t="s">
        <v>137</v>
      </c>
      <c r="V1628" t="s">
        <v>897</v>
      </c>
      <c r="X1628" t="s">
        <v>64</v>
      </c>
      <c r="AB1628" t="s">
        <v>2</v>
      </c>
      <c r="AC1628" t="s">
        <v>138</v>
      </c>
      <c r="AD1628" t="s">
        <v>128</v>
      </c>
      <c r="AE1628" s="97">
        <f>VLOOKUP(A:A,SUMMERY!AA:AC,2,FALSE)</f>
        <v>46234</v>
      </c>
      <c r="AF1628" s="6" t="str">
        <f>VLOOKUP(A:A,SUMMERY!AA:AC,3,FALSE)</f>
        <v>Priority-1</v>
      </c>
    </row>
    <row r="1629" spans="1:32" x14ac:dyDescent="0.3">
      <c r="A1629" t="s">
        <v>6709</v>
      </c>
      <c r="B1629" t="s">
        <v>2722</v>
      </c>
      <c r="G1629" t="s">
        <v>6699</v>
      </c>
      <c r="H1629" t="s">
        <v>132</v>
      </c>
      <c r="I1629" t="s">
        <v>2</v>
      </c>
      <c r="J1629" t="s">
        <v>133</v>
      </c>
      <c r="K1629" t="s">
        <v>52</v>
      </c>
      <c r="L1629" t="s">
        <v>2723</v>
      </c>
      <c r="M1629" t="s">
        <v>134</v>
      </c>
      <c r="N1629" t="s">
        <v>135</v>
      </c>
      <c r="Q1629" t="s">
        <v>168</v>
      </c>
      <c r="S1629" t="s">
        <v>168</v>
      </c>
      <c r="U1629" t="s">
        <v>137</v>
      </c>
      <c r="V1629" t="s">
        <v>897</v>
      </c>
      <c r="X1629" t="s">
        <v>64</v>
      </c>
      <c r="AB1629" t="s">
        <v>2</v>
      </c>
      <c r="AC1629" t="s">
        <v>138</v>
      </c>
      <c r="AD1629" t="s">
        <v>128</v>
      </c>
      <c r="AE1629" s="97">
        <f>VLOOKUP(A:A,SUMMERY!AA:AC,2,FALSE)</f>
        <v>46234</v>
      </c>
      <c r="AF1629" s="6" t="str">
        <f>VLOOKUP(A:A,SUMMERY!AA:AC,3,FALSE)</f>
        <v>Priority-1</v>
      </c>
    </row>
    <row r="1630" spans="1:32" x14ac:dyDescent="0.3">
      <c r="A1630" t="s">
        <v>6730</v>
      </c>
      <c r="B1630" t="s">
        <v>2971</v>
      </c>
      <c r="G1630" t="s">
        <v>6699</v>
      </c>
      <c r="H1630" t="s">
        <v>132</v>
      </c>
      <c r="I1630" t="s">
        <v>2</v>
      </c>
      <c r="J1630" t="s">
        <v>133</v>
      </c>
      <c r="K1630" t="s">
        <v>52</v>
      </c>
      <c r="L1630" t="s">
        <v>2972</v>
      </c>
      <c r="M1630" t="s">
        <v>134</v>
      </c>
      <c r="N1630" t="s">
        <v>135</v>
      </c>
      <c r="Q1630" t="s">
        <v>168</v>
      </c>
      <c r="S1630" t="s">
        <v>168</v>
      </c>
      <c r="U1630" t="s">
        <v>137</v>
      </c>
      <c r="V1630" t="s">
        <v>352</v>
      </c>
      <c r="X1630" t="s">
        <v>56</v>
      </c>
      <c r="AB1630" t="s">
        <v>2</v>
      </c>
      <c r="AC1630" t="s">
        <v>138</v>
      </c>
      <c r="AD1630" t="s">
        <v>128</v>
      </c>
      <c r="AE1630" s="97">
        <f>VLOOKUP(A:A,SUMMERY!AA:AC,2,FALSE)</f>
        <v>46234</v>
      </c>
      <c r="AF1630" s="6" t="str">
        <f>VLOOKUP(A:A,SUMMERY!AA:AC,3,FALSE)</f>
        <v>Priority-1</v>
      </c>
    </row>
    <row r="1631" spans="1:32" x14ac:dyDescent="0.3">
      <c r="A1631" t="s">
        <v>6731</v>
      </c>
      <c r="B1631" t="s">
        <v>2973</v>
      </c>
      <c r="G1631" t="s">
        <v>6699</v>
      </c>
      <c r="H1631" t="s">
        <v>132</v>
      </c>
      <c r="I1631" t="s">
        <v>2</v>
      </c>
      <c r="J1631" t="s">
        <v>133</v>
      </c>
      <c r="K1631" t="s">
        <v>52</v>
      </c>
      <c r="L1631" t="s">
        <v>2974</v>
      </c>
      <c r="M1631" t="s">
        <v>134</v>
      </c>
      <c r="N1631" t="s">
        <v>135</v>
      </c>
      <c r="Q1631" t="s">
        <v>168</v>
      </c>
      <c r="S1631" t="s">
        <v>168</v>
      </c>
      <c r="U1631" t="s">
        <v>137</v>
      </c>
      <c r="V1631" t="s">
        <v>352</v>
      </c>
      <c r="X1631" t="s">
        <v>56</v>
      </c>
      <c r="AB1631" t="s">
        <v>2</v>
      </c>
      <c r="AC1631" t="s">
        <v>138</v>
      </c>
      <c r="AD1631" t="s">
        <v>128</v>
      </c>
      <c r="AE1631" s="97">
        <f>VLOOKUP(A:A,SUMMERY!AA:AC,2,FALSE)</f>
        <v>46234</v>
      </c>
      <c r="AF1631" s="6" t="str">
        <f>VLOOKUP(A:A,SUMMERY!AA:AC,3,FALSE)</f>
        <v>Priority-1</v>
      </c>
    </row>
    <row r="1632" spans="1:32" x14ac:dyDescent="0.3">
      <c r="A1632" t="s">
        <v>6732</v>
      </c>
      <c r="B1632" t="s">
        <v>2975</v>
      </c>
      <c r="G1632" t="s">
        <v>6699</v>
      </c>
      <c r="H1632" t="s">
        <v>132</v>
      </c>
      <c r="I1632" t="s">
        <v>2</v>
      </c>
      <c r="J1632" t="s">
        <v>133</v>
      </c>
      <c r="K1632" t="s">
        <v>52</v>
      </c>
      <c r="L1632" t="s">
        <v>2976</v>
      </c>
      <c r="M1632" t="s">
        <v>134</v>
      </c>
      <c r="N1632" t="s">
        <v>135</v>
      </c>
      <c r="Q1632" t="s">
        <v>168</v>
      </c>
      <c r="S1632" t="s">
        <v>168</v>
      </c>
      <c r="U1632" t="s">
        <v>137</v>
      </c>
      <c r="V1632" t="s">
        <v>352</v>
      </c>
      <c r="X1632" t="s">
        <v>56</v>
      </c>
      <c r="AB1632" t="s">
        <v>2</v>
      </c>
      <c r="AC1632" t="s">
        <v>138</v>
      </c>
      <c r="AD1632" t="s">
        <v>128</v>
      </c>
      <c r="AE1632" s="97">
        <f>VLOOKUP(A:A,SUMMERY!AA:AC,2,FALSE)</f>
        <v>46234</v>
      </c>
      <c r="AF1632" s="6" t="str">
        <f>VLOOKUP(A:A,SUMMERY!AA:AC,3,FALSE)</f>
        <v>Priority-1</v>
      </c>
    </row>
    <row r="1633" spans="1:32" x14ac:dyDescent="0.3">
      <c r="A1633" t="s">
        <v>6733</v>
      </c>
      <c r="B1633" t="s">
        <v>3221</v>
      </c>
      <c r="G1633" t="s">
        <v>6699</v>
      </c>
      <c r="H1633" t="s">
        <v>132</v>
      </c>
      <c r="I1633" t="s">
        <v>2</v>
      </c>
      <c r="J1633" t="s">
        <v>133</v>
      </c>
      <c r="K1633" t="s">
        <v>52</v>
      </c>
      <c r="L1633" t="s">
        <v>3222</v>
      </c>
      <c r="M1633" t="s">
        <v>134</v>
      </c>
      <c r="N1633" t="s">
        <v>135</v>
      </c>
      <c r="Q1633" t="s">
        <v>168</v>
      </c>
      <c r="S1633" t="s">
        <v>168</v>
      </c>
      <c r="U1633" t="s">
        <v>137</v>
      </c>
      <c r="V1633" t="s">
        <v>358</v>
      </c>
      <c r="X1633" t="s">
        <v>124</v>
      </c>
      <c r="AB1633" t="s">
        <v>2</v>
      </c>
      <c r="AC1633" t="s">
        <v>138</v>
      </c>
      <c r="AD1633" t="s">
        <v>130</v>
      </c>
      <c r="AE1633" s="97">
        <f>VLOOKUP(A:A,SUMMERY!AA:AC,2,FALSE)</f>
        <v>46234</v>
      </c>
      <c r="AF1633" s="6" t="str">
        <f>VLOOKUP(A:A,SUMMERY!AA:AC,3,FALSE)</f>
        <v>Priority-1</v>
      </c>
    </row>
    <row r="1634" spans="1:32" x14ac:dyDescent="0.3">
      <c r="A1634" t="s">
        <v>7345</v>
      </c>
      <c r="B1634" t="s">
        <v>7346</v>
      </c>
      <c r="G1634" t="s">
        <v>6699</v>
      </c>
      <c r="H1634" t="s">
        <v>132</v>
      </c>
      <c r="I1634" t="s">
        <v>2</v>
      </c>
      <c r="J1634" t="s">
        <v>133</v>
      </c>
      <c r="K1634" t="s">
        <v>52</v>
      </c>
      <c r="L1634" t="s">
        <v>7347</v>
      </c>
      <c r="M1634" t="s">
        <v>134</v>
      </c>
      <c r="N1634" t="s">
        <v>135</v>
      </c>
      <c r="Q1634" t="s">
        <v>168</v>
      </c>
      <c r="S1634" t="s">
        <v>168</v>
      </c>
      <c r="U1634" t="s">
        <v>137</v>
      </c>
      <c r="V1634" t="s">
        <v>7094</v>
      </c>
      <c r="X1634" t="s">
        <v>7095</v>
      </c>
      <c r="AB1634" t="s">
        <v>2</v>
      </c>
      <c r="AC1634" t="s">
        <v>138</v>
      </c>
      <c r="AD1634" t="s">
        <v>7074</v>
      </c>
      <c r="AE1634" s="97">
        <f>VLOOKUP(A:A,SUMMERY!AA:AC,2,FALSE)</f>
        <v>46234</v>
      </c>
      <c r="AF1634" s="6" t="str">
        <f>VLOOKUP(A:A,SUMMERY!AA:AC,3,FALSE)</f>
        <v>Priority-1</v>
      </c>
    </row>
    <row r="1635" spans="1:32" x14ac:dyDescent="0.3">
      <c r="A1635" t="s">
        <v>7348</v>
      </c>
      <c r="B1635" t="s">
        <v>7349</v>
      </c>
      <c r="G1635" t="s">
        <v>6699</v>
      </c>
      <c r="H1635" t="s">
        <v>132</v>
      </c>
      <c r="I1635" t="s">
        <v>2</v>
      </c>
      <c r="J1635" t="s">
        <v>133</v>
      </c>
      <c r="K1635" t="s">
        <v>52</v>
      </c>
      <c r="L1635" t="s">
        <v>7350</v>
      </c>
      <c r="M1635" t="s">
        <v>134</v>
      </c>
      <c r="N1635" t="s">
        <v>135</v>
      </c>
      <c r="Q1635" t="s">
        <v>168</v>
      </c>
      <c r="S1635" t="s">
        <v>168</v>
      </c>
      <c r="U1635" t="s">
        <v>137</v>
      </c>
      <c r="V1635" t="s">
        <v>7094</v>
      </c>
      <c r="W1635" s="9">
        <v>46200.348341087963</v>
      </c>
      <c r="X1635" t="s">
        <v>7095</v>
      </c>
      <c r="AA1635" t="s">
        <v>5059</v>
      </c>
      <c r="AB1635" t="s">
        <v>2</v>
      </c>
      <c r="AC1635" t="s">
        <v>24</v>
      </c>
      <c r="AD1635" t="s">
        <v>7074</v>
      </c>
      <c r="AE1635" s="97">
        <f>VLOOKUP(A:A,SUMMERY!AA:AC,2,FALSE)</f>
        <v>46234</v>
      </c>
      <c r="AF1635" s="6" t="str">
        <f>VLOOKUP(A:A,SUMMERY!AA:AC,3,FALSE)</f>
        <v>Priority-1</v>
      </c>
    </row>
    <row r="1636" spans="1:32" x14ac:dyDescent="0.3">
      <c r="A1636" t="s">
        <v>7351</v>
      </c>
      <c r="B1636" t="s">
        <v>7352</v>
      </c>
      <c r="G1636" t="s">
        <v>6699</v>
      </c>
      <c r="H1636" t="s">
        <v>132</v>
      </c>
      <c r="I1636" t="s">
        <v>2</v>
      </c>
      <c r="J1636" t="s">
        <v>133</v>
      </c>
      <c r="K1636" t="s">
        <v>52</v>
      </c>
      <c r="L1636" t="s">
        <v>7353</v>
      </c>
      <c r="M1636" t="s">
        <v>134</v>
      </c>
      <c r="N1636" t="s">
        <v>135</v>
      </c>
      <c r="Q1636" t="s">
        <v>168</v>
      </c>
      <c r="S1636" t="s">
        <v>168</v>
      </c>
      <c r="U1636" t="s">
        <v>137</v>
      </c>
      <c r="V1636" t="s">
        <v>7094</v>
      </c>
      <c r="X1636" t="s">
        <v>7095</v>
      </c>
      <c r="AB1636" t="s">
        <v>2</v>
      </c>
      <c r="AC1636" t="s">
        <v>138</v>
      </c>
      <c r="AD1636" t="s">
        <v>7074</v>
      </c>
      <c r="AE1636" s="97">
        <f>VLOOKUP(A:A,SUMMERY!AA:AC,2,FALSE)</f>
        <v>46234</v>
      </c>
      <c r="AF1636" s="6" t="str">
        <f>VLOOKUP(A:A,SUMMERY!AA:AC,3,FALSE)</f>
        <v>Priority-1</v>
      </c>
    </row>
    <row r="1637" spans="1:32" x14ac:dyDescent="0.3">
      <c r="A1637" t="s">
        <v>7354</v>
      </c>
      <c r="B1637" t="s">
        <v>7355</v>
      </c>
      <c r="G1637" t="s">
        <v>6699</v>
      </c>
      <c r="H1637" t="s">
        <v>132</v>
      </c>
      <c r="I1637" t="s">
        <v>2</v>
      </c>
      <c r="J1637" t="s">
        <v>133</v>
      </c>
      <c r="K1637" t="s">
        <v>52</v>
      </c>
      <c r="L1637" t="s">
        <v>7356</v>
      </c>
      <c r="M1637" t="s">
        <v>134</v>
      </c>
      <c r="N1637" t="s">
        <v>135</v>
      </c>
      <c r="Q1637" t="s">
        <v>168</v>
      </c>
      <c r="S1637" t="s">
        <v>168</v>
      </c>
      <c r="U1637" t="s">
        <v>137</v>
      </c>
      <c r="V1637" t="s">
        <v>7094</v>
      </c>
      <c r="X1637" t="s">
        <v>7095</v>
      </c>
      <c r="AB1637" t="s">
        <v>2</v>
      </c>
      <c r="AC1637" t="s">
        <v>138</v>
      </c>
      <c r="AD1637" t="s">
        <v>7074</v>
      </c>
      <c r="AE1637" s="97">
        <f>VLOOKUP(A:A,SUMMERY!AA:AC,2,FALSE)</f>
        <v>46234</v>
      </c>
      <c r="AF1637" s="6" t="str">
        <f>VLOOKUP(A:A,SUMMERY!AA:AC,3,FALSE)</f>
        <v>Priority-1</v>
      </c>
    </row>
    <row r="1638" spans="1:32" x14ac:dyDescent="0.3">
      <c r="A1638" t="s">
        <v>7357</v>
      </c>
      <c r="B1638" t="s">
        <v>7358</v>
      </c>
      <c r="G1638" t="s">
        <v>6699</v>
      </c>
      <c r="H1638" t="s">
        <v>132</v>
      </c>
      <c r="I1638" t="s">
        <v>2</v>
      </c>
      <c r="J1638" t="s">
        <v>133</v>
      </c>
      <c r="K1638" t="s">
        <v>52</v>
      </c>
      <c r="L1638" t="s">
        <v>7359</v>
      </c>
      <c r="M1638" t="s">
        <v>134</v>
      </c>
      <c r="N1638" t="s">
        <v>135</v>
      </c>
      <c r="Q1638" t="s">
        <v>168</v>
      </c>
      <c r="S1638" t="s">
        <v>168</v>
      </c>
      <c r="U1638" t="s">
        <v>137</v>
      </c>
      <c r="V1638" t="s">
        <v>7094</v>
      </c>
      <c r="W1638" s="9">
        <v>46200.349484803242</v>
      </c>
      <c r="X1638" t="s">
        <v>7095</v>
      </c>
      <c r="AA1638" t="s">
        <v>5059</v>
      </c>
      <c r="AB1638" t="s">
        <v>2</v>
      </c>
      <c r="AC1638" t="s">
        <v>24</v>
      </c>
      <c r="AD1638" t="s">
        <v>7074</v>
      </c>
      <c r="AE1638" s="97">
        <f>VLOOKUP(A:A,SUMMERY!AA:AC,2,FALSE)</f>
        <v>46234</v>
      </c>
      <c r="AF1638" s="6" t="str">
        <f>VLOOKUP(A:A,SUMMERY!AA:AC,3,FALSE)</f>
        <v>Priority-1</v>
      </c>
    </row>
    <row r="1639" spans="1:32" x14ac:dyDescent="0.3">
      <c r="A1639" t="s">
        <v>7360</v>
      </c>
      <c r="B1639" t="s">
        <v>7361</v>
      </c>
      <c r="G1639" t="s">
        <v>6699</v>
      </c>
      <c r="H1639" t="s">
        <v>132</v>
      </c>
      <c r="I1639" t="s">
        <v>2</v>
      </c>
      <c r="J1639" t="s">
        <v>133</v>
      </c>
      <c r="K1639" t="s">
        <v>52</v>
      </c>
      <c r="L1639" t="s">
        <v>7362</v>
      </c>
      <c r="M1639" t="s">
        <v>134</v>
      </c>
      <c r="N1639" t="s">
        <v>135</v>
      </c>
      <c r="Q1639" t="s">
        <v>168</v>
      </c>
      <c r="S1639" t="s">
        <v>168</v>
      </c>
      <c r="U1639" t="s">
        <v>137</v>
      </c>
      <c r="V1639" t="s">
        <v>7094</v>
      </c>
      <c r="X1639" t="s">
        <v>7095</v>
      </c>
      <c r="AB1639" t="s">
        <v>2</v>
      </c>
      <c r="AC1639" t="s">
        <v>138</v>
      </c>
      <c r="AD1639" t="s">
        <v>7074</v>
      </c>
      <c r="AE1639" s="97">
        <f>VLOOKUP(A:A,SUMMERY!AA:AC,2,FALSE)</f>
        <v>46234</v>
      </c>
      <c r="AF1639" s="6" t="str">
        <f>VLOOKUP(A:A,SUMMERY!AA:AC,3,FALSE)</f>
        <v>Priority-1</v>
      </c>
    </row>
    <row r="1640" spans="1:32" x14ac:dyDescent="0.3">
      <c r="A1640" t="s">
        <v>7363</v>
      </c>
      <c r="B1640" t="s">
        <v>7364</v>
      </c>
      <c r="G1640" t="s">
        <v>6699</v>
      </c>
      <c r="H1640" t="s">
        <v>132</v>
      </c>
      <c r="I1640" t="s">
        <v>2</v>
      </c>
      <c r="J1640" t="s">
        <v>133</v>
      </c>
      <c r="K1640" t="s">
        <v>52</v>
      </c>
      <c r="L1640" t="s">
        <v>7365</v>
      </c>
      <c r="M1640" t="s">
        <v>134</v>
      </c>
      <c r="N1640" t="s">
        <v>135</v>
      </c>
      <c r="Q1640" t="s">
        <v>168</v>
      </c>
      <c r="S1640" t="s">
        <v>168</v>
      </c>
      <c r="U1640" t="s">
        <v>137</v>
      </c>
      <c r="V1640" t="s">
        <v>7094</v>
      </c>
      <c r="X1640" t="s">
        <v>7095</v>
      </c>
      <c r="AB1640" t="s">
        <v>2</v>
      </c>
      <c r="AC1640" t="s">
        <v>3732</v>
      </c>
      <c r="AD1640" t="s">
        <v>7074</v>
      </c>
      <c r="AE1640" s="97">
        <f>VLOOKUP(A:A,SUMMERY!AA:AC,2,FALSE)</f>
        <v>46234</v>
      </c>
      <c r="AF1640" s="6" t="str">
        <f>VLOOKUP(A:A,SUMMERY!AA:AC,3,FALSE)</f>
        <v>Priority-1</v>
      </c>
    </row>
    <row r="1641" spans="1:32" x14ac:dyDescent="0.3">
      <c r="A1641" t="s">
        <v>7366</v>
      </c>
      <c r="B1641" t="s">
        <v>7367</v>
      </c>
      <c r="G1641" t="s">
        <v>6699</v>
      </c>
      <c r="H1641" t="s">
        <v>132</v>
      </c>
      <c r="I1641" t="s">
        <v>2</v>
      </c>
      <c r="J1641" t="s">
        <v>133</v>
      </c>
      <c r="K1641" t="s">
        <v>52</v>
      </c>
      <c r="L1641" t="s">
        <v>7368</v>
      </c>
      <c r="M1641" t="s">
        <v>134</v>
      </c>
      <c r="N1641" t="s">
        <v>135</v>
      </c>
      <c r="Q1641" t="s">
        <v>168</v>
      </c>
      <c r="S1641" t="s">
        <v>168</v>
      </c>
      <c r="U1641" t="s">
        <v>137</v>
      </c>
      <c r="V1641" t="s">
        <v>7094</v>
      </c>
      <c r="X1641" t="s">
        <v>7095</v>
      </c>
      <c r="AB1641" t="s">
        <v>2</v>
      </c>
      <c r="AC1641" t="s">
        <v>138</v>
      </c>
      <c r="AD1641" t="s">
        <v>7074</v>
      </c>
      <c r="AE1641" s="97">
        <f>VLOOKUP(A:A,SUMMERY!AA:AC,2,FALSE)</f>
        <v>46234</v>
      </c>
      <c r="AF1641" s="6" t="str">
        <f>VLOOKUP(A:A,SUMMERY!AA:AC,3,FALSE)</f>
        <v>Priority-1</v>
      </c>
    </row>
    <row r="1642" spans="1:32" x14ac:dyDescent="0.3">
      <c r="A1642" t="s">
        <v>7369</v>
      </c>
      <c r="B1642" t="s">
        <v>7370</v>
      </c>
      <c r="G1642" t="s">
        <v>6699</v>
      </c>
      <c r="H1642" t="s">
        <v>132</v>
      </c>
      <c r="I1642" t="s">
        <v>2</v>
      </c>
      <c r="J1642" t="s">
        <v>133</v>
      </c>
      <c r="K1642" t="s">
        <v>52</v>
      </c>
      <c r="L1642" t="s">
        <v>7371</v>
      </c>
      <c r="M1642" t="s">
        <v>134</v>
      </c>
      <c r="N1642" t="s">
        <v>135</v>
      </c>
      <c r="Q1642" t="s">
        <v>168</v>
      </c>
      <c r="S1642" t="s">
        <v>168</v>
      </c>
      <c r="U1642" t="s">
        <v>137</v>
      </c>
      <c r="V1642" t="s">
        <v>7094</v>
      </c>
      <c r="W1642" s="9">
        <v>46200.350623298611</v>
      </c>
      <c r="X1642" t="s">
        <v>7095</v>
      </c>
      <c r="AA1642" t="s">
        <v>5059</v>
      </c>
      <c r="AB1642" t="s">
        <v>2</v>
      </c>
      <c r="AC1642" t="s">
        <v>24</v>
      </c>
      <c r="AD1642" t="s">
        <v>7074</v>
      </c>
      <c r="AE1642" s="97">
        <f>VLOOKUP(A:A,SUMMERY!AA:AC,2,FALSE)</f>
        <v>46234</v>
      </c>
      <c r="AF1642" s="6" t="str">
        <f>VLOOKUP(A:A,SUMMERY!AA:AC,3,FALSE)</f>
        <v>Priority-1</v>
      </c>
    </row>
    <row r="1643" spans="1:32" x14ac:dyDescent="0.3">
      <c r="A1643" t="s">
        <v>7372</v>
      </c>
      <c r="B1643" t="s">
        <v>7373</v>
      </c>
      <c r="G1643" t="s">
        <v>6699</v>
      </c>
      <c r="H1643" t="s">
        <v>132</v>
      </c>
      <c r="I1643" t="s">
        <v>2</v>
      </c>
      <c r="J1643" t="s">
        <v>133</v>
      </c>
      <c r="K1643" t="s">
        <v>52</v>
      </c>
      <c r="L1643" t="s">
        <v>7374</v>
      </c>
      <c r="M1643" t="s">
        <v>134</v>
      </c>
      <c r="N1643" t="s">
        <v>135</v>
      </c>
      <c r="Q1643" t="s">
        <v>168</v>
      </c>
      <c r="S1643" t="s">
        <v>168</v>
      </c>
      <c r="U1643" t="s">
        <v>137</v>
      </c>
      <c r="V1643" t="s">
        <v>7094</v>
      </c>
      <c r="X1643" t="s">
        <v>7095</v>
      </c>
      <c r="AB1643" t="s">
        <v>2</v>
      </c>
      <c r="AC1643" t="s">
        <v>138</v>
      </c>
      <c r="AD1643" t="s">
        <v>7074</v>
      </c>
      <c r="AE1643" s="97">
        <f>VLOOKUP(A:A,SUMMERY!AA:AC,2,FALSE)</f>
        <v>46234</v>
      </c>
      <c r="AF1643" s="6" t="str">
        <f>VLOOKUP(A:A,SUMMERY!AA:AC,3,FALSE)</f>
        <v>Priority-1</v>
      </c>
    </row>
    <row r="1644" spans="1:32" x14ac:dyDescent="0.3">
      <c r="A1644" t="s">
        <v>7375</v>
      </c>
      <c r="B1644" t="s">
        <v>7376</v>
      </c>
      <c r="G1644" t="s">
        <v>6699</v>
      </c>
      <c r="H1644" t="s">
        <v>132</v>
      </c>
      <c r="I1644" t="s">
        <v>2</v>
      </c>
      <c r="J1644" t="s">
        <v>133</v>
      </c>
      <c r="K1644" t="s">
        <v>52</v>
      </c>
      <c r="L1644" t="s">
        <v>7377</v>
      </c>
      <c r="M1644" t="s">
        <v>134</v>
      </c>
      <c r="N1644" t="s">
        <v>135</v>
      </c>
      <c r="Q1644" t="s">
        <v>168</v>
      </c>
      <c r="S1644" t="s">
        <v>168</v>
      </c>
      <c r="U1644" t="s">
        <v>137</v>
      </c>
      <c r="V1644" t="s">
        <v>7094</v>
      </c>
      <c r="X1644" t="s">
        <v>7095</v>
      </c>
      <c r="AB1644" t="s">
        <v>2</v>
      </c>
      <c r="AC1644" t="s">
        <v>138</v>
      </c>
      <c r="AD1644" t="s">
        <v>7074</v>
      </c>
      <c r="AE1644" s="97">
        <f>VLOOKUP(A:A,SUMMERY!AA:AC,2,FALSE)</f>
        <v>46234</v>
      </c>
      <c r="AF1644" s="6" t="str">
        <f>VLOOKUP(A:A,SUMMERY!AA:AC,3,FALSE)</f>
        <v>Priority-1</v>
      </c>
    </row>
    <row r="1645" spans="1:32" x14ac:dyDescent="0.3">
      <c r="A1645" t="s">
        <v>7378</v>
      </c>
      <c r="B1645" t="s">
        <v>7379</v>
      </c>
      <c r="G1645" t="s">
        <v>6699</v>
      </c>
      <c r="H1645" t="s">
        <v>132</v>
      </c>
      <c r="I1645" t="s">
        <v>2</v>
      </c>
      <c r="J1645" t="s">
        <v>133</v>
      </c>
      <c r="K1645" t="s">
        <v>52</v>
      </c>
      <c r="L1645" t="s">
        <v>7380</v>
      </c>
      <c r="M1645" t="s">
        <v>134</v>
      </c>
      <c r="N1645" t="s">
        <v>135</v>
      </c>
      <c r="Q1645" t="s">
        <v>168</v>
      </c>
      <c r="S1645" t="s">
        <v>168</v>
      </c>
      <c r="U1645" t="s">
        <v>137</v>
      </c>
      <c r="V1645" t="s">
        <v>7094</v>
      </c>
      <c r="X1645" t="s">
        <v>7095</v>
      </c>
      <c r="AB1645" t="s">
        <v>2</v>
      </c>
      <c r="AC1645" t="s">
        <v>138</v>
      </c>
      <c r="AD1645" t="s">
        <v>7074</v>
      </c>
      <c r="AE1645" s="97">
        <f>VLOOKUP(A:A,SUMMERY!AA:AC,2,FALSE)</f>
        <v>46234</v>
      </c>
      <c r="AF1645" s="6" t="str">
        <f>VLOOKUP(A:A,SUMMERY!AA:AC,3,FALSE)</f>
        <v>Priority-1</v>
      </c>
    </row>
    <row r="1646" spans="1:32" x14ac:dyDescent="0.3">
      <c r="A1646" t="s">
        <v>7381</v>
      </c>
      <c r="B1646" t="s">
        <v>7382</v>
      </c>
      <c r="G1646" t="s">
        <v>6699</v>
      </c>
      <c r="H1646" t="s">
        <v>132</v>
      </c>
      <c r="I1646" t="s">
        <v>2</v>
      </c>
      <c r="J1646" t="s">
        <v>133</v>
      </c>
      <c r="K1646" t="s">
        <v>52</v>
      </c>
      <c r="L1646" t="s">
        <v>7383</v>
      </c>
      <c r="M1646" t="s">
        <v>134</v>
      </c>
      <c r="N1646" t="s">
        <v>135</v>
      </c>
      <c r="Q1646" t="s">
        <v>168</v>
      </c>
      <c r="S1646" t="s">
        <v>168</v>
      </c>
      <c r="U1646" t="s">
        <v>137</v>
      </c>
      <c r="V1646" t="s">
        <v>7094</v>
      </c>
      <c r="X1646" t="s">
        <v>7095</v>
      </c>
      <c r="AB1646" t="s">
        <v>2</v>
      </c>
      <c r="AC1646" t="s">
        <v>138</v>
      </c>
      <c r="AD1646" t="s">
        <v>7074</v>
      </c>
      <c r="AE1646" s="97">
        <f>VLOOKUP(A:A,SUMMERY!AA:AC,2,FALSE)</f>
        <v>46234</v>
      </c>
      <c r="AF1646" s="6" t="str">
        <f>VLOOKUP(A:A,SUMMERY!AA:AC,3,FALSE)</f>
        <v>Priority-1</v>
      </c>
    </row>
    <row r="1647" spans="1:32" x14ac:dyDescent="0.3">
      <c r="A1647" t="s">
        <v>7384</v>
      </c>
      <c r="B1647" t="s">
        <v>7385</v>
      </c>
      <c r="G1647" t="s">
        <v>6699</v>
      </c>
      <c r="H1647" t="s">
        <v>132</v>
      </c>
      <c r="I1647" t="s">
        <v>2</v>
      </c>
      <c r="J1647" t="s">
        <v>133</v>
      </c>
      <c r="K1647" t="s">
        <v>52</v>
      </c>
      <c r="L1647" t="s">
        <v>7386</v>
      </c>
      <c r="M1647" t="s">
        <v>134</v>
      </c>
      <c r="N1647" t="s">
        <v>135</v>
      </c>
      <c r="Q1647" t="s">
        <v>168</v>
      </c>
      <c r="S1647" t="s">
        <v>168</v>
      </c>
      <c r="U1647" t="s">
        <v>137</v>
      </c>
      <c r="V1647" t="s">
        <v>7094</v>
      </c>
      <c r="X1647" t="s">
        <v>7095</v>
      </c>
      <c r="AB1647" t="s">
        <v>2</v>
      </c>
      <c r="AC1647" t="s">
        <v>138</v>
      </c>
      <c r="AD1647" t="s">
        <v>7074</v>
      </c>
      <c r="AE1647" s="97">
        <f>VLOOKUP(A:A,SUMMERY!AA:AC,2,FALSE)</f>
        <v>46234</v>
      </c>
      <c r="AF1647" s="6" t="str">
        <f>VLOOKUP(A:A,SUMMERY!AA:AC,3,FALSE)</f>
        <v>Priority-1</v>
      </c>
    </row>
    <row r="1648" spans="1:32" x14ac:dyDescent="0.3">
      <c r="A1648" t="s">
        <v>7387</v>
      </c>
      <c r="B1648" t="s">
        <v>7388</v>
      </c>
      <c r="G1648" t="s">
        <v>6699</v>
      </c>
      <c r="H1648" t="s">
        <v>132</v>
      </c>
      <c r="I1648" t="s">
        <v>2</v>
      </c>
      <c r="J1648" t="s">
        <v>133</v>
      </c>
      <c r="K1648" t="s">
        <v>52</v>
      </c>
      <c r="L1648" t="s">
        <v>7389</v>
      </c>
      <c r="M1648" t="s">
        <v>134</v>
      </c>
      <c r="N1648" t="s">
        <v>135</v>
      </c>
      <c r="Q1648" t="s">
        <v>168</v>
      </c>
      <c r="S1648" t="s">
        <v>168</v>
      </c>
      <c r="U1648" t="s">
        <v>137</v>
      </c>
      <c r="V1648" t="s">
        <v>7094</v>
      </c>
      <c r="X1648" t="s">
        <v>7095</v>
      </c>
      <c r="AB1648" t="s">
        <v>2</v>
      </c>
      <c r="AC1648" t="s">
        <v>138</v>
      </c>
      <c r="AD1648" t="s">
        <v>7074</v>
      </c>
      <c r="AE1648" s="97">
        <f>VLOOKUP(A:A,SUMMERY!AA:AC,2,FALSE)</f>
        <v>46234</v>
      </c>
      <c r="AF1648" s="6" t="str">
        <f>VLOOKUP(A:A,SUMMERY!AA:AC,3,FALSE)</f>
        <v>Priority-1</v>
      </c>
    </row>
    <row r="1649" spans="1:32" x14ac:dyDescent="0.3">
      <c r="A1649" t="s">
        <v>7390</v>
      </c>
      <c r="B1649" t="s">
        <v>7391</v>
      </c>
      <c r="G1649" t="s">
        <v>6699</v>
      </c>
      <c r="H1649" t="s">
        <v>132</v>
      </c>
      <c r="I1649" t="s">
        <v>2</v>
      </c>
      <c r="J1649" t="s">
        <v>133</v>
      </c>
      <c r="K1649" t="s">
        <v>52</v>
      </c>
      <c r="L1649" t="s">
        <v>7392</v>
      </c>
      <c r="M1649" t="s">
        <v>134</v>
      </c>
      <c r="N1649" t="s">
        <v>135</v>
      </c>
      <c r="Q1649" t="s">
        <v>168</v>
      </c>
      <c r="S1649" t="s">
        <v>168</v>
      </c>
      <c r="U1649" t="s">
        <v>137</v>
      </c>
      <c r="V1649" t="s">
        <v>7094</v>
      </c>
      <c r="X1649" t="s">
        <v>7095</v>
      </c>
      <c r="AB1649" t="s">
        <v>2</v>
      </c>
      <c r="AC1649" t="s">
        <v>138</v>
      </c>
      <c r="AD1649" t="s">
        <v>7074</v>
      </c>
      <c r="AE1649" s="97">
        <f>VLOOKUP(A:A,SUMMERY!AA:AC,2,FALSE)</f>
        <v>46234</v>
      </c>
      <c r="AF1649" s="6" t="str">
        <f>VLOOKUP(A:A,SUMMERY!AA:AC,3,FALSE)</f>
        <v>Priority-1</v>
      </c>
    </row>
    <row r="1650" spans="1:32" x14ac:dyDescent="0.3">
      <c r="A1650" t="s">
        <v>7393</v>
      </c>
      <c r="B1650" t="s">
        <v>7394</v>
      </c>
      <c r="G1650" t="s">
        <v>6699</v>
      </c>
      <c r="H1650" t="s">
        <v>132</v>
      </c>
      <c r="I1650" t="s">
        <v>2</v>
      </c>
      <c r="J1650" t="s">
        <v>133</v>
      </c>
      <c r="K1650" t="s">
        <v>52</v>
      </c>
      <c r="L1650" t="s">
        <v>7395</v>
      </c>
      <c r="M1650" t="s">
        <v>134</v>
      </c>
      <c r="N1650" t="s">
        <v>135</v>
      </c>
      <c r="Q1650" t="s">
        <v>168</v>
      </c>
      <c r="S1650" t="s">
        <v>168</v>
      </c>
      <c r="U1650" t="s">
        <v>137</v>
      </c>
      <c r="V1650" t="s">
        <v>7094</v>
      </c>
      <c r="X1650" t="s">
        <v>7095</v>
      </c>
      <c r="AB1650" t="s">
        <v>2</v>
      </c>
      <c r="AC1650" t="s">
        <v>138</v>
      </c>
      <c r="AD1650" t="s">
        <v>7074</v>
      </c>
      <c r="AE1650" s="97">
        <f>VLOOKUP(A:A,SUMMERY!AA:AC,2,FALSE)</f>
        <v>46234</v>
      </c>
      <c r="AF1650" s="6" t="str">
        <f>VLOOKUP(A:A,SUMMERY!AA:AC,3,FALSE)</f>
        <v>Priority-1</v>
      </c>
    </row>
    <row r="1651" spans="1:32" x14ac:dyDescent="0.3">
      <c r="A1651" t="s">
        <v>7396</v>
      </c>
      <c r="B1651" t="s">
        <v>7397</v>
      </c>
      <c r="G1651" t="s">
        <v>6699</v>
      </c>
      <c r="H1651" t="s">
        <v>132</v>
      </c>
      <c r="I1651" t="s">
        <v>2</v>
      </c>
      <c r="J1651" t="s">
        <v>133</v>
      </c>
      <c r="K1651" t="s">
        <v>52</v>
      </c>
      <c r="L1651" t="s">
        <v>7398</v>
      </c>
      <c r="M1651" t="s">
        <v>134</v>
      </c>
      <c r="N1651" t="s">
        <v>135</v>
      </c>
      <c r="Q1651" t="s">
        <v>168</v>
      </c>
      <c r="S1651" t="s">
        <v>168</v>
      </c>
      <c r="U1651" t="s">
        <v>137</v>
      </c>
      <c r="V1651" t="s">
        <v>7094</v>
      </c>
      <c r="X1651" t="s">
        <v>7095</v>
      </c>
      <c r="AB1651" t="s">
        <v>2</v>
      </c>
      <c r="AC1651" t="s">
        <v>138</v>
      </c>
      <c r="AD1651" t="s">
        <v>7074</v>
      </c>
      <c r="AE1651" s="97">
        <f>VLOOKUP(A:A,SUMMERY!AA:AC,2,FALSE)</f>
        <v>46234</v>
      </c>
      <c r="AF1651" s="6" t="str">
        <f>VLOOKUP(A:A,SUMMERY!AA:AC,3,FALSE)</f>
        <v>Priority-1</v>
      </c>
    </row>
    <row r="1652" spans="1:32" x14ac:dyDescent="0.3">
      <c r="A1652" t="s">
        <v>7399</v>
      </c>
      <c r="B1652" t="s">
        <v>7400</v>
      </c>
      <c r="G1652" t="s">
        <v>6699</v>
      </c>
      <c r="H1652" t="s">
        <v>132</v>
      </c>
      <c r="I1652" t="s">
        <v>2</v>
      </c>
      <c r="J1652" t="s">
        <v>133</v>
      </c>
      <c r="K1652" t="s">
        <v>52</v>
      </c>
      <c r="L1652" t="s">
        <v>7401</v>
      </c>
      <c r="M1652" t="s">
        <v>134</v>
      </c>
      <c r="N1652" t="s">
        <v>135</v>
      </c>
      <c r="Q1652" t="s">
        <v>168</v>
      </c>
      <c r="S1652" t="s">
        <v>168</v>
      </c>
      <c r="U1652" t="s">
        <v>137</v>
      </c>
      <c r="V1652" t="s">
        <v>7094</v>
      </c>
      <c r="X1652" t="s">
        <v>7095</v>
      </c>
      <c r="AB1652" t="s">
        <v>2</v>
      </c>
      <c r="AC1652" t="s">
        <v>138</v>
      </c>
      <c r="AD1652" t="s">
        <v>7074</v>
      </c>
      <c r="AE1652" s="97">
        <f>VLOOKUP(A:A,SUMMERY!AA:AC,2,FALSE)</f>
        <v>46234</v>
      </c>
      <c r="AF1652" s="6" t="str">
        <f>VLOOKUP(A:A,SUMMERY!AA:AC,3,FALSE)</f>
        <v>Priority-1</v>
      </c>
    </row>
    <row r="1653" spans="1:32" x14ac:dyDescent="0.3">
      <c r="A1653" t="s">
        <v>7402</v>
      </c>
      <c r="B1653" t="s">
        <v>7403</v>
      </c>
      <c r="G1653" t="s">
        <v>6699</v>
      </c>
      <c r="H1653" t="s">
        <v>132</v>
      </c>
      <c r="I1653" t="s">
        <v>2</v>
      </c>
      <c r="J1653" t="s">
        <v>133</v>
      </c>
      <c r="K1653" t="s">
        <v>52</v>
      </c>
      <c r="L1653" t="s">
        <v>7404</v>
      </c>
      <c r="M1653" t="s">
        <v>134</v>
      </c>
      <c r="N1653" t="s">
        <v>135</v>
      </c>
      <c r="Q1653" t="s">
        <v>168</v>
      </c>
      <c r="S1653" t="s">
        <v>168</v>
      </c>
      <c r="U1653" t="s">
        <v>137</v>
      </c>
      <c r="V1653" t="s">
        <v>7094</v>
      </c>
      <c r="X1653" t="s">
        <v>7095</v>
      </c>
      <c r="AB1653" t="s">
        <v>2</v>
      </c>
      <c r="AC1653" t="s">
        <v>138</v>
      </c>
      <c r="AD1653" t="s">
        <v>7074</v>
      </c>
      <c r="AE1653" s="97">
        <f>VLOOKUP(A:A,SUMMERY!AA:AC,2,FALSE)</f>
        <v>46234</v>
      </c>
      <c r="AF1653" s="6" t="str">
        <f>VLOOKUP(A:A,SUMMERY!AA:AC,3,FALSE)</f>
        <v>Priority-1</v>
      </c>
    </row>
    <row r="1654" spans="1:32" x14ac:dyDescent="0.3">
      <c r="A1654" t="s">
        <v>7405</v>
      </c>
      <c r="B1654" t="s">
        <v>7406</v>
      </c>
      <c r="G1654" t="s">
        <v>6699</v>
      </c>
      <c r="H1654" t="s">
        <v>132</v>
      </c>
      <c r="I1654" t="s">
        <v>2</v>
      </c>
      <c r="J1654" t="s">
        <v>133</v>
      </c>
      <c r="K1654" t="s">
        <v>52</v>
      </c>
      <c r="L1654" t="s">
        <v>7407</v>
      </c>
      <c r="M1654" t="s">
        <v>134</v>
      </c>
      <c r="N1654" t="s">
        <v>135</v>
      </c>
      <c r="Q1654" t="s">
        <v>168</v>
      </c>
      <c r="S1654" t="s">
        <v>168</v>
      </c>
      <c r="U1654" t="s">
        <v>137</v>
      </c>
      <c r="V1654" t="s">
        <v>7094</v>
      </c>
      <c r="X1654" t="s">
        <v>7095</v>
      </c>
      <c r="AB1654" t="s">
        <v>2</v>
      </c>
      <c r="AC1654" t="s">
        <v>138</v>
      </c>
      <c r="AD1654" t="s">
        <v>7074</v>
      </c>
      <c r="AE1654" s="97">
        <f>VLOOKUP(A:A,SUMMERY!AA:AC,2,FALSE)</f>
        <v>46234</v>
      </c>
      <c r="AF1654" s="6" t="str">
        <f>VLOOKUP(A:A,SUMMERY!AA:AC,3,FALSE)</f>
        <v>Priority-1</v>
      </c>
    </row>
    <row r="1655" spans="1:32" x14ac:dyDescent="0.3">
      <c r="A1655" t="s">
        <v>7408</v>
      </c>
      <c r="B1655" t="s">
        <v>7409</v>
      </c>
      <c r="G1655" t="s">
        <v>6699</v>
      </c>
      <c r="H1655" t="s">
        <v>132</v>
      </c>
      <c r="I1655" t="s">
        <v>2</v>
      </c>
      <c r="J1655" t="s">
        <v>133</v>
      </c>
      <c r="K1655" t="s">
        <v>52</v>
      </c>
      <c r="L1655" t="s">
        <v>7410</v>
      </c>
      <c r="M1655" t="s">
        <v>134</v>
      </c>
      <c r="N1655" t="s">
        <v>135</v>
      </c>
      <c r="Q1655" t="s">
        <v>168</v>
      </c>
      <c r="S1655" t="s">
        <v>168</v>
      </c>
      <c r="U1655" t="s">
        <v>137</v>
      </c>
      <c r="V1655" t="s">
        <v>7094</v>
      </c>
      <c r="X1655" t="s">
        <v>7095</v>
      </c>
      <c r="AB1655" t="s">
        <v>2</v>
      </c>
      <c r="AC1655" t="s">
        <v>138</v>
      </c>
      <c r="AD1655" t="s">
        <v>7074</v>
      </c>
      <c r="AE1655" s="97">
        <f>VLOOKUP(A:A,SUMMERY!AA:AC,2,FALSE)</f>
        <v>46234</v>
      </c>
      <c r="AF1655" s="6" t="str">
        <f>VLOOKUP(A:A,SUMMERY!AA:AC,3,FALSE)</f>
        <v>Priority-1</v>
      </c>
    </row>
    <row r="1656" spans="1:32" x14ac:dyDescent="0.3">
      <c r="A1656" t="s">
        <v>7411</v>
      </c>
      <c r="B1656" t="s">
        <v>7412</v>
      </c>
      <c r="G1656" t="s">
        <v>6699</v>
      </c>
      <c r="H1656" t="s">
        <v>132</v>
      </c>
      <c r="I1656" t="s">
        <v>2</v>
      </c>
      <c r="J1656" t="s">
        <v>133</v>
      </c>
      <c r="K1656" t="s">
        <v>52</v>
      </c>
      <c r="L1656" t="s">
        <v>7413</v>
      </c>
      <c r="M1656" t="s">
        <v>134</v>
      </c>
      <c r="N1656" t="s">
        <v>135</v>
      </c>
      <c r="Q1656" t="s">
        <v>168</v>
      </c>
      <c r="S1656" t="s">
        <v>168</v>
      </c>
      <c r="U1656" t="s">
        <v>137</v>
      </c>
      <c r="V1656" t="s">
        <v>7094</v>
      </c>
      <c r="X1656" t="s">
        <v>7095</v>
      </c>
      <c r="AB1656" t="s">
        <v>2</v>
      </c>
      <c r="AC1656" t="s">
        <v>138</v>
      </c>
      <c r="AD1656" t="s">
        <v>7074</v>
      </c>
      <c r="AE1656" s="97">
        <f>VLOOKUP(A:A,SUMMERY!AA:AC,2,FALSE)</f>
        <v>46234</v>
      </c>
      <c r="AF1656" s="6" t="str">
        <f>VLOOKUP(A:A,SUMMERY!AA:AC,3,FALSE)</f>
        <v>Priority-1</v>
      </c>
    </row>
    <row r="1657" spans="1:32" x14ac:dyDescent="0.3">
      <c r="A1657" t="s">
        <v>7414</v>
      </c>
      <c r="B1657" t="s">
        <v>7415</v>
      </c>
      <c r="G1657" t="s">
        <v>6699</v>
      </c>
      <c r="H1657" t="s">
        <v>132</v>
      </c>
      <c r="I1657" t="s">
        <v>2</v>
      </c>
      <c r="J1657" t="s">
        <v>133</v>
      </c>
      <c r="K1657" t="s">
        <v>52</v>
      </c>
      <c r="L1657" t="s">
        <v>7416</v>
      </c>
      <c r="M1657" t="s">
        <v>134</v>
      </c>
      <c r="N1657" t="s">
        <v>135</v>
      </c>
      <c r="Q1657" t="s">
        <v>168</v>
      </c>
      <c r="S1657" t="s">
        <v>168</v>
      </c>
      <c r="U1657" t="s">
        <v>137</v>
      </c>
      <c r="V1657" t="s">
        <v>7094</v>
      </c>
      <c r="X1657" t="s">
        <v>7095</v>
      </c>
      <c r="AB1657" t="s">
        <v>2</v>
      </c>
      <c r="AC1657" t="s">
        <v>138</v>
      </c>
      <c r="AD1657" t="s">
        <v>7074</v>
      </c>
      <c r="AE1657" s="97">
        <f>VLOOKUP(A:A,SUMMERY!AA:AC,2,FALSE)</f>
        <v>46234</v>
      </c>
      <c r="AF1657" s="6" t="str">
        <f>VLOOKUP(A:A,SUMMERY!AA:AC,3,FALSE)</f>
        <v>Priority-1</v>
      </c>
    </row>
    <row r="1658" spans="1:32" x14ac:dyDescent="0.3">
      <c r="A1658" t="s">
        <v>7417</v>
      </c>
      <c r="B1658" t="s">
        <v>7418</v>
      </c>
      <c r="G1658" t="s">
        <v>6699</v>
      </c>
      <c r="H1658" t="s">
        <v>132</v>
      </c>
      <c r="I1658" t="s">
        <v>2</v>
      </c>
      <c r="J1658" t="s">
        <v>133</v>
      </c>
      <c r="K1658" t="s">
        <v>52</v>
      </c>
      <c r="L1658" t="s">
        <v>7419</v>
      </c>
      <c r="M1658" t="s">
        <v>134</v>
      </c>
      <c r="N1658" t="s">
        <v>135</v>
      </c>
      <c r="Q1658" t="s">
        <v>168</v>
      </c>
      <c r="S1658" t="s">
        <v>168</v>
      </c>
      <c r="U1658" t="s">
        <v>137</v>
      </c>
      <c r="V1658" t="s">
        <v>7094</v>
      </c>
      <c r="W1658" s="9">
        <v>46200.360530127313</v>
      </c>
      <c r="X1658" t="s">
        <v>7095</v>
      </c>
      <c r="AA1658" t="s">
        <v>5059</v>
      </c>
      <c r="AB1658" t="s">
        <v>2</v>
      </c>
      <c r="AC1658" t="s">
        <v>24</v>
      </c>
      <c r="AD1658" t="s">
        <v>7074</v>
      </c>
      <c r="AE1658" s="97">
        <f>VLOOKUP(A:A,SUMMERY!AA:AC,2,FALSE)</f>
        <v>46234</v>
      </c>
      <c r="AF1658" s="6" t="str">
        <f>VLOOKUP(A:A,SUMMERY!AA:AC,3,FALSE)</f>
        <v>Priority-1</v>
      </c>
    </row>
    <row r="1659" spans="1:32" x14ac:dyDescent="0.3">
      <c r="A1659" t="s">
        <v>6734</v>
      </c>
      <c r="B1659" t="s">
        <v>3365</v>
      </c>
      <c r="G1659" t="s">
        <v>6699</v>
      </c>
      <c r="H1659" t="s">
        <v>132</v>
      </c>
      <c r="I1659" t="s">
        <v>2</v>
      </c>
      <c r="J1659" t="s">
        <v>133</v>
      </c>
      <c r="K1659" t="s">
        <v>52</v>
      </c>
      <c r="L1659" t="s">
        <v>3366</v>
      </c>
      <c r="M1659" t="s">
        <v>134</v>
      </c>
      <c r="N1659" t="s">
        <v>135</v>
      </c>
      <c r="Q1659" t="s">
        <v>168</v>
      </c>
      <c r="S1659" t="s">
        <v>168</v>
      </c>
      <c r="U1659" t="s">
        <v>137</v>
      </c>
      <c r="V1659" t="s">
        <v>1239</v>
      </c>
      <c r="X1659" t="s">
        <v>127</v>
      </c>
      <c r="AB1659" t="s">
        <v>2</v>
      </c>
      <c r="AC1659" t="s">
        <v>138</v>
      </c>
      <c r="AD1659" t="s">
        <v>131</v>
      </c>
      <c r="AE1659" s="97">
        <f>VLOOKUP(A:A,SUMMERY!AA:AC,2,FALSE)</f>
        <v>46234</v>
      </c>
      <c r="AF1659" s="6" t="str">
        <f>VLOOKUP(A:A,SUMMERY!AA:AC,3,FALSE)</f>
        <v>Priority-2</v>
      </c>
    </row>
    <row r="1660" spans="1:32" x14ac:dyDescent="0.3">
      <c r="A1660" t="s">
        <v>6735</v>
      </c>
      <c r="B1660" t="s">
        <v>3367</v>
      </c>
      <c r="G1660" t="s">
        <v>6699</v>
      </c>
      <c r="H1660" t="s">
        <v>132</v>
      </c>
      <c r="I1660" t="s">
        <v>2</v>
      </c>
      <c r="J1660" t="s">
        <v>133</v>
      </c>
      <c r="K1660" t="s">
        <v>52</v>
      </c>
      <c r="L1660" t="s">
        <v>3368</v>
      </c>
      <c r="M1660" t="s">
        <v>134</v>
      </c>
      <c r="N1660" t="s">
        <v>135</v>
      </c>
      <c r="Q1660" t="s">
        <v>168</v>
      </c>
      <c r="S1660" t="s">
        <v>168</v>
      </c>
      <c r="U1660" t="s">
        <v>137</v>
      </c>
      <c r="V1660" t="s">
        <v>1239</v>
      </c>
      <c r="X1660" t="s">
        <v>127</v>
      </c>
      <c r="AB1660" t="s">
        <v>2</v>
      </c>
      <c r="AC1660" t="s">
        <v>138</v>
      </c>
      <c r="AD1660" t="s">
        <v>131</v>
      </c>
      <c r="AE1660" s="97">
        <f>VLOOKUP(A:A,SUMMERY!AA:AC,2,FALSE)</f>
        <v>46234</v>
      </c>
      <c r="AF1660" s="6" t="str">
        <f>VLOOKUP(A:A,SUMMERY!AA:AC,3,FALSE)</f>
        <v>Priority-2</v>
      </c>
    </row>
    <row r="1661" spans="1:32" x14ac:dyDescent="0.3">
      <c r="A1661" t="s">
        <v>6736</v>
      </c>
      <c r="B1661" t="s">
        <v>3369</v>
      </c>
      <c r="G1661" t="s">
        <v>6699</v>
      </c>
      <c r="H1661" t="s">
        <v>132</v>
      </c>
      <c r="I1661" t="s">
        <v>2</v>
      </c>
      <c r="J1661" t="s">
        <v>133</v>
      </c>
      <c r="K1661" t="s">
        <v>52</v>
      </c>
      <c r="L1661" t="s">
        <v>3370</v>
      </c>
      <c r="M1661" t="s">
        <v>134</v>
      </c>
      <c r="N1661" t="s">
        <v>135</v>
      </c>
      <c r="Q1661" t="s">
        <v>168</v>
      </c>
      <c r="S1661" t="s">
        <v>168</v>
      </c>
      <c r="U1661" t="s">
        <v>137</v>
      </c>
      <c r="V1661" t="s">
        <v>1239</v>
      </c>
      <c r="X1661" t="s">
        <v>127</v>
      </c>
      <c r="AB1661" t="s">
        <v>2</v>
      </c>
      <c r="AC1661" t="s">
        <v>138</v>
      </c>
      <c r="AD1661" t="s">
        <v>131</v>
      </c>
      <c r="AE1661" s="97">
        <f>VLOOKUP(A:A,SUMMERY!AA:AC,2,FALSE)</f>
        <v>46234</v>
      </c>
      <c r="AF1661" s="6" t="str">
        <f>VLOOKUP(A:A,SUMMERY!AA:AC,3,FALSE)</f>
        <v>Priority-2</v>
      </c>
    </row>
    <row r="1662" spans="1:32" x14ac:dyDescent="0.3">
      <c r="A1662" t="s">
        <v>6737</v>
      </c>
      <c r="B1662" t="s">
        <v>3380</v>
      </c>
      <c r="G1662" t="s">
        <v>6699</v>
      </c>
      <c r="H1662" t="s">
        <v>132</v>
      </c>
      <c r="I1662" t="s">
        <v>2</v>
      </c>
      <c r="J1662" t="s">
        <v>133</v>
      </c>
      <c r="K1662" t="s">
        <v>52</v>
      </c>
      <c r="L1662" t="s">
        <v>3381</v>
      </c>
      <c r="M1662" t="s">
        <v>134</v>
      </c>
      <c r="N1662" t="s">
        <v>135</v>
      </c>
      <c r="Q1662" t="s">
        <v>168</v>
      </c>
      <c r="S1662" t="s">
        <v>168</v>
      </c>
      <c r="U1662" t="s">
        <v>137</v>
      </c>
      <c r="V1662" t="s">
        <v>1249</v>
      </c>
      <c r="X1662" t="s">
        <v>61</v>
      </c>
      <c r="AB1662" t="s">
        <v>2</v>
      </c>
      <c r="AC1662" t="s">
        <v>138</v>
      </c>
      <c r="AD1662" t="s">
        <v>128</v>
      </c>
      <c r="AE1662" s="97">
        <f>VLOOKUP(A:A,SUMMERY!AA:AC,2,FALSE)</f>
        <v>46234</v>
      </c>
      <c r="AF1662" s="6" t="str">
        <f>VLOOKUP(A:A,SUMMERY!AA:AC,3,FALSE)</f>
        <v>Priority-1</v>
      </c>
    </row>
    <row r="1663" spans="1:32" x14ac:dyDescent="0.3">
      <c r="A1663" t="s">
        <v>6738</v>
      </c>
      <c r="B1663" t="s">
        <v>3382</v>
      </c>
      <c r="G1663" t="s">
        <v>6699</v>
      </c>
      <c r="H1663" t="s">
        <v>132</v>
      </c>
      <c r="I1663" t="s">
        <v>2</v>
      </c>
      <c r="J1663" t="s">
        <v>133</v>
      </c>
      <c r="K1663" t="s">
        <v>52</v>
      </c>
      <c r="L1663" t="s">
        <v>3383</v>
      </c>
      <c r="M1663" t="s">
        <v>134</v>
      </c>
      <c r="N1663" t="s">
        <v>135</v>
      </c>
      <c r="Q1663" t="s">
        <v>168</v>
      </c>
      <c r="S1663" t="s">
        <v>168</v>
      </c>
      <c r="U1663" t="s">
        <v>137</v>
      </c>
      <c r="V1663" t="s">
        <v>1249</v>
      </c>
      <c r="X1663" t="s">
        <v>61</v>
      </c>
      <c r="AB1663" t="s">
        <v>2</v>
      </c>
      <c r="AC1663" t="s">
        <v>138</v>
      </c>
      <c r="AD1663" t="s">
        <v>128</v>
      </c>
      <c r="AE1663" s="97">
        <f>VLOOKUP(A:A,SUMMERY!AA:AC,2,FALSE)</f>
        <v>46234</v>
      </c>
      <c r="AF1663" s="6" t="str">
        <f>VLOOKUP(A:A,SUMMERY!AA:AC,3,FALSE)</f>
        <v>Priority-1</v>
      </c>
    </row>
    <row r="1664" spans="1:32" x14ac:dyDescent="0.3">
      <c r="A1664" t="s">
        <v>6739</v>
      </c>
      <c r="B1664" t="s">
        <v>3384</v>
      </c>
      <c r="G1664" t="s">
        <v>6699</v>
      </c>
      <c r="H1664" t="s">
        <v>132</v>
      </c>
      <c r="I1664" t="s">
        <v>2</v>
      </c>
      <c r="J1664" t="s">
        <v>133</v>
      </c>
      <c r="K1664" t="s">
        <v>52</v>
      </c>
      <c r="L1664" t="s">
        <v>3385</v>
      </c>
      <c r="M1664" t="s">
        <v>134</v>
      </c>
      <c r="N1664" t="s">
        <v>135</v>
      </c>
      <c r="Q1664" t="s">
        <v>168</v>
      </c>
      <c r="S1664" t="s">
        <v>168</v>
      </c>
      <c r="U1664" t="s">
        <v>137</v>
      </c>
      <c r="V1664" t="s">
        <v>1249</v>
      </c>
      <c r="X1664" t="s">
        <v>61</v>
      </c>
      <c r="AB1664" t="s">
        <v>2</v>
      </c>
      <c r="AC1664" t="s">
        <v>138</v>
      </c>
      <c r="AD1664" t="s">
        <v>128</v>
      </c>
      <c r="AE1664" s="97">
        <f>VLOOKUP(A:A,SUMMERY!AA:AC,2,FALSE)</f>
        <v>46234</v>
      </c>
      <c r="AF1664" s="6" t="str">
        <f>VLOOKUP(A:A,SUMMERY!AA:AC,3,FALSE)</f>
        <v>Priority-1</v>
      </c>
    </row>
  </sheetData>
  <autoFilter ref="A1:AF1664" xr:uid="{7A6220CD-528F-4327-B07E-CD3D2024653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E50B-6445-4875-8BF7-34DDDD4BFB83}">
  <dimension ref="A1:AC1664"/>
  <sheetViews>
    <sheetView zoomScale="110" zoomScaleNormal="110" workbookViewId="0">
      <selection activeCell="J15" sqref="J15"/>
    </sheetView>
  </sheetViews>
  <sheetFormatPr defaultRowHeight="14.4" x14ac:dyDescent="0.3"/>
  <cols>
    <col min="1" max="1" width="13.77734375" customWidth="1"/>
    <col min="2" max="2" width="7.77734375" bestFit="1" customWidth="1"/>
    <col min="3" max="3" width="8.33203125" customWidth="1"/>
    <col min="4" max="4" width="9.44140625" customWidth="1"/>
    <col min="5" max="5" width="7.77734375" bestFit="1" customWidth="1"/>
    <col min="6" max="6" width="9.33203125" customWidth="1"/>
    <col min="7" max="7" width="11.88671875" customWidth="1"/>
    <col min="8" max="8" width="13" customWidth="1"/>
    <col min="9" max="9" width="29.77734375" customWidth="1"/>
    <col min="10" max="10" width="20" customWidth="1"/>
    <col min="11" max="11" width="19.88671875" customWidth="1"/>
    <col min="12" max="12" width="22.5546875" customWidth="1"/>
    <col min="13" max="13" width="21.5546875" customWidth="1"/>
    <col min="27" max="27" width="13.44140625" bestFit="1" customWidth="1"/>
    <col min="28" max="28" width="9.33203125" bestFit="1" customWidth="1"/>
    <col min="29" max="29" width="8.5546875" bestFit="1" customWidth="1"/>
    <col min="36" max="36" width="9.21875" customWidth="1"/>
    <col min="37" max="37" width="15.21875" customWidth="1"/>
    <col min="38" max="38" width="20.88671875" bestFit="1" customWidth="1"/>
  </cols>
  <sheetData>
    <row r="1" spans="1:29" ht="19.8" x14ac:dyDescent="0.3">
      <c r="A1" s="135" t="s">
        <v>7439</v>
      </c>
      <c r="B1" s="135"/>
      <c r="C1" s="135"/>
      <c r="D1" s="135"/>
      <c r="E1" s="135"/>
      <c r="F1" s="135"/>
      <c r="G1" s="135"/>
      <c r="I1" s="122" t="s">
        <v>7439</v>
      </c>
      <c r="J1" s="123"/>
      <c r="K1" s="123"/>
      <c r="L1" s="123"/>
      <c r="M1" s="124"/>
      <c r="S1" s="97"/>
      <c r="AA1" s="102" t="s">
        <v>7443</v>
      </c>
      <c r="AB1" s="103" t="s">
        <v>7440</v>
      </c>
      <c r="AC1" s="103" t="s">
        <v>7441</v>
      </c>
    </row>
    <row r="2" spans="1:29" x14ac:dyDescent="0.3">
      <c r="A2" s="135" t="s">
        <v>7437</v>
      </c>
      <c r="B2" s="135" t="s">
        <v>7434</v>
      </c>
      <c r="C2" s="135"/>
      <c r="D2" s="135"/>
      <c r="E2" s="135" t="s">
        <v>7438</v>
      </c>
      <c r="F2" s="135"/>
      <c r="G2" s="135"/>
      <c r="I2" s="125" t="s">
        <v>6</v>
      </c>
      <c r="J2" s="125" t="s">
        <v>7</v>
      </c>
      <c r="K2" s="126" t="s">
        <v>24</v>
      </c>
      <c r="L2" s="126" t="s">
        <v>6745</v>
      </c>
      <c r="M2" s="127" t="s">
        <v>8</v>
      </c>
      <c r="AA2" t="s">
        <v>144</v>
      </c>
      <c r="AB2" s="97">
        <v>46220</v>
      </c>
      <c r="AC2" s="6" t="s">
        <v>7429</v>
      </c>
    </row>
    <row r="3" spans="1:29" x14ac:dyDescent="0.3">
      <c r="A3" s="135"/>
      <c r="B3" s="99" t="s">
        <v>7436</v>
      </c>
      <c r="C3" s="99" t="s">
        <v>7435</v>
      </c>
      <c r="D3" s="99" t="s">
        <v>7444</v>
      </c>
      <c r="E3" s="99" t="s">
        <v>7436</v>
      </c>
      <c r="F3" s="99" t="s">
        <v>7435</v>
      </c>
      <c r="G3" s="99" t="s">
        <v>7444</v>
      </c>
      <c r="I3" s="125"/>
      <c r="J3" s="125"/>
      <c r="K3" s="126"/>
      <c r="L3" s="126"/>
      <c r="M3" s="127"/>
      <c r="AA3" t="s">
        <v>148</v>
      </c>
      <c r="AB3" s="97">
        <v>46233</v>
      </c>
      <c r="AC3" s="6" t="s">
        <v>7429</v>
      </c>
    </row>
    <row r="4" spans="1:29" ht="19.8" x14ac:dyDescent="0.3">
      <c r="A4" s="98">
        <v>46204</v>
      </c>
      <c r="B4" s="23">
        <v>34</v>
      </c>
      <c r="C4" s="23">
        <v>35</v>
      </c>
      <c r="D4" s="23">
        <v>-1</v>
      </c>
      <c r="E4" s="23">
        <v>4</v>
      </c>
      <c r="F4" s="23">
        <v>0</v>
      </c>
      <c r="G4" s="23">
        <v>4</v>
      </c>
      <c r="I4" s="132" t="s">
        <v>6990</v>
      </c>
      <c r="J4" s="133"/>
      <c r="K4" s="133"/>
      <c r="L4" s="133"/>
      <c r="M4" s="134"/>
      <c r="AA4" t="s">
        <v>171</v>
      </c>
      <c r="AB4" s="97">
        <v>46220</v>
      </c>
      <c r="AC4" s="6" t="s">
        <v>7429</v>
      </c>
    </row>
    <row r="5" spans="1:29" ht="19.8" x14ac:dyDescent="0.3">
      <c r="A5" s="98">
        <v>46205</v>
      </c>
      <c r="B5" s="23">
        <v>33</v>
      </c>
      <c r="C5" s="23">
        <v>0</v>
      </c>
      <c r="D5" s="23">
        <v>33</v>
      </c>
      <c r="E5" s="23">
        <v>9</v>
      </c>
      <c r="F5" s="23">
        <v>4</v>
      </c>
      <c r="G5" s="23">
        <v>5</v>
      </c>
      <c r="I5" s="68" t="s">
        <v>12</v>
      </c>
      <c r="J5" s="37">
        <v>65</v>
      </c>
      <c r="K5" s="37">
        <v>65</v>
      </c>
      <c r="L5" s="40">
        <f t="shared" ref="L5:L7" si="0">K5/J5</f>
        <v>1</v>
      </c>
      <c r="M5" s="37">
        <f>J5-K5</f>
        <v>0</v>
      </c>
      <c r="AA5" t="s">
        <v>174</v>
      </c>
      <c r="AB5" s="97">
        <v>46233</v>
      </c>
      <c r="AC5" s="6" t="s">
        <v>7429</v>
      </c>
    </row>
    <row r="6" spans="1:29" ht="19.8" x14ac:dyDescent="0.3">
      <c r="A6" s="98">
        <v>46206</v>
      </c>
      <c r="B6" s="23">
        <v>66</v>
      </c>
      <c r="C6" s="23">
        <v>3</v>
      </c>
      <c r="D6" s="23">
        <v>63</v>
      </c>
      <c r="E6" s="23">
        <v>10</v>
      </c>
      <c r="F6" s="23">
        <v>0</v>
      </c>
      <c r="G6" s="23">
        <v>10</v>
      </c>
      <c r="I6" s="68" t="s">
        <v>13</v>
      </c>
      <c r="J6" s="37">
        <v>350</v>
      </c>
      <c r="K6" s="37">
        <v>212</v>
      </c>
      <c r="L6" s="40">
        <f t="shared" si="0"/>
        <v>0.60571428571428576</v>
      </c>
      <c r="M6" s="37">
        <f>J6-K6</f>
        <v>138</v>
      </c>
      <c r="AA6" t="s">
        <v>192</v>
      </c>
      <c r="AB6" s="97">
        <v>46220</v>
      </c>
      <c r="AC6" s="6" t="s">
        <v>7429</v>
      </c>
    </row>
    <row r="7" spans="1:29" ht="19.8" x14ac:dyDescent="0.3">
      <c r="A7" s="98">
        <v>46207</v>
      </c>
      <c r="B7" s="23">
        <v>96</v>
      </c>
      <c r="C7" s="23"/>
      <c r="D7" s="23"/>
      <c r="E7" s="23">
        <v>15</v>
      </c>
      <c r="F7" s="23"/>
      <c r="G7" s="23"/>
      <c r="I7" s="76" t="s">
        <v>25</v>
      </c>
      <c r="J7" s="20">
        <f>SUM(J5:J6)</f>
        <v>415</v>
      </c>
      <c r="K7" s="19">
        <f>SUM(K5:K6)</f>
        <v>277</v>
      </c>
      <c r="L7" s="26">
        <f t="shared" si="0"/>
        <v>0.66746987951807224</v>
      </c>
      <c r="M7" s="70">
        <f t="shared" ref="M7" si="1">SUM(M5:M6)</f>
        <v>138</v>
      </c>
      <c r="AA7" t="s">
        <v>195</v>
      </c>
      <c r="AB7" s="97">
        <v>46220</v>
      </c>
      <c r="AC7" s="6" t="s">
        <v>7429</v>
      </c>
    </row>
    <row r="8" spans="1:29" ht="19.8" x14ac:dyDescent="0.3">
      <c r="A8" s="98">
        <v>46208</v>
      </c>
      <c r="B8" s="23">
        <v>33</v>
      </c>
      <c r="C8" s="23"/>
      <c r="D8" s="23"/>
      <c r="E8" s="23">
        <v>5</v>
      </c>
      <c r="F8" s="23"/>
      <c r="G8" s="23"/>
      <c r="I8" s="129" t="s">
        <v>6740</v>
      </c>
      <c r="J8" s="130"/>
      <c r="K8" s="130"/>
      <c r="L8" s="130"/>
      <c r="M8" s="131"/>
      <c r="AA8" t="s">
        <v>197</v>
      </c>
      <c r="AB8" s="97">
        <v>46220</v>
      </c>
      <c r="AC8" s="6" t="s">
        <v>7429</v>
      </c>
    </row>
    <row r="9" spans="1:29" ht="19.8" x14ac:dyDescent="0.3">
      <c r="A9" s="98">
        <v>46209</v>
      </c>
      <c r="B9" s="23">
        <v>33</v>
      </c>
      <c r="C9" s="23"/>
      <c r="D9" s="23"/>
      <c r="E9" s="23">
        <v>5</v>
      </c>
      <c r="F9" s="23"/>
      <c r="G9" s="23"/>
      <c r="I9" s="69" t="s">
        <v>10</v>
      </c>
      <c r="J9" s="37">
        <v>521</v>
      </c>
      <c r="K9" s="37">
        <v>183</v>
      </c>
      <c r="L9" s="40">
        <f>K9/J9</f>
        <v>0.3512476007677543</v>
      </c>
      <c r="M9" s="37">
        <f>J9-K9</f>
        <v>338</v>
      </c>
      <c r="AA9" t="s">
        <v>199</v>
      </c>
      <c r="AB9" s="97">
        <v>46233</v>
      </c>
      <c r="AC9" s="6" t="s">
        <v>7429</v>
      </c>
    </row>
    <row r="10" spans="1:29" ht="19.8" x14ac:dyDescent="0.3">
      <c r="A10" s="98">
        <v>46210</v>
      </c>
      <c r="B10" s="23">
        <v>33</v>
      </c>
      <c r="C10" s="23"/>
      <c r="D10" s="23"/>
      <c r="E10" s="23">
        <v>5</v>
      </c>
      <c r="F10" s="23"/>
      <c r="G10" s="23"/>
      <c r="I10" s="68" t="s">
        <v>11</v>
      </c>
      <c r="J10" s="37">
        <v>671</v>
      </c>
      <c r="K10" s="37">
        <v>78</v>
      </c>
      <c r="L10" s="40">
        <f>K10/J10</f>
        <v>0.11624441132637854</v>
      </c>
      <c r="M10" s="37">
        <f>J10-K10</f>
        <v>593</v>
      </c>
      <c r="AA10" t="s">
        <v>202</v>
      </c>
      <c r="AB10" s="97">
        <v>46233</v>
      </c>
      <c r="AC10" s="6" t="s">
        <v>7429</v>
      </c>
    </row>
    <row r="11" spans="1:29" ht="19.8" x14ac:dyDescent="0.3">
      <c r="A11" s="98">
        <v>46211</v>
      </c>
      <c r="B11" s="23">
        <v>33</v>
      </c>
      <c r="C11" s="23"/>
      <c r="D11" s="23"/>
      <c r="E11" s="23">
        <v>5</v>
      </c>
      <c r="F11" s="23"/>
      <c r="G11" s="23"/>
      <c r="I11" s="68" t="s">
        <v>14</v>
      </c>
      <c r="J11" s="37">
        <v>56</v>
      </c>
      <c r="K11" s="37">
        <v>0</v>
      </c>
      <c r="L11" s="40">
        <f>K11/J11</f>
        <v>0</v>
      </c>
      <c r="M11" s="37">
        <f>J11-K11</f>
        <v>56</v>
      </c>
      <c r="AA11" t="s">
        <v>204</v>
      </c>
      <c r="AB11" s="97">
        <v>46233</v>
      </c>
      <c r="AC11" s="6" t="s">
        <v>7429</v>
      </c>
    </row>
    <row r="12" spans="1:29" ht="19.8" x14ac:dyDescent="0.3">
      <c r="A12" s="98">
        <v>46212</v>
      </c>
      <c r="B12" s="23">
        <v>33</v>
      </c>
      <c r="C12" s="23"/>
      <c r="D12" s="23"/>
      <c r="E12" s="23">
        <v>5</v>
      </c>
      <c r="F12" s="23"/>
      <c r="G12" s="23"/>
      <c r="I12" s="76" t="s">
        <v>25</v>
      </c>
      <c r="J12" s="73">
        <f>SUM(J9:J11)</f>
        <v>1248</v>
      </c>
      <c r="K12" s="16">
        <f>SUM(K9:K11)</f>
        <v>261</v>
      </c>
      <c r="L12" s="28">
        <f>K12/J12</f>
        <v>0.20913461538461539</v>
      </c>
      <c r="M12" s="104">
        <f>SUM(M9:M11)</f>
        <v>987</v>
      </c>
      <c r="AA12" t="s">
        <v>241</v>
      </c>
      <c r="AB12" s="97">
        <v>46220</v>
      </c>
      <c r="AC12" s="6" t="s">
        <v>7429</v>
      </c>
    </row>
    <row r="13" spans="1:29" ht="21" x14ac:dyDescent="0.3">
      <c r="A13" s="98">
        <v>46213</v>
      </c>
      <c r="B13" s="23">
        <v>33</v>
      </c>
      <c r="C13" s="23"/>
      <c r="D13" s="23"/>
      <c r="E13" s="23">
        <v>5</v>
      </c>
      <c r="F13" s="23"/>
      <c r="G13" s="23"/>
      <c r="I13" s="77" t="s">
        <v>15</v>
      </c>
      <c r="J13" s="20">
        <f>J7+J12</f>
        <v>1663</v>
      </c>
      <c r="K13" s="27">
        <f>K7+K12</f>
        <v>538</v>
      </c>
      <c r="L13" s="58">
        <f>K13/J13</f>
        <v>0.32351172579675286</v>
      </c>
      <c r="M13" s="70">
        <f t="shared" ref="M13" si="2">M7+M12</f>
        <v>1125</v>
      </c>
      <c r="AA13" t="s">
        <v>244</v>
      </c>
      <c r="AB13" s="97">
        <v>46220</v>
      </c>
      <c r="AC13" s="6" t="s">
        <v>7429</v>
      </c>
    </row>
    <row r="14" spans="1:29" ht="18.600000000000001" customHeight="1" x14ac:dyDescent="0.3">
      <c r="A14" s="98">
        <v>46214</v>
      </c>
      <c r="B14" s="23">
        <v>33</v>
      </c>
      <c r="C14" s="23"/>
      <c r="D14" s="23"/>
      <c r="E14" s="23">
        <v>4</v>
      </c>
      <c r="F14" s="23"/>
      <c r="G14" s="23"/>
      <c r="AA14" t="s">
        <v>246</v>
      </c>
      <c r="AB14" s="97">
        <v>46220</v>
      </c>
      <c r="AC14" s="6" t="s">
        <v>7429</v>
      </c>
    </row>
    <row r="15" spans="1:29" ht="18.600000000000001" customHeight="1" x14ac:dyDescent="0.3">
      <c r="A15" s="98">
        <v>46215</v>
      </c>
      <c r="B15" s="23">
        <v>33</v>
      </c>
      <c r="C15" s="23"/>
      <c r="D15" s="23"/>
      <c r="E15" s="23">
        <v>5</v>
      </c>
      <c r="F15" s="23"/>
      <c r="G15" s="23"/>
      <c r="AA15" t="s">
        <v>248</v>
      </c>
      <c r="AB15" s="97">
        <v>46233</v>
      </c>
      <c r="AC15" s="6" t="s">
        <v>7429</v>
      </c>
    </row>
    <row r="16" spans="1:29" ht="19.2" customHeight="1" x14ac:dyDescent="0.3">
      <c r="A16" s="98">
        <v>46216</v>
      </c>
      <c r="B16" s="23">
        <v>33</v>
      </c>
      <c r="C16" s="23"/>
      <c r="D16" s="23"/>
      <c r="E16" s="23">
        <v>4</v>
      </c>
      <c r="F16" s="23"/>
      <c r="G16" s="23"/>
      <c r="I16" s="105" t="s">
        <v>7431</v>
      </c>
      <c r="J16" s="106"/>
      <c r="K16" s="106"/>
      <c r="L16" s="106"/>
      <c r="M16" s="106"/>
      <c r="AA16" t="s">
        <v>251</v>
      </c>
      <c r="AB16" s="97">
        <v>46233</v>
      </c>
      <c r="AC16" s="6" t="s">
        <v>7429</v>
      </c>
    </row>
    <row r="17" spans="1:29" ht="19.2" customHeight="1" x14ac:dyDescent="0.3">
      <c r="A17" s="98">
        <v>46217</v>
      </c>
      <c r="B17" s="23">
        <v>33</v>
      </c>
      <c r="C17" s="23"/>
      <c r="D17" s="23"/>
      <c r="E17" s="23">
        <v>5</v>
      </c>
      <c r="F17" s="23"/>
      <c r="G17" s="23"/>
      <c r="I17" s="12" t="s">
        <v>7427</v>
      </c>
      <c r="J17" s="12" t="s">
        <v>7428</v>
      </c>
      <c r="K17" s="12" t="s">
        <v>6749</v>
      </c>
      <c r="L17" s="12" t="s">
        <v>6764</v>
      </c>
      <c r="M17" s="12" t="s">
        <v>6745</v>
      </c>
      <c r="AA17" t="s">
        <v>253</v>
      </c>
      <c r="AB17" s="97">
        <v>46233</v>
      </c>
      <c r="AC17" s="6" t="s">
        <v>7429</v>
      </c>
    </row>
    <row r="18" spans="1:29" ht="19.2" customHeight="1" x14ac:dyDescent="0.3">
      <c r="A18" s="98">
        <v>46218</v>
      </c>
      <c r="B18" s="23">
        <v>33</v>
      </c>
      <c r="C18" s="23"/>
      <c r="D18" s="23"/>
      <c r="E18" s="23">
        <v>4</v>
      </c>
      <c r="F18" s="23"/>
      <c r="G18" s="23"/>
      <c r="I18" s="7" t="s">
        <v>6740</v>
      </c>
      <c r="J18" s="39">
        <v>1135</v>
      </c>
      <c r="K18" s="39">
        <v>254</v>
      </c>
      <c r="L18" s="39">
        <f>J18-K18</f>
        <v>881</v>
      </c>
      <c r="M18" s="40">
        <f>K18/J18</f>
        <v>0.22378854625550662</v>
      </c>
      <c r="AA18" t="s">
        <v>293</v>
      </c>
      <c r="AB18" s="97">
        <v>46220</v>
      </c>
      <c r="AC18" s="6" t="s">
        <v>7429</v>
      </c>
    </row>
    <row r="19" spans="1:29" ht="19.2" customHeight="1" x14ac:dyDescent="0.3">
      <c r="A19" s="98">
        <v>46219</v>
      </c>
      <c r="B19" s="23">
        <v>33</v>
      </c>
      <c r="C19" s="23"/>
      <c r="D19" s="23"/>
      <c r="E19" s="23">
        <v>5</v>
      </c>
      <c r="F19" s="23"/>
      <c r="G19" s="23"/>
      <c r="I19" s="7" t="s">
        <v>7432</v>
      </c>
      <c r="J19" s="39">
        <v>374</v>
      </c>
      <c r="K19" s="39">
        <v>250</v>
      </c>
      <c r="L19" s="39">
        <f>J19-K19</f>
        <v>124</v>
      </c>
      <c r="M19" s="40">
        <f>K19/J19</f>
        <v>0.66844919786096257</v>
      </c>
      <c r="AA19" t="s">
        <v>297</v>
      </c>
      <c r="AB19" s="97">
        <v>46234</v>
      </c>
      <c r="AC19" s="6" t="s">
        <v>7429</v>
      </c>
    </row>
    <row r="20" spans="1:29" ht="19.2" customHeight="1" x14ac:dyDescent="0.3">
      <c r="A20" s="98">
        <v>46220</v>
      </c>
      <c r="B20" s="23">
        <v>33</v>
      </c>
      <c r="C20" s="23"/>
      <c r="D20" s="23"/>
      <c r="E20" s="23">
        <v>4</v>
      </c>
      <c r="F20" s="23"/>
      <c r="G20" s="23"/>
      <c r="I20" s="3"/>
      <c r="J20" s="3"/>
      <c r="K20" s="3"/>
      <c r="L20" s="3"/>
      <c r="M20" s="3"/>
      <c r="AA20" t="s">
        <v>321</v>
      </c>
      <c r="AB20" s="97">
        <v>46220</v>
      </c>
      <c r="AC20" s="6" t="s">
        <v>7429</v>
      </c>
    </row>
    <row r="21" spans="1:29" ht="19.2" customHeight="1" x14ac:dyDescent="0.3">
      <c r="A21" s="98">
        <v>46221</v>
      </c>
      <c r="B21" s="23">
        <v>33</v>
      </c>
      <c r="C21" s="23"/>
      <c r="D21" s="23"/>
      <c r="E21" s="23">
        <v>5</v>
      </c>
      <c r="F21" s="23"/>
      <c r="G21" s="23"/>
      <c r="I21" s="105" t="s">
        <v>7433</v>
      </c>
      <c r="J21" s="106"/>
      <c r="K21" s="106"/>
      <c r="L21" s="106"/>
      <c r="M21" s="106"/>
      <c r="AA21" t="s">
        <v>325</v>
      </c>
      <c r="AB21" s="97">
        <v>46233</v>
      </c>
      <c r="AC21" s="6" t="s">
        <v>7429</v>
      </c>
    </row>
    <row r="22" spans="1:29" ht="19.2" customHeight="1" x14ac:dyDescent="0.3">
      <c r="A22" s="98">
        <v>46222</v>
      </c>
      <c r="B22" s="23">
        <v>33</v>
      </c>
      <c r="C22" s="23"/>
      <c r="D22" s="23"/>
      <c r="E22" s="23">
        <v>4</v>
      </c>
      <c r="F22" s="23"/>
      <c r="G22" s="23"/>
      <c r="I22" s="12" t="s">
        <v>7427</v>
      </c>
      <c r="J22" s="12" t="s">
        <v>7428</v>
      </c>
      <c r="K22" s="12" t="s">
        <v>6749</v>
      </c>
      <c r="L22" s="12" t="s">
        <v>6764</v>
      </c>
      <c r="M22" s="12" t="s">
        <v>6745</v>
      </c>
      <c r="AA22" t="s">
        <v>349</v>
      </c>
      <c r="AB22" s="97">
        <v>46233</v>
      </c>
      <c r="AC22" s="6" t="s">
        <v>7429</v>
      </c>
    </row>
    <row r="23" spans="1:29" ht="19.2" customHeight="1" x14ac:dyDescent="0.3">
      <c r="A23" s="98">
        <v>46223</v>
      </c>
      <c r="B23" s="23">
        <v>33</v>
      </c>
      <c r="C23" s="23"/>
      <c r="D23" s="23"/>
      <c r="E23" s="23">
        <v>5</v>
      </c>
      <c r="F23" s="23"/>
      <c r="G23" s="23"/>
      <c r="I23" s="7" t="s">
        <v>6740</v>
      </c>
      <c r="J23" s="39">
        <v>113</v>
      </c>
      <c r="K23" s="39">
        <v>7</v>
      </c>
      <c r="L23" s="39">
        <f>J23-K23</f>
        <v>106</v>
      </c>
      <c r="M23" s="40">
        <f>K23/J23</f>
        <v>6.1946902654867256E-2</v>
      </c>
      <c r="AA23" t="s">
        <v>353</v>
      </c>
      <c r="AB23" s="97">
        <v>46233</v>
      </c>
      <c r="AC23" s="6" t="s">
        <v>7429</v>
      </c>
    </row>
    <row r="24" spans="1:29" ht="19.2" customHeight="1" x14ac:dyDescent="0.3">
      <c r="A24" s="98">
        <v>46224</v>
      </c>
      <c r="B24" s="23">
        <v>33</v>
      </c>
      <c r="C24" s="23"/>
      <c r="D24" s="23"/>
      <c r="E24" s="23">
        <v>4</v>
      </c>
      <c r="F24" s="23"/>
      <c r="G24" s="23"/>
      <c r="I24" s="7" t="s">
        <v>7432</v>
      </c>
      <c r="J24" s="39">
        <v>41</v>
      </c>
      <c r="K24" s="39">
        <v>27</v>
      </c>
      <c r="L24" s="39">
        <f>J24-K24</f>
        <v>14</v>
      </c>
      <c r="M24" s="40">
        <f>K24/J24</f>
        <v>0.65853658536585369</v>
      </c>
      <c r="AA24" t="s">
        <v>6611</v>
      </c>
      <c r="AB24" s="97">
        <v>46233</v>
      </c>
      <c r="AC24" s="6" t="s">
        <v>7429</v>
      </c>
    </row>
    <row r="25" spans="1:29" x14ac:dyDescent="0.3">
      <c r="A25" s="98">
        <v>46225</v>
      </c>
      <c r="B25" s="23">
        <v>33</v>
      </c>
      <c r="C25" s="23"/>
      <c r="D25" s="23"/>
      <c r="E25" s="23">
        <v>5</v>
      </c>
      <c r="F25" s="23"/>
      <c r="G25" s="23"/>
      <c r="AA25" t="s">
        <v>6613</v>
      </c>
      <c r="AB25" s="97">
        <v>46233</v>
      </c>
      <c r="AC25" s="6" t="s">
        <v>7429</v>
      </c>
    </row>
    <row r="26" spans="1:29" x14ac:dyDescent="0.3">
      <c r="A26" s="98">
        <v>46226</v>
      </c>
      <c r="B26" s="23">
        <v>33</v>
      </c>
      <c r="C26" s="23"/>
      <c r="D26" s="23"/>
      <c r="E26" s="23">
        <v>4</v>
      </c>
      <c r="F26" s="23"/>
      <c r="G26" s="23"/>
      <c r="AA26" t="s">
        <v>6615</v>
      </c>
      <c r="AB26" s="97">
        <v>46234</v>
      </c>
      <c r="AC26" s="6" t="s">
        <v>7429</v>
      </c>
    </row>
    <row r="27" spans="1:29" x14ac:dyDescent="0.3">
      <c r="A27" s="98">
        <v>46227</v>
      </c>
      <c r="B27" s="23">
        <v>33</v>
      </c>
      <c r="C27" s="23"/>
      <c r="D27" s="23"/>
      <c r="E27" s="23">
        <v>5</v>
      </c>
      <c r="F27" s="23"/>
      <c r="G27" s="23"/>
      <c r="AA27" t="s">
        <v>6617</v>
      </c>
      <c r="AB27" s="97">
        <v>46234</v>
      </c>
      <c r="AC27" s="6" t="s">
        <v>7429</v>
      </c>
    </row>
    <row r="28" spans="1:29" x14ac:dyDescent="0.3">
      <c r="A28" s="98">
        <v>46228</v>
      </c>
      <c r="B28" s="23">
        <v>33</v>
      </c>
      <c r="C28" s="23"/>
      <c r="D28" s="23"/>
      <c r="E28" s="23">
        <v>4</v>
      </c>
      <c r="F28" s="23"/>
      <c r="G28" s="23"/>
      <c r="AA28" t="s">
        <v>6639</v>
      </c>
      <c r="AB28" s="97">
        <v>46220</v>
      </c>
      <c r="AC28" s="6" t="s">
        <v>7429</v>
      </c>
    </row>
    <row r="29" spans="1:29" x14ac:dyDescent="0.3">
      <c r="A29" s="98">
        <v>46229</v>
      </c>
      <c r="B29" s="23">
        <v>33</v>
      </c>
      <c r="C29" s="23"/>
      <c r="D29" s="23"/>
      <c r="E29" s="23">
        <v>5</v>
      </c>
      <c r="F29" s="23"/>
      <c r="G29" s="23"/>
      <c r="AA29" t="s">
        <v>359</v>
      </c>
      <c r="AB29" s="97">
        <v>46220</v>
      </c>
      <c r="AC29" s="6" t="s">
        <v>7429</v>
      </c>
    </row>
    <row r="30" spans="1:29" x14ac:dyDescent="0.3">
      <c r="A30" s="98">
        <v>46230</v>
      </c>
      <c r="B30" s="23">
        <v>33</v>
      </c>
      <c r="C30" s="23"/>
      <c r="D30" s="23"/>
      <c r="E30" s="23">
        <v>5</v>
      </c>
      <c r="F30" s="23"/>
      <c r="G30" s="23"/>
      <c r="AA30" t="s">
        <v>363</v>
      </c>
      <c r="AB30" s="97">
        <v>46220</v>
      </c>
      <c r="AC30" s="6" t="s">
        <v>7429</v>
      </c>
    </row>
    <row r="31" spans="1:29" x14ac:dyDescent="0.3">
      <c r="A31" s="98">
        <v>46231</v>
      </c>
      <c r="B31" s="23">
        <v>33</v>
      </c>
      <c r="C31" s="23"/>
      <c r="D31" s="23"/>
      <c r="E31" s="23">
        <v>5</v>
      </c>
      <c r="F31" s="23"/>
      <c r="G31" s="23"/>
      <c r="AA31" t="s">
        <v>365</v>
      </c>
      <c r="AB31" s="97">
        <v>46220</v>
      </c>
      <c r="AC31" s="6" t="s">
        <v>7429</v>
      </c>
    </row>
    <row r="32" spans="1:29" x14ac:dyDescent="0.3">
      <c r="A32" s="98">
        <v>46232</v>
      </c>
      <c r="B32" s="23">
        <v>33</v>
      </c>
      <c r="C32" s="23"/>
      <c r="D32" s="23"/>
      <c r="E32" s="23">
        <v>5</v>
      </c>
      <c r="F32" s="23"/>
      <c r="G32" s="23"/>
      <c r="AA32" t="s">
        <v>368</v>
      </c>
      <c r="AB32" s="97">
        <v>46220</v>
      </c>
      <c r="AC32" s="6" t="s">
        <v>7429</v>
      </c>
    </row>
    <row r="33" spans="1:29" x14ac:dyDescent="0.3">
      <c r="A33" s="98">
        <v>46233</v>
      </c>
      <c r="B33" s="23">
        <v>33</v>
      </c>
      <c r="C33" s="23"/>
      <c r="D33" s="23"/>
      <c r="E33" s="23">
        <v>5</v>
      </c>
      <c r="F33" s="23"/>
      <c r="G33" s="23"/>
      <c r="AA33" t="s">
        <v>372</v>
      </c>
      <c r="AB33" s="97">
        <v>46220</v>
      </c>
      <c r="AC33" s="6" t="s">
        <v>7429</v>
      </c>
    </row>
    <row r="34" spans="1:29" x14ac:dyDescent="0.3">
      <c r="A34" s="98">
        <v>46234</v>
      </c>
      <c r="B34" s="23">
        <v>33</v>
      </c>
      <c r="C34" s="23"/>
      <c r="D34" s="23"/>
      <c r="E34" s="23">
        <v>5</v>
      </c>
      <c r="F34" s="23"/>
      <c r="G34" s="23"/>
      <c r="AA34" t="s">
        <v>374</v>
      </c>
      <c r="AB34" s="97">
        <v>46220</v>
      </c>
      <c r="AC34" s="6" t="s">
        <v>7429</v>
      </c>
    </row>
    <row r="35" spans="1:29" x14ac:dyDescent="0.3">
      <c r="A35" s="100" t="s">
        <v>9</v>
      </c>
      <c r="B35" s="101"/>
      <c r="C35" s="101"/>
      <c r="D35" s="101"/>
      <c r="E35" s="101"/>
      <c r="F35" s="101"/>
      <c r="G35" s="101"/>
      <c r="AA35" t="s">
        <v>376</v>
      </c>
      <c r="AB35" s="97">
        <v>46220</v>
      </c>
      <c r="AC35" s="6" t="s">
        <v>7429</v>
      </c>
    </row>
    <row r="36" spans="1:29" x14ac:dyDescent="0.3">
      <c r="A36" s="3"/>
      <c r="B36" s="3"/>
      <c r="C36" s="3"/>
      <c r="D36" s="3"/>
      <c r="E36" s="3"/>
      <c r="F36" s="3"/>
      <c r="G36" s="3"/>
      <c r="AA36" t="s">
        <v>379</v>
      </c>
      <c r="AB36" s="97">
        <v>46220</v>
      </c>
      <c r="AC36" s="6" t="s">
        <v>7429</v>
      </c>
    </row>
    <row r="37" spans="1:29" x14ac:dyDescent="0.3">
      <c r="AA37" t="s">
        <v>382</v>
      </c>
      <c r="AB37" s="97">
        <v>46233</v>
      </c>
      <c r="AC37" s="6" t="s">
        <v>7429</v>
      </c>
    </row>
    <row r="38" spans="1:29" x14ac:dyDescent="0.3">
      <c r="AA38" t="s">
        <v>400</v>
      </c>
      <c r="AB38" s="97">
        <v>46233</v>
      </c>
      <c r="AC38" s="6" t="s">
        <v>7429</v>
      </c>
    </row>
    <row r="39" spans="1:29" x14ac:dyDescent="0.3">
      <c r="AA39" t="s">
        <v>404</v>
      </c>
      <c r="AB39" s="97">
        <v>46233</v>
      </c>
      <c r="AC39" s="6" t="s">
        <v>7429</v>
      </c>
    </row>
    <row r="40" spans="1:29" ht="14.4" customHeight="1" x14ac:dyDescent="0.3">
      <c r="AA40" t="s">
        <v>428</v>
      </c>
      <c r="AB40" s="97">
        <v>46220</v>
      </c>
      <c r="AC40" s="6" t="s">
        <v>7429</v>
      </c>
    </row>
    <row r="41" spans="1:29" ht="14.4" customHeight="1" x14ac:dyDescent="0.3">
      <c r="AA41" t="s">
        <v>431</v>
      </c>
      <c r="AB41" s="97">
        <v>46233</v>
      </c>
      <c r="AC41" s="6" t="s">
        <v>7429</v>
      </c>
    </row>
    <row r="42" spans="1:29" x14ac:dyDescent="0.3">
      <c r="AA42" t="s">
        <v>449</v>
      </c>
      <c r="AB42" s="97">
        <v>46220</v>
      </c>
      <c r="AC42" s="6" t="s">
        <v>7429</v>
      </c>
    </row>
    <row r="43" spans="1:29" x14ac:dyDescent="0.3">
      <c r="AA43" t="s">
        <v>452</v>
      </c>
      <c r="AB43" s="97">
        <v>46220</v>
      </c>
      <c r="AC43" s="6" t="s">
        <v>7429</v>
      </c>
    </row>
    <row r="44" spans="1:29" x14ac:dyDescent="0.3">
      <c r="AA44" t="s">
        <v>454</v>
      </c>
      <c r="AB44" s="97">
        <v>46220</v>
      </c>
      <c r="AC44" s="6" t="s">
        <v>7429</v>
      </c>
    </row>
    <row r="45" spans="1:29" x14ac:dyDescent="0.3">
      <c r="AA45" t="s">
        <v>456</v>
      </c>
      <c r="AB45" s="97">
        <v>46220</v>
      </c>
      <c r="AC45" s="6" t="s">
        <v>7429</v>
      </c>
    </row>
    <row r="46" spans="1:29" x14ac:dyDescent="0.3">
      <c r="AA46" t="s">
        <v>458</v>
      </c>
      <c r="AB46" s="97">
        <v>46220</v>
      </c>
      <c r="AC46" s="6" t="s">
        <v>7429</v>
      </c>
    </row>
    <row r="47" spans="1:29" x14ac:dyDescent="0.3">
      <c r="AA47" t="s">
        <v>460</v>
      </c>
      <c r="AB47" s="97">
        <v>46220</v>
      </c>
      <c r="AC47" s="6" t="s">
        <v>7429</v>
      </c>
    </row>
    <row r="48" spans="1:29" x14ac:dyDescent="0.3">
      <c r="AA48" t="s">
        <v>462</v>
      </c>
      <c r="AB48" s="97">
        <v>46220</v>
      </c>
      <c r="AC48" s="6" t="s">
        <v>7429</v>
      </c>
    </row>
    <row r="49" spans="27:29" x14ac:dyDescent="0.3">
      <c r="AA49" t="s">
        <v>465</v>
      </c>
      <c r="AB49" s="97">
        <v>46220</v>
      </c>
      <c r="AC49" s="6" t="s">
        <v>7429</v>
      </c>
    </row>
    <row r="50" spans="27:29" x14ac:dyDescent="0.3">
      <c r="AA50" t="s">
        <v>467</v>
      </c>
      <c r="AB50" s="97">
        <v>46220</v>
      </c>
      <c r="AC50" s="6" t="s">
        <v>7429</v>
      </c>
    </row>
    <row r="51" spans="27:29" x14ac:dyDescent="0.3">
      <c r="AA51" t="s">
        <v>469</v>
      </c>
      <c r="AB51" s="97">
        <v>46220</v>
      </c>
      <c r="AC51" s="6" t="s">
        <v>7429</v>
      </c>
    </row>
    <row r="52" spans="27:29" x14ac:dyDescent="0.3">
      <c r="AA52" t="s">
        <v>471</v>
      </c>
      <c r="AB52" s="97">
        <v>46220</v>
      </c>
      <c r="AC52" s="6" t="s">
        <v>7429</v>
      </c>
    </row>
    <row r="53" spans="27:29" x14ac:dyDescent="0.3">
      <c r="AA53" t="s">
        <v>473</v>
      </c>
      <c r="AB53" s="97">
        <v>46220</v>
      </c>
      <c r="AC53" s="6" t="s">
        <v>7429</v>
      </c>
    </row>
    <row r="54" spans="27:29" x14ac:dyDescent="0.3">
      <c r="AA54" t="s">
        <v>475</v>
      </c>
      <c r="AB54" s="97">
        <v>46233</v>
      </c>
      <c r="AC54" s="6" t="s">
        <v>7429</v>
      </c>
    </row>
    <row r="55" spans="27:29" x14ac:dyDescent="0.3">
      <c r="AA55" t="s">
        <v>478</v>
      </c>
      <c r="AB55" s="97">
        <v>46233</v>
      </c>
      <c r="AC55" s="6" t="s">
        <v>7429</v>
      </c>
    </row>
    <row r="56" spans="27:29" x14ac:dyDescent="0.3">
      <c r="AA56" t="s">
        <v>480</v>
      </c>
      <c r="AB56" s="97">
        <v>46233</v>
      </c>
      <c r="AC56" s="6" t="s">
        <v>7429</v>
      </c>
    </row>
    <row r="57" spans="27:29" x14ac:dyDescent="0.3">
      <c r="AA57" t="s">
        <v>482</v>
      </c>
      <c r="AB57" s="97">
        <v>46233</v>
      </c>
      <c r="AC57" s="6" t="s">
        <v>7429</v>
      </c>
    </row>
    <row r="58" spans="27:29" x14ac:dyDescent="0.3">
      <c r="AA58" t="s">
        <v>484</v>
      </c>
      <c r="AB58" s="97">
        <v>46233</v>
      </c>
      <c r="AC58" s="6" t="s">
        <v>7429</v>
      </c>
    </row>
    <row r="59" spans="27:29" x14ac:dyDescent="0.3">
      <c r="AA59" t="s">
        <v>486</v>
      </c>
      <c r="AB59" s="97">
        <v>46233</v>
      </c>
      <c r="AC59" s="6" t="s">
        <v>7429</v>
      </c>
    </row>
    <row r="60" spans="27:29" x14ac:dyDescent="0.3">
      <c r="AA60" t="s">
        <v>488</v>
      </c>
      <c r="AB60" s="97">
        <v>46233</v>
      </c>
      <c r="AC60" s="6" t="s">
        <v>7429</v>
      </c>
    </row>
    <row r="61" spans="27:29" x14ac:dyDescent="0.3">
      <c r="AA61" t="s">
        <v>491</v>
      </c>
      <c r="AB61" s="97">
        <v>46233</v>
      </c>
      <c r="AC61" s="6" t="s">
        <v>7429</v>
      </c>
    </row>
    <row r="62" spans="27:29" x14ac:dyDescent="0.3">
      <c r="AA62" t="s">
        <v>493</v>
      </c>
      <c r="AB62" s="97">
        <v>46233</v>
      </c>
      <c r="AC62" s="6" t="s">
        <v>7429</v>
      </c>
    </row>
    <row r="63" spans="27:29" x14ac:dyDescent="0.3">
      <c r="AA63" t="s">
        <v>495</v>
      </c>
      <c r="AB63" s="97">
        <v>46233</v>
      </c>
      <c r="AC63" s="6" t="s">
        <v>7429</v>
      </c>
    </row>
    <row r="64" spans="27:29" x14ac:dyDescent="0.3">
      <c r="AA64" t="s">
        <v>497</v>
      </c>
      <c r="AB64" s="97">
        <v>46233</v>
      </c>
      <c r="AC64" s="6" t="s">
        <v>7429</v>
      </c>
    </row>
    <row r="65" spans="27:29" x14ac:dyDescent="0.3">
      <c r="AA65" t="s">
        <v>499</v>
      </c>
      <c r="AB65" s="97">
        <v>46233</v>
      </c>
      <c r="AC65" s="6" t="s">
        <v>7429</v>
      </c>
    </row>
    <row r="66" spans="27:29" x14ac:dyDescent="0.3">
      <c r="AA66" t="s">
        <v>631</v>
      </c>
      <c r="AB66" s="97">
        <v>46233</v>
      </c>
      <c r="AC66" s="6" t="s">
        <v>7429</v>
      </c>
    </row>
    <row r="67" spans="27:29" x14ac:dyDescent="0.3">
      <c r="AA67" t="s">
        <v>634</v>
      </c>
      <c r="AB67" s="97">
        <v>46233</v>
      </c>
      <c r="AC67" s="6" t="s">
        <v>7429</v>
      </c>
    </row>
    <row r="68" spans="27:29" x14ac:dyDescent="0.3">
      <c r="AA68" t="s">
        <v>637</v>
      </c>
      <c r="AB68" s="97">
        <v>46220</v>
      </c>
      <c r="AC68" s="6" t="s">
        <v>7429</v>
      </c>
    </row>
    <row r="69" spans="27:29" x14ac:dyDescent="0.3">
      <c r="AA69" t="s">
        <v>641</v>
      </c>
      <c r="AB69" s="97">
        <v>46220</v>
      </c>
      <c r="AC69" s="6" t="s">
        <v>7429</v>
      </c>
    </row>
    <row r="70" spans="27:29" x14ac:dyDescent="0.3">
      <c r="AA70" t="s">
        <v>643</v>
      </c>
      <c r="AB70" s="97">
        <v>46220</v>
      </c>
      <c r="AC70" s="6" t="s">
        <v>7429</v>
      </c>
    </row>
    <row r="71" spans="27:29" x14ac:dyDescent="0.3">
      <c r="AA71" t="s">
        <v>647</v>
      </c>
      <c r="AB71" s="97">
        <v>46220</v>
      </c>
      <c r="AC71" s="6" t="s">
        <v>7429</v>
      </c>
    </row>
    <row r="72" spans="27:29" x14ac:dyDescent="0.3">
      <c r="AA72" t="s">
        <v>679</v>
      </c>
      <c r="AB72" s="97">
        <v>46220</v>
      </c>
      <c r="AC72" s="6" t="s">
        <v>7429</v>
      </c>
    </row>
    <row r="73" spans="27:29" x14ac:dyDescent="0.3">
      <c r="AA73" t="s">
        <v>682</v>
      </c>
      <c r="AB73" s="97">
        <v>46220</v>
      </c>
      <c r="AC73" s="6" t="s">
        <v>7429</v>
      </c>
    </row>
    <row r="74" spans="27:29" x14ac:dyDescent="0.3">
      <c r="AA74" t="s">
        <v>700</v>
      </c>
      <c r="AB74" s="97">
        <v>46220</v>
      </c>
      <c r="AC74" s="6" t="s">
        <v>7429</v>
      </c>
    </row>
    <row r="75" spans="27:29" x14ac:dyDescent="0.3">
      <c r="AA75" t="s">
        <v>704</v>
      </c>
      <c r="AB75" s="97">
        <v>46220</v>
      </c>
      <c r="AC75" s="6" t="s">
        <v>7429</v>
      </c>
    </row>
    <row r="76" spans="27:29" x14ac:dyDescent="0.3">
      <c r="AA76" t="s">
        <v>706</v>
      </c>
      <c r="AB76" s="97">
        <v>46220</v>
      </c>
      <c r="AC76" s="6" t="s">
        <v>7429</v>
      </c>
    </row>
    <row r="77" spans="27:29" x14ac:dyDescent="0.3">
      <c r="AA77" t="s">
        <v>710</v>
      </c>
      <c r="AB77" s="97">
        <v>46220</v>
      </c>
      <c r="AC77" s="6" t="s">
        <v>7429</v>
      </c>
    </row>
    <row r="78" spans="27:29" x14ac:dyDescent="0.3">
      <c r="AA78" t="s">
        <v>742</v>
      </c>
      <c r="AB78" s="97">
        <v>46220</v>
      </c>
      <c r="AC78" s="6" t="s">
        <v>7429</v>
      </c>
    </row>
    <row r="79" spans="27:29" x14ac:dyDescent="0.3">
      <c r="AA79" t="s">
        <v>745</v>
      </c>
      <c r="AB79" s="97">
        <v>46233</v>
      </c>
      <c r="AC79" s="6" t="s">
        <v>7429</v>
      </c>
    </row>
    <row r="80" spans="27:29" x14ac:dyDescent="0.3">
      <c r="AA80" t="s">
        <v>763</v>
      </c>
      <c r="AB80" s="97">
        <v>46220</v>
      </c>
      <c r="AC80" s="6" t="s">
        <v>7429</v>
      </c>
    </row>
    <row r="81" spans="27:29" x14ac:dyDescent="0.3">
      <c r="AA81" t="s">
        <v>766</v>
      </c>
      <c r="AB81" s="97">
        <v>46220</v>
      </c>
      <c r="AC81" s="6" t="s">
        <v>7429</v>
      </c>
    </row>
    <row r="82" spans="27:29" x14ac:dyDescent="0.3">
      <c r="AA82" t="s">
        <v>768</v>
      </c>
      <c r="AB82" s="97">
        <v>46220</v>
      </c>
      <c r="AC82" s="6" t="s">
        <v>7429</v>
      </c>
    </row>
    <row r="83" spans="27:29" x14ac:dyDescent="0.3">
      <c r="AA83" t="s">
        <v>770</v>
      </c>
      <c r="AB83" s="97">
        <v>46233</v>
      </c>
      <c r="AC83" s="6" t="s">
        <v>7429</v>
      </c>
    </row>
    <row r="84" spans="27:29" x14ac:dyDescent="0.3">
      <c r="AA84" t="s">
        <v>773</v>
      </c>
      <c r="AB84" s="97">
        <v>46233</v>
      </c>
      <c r="AC84" s="6" t="s">
        <v>7429</v>
      </c>
    </row>
    <row r="85" spans="27:29" x14ac:dyDescent="0.3">
      <c r="AA85" t="s">
        <v>775</v>
      </c>
      <c r="AB85" s="97">
        <v>46233</v>
      </c>
      <c r="AC85" s="6" t="s">
        <v>7429</v>
      </c>
    </row>
    <row r="86" spans="27:29" x14ac:dyDescent="0.3">
      <c r="AA86" t="s">
        <v>812</v>
      </c>
      <c r="AB86" s="97">
        <v>46220</v>
      </c>
      <c r="AC86" s="6" t="s">
        <v>7429</v>
      </c>
    </row>
    <row r="87" spans="27:29" x14ac:dyDescent="0.3">
      <c r="AA87" t="s">
        <v>824</v>
      </c>
      <c r="AB87" s="97">
        <v>46220</v>
      </c>
      <c r="AC87" s="6" t="s">
        <v>7429</v>
      </c>
    </row>
    <row r="88" spans="27:29" x14ac:dyDescent="0.3">
      <c r="AA88" t="s">
        <v>827</v>
      </c>
      <c r="AB88" s="97">
        <v>46220</v>
      </c>
      <c r="AC88" s="6" t="s">
        <v>7429</v>
      </c>
    </row>
    <row r="89" spans="27:29" x14ac:dyDescent="0.3">
      <c r="AA89" t="s">
        <v>830</v>
      </c>
      <c r="AB89" s="97">
        <v>46220</v>
      </c>
      <c r="AC89" s="6" t="s">
        <v>7429</v>
      </c>
    </row>
    <row r="90" spans="27:29" x14ac:dyDescent="0.3">
      <c r="AA90" t="s">
        <v>833</v>
      </c>
      <c r="AB90" s="97">
        <v>46233</v>
      </c>
      <c r="AC90" s="6" t="s">
        <v>7429</v>
      </c>
    </row>
    <row r="91" spans="27:29" x14ac:dyDescent="0.3">
      <c r="AA91" t="s">
        <v>836</v>
      </c>
      <c r="AB91" s="97">
        <v>46233</v>
      </c>
      <c r="AC91" s="6" t="s">
        <v>7429</v>
      </c>
    </row>
    <row r="92" spans="27:29" x14ac:dyDescent="0.3">
      <c r="AA92" t="s">
        <v>839</v>
      </c>
      <c r="AB92" s="97">
        <v>46233</v>
      </c>
      <c r="AC92" s="6" t="s">
        <v>7429</v>
      </c>
    </row>
    <row r="93" spans="27:29" x14ac:dyDescent="0.3">
      <c r="AA93" t="s">
        <v>887</v>
      </c>
      <c r="AB93" s="97">
        <v>46220</v>
      </c>
      <c r="AC93" s="6" t="s">
        <v>7429</v>
      </c>
    </row>
    <row r="94" spans="27:29" x14ac:dyDescent="0.3">
      <c r="AA94" t="s">
        <v>891</v>
      </c>
      <c r="AB94" s="97">
        <v>46220</v>
      </c>
      <c r="AC94" s="6" t="s">
        <v>7429</v>
      </c>
    </row>
    <row r="95" spans="27:29" x14ac:dyDescent="0.3">
      <c r="AA95" t="s">
        <v>894</v>
      </c>
      <c r="AB95" s="97">
        <v>46233</v>
      </c>
      <c r="AC95" s="6" t="s">
        <v>7429</v>
      </c>
    </row>
    <row r="96" spans="27:29" x14ac:dyDescent="0.3">
      <c r="AA96" t="s">
        <v>898</v>
      </c>
      <c r="AB96" s="97">
        <v>46233</v>
      </c>
      <c r="AC96" s="6" t="s">
        <v>7429</v>
      </c>
    </row>
    <row r="97" spans="27:29" x14ac:dyDescent="0.3">
      <c r="AA97" t="s">
        <v>936</v>
      </c>
      <c r="AB97" s="97">
        <v>46233</v>
      </c>
      <c r="AC97" s="6" t="s">
        <v>7429</v>
      </c>
    </row>
    <row r="98" spans="27:29" x14ac:dyDescent="0.3">
      <c r="AA98" t="s">
        <v>939</v>
      </c>
      <c r="AB98" s="97">
        <v>46233</v>
      </c>
      <c r="AC98" s="6" t="s">
        <v>7429</v>
      </c>
    </row>
    <row r="99" spans="27:29" x14ac:dyDescent="0.3">
      <c r="AA99" t="s">
        <v>942</v>
      </c>
      <c r="AB99" s="97">
        <v>46220</v>
      </c>
      <c r="AC99" s="6" t="s">
        <v>7429</v>
      </c>
    </row>
    <row r="100" spans="27:29" x14ac:dyDescent="0.3">
      <c r="AA100" t="s">
        <v>944</v>
      </c>
      <c r="AB100" s="97">
        <v>46220</v>
      </c>
      <c r="AC100" s="6" t="s">
        <v>7429</v>
      </c>
    </row>
    <row r="101" spans="27:29" x14ac:dyDescent="0.3">
      <c r="AA101" t="s">
        <v>946</v>
      </c>
      <c r="AB101" s="97">
        <v>46220</v>
      </c>
      <c r="AC101" s="6" t="s">
        <v>7429</v>
      </c>
    </row>
    <row r="102" spans="27:29" x14ac:dyDescent="0.3">
      <c r="AA102" t="s">
        <v>948</v>
      </c>
      <c r="AB102" s="97">
        <v>46220</v>
      </c>
      <c r="AC102" s="6" t="s">
        <v>7429</v>
      </c>
    </row>
    <row r="103" spans="27:29" x14ac:dyDescent="0.3">
      <c r="AA103" t="s">
        <v>950</v>
      </c>
      <c r="AB103" s="97">
        <v>46220</v>
      </c>
      <c r="AC103" s="6" t="s">
        <v>7429</v>
      </c>
    </row>
    <row r="104" spans="27:29" x14ac:dyDescent="0.3">
      <c r="AA104" t="s">
        <v>953</v>
      </c>
      <c r="AB104" s="97">
        <v>46220</v>
      </c>
      <c r="AC104" s="6" t="s">
        <v>7429</v>
      </c>
    </row>
    <row r="105" spans="27:29" x14ac:dyDescent="0.3">
      <c r="AA105" t="s">
        <v>956</v>
      </c>
      <c r="AB105" s="97">
        <v>46233</v>
      </c>
      <c r="AC105" s="6" t="s">
        <v>7429</v>
      </c>
    </row>
    <row r="106" spans="27:29" x14ac:dyDescent="0.3">
      <c r="AA106" t="s">
        <v>958</v>
      </c>
      <c r="AB106" s="97">
        <v>46233</v>
      </c>
      <c r="AC106" s="6" t="s">
        <v>7429</v>
      </c>
    </row>
    <row r="107" spans="27:29" x14ac:dyDescent="0.3">
      <c r="AA107" t="s">
        <v>960</v>
      </c>
      <c r="AB107" s="97">
        <v>46233</v>
      </c>
      <c r="AC107" s="6" t="s">
        <v>7429</v>
      </c>
    </row>
    <row r="108" spans="27:29" x14ac:dyDescent="0.3">
      <c r="AA108" t="s">
        <v>962</v>
      </c>
      <c r="AB108" s="97">
        <v>46233</v>
      </c>
      <c r="AC108" s="6" t="s">
        <v>7429</v>
      </c>
    </row>
    <row r="109" spans="27:29" x14ac:dyDescent="0.3">
      <c r="AA109" t="s">
        <v>964</v>
      </c>
      <c r="AB109" s="97">
        <v>46233</v>
      </c>
      <c r="AC109" s="6" t="s">
        <v>7429</v>
      </c>
    </row>
    <row r="110" spans="27:29" x14ac:dyDescent="0.3">
      <c r="AA110" t="s">
        <v>967</v>
      </c>
      <c r="AB110" s="97">
        <v>46233</v>
      </c>
      <c r="AC110" s="6" t="s">
        <v>7429</v>
      </c>
    </row>
    <row r="111" spans="27:29" x14ac:dyDescent="0.3">
      <c r="AA111" t="s">
        <v>1040</v>
      </c>
      <c r="AB111" s="97">
        <v>46233</v>
      </c>
      <c r="AC111" s="6" t="s">
        <v>7429</v>
      </c>
    </row>
    <row r="112" spans="27:29" x14ac:dyDescent="0.3">
      <c r="AA112" t="s">
        <v>1043</v>
      </c>
      <c r="AB112" s="97">
        <v>46233</v>
      </c>
      <c r="AC112" s="6" t="s">
        <v>7429</v>
      </c>
    </row>
    <row r="113" spans="27:29" x14ac:dyDescent="0.3">
      <c r="AA113" t="s">
        <v>1046</v>
      </c>
      <c r="AB113" s="97">
        <v>46233</v>
      </c>
      <c r="AC113" s="6" t="s">
        <v>7429</v>
      </c>
    </row>
    <row r="114" spans="27:29" x14ac:dyDescent="0.3">
      <c r="AA114" t="s">
        <v>1048</v>
      </c>
      <c r="AB114" s="97">
        <v>46233</v>
      </c>
      <c r="AC114" s="6" t="s">
        <v>7429</v>
      </c>
    </row>
    <row r="115" spans="27:29" x14ac:dyDescent="0.3">
      <c r="AA115" t="s">
        <v>1050</v>
      </c>
      <c r="AB115" s="97">
        <v>46233</v>
      </c>
      <c r="AC115" s="6" t="s">
        <v>7429</v>
      </c>
    </row>
    <row r="116" spans="27:29" x14ac:dyDescent="0.3">
      <c r="AA116" t="s">
        <v>1052</v>
      </c>
      <c r="AB116" s="97">
        <v>46233</v>
      </c>
      <c r="AC116" s="6" t="s">
        <v>7429</v>
      </c>
    </row>
    <row r="117" spans="27:29" x14ac:dyDescent="0.3">
      <c r="AA117" t="s">
        <v>1054</v>
      </c>
      <c r="AB117" s="97">
        <v>46233</v>
      </c>
      <c r="AC117" s="6" t="s">
        <v>7429</v>
      </c>
    </row>
    <row r="118" spans="27:29" x14ac:dyDescent="0.3">
      <c r="AA118" t="s">
        <v>1056</v>
      </c>
      <c r="AB118" s="97">
        <v>46233</v>
      </c>
      <c r="AC118" s="6" t="s">
        <v>7429</v>
      </c>
    </row>
    <row r="119" spans="27:29" x14ac:dyDescent="0.3">
      <c r="AA119" t="s">
        <v>1058</v>
      </c>
      <c r="AB119" s="97">
        <v>46233</v>
      </c>
      <c r="AC119" s="6" t="s">
        <v>7429</v>
      </c>
    </row>
    <row r="120" spans="27:29" x14ac:dyDescent="0.3">
      <c r="AA120" t="s">
        <v>1060</v>
      </c>
      <c r="AB120" s="97">
        <v>46233</v>
      </c>
      <c r="AC120" s="6" t="s">
        <v>7429</v>
      </c>
    </row>
    <row r="121" spans="27:29" x14ac:dyDescent="0.3">
      <c r="AA121" t="s">
        <v>1062</v>
      </c>
      <c r="AB121" s="97">
        <v>46233</v>
      </c>
      <c r="AC121" s="6" t="s">
        <v>7429</v>
      </c>
    </row>
    <row r="122" spans="27:29" x14ac:dyDescent="0.3">
      <c r="AA122" t="s">
        <v>1065</v>
      </c>
      <c r="AB122" s="97">
        <v>46233</v>
      </c>
      <c r="AC122" s="6" t="s">
        <v>7429</v>
      </c>
    </row>
    <row r="123" spans="27:29" x14ac:dyDescent="0.3">
      <c r="AA123" t="s">
        <v>1083</v>
      </c>
      <c r="AB123" s="97">
        <v>46220</v>
      </c>
      <c r="AC123" s="6" t="s">
        <v>7429</v>
      </c>
    </row>
    <row r="124" spans="27:29" x14ac:dyDescent="0.3">
      <c r="AA124" t="s">
        <v>1085</v>
      </c>
      <c r="AB124" s="97">
        <v>46220</v>
      </c>
      <c r="AC124" s="6" t="s">
        <v>7429</v>
      </c>
    </row>
    <row r="125" spans="27:29" x14ac:dyDescent="0.3">
      <c r="AA125" t="s">
        <v>1088</v>
      </c>
      <c r="AB125" s="97">
        <v>46220</v>
      </c>
      <c r="AC125" s="6" t="s">
        <v>7429</v>
      </c>
    </row>
    <row r="126" spans="27:29" x14ac:dyDescent="0.3">
      <c r="AA126" t="s">
        <v>1091</v>
      </c>
      <c r="AB126" s="97">
        <v>46234</v>
      </c>
      <c r="AC126" s="6" t="s">
        <v>7429</v>
      </c>
    </row>
    <row r="127" spans="27:29" x14ac:dyDescent="0.3">
      <c r="AA127" t="s">
        <v>1093</v>
      </c>
      <c r="AB127" s="97">
        <v>46234</v>
      </c>
      <c r="AC127" s="6" t="s">
        <v>7429</v>
      </c>
    </row>
    <row r="128" spans="27:29" x14ac:dyDescent="0.3">
      <c r="AA128" t="s">
        <v>1096</v>
      </c>
      <c r="AB128" s="97">
        <v>46234</v>
      </c>
      <c r="AC128" s="6" t="s">
        <v>7429</v>
      </c>
    </row>
    <row r="129" spans="27:29" x14ac:dyDescent="0.3">
      <c r="AA129" t="s">
        <v>1139</v>
      </c>
      <c r="AB129" s="97">
        <v>46233</v>
      </c>
      <c r="AC129" s="6" t="s">
        <v>7429</v>
      </c>
    </row>
    <row r="130" spans="27:29" x14ac:dyDescent="0.3">
      <c r="AA130" t="s">
        <v>1142</v>
      </c>
      <c r="AB130" s="97">
        <v>46233</v>
      </c>
      <c r="AC130" s="6" t="s">
        <v>7429</v>
      </c>
    </row>
    <row r="131" spans="27:29" x14ac:dyDescent="0.3">
      <c r="AA131" t="s">
        <v>1145</v>
      </c>
      <c r="AB131" s="97">
        <v>46233</v>
      </c>
      <c r="AC131" s="6" t="s">
        <v>7429</v>
      </c>
    </row>
    <row r="132" spans="27:29" x14ac:dyDescent="0.3">
      <c r="AA132" t="s">
        <v>1148</v>
      </c>
      <c r="AB132" s="97">
        <v>46233</v>
      </c>
      <c r="AC132" s="6" t="s">
        <v>7429</v>
      </c>
    </row>
    <row r="133" spans="27:29" x14ac:dyDescent="0.3">
      <c r="AA133" t="s">
        <v>1151</v>
      </c>
      <c r="AB133" s="97">
        <v>46233</v>
      </c>
      <c r="AC133" s="6" t="s">
        <v>7429</v>
      </c>
    </row>
    <row r="134" spans="27:29" x14ac:dyDescent="0.3">
      <c r="AA134" t="s">
        <v>1154</v>
      </c>
      <c r="AB134" s="97">
        <v>46233</v>
      </c>
      <c r="AC134" s="6" t="s">
        <v>7429</v>
      </c>
    </row>
    <row r="135" spans="27:29" x14ac:dyDescent="0.3">
      <c r="AA135" t="s">
        <v>1157</v>
      </c>
      <c r="AB135" s="97">
        <v>46220</v>
      </c>
      <c r="AC135" s="6" t="s">
        <v>7429</v>
      </c>
    </row>
    <row r="136" spans="27:29" x14ac:dyDescent="0.3">
      <c r="AA136" t="s">
        <v>1160</v>
      </c>
      <c r="AB136" s="97">
        <v>46220</v>
      </c>
      <c r="AC136" s="6" t="s">
        <v>7429</v>
      </c>
    </row>
    <row r="137" spans="27:29" x14ac:dyDescent="0.3">
      <c r="AA137" t="s">
        <v>1169</v>
      </c>
      <c r="AB137" s="97">
        <v>46234</v>
      </c>
      <c r="AC137" s="6" t="s">
        <v>7429</v>
      </c>
    </row>
    <row r="138" spans="27:29" x14ac:dyDescent="0.3">
      <c r="AA138" t="s">
        <v>1172</v>
      </c>
      <c r="AB138" s="97">
        <v>46234</v>
      </c>
      <c r="AC138" s="6" t="s">
        <v>7429</v>
      </c>
    </row>
    <row r="139" spans="27:29" x14ac:dyDescent="0.3">
      <c r="AA139" t="s">
        <v>1175</v>
      </c>
      <c r="AB139" s="97">
        <v>46233</v>
      </c>
      <c r="AC139" s="6" t="s">
        <v>7429</v>
      </c>
    </row>
    <row r="140" spans="27:29" x14ac:dyDescent="0.3">
      <c r="AA140" t="s">
        <v>1178</v>
      </c>
      <c r="AB140" s="97">
        <v>46233</v>
      </c>
      <c r="AC140" s="6" t="s">
        <v>7429</v>
      </c>
    </row>
    <row r="141" spans="27:29" x14ac:dyDescent="0.3">
      <c r="AA141" t="s">
        <v>1181</v>
      </c>
      <c r="AB141" s="97">
        <v>46234</v>
      </c>
      <c r="AC141" s="6" t="s">
        <v>7429</v>
      </c>
    </row>
    <row r="142" spans="27:29" x14ac:dyDescent="0.3">
      <c r="AA142" t="s">
        <v>1184</v>
      </c>
      <c r="AB142" s="97">
        <v>46234</v>
      </c>
      <c r="AC142" s="6" t="s">
        <v>7429</v>
      </c>
    </row>
    <row r="143" spans="27:29" x14ac:dyDescent="0.3">
      <c r="AA143" t="s">
        <v>1187</v>
      </c>
      <c r="AB143" s="97">
        <v>46220</v>
      </c>
      <c r="AC143" s="6" t="s">
        <v>7429</v>
      </c>
    </row>
    <row r="144" spans="27:29" x14ac:dyDescent="0.3">
      <c r="AA144" t="s">
        <v>1191</v>
      </c>
      <c r="AB144" s="97">
        <v>46220</v>
      </c>
      <c r="AC144" s="6" t="s">
        <v>7429</v>
      </c>
    </row>
    <row r="145" spans="27:29" x14ac:dyDescent="0.3">
      <c r="AA145" t="s">
        <v>1215</v>
      </c>
      <c r="AB145" s="97">
        <v>46220</v>
      </c>
      <c r="AC145" s="6" t="s">
        <v>7429</v>
      </c>
    </row>
    <row r="146" spans="27:29" x14ac:dyDescent="0.3">
      <c r="AA146" t="s">
        <v>1218</v>
      </c>
      <c r="AB146" s="97">
        <v>46233</v>
      </c>
      <c r="AC146" s="6" t="s">
        <v>7429</v>
      </c>
    </row>
    <row r="147" spans="27:29" x14ac:dyDescent="0.3">
      <c r="AA147" t="s">
        <v>1236</v>
      </c>
      <c r="AB147" s="97">
        <v>46234</v>
      </c>
      <c r="AC147" s="6" t="s">
        <v>7430</v>
      </c>
    </row>
    <row r="148" spans="27:29" x14ac:dyDescent="0.3">
      <c r="AA148" t="s">
        <v>1240</v>
      </c>
      <c r="AB148" s="97">
        <v>46234</v>
      </c>
      <c r="AC148" s="6" t="s">
        <v>7430</v>
      </c>
    </row>
    <row r="149" spans="27:29" x14ac:dyDescent="0.3">
      <c r="AA149" t="s">
        <v>1243</v>
      </c>
      <c r="AB149" s="97">
        <v>46234</v>
      </c>
      <c r="AC149" s="6" t="s">
        <v>7430</v>
      </c>
    </row>
    <row r="150" spans="27:29" x14ac:dyDescent="0.3">
      <c r="AA150" t="s">
        <v>1246</v>
      </c>
      <c r="AB150" s="97">
        <v>46224</v>
      </c>
      <c r="AC150" s="6" t="s">
        <v>7429</v>
      </c>
    </row>
    <row r="151" spans="27:29" x14ac:dyDescent="0.3">
      <c r="AA151" t="s">
        <v>1250</v>
      </c>
      <c r="AB151" s="97">
        <v>46224</v>
      </c>
      <c r="AC151" s="6" t="s">
        <v>7429</v>
      </c>
    </row>
    <row r="152" spans="27:29" x14ac:dyDescent="0.3">
      <c r="AA152" t="s">
        <v>1253</v>
      </c>
      <c r="AB152" s="97">
        <v>46224</v>
      </c>
      <c r="AC152" s="6" t="s">
        <v>7429</v>
      </c>
    </row>
    <row r="153" spans="27:29" x14ac:dyDescent="0.3">
      <c r="AA153" t="s">
        <v>1256</v>
      </c>
      <c r="AB153" s="97">
        <v>46234</v>
      </c>
      <c r="AC153" s="6" t="s">
        <v>7430</v>
      </c>
    </row>
    <row r="154" spans="27:29" x14ac:dyDescent="0.3">
      <c r="AA154" t="s">
        <v>1260</v>
      </c>
      <c r="AB154" s="97">
        <v>46224</v>
      </c>
      <c r="AC154" s="6" t="s">
        <v>7429</v>
      </c>
    </row>
    <row r="155" spans="27:29" x14ac:dyDescent="0.3">
      <c r="AA155" t="s">
        <v>1264</v>
      </c>
      <c r="AB155" s="97">
        <v>46234</v>
      </c>
      <c r="AC155" s="6" t="s">
        <v>7430</v>
      </c>
    </row>
    <row r="156" spans="27:29" x14ac:dyDescent="0.3">
      <c r="AA156" t="s">
        <v>1267</v>
      </c>
      <c r="AB156" s="97">
        <v>46224</v>
      </c>
      <c r="AC156" s="6" t="s">
        <v>7429</v>
      </c>
    </row>
    <row r="157" spans="27:29" x14ac:dyDescent="0.3">
      <c r="AA157" t="s">
        <v>1270</v>
      </c>
      <c r="AB157" s="97">
        <v>46234</v>
      </c>
      <c r="AC157" s="6" t="s">
        <v>7430</v>
      </c>
    </row>
    <row r="158" spans="27:29" x14ac:dyDescent="0.3">
      <c r="AA158" t="s">
        <v>1273</v>
      </c>
      <c r="AB158" s="97">
        <v>46234</v>
      </c>
      <c r="AC158" s="6" t="s">
        <v>7430</v>
      </c>
    </row>
    <row r="159" spans="27:29" x14ac:dyDescent="0.3">
      <c r="AA159" t="s">
        <v>1276</v>
      </c>
      <c r="AB159" s="97">
        <v>46233</v>
      </c>
      <c r="AC159" s="6" t="s">
        <v>7429</v>
      </c>
    </row>
    <row r="160" spans="27:29" x14ac:dyDescent="0.3">
      <c r="AA160" t="s">
        <v>1280</v>
      </c>
      <c r="AB160" s="97">
        <v>46234</v>
      </c>
      <c r="AC160" s="6" t="s">
        <v>7429</v>
      </c>
    </row>
    <row r="161" spans="27:29" x14ac:dyDescent="0.3">
      <c r="AA161" t="s">
        <v>1304</v>
      </c>
      <c r="AB161" s="97">
        <v>46233</v>
      </c>
      <c r="AC161" s="6" t="s">
        <v>7429</v>
      </c>
    </row>
    <row r="162" spans="27:29" x14ac:dyDescent="0.3">
      <c r="AA162" t="s">
        <v>1307</v>
      </c>
      <c r="AB162" s="97">
        <v>46234</v>
      </c>
      <c r="AC162" s="6" t="s">
        <v>7429</v>
      </c>
    </row>
    <row r="163" spans="27:29" x14ac:dyDescent="0.3">
      <c r="AA163" t="s">
        <v>1325</v>
      </c>
      <c r="AB163" s="97">
        <v>46233</v>
      </c>
      <c r="AC163" s="6" t="s">
        <v>7429</v>
      </c>
    </row>
    <row r="164" spans="27:29" x14ac:dyDescent="0.3">
      <c r="AA164" t="s">
        <v>1328</v>
      </c>
      <c r="AB164" s="97">
        <v>46234</v>
      </c>
      <c r="AC164" s="6" t="s">
        <v>7429</v>
      </c>
    </row>
    <row r="165" spans="27:29" x14ac:dyDescent="0.3">
      <c r="AA165" t="s">
        <v>1346</v>
      </c>
      <c r="AB165" s="97">
        <v>46233</v>
      </c>
      <c r="AC165" s="6" t="s">
        <v>7429</v>
      </c>
    </row>
    <row r="166" spans="27:29" x14ac:dyDescent="0.3">
      <c r="AA166" t="s">
        <v>1349</v>
      </c>
      <c r="AB166" s="97">
        <v>46233</v>
      </c>
      <c r="AC166" s="6" t="s">
        <v>7429</v>
      </c>
    </row>
    <row r="167" spans="27:29" x14ac:dyDescent="0.3">
      <c r="AA167" t="s">
        <v>1351</v>
      </c>
      <c r="AB167" s="97">
        <v>46233</v>
      </c>
      <c r="AC167" s="6" t="s">
        <v>7429</v>
      </c>
    </row>
    <row r="168" spans="27:29" x14ac:dyDescent="0.3">
      <c r="AA168" t="s">
        <v>1353</v>
      </c>
      <c r="AB168" s="97">
        <v>46233</v>
      </c>
      <c r="AC168" s="6" t="s">
        <v>7429</v>
      </c>
    </row>
    <row r="169" spans="27:29" x14ac:dyDescent="0.3">
      <c r="AA169" t="s">
        <v>1355</v>
      </c>
      <c r="AB169" s="97">
        <v>46233</v>
      </c>
      <c r="AC169" s="6" t="s">
        <v>7429</v>
      </c>
    </row>
    <row r="170" spans="27:29" x14ac:dyDescent="0.3">
      <c r="AA170" t="s">
        <v>1357</v>
      </c>
      <c r="AB170" s="97">
        <v>46233</v>
      </c>
      <c r="AC170" s="6" t="s">
        <v>7429</v>
      </c>
    </row>
    <row r="171" spans="27:29" x14ac:dyDescent="0.3">
      <c r="AA171" t="s">
        <v>1359</v>
      </c>
      <c r="AB171" s="97">
        <v>46233</v>
      </c>
      <c r="AC171" s="6" t="s">
        <v>7429</v>
      </c>
    </row>
    <row r="172" spans="27:29" x14ac:dyDescent="0.3">
      <c r="AA172" t="s">
        <v>1361</v>
      </c>
      <c r="AB172" s="97">
        <v>46233</v>
      </c>
      <c r="AC172" s="6" t="s">
        <v>7429</v>
      </c>
    </row>
    <row r="173" spans="27:29" x14ac:dyDescent="0.3">
      <c r="AA173" t="s">
        <v>1363</v>
      </c>
      <c r="AB173" s="97">
        <v>46233</v>
      </c>
      <c r="AC173" s="6" t="s">
        <v>7429</v>
      </c>
    </row>
    <row r="174" spans="27:29" x14ac:dyDescent="0.3">
      <c r="AA174" t="s">
        <v>1365</v>
      </c>
      <c r="AB174" s="97">
        <v>46233</v>
      </c>
      <c r="AC174" s="6" t="s">
        <v>7429</v>
      </c>
    </row>
    <row r="175" spans="27:29" x14ac:dyDescent="0.3">
      <c r="AA175" t="s">
        <v>1367</v>
      </c>
      <c r="AB175" s="97">
        <v>46233</v>
      </c>
      <c r="AC175" s="6" t="s">
        <v>7429</v>
      </c>
    </row>
    <row r="176" spans="27:29" x14ac:dyDescent="0.3">
      <c r="AA176" t="s">
        <v>1369</v>
      </c>
      <c r="AB176" s="97">
        <v>46234</v>
      </c>
      <c r="AC176" s="6" t="s">
        <v>7429</v>
      </c>
    </row>
    <row r="177" spans="27:29" x14ac:dyDescent="0.3">
      <c r="AA177" t="s">
        <v>1372</v>
      </c>
      <c r="AB177" s="97">
        <v>46234</v>
      </c>
      <c r="AC177" s="6" t="s">
        <v>7429</v>
      </c>
    </row>
    <row r="178" spans="27:29" x14ac:dyDescent="0.3">
      <c r="AA178" t="s">
        <v>1374</v>
      </c>
      <c r="AB178" s="97">
        <v>46234</v>
      </c>
      <c r="AC178" s="6" t="s">
        <v>7429</v>
      </c>
    </row>
    <row r="179" spans="27:29" x14ac:dyDescent="0.3">
      <c r="AA179" t="s">
        <v>1376</v>
      </c>
      <c r="AB179" s="97">
        <v>46234</v>
      </c>
      <c r="AC179" s="6" t="s">
        <v>7429</v>
      </c>
    </row>
    <row r="180" spans="27:29" x14ac:dyDescent="0.3">
      <c r="AA180" t="s">
        <v>1378</v>
      </c>
      <c r="AB180" s="97">
        <v>46234</v>
      </c>
      <c r="AC180" s="6" t="s">
        <v>7429</v>
      </c>
    </row>
    <row r="181" spans="27:29" x14ac:dyDescent="0.3">
      <c r="AA181" t="s">
        <v>1380</v>
      </c>
      <c r="AB181" s="97">
        <v>46234</v>
      </c>
      <c r="AC181" s="6" t="s">
        <v>7429</v>
      </c>
    </row>
    <row r="182" spans="27:29" x14ac:dyDescent="0.3">
      <c r="AA182" t="s">
        <v>1382</v>
      </c>
      <c r="AB182" s="97">
        <v>46234</v>
      </c>
      <c r="AC182" s="6" t="s">
        <v>7429</v>
      </c>
    </row>
    <row r="183" spans="27:29" x14ac:dyDescent="0.3">
      <c r="AA183" t="s">
        <v>1384</v>
      </c>
      <c r="AB183" s="97">
        <v>46234</v>
      </c>
      <c r="AC183" s="6" t="s">
        <v>7429</v>
      </c>
    </row>
    <row r="184" spans="27:29" x14ac:dyDescent="0.3">
      <c r="AA184" t="s">
        <v>1386</v>
      </c>
      <c r="AB184" s="97">
        <v>46234</v>
      </c>
      <c r="AC184" s="6" t="s">
        <v>7429</v>
      </c>
    </row>
    <row r="185" spans="27:29" x14ac:dyDescent="0.3">
      <c r="AA185" t="s">
        <v>1388</v>
      </c>
      <c r="AB185" s="97">
        <v>46234</v>
      </c>
      <c r="AC185" s="6" t="s">
        <v>7429</v>
      </c>
    </row>
    <row r="186" spans="27:29" x14ac:dyDescent="0.3">
      <c r="AA186" t="s">
        <v>1390</v>
      </c>
      <c r="AB186" s="97">
        <v>46234</v>
      </c>
      <c r="AC186" s="6" t="s">
        <v>7429</v>
      </c>
    </row>
    <row r="187" spans="27:29" x14ac:dyDescent="0.3">
      <c r="AA187" t="s">
        <v>1507</v>
      </c>
      <c r="AB187" s="97">
        <v>46233</v>
      </c>
      <c r="AC187" s="6" t="s">
        <v>7429</v>
      </c>
    </row>
    <row r="188" spans="27:29" x14ac:dyDescent="0.3">
      <c r="AA188" t="s">
        <v>1510</v>
      </c>
      <c r="AB188" s="97">
        <v>46234</v>
      </c>
      <c r="AC188" s="6" t="s">
        <v>7429</v>
      </c>
    </row>
    <row r="189" spans="27:29" x14ac:dyDescent="0.3">
      <c r="AA189" t="s">
        <v>1528</v>
      </c>
      <c r="AB189" s="97">
        <v>46233</v>
      </c>
      <c r="AC189" s="6" t="s">
        <v>7429</v>
      </c>
    </row>
    <row r="190" spans="27:29" x14ac:dyDescent="0.3">
      <c r="AA190" t="s">
        <v>1531</v>
      </c>
      <c r="AB190" s="97">
        <v>46234</v>
      </c>
      <c r="AC190" s="6" t="s">
        <v>7429</v>
      </c>
    </row>
    <row r="191" spans="27:29" x14ac:dyDescent="0.3">
      <c r="AA191" t="s">
        <v>1549</v>
      </c>
      <c r="AB191" s="97">
        <v>46234</v>
      </c>
      <c r="AC191" s="6" t="s">
        <v>7430</v>
      </c>
    </row>
    <row r="192" spans="27:29" x14ac:dyDescent="0.3">
      <c r="AA192" t="s">
        <v>1552</v>
      </c>
      <c r="AB192" s="97">
        <v>46234</v>
      </c>
      <c r="AC192" s="6" t="s">
        <v>7430</v>
      </c>
    </row>
    <row r="193" spans="27:29" x14ac:dyDescent="0.3">
      <c r="AA193" t="s">
        <v>1554</v>
      </c>
      <c r="AB193" s="97">
        <v>46234</v>
      </c>
      <c r="AC193" s="6" t="s">
        <v>7430</v>
      </c>
    </row>
    <row r="194" spans="27:29" x14ac:dyDescent="0.3">
      <c r="AA194" t="s">
        <v>1556</v>
      </c>
      <c r="AB194" s="97">
        <v>46234</v>
      </c>
      <c r="AC194" s="6" t="s">
        <v>7430</v>
      </c>
    </row>
    <row r="195" spans="27:29" x14ac:dyDescent="0.3">
      <c r="AA195" t="s">
        <v>1559</v>
      </c>
      <c r="AB195" s="97">
        <v>46234</v>
      </c>
      <c r="AC195" s="6" t="s">
        <v>7430</v>
      </c>
    </row>
    <row r="196" spans="27:29" x14ac:dyDescent="0.3">
      <c r="AA196" t="s">
        <v>1561</v>
      </c>
      <c r="AB196" s="97">
        <v>46234</v>
      </c>
      <c r="AC196" s="6" t="s">
        <v>7430</v>
      </c>
    </row>
    <row r="197" spans="27:29" x14ac:dyDescent="0.3">
      <c r="AA197" t="s">
        <v>1563</v>
      </c>
      <c r="AB197" s="97">
        <v>46234</v>
      </c>
      <c r="AC197" s="6" t="s">
        <v>7430</v>
      </c>
    </row>
    <row r="198" spans="27:29" x14ac:dyDescent="0.3">
      <c r="AA198" t="s">
        <v>1565</v>
      </c>
      <c r="AB198" s="97">
        <v>46234</v>
      </c>
      <c r="AC198" s="6" t="s">
        <v>7430</v>
      </c>
    </row>
    <row r="199" spans="27:29" x14ac:dyDescent="0.3">
      <c r="AA199" t="s">
        <v>1568</v>
      </c>
      <c r="AB199" s="97">
        <v>46224</v>
      </c>
      <c r="AC199" s="6" t="s">
        <v>7429</v>
      </c>
    </row>
    <row r="200" spans="27:29" x14ac:dyDescent="0.3">
      <c r="AA200" t="s">
        <v>1571</v>
      </c>
      <c r="AB200" s="97">
        <v>46224</v>
      </c>
      <c r="AC200" s="6" t="s">
        <v>7429</v>
      </c>
    </row>
    <row r="201" spans="27:29" x14ac:dyDescent="0.3">
      <c r="AA201" t="s">
        <v>1573</v>
      </c>
      <c r="AB201" s="97">
        <v>46224</v>
      </c>
      <c r="AC201" s="6" t="s">
        <v>7429</v>
      </c>
    </row>
    <row r="202" spans="27:29" x14ac:dyDescent="0.3">
      <c r="AA202" t="s">
        <v>1575</v>
      </c>
      <c r="AB202" s="97">
        <v>46224</v>
      </c>
      <c r="AC202" s="6" t="s">
        <v>7429</v>
      </c>
    </row>
    <row r="203" spans="27:29" x14ac:dyDescent="0.3">
      <c r="AA203" t="s">
        <v>1580</v>
      </c>
      <c r="AB203" s="97">
        <v>46220</v>
      </c>
      <c r="AC203" s="6" t="s">
        <v>7429</v>
      </c>
    </row>
    <row r="204" spans="27:29" x14ac:dyDescent="0.3">
      <c r="AA204" t="s">
        <v>1582</v>
      </c>
      <c r="AB204" s="97">
        <v>46220</v>
      </c>
      <c r="AC204" s="6" t="s">
        <v>7429</v>
      </c>
    </row>
    <row r="205" spans="27:29" x14ac:dyDescent="0.3">
      <c r="AA205" t="s">
        <v>1584</v>
      </c>
      <c r="AB205" s="97">
        <v>46220</v>
      </c>
      <c r="AC205" s="6" t="s">
        <v>7429</v>
      </c>
    </row>
    <row r="206" spans="27:29" x14ac:dyDescent="0.3">
      <c r="AA206" t="s">
        <v>1586</v>
      </c>
      <c r="AB206" s="97">
        <v>46233</v>
      </c>
      <c r="AC206" s="6" t="s">
        <v>7429</v>
      </c>
    </row>
    <row r="207" spans="27:29" x14ac:dyDescent="0.3">
      <c r="AA207" t="s">
        <v>1588</v>
      </c>
      <c r="AB207" s="97">
        <v>46233</v>
      </c>
      <c r="AC207" s="6" t="s">
        <v>7429</v>
      </c>
    </row>
    <row r="208" spans="27:29" x14ac:dyDescent="0.3">
      <c r="AA208" t="s">
        <v>1590</v>
      </c>
      <c r="AB208" s="97">
        <v>46233</v>
      </c>
      <c r="AC208" s="6" t="s">
        <v>7429</v>
      </c>
    </row>
    <row r="209" spans="27:29" x14ac:dyDescent="0.3">
      <c r="AA209" t="s">
        <v>1622</v>
      </c>
      <c r="AB209" s="97">
        <v>46220</v>
      </c>
      <c r="AC209" s="6" t="s">
        <v>7429</v>
      </c>
    </row>
    <row r="210" spans="27:29" x14ac:dyDescent="0.3">
      <c r="AA210" t="s">
        <v>1625</v>
      </c>
      <c r="AB210" s="97">
        <v>46220</v>
      </c>
      <c r="AC210" s="6" t="s">
        <v>7429</v>
      </c>
    </row>
    <row r="211" spans="27:29" x14ac:dyDescent="0.3">
      <c r="AA211" t="s">
        <v>1627</v>
      </c>
      <c r="AB211" s="97">
        <v>46220</v>
      </c>
      <c r="AC211" s="6" t="s">
        <v>7429</v>
      </c>
    </row>
    <row r="212" spans="27:29" x14ac:dyDescent="0.3">
      <c r="AA212" t="s">
        <v>1630</v>
      </c>
      <c r="AB212" s="97">
        <v>46220</v>
      </c>
      <c r="AC212" s="6" t="s">
        <v>7429</v>
      </c>
    </row>
    <row r="213" spans="27:29" x14ac:dyDescent="0.3">
      <c r="AA213" t="s">
        <v>1636</v>
      </c>
      <c r="AB213" s="97">
        <v>46220</v>
      </c>
      <c r="AC213" s="6" t="s">
        <v>7429</v>
      </c>
    </row>
    <row r="214" spans="27:29" x14ac:dyDescent="0.3">
      <c r="AA214" t="s">
        <v>1639</v>
      </c>
      <c r="AB214" s="97">
        <v>46220</v>
      </c>
      <c r="AC214" s="6" t="s">
        <v>7429</v>
      </c>
    </row>
    <row r="215" spans="27:29" x14ac:dyDescent="0.3">
      <c r="AA215" t="s">
        <v>1642</v>
      </c>
      <c r="AB215" s="97">
        <v>46233</v>
      </c>
      <c r="AC215" s="6" t="s">
        <v>7429</v>
      </c>
    </row>
    <row r="216" spans="27:29" x14ac:dyDescent="0.3">
      <c r="AA216" t="s">
        <v>1645</v>
      </c>
      <c r="AB216" s="97">
        <v>46233</v>
      </c>
      <c r="AC216" s="6" t="s">
        <v>7429</v>
      </c>
    </row>
    <row r="217" spans="27:29" x14ac:dyDescent="0.3">
      <c r="AA217" t="s">
        <v>1647</v>
      </c>
      <c r="AB217" s="97">
        <v>46233</v>
      </c>
      <c r="AC217" s="6" t="s">
        <v>7429</v>
      </c>
    </row>
    <row r="218" spans="27:29" x14ac:dyDescent="0.3">
      <c r="AA218" t="s">
        <v>1650</v>
      </c>
      <c r="AB218" s="97">
        <v>46233</v>
      </c>
      <c r="AC218" s="6" t="s">
        <v>7429</v>
      </c>
    </row>
    <row r="219" spans="27:29" x14ac:dyDescent="0.3">
      <c r="AA219" t="s">
        <v>1656</v>
      </c>
      <c r="AB219" s="97">
        <v>46233</v>
      </c>
      <c r="AC219" s="6" t="s">
        <v>7429</v>
      </c>
    </row>
    <row r="220" spans="27:29" x14ac:dyDescent="0.3">
      <c r="AA220" t="s">
        <v>1659</v>
      </c>
      <c r="AB220" s="97">
        <v>46233</v>
      </c>
      <c r="AC220" s="6" t="s">
        <v>7429</v>
      </c>
    </row>
    <row r="221" spans="27:29" x14ac:dyDescent="0.3">
      <c r="AA221" t="s">
        <v>1769</v>
      </c>
      <c r="AB221" s="97">
        <v>46220</v>
      </c>
      <c r="AC221" s="6" t="s">
        <v>7429</v>
      </c>
    </row>
    <row r="222" spans="27:29" x14ac:dyDescent="0.3">
      <c r="AA222" t="s">
        <v>1772</v>
      </c>
      <c r="AB222" s="97">
        <v>46233</v>
      </c>
      <c r="AC222" s="6" t="s">
        <v>7429</v>
      </c>
    </row>
    <row r="223" spans="27:29" x14ac:dyDescent="0.3">
      <c r="AA223" t="s">
        <v>7075</v>
      </c>
      <c r="AB223" s="97">
        <v>46223</v>
      </c>
      <c r="AC223" s="6" t="s">
        <v>7429</v>
      </c>
    </row>
    <row r="224" spans="27:29" x14ac:dyDescent="0.3">
      <c r="AA224" t="s">
        <v>7078</v>
      </c>
      <c r="AB224" s="97">
        <v>46223</v>
      </c>
      <c r="AC224" s="6" t="s">
        <v>7429</v>
      </c>
    </row>
    <row r="225" spans="27:29" x14ac:dyDescent="0.3">
      <c r="AA225" t="s">
        <v>7081</v>
      </c>
      <c r="AB225" s="97">
        <v>46223</v>
      </c>
      <c r="AC225" s="6" t="s">
        <v>7429</v>
      </c>
    </row>
    <row r="226" spans="27:29" x14ac:dyDescent="0.3">
      <c r="AA226" t="s">
        <v>7084</v>
      </c>
      <c r="AB226" s="97">
        <v>46194</v>
      </c>
      <c r="AC226" s="6" t="s">
        <v>7429</v>
      </c>
    </row>
    <row r="227" spans="27:29" x14ac:dyDescent="0.3">
      <c r="AA227" t="s">
        <v>1791</v>
      </c>
      <c r="AB227" s="97">
        <v>46220</v>
      </c>
      <c r="AC227" s="6" t="s">
        <v>7429</v>
      </c>
    </row>
    <row r="228" spans="27:29" x14ac:dyDescent="0.3">
      <c r="AA228" t="s">
        <v>1796</v>
      </c>
      <c r="AB228" s="97">
        <v>46233</v>
      </c>
      <c r="AC228" s="6" t="s">
        <v>7429</v>
      </c>
    </row>
    <row r="229" spans="27:29" x14ac:dyDescent="0.3">
      <c r="AA229" t="s">
        <v>1814</v>
      </c>
      <c r="AB229" s="97">
        <v>46233</v>
      </c>
      <c r="AC229" s="6" t="s">
        <v>7429</v>
      </c>
    </row>
    <row r="230" spans="27:29" x14ac:dyDescent="0.3">
      <c r="AA230" t="s">
        <v>1817</v>
      </c>
      <c r="AB230" s="97">
        <v>46220</v>
      </c>
      <c r="AC230" s="6" t="s">
        <v>7429</v>
      </c>
    </row>
    <row r="231" spans="27:29" x14ac:dyDescent="0.3">
      <c r="AA231" t="s">
        <v>1820</v>
      </c>
      <c r="AB231" s="97">
        <v>46233</v>
      </c>
      <c r="AC231" s="6" t="s">
        <v>7429</v>
      </c>
    </row>
    <row r="232" spans="27:29" x14ac:dyDescent="0.3">
      <c r="AA232" t="s">
        <v>1838</v>
      </c>
      <c r="AB232" s="97">
        <v>46233</v>
      </c>
      <c r="AC232" s="6" t="s">
        <v>7429</v>
      </c>
    </row>
    <row r="233" spans="27:29" x14ac:dyDescent="0.3">
      <c r="AA233" t="s">
        <v>1841</v>
      </c>
      <c r="AB233" s="97">
        <v>46220</v>
      </c>
      <c r="AC233" s="6" t="s">
        <v>7429</v>
      </c>
    </row>
    <row r="234" spans="27:29" x14ac:dyDescent="0.3">
      <c r="AA234" t="s">
        <v>1844</v>
      </c>
      <c r="AB234" s="97">
        <v>46233</v>
      </c>
      <c r="AC234" s="6" t="s">
        <v>7429</v>
      </c>
    </row>
    <row r="235" spans="27:29" x14ac:dyDescent="0.3">
      <c r="AA235" t="s">
        <v>1856</v>
      </c>
      <c r="AB235" s="97">
        <v>46220</v>
      </c>
      <c r="AC235" s="6" t="s">
        <v>7429</v>
      </c>
    </row>
    <row r="236" spans="27:29" x14ac:dyDescent="0.3">
      <c r="AA236" t="s">
        <v>1859</v>
      </c>
      <c r="AB236" s="97">
        <v>46234</v>
      </c>
      <c r="AC236" s="6" t="s">
        <v>7429</v>
      </c>
    </row>
    <row r="237" spans="27:29" x14ac:dyDescent="0.3">
      <c r="AA237" t="s">
        <v>1877</v>
      </c>
      <c r="AB237" s="97">
        <v>46234</v>
      </c>
      <c r="AC237" s="6" t="s">
        <v>7430</v>
      </c>
    </row>
    <row r="238" spans="27:29" x14ac:dyDescent="0.3">
      <c r="AA238" t="s">
        <v>1880</v>
      </c>
      <c r="AB238" s="97">
        <v>46224</v>
      </c>
      <c r="AC238" s="6" t="s">
        <v>7429</v>
      </c>
    </row>
    <row r="239" spans="27:29" x14ac:dyDescent="0.3">
      <c r="AA239" t="s">
        <v>1885</v>
      </c>
      <c r="AB239" s="97">
        <v>46220</v>
      </c>
      <c r="AC239" s="6" t="s">
        <v>7429</v>
      </c>
    </row>
    <row r="240" spans="27:29" x14ac:dyDescent="0.3">
      <c r="AA240" t="s">
        <v>1889</v>
      </c>
      <c r="AB240" s="97">
        <v>46233</v>
      </c>
      <c r="AC240" s="6" t="s">
        <v>7429</v>
      </c>
    </row>
    <row r="241" spans="27:29" x14ac:dyDescent="0.3">
      <c r="AA241" t="s">
        <v>1913</v>
      </c>
      <c r="AB241" s="97">
        <v>46220</v>
      </c>
      <c r="AC241" s="6" t="s">
        <v>7429</v>
      </c>
    </row>
    <row r="242" spans="27:29" x14ac:dyDescent="0.3">
      <c r="AA242" t="s">
        <v>1917</v>
      </c>
      <c r="AB242" s="97">
        <v>46233</v>
      </c>
      <c r="AC242" s="6" t="s">
        <v>7429</v>
      </c>
    </row>
    <row r="243" spans="27:29" x14ac:dyDescent="0.3">
      <c r="AA243" t="s">
        <v>1921</v>
      </c>
      <c r="AB243" s="97">
        <v>46233</v>
      </c>
      <c r="AC243" s="6" t="s">
        <v>7429</v>
      </c>
    </row>
    <row r="244" spans="27:29" x14ac:dyDescent="0.3">
      <c r="AA244" t="s">
        <v>1933</v>
      </c>
      <c r="AB244" s="97">
        <v>46220</v>
      </c>
      <c r="AC244" s="6" t="s">
        <v>7429</v>
      </c>
    </row>
    <row r="245" spans="27:29" x14ac:dyDescent="0.3">
      <c r="AA245" t="s">
        <v>1937</v>
      </c>
      <c r="AB245" s="97">
        <v>46220</v>
      </c>
      <c r="AC245" s="6" t="s">
        <v>7429</v>
      </c>
    </row>
    <row r="246" spans="27:29" x14ac:dyDescent="0.3">
      <c r="AA246" t="s">
        <v>1947</v>
      </c>
      <c r="AB246" s="97">
        <v>46220</v>
      </c>
      <c r="AC246" s="6" t="s">
        <v>7429</v>
      </c>
    </row>
    <row r="247" spans="27:29" x14ac:dyDescent="0.3">
      <c r="AA247" t="s">
        <v>1951</v>
      </c>
      <c r="AB247" s="97">
        <v>46220</v>
      </c>
      <c r="AC247" s="6" t="s">
        <v>7429</v>
      </c>
    </row>
    <row r="248" spans="27:29" x14ac:dyDescent="0.3">
      <c r="AA248" t="s">
        <v>1963</v>
      </c>
      <c r="AB248" s="97">
        <v>46234</v>
      </c>
      <c r="AC248" s="6" t="s">
        <v>7430</v>
      </c>
    </row>
    <row r="249" spans="27:29" x14ac:dyDescent="0.3">
      <c r="AA249" t="s">
        <v>1968</v>
      </c>
      <c r="AB249" s="97">
        <v>46234</v>
      </c>
      <c r="AC249" s="6" t="s">
        <v>7430</v>
      </c>
    </row>
    <row r="250" spans="27:29" x14ac:dyDescent="0.3">
      <c r="AA250" t="s">
        <v>1971</v>
      </c>
      <c r="AB250" s="97">
        <v>46220</v>
      </c>
      <c r="AC250" s="6" t="s">
        <v>7429</v>
      </c>
    </row>
    <row r="251" spans="27:29" x14ac:dyDescent="0.3">
      <c r="AA251" t="s">
        <v>1975</v>
      </c>
      <c r="AB251" s="97">
        <v>46220</v>
      </c>
      <c r="AC251" s="6" t="s">
        <v>7429</v>
      </c>
    </row>
    <row r="252" spans="27:29" x14ac:dyDescent="0.3">
      <c r="AA252" t="s">
        <v>1977</v>
      </c>
      <c r="AB252" s="97">
        <v>46220</v>
      </c>
      <c r="AC252" s="6" t="s">
        <v>7429</v>
      </c>
    </row>
    <row r="253" spans="27:29" x14ac:dyDescent="0.3">
      <c r="AA253" t="s">
        <v>1980</v>
      </c>
      <c r="AB253" s="97">
        <v>46233</v>
      </c>
      <c r="AC253" s="6" t="s">
        <v>7429</v>
      </c>
    </row>
    <row r="254" spans="27:29" x14ac:dyDescent="0.3">
      <c r="AA254" t="s">
        <v>1992</v>
      </c>
      <c r="AB254" s="97">
        <v>46220</v>
      </c>
      <c r="AC254" s="6" t="s">
        <v>7429</v>
      </c>
    </row>
    <row r="255" spans="27:29" x14ac:dyDescent="0.3">
      <c r="AA255" t="s">
        <v>1994</v>
      </c>
      <c r="AB255" s="97">
        <v>46233</v>
      </c>
      <c r="AC255" s="6" t="s">
        <v>7429</v>
      </c>
    </row>
    <row r="256" spans="27:29" x14ac:dyDescent="0.3">
      <c r="AA256" t="s">
        <v>2006</v>
      </c>
      <c r="AB256" s="97">
        <v>46220</v>
      </c>
      <c r="AC256" s="6" t="s">
        <v>7429</v>
      </c>
    </row>
    <row r="257" spans="27:29" x14ac:dyDescent="0.3">
      <c r="AA257" t="s">
        <v>2008</v>
      </c>
      <c r="AB257" s="97">
        <v>46220</v>
      </c>
      <c r="AC257" s="6" t="s">
        <v>7429</v>
      </c>
    </row>
    <row r="258" spans="27:29" x14ac:dyDescent="0.3">
      <c r="AA258" t="s">
        <v>2030</v>
      </c>
      <c r="AB258" s="97">
        <v>46220</v>
      </c>
      <c r="AC258" s="6" t="s">
        <v>7429</v>
      </c>
    </row>
    <row r="259" spans="27:29" x14ac:dyDescent="0.3">
      <c r="AA259" t="s">
        <v>2033</v>
      </c>
      <c r="AB259" s="97">
        <v>46220</v>
      </c>
      <c r="AC259" s="6" t="s">
        <v>7429</v>
      </c>
    </row>
    <row r="260" spans="27:29" x14ac:dyDescent="0.3">
      <c r="AA260" t="s">
        <v>2045</v>
      </c>
      <c r="AB260" s="97">
        <v>46233</v>
      </c>
      <c r="AC260" s="6" t="s">
        <v>7429</v>
      </c>
    </row>
    <row r="261" spans="27:29" x14ac:dyDescent="0.3">
      <c r="AA261" t="s">
        <v>2048</v>
      </c>
      <c r="AB261" s="97">
        <v>46234</v>
      </c>
      <c r="AC261" s="6" t="s">
        <v>7429</v>
      </c>
    </row>
    <row r="262" spans="27:29" x14ac:dyDescent="0.3">
      <c r="AA262" t="s">
        <v>2061</v>
      </c>
      <c r="AB262" s="97">
        <v>46220</v>
      </c>
      <c r="AC262" s="6" t="s">
        <v>7429</v>
      </c>
    </row>
    <row r="263" spans="27:29" x14ac:dyDescent="0.3">
      <c r="AA263" t="s">
        <v>2065</v>
      </c>
      <c r="AB263" s="97">
        <v>46220</v>
      </c>
      <c r="AC263" s="6" t="s">
        <v>7429</v>
      </c>
    </row>
    <row r="264" spans="27:29" x14ac:dyDescent="0.3">
      <c r="AA264" t="s">
        <v>2077</v>
      </c>
      <c r="AB264" s="97">
        <v>46220</v>
      </c>
      <c r="AC264" s="6" t="s">
        <v>7429</v>
      </c>
    </row>
    <row r="265" spans="27:29" x14ac:dyDescent="0.3">
      <c r="AA265" t="s">
        <v>2080</v>
      </c>
      <c r="AB265" s="97">
        <v>46220</v>
      </c>
      <c r="AC265" s="6" t="s">
        <v>7429</v>
      </c>
    </row>
    <row r="266" spans="27:29" x14ac:dyDescent="0.3">
      <c r="AA266" t="s">
        <v>2092</v>
      </c>
      <c r="AB266" s="97">
        <v>46220</v>
      </c>
      <c r="AC266" s="6" t="s">
        <v>7429</v>
      </c>
    </row>
    <row r="267" spans="27:29" x14ac:dyDescent="0.3">
      <c r="AA267" t="s">
        <v>2096</v>
      </c>
      <c r="AB267" s="97">
        <v>46220</v>
      </c>
      <c r="AC267" s="6" t="s">
        <v>7429</v>
      </c>
    </row>
    <row r="268" spans="27:29" x14ac:dyDescent="0.3">
      <c r="AA268" t="s">
        <v>2099</v>
      </c>
      <c r="AB268" s="97">
        <v>46233</v>
      </c>
      <c r="AC268" s="6" t="s">
        <v>7429</v>
      </c>
    </row>
    <row r="269" spans="27:29" x14ac:dyDescent="0.3">
      <c r="AA269" t="s">
        <v>2113</v>
      </c>
      <c r="AB269" s="97">
        <v>46233</v>
      </c>
      <c r="AC269" s="6" t="s">
        <v>7429</v>
      </c>
    </row>
    <row r="270" spans="27:29" x14ac:dyDescent="0.3">
      <c r="AA270" t="s">
        <v>2116</v>
      </c>
      <c r="AB270" s="97">
        <v>46234</v>
      </c>
      <c r="AC270" s="6" t="s">
        <v>7429</v>
      </c>
    </row>
    <row r="271" spans="27:29" x14ac:dyDescent="0.3">
      <c r="AA271" t="s">
        <v>2129</v>
      </c>
      <c r="AB271" s="97">
        <v>46234</v>
      </c>
      <c r="AC271" s="6" t="s">
        <v>7430</v>
      </c>
    </row>
    <row r="272" spans="27:29" x14ac:dyDescent="0.3">
      <c r="AA272" t="s">
        <v>2133</v>
      </c>
      <c r="AB272" s="97">
        <v>46224</v>
      </c>
      <c r="AC272" s="6" t="s">
        <v>7429</v>
      </c>
    </row>
    <row r="273" spans="27:29" x14ac:dyDescent="0.3">
      <c r="AA273" t="s">
        <v>2137</v>
      </c>
      <c r="AB273" s="97">
        <v>46220</v>
      </c>
      <c r="AC273" s="6" t="s">
        <v>7429</v>
      </c>
    </row>
    <row r="274" spans="27:29" x14ac:dyDescent="0.3">
      <c r="AA274" t="s">
        <v>2140</v>
      </c>
      <c r="AB274" s="97">
        <v>46220</v>
      </c>
      <c r="AC274" s="6" t="s">
        <v>7429</v>
      </c>
    </row>
    <row r="275" spans="27:29" x14ac:dyDescent="0.3">
      <c r="AA275" t="s">
        <v>6775</v>
      </c>
      <c r="AB275" s="97">
        <v>46220</v>
      </c>
      <c r="AC275" s="6" t="s">
        <v>7429</v>
      </c>
    </row>
    <row r="276" spans="27:29" x14ac:dyDescent="0.3">
      <c r="AA276" t="s">
        <v>6778</v>
      </c>
      <c r="AB276" s="97">
        <v>46233</v>
      </c>
      <c r="AC276" s="6" t="s">
        <v>7429</v>
      </c>
    </row>
    <row r="277" spans="27:29" x14ac:dyDescent="0.3">
      <c r="AA277" t="s">
        <v>6796</v>
      </c>
      <c r="AB277" s="97">
        <v>46233</v>
      </c>
      <c r="AC277" s="6" t="s">
        <v>7429</v>
      </c>
    </row>
    <row r="278" spans="27:29" x14ac:dyDescent="0.3">
      <c r="AA278" t="s">
        <v>6798</v>
      </c>
      <c r="AB278" s="97">
        <v>46220</v>
      </c>
      <c r="AC278" s="6" t="s">
        <v>7429</v>
      </c>
    </row>
    <row r="279" spans="27:29" x14ac:dyDescent="0.3">
      <c r="AA279" t="s">
        <v>6801</v>
      </c>
      <c r="AB279" s="97">
        <v>46220</v>
      </c>
      <c r="AC279" s="6" t="s">
        <v>7429</v>
      </c>
    </row>
    <row r="280" spans="27:29" x14ac:dyDescent="0.3">
      <c r="AA280" t="s">
        <v>6803</v>
      </c>
      <c r="AB280" s="97">
        <v>46220</v>
      </c>
      <c r="AC280" s="6" t="s">
        <v>7429</v>
      </c>
    </row>
    <row r="281" spans="27:29" x14ac:dyDescent="0.3">
      <c r="AA281" t="s">
        <v>6805</v>
      </c>
      <c r="AB281" s="97">
        <v>46233</v>
      </c>
      <c r="AC281" s="6" t="s">
        <v>7429</v>
      </c>
    </row>
    <row r="282" spans="27:29" x14ac:dyDescent="0.3">
      <c r="AA282" t="s">
        <v>6808</v>
      </c>
      <c r="AB282" s="97">
        <v>46233</v>
      </c>
      <c r="AC282" s="6" t="s">
        <v>7429</v>
      </c>
    </row>
    <row r="283" spans="27:29" x14ac:dyDescent="0.3">
      <c r="AA283" t="s">
        <v>6810</v>
      </c>
      <c r="AB283" s="97">
        <v>46233</v>
      </c>
      <c r="AC283" s="6" t="s">
        <v>7429</v>
      </c>
    </row>
    <row r="284" spans="27:29" x14ac:dyDescent="0.3">
      <c r="AA284" t="s">
        <v>6847</v>
      </c>
      <c r="AB284" s="97">
        <v>46220</v>
      </c>
      <c r="AC284" s="6" t="s">
        <v>7429</v>
      </c>
    </row>
    <row r="285" spans="27:29" x14ac:dyDescent="0.3">
      <c r="AA285" t="s">
        <v>6850</v>
      </c>
      <c r="AB285" s="97">
        <v>46220</v>
      </c>
      <c r="AC285" s="6" t="s">
        <v>7429</v>
      </c>
    </row>
    <row r="286" spans="27:29" x14ac:dyDescent="0.3">
      <c r="AA286" t="s">
        <v>6852</v>
      </c>
      <c r="AB286" s="97">
        <v>46233</v>
      </c>
      <c r="AC286" s="6" t="s">
        <v>7429</v>
      </c>
    </row>
    <row r="287" spans="27:29" x14ac:dyDescent="0.3">
      <c r="AA287" t="s">
        <v>6855</v>
      </c>
      <c r="AB287" s="97">
        <v>46233</v>
      </c>
      <c r="AC287" s="6" t="s">
        <v>7429</v>
      </c>
    </row>
    <row r="288" spans="27:29" x14ac:dyDescent="0.3">
      <c r="AA288" t="s">
        <v>6882</v>
      </c>
      <c r="AB288" s="97">
        <v>46233</v>
      </c>
      <c r="AC288" s="6" t="s">
        <v>7429</v>
      </c>
    </row>
    <row r="289" spans="27:29" x14ac:dyDescent="0.3">
      <c r="AA289" t="s">
        <v>6885</v>
      </c>
      <c r="AB289" s="97">
        <v>46233</v>
      </c>
      <c r="AC289" s="6" t="s">
        <v>7429</v>
      </c>
    </row>
    <row r="290" spans="27:29" x14ac:dyDescent="0.3">
      <c r="AA290" t="s">
        <v>6887</v>
      </c>
      <c r="AB290" s="97">
        <v>46233</v>
      </c>
      <c r="AC290" s="6" t="s">
        <v>7429</v>
      </c>
    </row>
    <row r="291" spans="27:29" x14ac:dyDescent="0.3">
      <c r="AA291" t="s">
        <v>6889</v>
      </c>
      <c r="AB291" s="97">
        <v>46233</v>
      </c>
      <c r="AC291" s="6" t="s">
        <v>7429</v>
      </c>
    </row>
    <row r="292" spans="27:29" x14ac:dyDescent="0.3">
      <c r="AA292" t="s">
        <v>6891</v>
      </c>
      <c r="AB292" s="97">
        <v>46233</v>
      </c>
      <c r="AC292" s="6" t="s">
        <v>7429</v>
      </c>
    </row>
    <row r="293" spans="27:29" x14ac:dyDescent="0.3">
      <c r="AA293" t="s">
        <v>6894</v>
      </c>
      <c r="AB293" s="97">
        <v>46234</v>
      </c>
      <c r="AC293" s="6" t="s">
        <v>7429</v>
      </c>
    </row>
    <row r="294" spans="27:29" x14ac:dyDescent="0.3">
      <c r="AA294" t="s">
        <v>6912</v>
      </c>
      <c r="AB294" s="97">
        <v>46233</v>
      </c>
      <c r="AC294" s="6" t="s">
        <v>7429</v>
      </c>
    </row>
    <row r="295" spans="27:29" x14ac:dyDescent="0.3">
      <c r="AA295" t="s">
        <v>6914</v>
      </c>
      <c r="AB295" s="97">
        <v>46234</v>
      </c>
      <c r="AC295" s="6" t="s">
        <v>7429</v>
      </c>
    </row>
    <row r="296" spans="27:29" x14ac:dyDescent="0.3">
      <c r="AA296" t="s">
        <v>2200</v>
      </c>
      <c r="AB296" s="97">
        <v>46220</v>
      </c>
      <c r="AC296" s="6" t="s">
        <v>7429</v>
      </c>
    </row>
    <row r="297" spans="27:29" x14ac:dyDescent="0.3">
      <c r="AA297" t="s">
        <v>2203</v>
      </c>
      <c r="AB297" s="97">
        <v>46220</v>
      </c>
      <c r="AC297" s="6" t="s">
        <v>7429</v>
      </c>
    </row>
    <row r="298" spans="27:29" x14ac:dyDescent="0.3">
      <c r="AA298" t="s">
        <v>2206</v>
      </c>
      <c r="AB298" s="97">
        <v>46233</v>
      </c>
      <c r="AC298" s="6" t="s">
        <v>7429</v>
      </c>
    </row>
    <row r="299" spans="27:29" x14ac:dyDescent="0.3">
      <c r="AA299" t="s">
        <v>2209</v>
      </c>
      <c r="AB299" s="97">
        <v>46233</v>
      </c>
      <c r="AC299" s="6" t="s">
        <v>7429</v>
      </c>
    </row>
    <row r="300" spans="27:29" x14ac:dyDescent="0.3">
      <c r="AA300" t="s">
        <v>2227</v>
      </c>
      <c r="AB300" s="97">
        <v>46220</v>
      </c>
      <c r="AC300" s="6" t="s">
        <v>7429</v>
      </c>
    </row>
    <row r="301" spans="27:29" x14ac:dyDescent="0.3">
      <c r="AA301" t="s">
        <v>2230</v>
      </c>
      <c r="AB301" s="97">
        <v>46220</v>
      </c>
      <c r="AC301" s="6" t="s">
        <v>7429</v>
      </c>
    </row>
    <row r="302" spans="27:29" x14ac:dyDescent="0.3">
      <c r="AA302" t="s">
        <v>2232</v>
      </c>
      <c r="AB302" s="97">
        <v>46233</v>
      </c>
      <c r="AC302" s="6" t="s">
        <v>7429</v>
      </c>
    </row>
    <row r="303" spans="27:29" x14ac:dyDescent="0.3">
      <c r="AA303" t="s">
        <v>2235</v>
      </c>
      <c r="AB303" s="97">
        <v>46233</v>
      </c>
      <c r="AC303" s="6" t="s">
        <v>7429</v>
      </c>
    </row>
    <row r="304" spans="27:29" x14ac:dyDescent="0.3">
      <c r="AA304" t="s">
        <v>2262</v>
      </c>
      <c r="AB304" s="97">
        <v>46233</v>
      </c>
      <c r="AC304" s="6" t="s">
        <v>7429</v>
      </c>
    </row>
    <row r="305" spans="27:29" x14ac:dyDescent="0.3">
      <c r="AA305" t="s">
        <v>2265</v>
      </c>
      <c r="AB305" s="97">
        <v>46233</v>
      </c>
      <c r="AC305" s="6" t="s">
        <v>7429</v>
      </c>
    </row>
    <row r="306" spans="27:29" x14ac:dyDescent="0.3">
      <c r="AA306" t="s">
        <v>2267</v>
      </c>
      <c r="AB306" s="97">
        <v>46233</v>
      </c>
      <c r="AC306" s="6" t="s">
        <v>7429</v>
      </c>
    </row>
    <row r="307" spans="27:29" x14ac:dyDescent="0.3">
      <c r="AA307" t="s">
        <v>2269</v>
      </c>
      <c r="AB307" s="97">
        <v>46233</v>
      </c>
      <c r="AC307" s="6" t="s">
        <v>7429</v>
      </c>
    </row>
    <row r="308" spans="27:29" x14ac:dyDescent="0.3">
      <c r="AA308" t="s">
        <v>2271</v>
      </c>
      <c r="AB308" s="97">
        <v>46233</v>
      </c>
      <c r="AC308" s="6" t="s">
        <v>7429</v>
      </c>
    </row>
    <row r="309" spans="27:29" x14ac:dyDescent="0.3">
      <c r="AA309" t="s">
        <v>2274</v>
      </c>
      <c r="AB309" s="97">
        <v>46233</v>
      </c>
      <c r="AC309" s="6" t="s">
        <v>7429</v>
      </c>
    </row>
    <row r="310" spans="27:29" x14ac:dyDescent="0.3">
      <c r="AA310" t="s">
        <v>2276</v>
      </c>
      <c r="AB310" s="97">
        <v>46220</v>
      </c>
      <c r="AC310" s="6" t="s">
        <v>7429</v>
      </c>
    </row>
    <row r="311" spans="27:29" x14ac:dyDescent="0.3">
      <c r="AA311" t="s">
        <v>2279</v>
      </c>
      <c r="AB311" s="97">
        <v>46233</v>
      </c>
      <c r="AC311" s="6" t="s">
        <v>7429</v>
      </c>
    </row>
    <row r="312" spans="27:29" x14ac:dyDescent="0.3">
      <c r="AA312" t="s">
        <v>2297</v>
      </c>
      <c r="AB312" s="97">
        <v>46220</v>
      </c>
      <c r="AC312" s="6" t="s">
        <v>7429</v>
      </c>
    </row>
    <row r="313" spans="27:29" x14ac:dyDescent="0.3">
      <c r="AA313" t="s">
        <v>2300</v>
      </c>
      <c r="AB313" s="97">
        <v>46220</v>
      </c>
      <c r="AC313" s="6" t="s">
        <v>7429</v>
      </c>
    </row>
    <row r="314" spans="27:29" x14ac:dyDescent="0.3">
      <c r="AA314" t="s">
        <v>2302</v>
      </c>
      <c r="AB314" s="97">
        <v>46233</v>
      </c>
      <c r="AC314" s="6" t="s">
        <v>7429</v>
      </c>
    </row>
    <row r="315" spans="27:29" x14ac:dyDescent="0.3">
      <c r="AA315" t="s">
        <v>2305</v>
      </c>
      <c r="AB315" s="97">
        <v>46233</v>
      </c>
      <c r="AC315" s="6" t="s">
        <v>7429</v>
      </c>
    </row>
    <row r="316" spans="27:29" x14ac:dyDescent="0.3">
      <c r="AA316" t="s">
        <v>2332</v>
      </c>
      <c r="AB316" s="97">
        <v>46220</v>
      </c>
      <c r="AC316" s="6" t="s">
        <v>7429</v>
      </c>
    </row>
    <row r="317" spans="27:29" x14ac:dyDescent="0.3">
      <c r="AA317" t="s">
        <v>2335</v>
      </c>
      <c r="AB317" s="97">
        <v>46220</v>
      </c>
      <c r="AC317" s="6" t="s">
        <v>7429</v>
      </c>
    </row>
    <row r="318" spans="27:29" x14ac:dyDescent="0.3">
      <c r="AA318" t="s">
        <v>2337</v>
      </c>
      <c r="AB318" s="97">
        <v>46220</v>
      </c>
      <c r="AC318" s="6" t="s">
        <v>7429</v>
      </c>
    </row>
    <row r="319" spans="27:29" x14ac:dyDescent="0.3">
      <c r="AA319" t="s">
        <v>2339</v>
      </c>
      <c r="AB319" s="97">
        <v>46220</v>
      </c>
      <c r="AC319" s="6" t="s">
        <v>7429</v>
      </c>
    </row>
    <row r="320" spans="27:29" x14ac:dyDescent="0.3">
      <c r="AA320" t="s">
        <v>2341</v>
      </c>
      <c r="AB320" s="97">
        <v>46220</v>
      </c>
      <c r="AC320" s="6" t="s">
        <v>7429</v>
      </c>
    </row>
    <row r="321" spans="27:29" x14ac:dyDescent="0.3">
      <c r="AA321" t="s">
        <v>2343</v>
      </c>
      <c r="AB321" s="97">
        <v>46220</v>
      </c>
      <c r="AC321" s="6" t="s">
        <v>7429</v>
      </c>
    </row>
    <row r="322" spans="27:29" x14ac:dyDescent="0.3">
      <c r="AA322" t="s">
        <v>2345</v>
      </c>
      <c r="AB322" s="97">
        <v>46233</v>
      </c>
      <c r="AC322" s="6" t="s">
        <v>7429</v>
      </c>
    </row>
    <row r="323" spans="27:29" x14ac:dyDescent="0.3">
      <c r="AA323" t="s">
        <v>2348</v>
      </c>
      <c r="AB323" s="97">
        <v>46234</v>
      </c>
      <c r="AC323" s="6" t="s">
        <v>7429</v>
      </c>
    </row>
    <row r="324" spans="27:29" x14ac:dyDescent="0.3">
      <c r="AA324" t="s">
        <v>2350</v>
      </c>
      <c r="AB324" s="97">
        <v>46234</v>
      </c>
      <c r="AC324" s="6" t="s">
        <v>7429</v>
      </c>
    </row>
    <row r="325" spans="27:29" x14ac:dyDescent="0.3">
      <c r="AA325" t="s">
        <v>2352</v>
      </c>
      <c r="AB325" s="97">
        <v>46234</v>
      </c>
      <c r="AC325" s="6" t="s">
        <v>7429</v>
      </c>
    </row>
    <row r="326" spans="27:29" x14ac:dyDescent="0.3">
      <c r="AA326" t="s">
        <v>2354</v>
      </c>
      <c r="AB326" s="97">
        <v>46234</v>
      </c>
      <c r="AC326" s="6" t="s">
        <v>7429</v>
      </c>
    </row>
    <row r="327" spans="27:29" x14ac:dyDescent="0.3">
      <c r="AA327" t="s">
        <v>2356</v>
      </c>
      <c r="AB327" s="97">
        <v>46234</v>
      </c>
      <c r="AC327" s="6" t="s">
        <v>7429</v>
      </c>
    </row>
    <row r="328" spans="27:29" x14ac:dyDescent="0.3">
      <c r="AA328" t="s">
        <v>2423</v>
      </c>
      <c r="AB328" s="97">
        <v>46220</v>
      </c>
      <c r="AC328" s="6" t="s">
        <v>7429</v>
      </c>
    </row>
    <row r="329" spans="27:29" x14ac:dyDescent="0.3">
      <c r="AA329" t="s">
        <v>2426</v>
      </c>
      <c r="AB329" s="97">
        <v>46220</v>
      </c>
      <c r="AC329" s="6" t="s">
        <v>7429</v>
      </c>
    </row>
    <row r="330" spans="27:29" x14ac:dyDescent="0.3">
      <c r="AA330" t="s">
        <v>2429</v>
      </c>
      <c r="AB330" s="97">
        <v>46220</v>
      </c>
      <c r="AC330" s="6" t="s">
        <v>7429</v>
      </c>
    </row>
    <row r="331" spans="27:29" x14ac:dyDescent="0.3">
      <c r="AA331" t="s">
        <v>2432</v>
      </c>
      <c r="AB331" s="97">
        <v>46220</v>
      </c>
      <c r="AC331" s="6" t="s">
        <v>7429</v>
      </c>
    </row>
    <row r="332" spans="27:29" x14ac:dyDescent="0.3">
      <c r="AA332" t="s">
        <v>2435</v>
      </c>
      <c r="AB332" s="97">
        <v>46233</v>
      </c>
      <c r="AC332" s="6" t="s">
        <v>7429</v>
      </c>
    </row>
    <row r="333" spans="27:29" x14ac:dyDescent="0.3">
      <c r="AA333" t="s">
        <v>2438</v>
      </c>
      <c r="AB333" s="97">
        <v>46233</v>
      </c>
      <c r="AC333" s="6" t="s">
        <v>7429</v>
      </c>
    </row>
    <row r="334" spans="27:29" x14ac:dyDescent="0.3">
      <c r="AA334" t="s">
        <v>2441</v>
      </c>
      <c r="AB334" s="97">
        <v>46233</v>
      </c>
      <c r="AC334" s="6" t="s">
        <v>7429</v>
      </c>
    </row>
    <row r="335" spans="27:29" x14ac:dyDescent="0.3">
      <c r="AA335" t="s">
        <v>2444</v>
      </c>
      <c r="AB335" s="97">
        <v>46233</v>
      </c>
      <c r="AC335" s="6" t="s">
        <v>7429</v>
      </c>
    </row>
    <row r="336" spans="27:29" x14ac:dyDescent="0.3">
      <c r="AA336" t="s">
        <v>2507</v>
      </c>
      <c r="AB336" s="97">
        <v>46220</v>
      </c>
      <c r="AC336" s="6" t="s">
        <v>7429</v>
      </c>
    </row>
    <row r="337" spans="27:29" x14ac:dyDescent="0.3">
      <c r="AA337" t="s">
        <v>2510</v>
      </c>
      <c r="AB337" s="97">
        <v>46220</v>
      </c>
      <c r="AC337" s="6" t="s">
        <v>7429</v>
      </c>
    </row>
    <row r="338" spans="27:29" x14ac:dyDescent="0.3">
      <c r="AA338" t="s">
        <v>2512</v>
      </c>
      <c r="AB338" s="97">
        <v>46220</v>
      </c>
      <c r="AC338" s="6" t="s">
        <v>7429</v>
      </c>
    </row>
    <row r="339" spans="27:29" x14ac:dyDescent="0.3">
      <c r="AA339" t="s">
        <v>2514</v>
      </c>
      <c r="AB339" s="97">
        <v>46220</v>
      </c>
      <c r="AC339" s="6" t="s">
        <v>7429</v>
      </c>
    </row>
    <row r="340" spans="27:29" x14ac:dyDescent="0.3">
      <c r="AA340" t="s">
        <v>2517</v>
      </c>
      <c r="AB340" s="97">
        <v>46233</v>
      </c>
      <c r="AC340" s="6" t="s">
        <v>7429</v>
      </c>
    </row>
    <row r="341" spans="27:29" x14ac:dyDescent="0.3">
      <c r="AA341" t="s">
        <v>2520</v>
      </c>
      <c r="AB341" s="97">
        <v>46233</v>
      </c>
      <c r="AC341" s="6" t="s">
        <v>7429</v>
      </c>
    </row>
    <row r="342" spans="27:29" x14ac:dyDescent="0.3">
      <c r="AA342" t="s">
        <v>2522</v>
      </c>
      <c r="AB342" s="97">
        <v>46233</v>
      </c>
      <c r="AC342" s="6" t="s">
        <v>7429</v>
      </c>
    </row>
    <row r="343" spans="27:29" x14ac:dyDescent="0.3">
      <c r="AA343" t="s">
        <v>2524</v>
      </c>
      <c r="AB343" s="97">
        <v>46233</v>
      </c>
      <c r="AC343" s="6" t="s">
        <v>7429</v>
      </c>
    </row>
    <row r="344" spans="27:29" x14ac:dyDescent="0.3">
      <c r="AA344" t="s">
        <v>2577</v>
      </c>
      <c r="AB344" s="97">
        <v>46233</v>
      </c>
      <c r="AC344" s="6" t="s">
        <v>7429</v>
      </c>
    </row>
    <row r="345" spans="27:29" x14ac:dyDescent="0.3">
      <c r="AA345" t="s">
        <v>2579</v>
      </c>
      <c r="AB345" s="97">
        <v>46234</v>
      </c>
      <c r="AC345" s="6" t="s">
        <v>7429</v>
      </c>
    </row>
    <row r="346" spans="27:29" x14ac:dyDescent="0.3">
      <c r="AA346" t="s">
        <v>2591</v>
      </c>
      <c r="AB346" s="97">
        <v>46220</v>
      </c>
      <c r="AC346" s="6" t="s">
        <v>7429</v>
      </c>
    </row>
    <row r="347" spans="27:29" x14ac:dyDescent="0.3">
      <c r="AA347" t="s">
        <v>2594</v>
      </c>
      <c r="AB347" s="97">
        <v>46220</v>
      </c>
      <c r="AC347" s="6" t="s">
        <v>7429</v>
      </c>
    </row>
    <row r="348" spans="27:29" x14ac:dyDescent="0.3">
      <c r="AA348" t="s">
        <v>2596</v>
      </c>
      <c r="AB348" s="97">
        <v>46233</v>
      </c>
      <c r="AC348" s="6" t="s">
        <v>7429</v>
      </c>
    </row>
    <row r="349" spans="27:29" x14ac:dyDescent="0.3">
      <c r="AA349" t="s">
        <v>2599</v>
      </c>
      <c r="AB349" s="97">
        <v>46233</v>
      </c>
      <c r="AC349" s="6" t="s">
        <v>7429</v>
      </c>
    </row>
    <row r="350" spans="27:29" x14ac:dyDescent="0.3">
      <c r="AA350" t="s">
        <v>2626</v>
      </c>
      <c r="AB350" s="97">
        <v>46233</v>
      </c>
      <c r="AC350" s="6" t="s">
        <v>7429</v>
      </c>
    </row>
    <row r="351" spans="27:29" x14ac:dyDescent="0.3">
      <c r="AA351" t="s">
        <v>2644</v>
      </c>
      <c r="AB351" s="97">
        <v>46220</v>
      </c>
      <c r="AC351" s="6" t="s">
        <v>7429</v>
      </c>
    </row>
    <row r="352" spans="27:29" x14ac:dyDescent="0.3">
      <c r="AA352" t="s">
        <v>2647</v>
      </c>
      <c r="AB352" s="97">
        <v>46220</v>
      </c>
      <c r="AC352" s="6" t="s">
        <v>7429</v>
      </c>
    </row>
    <row r="353" spans="27:29" x14ac:dyDescent="0.3">
      <c r="AA353" t="s">
        <v>2649</v>
      </c>
      <c r="AB353" s="97">
        <v>46220</v>
      </c>
      <c r="AC353" s="6" t="s">
        <v>7429</v>
      </c>
    </row>
    <row r="354" spans="27:29" x14ac:dyDescent="0.3">
      <c r="AA354" t="s">
        <v>2651</v>
      </c>
      <c r="AB354" s="97">
        <v>46220</v>
      </c>
      <c r="AC354" s="6" t="s">
        <v>7429</v>
      </c>
    </row>
    <row r="355" spans="27:29" x14ac:dyDescent="0.3">
      <c r="AA355" t="s">
        <v>2653</v>
      </c>
      <c r="AB355" s="97">
        <v>46220</v>
      </c>
      <c r="AC355" s="6" t="s">
        <v>7429</v>
      </c>
    </row>
    <row r="356" spans="27:29" x14ac:dyDescent="0.3">
      <c r="AA356" t="s">
        <v>2655</v>
      </c>
      <c r="AB356" s="97">
        <v>46220</v>
      </c>
      <c r="AC356" s="6" t="s">
        <v>7429</v>
      </c>
    </row>
    <row r="357" spans="27:29" x14ac:dyDescent="0.3">
      <c r="AA357" t="s">
        <v>2657</v>
      </c>
      <c r="AB357" s="97">
        <v>46220</v>
      </c>
      <c r="AC357" s="6" t="s">
        <v>7429</v>
      </c>
    </row>
    <row r="358" spans="27:29" x14ac:dyDescent="0.3">
      <c r="AA358" t="s">
        <v>2659</v>
      </c>
      <c r="AB358" s="97">
        <v>46220</v>
      </c>
      <c r="AC358" s="6" t="s">
        <v>7429</v>
      </c>
    </row>
    <row r="359" spans="27:29" x14ac:dyDescent="0.3">
      <c r="AA359" t="s">
        <v>2661</v>
      </c>
      <c r="AB359" s="97">
        <v>46220</v>
      </c>
      <c r="AC359" s="6" t="s">
        <v>7429</v>
      </c>
    </row>
    <row r="360" spans="27:29" x14ac:dyDescent="0.3">
      <c r="AA360" t="s">
        <v>2663</v>
      </c>
      <c r="AB360" s="97">
        <v>46220</v>
      </c>
      <c r="AC360" s="6" t="s">
        <v>7429</v>
      </c>
    </row>
    <row r="361" spans="27:29" x14ac:dyDescent="0.3">
      <c r="AA361" t="s">
        <v>2665</v>
      </c>
      <c r="AB361" s="97">
        <v>46220</v>
      </c>
      <c r="AC361" s="6" t="s">
        <v>7429</v>
      </c>
    </row>
    <row r="362" spans="27:29" x14ac:dyDescent="0.3">
      <c r="AA362" t="s">
        <v>2667</v>
      </c>
      <c r="AB362" s="97">
        <v>46220</v>
      </c>
      <c r="AC362" s="6" t="s">
        <v>7429</v>
      </c>
    </row>
    <row r="363" spans="27:29" x14ac:dyDescent="0.3">
      <c r="AA363" t="s">
        <v>2669</v>
      </c>
      <c r="AB363" s="97">
        <v>46220</v>
      </c>
      <c r="AC363" s="6" t="s">
        <v>7429</v>
      </c>
    </row>
    <row r="364" spans="27:29" x14ac:dyDescent="0.3">
      <c r="AA364" t="s">
        <v>2671</v>
      </c>
      <c r="AB364" s="97">
        <v>46220</v>
      </c>
      <c r="AC364" s="6" t="s">
        <v>7429</v>
      </c>
    </row>
    <row r="365" spans="27:29" x14ac:dyDescent="0.3">
      <c r="AA365" t="s">
        <v>2681</v>
      </c>
      <c r="AB365" s="97">
        <v>46220</v>
      </c>
      <c r="AC365" s="6" t="s">
        <v>7429</v>
      </c>
    </row>
    <row r="366" spans="27:29" x14ac:dyDescent="0.3">
      <c r="AA366" t="s">
        <v>2684</v>
      </c>
      <c r="AB366" s="97">
        <v>46220</v>
      </c>
      <c r="AC366" s="6" t="s">
        <v>7429</v>
      </c>
    </row>
    <row r="367" spans="27:29" x14ac:dyDescent="0.3">
      <c r="AA367" t="s">
        <v>2687</v>
      </c>
      <c r="AB367" s="97">
        <v>46233</v>
      </c>
      <c r="AC367" s="6" t="s">
        <v>7429</v>
      </c>
    </row>
    <row r="368" spans="27:29" x14ac:dyDescent="0.3">
      <c r="AA368" t="s">
        <v>2690</v>
      </c>
      <c r="AB368" s="97">
        <v>46233</v>
      </c>
      <c r="AC368" s="6" t="s">
        <v>7429</v>
      </c>
    </row>
    <row r="369" spans="27:29" x14ac:dyDescent="0.3">
      <c r="AA369" t="s">
        <v>2692</v>
      </c>
      <c r="AB369" s="97">
        <v>46233</v>
      </c>
      <c r="AC369" s="6" t="s">
        <v>7429</v>
      </c>
    </row>
    <row r="370" spans="27:29" x14ac:dyDescent="0.3">
      <c r="AA370" t="s">
        <v>2694</v>
      </c>
      <c r="AB370" s="97">
        <v>46233</v>
      </c>
      <c r="AC370" s="6" t="s">
        <v>7429</v>
      </c>
    </row>
    <row r="371" spans="27:29" x14ac:dyDescent="0.3">
      <c r="AA371" t="s">
        <v>2696</v>
      </c>
      <c r="AB371" s="97">
        <v>46233</v>
      </c>
      <c r="AC371" s="6" t="s">
        <v>7429</v>
      </c>
    </row>
    <row r="372" spans="27:29" x14ac:dyDescent="0.3">
      <c r="AA372" t="s">
        <v>2698</v>
      </c>
      <c r="AB372" s="97">
        <v>46233</v>
      </c>
      <c r="AC372" s="6" t="s">
        <v>7429</v>
      </c>
    </row>
    <row r="373" spans="27:29" x14ac:dyDescent="0.3">
      <c r="AA373" t="s">
        <v>2700</v>
      </c>
      <c r="AB373" s="97">
        <v>46233</v>
      </c>
      <c r="AC373" s="6" t="s">
        <v>7429</v>
      </c>
    </row>
    <row r="374" spans="27:29" x14ac:dyDescent="0.3">
      <c r="AA374" t="s">
        <v>2702</v>
      </c>
      <c r="AB374" s="97">
        <v>46233</v>
      </c>
      <c r="AC374" s="6" t="s">
        <v>7429</v>
      </c>
    </row>
    <row r="375" spans="27:29" x14ac:dyDescent="0.3">
      <c r="AA375" t="s">
        <v>2704</v>
      </c>
      <c r="AB375" s="97">
        <v>46233</v>
      </c>
      <c r="AC375" s="6" t="s">
        <v>7429</v>
      </c>
    </row>
    <row r="376" spans="27:29" x14ac:dyDescent="0.3">
      <c r="AA376" t="s">
        <v>2706</v>
      </c>
      <c r="AB376" s="97">
        <v>46233</v>
      </c>
      <c r="AC376" s="6" t="s">
        <v>7429</v>
      </c>
    </row>
    <row r="377" spans="27:29" x14ac:dyDescent="0.3">
      <c r="AA377" t="s">
        <v>2708</v>
      </c>
      <c r="AB377" s="97">
        <v>46233</v>
      </c>
      <c r="AC377" s="6" t="s">
        <v>7429</v>
      </c>
    </row>
    <row r="378" spans="27:29" x14ac:dyDescent="0.3">
      <c r="AA378" t="s">
        <v>2710</v>
      </c>
      <c r="AB378" s="97">
        <v>46233</v>
      </c>
      <c r="AC378" s="6" t="s">
        <v>7429</v>
      </c>
    </row>
    <row r="379" spans="27:29" x14ac:dyDescent="0.3">
      <c r="AA379" t="s">
        <v>2712</v>
      </c>
      <c r="AB379" s="97">
        <v>46233</v>
      </c>
      <c r="AC379" s="6" t="s">
        <v>7429</v>
      </c>
    </row>
    <row r="380" spans="27:29" x14ac:dyDescent="0.3">
      <c r="AA380" t="s">
        <v>2714</v>
      </c>
      <c r="AB380" s="97">
        <v>46233</v>
      </c>
      <c r="AC380" s="6" t="s">
        <v>7429</v>
      </c>
    </row>
    <row r="381" spans="27:29" x14ac:dyDescent="0.3">
      <c r="AA381" t="s">
        <v>2724</v>
      </c>
      <c r="AB381" s="97">
        <v>46233</v>
      </c>
      <c r="AC381" s="6" t="s">
        <v>7429</v>
      </c>
    </row>
    <row r="382" spans="27:29" x14ac:dyDescent="0.3">
      <c r="AA382" t="s">
        <v>2727</v>
      </c>
      <c r="AB382" s="97">
        <v>46233</v>
      </c>
      <c r="AC382" s="6" t="s">
        <v>7429</v>
      </c>
    </row>
    <row r="383" spans="27:29" x14ac:dyDescent="0.3">
      <c r="AA383" t="s">
        <v>2950</v>
      </c>
      <c r="AB383" s="97">
        <v>46233</v>
      </c>
      <c r="AC383" s="6" t="s">
        <v>7429</v>
      </c>
    </row>
    <row r="384" spans="27:29" x14ac:dyDescent="0.3">
      <c r="AA384" t="s">
        <v>2953</v>
      </c>
      <c r="AB384" s="97">
        <v>46233</v>
      </c>
      <c r="AC384" s="6" t="s">
        <v>7429</v>
      </c>
    </row>
    <row r="385" spans="27:29" x14ac:dyDescent="0.3">
      <c r="AA385" t="s">
        <v>2956</v>
      </c>
      <c r="AB385" s="97">
        <v>46233</v>
      </c>
      <c r="AC385" s="6" t="s">
        <v>7429</v>
      </c>
    </row>
    <row r="386" spans="27:29" x14ac:dyDescent="0.3">
      <c r="AA386" t="s">
        <v>2959</v>
      </c>
      <c r="AB386" s="97">
        <v>46233</v>
      </c>
      <c r="AC386" s="6" t="s">
        <v>7429</v>
      </c>
    </row>
    <row r="387" spans="27:29" x14ac:dyDescent="0.3">
      <c r="AA387" t="s">
        <v>2962</v>
      </c>
      <c r="AB387" s="97">
        <v>46233</v>
      </c>
      <c r="AC387" s="6" t="s">
        <v>7429</v>
      </c>
    </row>
    <row r="388" spans="27:29" x14ac:dyDescent="0.3">
      <c r="AA388" t="s">
        <v>2965</v>
      </c>
      <c r="AB388" s="97">
        <v>46233</v>
      </c>
      <c r="AC388" s="6" t="s">
        <v>7429</v>
      </c>
    </row>
    <row r="389" spans="27:29" x14ac:dyDescent="0.3">
      <c r="AA389" t="s">
        <v>2968</v>
      </c>
      <c r="AB389" s="97">
        <v>46233</v>
      </c>
      <c r="AC389" s="6" t="s">
        <v>7429</v>
      </c>
    </row>
    <row r="390" spans="27:29" x14ac:dyDescent="0.3">
      <c r="AA390" t="s">
        <v>2977</v>
      </c>
      <c r="AB390" s="97">
        <v>46233</v>
      </c>
      <c r="AC390" s="6" t="s">
        <v>7429</v>
      </c>
    </row>
    <row r="391" spans="27:29" x14ac:dyDescent="0.3">
      <c r="AA391" t="s">
        <v>2980</v>
      </c>
      <c r="AB391" s="97">
        <v>46233</v>
      </c>
      <c r="AC391" s="6" t="s">
        <v>7429</v>
      </c>
    </row>
    <row r="392" spans="27:29" x14ac:dyDescent="0.3">
      <c r="AA392" t="s">
        <v>2982</v>
      </c>
      <c r="AB392" s="97">
        <v>46233</v>
      </c>
      <c r="AC392" s="6" t="s">
        <v>7429</v>
      </c>
    </row>
    <row r="393" spans="27:29" x14ac:dyDescent="0.3">
      <c r="AA393" t="s">
        <v>2984</v>
      </c>
      <c r="AB393" s="97">
        <v>46233</v>
      </c>
      <c r="AC393" s="6" t="s">
        <v>7429</v>
      </c>
    </row>
    <row r="394" spans="27:29" x14ac:dyDescent="0.3">
      <c r="AA394" t="s">
        <v>2986</v>
      </c>
      <c r="AB394" s="97">
        <v>46233</v>
      </c>
      <c r="AC394" s="6" t="s">
        <v>7429</v>
      </c>
    </row>
    <row r="395" spans="27:29" x14ac:dyDescent="0.3">
      <c r="AA395" t="s">
        <v>2989</v>
      </c>
      <c r="AB395" s="97">
        <v>46233</v>
      </c>
      <c r="AC395" s="6" t="s">
        <v>7429</v>
      </c>
    </row>
    <row r="396" spans="27:29" x14ac:dyDescent="0.3">
      <c r="AA396" t="s">
        <v>2991</v>
      </c>
      <c r="AB396" s="97">
        <v>46233</v>
      </c>
      <c r="AC396" s="6" t="s">
        <v>7429</v>
      </c>
    </row>
    <row r="397" spans="27:29" x14ac:dyDescent="0.3">
      <c r="AA397" t="s">
        <v>2993</v>
      </c>
      <c r="AB397" s="97">
        <v>46233</v>
      </c>
      <c r="AC397" s="6" t="s">
        <v>7429</v>
      </c>
    </row>
    <row r="398" spans="27:29" x14ac:dyDescent="0.3">
      <c r="AA398" t="s">
        <v>3040</v>
      </c>
      <c r="AB398" s="97">
        <v>46220</v>
      </c>
      <c r="AC398" s="6" t="s">
        <v>7429</v>
      </c>
    </row>
    <row r="399" spans="27:29" x14ac:dyDescent="0.3">
      <c r="AA399" t="s">
        <v>3043</v>
      </c>
      <c r="AB399" s="97">
        <v>46220</v>
      </c>
      <c r="AC399" s="6" t="s">
        <v>7429</v>
      </c>
    </row>
    <row r="400" spans="27:29" x14ac:dyDescent="0.3">
      <c r="AA400" t="s">
        <v>3045</v>
      </c>
      <c r="AB400" s="97">
        <v>46220</v>
      </c>
      <c r="AC400" s="6" t="s">
        <v>7429</v>
      </c>
    </row>
    <row r="401" spans="27:29" x14ac:dyDescent="0.3">
      <c r="AA401" t="s">
        <v>3047</v>
      </c>
      <c r="AB401" s="97">
        <v>46220</v>
      </c>
      <c r="AC401" s="6" t="s">
        <v>7429</v>
      </c>
    </row>
    <row r="402" spans="27:29" x14ac:dyDescent="0.3">
      <c r="AA402" t="s">
        <v>3049</v>
      </c>
      <c r="AB402" s="97">
        <v>46220</v>
      </c>
      <c r="AC402" s="6" t="s">
        <v>7429</v>
      </c>
    </row>
    <row r="403" spans="27:29" x14ac:dyDescent="0.3">
      <c r="AA403" t="s">
        <v>3051</v>
      </c>
      <c r="AB403" s="97">
        <v>46220</v>
      </c>
      <c r="AC403" s="6" t="s">
        <v>7429</v>
      </c>
    </row>
    <row r="404" spans="27:29" x14ac:dyDescent="0.3">
      <c r="AA404" t="s">
        <v>3053</v>
      </c>
      <c r="AB404" s="97">
        <v>46234</v>
      </c>
      <c r="AC404" s="6" t="s">
        <v>7429</v>
      </c>
    </row>
    <row r="405" spans="27:29" x14ac:dyDescent="0.3">
      <c r="AA405" t="s">
        <v>3056</v>
      </c>
      <c r="AB405" s="97">
        <v>46234</v>
      </c>
      <c r="AC405" s="6" t="s">
        <v>7429</v>
      </c>
    </row>
    <row r="406" spans="27:29" x14ac:dyDescent="0.3">
      <c r="AA406" t="s">
        <v>3058</v>
      </c>
      <c r="AB406" s="97">
        <v>46234</v>
      </c>
      <c r="AC406" s="6" t="s">
        <v>7429</v>
      </c>
    </row>
    <row r="407" spans="27:29" x14ac:dyDescent="0.3">
      <c r="AA407" t="s">
        <v>3060</v>
      </c>
      <c r="AB407" s="97">
        <v>46234</v>
      </c>
      <c r="AC407" s="6" t="s">
        <v>7429</v>
      </c>
    </row>
    <row r="408" spans="27:29" x14ac:dyDescent="0.3">
      <c r="AA408" t="s">
        <v>3062</v>
      </c>
      <c r="AB408" s="97">
        <v>46234</v>
      </c>
      <c r="AC408" s="6" t="s">
        <v>7429</v>
      </c>
    </row>
    <row r="409" spans="27:29" x14ac:dyDescent="0.3">
      <c r="AA409" t="s">
        <v>3064</v>
      </c>
      <c r="AB409" s="97">
        <v>46234</v>
      </c>
      <c r="AC409" s="6" t="s">
        <v>7429</v>
      </c>
    </row>
    <row r="410" spans="27:29" x14ac:dyDescent="0.3">
      <c r="AA410" t="s">
        <v>3131</v>
      </c>
      <c r="AB410" s="97">
        <v>46220</v>
      </c>
      <c r="AC410" s="6" t="s">
        <v>7429</v>
      </c>
    </row>
    <row r="411" spans="27:29" x14ac:dyDescent="0.3">
      <c r="AA411" t="s">
        <v>3134</v>
      </c>
      <c r="AB411" s="97">
        <v>46220</v>
      </c>
      <c r="AC411" s="6" t="s">
        <v>7429</v>
      </c>
    </row>
    <row r="412" spans="27:29" x14ac:dyDescent="0.3">
      <c r="AA412" t="s">
        <v>3136</v>
      </c>
      <c r="AB412" s="97">
        <v>46220</v>
      </c>
      <c r="AC412" s="6" t="s">
        <v>7429</v>
      </c>
    </row>
    <row r="413" spans="27:29" x14ac:dyDescent="0.3">
      <c r="AA413" t="s">
        <v>3138</v>
      </c>
      <c r="AB413" s="97">
        <v>46220</v>
      </c>
      <c r="AC413" s="6" t="s">
        <v>7429</v>
      </c>
    </row>
    <row r="414" spans="27:29" x14ac:dyDescent="0.3">
      <c r="AA414" t="s">
        <v>3141</v>
      </c>
      <c r="AB414" s="97">
        <v>46220</v>
      </c>
      <c r="AC414" s="6" t="s">
        <v>7429</v>
      </c>
    </row>
    <row r="415" spans="27:29" x14ac:dyDescent="0.3">
      <c r="AA415" t="s">
        <v>3143</v>
      </c>
      <c r="AB415" s="97">
        <v>46220</v>
      </c>
      <c r="AC415" s="6" t="s">
        <v>7429</v>
      </c>
    </row>
    <row r="416" spans="27:29" x14ac:dyDescent="0.3">
      <c r="AA416" t="s">
        <v>3145</v>
      </c>
      <c r="AB416" s="97">
        <v>46220</v>
      </c>
      <c r="AC416" s="6" t="s">
        <v>7429</v>
      </c>
    </row>
    <row r="417" spans="27:29" x14ac:dyDescent="0.3">
      <c r="AA417" t="s">
        <v>3148</v>
      </c>
      <c r="AB417" s="97">
        <v>46220</v>
      </c>
      <c r="AC417" s="6" t="s">
        <v>7429</v>
      </c>
    </row>
    <row r="418" spans="27:29" x14ac:dyDescent="0.3">
      <c r="AA418" t="s">
        <v>3150</v>
      </c>
      <c r="AB418" s="97">
        <v>46220</v>
      </c>
      <c r="AC418" s="6" t="s">
        <v>7429</v>
      </c>
    </row>
    <row r="419" spans="27:29" x14ac:dyDescent="0.3">
      <c r="AA419" t="s">
        <v>3166</v>
      </c>
      <c r="AB419" s="97">
        <v>46234</v>
      </c>
      <c r="AC419" s="6" t="s">
        <v>7429</v>
      </c>
    </row>
    <row r="420" spans="27:29" x14ac:dyDescent="0.3">
      <c r="AA420" t="s">
        <v>3169</v>
      </c>
      <c r="AB420" s="97">
        <v>46234</v>
      </c>
      <c r="AC420" s="6" t="s">
        <v>7429</v>
      </c>
    </row>
    <row r="421" spans="27:29" x14ac:dyDescent="0.3">
      <c r="AA421" t="s">
        <v>3171</v>
      </c>
      <c r="AB421" s="97">
        <v>46234</v>
      </c>
      <c r="AC421" s="6" t="s">
        <v>7429</v>
      </c>
    </row>
    <row r="422" spans="27:29" x14ac:dyDescent="0.3">
      <c r="AA422" t="s">
        <v>3173</v>
      </c>
      <c r="AB422" s="97">
        <v>46234</v>
      </c>
      <c r="AC422" s="6" t="s">
        <v>7429</v>
      </c>
    </row>
    <row r="423" spans="27:29" x14ac:dyDescent="0.3">
      <c r="AA423" t="s">
        <v>3176</v>
      </c>
      <c r="AB423" s="97">
        <v>46234</v>
      </c>
      <c r="AC423" s="6" t="s">
        <v>7429</v>
      </c>
    </row>
    <row r="424" spans="27:29" x14ac:dyDescent="0.3">
      <c r="AA424" t="s">
        <v>3178</v>
      </c>
      <c r="AB424" s="97">
        <v>46234</v>
      </c>
      <c r="AC424" s="6" t="s">
        <v>7429</v>
      </c>
    </row>
    <row r="425" spans="27:29" x14ac:dyDescent="0.3">
      <c r="AA425" t="s">
        <v>3180</v>
      </c>
      <c r="AB425" s="97">
        <v>46233</v>
      </c>
      <c r="AC425" s="6" t="s">
        <v>7429</v>
      </c>
    </row>
    <row r="426" spans="27:29" x14ac:dyDescent="0.3">
      <c r="AA426" t="s">
        <v>3183</v>
      </c>
      <c r="AB426" s="97">
        <v>46234</v>
      </c>
      <c r="AC426" s="6" t="s">
        <v>7429</v>
      </c>
    </row>
    <row r="427" spans="27:29" x14ac:dyDescent="0.3">
      <c r="AA427" t="s">
        <v>3186</v>
      </c>
      <c r="AB427" s="97">
        <v>46234</v>
      </c>
      <c r="AC427" s="6" t="s">
        <v>7429</v>
      </c>
    </row>
    <row r="428" spans="27:29" x14ac:dyDescent="0.3">
      <c r="AA428" t="s">
        <v>3189</v>
      </c>
      <c r="AB428" s="97">
        <v>46234</v>
      </c>
      <c r="AC428" s="6" t="s">
        <v>7429</v>
      </c>
    </row>
    <row r="429" spans="27:29" x14ac:dyDescent="0.3">
      <c r="AA429" t="s">
        <v>3192</v>
      </c>
      <c r="AB429" s="97">
        <v>46234</v>
      </c>
      <c r="AC429" s="6" t="s">
        <v>7429</v>
      </c>
    </row>
    <row r="430" spans="27:29" x14ac:dyDescent="0.3">
      <c r="AA430" t="s">
        <v>3195</v>
      </c>
      <c r="AB430" s="97">
        <v>46234</v>
      </c>
      <c r="AC430" s="6" t="s">
        <v>7429</v>
      </c>
    </row>
    <row r="431" spans="27:29" x14ac:dyDescent="0.3">
      <c r="AA431" t="s">
        <v>3198</v>
      </c>
      <c r="AB431" s="97">
        <v>46234</v>
      </c>
      <c r="AC431" s="6" t="s">
        <v>7429</v>
      </c>
    </row>
    <row r="432" spans="27:29" x14ac:dyDescent="0.3">
      <c r="AA432" t="s">
        <v>3201</v>
      </c>
      <c r="AB432" s="97">
        <v>46234</v>
      </c>
      <c r="AC432" s="6" t="s">
        <v>7429</v>
      </c>
    </row>
    <row r="433" spans="27:29" x14ac:dyDescent="0.3">
      <c r="AA433" t="s">
        <v>3204</v>
      </c>
      <c r="AB433" s="97">
        <v>46234</v>
      </c>
      <c r="AC433" s="6" t="s">
        <v>7429</v>
      </c>
    </row>
    <row r="434" spans="27:29" x14ac:dyDescent="0.3">
      <c r="AA434" t="s">
        <v>3207</v>
      </c>
      <c r="AB434" s="97">
        <v>46234</v>
      </c>
      <c r="AC434" s="6" t="s">
        <v>7429</v>
      </c>
    </row>
    <row r="435" spans="27:29" x14ac:dyDescent="0.3">
      <c r="AA435" t="s">
        <v>3209</v>
      </c>
      <c r="AB435" s="97">
        <v>46234</v>
      </c>
      <c r="AC435" s="6" t="s">
        <v>7429</v>
      </c>
    </row>
    <row r="436" spans="27:29" x14ac:dyDescent="0.3">
      <c r="AA436" t="s">
        <v>3211</v>
      </c>
      <c r="AB436" s="97">
        <v>46234</v>
      </c>
      <c r="AC436" s="6" t="s">
        <v>7429</v>
      </c>
    </row>
    <row r="437" spans="27:29" x14ac:dyDescent="0.3">
      <c r="AA437" t="s">
        <v>3213</v>
      </c>
      <c r="AB437" s="97">
        <v>46234</v>
      </c>
      <c r="AC437" s="6" t="s">
        <v>7429</v>
      </c>
    </row>
    <row r="438" spans="27:29" x14ac:dyDescent="0.3">
      <c r="AA438" t="s">
        <v>3215</v>
      </c>
      <c r="AB438" s="97">
        <v>46234</v>
      </c>
      <c r="AC438" s="6" t="s">
        <v>7429</v>
      </c>
    </row>
    <row r="439" spans="27:29" x14ac:dyDescent="0.3">
      <c r="AA439" t="s">
        <v>3217</v>
      </c>
      <c r="AB439" s="97">
        <v>46234</v>
      </c>
      <c r="AC439" s="6" t="s">
        <v>7429</v>
      </c>
    </row>
    <row r="440" spans="27:29" x14ac:dyDescent="0.3">
      <c r="AA440" t="s">
        <v>3219</v>
      </c>
      <c r="AB440" s="97">
        <v>46234</v>
      </c>
      <c r="AC440" s="6" t="s">
        <v>7429</v>
      </c>
    </row>
    <row r="441" spans="27:29" x14ac:dyDescent="0.3">
      <c r="AA441" t="s">
        <v>3223</v>
      </c>
      <c r="AB441" s="97">
        <v>46220</v>
      </c>
      <c r="AC441" s="6" t="s">
        <v>7429</v>
      </c>
    </row>
    <row r="442" spans="27:29" x14ac:dyDescent="0.3">
      <c r="AA442" t="s">
        <v>3226</v>
      </c>
      <c r="AB442" s="97">
        <v>46220</v>
      </c>
      <c r="AC442" s="6" t="s">
        <v>7429</v>
      </c>
    </row>
    <row r="443" spans="27:29" x14ac:dyDescent="0.3">
      <c r="AA443" t="s">
        <v>3244</v>
      </c>
      <c r="AB443" s="97">
        <v>46220</v>
      </c>
      <c r="AC443" s="6" t="s">
        <v>7429</v>
      </c>
    </row>
    <row r="444" spans="27:29" x14ac:dyDescent="0.3">
      <c r="AA444" t="s">
        <v>3247</v>
      </c>
      <c r="AB444" s="97">
        <v>46220</v>
      </c>
      <c r="AC444" s="6" t="s">
        <v>7429</v>
      </c>
    </row>
    <row r="445" spans="27:29" x14ac:dyDescent="0.3">
      <c r="AA445" t="s">
        <v>3249</v>
      </c>
      <c r="AB445" s="97">
        <v>46220</v>
      </c>
      <c r="AC445" s="6" t="s">
        <v>7429</v>
      </c>
    </row>
    <row r="446" spans="27:29" x14ac:dyDescent="0.3">
      <c r="AA446" t="s">
        <v>3252</v>
      </c>
      <c r="AB446" s="97">
        <v>46233</v>
      </c>
      <c r="AC446" s="6" t="s">
        <v>7429</v>
      </c>
    </row>
    <row r="447" spans="27:29" x14ac:dyDescent="0.3">
      <c r="AA447" t="s">
        <v>3255</v>
      </c>
      <c r="AB447" s="97">
        <v>46233</v>
      </c>
      <c r="AC447" s="6" t="s">
        <v>7429</v>
      </c>
    </row>
    <row r="448" spans="27:29" x14ac:dyDescent="0.3">
      <c r="AA448" t="s">
        <v>3257</v>
      </c>
      <c r="AB448" s="97">
        <v>46233</v>
      </c>
      <c r="AC448" s="6" t="s">
        <v>7429</v>
      </c>
    </row>
    <row r="449" spans="27:29" x14ac:dyDescent="0.3">
      <c r="AA449" t="s">
        <v>3300</v>
      </c>
      <c r="AB449" s="97">
        <v>46234</v>
      </c>
      <c r="AC449" s="6" t="s">
        <v>7430</v>
      </c>
    </row>
    <row r="450" spans="27:29" x14ac:dyDescent="0.3">
      <c r="AA450" t="s">
        <v>3303</v>
      </c>
      <c r="AB450" s="97">
        <v>46234</v>
      </c>
      <c r="AC450" s="6" t="s">
        <v>7430</v>
      </c>
    </row>
    <row r="451" spans="27:29" x14ac:dyDescent="0.3">
      <c r="AA451" t="s">
        <v>3306</v>
      </c>
      <c r="AB451" s="97">
        <v>46234</v>
      </c>
      <c r="AC451" s="6" t="s">
        <v>7430</v>
      </c>
    </row>
    <row r="452" spans="27:29" x14ac:dyDescent="0.3">
      <c r="AA452" t="s">
        <v>3309</v>
      </c>
      <c r="AB452" s="97">
        <v>46234</v>
      </c>
      <c r="AC452" s="6" t="s">
        <v>7430</v>
      </c>
    </row>
    <row r="453" spans="27:29" x14ac:dyDescent="0.3">
      <c r="AA453" t="s">
        <v>3311</v>
      </c>
      <c r="AB453" s="97">
        <v>46234</v>
      </c>
      <c r="AC453" s="6" t="s">
        <v>7430</v>
      </c>
    </row>
    <row r="454" spans="27:29" x14ac:dyDescent="0.3">
      <c r="AA454" t="s">
        <v>3313</v>
      </c>
      <c r="AB454" s="97">
        <v>46234</v>
      </c>
      <c r="AC454" s="6" t="s">
        <v>7430</v>
      </c>
    </row>
    <row r="455" spans="27:29" x14ac:dyDescent="0.3">
      <c r="AA455" t="s">
        <v>3315</v>
      </c>
      <c r="AB455" s="97">
        <v>46234</v>
      </c>
      <c r="AC455" s="6" t="s">
        <v>7430</v>
      </c>
    </row>
    <row r="456" spans="27:29" x14ac:dyDescent="0.3">
      <c r="AA456" t="s">
        <v>3317</v>
      </c>
      <c r="AB456" s="97">
        <v>46224</v>
      </c>
      <c r="AC456" s="6" t="s">
        <v>7429</v>
      </c>
    </row>
    <row r="457" spans="27:29" x14ac:dyDescent="0.3">
      <c r="AA457" t="s">
        <v>3319</v>
      </c>
      <c r="AB457" s="97">
        <v>46224</v>
      </c>
      <c r="AC457" s="6" t="s">
        <v>7429</v>
      </c>
    </row>
    <row r="458" spans="27:29" x14ac:dyDescent="0.3">
      <c r="AA458" t="s">
        <v>3322</v>
      </c>
      <c r="AB458" s="97">
        <v>46224</v>
      </c>
      <c r="AC458" s="6" t="s">
        <v>7429</v>
      </c>
    </row>
    <row r="459" spans="27:29" x14ac:dyDescent="0.3">
      <c r="AA459" t="s">
        <v>3324</v>
      </c>
      <c r="AB459" s="97">
        <v>46234</v>
      </c>
      <c r="AC459" s="6" t="s">
        <v>7430</v>
      </c>
    </row>
    <row r="460" spans="27:29" x14ac:dyDescent="0.3">
      <c r="AA460" t="s">
        <v>3327</v>
      </c>
      <c r="AB460" s="97">
        <v>46234</v>
      </c>
      <c r="AC460" s="6" t="s">
        <v>7430</v>
      </c>
    </row>
    <row r="461" spans="27:29" x14ac:dyDescent="0.3">
      <c r="AA461" t="s">
        <v>3329</v>
      </c>
      <c r="AB461" s="97">
        <v>46234</v>
      </c>
      <c r="AC461" s="6" t="s">
        <v>7430</v>
      </c>
    </row>
    <row r="462" spans="27:29" x14ac:dyDescent="0.3">
      <c r="AA462" t="s">
        <v>3332</v>
      </c>
      <c r="AB462" s="97">
        <v>46234</v>
      </c>
      <c r="AC462" s="6" t="s">
        <v>7430</v>
      </c>
    </row>
    <row r="463" spans="27:29" x14ac:dyDescent="0.3">
      <c r="AA463" t="s">
        <v>3334</v>
      </c>
      <c r="AB463" s="97">
        <v>46234</v>
      </c>
      <c r="AC463" s="6" t="s">
        <v>7430</v>
      </c>
    </row>
    <row r="464" spans="27:29" x14ac:dyDescent="0.3">
      <c r="AA464" t="s">
        <v>3337</v>
      </c>
      <c r="AB464" s="97">
        <v>46234</v>
      </c>
      <c r="AC464" s="6" t="s">
        <v>7430</v>
      </c>
    </row>
    <row r="465" spans="27:29" x14ac:dyDescent="0.3">
      <c r="AA465" t="s">
        <v>3339</v>
      </c>
      <c r="AB465" s="97">
        <v>46234</v>
      </c>
      <c r="AC465" s="6" t="s">
        <v>7430</v>
      </c>
    </row>
    <row r="466" spans="27:29" x14ac:dyDescent="0.3">
      <c r="AA466" t="s">
        <v>3341</v>
      </c>
      <c r="AB466" s="97">
        <v>46234</v>
      </c>
      <c r="AC466" s="6" t="s">
        <v>7430</v>
      </c>
    </row>
    <row r="467" spans="27:29" x14ac:dyDescent="0.3">
      <c r="AA467" t="s">
        <v>3343</v>
      </c>
      <c r="AB467" s="97">
        <v>46234</v>
      </c>
      <c r="AC467" s="6" t="s">
        <v>7430</v>
      </c>
    </row>
    <row r="468" spans="27:29" x14ac:dyDescent="0.3">
      <c r="AA468" t="s">
        <v>3345</v>
      </c>
      <c r="AB468" s="97">
        <v>46234</v>
      </c>
      <c r="AC468" s="6" t="s">
        <v>7430</v>
      </c>
    </row>
    <row r="469" spans="27:29" x14ac:dyDescent="0.3">
      <c r="AA469" t="s">
        <v>3348</v>
      </c>
      <c r="AB469" s="97">
        <v>46234</v>
      </c>
      <c r="AC469" s="6" t="s">
        <v>7430</v>
      </c>
    </row>
    <row r="470" spans="27:29" x14ac:dyDescent="0.3">
      <c r="AA470" t="s">
        <v>3350</v>
      </c>
      <c r="AB470" s="97">
        <v>46234</v>
      </c>
      <c r="AC470" s="6" t="s">
        <v>7430</v>
      </c>
    </row>
    <row r="471" spans="27:29" x14ac:dyDescent="0.3">
      <c r="AA471" t="s">
        <v>3352</v>
      </c>
      <c r="AB471" s="97">
        <v>46234</v>
      </c>
      <c r="AC471" s="6" t="s">
        <v>7430</v>
      </c>
    </row>
    <row r="472" spans="27:29" x14ac:dyDescent="0.3">
      <c r="AA472" t="s">
        <v>3354</v>
      </c>
      <c r="AB472" s="97">
        <v>46234</v>
      </c>
      <c r="AC472" s="6" t="s">
        <v>7430</v>
      </c>
    </row>
    <row r="473" spans="27:29" x14ac:dyDescent="0.3">
      <c r="AA473" t="s">
        <v>3356</v>
      </c>
      <c r="AB473" s="97">
        <v>46234</v>
      </c>
      <c r="AC473" s="6" t="s">
        <v>7430</v>
      </c>
    </row>
    <row r="474" spans="27:29" x14ac:dyDescent="0.3">
      <c r="AA474" t="s">
        <v>3359</v>
      </c>
      <c r="AB474" s="97">
        <v>46234</v>
      </c>
      <c r="AC474" s="6" t="s">
        <v>7430</v>
      </c>
    </row>
    <row r="475" spans="27:29" x14ac:dyDescent="0.3">
      <c r="AA475" t="s">
        <v>3361</v>
      </c>
      <c r="AB475" s="97">
        <v>46234</v>
      </c>
      <c r="AC475" s="6" t="s">
        <v>7430</v>
      </c>
    </row>
    <row r="476" spans="27:29" x14ac:dyDescent="0.3">
      <c r="AA476" t="s">
        <v>3363</v>
      </c>
      <c r="AB476" s="97">
        <v>46234</v>
      </c>
      <c r="AC476" s="6" t="s">
        <v>7430</v>
      </c>
    </row>
    <row r="477" spans="27:29" x14ac:dyDescent="0.3">
      <c r="AA477" t="s">
        <v>3371</v>
      </c>
      <c r="AB477" s="97">
        <v>46224</v>
      </c>
      <c r="AC477" s="6" t="s">
        <v>7429</v>
      </c>
    </row>
    <row r="478" spans="27:29" x14ac:dyDescent="0.3">
      <c r="AA478" t="s">
        <v>3374</v>
      </c>
      <c r="AB478" s="97">
        <v>46224</v>
      </c>
      <c r="AC478" s="6" t="s">
        <v>7429</v>
      </c>
    </row>
    <row r="479" spans="27:29" x14ac:dyDescent="0.3">
      <c r="AA479" t="s">
        <v>3376</v>
      </c>
      <c r="AB479" s="97">
        <v>46224</v>
      </c>
      <c r="AC479" s="6" t="s">
        <v>7429</v>
      </c>
    </row>
    <row r="480" spans="27:29" x14ac:dyDescent="0.3">
      <c r="AA480" t="s">
        <v>3378</v>
      </c>
      <c r="AB480" s="97">
        <v>46224</v>
      </c>
      <c r="AC480" s="6" t="s">
        <v>7429</v>
      </c>
    </row>
    <row r="481" spans="27:29" x14ac:dyDescent="0.3">
      <c r="AA481" t="s">
        <v>3386</v>
      </c>
      <c r="AB481" s="97">
        <v>46234</v>
      </c>
      <c r="AC481" s="6" t="s">
        <v>7430</v>
      </c>
    </row>
    <row r="482" spans="27:29" x14ac:dyDescent="0.3">
      <c r="AA482" t="s">
        <v>3389</v>
      </c>
      <c r="AB482" s="97">
        <v>46234</v>
      </c>
      <c r="AC482" s="6" t="s">
        <v>7430</v>
      </c>
    </row>
    <row r="483" spans="27:29" x14ac:dyDescent="0.3">
      <c r="AA483" t="s">
        <v>3392</v>
      </c>
      <c r="AB483" s="97">
        <v>46224</v>
      </c>
      <c r="AC483" s="6" t="s">
        <v>7429</v>
      </c>
    </row>
    <row r="484" spans="27:29" x14ac:dyDescent="0.3">
      <c r="AA484" t="s">
        <v>3395</v>
      </c>
      <c r="AB484" s="97">
        <v>46224</v>
      </c>
      <c r="AC484" s="6" t="s">
        <v>7429</v>
      </c>
    </row>
    <row r="485" spans="27:29" x14ac:dyDescent="0.3">
      <c r="AA485" t="s">
        <v>3398</v>
      </c>
      <c r="AB485" s="97">
        <v>46234</v>
      </c>
      <c r="AC485" s="6" t="s">
        <v>7430</v>
      </c>
    </row>
    <row r="486" spans="27:29" x14ac:dyDescent="0.3">
      <c r="AA486" t="s">
        <v>3401</v>
      </c>
      <c r="AB486" s="97">
        <v>46234</v>
      </c>
      <c r="AC486" s="6" t="s">
        <v>7430</v>
      </c>
    </row>
    <row r="487" spans="27:29" x14ac:dyDescent="0.3">
      <c r="AA487" t="s">
        <v>3404</v>
      </c>
      <c r="AB487" s="97">
        <v>46224</v>
      </c>
      <c r="AC487" s="6" t="s">
        <v>7429</v>
      </c>
    </row>
    <row r="488" spans="27:29" x14ac:dyDescent="0.3">
      <c r="AA488" t="s">
        <v>3407</v>
      </c>
      <c r="AB488" s="97">
        <v>46224</v>
      </c>
      <c r="AC488" s="6" t="s">
        <v>7429</v>
      </c>
    </row>
    <row r="489" spans="27:29" x14ac:dyDescent="0.3">
      <c r="AA489" t="s">
        <v>3410</v>
      </c>
      <c r="AB489" s="97">
        <v>46234</v>
      </c>
      <c r="AC489" s="6" t="s">
        <v>7430</v>
      </c>
    </row>
    <row r="490" spans="27:29" x14ac:dyDescent="0.3">
      <c r="AA490" t="s">
        <v>3413</v>
      </c>
      <c r="AB490" s="97">
        <v>46234</v>
      </c>
      <c r="AC490" s="6" t="s">
        <v>7430</v>
      </c>
    </row>
    <row r="491" spans="27:29" x14ac:dyDescent="0.3">
      <c r="AA491" t="s">
        <v>3416</v>
      </c>
      <c r="AB491" s="97">
        <v>46224</v>
      </c>
      <c r="AC491" s="6" t="s">
        <v>7429</v>
      </c>
    </row>
    <row r="492" spans="27:29" x14ac:dyDescent="0.3">
      <c r="AA492" t="s">
        <v>3419</v>
      </c>
      <c r="AB492" s="97">
        <v>46224</v>
      </c>
      <c r="AC492" s="6" t="s">
        <v>7429</v>
      </c>
    </row>
    <row r="493" spans="27:29" x14ac:dyDescent="0.3">
      <c r="AA493" t="s">
        <v>3422</v>
      </c>
      <c r="AB493" s="97">
        <v>46234</v>
      </c>
      <c r="AC493" s="6" t="s">
        <v>7430</v>
      </c>
    </row>
    <row r="494" spans="27:29" x14ac:dyDescent="0.3">
      <c r="AA494" t="s">
        <v>3425</v>
      </c>
      <c r="AB494" s="97">
        <v>46234</v>
      </c>
      <c r="AC494" s="6" t="s">
        <v>7430</v>
      </c>
    </row>
    <row r="495" spans="27:29" x14ac:dyDescent="0.3">
      <c r="AA495" t="s">
        <v>3428</v>
      </c>
      <c r="AB495" s="97">
        <v>46224</v>
      </c>
      <c r="AC495" s="6" t="s">
        <v>7429</v>
      </c>
    </row>
    <row r="496" spans="27:29" x14ac:dyDescent="0.3">
      <c r="AA496" t="s">
        <v>3431</v>
      </c>
      <c r="AB496" s="97">
        <v>46224</v>
      </c>
      <c r="AC496" s="6" t="s">
        <v>7429</v>
      </c>
    </row>
    <row r="497" spans="27:29" x14ac:dyDescent="0.3">
      <c r="AA497" t="s">
        <v>3440</v>
      </c>
      <c r="AB497" s="97">
        <v>46233</v>
      </c>
      <c r="AC497" s="6" t="s">
        <v>7429</v>
      </c>
    </row>
    <row r="498" spans="27:29" x14ac:dyDescent="0.3">
      <c r="AA498" t="s">
        <v>3443</v>
      </c>
      <c r="AB498" s="97">
        <v>46233</v>
      </c>
      <c r="AC498" s="6" t="s">
        <v>7429</v>
      </c>
    </row>
    <row r="499" spans="27:29" x14ac:dyDescent="0.3">
      <c r="AA499" t="s">
        <v>3445</v>
      </c>
      <c r="AB499" s="97">
        <v>46233</v>
      </c>
      <c r="AC499" s="6" t="s">
        <v>7429</v>
      </c>
    </row>
    <row r="500" spans="27:29" x14ac:dyDescent="0.3">
      <c r="AA500" t="s">
        <v>6926</v>
      </c>
      <c r="AB500" s="97">
        <v>46233</v>
      </c>
      <c r="AC500" s="6" t="s">
        <v>7429</v>
      </c>
    </row>
    <row r="501" spans="27:29" x14ac:dyDescent="0.3">
      <c r="AA501" t="s">
        <v>3456</v>
      </c>
      <c r="AB501" s="97">
        <v>46220</v>
      </c>
      <c r="AC501" s="6" t="s">
        <v>7429</v>
      </c>
    </row>
    <row r="502" spans="27:29" x14ac:dyDescent="0.3">
      <c r="AA502" t="s">
        <v>3460</v>
      </c>
      <c r="AB502" s="97">
        <v>46220</v>
      </c>
      <c r="AC502" s="6" t="s">
        <v>7429</v>
      </c>
    </row>
    <row r="503" spans="27:29" x14ac:dyDescent="0.3">
      <c r="AA503" t="s">
        <v>3470</v>
      </c>
      <c r="AB503" s="97">
        <v>46220</v>
      </c>
      <c r="AC503" s="6" t="s">
        <v>7429</v>
      </c>
    </row>
    <row r="504" spans="27:29" x14ac:dyDescent="0.3">
      <c r="AA504" t="s">
        <v>3474</v>
      </c>
      <c r="AB504" s="97">
        <v>46220</v>
      </c>
      <c r="AC504" s="6" t="s">
        <v>7429</v>
      </c>
    </row>
    <row r="505" spans="27:29" x14ac:dyDescent="0.3">
      <c r="AA505" t="s">
        <v>3484</v>
      </c>
      <c r="AB505" s="97">
        <v>46220</v>
      </c>
      <c r="AC505" s="6" t="s">
        <v>7429</v>
      </c>
    </row>
    <row r="506" spans="27:29" x14ac:dyDescent="0.3">
      <c r="AA506" t="s">
        <v>3486</v>
      </c>
      <c r="AB506" s="97">
        <v>46220</v>
      </c>
      <c r="AC506" s="6" t="s">
        <v>7429</v>
      </c>
    </row>
    <row r="507" spans="27:29" x14ac:dyDescent="0.3">
      <c r="AA507" t="s">
        <v>3490</v>
      </c>
      <c r="AB507" s="97">
        <v>46220</v>
      </c>
      <c r="AC507" s="6" t="s">
        <v>7429</v>
      </c>
    </row>
    <row r="508" spans="27:29" x14ac:dyDescent="0.3">
      <c r="AA508" t="s">
        <v>3492</v>
      </c>
      <c r="AB508" s="97">
        <v>46220</v>
      </c>
      <c r="AC508" s="6" t="s">
        <v>7429</v>
      </c>
    </row>
    <row r="509" spans="27:29" x14ac:dyDescent="0.3">
      <c r="AA509" t="s">
        <v>3517</v>
      </c>
      <c r="AB509" s="97">
        <v>46220</v>
      </c>
      <c r="AC509" s="6" t="s">
        <v>7429</v>
      </c>
    </row>
    <row r="510" spans="27:29" x14ac:dyDescent="0.3">
      <c r="AA510" t="s">
        <v>3525</v>
      </c>
      <c r="AB510" s="97">
        <v>46220</v>
      </c>
      <c r="AC510" s="6" t="s">
        <v>7429</v>
      </c>
    </row>
    <row r="511" spans="27:29" x14ac:dyDescent="0.3">
      <c r="AA511" t="s">
        <v>3533</v>
      </c>
      <c r="AB511" s="97">
        <v>46220</v>
      </c>
      <c r="AC511" s="6" t="s">
        <v>7429</v>
      </c>
    </row>
    <row r="512" spans="27:29" x14ac:dyDescent="0.3">
      <c r="AA512" t="s">
        <v>3547</v>
      </c>
      <c r="AB512" s="97">
        <v>46220</v>
      </c>
      <c r="AC512" s="6" t="s">
        <v>7429</v>
      </c>
    </row>
    <row r="513" spans="27:29" x14ac:dyDescent="0.3">
      <c r="AA513" t="s">
        <v>3557</v>
      </c>
      <c r="AB513" s="97">
        <v>46220</v>
      </c>
      <c r="AC513" s="6" t="s">
        <v>7429</v>
      </c>
    </row>
    <row r="514" spans="27:29" x14ac:dyDescent="0.3">
      <c r="AA514" t="s">
        <v>3559</v>
      </c>
      <c r="AB514" s="97">
        <v>46220</v>
      </c>
      <c r="AC514" s="6" t="s">
        <v>7429</v>
      </c>
    </row>
    <row r="515" spans="27:29" x14ac:dyDescent="0.3">
      <c r="AA515" t="s">
        <v>3561</v>
      </c>
      <c r="AB515" s="97">
        <v>46220</v>
      </c>
      <c r="AC515" s="6" t="s">
        <v>7429</v>
      </c>
    </row>
    <row r="516" spans="27:29" x14ac:dyDescent="0.3">
      <c r="AA516" t="s">
        <v>3563</v>
      </c>
      <c r="AB516" s="97">
        <v>46220</v>
      </c>
      <c r="AC516" s="6" t="s">
        <v>7429</v>
      </c>
    </row>
    <row r="517" spans="27:29" x14ac:dyDescent="0.3">
      <c r="AA517" t="s">
        <v>3568</v>
      </c>
      <c r="AB517" s="97">
        <v>46234</v>
      </c>
      <c r="AC517" s="6" t="s">
        <v>7430</v>
      </c>
    </row>
    <row r="518" spans="27:29" x14ac:dyDescent="0.3">
      <c r="AA518" t="s">
        <v>3570</v>
      </c>
      <c r="AB518" s="97">
        <v>46224</v>
      </c>
      <c r="AC518" s="6" t="s">
        <v>7429</v>
      </c>
    </row>
    <row r="519" spans="27:29" x14ac:dyDescent="0.3">
      <c r="AA519" t="s">
        <v>3572</v>
      </c>
      <c r="AB519" s="97">
        <v>46234</v>
      </c>
      <c r="AC519" s="6" t="s">
        <v>7430</v>
      </c>
    </row>
    <row r="520" spans="27:29" x14ac:dyDescent="0.3">
      <c r="AA520" t="s">
        <v>3574</v>
      </c>
      <c r="AB520" s="97">
        <v>46224</v>
      </c>
      <c r="AC520" s="6" t="s">
        <v>7429</v>
      </c>
    </row>
    <row r="521" spans="27:29" x14ac:dyDescent="0.3">
      <c r="AA521" t="s">
        <v>3576</v>
      </c>
      <c r="AB521" s="97">
        <v>46234</v>
      </c>
      <c r="AC521" s="6" t="s">
        <v>7430</v>
      </c>
    </row>
    <row r="522" spans="27:29" x14ac:dyDescent="0.3">
      <c r="AA522" t="s">
        <v>3578</v>
      </c>
      <c r="AB522" s="97">
        <v>46224</v>
      </c>
      <c r="AC522" s="6" t="s">
        <v>7429</v>
      </c>
    </row>
    <row r="523" spans="27:29" x14ac:dyDescent="0.3">
      <c r="AA523" t="s">
        <v>3580</v>
      </c>
      <c r="AB523" s="97">
        <v>46224</v>
      </c>
      <c r="AC523" s="6" t="s">
        <v>7429</v>
      </c>
    </row>
    <row r="524" spans="27:29" x14ac:dyDescent="0.3">
      <c r="AA524" t="s">
        <v>3582</v>
      </c>
      <c r="AB524" s="97">
        <v>46234</v>
      </c>
      <c r="AC524" s="6" t="s">
        <v>7430</v>
      </c>
    </row>
    <row r="525" spans="27:29" x14ac:dyDescent="0.3">
      <c r="AA525" t="s">
        <v>7090</v>
      </c>
      <c r="AB525" s="97">
        <v>46198</v>
      </c>
      <c r="AC525" s="6" t="s">
        <v>7429</v>
      </c>
    </row>
    <row r="526" spans="27:29" x14ac:dyDescent="0.3">
      <c r="AA526" t="s">
        <v>7097</v>
      </c>
      <c r="AB526" s="97">
        <v>46198</v>
      </c>
      <c r="AC526" s="6" t="s">
        <v>7429</v>
      </c>
    </row>
    <row r="527" spans="27:29" x14ac:dyDescent="0.3">
      <c r="AA527" t="s">
        <v>7099</v>
      </c>
      <c r="AB527" s="97">
        <v>46198</v>
      </c>
      <c r="AC527" s="6" t="s">
        <v>7429</v>
      </c>
    </row>
    <row r="528" spans="27:29" x14ac:dyDescent="0.3">
      <c r="AA528" t="s">
        <v>7101</v>
      </c>
      <c r="AB528" s="97">
        <v>46198</v>
      </c>
      <c r="AC528" s="6" t="s">
        <v>7429</v>
      </c>
    </row>
    <row r="529" spans="27:29" x14ac:dyDescent="0.3">
      <c r="AA529" t="s">
        <v>7103</v>
      </c>
      <c r="AB529" s="97">
        <v>46198</v>
      </c>
      <c r="AC529" s="6" t="s">
        <v>7429</v>
      </c>
    </row>
    <row r="530" spans="27:29" x14ac:dyDescent="0.3">
      <c r="AA530" t="s">
        <v>7105</v>
      </c>
      <c r="AB530" s="97">
        <v>46198</v>
      </c>
      <c r="AC530" s="6" t="s">
        <v>7429</v>
      </c>
    </row>
    <row r="531" spans="27:29" x14ac:dyDescent="0.3">
      <c r="AA531" t="s">
        <v>7107</v>
      </c>
      <c r="AB531" s="97">
        <v>46198</v>
      </c>
      <c r="AC531" s="6" t="s">
        <v>7429</v>
      </c>
    </row>
    <row r="532" spans="27:29" x14ac:dyDescent="0.3">
      <c r="AA532" t="s">
        <v>7109</v>
      </c>
      <c r="AB532" s="97">
        <v>46198</v>
      </c>
      <c r="AC532" s="6" t="s">
        <v>7429</v>
      </c>
    </row>
    <row r="533" spans="27:29" x14ac:dyDescent="0.3">
      <c r="AA533" t="s">
        <v>7111</v>
      </c>
      <c r="AB533" s="97">
        <v>46198</v>
      </c>
      <c r="AC533" s="6" t="s">
        <v>7429</v>
      </c>
    </row>
    <row r="534" spans="27:29" x14ac:dyDescent="0.3">
      <c r="AA534" t="s">
        <v>7113</v>
      </c>
      <c r="AB534" s="97">
        <v>46198</v>
      </c>
      <c r="AC534" s="6" t="s">
        <v>7429</v>
      </c>
    </row>
    <row r="535" spans="27:29" x14ac:dyDescent="0.3">
      <c r="AA535" t="s">
        <v>7115</v>
      </c>
      <c r="AB535" s="97">
        <v>46198</v>
      </c>
      <c r="AC535" s="6" t="s">
        <v>7429</v>
      </c>
    </row>
    <row r="536" spans="27:29" x14ac:dyDescent="0.3">
      <c r="AA536" t="s">
        <v>7117</v>
      </c>
      <c r="AB536" s="97">
        <v>46198</v>
      </c>
      <c r="AC536" s="6" t="s">
        <v>7429</v>
      </c>
    </row>
    <row r="537" spans="27:29" x14ac:dyDescent="0.3">
      <c r="AA537" t="s">
        <v>7119</v>
      </c>
      <c r="AB537" s="97">
        <v>46198</v>
      </c>
      <c r="AC537" s="6" t="s">
        <v>7429</v>
      </c>
    </row>
    <row r="538" spans="27:29" x14ac:dyDescent="0.3">
      <c r="AA538" t="s">
        <v>7121</v>
      </c>
      <c r="AB538" s="97">
        <v>46198</v>
      </c>
      <c r="AC538" s="6" t="s">
        <v>7429</v>
      </c>
    </row>
    <row r="539" spans="27:29" x14ac:dyDescent="0.3">
      <c r="AA539" t="s">
        <v>7123</v>
      </c>
      <c r="AB539" s="97">
        <v>46198</v>
      </c>
      <c r="AC539" s="6" t="s">
        <v>7429</v>
      </c>
    </row>
    <row r="540" spans="27:29" x14ac:dyDescent="0.3">
      <c r="AA540" t="s">
        <v>7125</v>
      </c>
      <c r="AB540" s="97">
        <v>46198</v>
      </c>
      <c r="AC540" s="6" t="s">
        <v>7429</v>
      </c>
    </row>
    <row r="541" spans="27:29" x14ac:dyDescent="0.3">
      <c r="AA541" t="s">
        <v>7127</v>
      </c>
      <c r="AB541" s="97">
        <v>46198</v>
      </c>
      <c r="AC541" s="6" t="s">
        <v>7429</v>
      </c>
    </row>
    <row r="542" spans="27:29" x14ac:dyDescent="0.3">
      <c r="AA542" t="s">
        <v>7129</v>
      </c>
      <c r="AB542" s="97">
        <v>46198</v>
      </c>
      <c r="AC542" s="6" t="s">
        <v>7429</v>
      </c>
    </row>
    <row r="543" spans="27:29" x14ac:dyDescent="0.3">
      <c r="AA543" t="s">
        <v>7131</v>
      </c>
      <c r="AB543" s="97">
        <v>46198</v>
      </c>
      <c r="AC543" s="6" t="s">
        <v>7429</v>
      </c>
    </row>
    <row r="544" spans="27:29" x14ac:dyDescent="0.3">
      <c r="AA544" t="s">
        <v>7133</v>
      </c>
      <c r="AB544" s="97">
        <v>46198</v>
      </c>
      <c r="AC544" s="6" t="s">
        <v>7429</v>
      </c>
    </row>
    <row r="545" spans="27:29" x14ac:dyDescent="0.3">
      <c r="AA545" t="s">
        <v>7135</v>
      </c>
      <c r="AB545" s="97">
        <v>46198</v>
      </c>
      <c r="AC545" s="6" t="s">
        <v>7429</v>
      </c>
    </row>
    <row r="546" spans="27:29" x14ac:dyDescent="0.3">
      <c r="AA546" t="s">
        <v>7137</v>
      </c>
      <c r="AB546" s="97">
        <v>46198</v>
      </c>
      <c r="AC546" s="6" t="s">
        <v>7429</v>
      </c>
    </row>
    <row r="547" spans="27:29" x14ac:dyDescent="0.3">
      <c r="AA547" t="s">
        <v>7139</v>
      </c>
      <c r="AB547" s="97">
        <v>46198</v>
      </c>
      <c r="AC547" s="6" t="s">
        <v>7429</v>
      </c>
    </row>
    <row r="548" spans="27:29" x14ac:dyDescent="0.3">
      <c r="AA548" t="s">
        <v>7141</v>
      </c>
      <c r="AB548" s="97">
        <v>46198</v>
      </c>
      <c r="AC548" s="6" t="s">
        <v>7429</v>
      </c>
    </row>
    <row r="549" spans="27:29" x14ac:dyDescent="0.3">
      <c r="AA549" t="s">
        <v>7143</v>
      </c>
      <c r="AB549" s="97">
        <v>46198</v>
      </c>
      <c r="AC549" s="6" t="s">
        <v>7429</v>
      </c>
    </row>
    <row r="550" spans="27:29" x14ac:dyDescent="0.3">
      <c r="AA550" t="s">
        <v>7145</v>
      </c>
      <c r="AB550" s="97">
        <v>46198</v>
      </c>
      <c r="AC550" s="6" t="s">
        <v>7429</v>
      </c>
    </row>
    <row r="551" spans="27:29" x14ac:dyDescent="0.3">
      <c r="AA551" t="s">
        <v>7147</v>
      </c>
      <c r="AB551" s="97">
        <v>46198</v>
      </c>
      <c r="AC551" s="6" t="s">
        <v>7429</v>
      </c>
    </row>
    <row r="552" spans="27:29" x14ac:dyDescent="0.3">
      <c r="AA552" t="s">
        <v>7149</v>
      </c>
      <c r="AB552" s="97">
        <v>46198</v>
      </c>
      <c r="AC552" s="6" t="s">
        <v>7429</v>
      </c>
    </row>
    <row r="553" spans="27:29" x14ac:dyDescent="0.3">
      <c r="AA553" t="s">
        <v>7151</v>
      </c>
      <c r="AB553" s="97">
        <v>46198</v>
      </c>
      <c r="AC553" s="6" t="s">
        <v>7429</v>
      </c>
    </row>
    <row r="554" spans="27:29" x14ac:dyDescent="0.3">
      <c r="AA554" t="s">
        <v>7153</v>
      </c>
      <c r="AB554" s="97">
        <v>46198</v>
      </c>
      <c r="AC554" s="6" t="s">
        <v>7429</v>
      </c>
    </row>
    <row r="555" spans="27:29" x14ac:dyDescent="0.3">
      <c r="AA555" t="s">
        <v>7155</v>
      </c>
      <c r="AB555" s="97">
        <v>46198</v>
      </c>
      <c r="AC555" s="6" t="s">
        <v>7429</v>
      </c>
    </row>
    <row r="556" spans="27:29" x14ac:dyDescent="0.3">
      <c r="AA556" t="s">
        <v>7157</v>
      </c>
      <c r="AB556" s="97">
        <v>46198</v>
      </c>
      <c r="AC556" s="6" t="s">
        <v>7429</v>
      </c>
    </row>
    <row r="557" spans="27:29" x14ac:dyDescent="0.3">
      <c r="AA557" t="s">
        <v>7159</v>
      </c>
      <c r="AB557" s="97">
        <v>46198</v>
      </c>
      <c r="AC557" s="6" t="s">
        <v>7429</v>
      </c>
    </row>
    <row r="558" spans="27:29" x14ac:dyDescent="0.3">
      <c r="AA558" t="s">
        <v>7161</v>
      </c>
      <c r="AB558" s="97">
        <v>46198</v>
      </c>
      <c r="AC558" s="6" t="s">
        <v>7429</v>
      </c>
    </row>
    <row r="559" spans="27:29" x14ac:dyDescent="0.3">
      <c r="AA559" t="s">
        <v>7163</v>
      </c>
      <c r="AB559" s="97">
        <v>46198</v>
      </c>
      <c r="AC559" s="6" t="s">
        <v>7429</v>
      </c>
    </row>
    <row r="560" spans="27:29" x14ac:dyDescent="0.3">
      <c r="AA560" t="s">
        <v>7165</v>
      </c>
      <c r="AB560" s="97">
        <v>46198</v>
      </c>
      <c r="AC560" s="6" t="s">
        <v>7429</v>
      </c>
    </row>
    <row r="561" spans="27:29" x14ac:dyDescent="0.3">
      <c r="AA561" t="s">
        <v>7167</v>
      </c>
      <c r="AB561" s="97">
        <v>46198</v>
      </c>
      <c r="AC561" s="6" t="s">
        <v>7429</v>
      </c>
    </row>
    <row r="562" spans="27:29" x14ac:dyDescent="0.3">
      <c r="AA562" t="s">
        <v>7169</v>
      </c>
      <c r="AB562" s="97">
        <v>46198</v>
      </c>
      <c r="AC562" s="6" t="s">
        <v>7429</v>
      </c>
    </row>
    <row r="563" spans="27:29" x14ac:dyDescent="0.3">
      <c r="AA563" t="s">
        <v>7171</v>
      </c>
      <c r="AB563" s="97">
        <v>46198</v>
      </c>
      <c r="AC563" s="6" t="s">
        <v>7429</v>
      </c>
    </row>
    <row r="564" spans="27:29" x14ac:dyDescent="0.3">
      <c r="AA564" t="s">
        <v>7173</v>
      </c>
      <c r="AB564" s="97">
        <v>46198</v>
      </c>
      <c r="AC564" s="6" t="s">
        <v>7429</v>
      </c>
    </row>
    <row r="565" spans="27:29" x14ac:dyDescent="0.3">
      <c r="AA565" t="s">
        <v>7175</v>
      </c>
      <c r="AB565" s="97">
        <v>46198</v>
      </c>
      <c r="AC565" s="6" t="s">
        <v>7429</v>
      </c>
    </row>
    <row r="566" spans="27:29" x14ac:dyDescent="0.3">
      <c r="AA566" t="s">
        <v>7177</v>
      </c>
      <c r="AB566" s="97">
        <v>46198</v>
      </c>
      <c r="AC566" s="6" t="s">
        <v>7429</v>
      </c>
    </row>
    <row r="567" spans="27:29" x14ac:dyDescent="0.3">
      <c r="AA567" t="s">
        <v>7179</v>
      </c>
      <c r="AB567" s="97">
        <v>46198</v>
      </c>
      <c r="AC567" s="6" t="s">
        <v>7429</v>
      </c>
    </row>
    <row r="568" spans="27:29" x14ac:dyDescent="0.3">
      <c r="AA568" t="s">
        <v>7181</v>
      </c>
      <c r="AB568" s="97">
        <v>46198</v>
      </c>
      <c r="AC568" s="6" t="s">
        <v>7429</v>
      </c>
    </row>
    <row r="569" spans="27:29" x14ac:dyDescent="0.3">
      <c r="AA569" t="s">
        <v>7183</v>
      </c>
      <c r="AB569" s="97">
        <v>46198</v>
      </c>
      <c r="AC569" s="6" t="s">
        <v>7429</v>
      </c>
    </row>
    <row r="570" spans="27:29" x14ac:dyDescent="0.3">
      <c r="AA570" t="s">
        <v>7185</v>
      </c>
      <c r="AB570" s="97">
        <v>46198</v>
      </c>
      <c r="AC570" s="6" t="s">
        <v>7429</v>
      </c>
    </row>
    <row r="571" spans="27:29" x14ac:dyDescent="0.3">
      <c r="AA571" t="s">
        <v>7187</v>
      </c>
      <c r="AB571" s="97">
        <v>46198</v>
      </c>
      <c r="AC571" s="6" t="s">
        <v>7429</v>
      </c>
    </row>
    <row r="572" spans="27:29" x14ac:dyDescent="0.3">
      <c r="AA572" t="s">
        <v>7189</v>
      </c>
      <c r="AB572" s="97">
        <v>46198</v>
      </c>
      <c r="AC572" s="6" t="s">
        <v>7429</v>
      </c>
    </row>
    <row r="573" spans="27:29" x14ac:dyDescent="0.3">
      <c r="AA573" t="s">
        <v>7191</v>
      </c>
      <c r="AB573" s="97">
        <v>46198</v>
      </c>
      <c r="AC573" s="6" t="s">
        <v>7429</v>
      </c>
    </row>
    <row r="574" spans="27:29" x14ac:dyDescent="0.3">
      <c r="AA574" t="s">
        <v>7193</v>
      </c>
      <c r="AB574" s="97">
        <v>46198</v>
      </c>
      <c r="AC574" s="6" t="s">
        <v>7429</v>
      </c>
    </row>
    <row r="575" spans="27:29" x14ac:dyDescent="0.3">
      <c r="AA575" t="s">
        <v>7195</v>
      </c>
      <c r="AB575" s="97">
        <v>46198</v>
      </c>
      <c r="AC575" s="6" t="s">
        <v>7429</v>
      </c>
    </row>
    <row r="576" spans="27:29" x14ac:dyDescent="0.3">
      <c r="AA576" t="s">
        <v>7197</v>
      </c>
      <c r="AB576" s="97">
        <v>46198</v>
      </c>
      <c r="AC576" s="6" t="s">
        <v>7429</v>
      </c>
    </row>
    <row r="577" spans="27:29" x14ac:dyDescent="0.3">
      <c r="AA577" t="s">
        <v>7199</v>
      </c>
      <c r="AB577" s="97">
        <v>46198</v>
      </c>
      <c r="AC577" s="6" t="s">
        <v>7429</v>
      </c>
    </row>
    <row r="578" spans="27:29" x14ac:dyDescent="0.3">
      <c r="AA578" t="s">
        <v>7201</v>
      </c>
      <c r="AB578" s="97">
        <v>46198</v>
      </c>
      <c r="AC578" s="6" t="s">
        <v>7429</v>
      </c>
    </row>
    <row r="579" spans="27:29" x14ac:dyDescent="0.3">
      <c r="AA579" t="s">
        <v>7203</v>
      </c>
      <c r="AB579" s="97">
        <v>46198</v>
      </c>
      <c r="AC579" s="6" t="s">
        <v>7429</v>
      </c>
    </row>
    <row r="580" spans="27:29" x14ac:dyDescent="0.3">
      <c r="AA580" t="s">
        <v>7205</v>
      </c>
      <c r="AB580" s="97">
        <v>46198</v>
      </c>
      <c r="AC580" s="6" t="s">
        <v>7429</v>
      </c>
    </row>
    <row r="581" spans="27:29" x14ac:dyDescent="0.3">
      <c r="AA581" t="s">
        <v>7207</v>
      </c>
      <c r="AB581" s="97">
        <v>46198</v>
      </c>
      <c r="AC581" s="6" t="s">
        <v>7429</v>
      </c>
    </row>
    <row r="582" spans="27:29" x14ac:dyDescent="0.3">
      <c r="AA582" t="s">
        <v>7209</v>
      </c>
      <c r="AB582" s="97">
        <v>46198</v>
      </c>
      <c r="AC582" s="6" t="s">
        <v>7429</v>
      </c>
    </row>
    <row r="583" spans="27:29" x14ac:dyDescent="0.3">
      <c r="AA583" t="s">
        <v>7211</v>
      </c>
      <c r="AB583" s="97">
        <v>46198</v>
      </c>
      <c r="AC583" s="6" t="s">
        <v>7429</v>
      </c>
    </row>
    <row r="584" spans="27:29" x14ac:dyDescent="0.3">
      <c r="AA584" t="s">
        <v>7213</v>
      </c>
      <c r="AB584" s="97">
        <v>46198</v>
      </c>
      <c r="AC584" s="6" t="s">
        <v>7429</v>
      </c>
    </row>
    <row r="585" spans="27:29" x14ac:dyDescent="0.3">
      <c r="AA585" t="s">
        <v>7215</v>
      </c>
      <c r="AB585" s="97">
        <v>46198</v>
      </c>
      <c r="AC585" s="6" t="s">
        <v>7429</v>
      </c>
    </row>
    <row r="586" spans="27:29" x14ac:dyDescent="0.3">
      <c r="AA586" t="s">
        <v>7217</v>
      </c>
      <c r="AB586" s="97">
        <v>46198</v>
      </c>
      <c r="AC586" s="6" t="s">
        <v>7429</v>
      </c>
    </row>
    <row r="587" spans="27:29" x14ac:dyDescent="0.3">
      <c r="AA587" t="s">
        <v>7219</v>
      </c>
      <c r="AB587" s="97">
        <v>46198</v>
      </c>
      <c r="AC587" s="6" t="s">
        <v>7429</v>
      </c>
    </row>
    <row r="588" spans="27:29" x14ac:dyDescent="0.3">
      <c r="AA588" t="s">
        <v>7221</v>
      </c>
      <c r="AB588" s="97">
        <v>46198</v>
      </c>
      <c r="AC588" s="6" t="s">
        <v>7429</v>
      </c>
    </row>
    <row r="589" spans="27:29" x14ac:dyDescent="0.3">
      <c r="AA589" t="s">
        <v>3609</v>
      </c>
      <c r="AB589" s="97">
        <v>46234</v>
      </c>
      <c r="AC589" s="6" t="s">
        <v>7429</v>
      </c>
    </row>
    <row r="590" spans="27:29" x14ac:dyDescent="0.3">
      <c r="AA590" t="s">
        <v>3612</v>
      </c>
      <c r="AB590" s="97">
        <v>46220</v>
      </c>
      <c r="AC590" s="6" t="s">
        <v>7429</v>
      </c>
    </row>
    <row r="591" spans="27:29" x14ac:dyDescent="0.3">
      <c r="AA591" t="s">
        <v>3615</v>
      </c>
      <c r="AB591" s="97">
        <v>46233</v>
      </c>
      <c r="AC591" s="6" t="s">
        <v>7429</v>
      </c>
    </row>
    <row r="592" spans="27:29" x14ac:dyDescent="0.3">
      <c r="AA592" t="s">
        <v>3617</v>
      </c>
      <c r="AB592" s="97">
        <v>46234</v>
      </c>
      <c r="AC592" s="6" t="s">
        <v>7429</v>
      </c>
    </row>
    <row r="593" spans="27:29" x14ac:dyDescent="0.3">
      <c r="AA593" t="s">
        <v>6770</v>
      </c>
      <c r="AB593" s="97">
        <v>46233</v>
      </c>
      <c r="AC593" s="6" t="s">
        <v>7429</v>
      </c>
    </row>
    <row r="594" spans="27:29" x14ac:dyDescent="0.3">
      <c r="AA594" t="s">
        <v>3620</v>
      </c>
      <c r="AB594" s="97">
        <v>46220</v>
      </c>
      <c r="AC594" s="6" t="s">
        <v>7429</v>
      </c>
    </row>
    <row r="595" spans="27:29" x14ac:dyDescent="0.3">
      <c r="AA595" t="s">
        <v>3621</v>
      </c>
      <c r="AB595" s="97">
        <v>46233</v>
      </c>
      <c r="AC595" s="6" t="s">
        <v>7429</v>
      </c>
    </row>
    <row r="596" spans="27:29" x14ac:dyDescent="0.3">
      <c r="AA596" t="s">
        <v>3627</v>
      </c>
      <c r="AB596" s="97">
        <v>46220</v>
      </c>
      <c r="AC596" s="6" t="s">
        <v>7429</v>
      </c>
    </row>
    <row r="597" spans="27:29" x14ac:dyDescent="0.3">
      <c r="AA597" t="s">
        <v>3628</v>
      </c>
      <c r="AB597" s="97">
        <v>46233</v>
      </c>
      <c r="AC597" s="6" t="s">
        <v>7429</v>
      </c>
    </row>
    <row r="598" spans="27:29" x14ac:dyDescent="0.3">
      <c r="AA598" t="s">
        <v>3629</v>
      </c>
      <c r="AB598" s="97">
        <v>46233</v>
      </c>
      <c r="AC598" s="6" t="s">
        <v>7429</v>
      </c>
    </row>
    <row r="599" spans="27:29" x14ac:dyDescent="0.3">
      <c r="AA599" t="s">
        <v>3635</v>
      </c>
      <c r="AB599" s="97">
        <v>46220</v>
      </c>
      <c r="AC599" s="6" t="s">
        <v>7429</v>
      </c>
    </row>
    <row r="600" spans="27:29" x14ac:dyDescent="0.3">
      <c r="AA600" t="s">
        <v>3636</v>
      </c>
      <c r="AB600" s="97">
        <v>46220</v>
      </c>
      <c r="AC600" s="6" t="s">
        <v>7429</v>
      </c>
    </row>
    <row r="601" spans="27:29" x14ac:dyDescent="0.3">
      <c r="AA601" t="s">
        <v>3641</v>
      </c>
      <c r="AB601" s="97">
        <v>46220</v>
      </c>
      <c r="AC601" s="6" t="s">
        <v>7429</v>
      </c>
    </row>
    <row r="602" spans="27:29" x14ac:dyDescent="0.3">
      <c r="AA602" t="s">
        <v>3642</v>
      </c>
      <c r="AB602" s="97">
        <v>46220</v>
      </c>
      <c r="AC602" s="6" t="s">
        <v>7429</v>
      </c>
    </row>
    <row r="603" spans="27:29" x14ac:dyDescent="0.3">
      <c r="AA603" t="s">
        <v>3648</v>
      </c>
      <c r="AB603" s="97">
        <v>46234</v>
      </c>
      <c r="AC603" s="6" t="s">
        <v>7430</v>
      </c>
    </row>
    <row r="604" spans="27:29" x14ac:dyDescent="0.3">
      <c r="AA604" t="s">
        <v>3649</v>
      </c>
      <c r="AB604" s="97">
        <v>46234</v>
      </c>
      <c r="AC604" s="6" t="s">
        <v>7430</v>
      </c>
    </row>
    <row r="605" spans="27:29" x14ac:dyDescent="0.3">
      <c r="AA605" t="s">
        <v>3650</v>
      </c>
      <c r="AB605" s="97">
        <v>46220</v>
      </c>
      <c r="AC605" s="6" t="s">
        <v>7429</v>
      </c>
    </row>
    <row r="606" spans="27:29" x14ac:dyDescent="0.3">
      <c r="AA606" t="s">
        <v>3651</v>
      </c>
      <c r="AB606" s="97">
        <v>46220</v>
      </c>
      <c r="AC606" s="6" t="s">
        <v>7429</v>
      </c>
    </row>
    <row r="607" spans="27:29" x14ac:dyDescent="0.3">
      <c r="AA607" t="s">
        <v>3652</v>
      </c>
      <c r="AB607" s="97">
        <v>46220</v>
      </c>
      <c r="AC607" s="6" t="s">
        <v>7429</v>
      </c>
    </row>
    <row r="608" spans="27:29" x14ac:dyDescent="0.3">
      <c r="AA608" t="s">
        <v>3653</v>
      </c>
      <c r="AB608" s="97">
        <v>46233</v>
      </c>
      <c r="AC608" s="6" t="s">
        <v>7429</v>
      </c>
    </row>
    <row r="609" spans="27:29" x14ac:dyDescent="0.3">
      <c r="AA609" t="s">
        <v>3659</v>
      </c>
      <c r="AB609" s="97">
        <v>46220</v>
      </c>
      <c r="AC609" s="6" t="s">
        <v>7429</v>
      </c>
    </row>
    <row r="610" spans="27:29" x14ac:dyDescent="0.3">
      <c r="AA610" t="s">
        <v>3660</v>
      </c>
      <c r="AB610" s="97">
        <v>46233</v>
      </c>
      <c r="AC610" s="6" t="s">
        <v>7429</v>
      </c>
    </row>
    <row r="611" spans="27:29" x14ac:dyDescent="0.3">
      <c r="AA611" t="s">
        <v>3666</v>
      </c>
      <c r="AB611" s="97">
        <v>46220</v>
      </c>
      <c r="AC611" s="6" t="s">
        <v>7429</v>
      </c>
    </row>
    <row r="612" spans="27:29" x14ac:dyDescent="0.3">
      <c r="AA612" t="s">
        <v>3667</v>
      </c>
      <c r="AB612" s="97">
        <v>46220</v>
      </c>
      <c r="AC612" s="6" t="s">
        <v>7429</v>
      </c>
    </row>
    <row r="613" spans="27:29" x14ac:dyDescent="0.3">
      <c r="AA613" t="s">
        <v>3678</v>
      </c>
      <c r="AB613" s="97">
        <v>46220</v>
      </c>
      <c r="AC613" s="6" t="s">
        <v>7429</v>
      </c>
    </row>
    <row r="614" spans="27:29" x14ac:dyDescent="0.3">
      <c r="AA614" t="s">
        <v>3679</v>
      </c>
      <c r="AB614" s="97">
        <v>46220</v>
      </c>
      <c r="AC614" s="6" t="s">
        <v>7429</v>
      </c>
    </row>
    <row r="615" spans="27:29" x14ac:dyDescent="0.3">
      <c r="AA615" t="s">
        <v>3685</v>
      </c>
      <c r="AB615" s="97">
        <v>46233</v>
      </c>
      <c r="AC615" s="6" t="s">
        <v>7429</v>
      </c>
    </row>
    <row r="616" spans="27:29" x14ac:dyDescent="0.3">
      <c r="AA616" t="s">
        <v>3686</v>
      </c>
      <c r="AB616" s="97">
        <v>46234</v>
      </c>
      <c r="AC616" s="6" t="s">
        <v>7429</v>
      </c>
    </row>
    <row r="617" spans="27:29" x14ac:dyDescent="0.3">
      <c r="AA617" t="s">
        <v>3692</v>
      </c>
      <c r="AB617" s="97">
        <v>46220</v>
      </c>
      <c r="AC617" s="6" t="s">
        <v>7429</v>
      </c>
    </row>
    <row r="618" spans="27:29" x14ac:dyDescent="0.3">
      <c r="AA618" t="s">
        <v>3693</v>
      </c>
      <c r="AB618" s="97">
        <v>46220</v>
      </c>
      <c r="AC618" s="6" t="s">
        <v>7429</v>
      </c>
    </row>
    <row r="619" spans="27:29" x14ac:dyDescent="0.3">
      <c r="AA619" t="s">
        <v>3699</v>
      </c>
      <c r="AB619" s="97">
        <v>46220</v>
      </c>
      <c r="AC619" s="6" t="s">
        <v>7429</v>
      </c>
    </row>
    <row r="620" spans="27:29" x14ac:dyDescent="0.3">
      <c r="AA620" t="s">
        <v>3700</v>
      </c>
      <c r="AB620" s="97">
        <v>46220</v>
      </c>
      <c r="AC620" s="6" t="s">
        <v>7429</v>
      </c>
    </row>
    <row r="621" spans="27:29" x14ac:dyDescent="0.3">
      <c r="AA621" t="s">
        <v>3706</v>
      </c>
      <c r="AB621" s="97">
        <v>46220</v>
      </c>
      <c r="AC621" s="6" t="s">
        <v>7429</v>
      </c>
    </row>
    <row r="622" spans="27:29" x14ac:dyDescent="0.3">
      <c r="AA622" t="s">
        <v>3707</v>
      </c>
      <c r="AB622" s="97">
        <v>46220</v>
      </c>
      <c r="AC622" s="6" t="s">
        <v>7429</v>
      </c>
    </row>
    <row r="623" spans="27:29" x14ac:dyDescent="0.3">
      <c r="AA623" t="s">
        <v>3708</v>
      </c>
      <c r="AB623" s="97">
        <v>46233</v>
      </c>
      <c r="AC623" s="6" t="s">
        <v>7429</v>
      </c>
    </row>
    <row r="624" spans="27:29" x14ac:dyDescent="0.3">
      <c r="AA624" t="s">
        <v>3715</v>
      </c>
      <c r="AB624" s="97">
        <v>46233</v>
      </c>
      <c r="AC624" s="6" t="s">
        <v>7429</v>
      </c>
    </row>
    <row r="625" spans="27:29" x14ac:dyDescent="0.3">
      <c r="AA625" t="s">
        <v>3716</v>
      </c>
      <c r="AB625" s="97">
        <v>46234</v>
      </c>
      <c r="AC625" s="6" t="s">
        <v>7429</v>
      </c>
    </row>
    <row r="626" spans="27:29" x14ac:dyDescent="0.3">
      <c r="AA626" t="s">
        <v>3722</v>
      </c>
      <c r="AB626" s="97">
        <v>46234</v>
      </c>
      <c r="AC626" s="6" t="s">
        <v>7430</v>
      </c>
    </row>
    <row r="627" spans="27:29" x14ac:dyDescent="0.3">
      <c r="AA627" t="s">
        <v>3723</v>
      </c>
      <c r="AB627" s="97">
        <v>46224</v>
      </c>
      <c r="AC627" s="6" t="s">
        <v>7429</v>
      </c>
    </row>
    <row r="628" spans="27:29" x14ac:dyDescent="0.3">
      <c r="AA628" t="s">
        <v>3724</v>
      </c>
      <c r="AB628" s="97">
        <v>46220</v>
      </c>
      <c r="AC628" s="6" t="s">
        <v>7429</v>
      </c>
    </row>
    <row r="629" spans="27:29" x14ac:dyDescent="0.3">
      <c r="AA629" t="s">
        <v>3725</v>
      </c>
      <c r="AB629" s="97">
        <v>46220</v>
      </c>
      <c r="AC629" s="6" t="s">
        <v>7429</v>
      </c>
    </row>
    <row r="630" spans="27:29" x14ac:dyDescent="0.3">
      <c r="AA630" t="s">
        <v>3734</v>
      </c>
      <c r="AB630" s="97">
        <v>46233</v>
      </c>
      <c r="AC630" s="6" t="s">
        <v>7429</v>
      </c>
    </row>
    <row r="631" spans="27:29" x14ac:dyDescent="0.3">
      <c r="AA631" t="s">
        <v>3740</v>
      </c>
      <c r="AB631" s="97">
        <v>46234</v>
      </c>
      <c r="AC631" s="6" t="s">
        <v>7429</v>
      </c>
    </row>
    <row r="632" spans="27:29" x14ac:dyDescent="0.3">
      <c r="AA632" t="s">
        <v>3753</v>
      </c>
      <c r="AB632" s="97">
        <v>46220</v>
      </c>
      <c r="AC632" s="6" t="s">
        <v>7429</v>
      </c>
    </row>
    <row r="633" spans="27:29" x14ac:dyDescent="0.3">
      <c r="AA633" t="s">
        <v>3754</v>
      </c>
      <c r="AB633" s="97">
        <v>46233</v>
      </c>
      <c r="AC633" s="6" t="s">
        <v>7429</v>
      </c>
    </row>
    <row r="634" spans="27:29" x14ac:dyDescent="0.3">
      <c r="AA634" t="s">
        <v>3760</v>
      </c>
      <c r="AB634" s="97">
        <v>46220</v>
      </c>
      <c r="AC634" s="6" t="s">
        <v>7429</v>
      </c>
    </row>
    <row r="635" spans="27:29" x14ac:dyDescent="0.3">
      <c r="AA635" t="s">
        <v>3761</v>
      </c>
      <c r="AB635" s="97">
        <v>46233</v>
      </c>
      <c r="AC635" s="6" t="s">
        <v>7429</v>
      </c>
    </row>
    <row r="636" spans="27:29" x14ac:dyDescent="0.3">
      <c r="AA636" t="s">
        <v>3762</v>
      </c>
      <c r="AB636" s="97">
        <v>46233</v>
      </c>
      <c r="AC636" s="6" t="s">
        <v>7429</v>
      </c>
    </row>
    <row r="637" spans="27:29" x14ac:dyDescent="0.3">
      <c r="AA637" t="s">
        <v>3768</v>
      </c>
      <c r="AB637" s="97">
        <v>46220</v>
      </c>
      <c r="AC637" s="6" t="s">
        <v>7429</v>
      </c>
    </row>
    <row r="638" spans="27:29" x14ac:dyDescent="0.3">
      <c r="AA638" t="s">
        <v>3769</v>
      </c>
      <c r="AB638" s="97">
        <v>46220</v>
      </c>
      <c r="AC638" s="6" t="s">
        <v>7429</v>
      </c>
    </row>
    <row r="639" spans="27:29" x14ac:dyDescent="0.3">
      <c r="AA639" t="s">
        <v>3774</v>
      </c>
      <c r="AB639" s="97">
        <v>46220</v>
      </c>
      <c r="AC639" s="6" t="s">
        <v>7429</v>
      </c>
    </row>
    <row r="640" spans="27:29" x14ac:dyDescent="0.3">
      <c r="AA640" t="s">
        <v>3775</v>
      </c>
      <c r="AB640" s="97">
        <v>46220</v>
      </c>
      <c r="AC640" s="6" t="s">
        <v>7429</v>
      </c>
    </row>
    <row r="641" spans="27:29" x14ac:dyDescent="0.3">
      <c r="AA641" t="s">
        <v>3781</v>
      </c>
      <c r="AB641" s="97">
        <v>46234</v>
      </c>
      <c r="AC641" s="6" t="s">
        <v>7430</v>
      </c>
    </row>
    <row r="642" spans="27:29" x14ac:dyDescent="0.3">
      <c r="AA642" t="s">
        <v>3782</v>
      </c>
      <c r="AB642" s="97">
        <v>46234</v>
      </c>
      <c r="AC642" s="6" t="s">
        <v>7430</v>
      </c>
    </row>
    <row r="643" spans="27:29" x14ac:dyDescent="0.3">
      <c r="AA643" t="s">
        <v>3783</v>
      </c>
      <c r="AB643" s="97">
        <v>46220</v>
      </c>
      <c r="AC643" s="6" t="s">
        <v>7429</v>
      </c>
    </row>
    <row r="644" spans="27:29" x14ac:dyDescent="0.3">
      <c r="AA644" t="s">
        <v>3784</v>
      </c>
      <c r="AB644" s="97">
        <v>46220</v>
      </c>
      <c r="AC644" s="6" t="s">
        <v>7429</v>
      </c>
    </row>
    <row r="645" spans="27:29" x14ac:dyDescent="0.3">
      <c r="AA645" t="s">
        <v>3785</v>
      </c>
      <c r="AB645" s="97">
        <v>46220</v>
      </c>
      <c r="AC645" s="6" t="s">
        <v>7429</v>
      </c>
    </row>
    <row r="646" spans="27:29" x14ac:dyDescent="0.3">
      <c r="AA646" t="s">
        <v>3786</v>
      </c>
      <c r="AB646" s="97">
        <v>46233</v>
      </c>
      <c r="AC646" s="6" t="s">
        <v>7429</v>
      </c>
    </row>
    <row r="647" spans="27:29" x14ac:dyDescent="0.3">
      <c r="AA647" t="s">
        <v>3792</v>
      </c>
      <c r="AB647" s="97">
        <v>46220</v>
      </c>
      <c r="AC647" s="6" t="s">
        <v>7429</v>
      </c>
    </row>
    <row r="648" spans="27:29" x14ac:dyDescent="0.3">
      <c r="AA648" t="s">
        <v>3793</v>
      </c>
      <c r="AB648" s="97">
        <v>46233</v>
      </c>
      <c r="AC648" s="6" t="s">
        <v>7429</v>
      </c>
    </row>
    <row r="649" spans="27:29" x14ac:dyDescent="0.3">
      <c r="AA649" t="s">
        <v>3799</v>
      </c>
      <c r="AB649" s="97">
        <v>46220</v>
      </c>
      <c r="AC649" s="6" t="s">
        <v>7429</v>
      </c>
    </row>
    <row r="650" spans="27:29" x14ac:dyDescent="0.3">
      <c r="AA650" t="s">
        <v>3800</v>
      </c>
      <c r="AB650" s="97">
        <v>46220</v>
      </c>
      <c r="AC650" s="6" t="s">
        <v>7429</v>
      </c>
    </row>
    <row r="651" spans="27:29" x14ac:dyDescent="0.3">
      <c r="AA651" t="s">
        <v>3811</v>
      </c>
      <c r="AB651" s="97">
        <v>46220</v>
      </c>
      <c r="AC651" s="6" t="s">
        <v>7429</v>
      </c>
    </row>
    <row r="652" spans="27:29" x14ac:dyDescent="0.3">
      <c r="AA652" t="s">
        <v>3812</v>
      </c>
      <c r="AB652" s="97">
        <v>46220</v>
      </c>
      <c r="AC652" s="6" t="s">
        <v>7429</v>
      </c>
    </row>
    <row r="653" spans="27:29" x14ac:dyDescent="0.3">
      <c r="AA653" t="s">
        <v>3818</v>
      </c>
      <c r="AB653" s="97">
        <v>46233</v>
      </c>
      <c r="AC653" s="6" t="s">
        <v>7429</v>
      </c>
    </row>
    <row r="654" spans="27:29" x14ac:dyDescent="0.3">
      <c r="AA654" t="s">
        <v>3819</v>
      </c>
      <c r="AB654" s="97">
        <v>46234</v>
      </c>
      <c r="AC654" s="6" t="s">
        <v>7429</v>
      </c>
    </row>
    <row r="655" spans="27:29" x14ac:dyDescent="0.3">
      <c r="AA655" t="s">
        <v>3825</v>
      </c>
      <c r="AB655" s="97">
        <v>46220</v>
      </c>
      <c r="AC655" s="6" t="s">
        <v>7429</v>
      </c>
    </row>
    <row r="656" spans="27:29" x14ac:dyDescent="0.3">
      <c r="AA656" t="s">
        <v>3826</v>
      </c>
      <c r="AB656" s="97">
        <v>46220</v>
      </c>
      <c r="AC656" s="6" t="s">
        <v>7429</v>
      </c>
    </row>
    <row r="657" spans="27:29" x14ac:dyDescent="0.3">
      <c r="AA657" t="s">
        <v>3832</v>
      </c>
      <c r="AB657" s="97">
        <v>46220</v>
      </c>
      <c r="AC657" s="6" t="s">
        <v>7429</v>
      </c>
    </row>
    <row r="658" spans="27:29" x14ac:dyDescent="0.3">
      <c r="AA658" t="s">
        <v>3833</v>
      </c>
      <c r="AB658" s="97">
        <v>46220</v>
      </c>
      <c r="AC658" s="6" t="s">
        <v>7429</v>
      </c>
    </row>
    <row r="659" spans="27:29" x14ac:dyDescent="0.3">
      <c r="AA659" t="s">
        <v>3839</v>
      </c>
      <c r="AB659" s="97">
        <v>46220</v>
      </c>
      <c r="AC659" s="6" t="s">
        <v>7429</v>
      </c>
    </row>
    <row r="660" spans="27:29" x14ac:dyDescent="0.3">
      <c r="AA660" t="s">
        <v>3840</v>
      </c>
      <c r="AB660" s="97">
        <v>46220</v>
      </c>
      <c r="AC660" s="6" t="s">
        <v>7429</v>
      </c>
    </row>
    <row r="661" spans="27:29" x14ac:dyDescent="0.3">
      <c r="AA661" t="s">
        <v>3841</v>
      </c>
      <c r="AB661" s="97">
        <v>46233</v>
      </c>
      <c r="AC661" s="6" t="s">
        <v>7429</v>
      </c>
    </row>
    <row r="662" spans="27:29" x14ac:dyDescent="0.3">
      <c r="AA662" t="s">
        <v>3848</v>
      </c>
      <c r="AB662" s="97">
        <v>46233</v>
      </c>
      <c r="AC662" s="6" t="s">
        <v>7429</v>
      </c>
    </row>
    <row r="663" spans="27:29" x14ac:dyDescent="0.3">
      <c r="AA663" t="s">
        <v>3849</v>
      </c>
      <c r="AB663" s="97">
        <v>46234</v>
      </c>
      <c r="AC663" s="6" t="s">
        <v>7429</v>
      </c>
    </row>
    <row r="664" spans="27:29" x14ac:dyDescent="0.3">
      <c r="AA664" t="s">
        <v>3855</v>
      </c>
      <c r="AB664" s="97">
        <v>46234</v>
      </c>
      <c r="AC664" s="6" t="s">
        <v>7430</v>
      </c>
    </row>
    <row r="665" spans="27:29" x14ac:dyDescent="0.3">
      <c r="AA665" t="s">
        <v>3856</v>
      </c>
      <c r="AB665" s="97">
        <v>46224</v>
      </c>
      <c r="AC665" s="6" t="s">
        <v>7429</v>
      </c>
    </row>
    <row r="666" spans="27:29" x14ac:dyDescent="0.3">
      <c r="AA666" t="s">
        <v>3857</v>
      </c>
      <c r="AB666" s="97">
        <v>46220</v>
      </c>
      <c r="AC666" s="6" t="s">
        <v>7429</v>
      </c>
    </row>
    <row r="667" spans="27:29" x14ac:dyDescent="0.3">
      <c r="AA667" t="s">
        <v>3858</v>
      </c>
      <c r="AB667" s="97">
        <v>46220</v>
      </c>
      <c r="AC667" s="6" t="s">
        <v>7429</v>
      </c>
    </row>
    <row r="668" spans="27:29" x14ac:dyDescent="0.3">
      <c r="AA668" t="s">
        <v>3866</v>
      </c>
      <c r="AB668" s="97">
        <v>46220</v>
      </c>
      <c r="AC668" s="6" t="s">
        <v>7429</v>
      </c>
    </row>
    <row r="669" spans="27:29" x14ac:dyDescent="0.3">
      <c r="AA669" t="s">
        <v>3870</v>
      </c>
      <c r="AB669" s="97">
        <v>46220</v>
      </c>
      <c r="AC669" s="6" t="s">
        <v>7429</v>
      </c>
    </row>
    <row r="670" spans="27:29" x14ac:dyDescent="0.3">
      <c r="AA670" t="s">
        <v>3873</v>
      </c>
      <c r="AB670" s="97">
        <v>46220</v>
      </c>
      <c r="AC670" s="6" t="s">
        <v>7429</v>
      </c>
    </row>
    <row r="671" spans="27:29" x14ac:dyDescent="0.3">
      <c r="AA671" t="s">
        <v>3875</v>
      </c>
      <c r="AB671" s="97">
        <v>46220</v>
      </c>
      <c r="AC671" s="6" t="s">
        <v>7429</v>
      </c>
    </row>
    <row r="672" spans="27:29" x14ac:dyDescent="0.3">
      <c r="AA672" t="s">
        <v>3900</v>
      </c>
      <c r="AB672" s="97">
        <v>46220</v>
      </c>
      <c r="AC672" s="6" t="s">
        <v>7429</v>
      </c>
    </row>
    <row r="673" spans="27:29" x14ac:dyDescent="0.3">
      <c r="AA673" t="s">
        <v>3902</v>
      </c>
      <c r="AB673" s="97">
        <v>46233</v>
      </c>
      <c r="AC673" s="6" t="s">
        <v>7429</v>
      </c>
    </row>
    <row r="674" spans="27:29" x14ac:dyDescent="0.3">
      <c r="AA674" t="s">
        <v>3914</v>
      </c>
      <c r="AB674" s="97">
        <v>46220</v>
      </c>
      <c r="AC674" s="6" t="s">
        <v>7429</v>
      </c>
    </row>
    <row r="675" spans="27:29" x14ac:dyDescent="0.3">
      <c r="AA675" t="s">
        <v>3916</v>
      </c>
      <c r="AB675" s="97">
        <v>46220</v>
      </c>
      <c r="AC675" s="6" t="s">
        <v>7429</v>
      </c>
    </row>
    <row r="676" spans="27:29" x14ac:dyDescent="0.3">
      <c r="AA676" t="s">
        <v>3918</v>
      </c>
      <c r="AB676" s="97">
        <v>46220</v>
      </c>
      <c r="AC676" s="6" t="s">
        <v>7429</v>
      </c>
    </row>
    <row r="677" spans="27:29" x14ac:dyDescent="0.3">
      <c r="AA677" t="s">
        <v>3920</v>
      </c>
      <c r="AB677" s="97">
        <v>46220</v>
      </c>
      <c r="AC677" s="6" t="s">
        <v>7429</v>
      </c>
    </row>
    <row r="678" spans="27:29" x14ac:dyDescent="0.3">
      <c r="AA678" t="s">
        <v>3932</v>
      </c>
      <c r="AB678" s="97">
        <v>46220</v>
      </c>
      <c r="AC678" s="6" t="s">
        <v>7429</v>
      </c>
    </row>
    <row r="679" spans="27:29" x14ac:dyDescent="0.3">
      <c r="AA679" t="s">
        <v>3934</v>
      </c>
      <c r="AB679" s="97">
        <v>46220</v>
      </c>
      <c r="AC679" s="6" t="s">
        <v>7429</v>
      </c>
    </row>
    <row r="680" spans="27:29" x14ac:dyDescent="0.3">
      <c r="AA680" t="s">
        <v>3946</v>
      </c>
      <c r="AB680" s="97">
        <v>46233</v>
      </c>
      <c r="AC680" s="6" t="s">
        <v>7429</v>
      </c>
    </row>
    <row r="681" spans="27:29" x14ac:dyDescent="0.3">
      <c r="AA681" t="s">
        <v>3948</v>
      </c>
      <c r="AB681" s="97">
        <v>46233</v>
      </c>
      <c r="AC681" s="6" t="s">
        <v>7429</v>
      </c>
    </row>
    <row r="682" spans="27:29" x14ac:dyDescent="0.3">
      <c r="AA682" t="s">
        <v>3960</v>
      </c>
      <c r="AB682" s="97">
        <v>46233</v>
      </c>
      <c r="AC682" s="6" t="s">
        <v>7429</v>
      </c>
    </row>
    <row r="683" spans="27:29" x14ac:dyDescent="0.3">
      <c r="AA683" t="s">
        <v>3962</v>
      </c>
      <c r="AB683" s="97">
        <v>46234</v>
      </c>
      <c r="AC683" s="6" t="s">
        <v>7429</v>
      </c>
    </row>
    <row r="684" spans="27:29" x14ac:dyDescent="0.3">
      <c r="AA684" t="s">
        <v>3974</v>
      </c>
      <c r="AB684" s="97">
        <v>46220</v>
      </c>
      <c r="AC684" s="6" t="s">
        <v>7429</v>
      </c>
    </row>
    <row r="685" spans="27:29" x14ac:dyDescent="0.3">
      <c r="AA685" t="s">
        <v>3976</v>
      </c>
      <c r="AB685" s="97">
        <v>46220</v>
      </c>
      <c r="AC685" s="6" t="s">
        <v>7429</v>
      </c>
    </row>
    <row r="686" spans="27:29" x14ac:dyDescent="0.3">
      <c r="AA686" t="s">
        <v>3988</v>
      </c>
      <c r="AB686" s="97">
        <v>46234</v>
      </c>
      <c r="AC686" s="6" t="s">
        <v>7430</v>
      </c>
    </row>
    <row r="687" spans="27:29" x14ac:dyDescent="0.3">
      <c r="AA687" t="s">
        <v>3990</v>
      </c>
      <c r="AB687" s="97">
        <v>46234</v>
      </c>
      <c r="AC687" s="6" t="s">
        <v>7430</v>
      </c>
    </row>
    <row r="688" spans="27:29" x14ac:dyDescent="0.3">
      <c r="AA688" t="s">
        <v>3992</v>
      </c>
      <c r="AB688" s="97">
        <v>46224</v>
      </c>
      <c r="AC688" s="6" t="s">
        <v>7429</v>
      </c>
    </row>
    <row r="689" spans="27:29" x14ac:dyDescent="0.3">
      <c r="AA689" t="s">
        <v>3995</v>
      </c>
      <c r="AB689" s="97">
        <v>46220</v>
      </c>
      <c r="AC689" s="6" t="s">
        <v>7429</v>
      </c>
    </row>
    <row r="690" spans="27:29" x14ac:dyDescent="0.3">
      <c r="AA690" t="s">
        <v>3996</v>
      </c>
      <c r="AB690" s="97">
        <v>46233</v>
      </c>
      <c r="AC690" s="6" t="s">
        <v>7429</v>
      </c>
    </row>
    <row r="691" spans="27:29" x14ac:dyDescent="0.3">
      <c r="AA691" t="s">
        <v>4002</v>
      </c>
      <c r="AB691" s="97">
        <v>46220</v>
      </c>
      <c r="AC691" s="6" t="s">
        <v>7429</v>
      </c>
    </row>
    <row r="692" spans="27:29" x14ac:dyDescent="0.3">
      <c r="AA692" t="s">
        <v>4003</v>
      </c>
      <c r="AB692" s="97">
        <v>46233</v>
      </c>
      <c r="AC692" s="6" t="s">
        <v>7429</v>
      </c>
    </row>
    <row r="693" spans="27:29" x14ac:dyDescent="0.3">
      <c r="AA693" t="s">
        <v>4004</v>
      </c>
      <c r="AB693" s="97">
        <v>46233</v>
      </c>
      <c r="AC693" s="6" t="s">
        <v>7429</v>
      </c>
    </row>
    <row r="694" spans="27:29" x14ac:dyDescent="0.3">
      <c r="AA694" t="s">
        <v>4010</v>
      </c>
      <c r="AB694" s="97">
        <v>46220</v>
      </c>
      <c r="AC694" s="6" t="s">
        <v>7429</v>
      </c>
    </row>
    <row r="695" spans="27:29" x14ac:dyDescent="0.3">
      <c r="AA695" t="s">
        <v>4011</v>
      </c>
      <c r="AB695" s="97">
        <v>46220</v>
      </c>
      <c r="AC695" s="6" t="s">
        <v>7429</v>
      </c>
    </row>
    <row r="696" spans="27:29" x14ac:dyDescent="0.3">
      <c r="AA696" t="s">
        <v>4016</v>
      </c>
      <c r="AB696" s="97">
        <v>46220</v>
      </c>
      <c r="AC696" s="6" t="s">
        <v>7429</v>
      </c>
    </row>
    <row r="697" spans="27:29" x14ac:dyDescent="0.3">
      <c r="AA697" t="s">
        <v>4017</v>
      </c>
      <c r="AB697" s="97">
        <v>46220</v>
      </c>
      <c r="AC697" s="6" t="s">
        <v>7429</v>
      </c>
    </row>
    <row r="698" spans="27:29" x14ac:dyDescent="0.3">
      <c r="AA698" t="s">
        <v>4023</v>
      </c>
      <c r="AB698" s="97">
        <v>46234</v>
      </c>
      <c r="AC698" s="6" t="s">
        <v>7430</v>
      </c>
    </row>
    <row r="699" spans="27:29" x14ac:dyDescent="0.3">
      <c r="AA699" t="s">
        <v>4024</v>
      </c>
      <c r="AB699" s="97">
        <v>46234</v>
      </c>
      <c r="AC699" s="6" t="s">
        <v>7430</v>
      </c>
    </row>
    <row r="700" spans="27:29" x14ac:dyDescent="0.3">
      <c r="AA700" t="s">
        <v>4025</v>
      </c>
      <c r="AB700" s="97">
        <v>46220</v>
      </c>
      <c r="AC700" s="6" t="s">
        <v>7429</v>
      </c>
    </row>
    <row r="701" spans="27:29" x14ac:dyDescent="0.3">
      <c r="AA701" t="s">
        <v>4026</v>
      </c>
      <c r="AB701" s="97">
        <v>46220</v>
      </c>
      <c r="AC701" s="6" t="s">
        <v>7429</v>
      </c>
    </row>
    <row r="702" spans="27:29" x14ac:dyDescent="0.3">
      <c r="AA702" t="s">
        <v>4027</v>
      </c>
      <c r="AB702" s="97">
        <v>46220</v>
      </c>
      <c r="AC702" s="6" t="s">
        <v>7429</v>
      </c>
    </row>
    <row r="703" spans="27:29" x14ac:dyDescent="0.3">
      <c r="AA703" t="s">
        <v>4028</v>
      </c>
      <c r="AB703" s="97">
        <v>46233</v>
      </c>
      <c r="AC703" s="6" t="s">
        <v>7429</v>
      </c>
    </row>
    <row r="704" spans="27:29" x14ac:dyDescent="0.3">
      <c r="AA704" t="s">
        <v>4034</v>
      </c>
      <c r="AB704" s="97">
        <v>46220</v>
      </c>
      <c r="AC704" s="6" t="s">
        <v>7429</v>
      </c>
    </row>
    <row r="705" spans="27:29" x14ac:dyDescent="0.3">
      <c r="AA705" t="s">
        <v>4035</v>
      </c>
      <c r="AB705" s="97">
        <v>46233</v>
      </c>
      <c r="AC705" s="6" t="s">
        <v>7429</v>
      </c>
    </row>
    <row r="706" spans="27:29" x14ac:dyDescent="0.3">
      <c r="AA706" t="s">
        <v>4041</v>
      </c>
      <c r="AB706" s="97">
        <v>46220</v>
      </c>
      <c r="AC706" s="6" t="s">
        <v>7429</v>
      </c>
    </row>
    <row r="707" spans="27:29" x14ac:dyDescent="0.3">
      <c r="AA707" t="s">
        <v>4042</v>
      </c>
      <c r="AB707" s="97">
        <v>46220</v>
      </c>
      <c r="AC707" s="6" t="s">
        <v>7429</v>
      </c>
    </row>
    <row r="708" spans="27:29" x14ac:dyDescent="0.3">
      <c r="AA708" t="s">
        <v>4053</v>
      </c>
      <c r="AB708" s="97">
        <v>46220</v>
      </c>
      <c r="AC708" s="6" t="s">
        <v>7429</v>
      </c>
    </row>
    <row r="709" spans="27:29" x14ac:dyDescent="0.3">
      <c r="AA709" t="s">
        <v>4054</v>
      </c>
      <c r="AB709" s="97">
        <v>46220</v>
      </c>
      <c r="AC709" s="6" t="s">
        <v>7429</v>
      </c>
    </row>
    <row r="710" spans="27:29" x14ac:dyDescent="0.3">
      <c r="AA710" t="s">
        <v>4060</v>
      </c>
      <c r="AB710" s="97">
        <v>46233</v>
      </c>
      <c r="AC710" s="6" t="s">
        <v>7429</v>
      </c>
    </row>
    <row r="711" spans="27:29" x14ac:dyDescent="0.3">
      <c r="AA711" t="s">
        <v>4061</v>
      </c>
      <c r="AB711" s="97">
        <v>46234</v>
      </c>
      <c r="AC711" s="6" t="s">
        <v>7429</v>
      </c>
    </row>
    <row r="712" spans="27:29" x14ac:dyDescent="0.3">
      <c r="AA712" t="s">
        <v>4067</v>
      </c>
      <c r="AB712" s="97">
        <v>46220</v>
      </c>
      <c r="AC712" s="6" t="s">
        <v>7429</v>
      </c>
    </row>
    <row r="713" spans="27:29" x14ac:dyDescent="0.3">
      <c r="AA713" t="s">
        <v>4068</v>
      </c>
      <c r="AB713" s="97">
        <v>46220</v>
      </c>
      <c r="AC713" s="6" t="s">
        <v>7429</v>
      </c>
    </row>
    <row r="714" spans="27:29" x14ac:dyDescent="0.3">
      <c r="AA714" t="s">
        <v>4074</v>
      </c>
      <c r="AB714" s="97">
        <v>46220</v>
      </c>
      <c r="AC714" s="6" t="s">
        <v>7429</v>
      </c>
    </row>
    <row r="715" spans="27:29" x14ac:dyDescent="0.3">
      <c r="AA715" t="s">
        <v>4075</v>
      </c>
      <c r="AB715" s="97">
        <v>46220</v>
      </c>
      <c r="AC715" s="6" t="s">
        <v>7429</v>
      </c>
    </row>
    <row r="716" spans="27:29" x14ac:dyDescent="0.3">
      <c r="AA716" t="s">
        <v>4081</v>
      </c>
      <c r="AB716" s="97">
        <v>46220</v>
      </c>
      <c r="AC716" s="6" t="s">
        <v>7429</v>
      </c>
    </row>
    <row r="717" spans="27:29" x14ac:dyDescent="0.3">
      <c r="AA717" t="s">
        <v>4082</v>
      </c>
      <c r="AB717" s="97">
        <v>46220</v>
      </c>
      <c r="AC717" s="6" t="s">
        <v>7429</v>
      </c>
    </row>
    <row r="718" spans="27:29" x14ac:dyDescent="0.3">
      <c r="AA718" t="s">
        <v>4083</v>
      </c>
      <c r="AB718" s="97">
        <v>46233</v>
      </c>
      <c r="AC718" s="6" t="s">
        <v>7429</v>
      </c>
    </row>
    <row r="719" spans="27:29" x14ac:dyDescent="0.3">
      <c r="AA719" t="s">
        <v>4090</v>
      </c>
      <c r="AB719" s="97">
        <v>46233</v>
      </c>
      <c r="AC719" s="6" t="s">
        <v>7429</v>
      </c>
    </row>
    <row r="720" spans="27:29" x14ac:dyDescent="0.3">
      <c r="AA720" t="s">
        <v>4091</v>
      </c>
      <c r="AB720" s="97">
        <v>46234</v>
      </c>
      <c r="AC720" s="6" t="s">
        <v>7429</v>
      </c>
    </row>
    <row r="721" spans="27:29" x14ac:dyDescent="0.3">
      <c r="AA721" t="s">
        <v>4097</v>
      </c>
      <c r="AB721" s="97">
        <v>46234</v>
      </c>
      <c r="AC721" s="6" t="s">
        <v>7430</v>
      </c>
    </row>
    <row r="722" spans="27:29" x14ac:dyDescent="0.3">
      <c r="AA722" t="s">
        <v>4098</v>
      </c>
      <c r="AB722" s="97">
        <v>46224</v>
      </c>
      <c r="AC722" s="6" t="s">
        <v>7429</v>
      </c>
    </row>
    <row r="723" spans="27:29" x14ac:dyDescent="0.3">
      <c r="AA723" t="s">
        <v>4099</v>
      </c>
      <c r="AB723" s="97">
        <v>46220</v>
      </c>
      <c r="AC723" s="6" t="s">
        <v>7429</v>
      </c>
    </row>
    <row r="724" spans="27:29" x14ac:dyDescent="0.3">
      <c r="AA724" t="s">
        <v>4100</v>
      </c>
      <c r="AB724" s="97">
        <v>46220</v>
      </c>
      <c r="AC724" s="6" t="s">
        <v>7429</v>
      </c>
    </row>
    <row r="725" spans="27:29" x14ac:dyDescent="0.3">
      <c r="AA725" t="s">
        <v>4107</v>
      </c>
      <c r="AB725" s="97">
        <v>46233</v>
      </c>
      <c r="AC725" s="6" t="s">
        <v>7429</v>
      </c>
    </row>
    <row r="726" spans="27:29" x14ac:dyDescent="0.3">
      <c r="AA726" t="s">
        <v>4110</v>
      </c>
      <c r="AB726" s="97">
        <v>46234</v>
      </c>
      <c r="AC726" s="6" t="s">
        <v>7429</v>
      </c>
    </row>
    <row r="727" spans="27:29" x14ac:dyDescent="0.3">
      <c r="AA727" t="s">
        <v>4122</v>
      </c>
      <c r="AB727" s="97">
        <v>46234</v>
      </c>
      <c r="AC727" s="6" t="s">
        <v>7430</v>
      </c>
    </row>
    <row r="728" spans="27:29" x14ac:dyDescent="0.3">
      <c r="AA728" t="s">
        <v>4124</v>
      </c>
      <c r="AB728" s="97">
        <v>46233</v>
      </c>
      <c r="AC728" s="6" t="s">
        <v>7429</v>
      </c>
    </row>
    <row r="729" spans="27:29" x14ac:dyDescent="0.3">
      <c r="AA729" t="s">
        <v>4129</v>
      </c>
      <c r="AB729" s="97">
        <v>46233</v>
      </c>
      <c r="AC729" s="6" t="s">
        <v>7429</v>
      </c>
    </row>
    <row r="730" spans="27:29" x14ac:dyDescent="0.3">
      <c r="AA730" t="s">
        <v>4131</v>
      </c>
      <c r="AB730" s="97">
        <v>46233</v>
      </c>
      <c r="AC730" s="6" t="s">
        <v>7429</v>
      </c>
    </row>
    <row r="731" spans="27:29" x14ac:dyDescent="0.3">
      <c r="AA731" t="s">
        <v>4133</v>
      </c>
      <c r="AB731" s="97">
        <v>46233</v>
      </c>
      <c r="AC731" s="6" t="s">
        <v>7429</v>
      </c>
    </row>
    <row r="732" spans="27:29" x14ac:dyDescent="0.3">
      <c r="AA732" t="s">
        <v>4178</v>
      </c>
      <c r="AB732" s="97">
        <v>46233</v>
      </c>
      <c r="AC732" s="6" t="s">
        <v>7429</v>
      </c>
    </row>
    <row r="733" spans="27:29" x14ac:dyDescent="0.3">
      <c r="AA733" t="s">
        <v>4180</v>
      </c>
      <c r="AB733" s="97">
        <v>46233</v>
      </c>
      <c r="AC733" s="6" t="s">
        <v>7429</v>
      </c>
    </row>
    <row r="734" spans="27:29" x14ac:dyDescent="0.3">
      <c r="AA734" t="s">
        <v>4182</v>
      </c>
      <c r="AB734" s="97">
        <v>46233</v>
      </c>
      <c r="AC734" s="6" t="s">
        <v>7429</v>
      </c>
    </row>
    <row r="735" spans="27:29" x14ac:dyDescent="0.3">
      <c r="AA735" t="s">
        <v>4184</v>
      </c>
      <c r="AB735" s="97">
        <v>46233</v>
      </c>
      <c r="AC735" s="6" t="s">
        <v>7429</v>
      </c>
    </row>
    <row r="736" spans="27:29" x14ac:dyDescent="0.3">
      <c r="AA736" t="s">
        <v>4186</v>
      </c>
      <c r="AB736" s="97">
        <v>46233</v>
      </c>
      <c r="AC736" s="6" t="s">
        <v>7429</v>
      </c>
    </row>
    <row r="737" spans="27:29" x14ac:dyDescent="0.3">
      <c r="AA737" t="s">
        <v>4188</v>
      </c>
      <c r="AB737" s="97">
        <v>46233</v>
      </c>
      <c r="AC737" s="6" t="s">
        <v>7429</v>
      </c>
    </row>
    <row r="738" spans="27:29" x14ac:dyDescent="0.3">
      <c r="AA738" t="s">
        <v>4190</v>
      </c>
      <c r="AB738" s="97">
        <v>46220</v>
      </c>
      <c r="AC738" s="6" t="s">
        <v>7429</v>
      </c>
    </row>
    <row r="739" spans="27:29" x14ac:dyDescent="0.3">
      <c r="AA739" t="s">
        <v>4193</v>
      </c>
      <c r="AB739" s="97">
        <v>46233</v>
      </c>
      <c r="AC739" s="6" t="s">
        <v>7429</v>
      </c>
    </row>
    <row r="740" spans="27:29" x14ac:dyDescent="0.3">
      <c r="AA740" t="s">
        <v>4211</v>
      </c>
      <c r="AB740" s="97">
        <v>46233</v>
      </c>
      <c r="AC740" s="6" t="s">
        <v>7429</v>
      </c>
    </row>
    <row r="741" spans="27:29" x14ac:dyDescent="0.3">
      <c r="AA741" t="s">
        <v>4213</v>
      </c>
      <c r="AB741" s="97">
        <v>46233</v>
      </c>
      <c r="AC741" s="6" t="s">
        <v>7429</v>
      </c>
    </row>
    <row r="742" spans="27:29" x14ac:dyDescent="0.3">
      <c r="AA742" t="s">
        <v>4225</v>
      </c>
      <c r="AB742" s="97">
        <v>46220</v>
      </c>
      <c r="AC742" s="6" t="s">
        <v>7429</v>
      </c>
    </row>
    <row r="743" spans="27:29" x14ac:dyDescent="0.3">
      <c r="AA743" t="s">
        <v>4227</v>
      </c>
      <c r="AB743" s="97">
        <v>46234</v>
      </c>
      <c r="AC743" s="6" t="s">
        <v>7429</v>
      </c>
    </row>
    <row r="744" spans="27:29" x14ac:dyDescent="0.3">
      <c r="AA744" t="s">
        <v>4242</v>
      </c>
      <c r="AB744" s="97">
        <v>46233</v>
      </c>
      <c r="AC744" s="6" t="s">
        <v>7429</v>
      </c>
    </row>
    <row r="745" spans="27:29" x14ac:dyDescent="0.3">
      <c r="AA745" t="s">
        <v>4245</v>
      </c>
      <c r="AB745" s="97">
        <v>46233</v>
      </c>
      <c r="AC745" s="6" t="s">
        <v>7429</v>
      </c>
    </row>
    <row r="746" spans="27:29" x14ac:dyDescent="0.3">
      <c r="AA746" t="s">
        <v>4247</v>
      </c>
      <c r="AB746" s="97">
        <v>46233</v>
      </c>
      <c r="AC746" s="6" t="s">
        <v>7429</v>
      </c>
    </row>
    <row r="747" spans="27:29" x14ac:dyDescent="0.3">
      <c r="AA747" t="s">
        <v>4254</v>
      </c>
      <c r="AB747" s="97">
        <v>46234</v>
      </c>
      <c r="AC747" s="6" t="s">
        <v>7429</v>
      </c>
    </row>
    <row r="748" spans="27:29" x14ac:dyDescent="0.3">
      <c r="AA748" t="s">
        <v>4257</v>
      </c>
      <c r="AB748" s="97">
        <v>46234</v>
      </c>
      <c r="AC748" s="6" t="s">
        <v>7429</v>
      </c>
    </row>
    <row r="749" spans="27:29" x14ac:dyDescent="0.3">
      <c r="AA749" t="s">
        <v>4260</v>
      </c>
      <c r="AB749" s="97">
        <v>46234</v>
      </c>
      <c r="AC749" s="6" t="s">
        <v>7429</v>
      </c>
    </row>
    <row r="750" spans="27:29" x14ac:dyDescent="0.3">
      <c r="AA750" t="s">
        <v>4262</v>
      </c>
      <c r="AB750" s="97">
        <v>46234</v>
      </c>
      <c r="AC750" s="6" t="s">
        <v>7429</v>
      </c>
    </row>
    <row r="751" spans="27:29" x14ac:dyDescent="0.3">
      <c r="AA751" t="s">
        <v>4264</v>
      </c>
      <c r="AB751" s="97">
        <v>46234</v>
      </c>
      <c r="AC751" s="6" t="s">
        <v>7429</v>
      </c>
    </row>
    <row r="752" spans="27:29" x14ac:dyDescent="0.3">
      <c r="AA752" t="s">
        <v>4267</v>
      </c>
      <c r="AB752" s="97">
        <v>46234</v>
      </c>
      <c r="AC752" s="6" t="s">
        <v>7429</v>
      </c>
    </row>
    <row r="753" spans="27:29" x14ac:dyDescent="0.3">
      <c r="AA753" t="s">
        <v>4269</v>
      </c>
      <c r="AB753" s="97">
        <v>46234</v>
      </c>
      <c r="AC753" s="6" t="s">
        <v>7429</v>
      </c>
    </row>
    <row r="754" spans="27:29" x14ac:dyDescent="0.3">
      <c r="AA754" t="s">
        <v>4271</v>
      </c>
      <c r="AB754" s="97">
        <v>46234</v>
      </c>
      <c r="AC754" s="6" t="s">
        <v>7430</v>
      </c>
    </row>
    <row r="755" spans="27:29" x14ac:dyDescent="0.3">
      <c r="AA755" t="s">
        <v>4273</v>
      </c>
      <c r="AB755" s="97">
        <v>46224</v>
      </c>
      <c r="AC755" s="6" t="s">
        <v>7429</v>
      </c>
    </row>
    <row r="756" spans="27:29" x14ac:dyDescent="0.3">
      <c r="AA756" t="s">
        <v>4279</v>
      </c>
      <c r="AB756" s="97">
        <v>46220</v>
      </c>
      <c r="AC756" s="6" t="s">
        <v>7429</v>
      </c>
    </row>
    <row r="757" spans="27:29" x14ac:dyDescent="0.3">
      <c r="AA757" t="s">
        <v>4281</v>
      </c>
      <c r="AB757" s="97">
        <v>46220</v>
      </c>
      <c r="AC757" s="6" t="s">
        <v>7429</v>
      </c>
    </row>
    <row r="758" spans="27:29" x14ac:dyDescent="0.3">
      <c r="AA758" t="s">
        <v>4283</v>
      </c>
      <c r="AB758" s="97">
        <v>46220</v>
      </c>
      <c r="AC758" s="6" t="s">
        <v>7429</v>
      </c>
    </row>
    <row r="759" spans="27:29" x14ac:dyDescent="0.3">
      <c r="AA759" t="s">
        <v>4285</v>
      </c>
      <c r="AB759" s="97">
        <v>46233</v>
      </c>
      <c r="AC759" s="6" t="s">
        <v>7429</v>
      </c>
    </row>
    <row r="760" spans="27:29" x14ac:dyDescent="0.3">
      <c r="AA760" t="s">
        <v>4287</v>
      </c>
      <c r="AB760" s="97">
        <v>46233</v>
      </c>
      <c r="AC760" s="6" t="s">
        <v>7429</v>
      </c>
    </row>
    <row r="761" spans="27:29" x14ac:dyDescent="0.3">
      <c r="AA761" t="s">
        <v>4289</v>
      </c>
      <c r="AB761" s="97">
        <v>46233</v>
      </c>
      <c r="AC761" s="6" t="s">
        <v>7429</v>
      </c>
    </row>
    <row r="762" spans="27:29" x14ac:dyDescent="0.3">
      <c r="AA762" t="s">
        <v>4321</v>
      </c>
      <c r="AB762" s="97">
        <v>46220</v>
      </c>
      <c r="AC762" s="6" t="s">
        <v>7429</v>
      </c>
    </row>
    <row r="763" spans="27:29" x14ac:dyDescent="0.3">
      <c r="AA763" t="s">
        <v>4323</v>
      </c>
      <c r="AB763" s="97">
        <v>46220</v>
      </c>
      <c r="AC763" s="6" t="s">
        <v>7429</v>
      </c>
    </row>
    <row r="764" spans="27:29" x14ac:dyDescent="0.3">
      <c r="AA764" t="s">
        <v>4325</v>
      </c>
      <c r="AB764" s="97">
        <v>46220</v>
      </c>
      <c r="AC764" s="6" t="s">
        <v>7429</v>
      </c>
    </row>
    <row r="765" spans="27:29" x14ac:dyDescent="0.3">
      <c r="AA765" t="s">
        <v>4327</v>
      </c>
      <c r="AB765" s="97">
        <v>46220</v>
      </c>
      <c r="AC765" s="6" t="s">
        <v>7429</v>
      </c>
    </row>
    <row r="766" spans="27:29" x14ac:dyDescent="0.3">
      <c r="AA766" t="s">
        <v>4329</v>
      </c>
      <c r="AB766" s="97">
        <v>46220</v>
      </c>
      <c r="AC766" s="6" t="s">
        <v>7429</v>
      </c>
    </row>
    <row r="767" spans="27:29" x14ac:dyDescent="0.3">
      <c r="AA767" t="s">
        <v>4331</v>
      </c>
      <c r="AB767" s="97">
        <v>46220</v>
      </c>
      <c r="AC767" s="6" t="s">
        <v>7429</v>
      </c>
    </row>
    <row r="768" spans="27:29" x14ac:dyDescent="0.3">
      <c r="AA768" t="s">
        <v>4333</v>
      </c>
      <c r="AB768" s="97">
        <v>46220</v>
      </c>
      <c r="AC768" s="6" t="s">
        <v>7429</v>
      </c>
    </row>
    <row r="769" spans="27:29" x14ac:dyDescent="0.3">
      <c r="AA769" t="s">
        <v>4335</v>
      </c>
      <c r="AB769" s="97">
        <v>46220</v>
      </c>
      <c r="AC769" s="6" t="s">
        <v>7429</v>
      </c>
    </row>
    <row r="770" spans="27:29" x14ac:dyDescent="0.3">
      <c r="AA770" t="s">
        <v>4357</v>
      </c>
      <c r="AB770" s="97">
        <v>46220</v>
      </c>
      <c r="AC770" s="6" t="s">
        <v>7429</v>
      </c>
    </row>
    <row r="771" spans="27:29" x14ac:dyDescent="0.3">
      <c r="AA771" t="s">
        <v>4359</v>
      </c>
      <c r="AB771" s="97">
        <v>46220</v>
      </c>
      <c r="AC771" s="6" t="s">
        <v>7429</v>
      </c>
    </row>
    <row r="772" spans="27:29" x14ac:dyDescent="0.3">
      <c r="AA772" t="s">
        <v>4361</v>
      </c>
      <c r="AB772" s="97">
        <v>46220</v>
      </c>
      <c r="AC772" s="6" t="s">
        <v>7429</v>
      </c>
    </row>
    <row r="773" spans="27:29" x14ac:dyDescent="0.3">
      <c r="AA773" t="s">
        <v>4363</v>
      </c>
      <c r="AB773" s="97">
        <v>46220</v>
      </c>
      <c r="AC773" s="6" t="s">
        <v>7429</v>
      </c>
    </row>
    <row r="774" spans="27:29" x14ac:dyDescent="0.3">
      <c r="AA774" t="s">
        <v>4385</v>
      </c>
      <c r="AB774" s="97">
        <v>46233</v>
      </c>
      <c r="AC774" s="6" t="s">
        <v>7429</v>
      </c>
    </row>
    <row r="775" spans="27:29" x14ac:dyDescent="0.3">
      <c r="AA775" t="s">
        <v>4387</v>
      </c>
      <c r="AB775" s="97">
        <v>46233</v>
      </c>
      <c r="AC775" s="6" t="s">
        <v>7429</v>
      </c>
    </row>
    <row r="776" spans="27:29" x14ac:dyDescent="0.3">
      <c r="AA776" t="s">
        <v>4389</v>
      </c>
      <c r="AB776" s="97">
        <v>46233</v>
      </c>
      <c r="AC776" s="6" t="s">
        <v>7429</v>
      </c>
    </row>
    <row r="777" spans="27:29" x14ac:dyDescent="0.3">
      <c r="AA777" t="s">
        <v>4391</v>
      </c>
      <c r="AB777" s="97">
        <v>46233</v>
      </c>
      <c r="AC777" s="6" t="s">
        <v>7429</v>
      </c>
    </row>
    <row r="778" spans="27:29" x14ac:dyDescent="0.3">
      <c r="AA778" t="s">
        <v>4413</v>
      </c>
      <c r="AB778" s="97">
        <v>46233</v>
      </c>
      <c r="AC778" s="6" t="s">
        <v>7429</v>
      </c>
    </row>
    <row r="779" spans="27:29" x14ac:dyDescent="0.3">
      <c r="AA779" t="s">
        <v>4415</v>
      </c>
      <c r="AB779" s="97">
        <v>46233</v>
      </c>
      <c r="AC779" s="6" t="s">
        <v>7429</v>
      </c>
    </row>
    <row r="780" spans="27:29" x14ac:dyDescent="0.3">
      <c r="AA780" t="s">
        <v>4417</v>
      </c>
      <c r="AB780" s="97">
        <v>46234</v>
      </c>
      <c r="AC780" s="6" t="s">
        <v>7429</v>
      </c>
    </row>
    <row r="781" spans="27:29" x14ac:dyDescent="0.3">
      <c r="AA781" t="s">
        <v>4419</v>
      </c>
      <c r="AB781" s="97">
        <v>46234</v>
      </c>
      <c r="AC781" s="6" t="s">
        <v>7429</v>
      </c>
    </row>
    <row r="782" spans="27:29" x14ac:dyDescent="0.3">
      <c r="AA782" t="s">
        <v>4441</v>
      </c>
      <c r="AB782" s="97">
        <v>46220</v>
      </c>
      <c r="AC782" s="6" t="s">
        <v>7429</v>
      </c>
    </row>
    <row r="783" spans="27:29" x14ac:dyDescent="0.3">
      <c r="AA783" t="s">
        <v>4443</v>
      </c>
      <c r="AB783" s="97">
        <v>46220</v>
      </c>
      <c r="AC783" s="6" t="s">
        <v>7429</v>
      </c>
    </row>
    <row r="784" spans="27:29" x14ac:dyDescent="0.3">
      <c r="AA784" t="s">
        <v>4445</v>
      </c>
      <c r="AB784" s="97">
        <v>46220</v>
      </c>
      <c r="AC784" s="6" t="s">
        <v>7429</v>
      </c>
    </row>
    <row r="785" spans="27:29" x14ac:dyDescent="0.3">
      <c r="AA785" t="s">
        <v>4447</v>
      </c>
      <c r="AB785" s="97">
        <v>46220</v>
      </c>
      <c r="AC785" s="6" t="s">
        <v>7429</v>
      </c>
    </row>
    <row r="786" spans="27:29" x14ac:dyDescent="0.3">
      <c r="AA786" t="s">
        <v>4449</v>
      </c>
      <c r="AB786" s="97">
        <v>46220</v>
      </c>
      <c r="AC786" s="6" t="s">
        <v>7429</v>
      </c>
    </row>
    <row r="787" spans="27:29" x14ac:dyDescent="0.3">
      <c r="AA787" t="s">
        <v>4451</v>
      </c>
      <c r="AB787" s="97">
        <v>46220</v>
      </c>
      <c r="AC787" s="6" t="s">
        <v>7429</v>
      </c>
    </row>
    <row r="788" spans="27:29" x14ac:dyDescent="0.3">
      <c r="AA788" t="s">
        <v>4453</v>
      </c>
      <c r="AB788" s="97">
        <v>46220</v>
      </c>
      <c r="AC788" s="6" t="s">
        <v>7429</v>
      </c>
    </row>
    <row r="789" spans="27:29" x14ac:dyDescent="0.3">
      <c r="AA789" t="s">
        <v>4455</v>
      </c>
      <c r="AB789" s="97">
        <v>46220</v>
      </c>
      <c r="AC789" s="6" t="s">
        <v>7429</v>
      </c>
    </row>
    <row r="790" spans="27:29" x14ac:dyDescent="0.3">
      <c r="AA790" t="s">
        <v>4457</v>
      </c>
      <c r="AB790" s="97">
        <v>46220</v>
      </c>
      <c r="AC790" s="6" t="s">
        <v>7429</v>
      </c>
    </row>
    <row r="791" spans="27:29" x14ac:dyDescent="0.3">
      <c r="AA791" t="s">
        <v>4459</v>
      </c>
      <c r="AB791" s="97">
        <v>46220</v>
      </c>
      <c r="AC791" s="6" t="s">
        <v>7429</v>
      </c>
    </row>
    <row r="792" spans="27:29" x14ac:dyDescent="0.3">
      <c r="AA792" t="s">
        <v>4461</v>
      </c>
      <c r="AB792" s="97">
        <v>46220</v>
      </c>
      <c r="AC792" s="6" t="s">
        <v>7429</v>
      </c>
    </row>
    <row r="793" spans="27:29" x14ac:dyDescent="0.3">
      <c r="AA793" t="s">
        <v>4463</v>
      </c>
      <c r="AB793" s="97">
        <v>46220</v>
      </c>
      <c r="AC793" s="6" t="s">
        <v>7429</v>
      </c>
    </row>
    <row r="794" spans="27:29" x14ac:dyDescent="0.3">
      <c r="AA794" t="s">
        <v>4525</v>
      </c>
      <c r="AB794" s="97">
        <v>46234</v>
      </c>
      <c r="AC794" s="6" t="s">
        <v>7430</v>
      </c>
    </row>
    <row r="795" spans="27:29" x14ac:dyDescent="0.3">
      <c r="AA795" t="s">
        <v>4527</v>
      </c>
      <c r="AB795" s="97">
        <v>46234</v>
      </c>
      <c r="AC795" s="6" t="s">
        <v>7430</v>
      </c>
    </row>
    <row r="796" spans="27:29" x14ac:dyDescent="0.3">
      <c r="AA796" t="s">
        <v>4529</v>
      </c>
      <c r="AB796" s="97">
        <v>46234</v>
      </c>
      <c r="AC796" s="6" t="s">
        <v>7430</v>
      </c>
    </row>
    <row r="797" spans="27:29" x14ac:dyDescent="0.3">
      <c r="AA797" t="s">
        <v>4531</v>
      </c>
      <c r="AB797" s="97">
        <v>46234</v>
      </c>
      <c r="AC797" s="6" t="s">
        <v>7430</v>
      </c>
    </row>
    <row r="798" spans="27:29" x14ac:dyDescent="0.3">
      <c r="AA798" t="s">
        <v>4533</v>
      </c>
      <c r="AB798" s="97">
        <v>46234</v>
      </c>
      <c r="AC798" s="6" t="s">
        <v>7430</v>
      </c>
    </row>
    <row r="799" spans="27:29" x14ac:dyDescent="0.3">
      <c r="AA799" t="s">
        <v>4535</v>
      </c>
      <c r="AB799" s="97">
        <v>46224</v>
      </c>
      <c r="AC799" s="6" t="s">
        <v>7429</v>
      </c>
    </row>
    <row r="800" spans="27:29" x14ac:dyDescent="0.3">
      <c r="AA800" t="s">
        <v>4537</v>
      </c>
      <c r="AB800" s="97">
        <v>46224</v>
      </c>
      <c r="AC800" s="6" t="s">
        <v>7429</v>
      </c>
    </row>
    <row r="801" spans="27:29" x14ac:dyDescent="0.3">
      <c r="AA801" t="s">
        <v>4539</v>
      </c>
      <c r="AB801" s="97">
        <v>46224</v>
      </c>
      <c r="AC801" s="6" t="s">
        <v>7429</v>
      </c>
    </row>
    <row r="802" spans="27:29" x14ac:dyDescent="0.3">
      <c r="AA802" t="s">
        <v>4541</v>
      </c>
      <c r="AB802" s="97">
        <v>46224</v>
      </c>
      <c r="AC802" s="6" t="s">
        <v>7429</v>
      </c>
    </row>
    <row r="803" spans="27:29" x14ac:dyDescent="0.3">
      <c r="AA803" t="s">
        <v>4543</v>
      </c>
      <c r="AB803" s="97">
        <v>46224</v>
      </c>
      <c r="AC803" s="6" t="s">
        <v>7429</v>
      </c>
    </row>
    <row r="804" spans="27:29" x14ac:dyDescent="0.3">
      <c r="AA804" t="s">
        <v>4545</v>
      </c>
      <c r="AB804" s="97">
        <v>46220</v>
      </c>
      <c r="AC804" s="6" t="s">
        <v>7429</v>
      </c>
    </row>
    <row r="805" spans="27:29" x14ac:dyDescent="0.3">
      <c r="AA805" t="s">
        <v>4547</v>
      </c>
      <c r="AB805" s="97">
        <v>46220</v>
      </c>
      <c r="AC805" s="6" t="s">
        <v>7429</v>
      </c>
    </row>
    <row r="806" spans="27:29" x14ac:dyDescent="0.3">
      <c r="AA806" t="s">
        <v>4561</v>
      </c>
      <c r="AB806" s="97">
        <v>46220</v>
      </c>
      <c r="AC806" s="6" t="s">
        <v>7429</v>
      </c>
    </row>
    <row r="807" spans="27:29" x14ac:dyDescent="0.3">
      <c r="AA807" t="s">
        <v>4562</v>
      </c>
      <c r="AB807" s="97">
        <v>46220</v>
      </c>
      <c r="AC807" s="6" t="s">
        <v>7429</v>
      </c>
    </row>
    <row r="808" spans="27:29" x14ac:dyDescent="0.3">
      <c r="AA808" t="s">
        <v>4563</v>
      </c>
      <c r="AB808" s="97">
        <v>46220</v>
      </c>
      <c r="AC808" s="6" t="s">
        <v>7429</v>
      </c>
    </row>
    <row r="809" spans="27:29" x14ac:dyDescent="0.3">
      <c r="AA809" t="s">
        <v>4564</v>
      </c>
      <c r="AB809" s="97">
        <v>46233</v>
      </c>
      <c r="AC809" s="6" t="s">
        <v>7429</v>
      </c>
    </row>
    <row r="810" spans="27:29" x14ac:dyDescent="0.3">
      <c r="AA810" t="s">
        <v>4565</v>
      </c>
      <c r="AB810" s="97">
        <v>46233</v>
      </c>
      <c r="AC810" s="6" t="s">
        <v>7429</v>
      </c>
    </row>
    <row r="811" spans="27:29" x14ac:dyDescent="0.3">
      <c r="AA811" t="s">
        <v>4566</v>
      </c>
      <c r="AB811" s="97">
        <v>46233</v>
      </c>
      <c r="AC811" s="6" t="s">
        <v>7429</v>
      </c>
    </row>
    <row r="812" spans="27:29" x14ac:dyDescent="0.3">
      <c r="AA812" t="s">
        <v>4582</v>
      </c>
      <c r="AB812" s="97">
        <v>46220</v>
      </c>
      <c r="AC812" s="6" t="s">
        <v>7429</v>
      </c>
    </row>
    <row r="813" spans="27:29" x14ac:dyDescent="0.3">
      <c r="AA813" t="s">
        <v>4583</v>
      </c>
      <c r="AB813" s="97">
        <v>46220</v>
      </c>
      <c r="AC813" s="6" t="s">
        <v>7429</v>
      </c>
    </row>
    <row r="814" spans="27:29" x14ac:dyDescent="0.3">
      <c r="AA814" t="s">
        <v>4584</v>
      </c>
      <c r="AB814" s="97">
        <v>46220</v>
      </c>
      <c r="AC814" s="6" t="s">
        <v>7429</v>
      </c>
    </row>
    <row r="815" spans="27:29" x14ac:dyDescent="0.3">
      <c r="AA815" t="s">
        <v>4585</v>
      </c>
      <c r="AB815" s="97">
        <v>46220</v>
      </c>
      <c r="AC815" s="6" t="s">
        <v>7429</v>
      </c>
    </row>
    <row r="816" spans="27:29" x14ac:dyDescent="0.3">
      <c r="AA816" t="s">
        <v>4586</v>
      </c>
      <c r="AB816" s="97">
        <v>46220</v>
      </c>
      <c r="AC816" s="6" t="s">
        <v>7429</v>
      </c>
    </row>
    <row r="817" spans="27:29" x14ac:dyDescent="0.3">
      <c r="AA817" t="s">
        <v>4587</v>
      </c>
      <c r="AB817" s="97">
        <v>46220</v>
      </c>
      <c r="AC817" s="6" t="s">
        <v>7429</v>
      </c>
    </row>
    <row r="818" spans="27:29" x14ac:dyDescent="0.3">
      <c r="AA818" t="s">
        <v>4588</v>
      </c>
      <c r="AB818" s="97">
        <v>46220</v>
      </c>
      <c r="AC818" s="6" t="s">
        <v>7429</v>
      </c>
    </row>
    <row r="819" spans="27:29" x14ac:dyDescent="0.3">
      <c r="AA819" t="s">
        <v>4589</v>
      </c>
      <c r="AB819" s="97">
        <v>46220</v>
      </c>
      <c r="AC819" s="6" t="s">
        <v>7429</v>
      </c>
    </row>
    <row r="820" spans="27:29" x14ac:dyDescent="0.3">
      <c r="AA820" t="s">
        <v>4600</v>
      </c>
      <c r="AB820" s="97">
        <v>46220</v>
      </c>
      <c r="AC820" s="6" t="s">
        <v>7429</v>
      </c>
    </row>
    <row r="821" spans="27:29" x14ac:dyDescent="0.3">
      <c r="AA821" t="s">
        <v>4601</v>
      </c>
      <c r="AB821" s="97">
        <v>46220</v>
      </c>
      <c r="AC821" s="6" t="s">
        <v>7429</v>
      </c>
    </row>
    <row r="822" spans="27:29" x14ac:dyDescent="0.3">
      <c r="AA822" t="s">
        <v>4602</v>
      </c>
      <c r="AB822" s="97">
        <v>46220</v>
      </c>
      <c r="AC822" s="6" t="s">
        <v>7429</v>
      </c>
    </row>
    <row r="823" spans="27:29" x14ac:dyDescent="0.3">
      <c r="AA823" t="s">
        <v>4603</v>
      </c>
      <c r="AB823" s="97">
        <v>46220</v>
      </c>
      <c r="AC823" s="6" t="s">
        <v>7429</v>
      </c>
    </row>
    <row r="824" spans="27:29" x14ac:dyDescent="0.3">
      <c r="AA824" t="s">
        <v>4614</v>
      </c>
      <c r="AB824" s="97">
        <v>46233</v>
      </c>
      <c r="AC824" s="6" t="s">
        <v>7429</v>
      </c>
    </row>
    <row r="825" spans="27:29" x14ac:dyDescent="0.3">
      <c r="AA825" t="s">
        <v>4615</v>
      </c>
      <c r="AB825" s="97">
        <v>46233</v>
      </c>
      <c r="AC825" s="6" t="s">
        <v>7429</v>
      </c>
    </row>
    <row r="826" spans="27:29" x14ac:dyDescent="0.3">
      <c r="AA826" t="s">
        <v>4616</v>
      </c>
      <c r="AB826" s="97">
        <v>46233</v>
      </c>
      <c r="AC826" s="6" t="s">
        <v>7429</v>
      </c>
    </row>
    <row r="827" spans="27:29" x14ac:dyDescent="0.3">
      <c r="AA827" t="s">
        <v>4617</v>
      </c>
      <c r="AB827" s="97">
        <v>46233</v>
      </c>
      <c r="AC827" s="6" t="s">
        <v>7429</v>
      </c>
    </row>
    <row r="828" spans="27:29" x14ac:dyDescent="0.3">
      <c r="AA828" t="s">
        <v>4628</v>
      </c>
      <c r="AB828" s="97">
        <v>46233</v>
      </c>
      <c r="AC828" s="6" t="s">
        <v>7429</v>
      </c>
    </row>
    <row r="829" spans="27:29" x14ac:dyDescent="0.3">
      <c r="AA829" t="s">
        <v>4629</v>
      </c>
      <c r="AB829" s="97">
        <v>46233</v>
      </c>
      <c r="AC829" s="6" t="s">
        <v>7429</v>
      </c>
    </row>
    <row r="830" spans="27:29" x14ac:dyDescent="0.3">
      <c r="AA830" t="s">
        <v>4630</v>
      </c>
      <c r="AB830" s="97">
        <v>46234</v>
      </c>
      <c r="AC830" s="6" t="s">
        <v>7429</v>
      </c>
    </row>
    <row r="831" spans="27:29" x14ac:dyDescent="0.3">
      <c r="AA831" t="s">
        <v>4631</v>
      </c>
      <c r="AB831" s="97">
        <v>46234</v>
      </c>
      <c r="AC831" s="6" t="s">
        <v>7429</v>
      </c>
    </row>
    <row r="832" spans="27:29" x14ac:dyDescent="0.3">
      <c r="AA832" t="s">
        <v>4642</v>
      </c>
      <c r="AB832" s="97">
        <v>46220</v>
      </c>
      <c r="AC832" s="6" t="s">
        <v>7429</v>
      </c>
    </row>
    <row r="833" spans="27:29" x14ac:dyDescent="0.3">
      <c r="AA833" t="s">
        <v>4643</v>
      </c>
      <c r="AB833" s="97">
        <v>46220</v>
      </c>
      <c r="AC833" s="6" t="s">
        <v>7429</v>
      </c>
    </row>
    <row r="834" spans="27:29" x14ac:dyDescent="0.3">
      <c r="AA834" t="s">
        <v>4644</v>
      </c>
      <c r="AB834" s="97">
        <v>46220</v>
      </c>
      <c r="AC834" s="6" t="s">
        <v>7429</v>
      </c>
    </row>
    <row r="835" spans="27:29" x14ac:dyDescent="0.3">
      <c r="AA835" t="s">
        <v>4645</v>
      </c>
      <c r="AB835" s="97">
        <v>46220</v>
      </c>
      <c r="AC835" s="6" t="s">
        <v>7429</v>
      </c>
    </row>
    <row r="836" spans="27:29" x14ac:dyDescent="0.3">
      <c r="AA836" t="s">
        <v>4646</v>
      </c>
      <c r="AB836" s="97">
        <v>46220</v>
      </c>
      <c r="AC836" s="6" t="s">
        <v>7429</v>
      </c>
    </row>
    <row r="837" spans="27:29" x14ac:dyDescent="0.3">
      <c r="AA837" t="s">
        <v>4647</v>
      </c>
      <c r="AB837" s="97">
        <v>46220</v>
      </c>
      <c r="AC837" s="6" t="s">
        <v>7429</v>
      </c>
    </row>
    <row r="838" spans="27:29" x14ac:dyDescent="0.3">
      <c r="AA838" t="s">
        <v>4648</v>
      </c>
      <c r="AB838" s="97">
        <v>46220</v>
      </c>
      <c r="AC838" s="6" t="s">
        <v>7429</v>
      </c>
    </row>
    <row r="839" spans="27:29" x14ac:dyDescent="0.3">
      <c r="AA839" t="s">
        <v>4649</v>
      </c>
      <c r="AB839" s="97">
        <v>46220</v>
      </c>
      <c r="AC839" s="6" t="s">
        <v>7429</v>
      </c>
    </row>
    <row r="840" spans="27:29" x14ac:dyDescent="0.3">
      <c r="AA840" t="s">
        <v>4650</v>
      </c>
      <c r="AB840" s="97">
        <v>46220</v>
      </c>
      <c r="AC840" s="6" t="s">
        <v>7429</v>
      </c>
    </row>
    <row r="841" spans="27:29" x14ac:dyDescent="0.3">
      <c r="AA841" t="s">
        <v>4651</v>
      </c>
      <c r="AB841" s="97">
        <v>46220</v>
      </c>
      <c r="AC841" s="6" t="s">
        <v>7429</v>
      </c>
    </row>
    <row r="842" spans="27:29" x14ac:dyDescent="0.3">
      <c r="AA842" t="s">
        <v>4652</v>
      </c>
      <c r="AB842" s="97">
        <v>46220</v>
      </c>
      <c r="AC842" s="6" t="s">
        <v>7429</v>
      </c>
    </row>
    <row r="843" spans="27:29" x14ac:dyDescent="0.3">
      <c r="AA843" t="s">
        <v>4653</v>
      </c>
      <c r="AB843" s="97">
        <v>46220</v>
      </c>
      <c r="AC843" s="6" t="s">
        <v>7429</v>
      </c>
    </row>
    <row r="844" spans="27:29" x14ac:dyDescent="0.3">
      <c r="AA844" t="s">
        <v>4684</v>
      </c>
      <c r="AB844" s="97">
        <v>46234</v>
      </c>
      <c r="AC844" s="6" t="s">
        <v>7430</v>
      </c>
    </row>
    <row r="845" spans="27:29" x14ac:dyDescent="0.3">
      <c r="AA845" t="s">
        <v>4685</v>
      </c>
      <c r="AB845" s="97">
        <v>46234</v>
      </c>
      <c r="AC845" s="6" t="s">
        <v>7430</v>
      </c>
    </row>
    <row r="846" spans="27:29" x14ac:dyDescent="0.3">
      <c r="AA846" t="s">
        <v>4686</v>
      </c>
      <c r="AB846" s="97">
        <v>46234</v>
      </c>
      <c r="AC846" s="6" t="s">
        <v>7430</v>
      </c>
    </row>
    <row r="847" spans="27:29" x14ac:dyDescent="0.3">
      <c r="AA847" t="s">
        <v>4687</v>
      </c>
      <c r="AB847" s="97">
        <v>46234</v>
      </c>
      <c r="AC847" s="6" t="s">
        <v>7430</v>
      </c>
    </row>
    <row r="848" spans="27:29" x14ac:dyDescent="0.3">
      <c r="AA848" t="s">
        <v>4688</v>
      </c>
      <c r="AB848" s="97">
        <v>46234</v>
      </c>
      <c r="AC848" s="6" t="s">
        <v>7430</v>
      </c>
    </row>
    <row r="849" spans="27:29" x14ac:dyDescent="0.3">
      <c r="AA849" t="s">
        <v>4689</v>
      </c>
      <c r="AB849" s="97">
        <v>46224</v>
      </c>
      <c r="AC849" s="6" t="s">
        <v>7429</v>
      </c>
    </row>
    <row r="850" spans="27:29" x14ac:dyDescent="0.3">
      <c r="AA850" t="s">
        <v>4690</v>
      </c>
      <c r="AB850" s="97">
        <v>46224</v>
      </c>
      <c r="AC850" s="6" t="s">
        <v>7429</v>
      </c>
    </row>
    <row r="851" spans="27:29" x14ac:dyDescent="0.3">
      <c r="AA851" t="s">
        <v>4691</v>
      </c>
      <c r="AB851" s="97">
        <v>46224</v>
      </c>
      <c r="AC851" s="6" t="s">
        <v>7429</v>
      </c>
    </row>
    <row r="852" spans="27:29" x14ac:dyDescent="0.3">
      <c r="AA852" t="s">
        <v>4692</v>
      </c>
      <c r="AB852" s="97">
        <v>46224</v>
      </c>
      <c r="AC852" s="6" t="s">
        <v>7429</v>
      </c>
    </row>
    <row r="853" spans="27:29" x14ac:dyDescent="0.3">
      <c r="AA853" t="s">
        <v>4693</v>
      </c>
      <c r="AB853" s="97">
        <v>46224</v>
      </c>
      <c r="AC853" s="6" t="s">
        <v>7429</v>
      </c>
    </row>
    <row r="854" spans="27:29" x14ac:dyDescent="0.3">
      <c r="AA854" t="s">
        <v>4694</v>
      </c>
      <c r="AB854" s="97">
        <v>46220</v>
      </c>
      <c r="AC854" s="6" t="s">
        <v>7429</v>
      </c>
    </row>
    <row r="855" spans="27:29" x14ac:dyDescent="0.3">
      <c r="AA855" t="s">
        <v>4695</v>
      </c>
      <c r="AB855" s="97">
        <v>46220</v>
      </c>
      <c r="AC855" s="6" t="s">
        <v>7429</v>
      </c>
    </row>
    <row r="856" spans="27:29" x14ac:dyDescent="0.3">
      <c r="AA856" t="s">
        <v>4703</v>
      </c>
      <c r="AB856" s="97">
        <v>46220</v>
      </c>
      <c r="AC856" s="6" t="s">
        <v>7429</v>
      </c>
    </row>
    <row r="857" spans="27:29" x14ac:dyDescent="0.3">
      <c r="AA857" t="s">
        <v>4704</v>
      </c>
      <c r="AB857" s="97">
        <v>46220</v>
      </c>
      <c r="AC857" s="6" t="s">
        <v>7429</v>
      </c>
    </row>
    <row r="858" spans="27:29" x14ac:dyDescent="0.3">
      <c r="AA858" t="s">
        <v>4705</v>
      </c>
      <c r="AB858" s="97">
        <v>46220</v>
      </c>
      <c r="AC858" s="6" t="s">
        <v>7429</v>
      </c>
    </row>
    <row r="859" spans="27:29" x14ac:dyDescent="0.3">
      <c r="AA859" t="s">
        <v>4706</v>
      </c>
      <c r="AB859" s="97">
        <v>46233</v>
      </c>
      <c r="AC859" s="6" t="s">
        <v>7429</v>
      </c>
    </row>
    <row r="860" spans="27:29" x14ac:dyDescent="0.3">
      <c r="AA860" t="s">
        <v>4707</v>
      </c>
      <c r="AB860" s="97">
        <v>46233</v>
      </c>
      <c r="AC860" s="6" t="s">
        <v>7429</v>
      </c>
    </row>
    <row r="861" spans="27:29" x14ac:dyDescent="0.3">
      <c r="AA861" t="s">
        <v>4708</v>
      </c>
      <c r="AB861" s="97">
        <v>46233</v>
      </c>
      <c r="AC861" s="6" t="s">
        <v>7429</v>
      </c>
    </row>
    <row r="862" spans="27:29" x14ac:dyDescent="0.3">
      <c r="AA862" t="s">
        <v>4724</v>
      </c>
      <c r="AB862" s="97">
        <v>46220</v>
      </c>
      <c r="AC862" s="6" t="s">
        <v>7429</v>
      </c>
    </row>
    <row r="863" spans="27:29" x14ac:dyDescent="0.3">
      <c r="AA863" t="s">
        <v>4725</v>
      </c>
      <c r="AB863" s="97">
        <v>46220</v>
      </c>
      <c r="AC863" s="6" t="s">
        <v>7429</v>
      </c>
    </row>
    <row r="864" spans="27:29" x14ac:dyDescent="0.3">
      <c r="AA864" t="s">
        <v>4726</v>
      </c>
      <c r="AB864" s="97">
        <v>46220</v>
      </c>
      <c r="AC864" s="6" t="s">
        <v>7429</v>
      </c>
    </row>
    <row r="865" spans="27:29" x14ac:dyDescent="0.3">
      <c r="AA865" t="s">
        <v>4727</v>
      </c>
      <c r="AB865" s="97">
        <v>46220</v>
      </c>
      <c r="AC865" s="6" t="s">
        <v>7429</v>
      </c>
    </row>
    <row r="866" spans="27:29" x14ac:dyDescent="0.3">
      <c r="AA866" t="s">
        <v>4728</v>
      </c>
      <c r="AB866" s="97">
        <v>46220</v>
      </c>
      <c r="AC866" s="6" t="s">
        <v>7429</v>
      </c>
    </row>
    <row r="867" spans="27:29" x14ac:dyDescent="0.3">
      <c r="AA867" t="s">
        <v>4729</v>
      </c>
      <c r="AB867" s="97">
        <v>46220</v>
      </c>
      <c r="AC867" s="6" t="s">
        <v>7429</v>
      </c>
    </row>
    <row r="868" spans="27:29" x14ac:dyDescent="0.3">
      <c r="AA868" t="s">
        <v>4730</v>
      </c>
      <c r="AB868" s="97">
        <v>46220</v>
      </c>
      <c r="AC868" s="6" t="s">
        <v>7429</v>
      </c>
    </row>
    <row r="869" spans="27:29" x14ac:dyDescent="0.3">
      <c r="AA869" t="s">
        <v>4731</v>
      </c>
      <c r="AB869" s="97">
        <v>46220</v>
      </c>
      <c r="AC869" s="6" t="s">
        <v>7429</v>
      </c>
    </row>
    <row r="870" spans="27:29" x14ac:dyDescent="0.3">
      <c r="AA870" t="s">
        <v>4742</v>
      </c>
      <c r="AB870" s="97">
        <v>46220</v>
      </c>
      <c r="AC870" s="6" t="s">
        <v>7429</v>
      </c>
    </row>
    <row r="871" spans="27:29" x14ac:dyDescent="0.3">
      <c r="AA871" t="s">
        <v>4743</v>
      </c>
      <c r="AB871" s="97">
        <v>46220</v>
      </c>
      <c r="AC871" s="6" t="s">
        <v>7429</v>
      </c>
    </row>
    <row r="872" spans="27:29" x14ac:dyDescent="0.3">
      <c r="AA872" t="s">
        <v>4744</v>
      </c>
      <c r="AB872" s="97">
        <v>46220</v>
      </c>
      <c r="AC872" s="6" t="s">
        <v>7429</v>
      </c>
    </row>
    <row r="873" spans="27:29" x14ac:dyDescent="0.3">
      <c r="AA873" t="s">
        <v>4745</v>
      </c>
      <c r="AB873" s="97">
        <v>46220</v>
      </c>
      <c r="AC873" s="6" t="s">
        <v>7429</v>
      </c>
    </row>
    <row r="874" spans="27:29" x14ac:dyDescent="0.3">
      <c r="AA874" t="s">
        <v>4756</v>
      </c>
      <c r="AB874" s="97">
        <v>46233</v>
      </c>
      <c r="AC874" s="6" t="s">
        <v>7429</v>
      </c>
    </row>
    <row r="875" spans="27:29" x14ac:dyDescent="0.3">
      <c r="AA875" t="s">
        <v>4757</v>
      </c>
      <c r="AB875" s="97">
        <v>46233</v>
      </c>
      <c r="AC875" s="6" t="s">
        <v>7429</v>
      </c>
    </row>
    <row r="876" spans="27:29" x14ac:dyDescent="0.3">
      <c r="AA876" t="s">
        <v>4758</v>
      </c>
      <c r="AB876" s="97">
        <v>46233</v>
      </c>
      <c r="AC876" s="6" t="s">
        <v>7429</v>
      </c>
    </row>
    <row r="877" spans="27:29" x14ac:dyDescent="0.3">
      <c r="AA877" t="s">
        <v>4759</v>
      </c>
      <c r="AB877" s="97">
        <v>46233</v>
      </c>
      <c r="AC877" s="6" t="s">
        <v>7429</v>
      </c>
    </row>
    <row r="878" spans="27:29" x14ac:dyDescent="0.3">
      <c r="AA878" t="s">
        <v>4770</v>
      </c>
      <c r="AB878" s="97">
        <v>46233</v>
      </c>
      <c r="AC878" s="6" t="s">
        <v>7429</v>
      </c>
    </row>
    <row r="879" spans="27:29" x14ac:dyDescent="0.3">
      <c r="AA879" t="s">
        <v>4771</v>
      </c>
      <c r="AB879" s="97">
        <v>46233</v>
      </c>
      <c r="AC879" s="6" t="s">
        <v>7429</v>
      </c>
    </row>
    <row r="880" spans="27:29" x14ac:dyDescent="0.3">
      <c r="AA880" t="s">
        <v>4772</v>
      </c>
      <c r="AB880" s="97">
        <v>46234</v>
      </c>
      <c r="AC880" s="6" t="s">
        <v>7429</v>
      </c>
    </row>
    <row r="881" spans="27:29" x14ac:dyDescent="0.3">
      <c r="AA881" t="s">
        <v>4773</v>
      </c>
      <c r="AB881" s="97">
        <v>46234</v>
      </c>
      <c r="AC881" s="6" t="s">
        <v>7429</v>
      </c>
    </row>
    <row r="882" spans="27:29" x14ac:dyDescent="0.3">
      <c r="AA882" t="s">
        <v>4784</v>
      </c>
      <c r="AB882" s="97">
        <v>46220</v>
      </c>
      <c r="AC882" s="6" t="s">
        <v>7429</v>
      </c>
    </row>
    <row r="883" spans="27:29" x14ac:dyDescent="0.3">
      <c r="AA883" t="s">
        <v>4785</v>
      </c>
      <c r="AB883" s="97">
        <v>46220</v>
      </c>
      <c r="AC883" s="6" t="s">
        <v>7429</v>
      </c>
    </row>
    <row r="884" spans="27:29" x14ac:dyDescent="0.3">
      <c r="AA884" t="s">
        <v>4786</v>
      </c>
      <c r="AB884" s="97">
        <v>46220</v>
      </c>
      <c r="AC884" s="6" t="s">
        <v>7429</v>
      </c>
    </row>
    <row r="885" spans="27:29" x14ac:dyDescent="0.3">
      <c r="AA885" t="s">
        <v>4787</v>
      </c>
      <c r="AB885" s="97">
        <v>46220</v>
      </c>
      <c r="AC885" s="6" t="s">
        <v>7429</v>
      </c>
    </row>
    <row r="886" spans="27:29" x14ac:dyDescent="0.3">
      <c r="AA886" t="s">
        <v>4788</v>
      </c>
      <c r="AB886" s="97">
        <v>46220</v>
      </c>
      <c r="AC886" s="6" t="s">
        <v>7429</v>
      </c>
    </row>
    <row r="887" spans="27:29" x14ac:dyDescent="0.3">
      <c r="AA887" t="s">
        <v>4789</v>
      </c>
      <c r="AB887" s="97">
        <v>46220</v>
      </c>
      <c r="AC887" s="6" t="s">
        <v>7429</v>
      </c>
    </row>
    <row r="888" spans="27:29" x14ac:dyDescent="0.3">
      <c r="AA888" t="s">
        <v>4790</v>
      </c>
      <c r="AB888" s="97">
        <v>46220</v>
      </c>
      <c r="AC888" s="6" t="s">
        <v>7429</v>
      </c>
    </row>
    <row r="889" spans="27:29" x14ac:dyDescent="0.3">
      <c r="AA889" t="s">
        <v>4791</v>
      </c>
      <c r="AB889" s="97">
        <v>46220</v>
      </c>
      <c r="AC889" s="6" t="s">
        <v>7429</v>
      </c>
    </row>
    <row r="890" spans="27:29" x14ac:dyDescent="0.3">
      <c r="AA890" t="s">
        <v>4792</v>
      </c>
      <c r="AB890" s="97">
        <v>46220</v>
      </c>
      <c r="AC890" s="6" t="s">
        <v>7429</v>
      </c>
    </row>
    <row r="891" spans="27:29" x14ac:dyDescent="0.3">
      <c r="AA891" t="s">
        <v>4793</v>
      </c>
      <c r="AB891" s="97">
        <v>46220</v>
      </c>
      <c r="AC891" s="6" t="s">
        <v>7429</v>
      </c>
    </row>
    <row r="892" spans="27:29" x14ac:dyDescent="0.3">
      <c r="AA892" t="s">
        <v>4794</v>
      </c>
      <c r="AB892" s="97">
        <v>46220</v>
      </c>
      <c r="AC892" s="6" t="s">
        <v>7429</v>
      </c>
    </row>
    <row r="893" spans="27:29" x14ac:dyDescent="0.3">
      <c r="AA893" t="s">
        <v>4795</v>
      </c>
      <c r="AB893" s="97">
        <v>46220</v>
      </c>
      <c r="AC893" s="6" t="s">
        <v>7429</v>
      </c>
    </row>
    <row r="894" spans="27:29" x14ac:dyDescent="0.3">
      <c r="AA894" t="s">
        <v>4826</v>
      </c>
      <c r="AB894" s="97">
        <v>46234</v>
      </c>
      <c r="AC894" s="6" t="s">
        <v>7430</v>
      </c>
    </row>
    <row r="895" spans="27:29" x14ac:dyDescent="0.3">
      <c r="AA895" t="s">
        <v>4827</v>
      </c>
      <c r="AB895" s="97">
        <v>46234</v>
      </c>
      <c r="AC895" s="6" t="s">
        <v>7430</v>
      </c>
    </row>
    <row r="896" spans="27:29" x14ac:dyDescent="0.3">
      <c r="AA896" t="s">
        <v>4828</v>
      </c>
      <c r="AB896" s="97">
        <v>46234</v>
      </c>
      <c r="AC896" s="6" t="s">
        <v>7430</v>
      </c>
    </row>
    <row r="897" spans="27:29" x14ac:dyDescent="0.3">
      <c r="AA897" t="s">
        <v>4829</v>
      </c>
      <c r="AB897" s="97">
        <v>46234</v>
      </c>
      <c r="AC897" s="6" t="s">
        <v>7430</v>
      </c>
    </row>
    <row r="898" spans="27:29" x14ac:dyDescent="0.3">
      <c r="AA898" t="s">
        <v>4830</v>
      </c>
      <c r="AB898" s="97">
        <v>46234</v>
      </c>
      <c r="AC898" s="6" t="s">
        <v>7430</v>
      </c>
    </row>
    <row r="899" spans="27:29" x14ac:dyDescent="0.3">
      <c r="AA899" t="s">
        <v>4831</v>
      </c>
      <c r="AB899" s="97">
        <v>46224</v>
      </c>
      <c r="AC899" s="6" t="s">
        <v>7429</v>
      </c>
    </row>
    <row r="900" spans="27:29" x14ac:dyDescent="0.3">
      <c r="AA900" t="s">
        <v>4832</v>
      </c>
      <c r="AB900" s="97">
        <v>46224</v>
      </c>
      <c r="AC900" s="6" t="s">
        <v>7429</v>
      </c>
    </row>
    <row r="901" spans="27:29" x14ac:dyDescent="0.3">
      <c r="AA901" t="s">
        <v>4833</v>
      </c>
      <c r="AB901" s="97">
        <v>46224</v>
      </c>
      <c r="AC901" s="6" t="s">
        <v>7429</v>
      </c>
    </row>
    <row r="902" spans="27:29" x14ac:dyDescent="0.3">
      <c r="AA902" t="s">
        <v>4834</v>
      </c>
      <c r="AB902" s="97">
        <v>46224</v>
      </c>
      <c r="AC902" s="6" t="s">
        <v>7429</v>
      </c>
    </row>
    <row r="903" spans="27:29" x14ac:dyDescent="0.3">
      <c r="AA903" t="s">
        <v>4835</v>
      </c>
      <c r="AB903" s="97">
        <v>46224</v>
      </c>
      <c r="AC903" s="6" t="s">
        <v>7429</v>
      </c>
    </row>
    <row r="904" spans="27:29" x14ac:dyDescent="0.3">
      <c r="AA904" t="s">
        <v>4836</v>
      </c>
      <c r="AB904" s="97">
        <v>46220</v>
      </c>
      <c r="AC904" s="6" t="s">
        <v>7429</v>
      </c>
    </row>
    <row r="905" spans="27:29" x14ac:dyDescent="0.3">
      <c r="AA905" t="s">
        <v>4837</v>
      </c>
      <c r="AB905" s="97">
        <v>46220</v>
      </c>
      <c r="AC905" s="6" t="s">
        <v>7429</v>
      </c>
    </row>
    <row r="906" spans="27:29" x14ac:dyDescent="0.3">
      <c r="AA906" t="s">
        <v>4845</v>
      </c>
      <c r="AB906" s="97">
        <v>46220</v>
      </c>
      <c r="AC906" s="6" t="s">
        <v>7429</v>
      </c>
    </row>
    <row r="907" spans="27:29" x14ac:dyDescent="0.3">
      <c r="AA907" t="s">
        <v>4846</v>
      </c>
      <c r="AB907" s="97">
        <v>46233</v>
      </c>
      <c r="AC907" s="6" t="s">
        <v>7429</v>
      </c>
    </row>
    <row r="908" spans="27:29" x14ac:dyDescent="0.3">
      <c r="AA908" t="s">
        <v>4852</v>
      </c>
      <c r="AB908" s="97">
        <v>46220</v>
      </c>
      <c r="AC908" s="6" t="s">
        <v>7429</v>
      </c>
    </row>
    <row r="909" spans="27:29" x14ac:dyDescent="0.3">
      <c r="AA909" t="s">
        <v>4853</v>
      </c>
      <c r="AB909" s="97">
        <v>46220</v>
      </c>
      <c r="AC909" s="6" t="s">
        <v>7429</v>
      </c>
    </row>
    <row r="910" spans="27:29" x14ac:dyDescent="0.3">
      <c r="AA910" t="s">
        <v>4854</v>
      </c>
      <c r="AB910" s="97">
        <v>46220</v>
      </c>
      <c r="AC910" s="6" t="s">
        <v>7429</v>
      </c>
    </row>
    <row r="911" spans="27:29" x14ac:dyDescent="0.3">
      <c r="AA911" t="s">
        <v>4855</v>
      </c>
      <c r="AB911" s="97">
        <v>46220</v>
      </c>
      <c r="AC911" s="6" t="s">
        <v>7429</v>
      </c>
    </row>
    <row r="912" spans="27:29" x14ac:dyDescent="0.3">
      <c r="AA912" t="s">
        <v>4861</v>
      </c>
      <c r="AB912" s="97">
        <v>46220</v>
      </c>
      <c r="AC912" s="6" t="s">
        <v>7429</v>
      </c>
    </row>
    <row r="913" spans="27:29" x14ac:dyDescent="0.3">
      <c r="AA913" t="s">
        <v>4862</v>
      </c>
      <c r="AB913" s="97">
        <v>46220</v>
      </c>
      <c r="AC913" s="6" t="s">
        <v>7429</v>
      </c>
    </row>
    <row r="914" spans="27:29" x14ac:dyDescent="0.3">
      <c r="AA914" t="s">
        <v>4868</v>
      </c>
      <c r="AB914" s="97">
        <v>46233</v>
      </c>
      <c r="AC914" s="6" t="s">
        <v>7429</v>
      </c>
    </row>
    <row r="915" spans="27:29" x14ac:dyDescent="0.3">
      <c r="AA915" t="s">
        <v>4869</v>
      </c>
      <c r="AB915" s="97">
        <v>46233</v>
      </c>
      <c r="AC915" s="6" t="s">
        <v>7429</v>
      </c>
    </row>
    <row r="916" spans="27:29" x14ac:dyDescent="0.3">
      <c r="AA916" t="s">
        <v>4875</v>
      </c>
      <c r="AB916" s="97">
        <v>46233</v>
      </c>
      <c r="AC916" s="6" t="s">
        <v>7429</v>
      </c>
    </row>
    <row r="917" spans="27:29" x14ac:dyDescent="0.3">
      <c r="AA917" t="s">
        <v>4876</v>
      </c>
      <c r="AB917" s="97">
        <v>46234</v>
      </c>
      <c r="AC917" s="6" t="s">
        <v>7429</v>
      </c>
    </row>
    <row r="918" spans="27:29" x14ac:dyDescent="0.3">
      <c r="AA918" t="s">
        <v>4882</v>
      </c>
      <c r="AB918" s="97">
        <v>46220</v>
      </c>
      <c r="AC918" s="6" t="s">
        <v>7429</v>
      </c>
    </row>
    <row r="919" spans="27:29" x14ac:dyDescent="0.3">
      <c r="AA919" t="s">
        <v>4883</v>
      </c>
      <c r="AB919" s="97">
        <v>46220</v>
      </c>
      <c r="AC919" s="6" t="s">
        <v>7429</v>
      </c>
    </row>
    <row r="920" spans="27:29" x14ac:dyDescent="0.3">
      <c r="AA920" t="s">
        <v>4889</v>
      </c>
      <c r="AB920" s="97">
        <v>46234</v>
      </c>
      <c r="AC920" s="6" t="s">
        <v>7430</v>
      </c>
    </row>
    <row r="921" spans="27:29" x14ac:dyDescent="0.3">
      <c r="AA921" t="s">
        <v>4890</v>
      </c>
      <c r="AB921" s="97">
        <v>46234</v>
      </c>
      <c r="AC921" s="6" t="s">
        <v>7430</v>
      </c>
    </row>
    <row r="922" spans="27:29" x14ac:dyDescent="0.3">
      <c r="AA922" t="s">
        <v>4891</v>
      </c>
      <c r="AB922" s="97">
        <v>46224</v>
      </c>
      <c r="AC922" s="6" t="s">
        <v>7429</v>
      </c>
    </row>
    <row r="923" spans="27:29" x14ac:dyDescent="0.3">
      <c r="AA923" t="s">
        <v>4894</v>
      </c>
      <c r="AB923" s="97">
        <v>46220</v>
      </c>
      <c r="AC923" s="6" t="s">
        <v>7429</v>
      </c>
    </row>
    <row r="924" spans="27:29" x14ac:dyDescent="0.3">
      <c r="AA924" t="s">
        <v>4895</v>
      </c>
      <c r="AB924" s="97">
        <v>46220</v>
      </c>
      <c r="AC924" s="6" t="s">
        <v>7429</v>
      </c>
    </row>
    <row r="925" spans="27:29" x14ac:dyDescent="0.3">
      <c r="AA925" t="s">
        <v>4901</v>
      </c>
      <c r="AB925" s="97">
        <v>46233</v>
      </c>
      <c r="AC925" s="6" t="s">
        <v>7429</v>
      </c>
    </row>
    <row r="926" spans="27:29" x14ac:dyDescent="0.3">
      <c r="AA926" t="s">
        <v>4902</v>
      </c>
      <c r="AB926" s="97">
        <v>46233</v>
      </c>
      <c r="AC926" s="6" t="s">
        <v>7429</v>
      </c>
    </row>
    <row r="927" spans="27:29" x14ac:dyDescent="0.3">
      <c r="AA927" t="s">
        <v>4908</v>
      </c>
      <c r="AB927" s="97">
        <v>46220</v>
      </c>
      <c r="AC927" s="6" t="s">
        <v>7429</v>
      </c>
    </row>
    <row r="928" spans="27:29" x14ac:dyDescent="0.3">
      <c r="AA928" t="s">
        <v>4909</v>
      </c>
      <c r="AB928" s="97">
        <v>46220</v>
      </c>
      <c r="AC928" s="6" t="s">
        <v>7429</v>
      </c>
    </row>
    <row r="929" spans="27:29" x14ac:dyDescent="0.3">
      <c r="AA929" t="s">
        <v>4917</v>
      </c>
      <c r="AB929" s="97">
        <v>46220</v>
      </c>
      <c r="AC929" s="6" t="s">
        <v>7429</v>
      </c>
    </row>
    <row r="930" spans="27:29" x14ac:dyDescent="0.3">
      <c r="AA930" t="s">
        <v>4918</v>
      </c>
      <c r="AB930" s="97">
        <v>46220</v>
      </c>
      <c r="AC930" s="6" t="s">
        <v>7429</v>
      </c>
    </row>
    <row r="931" spans="27:29" x14ac:dyDescent="0.3">
      <c r="AA931" t="s">
        <v>4919</v>
      </c>
      <c r="AB931" s="97">
        <v>46220</v>
      </c>
      <c r="AC931" s="6" t="s">
        <v>7429</v>
      </c>
    </row>
    <row r="932" spans="27:29" x14ac:dyDescent="0.3">
      <c r="AA932" t="s">
        <v>4920</v>
      </c>
      <c r="AB932" s="97">
        <v>46233</v>
      </c>
      <c r="AC932" s="6" t="s">
        <v>7429</v>
      </c>
    </row>
    <row r="933" spans="27:29" x14ac:dyDescent="0.3">
      <c r="AA933" t="s">
        <v>4921</v>
      </c>
      <c r="AB933" s="97">
        <v>46233</v>
      </c>
      <c r="AC933" s="6" t="s">
        <v>7429</v>
      </c>
    </row>
    <row r="934" spans="27:29" x14ac:dyDescent="0.3">
      <c r="AA934" t="s">
        <v>4922</v>
      </c>
      <c r="AB934" s="97">
        <v>46233</v>
      </c>
      <c r="AC934" s="6" t="s">
        <v>7429</v>
      </c>
    </row>
    <row r="935" spans="27:29" x14ac:dyDescent="0.3">
      <c r="AA935" t="s">
        <v>4938</v>
      </c>
      <c r="AB935" s="97">
        <v>46220</v>
      </c>
      <c r="AC935" s="6" t="s">
        <v>7429</v>
      </c>
    </row>
    <row r="936" spans="27:29" x14ac:dyDescent="0.3">
      <c r="AA936" t="s">
        <v>4939</v>
      </c>
      <c r="AB936" s="97">
        <v>46220</v>
      </c>
      <c r="AC936" s="6" t="s">
        <v>7429</v>
      </c>
    </row>
    <row r="937" spans="27:29" x14ac:dyDescent="0.3">
      <c r="AA937" t="s">
        <v>4940</v>
      </c>
      <c r="AB937" s="97">
        <v>46220</v>
      </c>
      <c r="AC937" s="6" t="s">
        <v>7429</v>
      </c>
    </row>
    <row r="938" spans="27:29" x14ac:dyDescent="0.3">
      <c r="AA938" t="s">
        <v>4941</v>
      </c>
      <c r="AB938" s="97">
        <v>46220</v>
      </c>
      <c r="AC938" s="6" t="s">
        <v>7429</v>
      </c>
    </row>
    <row r="939" spans="27:29" x14ac:dyDescent="0.3">
      <c r="AA939" t="s">
        <v>4942</v>
      </c>
      <c r="AB939" s="97">
        <v>46220</v>
      </c>
      <c r="AC939" s="6" t="s">
        <v>7429</v>
      </c>
    </row>
    <row r="940" spans="27:29" x14ac:dyDescent="0.3">
      <c r="AA940" t="s">
        <v>4943</v>
      </c>
      <c r="AB940" s="97">
        <v>46220</v>
      </c>
      <c r="AC940" s="6" t="s">
        <v>7429</v>
      </c>
    </row>
    <row r="941" spans="27:29" x14ac:dyDescent="0.3">
      <c r="AA941" t="s">
        <v>4944</v>
      </c>
      <c r="AB941" s="97">
        <v>46220</v>
      </c>
      <c r="AC941" s="6" t="s">
        <v>7429</v>
      </c>
    </row>
    <row r="942" spans="27:29" x14ac:dyDescent="0.3">
      <c r="AA942" t="s">
        <v>4945</v>
      </c>
      <c r="AB942" s="97">
        <v>46220</v>
      </c>
      <c r="AC942" s="6" t="s">
        <v>7429</v>
      </c>
    </row>
    <row r="943" spans="27:29" x14ac:dyDescent="0.3">
      <c r="AA943" t="s">
        <v>4956</v>
      </c>
      <c r="AB943" s="97">
        <v>46220</v>
      </c>
      <c r="AC943" s="6" t="s">
        <v>7429</v>
      </c>
    </row>
    <row r="944" spans="27:29" x14ac:dyDescent="0.3">
      <c r="AA944" t="s">
        <v>4957</v>
      </c>
      <c r="AB944" s="97">
        <v>46220</v>
      </c>
      <c r="AC944" s="6" t="s">
        <v>7429</v>
      </c>
    </row>
    <row r="945" spans="27:29" x14ac:dyDescent="0.3">
      <c r="AA945" t="s">
        <v>4958</v>
      </c>
      <c r="AB945" s="97">
        <v>46220</v>
      </c>
      <c r="AC945" s="6" t="s">
        <v>7429</v>
      </c>
    </row>
    <row r="946" spans="27:29" x14ac:dyDescent="0.3">
      <c r="AA946" t="s">
        <v>4959</v>
      </c>
      <c r="AB946" s="97">
        <v>46220</v>
      </c>
      <c r="AC946" s="6" t="s">
        <v>7429</v>
      </c>
    </row>
    <row r="947" spans="27:29" x14ac:dyDescent="0.3">
      <c r="AA947" t="s">
        <v>4970</v>
      </c>
      <c r="AB947" s="97">
        <v>46233</v>
      </c>
      <c r="AC947" s="6" t="s">
        <v>7429</v>
      </c>
    </row>
    <row r="948" spans="27:29" x14ac:dyDescent="0.3">
      <c r="AA948" t="s">
        <v>4971</v>
      </c>
      <c r="AB948" s="97">
        <v>46233</v>
      </c>
      <c r="AC948" s="6" t="s">
        <v>7429</v>
      </c>
    </row>
    <row r="949" spans="27:29" x14ac:dyDescent="0.3">
      <c r="AA949" t="s">
        <v>4972</v>
      </c>
      <c r="AB949" s="97">
        <v>46233</v>
      </c>
      <c r="AC949" s="6" t="s">
        <v>7429</v>
      </c>
    </row>
    <row r="950" spans="27:29" x14ac:dyDescent="0.3">
      <c r="AA950" t="s">
        <v>4973</v>
      </c>
      <c r="AB950" s="97">
        <v>46233</v>
      </c>
      <c r="AC950" s="6" t="s">
        <v>7429</v>
      </c>
    </row>
    <row r="951" spans="27:29" x14ac:dyDescent="0.3">
      <c r="AA951" t="s">
        <v>4984</v>
      </c>
      <c r="AB951" s="97">
        <v>46233</v>
      </c>
      <c r="AC951" s="6" t="s">
        <v>7429</v>
      </c>
    </row>
    <row r="952" spans="27:29" x14ac:dyDescent="0.3">
      <c r="AA952" t="s">
        <v>4985</v>
      </c>
      <c r="AB952" s="97">
        <v>46233</v>
      </c>
      <c r="AC952" s="6" t="s">
        <v>7429</v>
      </c>
    </row>
    <row r="953" spans="27:29" x14ac:dyDescent="0.3">
      <c r="AA953" t="s">
        <v>4986</v>
      </c>
      <c r="AB953" s="97">
        <v>46234</v>
      </c>
      <c r="AC953" s="6" t="s">
        <v>7429</v>
      </c>
    </row>
    <row r="954" spans="27:29" x14ac:dyDescent="0.3">
      <c r="AA954" t="s">
        <v>4987</v>
      </c>
      <c r="AB954" s="97">
        <v>46234</v>
      </c>
      <c r="AC954" s="6" t="s">
        <v>7429</v>
      </c>
    </row>
    <row r="955" spans="27:29" x14ac:dyDescent="0.3">
      <c r="AA955" t="s">
        <v>4998</v>
      </c>
      <c r="AB955" s="97">
        <v>46220</v>
      </c>
      <c r="AC955" s="6" t="s">
        <v>7429</v>
      </c>
    </row>
    <row r="956" spans="27:29" x14ac:dyDescent="0.3">
      <c r="AA956" t="s">
        <v>4999</v>
      </c>
      <c r="AB956" s="97">
        <v>46220</v>
      </c>
      <c r="AC956" s="6" t="s">
        <v>7429</v>
      </c>
    </row>
    <row r="957" spans="27:29" x14ac:dyDescent="0.3">
      <c r="AA957" t="s">
        <v>5000</v>
      </c>
      <c r="AB957" s="97">
        <v>46220</v>
      </c>
      <c r="AC957" s="6" t="s">
        <v>7429</v>
      </c>
    </row>
    <row r="958" spans="27:29" x14ac:dyDescent="0.3">
      <c r="AA958" t="s">
        <v>5001</v>
      </c>
      <c r="AB958" s="97">
        <v>46220</v>
      </c>
      <c r="AC958" s="6" t="s">
        <v>7429</v>
      </c>
    </row>
    <row r="959" spans="27:29" x14ac:dyDescent="0.3">
      <c r="AA959" t="s">
        <v>5002</v>
      </c>
      <c r="AB959" s="97">
        <v>46220</v>
      </c>
      <c r="AC959" s="6" t="s">
        <v>7429</v>
      </c>
    </row>
    <row r="960" spans="27:29" x14ac:dyDescent="0.3">
      <c r="AA960" t="s">
        <v>5003</v>
      </c>
      <c r="AB960" s="97">
        <v>46220</v>
      </c>
      <c r="AC960" s="6" t="s">
        <v>7429</v>
      </c>
    </row>
    <row r="961" spans="27:29" x14ac:dyDescent="0.3">
      <c r="AA961" t="s">
        <v>5004</v>
      </c>
      <c r="AB961" s="97">
        <v>46220</v>
      </c>
      <c r="AC961" s="6" t="s">
        <v>7429</v>
      </c>
    </row>
    <row r="962" spans="27:29" x14ac:dyDescent="0.3">
      <c r="AA962" t="s">
        <v>5005</v>
      </c>
      <c r="AB962" s="97">
        <v>46220</v>
      </c>
      <c r="AC962" s="6" t="s">
        <v>7429</v>
      </c>
    </row>
    <row r="963" spans="27:29" x14ac:dyDescent="0.3">
      <c r="AA963" t="s">
        <v>5006</v>
      </c>
      <c r="AB963" s="97">
        <v>46220</v>
      </c>
      <c r="AC963" s="6" t="s">
        <v>7429</v>
      </c>
    </row>
    <row r="964" spans="27:29" x14ac:dyDescent="0.3">
      <c r="AA964" t="s">
        <v>5007</v>
      </c>
      <c r="AB964" s="97">
        <v>46220</v>
      </c>
      <c r="AC964" s="6" t="s">
        <v>7429</v>
      </c>
    </row>
    <row r="965" spans="27:29" x14ac:dyDescent="0.3">
      <c r="AA965" t="s">
        <v>5008</v>
      </c>
      <c r="AB965" s="97">
        <v>46220</v>
      </c>
      <c r="AC965" s="6" t="s">
        <v>7429</v>
      </c>
    </row>
    <row r="966" spans="27:29" x14ac:dyDescent="0.3">
      <c r="AA966" t="s">
        <v>5009</v>
      </c>
      <c r="AB966" s="97">
        <v>46220</v>
      </c>
      <c r="AC966" s="6" t="s">
        <v>7429</v>
      </c>
    </row>
    <row r="967" spans="27:29" x14ac:dyDescent="0.3">
      <c r="AA967" t="s">
        <v>5040</v>
      </c>
      <c r="AB967" s="97">
        <v>46234</v>
      </c>
      <c r="AC967" s="6" t="s">
        <v>7430</v>
      </c>
    </row>
    <row r="968" spans="27:29" x14ac:dyDescent="0.3">
      <c r="AA968" t="s">
        <v>5041</v>
      </c>
      <c r="AB968" s="97">
        <v>46234</v>
      </c>
      <c r="AC968" s="6" t="s">
        <v>7430</v>
      </c>
    </row>
    <row r="969" spans="27:29" x14ac:dyDescent="0.3">
      <c r="AA969" t="s">
        <v>5042</v>
      </c>
      <c r="AB969" s="97">
        <v>46234</v>
      </c>
      <c r="AC969" s="6" t="s">
        <v>7430</v>
      </c>
    </row>
    <row r="970" spans="27:29" x14ac:dyDescent="0.3">
      <c r="AA970" t="s">
        <v>5043</v>
      </c>
      <c r="AB970" s="97">
        <v>46234</v>
      </c>
      <c r="AC970" s="6" t="s">
        <v>7430</v>
      </c>
    </row>
    <row r="971" spans="27:29" x14ac:dyDescent="0.3">
      <c r="AA971" t="s">
        <v>5044</v>
      </c>
      <c r="AB971" s="97">
        <v>46234</v>
      </c>
      <c r="AC971" s="6" t="s">
        <v>7430</v>
      </c>
    </row>
    <row r="972" spans="27:29" x14ac:dyDescent="0.3">
      <c r="AA972" t="s">
        <v>5045</v>
      </c>
      <c r="AB972" s="97">
        <v>46224</v>
      </c>
      <c r="AC972" s="6" t="s">
        <v>7429</v>
      </c>
    </row>
    <row r="973" spans="27:29" x14ac:dyDescent="0.3">
      <c r="AA973" t="s">
        <v>5046</v>
      </c>
      <c r="AB973" s="97">
        <v>46224</v>
      </c>
      <c r="AC973" s="6" t="s">
        <v>7429</v>
      </c>
    </row>
    <row r="974" spans="27:29" x14ac:dyDescent="0.3">
      <c r="AA974" t="s">
        <v>5047</v>
      </c>
      <c r="AB974" s="97">
        <v>46224</v>
      </c>
      <c r="AC974" s="6" t="s">
        <v>7429</v>
      </c>
    </row>
    <row r="975" spans="27:29" x14ac:dyDescent="0.3">
      <c r="AA975" t="s">
        <v>5048</v>
      </c>
      <c r="AB975" s="97">
        <v>46224</v>
      </c>
      <c r="AC975" s="6" t="s">
        <v>7429</v>
      </c>
    </row>
    <row r="976" spans="27:29" x14ac:dyDescent="0.3">
      <c r="AA976" t="s">
        <v>5049</v>
      </c>
      <c r="AB976" s="97">
        <v>46224</v>
      </c>
      <c r="AC976" s="6" t="s">
        <v>7429</v>
      </c>
    </row>
    <row r="977" spans="27:29" x14ac:dyDescent="0.3">
      <c r="AA977" t="s">
        <v>5050</v>
      </c>
      <c r="AB977" s="97">
        <v>46220</v>
      </c>
      <c r="AC977" s="6" t="s">
        <v>7429</v>
      </c>
    </row>
    <row r="978" spans="27:29" x14ac:dyDescent="0.3">
      <c r="AA978" t="s">
        <v>5051</v>
      </c>
      <c r="AB978" s="97">
        <v>46220</v>
      </c>
      <c r="AC978" s="6" t="s">
        <v>7429</v>
      </c>
    </row>
    <row r="979" spans="27:29" x14ac:dyDescent="0.3">
      <c r="AA979" t="s">
        <v>5060</v>
      </c>
      <c r="AB979" s="97">
        <v>46220</v>
      </c>
      <c r="AC979" s="6" t="s">
        <v>7429</v>
      </c>
    </row>
    <row r="980" spans="27:29" x14ac:dyDescent="0.3">
      <c r="AA980" t="s">
        <v>5061</v>
      </c>
      <c r="AB980" s="97">
        <v>46220</v>
      </c>
      <c r="AC980" s="6" t="s">
        <v>7429</v>
      </c>
    </row>
    <row r="981" spans="27:29" x14ac:dyDescent="0.3">
      <c r="AA981" t="s">
        <v>5062</v>
      </c>
      <c r="AB981" s="97">
        <v>46220</v>
      </c>
      <c r="AC981" s="6" t="s">
        <v>7429</v>
      </c>
    </row>
    <row r="982" spans="27:29" x14ac:dyDescent="0.3">
      <c r="AA982" t="s">
        <v>5063</v>
      </c>
      <c r="AB982" s="97">
        <v>46233</v>
      </c>
      <c r="AC982" s="6" t="s">
        <v>7429</v>
      </c>
    </row>
    <row r="983" spans="27:29" x14ac:dyDescent="0.3">
      <c r="AA983" t="s">
        <v>5064</v>
      </c>
      <c r="AB983" s="97">
        <v>46233</v>
      </c>
      <c r="AC983" s="6" t="s">
        <v>7429</v>
      </c>
    </row>
    <row r="984" spans="27:29" x14ac:dyDescent="0.3">
      <c r="AA984" t="s">
        <v>5065</v>
      </c>
      <c r="AB984" s="97">
        <v>46233</v>
      </c>
      <c r="AC984" s="6" t="s">
        <v>7429</v>
      </c>
    </row>
    <row r="985" spans="27:29" x14ac:dyDescent="0.3">
      <c r="AA985" t="s">
        <v>5081</v>
      </c>
      <c r="AB985" s="97">
        <v>46220</v>
      </c>
      <c r="AC985" s="6" t="s">
        <v>7429</v>
      </c>
    </row>
    <row r="986" spans="27:29" x14ac:dyDescent="0.3">
      <c r="AA986" t="s">
        <v>5082</v>
      </c>
      <c r="AB986" s="97">
        <v>46220</v>
      </c>
      <c r="AC986" s="6" t="s">
        <v>7429</v>
      </c>
    </row>
    <row r="987" spans="27:29" x14ac:dyDescent="0.3">
      <c r="AA987" t="s">
        <v>5083</v>
      </c>
      <c r="AB987" s="97">
        <v>46220</v>
      </c>
      <c r="AC987" s="6" t="s">
        <v>7429</v>
      </c>
    </row>
    <row r="988" spans="27:29" x14ac:dyDescent="0.3">
      <c r="AA988" t="s">
        <v>5084</v>
      </c>
      <c r="AB988" s="97">
        <v>46220</v>
      </c>
      <c r="AC988" s="6" t="s">
        <v>7429</v>
      </c>
    </row>
    <row r="989" spans="27:29" x14ac:dyDescent="0.3">
      <c r="AA989" t="s">
        <v>5085</v>
      </c>
      <c r="AB989" s="97">
        <v>46220</v>
      </c>
      <c r="AC989" s="6" t="s">
        <v>7429</v>
      </c>
    </row>
    <row r="990" spans="27:29" x14ac:dyDescent="0.3">
      <c r="AA990" t="s">
        <v>5086</v>
      </c>
      <c r="AB990" s="97">
        <v>46220</v>
      </c>
      <c r="AC990" s="6" t="s">
        <v>7429</v>
      </c>
    </row>
    <row r="991" spans="27:29" x14ac:dyDescent="0.3">
      <c r="AA991" t="s">
        <v>5087</v>
      </c>
      <c r="AB991" s="97">
        <v>46220</v>
      </c>
      <c r="AC991" s="6" t="s">
        <v>7429</v>
      </c>
    </row>
    <row r="992" spans="27:29" x14ac:dyDescent="0.3">
      <c r="AA992" t="s">
        <v>5088</v>
      </c>
      <c r="AB992" s="97">
        <v>46220</v>
      </c>
      <c r="AC992" s="6" t="s">
        <v>7429</v>
      </c>
    </row>
    <row r="993" spans="27:29" x14ac:dyDescent="0.3">
      <c r="AA993" t="s">
        <v>5099</v>
      </c>
      <c r="AB993" s="97">
        <v>46220</v>
      </c>
      <c r="AC993" s="6" t="s">
        <v>7429</v>
      </c>
    </row>
    <row r="994" spans="27:29" x14ac:dyDescent="0.3">
      <c r="AA994" t="s">
        <v>5100</v>
      </c>
      <c r="AB994" s="97">
        <v>46220</v>
      </c>
      <c r="AC994" s="6" t="s">
        <v>7429</v>
      </c>
    </row>
    <row r="995" spans="27:29" x14ac:dyDescent="0.3">
      <c r="AA995" t="s">
        <v>5101</v>
      </c>
      <c r="AB995" s="97">
        <v>46220</v>
      </c>
      <c r="AC995" s="6" t="s">
        <v>7429</v>
      </c>
    </row>
    <row r="996" spans="27:29" x14ac:dyDescent="0.3">
      <c r="AA996" t="s">
        <v>5102</v>
      </c>
      <c r="AB996" s="97">
        <v>46220</v>
      </c>
      <c r="AC996" s="6" t="s">
        <v>7429</v>
      </c>
    </row>
    <row r="997" spans="27:29" x14ac:dyDescent="0.3">
      <c r="AA997" t="s">
        <v>5113</v>
      </c>
      <c r="AB997" s="97">
        <v>46233</v>
      </c>
      <c r="AC997" s="6" t="s">
        <v>7429</v>
      </c>
    </row>
    <row r="998" spans="27:29" x14ac:dyDescent="0.3">
      <c r="AA998" t="s">
        <v>5114</v>
      </c>
      <c r="AB998" s="97">
        <v>46233</v>
      </c>
      <c r="AC998" s="6" t="s">
        <v>7429</v>
      </c>
    </row>
    <row r="999" spans="27:29" x14ac:dyDescent="0.3">
      <c r="AA999" t="s">
        <v>5115</v>
      </c>
      <c r="AB999" s="97">
        <v>46233</v>
      </c>
      <c r="AC999" s="6" t="s">
        <v>7429</v>
      </c>
    </row>
    <row r="1000" spans="27:29" x14ac:dyDescent="0.3">
      <c r="AA1000" t="s">
        <v>5116</v>
      </c>
      <c r="AB1000" s="97">
        <v>46233</v>
      </c>
      <c r="AC1000" s="6" t="s">
        <v>7429</v>
      </c>
    </row>
    <row r="1001" spans="27:29" x14ac:dyDescent="0.3">
      <c r="AA1001" t="s">
        <v>5127</v>
      </c>
      <c r="AB1001" s="97">
        <v>46233</v>
      </c>
      <c r="AC1001" s="6" t="s">
        <v>7429</v>
      </c>
    </row>
    <row r="1002" spans="27:29" x14ac:dyDescent="0.3">
      <c r="AA1002" t="s">
        <v>5128</v>
      </c>
      <c r="AB1002" s="97">
        <v>46233</v>
      </c>
      <c r="AC1002" s="6" t="s">
        <v>7429</v>
      </c>
    </row>
    <row r="1003" spans="27:29" x14ac:dyDescent="0.3">
      <c r="AA1003" t="s">
        <v>5129</v>
      </c>
      <c r="AB1003" s="97">
        <v>46234</v>
      </c>
      <c r="AC1003" s="6" t="s">
        <v>7429</v>
      </c>
    </row>
    <row r="1004" spans="27:29" x14ac:dyDescent="0.3">
      <c r="AA1004" t="s">
        <v>5130</v>
      </c>
      <c r="AB1004" s="97">
        <v>46234</v>
      </c>
      <c r="AC1004" s="6" t="s">
        <v>7429</v>
      </c>
    </row>
    <row r="1005" spans="27:29" x14ac:dyDescent="0.3">
      <c r="AA1005" t="s">
        <v>5141</v>
      </c>
      <c r="AB1005" s="97">
        <v>46220</v>
      </c>
      <c r="AC1005" s="6" t="s">
        <v>7429</v>
      </c>
    </row>
    <row r="1006" spans="27:29" x14ac:dyDescent="0.3">
      <c r="AA1006" t="s">
        <v>5142</v>
      </c>
      <c r="AB1006" s="97">
        <v>46220</v>
      </c>
      <c r="AC1006" s="6" t="s">
        <v>7429</v>
      </c>
    </row>
    <row r="1007" spans="27:29" x14ac:dyDescent="0.3">
      <c r="AA1007" t="s">
        <v>5143</v>
      </c>
      <c r="AB1007" s="97">
        <v>46220</v>
      </c>
      <c r="AC1007" s="6" t="s">
        <v>7429</v>
      </c>
    </row>
    <row r="1008" spans="27:29" x14ac:dyDescent="0.3">
      <c r="AA1008" t="s">
        <v>5144</v>
      </c>
      <c r="AB1008" s="97">
        <v>46220</v>
      </c>
      <c r="AC1008" s="6" t="s">
        <v>7429</v>
      </c>
    </row>
    <row r="1009" spans="27:29" x14ac:dyDescent="0.3">
      <c r="AA1009" t="s">
        <v>5145</v>
      </c>
      <c r="AB1009" s="97">
        <v>46220</v>
      </c>
      <c r="AC1009" s="6" t="s">
        <v>7429</v>
      </c>
    </row>
    <row r="1010" spans="27:29" x14ac:dyDescent="0.3">
      <c r="AA1010" t="s">
        <v>5146</v>
      </c>
      <c r="AB1010" s="97">
        <v>46220</v>
      </c>
      <c r="AC1010" s="6" t="s">
        <v>7429</v>
      </c>
    </row>
    <row r="1011" spans="27:29" x14ac:dyDescent="0.3">
      <c r="AA1011" t="s">
        <v>5147</v>
      </c>
      <c r="AB1011" s="97">
        <v>46220</v>
      </c>
      <c r="AC1011" s="6" t="s">
        <v>7429</v>
      </c>
    </row>
    <row r="1012" spans="27:29" x14ac:dyDescent="0.3">
      <c r="AA1012" t="s">
        <v>5148</v>
      </c>
      <c r="AB1012" s="97">
        <v>46220</v>
      </c>
      <c r="AC1012" s="6" t="s">
        <v>7429</v>
      </c>
    </row>
    <row r="1013" spans="27:29" x14ac:dyDescent="0.3">
      <c r="AA1013" t="s">
        <v>5149</v>
      </c>
      <c r="AB1013" s="97">
        <v>46220</v>
      </c>
      <c r="AC1013" s="6" t="s">
        <v>7429</v>
      </c>
    </row>
    <row r="1014" spans="27:29" x14ac:dyDescent="0.3">
      <c r="AA1014" t="s">
        <v>5150</v>
      </c>
      <c r="AB1014" s="97">
        <v>46220</v>
      </c>
      <c r="AC1014" s="6" t="s">
        <v>7429</v>
      </c>
    </row>
    <row r="1015" spans="27:29" x14ac:dyDescent="0.3">
      <c r="AA1015" t="s">
        <v>5151</v>
      </c>
      <c r="AB1015" s="97">
        <v>46220</v>
      </c>
      <c r="AC1015" s="6" t="s">
        <v>7429</v>
      </c>
    </row>
    <row r="1016" spans="27:29" x14ac:dyDescent="0.3">
      <c r="AA1016" t="s">
        <v>5152</v>
      </c>
      <c r="AB1016" s="97">
        <v>46220</v>
      </c>
      <c r="AC1016" s="6" t="s">
        <v>7429</v>
      </c>
    </row>
    <row r="1017" spans="27:29" x14ac:dyDescent="0.3">
      <c r="AA1017" t="s">
        <v>5183</v>
      </c>
      <c r="AB1017" s="97">
        <v>46234</v>
      </c>
      <c r="AC1017" s="6" t="s">
        <v>7430</v>
      </c>
    </row>
    <row r="1018" spans="27:29" x14ac:dyDescent="0.3">
      <c r="AA1018" t="s">
        <v>5184</v>
      </c>
      <c r="AB1018" s="97">
        <v>46234</v>
      </c>
      <c r="AC1018" s="6" t="s">
        <v>7430</v>
      </c>
    </row>
    <row r="1019" spans="27:29" x14ac:dyDescent="0.3">
      <c r="AA1019" t="s">
        <v>5185</v>
      </c>
      <c r="AB1019" s="97">
        <v>46234</v>
      </c>
      <c r="AC1019" s="6" t="s">
        <v>7430</v>
      </c>
    </row>
    <row r="1020" spans="27:29" x14ac:dyDescent="0.3">
      <c r="AA1020" t="s">
        <v>5186</v>
      </c>
      <c r="AB1020" s="97">
        <v>46234</v>
      </c>
      <c r="AC1020" s="6" t="s">
        <v>7430</v>
      </c>
    </row>
    <row r="1021" spans="27:29" x14ac:dyDescent="0.3">
      <c r="AA1021" t="s">
        <v>5187</v>
      </c>
      <c r="AB1021" s="97">
        <v>46234</v>
      </c>
      <c r="AC1021" s="6" t="s">
        <v>7430</v>
      </c>
    </row>
    <row r="1022" spans="27:29" x14ac:dyDescent="0.3">
      <c r="AA1022" t="s">
        <v>5188</v>
      </c>
      <c r="AB1022" s="97">
        <v>46224</v>
      </c>
      <c r="AC1022" s="6" t="s">
        <v>7429</v>
      </c>
    </row>
    <row r="1023" spans="27:29" x14ac:dyDescent="0.3">
      <c r="AA1023" t="s">
        <v>5189</v>
      </c>
      <c r="AB1023" s="97">
        <v>46224</v>
      </c>
      <c r="AC1023" s="6" t="s">
        <v>7429</v>
      </c>
    </row>
    <row r="1024" spans="27:29" x14ac:dyDescent="0.3">
      <c r="AA1024" t="s">
        <v>5190</v>
      </c>
      <c r="AB1024" s="97">
        <v>46224</v>
      </c>
      <c r="AC1024" s="6" t="s">
        <v>7429</v>
      </c>
    </row>
    <row r="1025" spans="27:29" x14ac:dyDescent="0.3">
      <c r="AA1025" t="s">
        <v>5191</v>
      </c>
      <c r="AB1025" s="97">
        <v>46224</v>
      </c>
      <c r="AC1025" s="6" t="s">
        <v>7429</v>
      </c>
    </row>
    <row r="1026" spans="27:29" x14ac:dyDescent="0.3">
      <c r="AA1026" t="s">
        <v>5192</v>
      </c>
      <c r="AB1026" s="97">
        <v>46224</v>
      </c>
      <c r="AC1026" s="6" t="s">
        <v>7429</v>
      </c>
    </row>
    <row r="1027" spans="27:29" x14ac:dyDescent="0.3">
      <c r="AA1027" t="s">
        <v>5193</v>
      </c>
      <c r="AB1027" s="97">
        <v>46220</v>
      </c>
      <c r="AC1027" s="6" t="s">
        <v>7429</v>
      </c>
    </row>
    <row r="1028" spans="27:29" x14ac:dyDescent="0.3">
      <c r="AA1028" t="s">
        <v>5194</v>
      </c>
      <c r="AB1028" s="97">
        <v>46220</v>
      </c>
      <c r="AC1028" s="6" t="s">
        <v>7429</v>
      </c>
    </row>
    <row r="1029" spans="27:29" x14ac:dyDescent="0.3">
      <c r="AA1029" t="s">
        <v>5203</v>
      </c>
      <c r="AB1029" s="97">
        <v>46220</v>
      </c>
      <c r="AC1029" s="6" t="s">
        <v>7429</v>
      </c>
    </row>
    <row r="1030" spans="27:29" x14ac:dyDescent="0.3">
      <c r="AA1030" t="s">
        <v>5205</v>
      </c>
      <c r="AB1030" s="97">
        <v>46233</v>
      </c>
      <c r="AC1030" s="6" t="s">
        <v>7429</v>
      </c>
    </row>
    <row r="1031" spans="27:29" x14ac:dyDescent="0.3">
      <c r="AA1031" t="s">
        <v>5217</v>
      </c>
      <c r="AB1031" s="97">
        <v>46220</v>
      </c>
      <c r="AC1031" s="6" t="s">
        <v>7429</v>
      </c>
    </row>
    <row r="1032" spans="27:29" x14ac:dyDescent="0.3">
      <c r="AA1032" t="s">
        <v>5219</v>
      </c>
      <c r="AB1032" s="97">
        <v>46220</v>
      </c>
      <c r="AC1032" s="6" t="s">
        <v>7429</v>
      </c>
    </row>
    <row r="1033" spans="27:29" x14ac:dyDescent="0.3">
      <c r="AA1033" t="s">
        <v>5221</v>
      </c>
      <c r="AB1033" s="97">
        <v>46220</v>
      </c>
      <c r="AC1033" s="6" t="s">
        <v>7429</v>
      </c>
    </row>
    <row r="1034" spans="27:29" x14ac:dyDescent="0.3">
      <c r="AA1034" t="s">
        <v>5223</v>
      </c>
      <c r="AB1034" s="97">
        <v>46220</v>
      </c>
      <c r="AC1034" s="6" t="s">
        <v>7429</v>
      </c>
    </row>
    <row r="1035" spans="27:29" x14ac:dyDescent="0.3">
      <c r="AA1035" t="s">
        <v>5235</v>
      </c>
      <c r="AB1035" s="97">
        <v>46220</v>
      </c>
      <c r="AC1035" s="6" t="s">
        <v>7429</v>
      </c>
    </row>
    <row r="1036" spans="27:29" x14ac:dyDescent="0.3">
      <c r="AA1036" t="s">
        <v>5237</v>
      </c>
      <c r="AB1036" s="97">
        <v>46220</v>
      </c>
      <c r="AC1036" s="6" t="s">
        <v>7429</v>
      </c>
    </row>
    <row r="1037" spans="27:29" x14ac:dyDescent="0.3">
      <c r="AA1037" t="s">
        <v>5249</v>
      </c>
      <c r="AB1037" s="97">
        <v>46233</v>
      </c>
      <c r="AC1037" s="6" t="s">
        <v>7429</v>
      </c>
    </row>
    <row r="1038" spans="27:29" x14ac:dyDescent="0.3">
      <c r="AA1038" t="s">
        <v>5251</v>
      </c>
      <c r="AB1038" s="97">
        <v>46233</v>
      </c>
      <c r="AC1038" s="6" t="s">
        <v>7429</v>
      </c>
    </row>
    <row r="1039" spans="27:29" x14ac:dyDescent="0.3">
      <c r="AA1039" t="s">
        <v>5263</v>
      </c>
      <c r="AB1039" s="97">
        <v>46233</v>
      </c>
      <c r="AC1039" s="6" t="s">
        <v>7429</v>
      </c>
    </row>
    <row r="1040" spans="27:29" x14ac:dyDescent="0.3">
      <c r="AA1040" t="s">
        <v>5265</v>
      </c>
      <c r="AB1040" s="97">
        <v>46234</v>
      </c>
      <c r="AC1040" s="6" t="s">
        <v>7429</v>
      </c>
    </row>
    <row r="1041" spans="27:29" x14ac:dyDescent="0.3">
      <c r="AA1041" t="s">
        <v>5277</v>
      </c>
      <c r="AB1041" s="97">
        <v>46220</v>
      </c>
      <c r="AC1041" s="6" t="s">
        <v>7429</v>
      </c>
    </row>
    <row r="1042" spans="27:29" x14ac:dyDescent="0.3">
      <c r="AA1042" t="s">
        <v>5279</v>
      </c>
      <c r="AB1042" s="97">
        <v>46220</v>
      </c>
      <c r="AC1042" s="6" t="s">
        <v>7429</v>
      </c>
    </row>
    <row r="1043" spans="27:29" x14ac:dyDescent="0.3">
      <c r="AA1043" t="s">
        <v>5291</v>
      </c>
      <c r="AB1043" s="97">
        <v>46234</v>
      </c>
      <c r="AC1043" s="6" t="s">
        <v>7430</v>
      </c>
    </row>
    <row r="1044" spans="27:29" x14ac:dyDescent="0.3">
      <c r="AA1044" t="s">
        <v>5293</v>
      </c>
      <c r="AB1044" s="97">
        <v>46234</v>
      </c>
      <c r="AC1044" s="6" t="s">
        <v>7430</v>
      </c>
    </row>
    <row r="1045" spans="27:29" x14ac:dyDescent="0.3">
      <c r="AA1045" t="s">
        <v>5295</v>
      </c>
      <c r="AB1045" s="97">
        <v>46224</v>
      </c>
      <c r="AC1045" s="6" t="s">
        <v>7429</v>
      </c>
    </row>
    <row r="1046" spans="27:29" x14ac:dyDescent="0.3">
      <c r="AA1046" t="s">
        <v>5299</v>
      </c>
      <c r="AB1046" s="97">
        <v>46220</v>
      </c>
      <c r="AC1046" s="6" t="s">
        <v>7429</v>
      </c>
    </row>
    <row r="1047" spans="27:29" x14ac:dyDescent="0.3">
      <c r="AA1047" t="s">
        <v>5300</v>
      </c>
      <c r="AB1047" s="97">
        <v>46233</v>
      </c>
      <c r="AC1047" s="6" t="s">
        <v>7429</v>
      </c>
    </row>
    <row r="1048" spans="27:29" x14ac:dyDescent="0.3">
      <c r="AA1048" t="s">
        <v>5307</v>
      </c>
      <c r="AB1048" s="97">
        <v>46220</v>
      </c>
      <c r="AC1048" s="6" t="s">
        <v>7429</v>
      </c>
    </row>
    <row r="1049" spans="27:29" x14ac:dyDescent="0.3">
      <c r="AA1049" t="s">
        <v>5308</v>
      </c>
      <c r="AB1049" s="97">
        <v>46233</v>
      </c>
      <c r="AC1049" s="6" t="s">
        <v>7429</v>
      </c>
    </row>
    <row r="1050" spans="27:29" x14ac:dyDescent="0.3">
      <c r="AA1050" t="s">
        <v>5314</v>
      </c>
      <c r="AB1050" s="97">
        <v>46220</v>
      </c>
      <c r="AC1050" s="6" t="s">
        <v>7429</v>
      </c>
    </row>
    <row r="1051" spans="27:29" x14ac:dyDescent="0.3">
      <c r="AA1051" t="s">
        <v>5315</v>
      </c>
      <c r="AB1051" s="97">
        <v>46220</v>
      </c>
      <c r="AC1051" s="6" t="s">
        <v>7429</v>
      </c>
    </row>
    <row r="1052" spans="27:29" x14ac:dyDescent="0.3">
      <c r="AA1052" t="s">
        <v>5316</v>
      </c>
      <c r="AB1052" s="97">
        <v>46220</v>
      </c>
      <c r="AC1052" s="6" t="s">
        <v>7429</v>
      </c>
    </row>
    <row r="1053" spans="27:29" x14ac:dyDescent="0.3">
      <c r="AA1053" t="s">
        <v>5317</v>
      </c>
      <c r="AB1053" s="97">
        <v>46233</v>
      </c>
      <c r="AC1053" s="6" t="s">
        <v>7429</v>
      </c>
    </row>
    <row r="1054" spans="27:29" x14ac:dyDescent="0.3">
      <c r="AA1054" t="s">
        <v>5318</v>
      </c>
      <c r="AB1054" s="97">
        <v>46233</v>
      </c>
      <c r="AC1054" s="6" t="s">
        <v>7429</v>
      </c>
    </row>
    <row r="1055" spans="27:29" x14ac:dyDescent="0.3">
      <c r="AA1055" t="s">
        <v>5319</v>
      </c>
      <c r="AB1055" s="97">
        <v>46233</v>
      </c>
      <c r="AC1055" s="6" t="s">
        <v>7429</v>
      </c>
    </row>
    <row r="1056" spans="27:29" x14ac:dyDescent="0.3">
      <c r="AA1056" t="s">
        <v>5335</v>
      </c>
      <c r="AB1056" s="97">
        <v>46220</v>
      </c>
      <c r="AC1056" s="6" t="s">
        <v>7429</v>
      </c>
    </row>
    <row r="1057" spans="27:29" x14ac:dyDescent="0.3">
      <c r="AA1057" t="s">
        <v>5336</v>
      </c>
      <c r="AB1057" s="97">
        <v>46220</v>
      </c>
      <c r="AC1057" s="6" t="s">
        <v>7429</v>
      </c>
    </row>
    <row r="1058" spans="27:29" x14ac:dyDescent="0.3">
      <c r="AA1058" t="s">
        <v>5337</v>
      </c>
      <c r="AB1058" s="97">
        <v>46220</v>
      </c>
      <c r="AC1058" s="6" t="s">
        <v>7429</v>
      </c>
    </row>
    <row r="1059" spans="27:29" x14ac:dyDescent="0.3">
      <c r="AA1059" t="s">
        <v>5338</v>
      </c>
      <c r="AB1059" s="97">
        <v>46233</v>
      </c>
      <c r="AC1059" s="6" t="s">
        <v>7429</v>
      </c>
    </row>
    <row r="1060" spans="27:29" x14ac:dyDescent="0.3">
      <c r="AA1060" t="s">
        <v>5339</v>
      </c>
      <c r="AB1060" s="97">
        <v>46233</v>
      </c>
      <c r="AC1060" s="6" t="s">
        <v>7429</v>
      </c>
    </row>
    <row r="1061" spans="27:29" x14ac:dyDescent="0.3">
      <c r="AA1061" t="s">
        <v>5340</v>
      </c>
      <c r="AB1061" s="97">
        <v>46233</v>
      </c>
      <c r="AC1061" s="6" t="s">
        <v>7429</v>
      </c>
    </row>
    <row r="1062" spans="27:29" x14ac:dyDescent="0.3">
      <c r="AA1062" t="s">
        <v>5357</v>
      </c>
      <c r="AB1062" s="97">
        <v>46220</v>
      </c>
      <c r="AC1062" s="6" t="s">
        <v>7429</v>
      </c>
    </row>
    <row r="1063" spans="27:29" x14ac:dyDescent="0.3">
      <c r="AA1063" t="s">
        <v>5358</v>
      </c>
      <c r="AB1063" s="97">
        <v>46234</v>
      </c>
      <c r="AC1063" s="6" t="s">
        <v>7429</v>
      </c>
    </row>
    <row r="1064" spans="27:29" x14ac:dyDescent="0.3">
      <c r="AA1064" t="s">
        <v>5364</v>
      </c>
      <c r="AB1064" s="97">
        <v>46220</v>
      </c>
      <c r="AC1064" s="6" t="s">
        <v>7429</v>
      </c>
    </row>
    <row r="1065" spans="27:29" x14ac:dyDescent="0.3">
      <c r="AA1065" t="s">
        <v>5365</v>
      </c>
      <c r="AB1065" s="97">
        <v>46233</v>
      </c>
      <c r="AC1065" s="6" t="s">
        <v>7429</v>
      </c>
    </row>
    <row r="1066" spans="27:29" x14ac:dyDescent="0.3">
      <c r="AA1066" t="s">
        <v>5371</v>
      </c>
      <c r="AB1066" s="97">
        <v>46233</v>
      </c>
      <c r="AC1066" s="6" t="s">
        <v>7429</v>
      </c>
    </row>
    <row r="1067" spans="27:29" x14ac:dyDescent="0.3">
      <c r="AA1067" t="s">
        <v>5372</v>
      </c>
      <c r="AB1067" s="97">
        <v>46233</v>
      </c>
      <c r="AC1067" s="6" t="s">
        <v>7429</v>
      </c>
    </row>
    <row r="1068" spans="27:29" x14ac:dyDescent="0.3">
      <c r="AA1068" t="s">
        <v>6654</v>
      </c>
      <c r="AB1068" s="97">
        <v>46233</v>
      </c>
      <c r="AC1068" s="6" t="s">
        <v>7429</v>
      </c>
    </row>
    <row r="1069" spans="27:29" x14ac:dyDescent="0.3">
      <c r="AA1069" t="s">
        <v>6655</v>
      </c>
      <c r="AB1069" s="97">
        <v>46233</v>
      </c>
      <c r="AC1069" s="6" t="s">
        <v>7429</v>
      </c>
    </row>
    <row r="1070" spans="27:29" x14ac:dyDescent="0.3">
      <c r="AA1070" t="s">
        <v>6656</v>
      </c>
      <c r="AB1070" s="97">
        <v>46234</v>
      </c>
      <c r="AC1070" s="6" t="s">
        <v>7429</v>
      </c>
    </row>
    <row r="1071" spans="27:29" x14ac:dyDescent="0.3">
      <c r="AA1071" t="s">
        <v>6657</v>
      </c>
      <c r="AB1071" s="97">
        <v>46234</v>
      </c>
      <c r="AC1071" s="6" t="s">
        <v>7429</v>
      </c>
    </row>
    <row r="1072" spans="27:29" x14ac:dyDescent="0.3">
      <c r="AA1072" t="s">
        <v>6668</v>
      </c>
      <c r="AB1072" s="97">
        <v>46220</v>
      </c>
      <c r="AC1072" s="6" t="s">
        <v>7429</v>
      </c>
    </row>
    <row r="1073" spans="27:29" x14ac:dyDescent="0.3">
      <c r="AA1073" t="s">
        <v>5374</v>
      </c>
      <c r="AB1073" s="97">
        <v>46220</v>
      </c>
      <c r="AC1073" s="6" t="s">
        <v>7429</v>
      </c>
    </row>
    <row r="1074" spans="27:29" x14ac:dyDescent="0.3">
      <c r="AA1074" t="s">
        <v>5375</v>
      </c>
      <c r="AB1074" s="97">
        <v>46220</v>
      </c>
      <c r="AC1074" s="6" t="s">
        <v>7429</v>
      </c>
    </row>
    <row r="1075" spans="27:29" x14ac:dyDescent="0.3">
      <c r="AA1075" t="s">
        <v>5376</v>
      </c>
      <c r="AB1075" s="97">
        <v>46220</v>
      </c>
      <c r="AC1075" s="6" t="s">
        <v>7429</v>
      </c>
    </row>
    <row r="1076" spans="27:29" x14ac:dyDescent="0.3">
      <c r="AA1076" t="s">
        <v>5377</v>
      </c>
      <c r="AB1076" s="97">
        <v>46220</v>
      </c>
      <c r="AC1076" s="6" t="s">
        <v>7429</v>
      </c>
    </row>
    <row r="1077" spans="27:29" x14ac:dyDescent="0.3">
      <c r="AA1077" t="s">
        <v>5378</v>
      </c>
      <c r="AB1077" s="97">
        <v>46220</v>
      </c>
      <c r="AC1077" s="6" t="s">
        <v>7429</v>
      </c>
    </row>
    <row r="1078" spans="27:29" x14ac:dyDescent="0.3">
      <c r="AA1078" t="s">
        <v>5379</v>
      </c>
      <c r="AB1078" s="97">
        <v>46220</v>
      </c>
      <c r="AC1078" s="6" t="s">
        <v>7429</v>
      </c>
    </row>
    <row r="1079" spans="27:29" x14ac:dyDescent="0.3">
      <c r="AA1079" t="s">
        <v>5380</v>
      </c>
      <c r="AB1079" s="97">
        <v>46220</v>
      </c>
      <c r="AC1079" s="6" t="s">
        <v>7429</v>
      </c>
    </row>
    <row r="1080" spans="27:29" x14ac:dyDescent="0.3">
      <c r="AA1080" t="s">
        <v>5381</v>
      </c>
      <c r="AB1080" s="97">
        <v>46220</v>
      </c>
      <c r="AC1080" s="6" t="s">
        <v>7429</v>
      </c>
    </row>
    <row r="1081" spans="27:29" x14ac:dyDescent="0.3">
      <c r="AA1081" t="s">
        <v>5382</v>
      </c>
      <c r="AB1081" s="97">
        <v>46233</v>
      </c>
      <c r="AC1081" s="6" t="s">
        <v>7429</v>
      </c>
    </row>
    <row r="1082" spans="27:29" x14ac:dyDescent="0.3">
      <c r="AA1082" t="s">
        <v>5388</v>
      </c>
      <c r="AB1082" s="97">
        <v>46233</v>
      </c>
      <c r="AC1082" s="6" t="s">
        <v>7429</v>
      </c>
    </row>
    <row r="1083" spans="27:29" x14ac:dyDescent="0.3">
      <c r="AA1083" t="s">
        <v>5389</v>
      </c>
      <c r="AB1083" s="97">
        <v>46233</v>
      </c>
      <c r="AC1083" s="6" t="s">
        <v>7429</v>
      </c>
    </row>
    <row r="1084" spans="27:29" x14ac:dyDescent="0.3">
      <c r="AA1084" t="s">
        <v>5395</v>
      </c>
      <c r="AB1084" s="97">
        <v>46220</v>
      </c>
      <c r="AC1084" s="6" t="s">
        <v>7429</v>
      </c>
    </row>
    <row r="1085" spans="27:29" x14ac:dyDescent="0.3">
      <c r="AA1085" t="s">
        <v>5396</v>
      </c>
      <c r="AB1085" s="97">
        <v>46233</v>
      </c>
      <c r="AC1085" s="6" t="s">
        <v>7429</v>
      </c>
    </row>
    <row r="1086" spans="27:29" x14ac:dyDescent="0.3">
      <c r="AA1086" t="s">
        <v>5402</v>
      </c>
      <c r="AB1086" s="97">
        <v>46220</v>
      </c>
      <c r="AC1086" s="6" t="s">
        <v>7429</v>
      </c>
    </row>
    <row r="1087" spans="27:29" x14ac:dyDescent="0.3">
      <c r="AA1087" t="s">
        <v>5403</v>
      </c>
      <c r="AB1087" s="97">
        <v>46220</v>
      </c>
      <c r="AC1087" s="6" t="s">
        <v>7429</v>
      </c>
    </row>
    <row r="1088" spans="27:29" x14ac:dyDescent="0.3">
      <c r="AA1088" t="s">
        <v>5404</v>
      </c>
      <c r="AB1088" s="97">
        <v>46220</v>
      </c>
      <c r="AC1088" s="6" t="s">
        <v>7429</v>
      </c>
    </row>
    <row r="1089" spans="27:29" x14ac:dyDescent="0.3">
      <c r="AA1089" t="s">
        <v>5405</v>
      </c>
      <c r="AB1089" s="97">
        <v>46220</v>
      </c>
      <c r="AC1089" s="6" t="s">
        <v>7429</v>
      </c>
    </row>
    <row r="1090" spans="27:29" x14ac:dyDescent="0.3">
      <c r="AA1090" t="s">
        <v>5406</v>
      </c>
      <c r="AB1090" s="97">
        <v>46220</v>
      </c>
      <c r="AC1090" s="6" t="s">
        <v>7429</v>
      </c>
    </row>
    <row r="1091" spans="27:29" x14ac:dyDescent="0.3">
      <c r="AA1091" t="s">
        <v>5407</v>
      </c>
      <c r="AB1091" s="97">
        <v>46220</v>
      </c>
      <c r="AC1091" s="6" t="s">
        <v>7429</v>
      </c>
    </row>
    <row r="1092" spans="27:29" x14ac:dyDescent="0.3">
      <c r="AA1092" t="s">
        <v>5408</v>
      </c>
      <c r="AB1092" s="97">
        <v>46220</v>
      </c>
      <c r="AC1092" s="6" t="s">
        <v>7429</v>
      </c>
    </row>
    <row r="1093" spans="27:29" x14ac:dyDescent="0.3">
      <c r="AA1093" t="s">
        <v>5409</v>
      </c>
      <c r="AB1093" s="97">
        <v>46220</v>
      </c>
      <c r="AC1093" s="6" t="s">
        <v>7429</v>
      </c>
    </row>
    <row r="1094" spans="27:29" x14ac:dyDescent="0.3">
      <c r="AA1094" t="s">
        <v>5410</v>
      </c>
      <c r="AB1094" s="97">
        <v>46220</v>
      </c>
      <c r="AC1094" s="6" t="s">
        <v>7429</v>
      </c>
    </row>
    <row r="1095" spans="27:29" x14ac:dyDescent="0.3">
      <c r="AA1095" t="s">
        <v>5411</v>
      </c>
      <c r="AB1095" s="97">
        <v>46220</v>
      </c>
      <c r="AC1095" s="6" t="s">
        <v>7429</v>
      </c>
    </row>
    <row r="1096" spans="27:29" x14ac:dyDescent="0.3">
      <c r="AA1096" t="s">
        <v>5412</v>
      </c>
      <c r="AB1096" s="97">
        <v>46220</v>
      </c>
      <c r="AC1096" s="6" t="s">
        <v>7429</v>
      </c>
    </row>
    <row r="1097" spans="27:29" x14ac:dyDescent="0.3">
      <c r="AA1097" t="s">
        <v>5413</v>
      </c>
      <c r="AB1097" s="97">
        <v>46220</v>
      </c>
      <c r="AC1097" s="6" t="s">
        <v>7429</v>
      </c>
    </row>
    <row r="1098" spans="27:29" x14ac:dyDescent="0.3">
      <c r="AA1098" t="s">
        <v>5414</v>
      </c>
      <c r="AB1098" s="97">
        <v>46233</v>
      </c>
      <c r="AC1098" s="6" t="s">
        <v>7429</v>
      </c>
    </row>
    <row r="1099" spans="27:29" x14ac:dyDescent="0.3">
      <c r="AA1099" t="s">
        <v>5415</v>
      </c>
      <c r="AB1099" s="97">
        <v>46233</v>
      </c>
      <c r="AC1099" s="6" t="s">
        <v>7429</v>
      </c>
    </row>
    <row r="1100" spans="27:29" x14ac:dyDescent="0.3">
      <c r="AA1100" t="s">
        <v>5416</v>
      </c>
      <c r="AB1100" s="97">
        <v>46233</v>
      </c>
      <c r="AC1100" s="6" t="s">
        <v>7429</v>
      </c>
    </row>
    <row r="1101" spans="27:29" x14ac:dyDescent="0.3">
      <c r="AA1101" t="s">
        <v>5417</v>
      </c>
      <c r="AB1101" s="97">
        <v>46233</v>
      </c>
      <c r="AC1101" s="6" t="s">
        <v>7429</v>
      </c>
    </row>
    <row r="1102" spans="27:29" x14ac:dyDescent="0.3">
      <c r="AA1102" t="s">
        <v>5418</v>
      </c>
      <c r="AB1102" s="97">
        <v>46233</v>
      </c>
      <c r="AC1102" s="6" t="s">
        <v>7429</v>
      </c>
    </row>
    <row r="1103" spans="27:29" x14ac:dyDescent="0.3">
      <c r="AA1103" t="s">
        <v>5419</v>
      </c>
      <c r="AB1103" s="97">
        <v>46233</v>
      </c>
      <c r="AC1103" s="6" t="s">
        <v>7429</v>
      </c>
    </row>
    <row r="1104" spans="27:29" x14ac:dyDescent="0.3">
      <c r="AA1104" t="s">
        <v>5420</v>
      </c>
      <c r="AB1104" s="97">
        <v>46233</v>
      </c>
      <c r="AC1104" s="6" t="s">
        <v>7429</v>
      </c>
    </row>
    <row r="1105" spans="27:29" x14ac:dyDescent="0.3">
      <c r="AA1105" t="s">
        <v>5421</v>
      </c>
      <c r="AB1105" s="97">
        <v>46233</v>
      </c>
      <c r="AC1105" s="6" t="s">
        <v>7429</v>
      </c>
    </row>
    <row r="1106" spans="27:29" x14ac:dyDescent="0.3">
      <c r="AA1106" t="s">
        <v>5422</v>
      </c>
      <c r="AB1106" s="97">
        <v>46233</v>
      </c>
      <c r="AC1106" s="6" t="s">
        <v>7429</v>
      </c>
    </row>
    <row r="1107" spans="27:29" x14ac:dyDescent="0.3">
      <c r="AA1107" t="s">
        <v>5423</v>
      </c>
      <c r="AB1107" s="97">
        <v>46233</v>
      </c>
      <c r="AC1107" s="6" t="s">
        <v>7429</v>
      </c>
    </row>
    <row r="1108" spans="27:29" x14ac:dyDescent="0.3">
      <c r="AA1108" t="s">
        <v>5424</v>
      </c>
      <c r="AB1108" s="97">
        <v>46233</v>
      </c>
      <c r="AC1108" s="6" t="s">
        <v>7429</v>
      </c>
    </row>
    <row r="1109" spans="27:29" x14ac:dyDescent="0.3">
      <c r="AA1109" t="s">
        <v>5425</v>
      </c>
      <c r="AB1109" s="97">
        <v>46233</v>
      </c>
      <c r="AC1109" s="6" t="s">
        <v>7429</v>
      </c>
    </row>
    <row r="1110" spans="27:29" x14ac:dyDescent="0.3">
      <c r="AA1110" t="s">
        <v>5486</v>
      </c>
      <c r="AB1110" s="97">
        <v>46233</v>
      </c>
      <c r="AC1110" s="6" t="s">
        <v>7429</v>
      </c>
    </row>
    <row r="1111" spans="27:29" x14ac:dyDescent="0.3">
      <c r="AA1111" t="s">
        <v>5487</v>
      </c>
      <c r="AB1111" s="97">
        <v>46233</v>
      </c>
      <c r="AC1111" s="6" t="s">
        <v>7429</v>
      </c>
    </row>
    <row r="1112" spans="27:29" x14ac:dyDescent="0.3">
      <c r="AA1112" t="s">
        <v>5488</v>
      </c>
      <c r="AB1112" s="97">
        <v>46220</v>
      </c>
      <c r="AC1112" s="6" t="s">
        <v>7429</v>
      </c>
    </row>
    <row r="1113" spans="27:29" x14ac:dyDescent="0.3">
      <c r="AA1113" t="s">
        <v>5489</v>
      </c>
      <c r="AB1113" s="97">
        <v>46220</v>
      </c>
      <c r="AC1113" s="6" t="s">
        <v>7429</v>
      </c>
    </row>
    <row r="1114" spans="27:29" x14ac:dyDescent="0.3">
      <c r="AA1114" t="s">
        <v>5490</v>
      </c>
      <c r="AB1114" s="97">
        <v>46220</v>
      </c>
      <c r="AC1114" s="6" t="s">
        <v>7429</v>
      </c>
    </row>
    <row r="1115" spans="27:29" x14ac:dyDescent="0.3">
      <c r="AA1115" t="s">
        <v>5491</v>
      </c>
      <c r="AB1115" s="97">
        <v>46220</v>
      </c>
      <c r="AC1115" s="6" t="s">
        <v>7429</v>
      </c>
    </row>
    <row r="1116" spans="27:29" x14ac:dyDescent="0.3">
      <c r="AA1116" t="s">
        <v>5502</v>
      </c>
      <c r="AB1116" s="97">
        <v>46220</v>
      </c>
      <c r="AC1116" s="6" t="s">
        <v>7429</v>
      </c>
    </row>
    <row r="1117" spans="27:29" x14ac:dyDescent="0.3">
      <c r="AA1117" t="s">
        <v>5503</v>
      </c>
      <c r="AB1117" s="97">
        <v>46220</v>
      </c>
      <c r="AC1117" s="6" t="s">
        <v>7429</v>
      </c>
    </row>
    <row r="1118" spans="27:29" x14ac:dyDescent="0.3">
      <c r="AA1118" t="s">
        <v>5509</v>
      </c>
      <c r="AB1118" s="97">
        <v>46220</v>
      </c>
      <c r="AC1118" s="6" t="s">
        <v>7429</v>
      </c>
    </row>
    <row r="1119" spans="27:29" x14ac:dyDescent="0.3">
      <c r="AA1119" t="s">
        <v>5510</v>
      </c>
      <c r="AB1119" s="97">
        <v>46220</v>
      </c>
      <c r="AC1119" s="6" t="s">
        <v>7429</v>
      </c>
    </row>
    <row r="1120" spans="27:29" x14ac:dyDescent="0.3">
      <c r="AA1120" t="s">
        <v>5511</v>
      </c>
      <c r="AB1120" s="97">
        <v>46220</v>
      </c>
      <c r="AC1120" s="6" t="s">
        <v>7429</v>
      </c>
    </row>
    <row r="1121" spans="27:29" x14ac:dyDescent="0.3">
      <c r="AA1121" t="s">
        <v>5512</v>
      </c>
      <c r="AB1121" s="97">
        <v>46220</v>
      </c>
      <c r="AC1121" s="6" t="s">
        <v>7429</v>
      </c>
    </row>
    <row r="1122" spans="27:29" x14ac:dyDescent="0.3">
      <c r="AA1122" t="s">
        <v>5523</v>
      </c>
      <c r="AB1122" s="97">
        <v>46220</v>
      </c>
      <c r="AC1122" s="6" t="s">
        <v>7429</v>
      </c>
    </row>
    <row r="1123" spans="27:29" x14ac:dyDescent="0.3">
      <c r="AA1123" t="s">
        <v>5524</v>
      </c>
      <c r="AB1123" s="97">
        <v>46233</v>
      </c>
      <c r="AC1123" s="6" t="s">
        <v>7429</v>
      </c>
    </row>
    <row r="1124" spans="27:29" x14ac:dyDescent="0.3">
      <c r="AA1124" t="s">
        <v>5530</v>
      </c>
      <c r="AB1124" s="97">
        <v>46220</v>
      </c>
      <c r="AC1124" s="6" t="s">
        <v>7429</v>
      </c>
    </row>
    <row r="1125" spans="27:29" x14ac:dyDescent="0.3">
      <c r="AA1125" t="s">
        <v>5531</v>
      </c>
      <c r="AB1125" s="97">
        <v>46220</v>
      </c>
      <c r="AC1125" s="6" t="s">
        <v>7429</v>
      </c>
    </row>
    <row r="1126" spans="27:29" x14ac:dyDescent="0.3">
      <c r="AA1126" t="s">
        <v>5532</v>
      </c>
      <c r="AB1126" s="97">
        <v>46220</v>
      </c>
      <c r="AC1126" s="6" t="s">
        <v>7429</v>
      </c>
    </row>
    <row r="1127" spans="27:29" x14ac:dyDescent="0.3">
      <c r="AA1127" t="s">
        <v>5533</v>
      </c>
      <c r="AB1127" s="97">
        <v>46233</v>
      </c>
      <c r="AC1127" s="6" t="s">
        <v>7429</v>
      </c>
    </row>
    <row r="1128" spans="27:29" x14ac:dyDescent="0.3">
      <c r="AA1128" t="s">
        <v>5534</v>
      </c>
      <c r="AB1128" s="97">
        <v>46233</v>
      </c>
      <c r="AC1128" s="6" t="s">
        <v>7429</v>
      </c>
    </row>
    <row r="1129" spans="27:29" x14ac:dyDescent="0.3">
      <c r="AA1129" t="s">
        <v>5535</v>
      </c>
      <c r="AB1129" s="97">
        <v>46233</v>
      </c>
      <c r="AC1129" s="6" t="s">
        <v>7429</v>
      </c>
    </row>
    <row r="1130" spans="27:29" x14ac:dyDescent="0.3">
      <c r="AA1130" t="s">
        <v>5551</v>
      </c>
      <c r="AB1130" s="97">
        <v>46220</v>
      </c>
      <c r="AC1130" s="6" t="s">
        <v>7429</v>
      </c>
    </row>
    <row r="1131" spans="27:29" x14ac:dyDescent="0.3">
      <c r="AA1131" t="s">
        <v>5555</v>
      </c>
      <c r="AB1131" s="97">
        <v>46220</v>
      </c>
      <c r="AC1131" s="6" t="s">
        <v>7429</v>
      </c>
    </row>
    <row r="1132" spans="27:29" x14ac:dyDescent="0.3">
      <c r="AA1132" t="s">
        <v>5556</v>
      </c>
      <c r="AB1132" s="97">
        <v>46220</v>
      </c>
      <c r="AC1132" s="6" t="s">
        <v>7429</v>
      </c>
    </row>
    <row r="1133" spans="27:29" x14ac:dyDescent="0.3">
      <c r="AA1133" t="s">
        <v>5557</v>
      </c>
      <c r="AB1133" s="97">
        <v>46220</v>
      </c>
      <c r="AC1133" s="6" t="s">
        <v>7429</v>
      </c>
    </row>
    <row r="1134" spans="27:29" x14ac:dyDescent="0.3">
      <c r="AA1134" t="s">
        <v>5558</v>
      </c>
      <c r="AB1134" s="97">
        <v>46233</v>
      </c>
      <c r="AC1134" s="6" t="s">
        <v>7429</v>
      </c>
    </row>
    <row r="1135" spans="27:29" x14ac:dyDescent="0.3">
      <c r="AA1135" t="s">
        <v>5559</v>
      </c>
      <c r="AB1135" s="97">
        <v>46233</v>
      </c>
      <c r="AC1135" s="6" t="s">
        <v>7429</v>
      </c>
    </row>
    <row r="1136" spans="27:29" x14ac:dyDescent="0.3">
      <c r="AA1136" t="s">
        <v>5560</v>
      </c>
      <c r="AB1136" s="97">
        <v>46233</v>
      </c>
      <c r="AC1136" s="6" t="s">
        <v>7429</v>
      </c>
    </row>
    <row r="1137" spans="27:29" x14ac:dyDescent="0.3">
      <c r="AA1137" t="s">
        <v>5576</v>
      </c>
      <c r="AB1137" s="97">
        <v>46220</v>
      </c>
      <c r="AC1137" s="6" t="s">
        <v>7429</v>
      </c>
    </row>
    <row r="1138" spans="27:29" x14ac:dyDescent="0.3">
      <c r="AA1138" t="s">
        <v>5577</v>
      </c>
      <c r="AB1138" s="97">
        <v>46220</v>
      </c>
      <c r="AC1138" s="6" t="s">
        <v>7429</v>
      </c>
    </row>
    <row r="1139" spans="27:29" x14ac:dyDescent="0.3">
      <c r="AA1139" t="s">
        <v>5578</v>
      </c>
      <c r="AB1139" s="97">
        <v>46233</v>
      </c>
      <c r="AC1139" s="6" t="s">
        <v>7429</v>
      </c>
    </row>
    <row r="1140" spans="27:29" x14ac:dyDescent="0.3">
      <c r="AA1140" t="s">
        <v>5579</v>
      </c>
      <c r="AB1140" s="97">
        <v>46233</v>
      </c>
      <c r="AC1140" s="6" t="s">
        <v>7429</v>
      </c>
    </row>
    <row r="1141" spans="27:29" x14ac:dyDescent="0.3">
      <c r="AA1141" t="s">
        <v>5590</v>
      </c>
      <c r="AB1141" s="97">
        <v>46233</v>
      </c>
      <c r="AC1141" s="6" t="s">
        <v>7429</v>
      </c>
    </row>
    <row r="1142" spans="27:29" x14ac:dyDescent="0.3">
      <c r="AA1142" t="s">
        <v>5591</v>
      </c>
      <c r="AB1142" s="97">
        <v>46233</v>
      </c>
      <c r="AC1142" s="6" t="s">
        <v>7429</v>
      </c>
    </row>
    <row r="1143" spans="27:29" x14ac:dyDescent="0.3">
      <c r="AA1143" t="s">
        <v>5592</v>
      </c>
      <c r="AB1143" s="97">
        <v>46220</v>
      </c>
      <c r="AC1143" s="6" t="s">
        <v>7429</v>
      </c>
    </row>
    <row r="1144" spans="27:29" x14ac:dyDescent="0.3">
      <c r="AA1144" t="s">
        <v>5593</v>
      </c>
      <c r="AB1144" s="97">
        <v>46220</v>
      </c>
      <c r="AC1144" s="6" t="s">
        <v>7429</v>
      </c>
    </row>
    <row r="1145" spans="27:29" x14ac:dyDescent="0.3">
      <c r="AA1145" t="s">
        <v>5594</v>
      </c>
      <c r="AB1145" s="97">
        <v>46220</v>
      </c>
      <c r="AC1145" s="6" t="s">
        <v>7429</v>
      </c>
    </row>
    <row r="1146" spans="27:29" x14ac:dyDescent="0.3">
      <c r="AA1146" t="s">
        <v>5595</v>
      </c>
      <c r="AB1146" s="97">
        <v>46220</v>
      </c>
      <c r="AC1146" s="6" t="s">
        <v>7429</v>
      </c>
    </row>
    <row r="1147" spans="27:29" x14ac:dyDescent="0.3">
      <c r="AA1147" t="s">
        <v>5596</v>
      </c>
      <c r="AB1147" s="97">
        <v>46220</v>
      </c>
      <c r="AC1147" s="6" t="s">
        <v>7429</v>
      </c>
    </row>
    <row r="1148" spans="27:29" x14ac:dyDescent="0.3">
      <c r="AA1148" t="s">
        <v>5597</v>
      </c>
      <c r="AB1148" s="97">
        <v>46220</v>
      </c>
      <c r="AC1148" s="6" t="s">
        <v>7429</v>
      </c>
    </row>
    <row r="1149" spans="27:29" x14ac:dyDescent="0.3">
      <c r="AA1149" t="s">
        <v>5598</v>
      </c>
      <c r="AB1149" s="97">
        <v>46233</v>
      </c>
      <c r="AC1149" s="6" t="s">
        <v>7429</v>
      </c>
    </row>
    <row r="1150" spans="27:29" x14ac:dyDescent="0.3">
      <c r="AA1150" t="s">
        <v>5599</v>
      </c>
      <c r="AB1150" s="97">
        <v>46233</v>
      </c>
      <c r="AC1150" s="6" t="s">
        <v>7429</v>
      </c>
    </row>
    <row r="1151" spans="27:29" x14ac:dyDescent="0.3">
      <c r="AA1151" t="s">
        <v>5600</v>
      </c>
      <c r="AB1151" s="97">
        <v>46233</v>
      </c>
      <c r="AC1151" s="6" t="s">
        <v>7429</v>
      </c>
    </row>
    <row r="1152" spans="27:29" x14ac:dyDescent="0.3">
      <c r="AA1152" t="s">
        <v>5601</v>
      </c>
      <c r="AB1152" s="97">
        <v>46233</v>
      </c>
      <c r="AC1152" s="6" t="s">
        <v>7429</v>
      </c>
    </row>
    <row r="1153" spans="27:29" x14ac:dyDescent="0.3">
      <c r="AA1153" t="s">
        <v>5602</v>
      </c>
      <c r="AB1153" s="97">
        <v>46233</v>
      </c>
      <c r="AC1153" s="6" t="s">
        <v>7429</v>
      </c>
    </row>
    <row r="1154" spans="27:29" x14ac:dyDescent="0.3">
      <c r="AA1154" t="s">
        <v>5603</v>
      </c>
      <c r="AB1154" s="97">
        <v>46233</v>
      </c>
      <c r="AC1154" s="6" t="s">
        <v>7429</v>
      </c>
    </row>
    <row r="1155" spans="27:29" x14ac:dyDescent="0.3">
      <c r="AA1155" t="s">
        <v>5634</v>
      </c>
      <c r="AB1155" s="97">
        <v>46233</v>
      </c>
      <c r="AC1155" s="6" t="s">
        <v>7429</v>
      </c>
    </row>
    <row r="1156" spans="27:29" x14ac:dyDescent="0.3">
      <c r="AA1156" t="s">
        <v>5635</v>
      </c>
      <c r="AB1156" s="97">
        <v>46233</v>
      </c>
      <c r="AC1156" s="6" t="s">
        <v>7429</v>
      </c>
    </row>
    <row r="1157" spans="27:29" x14ac:dyDescent="0.3">
      <c r="AA1157" t="s">
        <v>5636</v>
      </c>
      <c r="AB1157" s="97">
        <v>46233</v>
      </c>
      <c r="AC1157" s="6" t="s">
        <v>7429</v>
      </c>
    </row>
    <row r="1158" spans="27:29" x14ac:dyDescent="0.3">
      <c r="AA1158" t="s">
        <v>5637</v>
      </c>
      <c r="AB1158" s="97">
        <v>46233</v>
      </c>
      <c r="AC1158" s="6" t="s">
        <v>7429</v>
      </c>
    </row>
    <row r="1159" spans="27:29" x14ac:dyDescent="0.3">
      <c r="AA1159" t="s">
        <v>5638</v>
      </c>
      <c r="AB1159" s="97">
        <v>46233</v>
      </c>
      <c r="AC1159" s="6" t="s">
        <v>7429</v>
      </c>
    </row>
    <row r="1160" spans="27:29" x14ac:dyDescent="0.3">
      <c r="AA1160" t="s">
        <v>5639</v>
      </c>
      <c r="AB1160" s="97">
        <v>46233</v>
      </c>
      <c r="AC1160" s="6" t="s">
        <v>7429</v>
      </c>
    </row>
    <row r="1161" spans="27:29" x14ac:dyDescent="0.3">
      <c r="AA1161" t="s">
        <v>5640</v>
      </c>
      <c r="AB1161" s="97">
        <v>46233</v>
      </c>
      <c r="AC1161" s="6" t="s">
        <v>7429</v>
      </c>
    </row>
    <row r="1162" spans="27:29" x14ac:dyDescent="0.3">
      <c r="AA1162" t="s">
        <v>5641</v>
      </c>
      <c r="AB1162" s="97">
        <v>46233</v>
      </c>
      <c r="AC1162" s="6" t="s">
        <v>7429</v>
      </c>
    </row>
    <row r="1163" spans="27:29" x14ac:dyDescent="0.3">
      <c r="AA1163" t="s">
        <v>5642</v>
      </c>
      <c r="AB1163" s="97">
        <v>46233</v>
      </c>
      <c r="AC1163" s="6" t="s">
        <v>7429</v>
      </c>
    </row>
    <row r="1164" spans="27:29" x14ac:dyDescent="0.3">
      <c r="AA1164" t="s">
        <v>5643</v>
      </c>
      <c r="AB1164" s="97">
        <v>46233</v>
      </c>
      <c r="AC1164" s="6" t="s">
        <v>7429</v>
      </c>
    </row>
    <row r="1165" spans="27:29" x14ac:dyDescent="0.3">
      <c r="AA1165" t="s">
        <v>5644</v>
      </c>
      <c r="AB1165" s="97">
        <v>46233</v>
      </c>
      <c r="AC1165" s="6" t="s">
        <v>7429</v>
      </c>
    </row>
    <row r="1166" spans="27:29" x14ac:dyDescent="0.3">
      <c r="AA1166" t="s">
        <v>5645</v>
      </c>
      <c r="AB1166" s="97">
        <v>46233</v>
      </c>
      <c r="AC1166" s="6" t="s">
        <v>7429</v>
      </c>
    </row>
    <row r="1167" spans="27:29" x14ac:dyDescent="0.3">
      <c r="AA1167" t="s">
        <v>5651</v>
      </c>
      <c r="AB1167" s="97">
        <v>46220</v>
      </c>
      <c r="AC1167" s="6" t="s">
        <v>7429</v>
      </c>
    </row>
    <row r="1168" spans="27:29" x14ac:dyDescent="0.3">
      <c r="AA1168" t="s">
        <v>5652</v>
      </c>
      <c r="AB1168" s="97">
        <v>46220</v>
      </c>
      <c r="AC1168" s="6" t="s">
        <v>7429</v>
      </c>
    </row>
    <row r="1169" spans="27:29" x14ac:dyDescent="0.3">
      <c r="AA1169" t="s">
        <v>5653</v>
      </c>
      <c r="AB1169" s="97">
        <v>46220</v>
      </c>
      <c r="AC1169" s="6" t="s">
        <v>7429</v>
      </c>
    </row>
    <row r="1170" spans="27:29" x14ac:dyDescent="0.3">
      <c r="AA1170" t="s">
        <v>5654</v>
      </c>
      <c r="AB1170" s="97">
        <v>46234</v>
      </c>
      <c r="AC1170" s="6" t="s">
        <v>7429</v>
      </c>
    </row>
    <row r="1171" spans="27:29" x14ac:dyDescent="0.3">
      <c r="AA1171" t="s">
        <v>5655</v>
      </c>
      <c r="AB1171" s="97">
        <v>46234</v>
      </c>
      <c r="AC1171" s="6" t="s">
        <v>7429</v>
      </c>
    </row>
    <row r="1172" spans="27:29" x14ac:dyDescent="0.3">
      <c r="AA1172" t="s">
        <v>5656</v>
      </c>
      <c r="AB1172" s="97">
        <v>46234</v>
      </c>
      <c r="AC1172" s="6" t="s">
        <v>7429</v>
      </c>
    </row>
    <row r="1173" spans="27:29" x14ac:dyDescent="0.3">
      <c r="AA1173" t="s">
        <v>5672</v>
      </c>
      <c r="AB1173" s="97">
        <v>46233</v>
      </c>
      <c r="AC1173" s="6" t="s">
        <v>7429</v>
      </c>
    </row>
    <row r="1174" spans="27:29" x14ac:dyDescent="0.3">
      <c r="AA1174" t="s">
        <v>5673</v>
      </c>
      <c r="AB1174" s="97">
        <v>46233</v>
      </c>
      <c r="AC1174" s="6" t="s">
        <v>7429</v>
      </c>
    </row>
    <row r="1175" spans="27:29" x14ac:dyDescent="0.3">
      <c r="AA1175" t="s">
        <v>5674</v>
      </c>
      <c r="AB1175" s="97">
        <v>46233</v>
      </c>
      <c r="AC1175" s="6" t="s">
        <v>7429</v>
      </c>
    </row>
    <row r="1176" spans="27:29" x14ac:dyDescent="0.3">
      <c r="AA1176" t="s">
        <v>5675</v>
      </c>
      <c r="AB1176" s="97">
        <v>46233</v>
      </c>
      <c r="AC1176" s="6" t="s">
        <v>7429</v>
      </c>
    </row>
    <row r="1177" spans="27:29" x14ac:dyDescent="0.3">
      <c r="AA1177" t="s">
        <v>5676</v>
      </c>
      <c r="AB1177" s="97">
        <v>46233</v>
      </c>
      <c r="AC1177" s="6" t="s">
        <v>7429</v>
      </c>
    </row>
    <row r="1178" spans="27:29" x14ac:dyDescent="0.3">
      <c r="AA1178" t="s">
        <v>5677</v>
      </c>
      <c r="AB1178" s="97">
        <v>46233</v>
      </c>
      <c r="AC1178" s="6" t="s">
        <v>7429</v>
      </c>
    </row>
    <row r="1179" spans="27:29" x14ac:dyDescent="0.3">
      <c r="AA1179" t="s">
        <v>5678</v>
      </c>
      <c r="AB1179" s="97">
        <v>46220</v>
      </c>
      <c r="AC1179" s="6" t="s">
        <v>7429</v>
      </c>
    </row>
    <row r="1180" spans="27:29" x14ac:dyDescent="0.3">
      <c r="AA1180" t="s">
        <v>5679</v>
      </c>
      <c r="AB1180" s="97">
        <v>46220</v>
      </c>
      <c r="AC1180" s="6" t="s">
        <v>7429</v>
      </c>
    </row>
    <row r="1181" spans="27:29" x14ac:dyDescent="0.3">
      <c r="AA1181" t="s">
        <v>5682</v>
      </c>
      <c r="AB1181" s="97">
        <v>46234</v>
      </c>
      <c r="AC1181" s="6" t="s">
        <v>7429</v>
      </c>
    </row>
    <row r="1182" spans="27:29" x14ac:dyDescent="0.3">
      <c r="AA1182" t="s">
        <v>5683</v>
      </c>
      <c r="AB1182" s="97">
        <v>46234</v>
      </c>
      <c r="AC1182" s="6" t="s">
        <v>7429</v>
      </c>
    </row>
    <row r="1183" spans="27:29" x14ac:dyDescent="0.3">
      <c r="AA1183" t="s">
        <v>5684</v>
      </c>
      <c r="AB1183" s="97">
        <v>46233</v>
      </c>
      <c r="AC1183" s="6" t="s">
        <v>7429</v>
      </c>
    </row>
    <row r="1184" spans="27:29" x14ac:dyDescent="0.3">
      <c r="AA1184" t="s">
        <v>5685</v>
      </c>
      <c r="AB1184" s="97">
        <v>46233</v>
      </c>
      <c r="AC1184" s="6" t="s">
        <v>7429</v>
      </c>
    </row>
    <row r="1185" spans="27:29" x14ac:dyDescent="0.3">
      <c r="AA1185" t="s">
        <v>5686</v>
      </c>
      <c r="AB1185" s="97">
        <v>46234</v>
      </c>
      <c r="AC1185" s="6" t="s">
        <v>7429</v>
      </c>
    </row>
    <row r="1186" spans="27:29" x14ac:dyDescent="0.3">
      <c r="AA1186" t="s">
        <v>5687</v>
      </c>
      <c r="AB1186" s="97">
        <v>46234</v>
      </c>
      <c r="AC1186" s="6" t="s">
        <v>7429</v>
      </c>
    </row>
    <row r="1187" spans="27:29" x14ac:dyDescent="0.3">
      <c r="AA1187" t="s">
        <v>5688</v>
      </c>
      <c r="AB1187" s="97">
        <v>46220</v>
      </c>
      <c r="AC1187" s="6" t="s">
        <v>7429</v>
      </c>
    </row>
    <row r="1188" spans="27:29" x14ac:dyDescent="0.3">
      <c r="AA1188" t="s">
        <v>5689</v>
      </c>
      <c r="AB1188" s="97">
        <v>46220</v>
      </c>
      <c r="AC1188" s="6" t="s">
        <v>7429</v>
      </c>
    </row>
    <row r="1189" spans="27:29" x14ac:dyDescent="0.3">
      <c r="AA1189" t="s">
        <v>5695</v>
      </c>
      <c r="AB1189" s="97">
        <v>46220</v>
      </c>
      <c r="AC1189" s="6" t="s">
        <v>7429</v>
      </c>
    </row>
    <row r="1190" spans="27:29" x14ac:dyDescent="0.3">
      <c r="AA1190" t="s">
        <v>5696</v>
      </c>
      <c r="AB1190" s="97">
        <v>46233</v>
      </c>
      <c r="AC1190" s="6" t="s">
        <v>7429</v>
      </c>
    </row>
    <row r="1191" spans="27:29" x14ac:dyDescent="0.3">
      <c r="AA1191" t="s">
        <v>5702</v>
      </c>
      <c r="AB1191" s="97">
        <v>46234</v>
      </c>
      <c r="AC1191" s="6" t="s">
        <v>7430</v>
      </c>
    </row>
    <row r="1192" spans="27:29" x14ac:dyDescent="0.3">
      <c r="AA1192" t="s">
        <v>5703</v>
      </c>
      <c r="AB1192" s="97">
        <v>46234</v>
      </c>
      <c r="AC1192" s="6" t="s">
        <v>7430</v>
      </c>
    </row>
    <row r="1193" spans="27:29" x14ac:dyDescent="0.3">
      <c r="AA1193" t="s">
        <v>5704</v>
      </c>
      <c r="AB1193" s="97">
        <v>46234</v>
      </c>
      <c r="AC1193" s="6" t="s">
        <v>7430</v>
      </c>
    </row>
    <row r="1194" spans="27:29" x14ac:dyDescent="0.3">
      <c r="AA1194" t="s">
        <v>5705</v>
      </c>
      <c r="AB1194" s="97">
        <v>46224</v>
      </c>
      <c r="AC1194" s="6" t="s">
        <v>7429</v>
      </c>
    </row>
    <row r="1195" spans="27:29" x14ac:dyDescent="0.3">
      <c r="AA1195" t="s">
        <v>5706</v>
      </c>
      <c r="AB1195" s="97">
        <v>46224</v>
      </c>
      <c r="AC1195" s="6" t="s">
        <v>7429</v>
      </c>
    </row>
    <row r="1196" spans="27:29" x14ac:dyDescent="0.3">
      <c r="AA1196" t="s">
        <v>5707</v>
      </c>
      <c r="AB1196" s="97">
        <v>46224</v>
      </c>
      <c r="AC1196" s="6" t="s">
        <v>7429</v>
      </c>
    </row>
    <row r="1197" spans="27:29" x14ac:dyDescent="0.3">
      <c r="AA1197" t="s">
        <v>5708</v>
      </c>
      <c r="AB1197" s="97">
        <v>46234</v>
      </c>
      <c r="AC1197" s="6" t="s">
        <v>7430</v>
      </c>
    </row>
    <row r="1198" spans="27:29" x14ac:dyDescent="0.3">
      <c r="AA1198" t="s">
        <v>5709</v>
      </c>
      <c r="AB1198" s="97">
        <v>46224</v>
      </c>
      <c r="AC1198" s="6" t="s">
        <v>7429</v>
      </c>
    </row>
    <row r="1199" spans="27:29" x14ac:dyDescent="0.3">
      <c r="AA1199" t="s">
        <v>5710</v>
      </c>
      <c r="AB1199" s="97">
        <v>46234</v>
      </c>
      <c r="AC1199" s="6" t="s">
        <v>7430</v>
      </c>
    </row>
    <row r="1200" spans="27:29" x14ac:dyDescent="0.3">
      <c r="AA1200" t="s">
        <v>5711</v>
      </c>
      <c r="AB1200" s="97">
        <v>46224</v>
      </c>
      <c r="AC1200" s="6" t="s">
        <v>7429</v>
      </c>
    </row>
    <row r="1201" spans="27:29" x14ac:dyDescent="0.3">
      <c r="AA1201" t="s">
        <v>5712</v>
      </c>
      <c r="AB1201" s="97">
        <v>46234</v>
      </c>
      <c r="AC1201" s="6" t="s">
        <v>7430</v>
      </c>
    </row>
    <row r="1202" spans="27:29" x14ac:dyDescent="0.3">
      <c r="AA1202" t="s">
        <v>5713</v>
      </c>
      <c r="AB1202" s="97">
        <v>46234</v>
      </c>
      <c r="AC1202" s="6" t="s">
        <v>7430</v>
      </c>
    </row>
    <row r="1203" spans="27:29" x14ac:dyDescent="0.3">
      <c r="AA1203" t="s">
        <v>5714</v>
      </c>
      <c r="AB1203" s="97">
        <v>46233</v>
      </c>
      <c r="AC1203" s="6" t="s">
        <v>7429</v>
      </c>
    </row>
    <row r="1204" spans="27:29" x14ac:dyDescent="0.3">
      <c r="AA1204" t="s">
        <v>5715</v>
      </c>
      <c r="AB1204" s="97">
        <v>46234</v>
      </c>
      <c r="AC1204" s="6" t="s">
        <v>7429</v>
      </c>
    </row>
    <row r="1205" spans="27:29" x14ac:dyDescent="0.3">
      <c r="AA1205" t="s">
        <v>5721</v>
      </c>
      <c r="AB1205" s="97">
        <v>46233</v>
      </c>
      <c r="AC1205" s="6" t="s">
        <v>7429</v>
      </c>
    </row>
    <row r="1206" spans="27:29" x14ac:dyDescent="0.3">
      <c r="AA1206" t="s">
        <v>5722</v>
      </c>
      <c r="AB1206" s="97">
        <v>46234</v>
      </c>
      <c r="AC1206" s="6" t="s">
        <v>7429</v>
      </c>
    </row>
    <row r="1207" spans="27:29" x14ac:dyDescent="0.3">
      <c r="AA1207" t="s">
        <v>5728</v>
      </c>
      <c r="AB1207" s="97">
        <v>46233</v>
      </c>
      <c r="AC1207" s="6" t="s">
        <v>7429</v>
      </c>
    </row>
    <row r="1208" spans="27:29" x14ac:dyDescent="0.3">
      <c r="AA1208" t="s">
        <v>5729</v>
      </c>
      <c r="AB1208" s="97">
        <v>46234</v>
      </c>
      <c r="AC1208" s="6" t="s">
        <v>7429</v>
      </c>
    </row>
    <row r="1209" spans="27:29" x14ac:dyDescent="0.3">
      <c r="AA1209" t="s">
        <v>5735</v>
      </c>
      <c r="AB1209" s="97">
        <v>46233</v>
      </c>
      <c r="AC1209" s="6" t="s">
        <v>7429</v>
      </c>
    </row>
    <row r="1210" spans="27:29" x14ac:dyDescent="0.3">
      <c r="AA1210" t="s">
        <v>5736</v>
      </c>
      <c r="AB1210" s="97">
        <v>46233</v>
      </c>
      <c r="AC1210" s="6" t="s">
        <v>7429</v>
      </c>
    </row>
    <row r="1211" spans="27:29" x14ac:dyDescent="0.3">
      <c r="AA1211" t="s">
        <v>5737</v>
      </c>
      <c r="AB1211" s="97">
        <v>46233</v>
      </c>
      <c r="AC1211" s="6" t="s">
        <v>7429</v>
      </c>
    </row>
    <row r="1212" spans="27:29" x14ac:dyDescent="0.3">
      <c r="AA1212" t="s">
        <v>5738</v>
      </c>
      <c r="AB1212" s="97">
        <v>46233</v>
      </c>
      <c r="AC1212" s="6" t="s">
        <v>7429</v>
      </c>
    </row>
    <row r="1213" spans="27:29" x14ac:dyDescent="0.3">
      <c r="AA1213" t="s">
        <v>5739</v>
      </c>
      <c r="AB1213" s="97">
        <v>46233</v>
      </c>
      <c r="AC1213" s="6" t="s">
        <v>7429</v>
      </c>
    </row>
    <row r="1214" spans="27:29" x14ac:dyDescent="0.3">
      <c r="AA1214" t="s">
        <v>5740</v>
      </c>
      <c r="AB1214" s="97">
        <v>46233</v>
      </c>
      <c r="AC1214" s="6" t="s">
        <v>7429</v>
      </c>
    </row>
    <row r="1215" spans="27:29" x14ac:dyDescent="0.3">
      <c r="AA1215" t="s">
        <v>5741</v>
      </c>
      <c r="AB1215" s="97">
        <v>46233</v>
      </c>
      <c r="AC1215" s="6" t="s">
        <v>7429</v>
      </c>
    </row>
    <row r="1216" spans="27:29" x14ac:dyDescent="0.3">
      <c r="AA1216" t="s">
        <v>5742</v>
      </c>
      <c r="AB1216" s="97">
        <v>46233</v>
      </c>
      <c r="AC1216" s="6" t="s">
        <v>7429</v>
      </c>
    </row>
    <row r="1217" spans="27:29" x14ac:dyDescent="0.3">
      <c r="AA1217" t="s">
        <v>5743</v>
      </c>
      <c r="AB1217" s="97">
        <v>46233</v>
      </c>
      <c r="AC1217" s="6" t="s">
        <v>7429</v>
      </c>
    </row>
    <row r="1218" spans="27:29" x14ac:dyDescent="0.3">
      <c r="AA1218" t="s">
        <v>5744</v>
      </c>
      <c r="AB1218" s="97">
        <v>46233</v>
      </c>
      <c r="AC1218" s="6" t="s">
        <v>7429</v>
      </c>
    </row>
    <row r="1219" spans="27:29" x14ac:dyDescent="0.3">
      <c r="AA1219" t="s">
        <v>5745</v>
      </c>
      <c r="AB1219" s="97">
        <v>46233</v>
      </c>
      <c r="AC1219" s="6" t="s">
        <v>7429</v>
      </c>
    </row>
    <row r="1220" spans="27:29" x14ac:dyDescent="0.3">
      <c r="AA1220" t="s">
        <v>5746</v>
      </c>
      <c r="AB1220" s="97">
        <v>46234</v>
      </c>
      <c r="AC1220" s="6" t="s">
        <v>7429</v>
      </c>
    </row>
    <row r="1221" spans="27:29" x14ac:dyDescent="0.3">
      <c r="AA1221" t="s">
        <v>5747</v>
      </c>
      <c r="AB1221" s="97">
        <v>46234</v>
      </c>
      <c r="AC1221" s="6" t="s">
        <v>7429</v>
      </c>
    </row>
    <row r="1222" spans="27:29" x14ac:dyDescent="0.3">
      <c r="AA1222" t="s">
        <v>5748</v>
      </c>
      <c r="AB1222" s="97">
        <v>46234</v>
      </c>
      <c r="AC1222" s="6" t="s">
        <v>7429</v>
      </c>
    </row>
    <row r="1223" spans="27:29" x14ac:dyDescent="0.3">
      <c r="AA1223" t="s">
        <v>5749</v>
      </c>
      <c r="AB1223" s="97">
        <v>46234</v>
      </c>
      <c r="AC1223" s="6" t="s">
        <v>7429</v>
      </c>
    </row>
    <row r="1224" spans="27:29" x14ac:dyDescent="0.3">
      <c r="AA1224" t="s">
        <v>5750</v>
      </c>
      <c r="AB1224" s="97">
        <v>46234</v>
      </c>
      <c r="AC1224" s="6" t="s">
        <v>7429</v>
      </c>
    </row>
    <row r="1225" spans="27:29" x14ac:dyDescent="0.3">
      <c r="AA1225" t="s">
        <v>5751</v>
      </c>
      <c r="AB1225" s="97">
        <v>46234</v>
      </c>
      <c r="AC1225" s="6" t="s">
        <v>7429</v>
      </c>
    </row>
    <row r="1226" spans="27:29" x14ac:dyDescent="0.3">
      <c r="AA1226" t="s">
        <v>5752</v>
      </c>
      <c r="AB1226" s="97">
        <v>46234</v>
      </c>
      <c r="AC1226" s="6" t="s">
        <v>7429</v>
      </c>
    </row>
    <row r="1227" spans="27:29" x14ac:dyDescent="0.3">
      <c r="AA1227" t="s">
        <v>5753</v>
      </c>
      <c r="AB1227" s="97">
        <v>46234</v>
      </c>
      <c r="AC1227" s="6" t="s">
        <v>7429</v>
      </c>
    </row>
    <row r="1228" spans="27:29" x14ac:dyDescent="0.3">
      <c r="AA1228" t="s">
        <v>5754</v>
      </c>
      <c r="AB1228" s="97">
        <v>46234</v>
      </c>
      <c r="AC1228" s="6" t="s">
        <v>7429</v>
      </c>
    </row>
    <row r="1229" spans="27:29" x14ac:dyDescent="0.3">
      <c r="AA1229" t="s">
        <v>5755</v>
      </c>
      <c r="AB1229" s="97">
        <v>46234</v>
      </c>
      <c r="AC1229" s="6" t="s">
        <v>7429</v>
      </c>
    </row>
    <row r="1230" spans="27:29" x14ac:dyDescent="0.3">
      <c r="AA1230" t="s">
        <v>5756</v>
      </c>
      <c r="AB1230" s="97">
        <v>46234</v>
      </c>
      <c r="AC1230" s="6" t="s">
        <v>7429</v>
      </c>
    </row>
    <row r="1231" spans="27:29" x14ac:dyDescent="0.3">
      <c r="AA1231" t="s">
        <v>5812</v>
      </c>
      <c r="AB1231" s="97">
        <v>46233</v>
      </c>
      <c r="AC1231" s="6" t="s">
        <v>7429</v>
      </c>
    </row>
    <row r="1232" spans="27:29" x14ac:dyDescent="0.3">
      <c r="AA1232" t="s">
        <v>5813</v>
      </c>
      <c r="AB1232" s="97">
        <v>46234</v>
      </c>
      <c r="AC1232" s="6" t="s">
        <v>7429</v>
      </c>
    </row>
    <row r="1233" spans="27:29" x14ac:dyDescent="0.3">
      <c r="AA1233" t="s">
        <v>5819</v>
      </c>
      <c r="AB1233" s="97">
        <v>46233</v>
      </c>
      <c r="AC1233" s="6" t="s">
        <v>7429</v>
      </c>
    </row>
    <row r="1234" spans="27:29" x14ac:dyDescent="0.3">
      <c r="AA1234" t="s">
        <v>5820</v>
      </c>
      <c r="AB1234" s="97">
        <v>46234</v>
      </c>
      <c r="AC1234" s="6" t="s">
        <v>7429</v>
      </c>
    </row>
    <row r="1235" spans="27:29" x14ac:dyDescent="0.3">
      <c r="AA1235" t="s">
        <v>5826</v>
      </c>
      <c r="AB1235" s="97">
        <v>46234</v>
      </c>
      <c r="AC1235" s="6" t="s">
        <v>7430</v>
      </c>
    </row>
    <row r="1236" spans="27:29" x14ac:dyDescent="0.3">
      <c r="AA1236" t="s">
        <v>5827</v>
      </c>
      <c r="AB1236" s="97">
        <v>46234</v>
      </c>
      <c r="AC1236" s="6" t="s">
        <v>7430</v>
      </c>
    </row>
    <row r="1237" spans="27:29" x14ac:dyDescent="0.3">
      <c r="AA1237" t="s">
        <v>5828</v>
      </c>
      <c r="AB1237" s="97">
        <v>46234</v>
      </c>
      <c r="AC1237" s="6" t="s">
        <v>7430</v>
      </c>
    </row>
    <row r="1238" spans="27:29" x14ac:dyDescent="0.3">
      <c r="AA1238" t="s">
        <v>5829</v>
      </c>
      <c r="AB1238" s="97">
        <v>46234</v>
      </c>
      <c r="AC1238" s="6" t="s">
        <v>7430</v>
      </c>
    </row>
    <row r="1239" spans="27:29" x14ac:dyDescent="0.3">
      <c r="AA1239" t="s">
        <v>5830</v>
      </c>
      <c r="AB1239" s="97">
        <v>46234</v>
      </c>
      <c r="AC1239" s="6" t="s">
        <v>7430</v>
      </c>
    </row>
    <row r="1240" spans="27:29" x14ac:dyDescent="0.3">
      <c r="AA1240" t="s">
        <v>5831</v>
      </c>
      <c r="AB1240" s="97">
        <v>46234</v>
      </c>
      <c r="AC1240" s="6" t="s">
        <v>7430</v>
      </c>
    </row>
    <row r="1241" spans="27:29" x14ac:dyDescent="0.3">
      <c r="AA1241" t="s">
        <v>5832</v>
      </c>
      <c r="AB1241" s="97">
        <v>46234</v>
      </c>
      <c r="AC1241" s="6" t="s">
        <v>7430</v>
      </c>
    </row>
    <row r="1242" spans="27:29" x14ac:dyDescent="0.3">
      <c r="AA1242" t="s">
        <v>5833</v>
      </c>
      <c r="AB1242" s="97">
        <v>46234</v>
      </c>
      <c r="AC1242" s="6" t="s">
        <v>7430</v>
      </c>
    </row>
    <row r="1243" spans="27:29" x14ac:dyDescent="0.3">
      <c r="AA1243" t="s">
        <v>5834</v>
      </c>
      <c r="AB1243" s="97">
        <v>46224</v>
      </c>
      <c r="AC1243" s="6" t="s">
        <v>7429</v>
      </c>
    </row>
    <row r="1244" spans="27:29" x14ac:dyDescent="0.3">
      <c r="AA1244" t="s">
        <v>5835</v>
      </c>
      <c r="AB1244" s="97">
        <v>46224</v>
      </c>
      <c r="AC1244" s="6" t="s">
        <v>7429</v>
      </c>
    </row>
    <row r="1245" spans="27:29" x14ac:dyDescent="0.3">
      <c r="AA1245" t="s">
        <v>5836</v>
      </c>
      <c r="AB1245" s="97">
        <v>46224</v>
      </c>
      <c r="AC1245" s="6" t="s">
        <v>7429</v>
      </c>
    </row>
    <row r="1246" spans="27:29" x14ac:dyDescent="0.3">
      <c r="AA1246" t="s">
        <v>5837</v>
      </c>
      <c r="AB1246" s="97">
        <v>46224</v>
      </c>
      <c r="AC1246" s="6" t="s">
        <v>7429</v>
      </c>
    </row>
    <row r="1247" spans="27:29" x14ac:dyDescent="0.3">
      <c r="AA1247" t="s">
        <v>5839</v>
      </c>
      <c r="AB1247" s="97">
        <v>46220</v>
      </c>
      <c r="AC1247" s="6" t="s">
        <v>7429</v>
      </c>
    </row>
    <row r="1248" spans="27:29" x14ac:dyDescent="0.3">
      <c r="AA1248" t="s">
        <v>5840</v>
      </c>
      <c r="AB1248" s="97">
        <v>46220</v>
      </c>
      <c r="AC1248" s="6" t="s">
        <v>7429</v>
      </c>
    </row>
    <row r="1249" spans="27:29" x14ac:dyDescent="0.3">
      <c r="AA1249" t="s">
        <v>5841</v>
      </c>
      <c r="AB1249" s="97">
        <v>46220</v>
      </c>
      <c r="AC1249" s="6" t="s">
        <v>7429</v>
      </c>
    </row>
    <row r="1250" spans="27:29" x14ac:dyDescent="0.3">
      <c r="AA1250" t="s">
        <v>5842</v>
      </c>
      <c r="AB1250" s="97">
        <v>46233</v>
      </c>
      <c r="AC1250" s="6" t="s">
        <v>7429</v>
      </c>
    </row>
    <row r="1251" spans="27:29" x14ac:dyDescent="0.3">
      <c r="AA1251" t="s">
        <v>5843</v>
      </c>
      <c r="AB1251" s="97">
        <v>46233</v>
      </c>
      <c r="AC1251" s="6" t="s">
        <v>7429</v>
      </c>
    </row>
    <row r="1252" spans="27:29" x14ac:dyDescent="0.3">
      <c r="AA1252" t="s">
        <v>5844</v>
      </c>
      <c r="AB1252" s="97">
        <v>46233</v>
      </c>
      <c r="AC1252" s="6" t="s">
        <v>7429</v>
      </c>
    </row>
    <row r="1253" spans="27:29" x14ac:dyDescent="0.3">
      <c r="AA1253" t="s">
        <v>5860</v>
      </c>
      <c r="AB1253" s="97">
        <v>46220</v>
      </c>
      <c r="AC1253" s="6" t="s">
        <v>7429</v>
      </c>
    </row>
    <row r="1254" spans="27:29" x14ac:dyDescent="0.3">
      <c r="AA1254" t="s">
        <v>5861</v>
      </c>
      <c r="AB1254" s="97">
        <v>46220</v>
      </c>
      <c r="AC1254" s="6" t="s">
        <v>7429</v>
      </c>
    </row>
    <row r="1255" spans="27:29" x14ac:dyDescent="0.3">
      <c r="AA1255" t="s">
        <v>5862</v>
      </c>
      <c r="AB1255" s="97">
        <v>46220</v>
      </c>
      <c r="AC1255" s="6" t="s">
        <v>7429</v>
      </c>
    </row>
    <row r="1256" spans="27:29" x14ac:dyDescent="0.3">
      <c r="AA1256" t="s">
        <v>5863</v>
      </c>
      <c r="AB1256" s="97">
        <v>46220</v>
      </c>
      <c r="AC1256" s="6" t="s">
        <v>7429</v>
      </c>
    </row>
    <row r="1257" spans="27:29" x14ac:dyDescent="0.3">
      <c r="AA1257" t="s">
        <v>5864</v>
      </c>
      <c r="AB1257" s="97">
        <v>46220</v>
      </c>
      <c r="AC1257" s="6" t="s">
        <v>7429</v>
      </c>
    </row>
    <row r="1258" spans="27:29" x14ac:dyDescent="0.3">
      <c r="AA1258" t="s">
        <v>5865</v>
      </c>
      <c r="AB1258" s="97">
        <v>46220</v>
      </c>
      <c r="AC1258" s="6" t="s">
        <v>7429</v>
      </c>
    </row>
    <row r="1259" spans="27:29" x14ac:dyDescent="0.3">
      <c r="AA1259" t="s">
        <v>5866</v>
      </c>
      <c r="AB1259" s="97">
        <v>46233</v>
      </c>
      <c r="AC1259" s="6" t="s">
        <v>7429</v>
      </c>
    </row>
    <row r="1260" spans="27:29" x14ac:dyDescent="0.3">
      <c r="AA1260" t="s">
        <v>5867</v>
      </c>
      <c r="AB1260" s="97">
        <v>46233</v>
      </c>
      <c r="AC1260" s="6" t="s">
        <v>7429</v>
      </c>
    </row>
    <row r="1261" spans="27:29" x14ac:dyDescent="0.3">
      <c r="AA1261" t="s">
        <v>5868</v>
      </c>
      <c r="AB1261" s="97">
        <v>46233</v>
      </c>
      <c r="AC1261" s="6" t="s">
        <v>7429</v>
      </c>
    </row>
    <row r="1262" spans="27:29" x14ac:dyDescent="0.3">
      <c r="AA1262" t="s">
        <v>5869</v>
      </c>
      <c r="AB1262" s="97">
        <v>46233</v>
      </c>
      <c r="AC1262" s="6" t="s">
        <v>7429</v>
      </c>
    </row>
    <row r="1263" spans="27:29" x14ac:dyDescent="0.3">
      <c r="AA1263" t="s">
        <v>5870</v>
      </c>
      <c r="AB1263" s="97">
        <v>46233</v>
      </c>
      <c r="AC1263" s="6" t="s">
        <v>7429</v>
      </c>
    </row>
    <row r="1264" spans="27:29" x14ac:dyDescent="0.3">
      <c r="AA1264" t="s">
        <v>5871</v>
      </c>
      <c r="AB1264" s="97">
        <v>46233</v>
      </c>
      <c r="AC1264" s="6" t="s">
        <v>7429</v>
      </c>
    </row>
    <row r="1265" spans="27:29" x14ac:dyDescent="0.3">
      <c r="AA1265" t="s">
        <v>5902</v>
      </c>
      <c r="AB1265" s="97">
        <v>46220</v>
      </c>
      <c r="AC1265" s="6" t="s">
        <v>7429</v>
      </c>
    </row>
    <row r="1266" spans="27:29" x14ac:dyDescent="0.3">
      <c r="AA1266" t="s">
        <v>5905</v>
      </c>
      <c r="AB1266" s="97">
        <v>46233</v>
      </c>
      <c r="AC1266" s="6" t="s">
        <v>7429</v>
      </c>
    </row>
    <row r="1267" spans="27:29" x14ac:dyDescent="0.3">
      <c r="AA1267" t="s">
        <v>5911</v>
      </c>
      <c r="AB1267" s="97">
        <v>46233</v>
      </c>
      <c r="AC1267" s="6" t="s">
        <v>7429</v>
      </c>
    </row>
    <row r="1268" spans="27:29" x14ac:dyDescent="0.3">
      <c r="AA1268" t="s">
        <v>5912</v>
      </c>
      <c r="AB1268" s="97">
        <v>46220</v>
      </c>
      <c r="AC1268" s="6" t="s">
        <v>7429</v>
      </c>
    </row>
    <row r="1269" spans="27:29" x14ac:dyDescent="0.3">
      <c r="AA1269" t="s">
        <v>5913</v>
      </c>
      <c r="AB1269" s="97">
        <v>46233</v>
      </c>
      <c r="AC1269" s="6" t="s">
        <v>7429</v>
      </c>
    </row>
    <row r="1270" spans="27:29" x14ac:dyDescent="0.3">
      <c r="AA1270" t="s">
        <v>5919</v>
      </c>
      <c r="AB1270" s="97">
        <v>46233</v>
      </c>
      <c r="AC1270" s="6" t="s">
        <v>7429</v>
      </c>
    </row>
    <row r="1271" spans="27:29" x14ac:dyDescent="0.3">
      <c r="AA1271" t="s">
        <v>5920</v>
      </c>
      <c r="AB1271" s="97">
        <v>46220</v>
      </c>
      <c r="AC1271" s="6" t="s">
        <v>7429</v>
      </c>
    </row>
    <row r="1272" spans="27:29" x14ac:dyDescent="0.3">
      <c r="AA1272" t="s">
        <v>5921</v>
      </c>
      <c r="AB1272" s="97">
        <v>46233</v>
      </c>
      <c r="AC1272" s="6" t="s">
        <v>7429</v>
      </c>
    </row>
    <row r="1273" spans="27:29" x14ac:dyDescent="0.3">
      <c r="AA1273" t="s">
        <v>5927</v>
      </c>
      <c r="AB1273" s="97">
        <v>46220</v>
      </c>
      <c r="AC1273" s="6" t="s">
        <v>7429</v>
      </c>
    </row>
    <row r="1274" spans="27:29" x14ac:dyDescent="0.3">
      <c r="AA1274" t="s">
        <v>5928</v>
      </c>
      <c r="AB1274" s="97">
        <v>46234</v>
      </c>
      <c r="AC1274" s="6" t="s">
        <v>7429</v>
      </c>
    </row>
    <row r="1275" spans="27:29" x14ac:dyDescent="0.3">
      <c r="AA1275" t="s">
        <v>5934</v>
      </c>
      <c r="AB1275" s="97">
        <v>46234</v>
      </c>
      <c r="AC1275" s="6" t="s">
        <v>7430</v>
      </c>
    </row>
    <row r="1276" spans="27:29" x14ac:dyDescent="0.3">
      <c r="AA1276" t="s">
        <v>5935</v>
      </c>
      <c r="AB1276" s="97">
        <v>46224</v>
      </c>
      <c r="AC1276" s="6" t="s">
        <v>7429</v>
      </c>
    </row>
    <row r="1277" spans="27:29" x14ac:dyDescent="0.3">
      <c r="AA1277" t="s">
        <v>5937</v>
      </c>
      <c r="AB1277" s="97">
        <v>46220</v>
      </c>
      <c r="AC1277" s="6" t="s">
        <v>7429</v>
      </c>
    </row>
    <row r="1278" spans="27:29" x14ac:dyDescent="0.3">
      <c r="AA1278" t="s">
        <v>5938</v>
      </c>
      <c r="AB1278" s="97">
        <v>46233</v>
      </c>
      <c r="AC1278" s="6" t="s">
        <v>7429</v>
      </c>
    </row>
    <row r="1279" spans="27:29" x14ac:dyDescent="0.3">
      <c r="AA1279" t="s">
        <v>7224</v>
      </c>
      <c r="AB1279" s="97">
        <v>46223</v>
      </c>
      <c r="AC1279" s="6" t="s">
        <v>7429</v>
      </c>
    </row>
    <row r="1280" spans="27:29" x14ac:dyDescent="0.3">
      <c r="AA1280" t="s">
        <v>7225</v>
      </c>
      <c r="AB1280" s="97">
        <v>46223</v>
      </c>
      <c r="AC1280" s="6" t="s">
        <v>7429</v>
      </c>
    </row>
    <row r="1281" spans="27:29" x14ac:dyDescent="0.3">
      <c r="AA1281" t="s">
        <v>7226</v>
      </c>
      <c r="AB1281" s="97">
        <v>46223</v>
      </c>
      <c r="AC1281" s="6" t="s">
        <v>7429</v>
      </c>
    </row>
    <row r="1282" spans="27:29" x14ac:dyDescent="0.3">
      <c r="AA1282" t="s">
        <v>7227</v>
      </c>
      <c r="AB1282" s="97">
        <v>46194</v>
      </c>
      <c r="AC1282" s="6" t="s">
        <v>7429</v>
      </c>
    </row>
    <row r="1283" spans="27:29" x14ac:dyDescent="0.3">
      <c r="AA1283" t="s">
        <v>6928</v>
      </c>
      <c r="AB1283" s="97">
        <v>46220</v>
      </c>
      <c r="AC1283" s="6" t="s">
        <v>7429</v>
      </c>
    </row>
    <row r="1284" spans="27:29" x14ac:dyDescent="0.3">
      <c r="AA1284" t="s">
        <v>6929</v>
      </c>
      <c r="AB1284" s="97">
        <v>46233</v>
      </c>
      <c r="AC1284" s="6" t="s">
        <v>7429</v>
      </c>
    </row>
    <row r="1285" spans="27:29" x14ac:dyDescent="0.3">
      <c r="AA1285" t="s">
        <v>6935</v>
      </c>
      <c r="AB1285" s="97">
        <v>46233</v>
      </c>
      <c r="AC1285" s="6" t="s">
        <v>7429</v>
      </c>
    </row>
    <row r="1286" spans="27:29" x14ac:dyDescent="0.3">
      <c r="AA1286" t="s">
        <v>6936</v>
      </c>
      <c r="AB1286" s="97">
        <v>46220</v>
      </c>
      <c r="AC1286" s="6" t="s">
        <v>7429</v>
      </c>
    </row>
    <row r="1287" spans="27:29" x14ac:dyDescent="0.3">
      <c r="AA1287" t="s">
        <v>6937</v>
      </c>
      <c r="AB1287" s="97">
        <v>46220</v>
      </c>
      <c r="AC1287" s="6" t="s">
        <v>7429</v>
      </c>
    </row>
    <row r="1288" spans="27:29" x14ac:dyDescent="0.3">
      <c r="AA1288" t="s">
        <v>6938</v>
      </c>
      <c r="AB1288" s="97">
        <v>46220</v>
      </c>
      <c r="AC1288" s="6" t="s">
        <v>7429</v>
      </c>
    </row>
    <row r="1289" spans="27:29" x14ac:dyDescent="0.3">
      <c r="AA1289" t="s">
        <v>6939</v>
      </c>
      <c r="AB1289" s="97">
        <v>46233</v>
      </c>
      <c r="AC1289" s="6" t="s">
        <v>7429</v>
      </c>
    </row>
    <row r="1290" spans="27:29" x14ac:dyDescent="0.3">
      <c r="AA1290" t="s">
        <v>6940</v>
      </c>
      <c r="AB1290" s="97">
        <v>46233</v>
      </c>
      <c r="AC1290" s="6" t="s">
        <v>7429</v>
      </c>
    </row>
    <row r="1291" spans="27:29" x14ac:dyDescent="0.3">
      <c r="AA1291" t="s">
        <v>6941</v>
      </c>
      <c r="AB1291" s="97">
        <v>46233</v>
      </c>
      <c r="AC1291" s="6" t="s">
        <v>7429</v>
      </c>
    </row>
    <row r="1292" spans="27:29" x14ac:dyDescent="0.3">
      <c r="AA1292" t="s">
        <v>6957</v>
      </c>
      <c r="AB1292" s="97">
        <v>46220</v>
      </c>
      <c r="AC1292" s="6" t="s">
        <v>7429</v>
      </c>
    </row>
    <row r="1293" spans="27:29" x14ac:dyDescent="0.3">
      <c r="AA1293" t="s">
        <v>6958</v>
      </c>
      <c r="AB1293" s="97">
        <v>46220</v>
      </c>
      <c r="AC1293" s="6" t="s">
        <v>7429</v>
      </c>
    </row>
    <row r="1294" spans="27:29" x14ac:dyDescent="0.3">
      <c r="AA1294" t="s">
        <v>6959</v>
      </c>
      <c r="AB1294" s="97">
        <v>46233</v>
      </c>
      <c r="AC1294" s="6" t="s">
        <v>7429</v>
      </c>
    </row>
    <row r="1295" spans="27:29" x14ac:dyDescent="0.3">
      <c r="AA1295" t="s">
        <v>6960</v>
      </c>
      <c r="AB1295" s="97">
        <v>46233</v>
      </c>
      <c r="AC1295" s="6" t="s">
        <v>7429</v>
      </c>
    </row>
    <row r="1296" spans="27:29" x14ac:dyDescent="0.3">
      <c r="AA1296" t="s">
        <v>6971</v>
      </c>
      <c r="AB1296" s="97">
        <v>46233</v>
      </c>
      <c r="AC1296" s="6" t="s">
        <v>7429</v>
      </c>
    </row>
    <row r="1297" spans="27:29" x14ac:dyDescent="0.3">
      <c r="AA1297" t="s">
        <v>6972</v>
      </c>
      <c r="AB1297" s="97">
        <v>46233</v>
      </c>
      <c r="AC1297" s="6" t="s">
        <v>7429</v>
      </c>
    </row>
    <row r="1298" spans="27:29" x14ac:dyDescent="0.3">
      <c r="AA1298" t="s">
        <v>6973</v>
      </c>
      <c r="AB1298" s="97">
        <v>46233</v>
      </c>
      <c r="AC1298" s="6" t="s">
        <v>7429</v>
      </c>
    </row>
    <row r="1299" spans="27:29" x14ac:dyDescent="0.3">
      <c r="AA1299" t="s">
        <v>6974</v>
      </c>
      <c r="AB1299" s="97">
        <v>46233</v>
      </c>
      <c r="AC1299" s="6" t="s">
        <v>7429</v>
      </c>
    </row>
    <row r="1300" spans="27:29" x14ac:dyDescent="0.3">
      <c r="AA1300" t="s">
        <v>6975</v>
      </c>
      <c r="AB1300" s="97">
        <v>46233</v>
      </c>
      <c r="AC1300" s="6" t="s">
        <v>7429</v>
      </c>
    </row>
    <row r="1301" spans="27:29" x14ac:dyDescent="0.3">
      <c r="AA1301" t="s">
        <v>6976</v>
      </c>
      <c r="AB1301" s="97">
        <v>46234</v>
      </c>
      <c r="AC1301" s="6" t="s">
        <v>7429</v>
      </c>
    </row>
    <row r="1302" spans="27:29" x14ac:dyDescent="0.3">
      <c r="AA1302" t="s">
        <v>6982</v>
      </c>
      <c r="AB1302" s="97">
        <v>46233</v>
      </c>
      <c r="AC1302" s="6" t="s">
        <v>7429</v>
      </c>
    </row>
    <row r="1303" spans="27:29" x14ac:dyDescent="0.3">
      <c r="AA1303" t="s">
        <v>6983</v>
      </c>
      <c r="AB1303" s="97">
        <v>46234</v>
      </c>
      <c r="AC1303" s="6" t="s">
        <v>7429</v>
      </c>
    </row>
    <row r="1304" spans="27:29" x14ac:dyDescent="0.3">
      <c r="AA1304" t="s">
        <v>5955</v>
      </c>
      <c r="AB1304" s="97">
        <v>46220</v>
      </c>
      <c r="AC1304" s="6" t="s">
        <v>7429</v>
      </c>
    </row>
    <row r="1305" spans="27:29" x14ac:dyDescent="0.3">
      <c r="AA1305" t="s">
        <v>5956</v>
      </c>
      <c r="AB1305" s="97">
        <v>46220</v>
      </c>
      <c r="AC1305" s="6" t="s">
        <v>7429</v>
      </c>
    </row>
    <row r="1306" spans="27:29" x14ac:dyDescent="0.3">
      <c r="AA1306" t="s">
        <v>5957</v>
      </c>
      <c r="AB1306" s="97">
        <v>46233</v>
      </c>
      <c r="AC1306" s="6" t="s">
        <v>7429</v>
      </c>
    </row>
    <row r="1307" spans="27:29" x14ac:dyDescent="0.3">
      <c r="AA1307" t="s">
        <v>5958</v>
      </c>
      <c r="AB1307" s="97">
        <v>46233</v>
      </c>
      <c r="AC1307" s="6" t="s">
        <v>7429</v>
      </c>
    </row>
    <row r="1308" spans="27:29" x14ac:dyDescent="0.3">
      <c r="AA1308" t="s">
        <v>5964</v>
      </c>
      <c r="AB1308" s="97">
        <v>46220</v>
      </c>
      <c r="AC1308" s="6" t="s">
        <v>7429</v>
      </c>
    </row>
    <row r="1309" spans="27:29" x14ac:dyDescent="0.3">
      <c r="AA1309" t="s">
        <v>5965</v>
      </c>
      <c r="AB1309" s="97">
        <v>46220</v>
      </c>
      <c r="AC1309" s="6" t="s">
        <v>7429</v>
      </c>
    </row>
    <row r="1310" spans="27:29" x14ac:dyDescent="0.3">
      <c r="AA1310" t="s">
        <v>5966</v>
      </c>
      <c r="AB1310" s="97">
        <v>46233</v>
      </c>
      <c r="AC1310" s="6" t="s">
        <v>7429</v>
      </c>
    </row>
    <row r="1311" spans="27:29" x14ac:dyDescent="0.3">
      <c r="AA1311" t="s">
        <v>5967</v>
      </c>
      <c r="AB1311" s="97">
        <v>46233</v>
      </c>
      <c r="AC1311" s="6" t="s">
        <v>7429</v>
      </c>
    </row>
    <row r="1312" spans="27:29" x14ac:dyDescent="0.3">
      <c r="AA1312" t="s">
        <v>5978</v>
      </c>
      <c r="AB1312" s="97">
        <v>46233</v>
      </c>
      <c r="AC1312" s="6" t="s">
        <v>7429</v>
      </c>
    </row>
    <row r="1313" spans="27:29" x14ac:dyDescent="0.3">
      <c r="AA1313" t="s">
        <v>5979</v>
      </c>
      <c r="AB1313" s="97">
        <v>46233</v>
      </c>
      <c r="AC1313" s="6" t="s">
        <v>7429</v>
      </c>
    </row>
    <row r="1314" spans="27:29" x14ac:dyDescent="0.3">
      <c r="AA1314" t="s">
        <v>5980</v>
      </c>
      <c r="AB1314" s="97">
        <v>46233</v>
      </c>
      <c r="AC1314" s="6" t="s">
        <v>7429</v>
      </c>
    </row>
    <row r="1315" spans="27:29" x14ac:dyDescent="0.3">
      <c r="AA1315" t="s">
        <v>5981</v>
      </c>
      <c r="AB1315" s="97">
        <v>46233</v>
      </c>
      <c r="AC1315" s="6" t="s">
        <v>7429</v>
      </c>
    </row>
    <row r="1316" spans="27:29" x14ac:dyDescent="0.3">
      <c r="AA1316" t="s">
        <v>5982</v>
      </c>
      <c r="AB1316" s="97">
        <v>46233</v>
      </c>
      <c r="AC1316" s="6" t="s">
        <v>7429</v>
      </c>
    </row>
    <row r="1317" spans="27:29" x14ac:dyDescent="0.3">
      <c r="AA1317" t="s">
        <v>5983</v>
      </c>
      <c r="AB1317" s="97">
        <v>46233</v>
      </c>
      <c r="AC1317" s="6" t="s">
        <v>7429</v>
      </c>
    </row>
    <row r="1318" spans="27:29" x14ac:dyDescent="0.3">
      <c r="AA1318" t="s">
        <v>5984</v>
      </c>
      <c r="AB1318" s="97">
        <v>46220</v>
      </c>
      <c r="AC1318" s="6" t="s">
        <v>7429</v>
      </c>
    </row>
    <row r="1319" spans="27:29" x14ac:dyDescent="0.3">
      <c r="AA1319" t="s">
        <v>5985</v>
      </c>
      <c r="AB1319" s="97">
        <v>46233</v>
      </c>
      <c r="AC1319" s="6" t="s">
        <v>7429</v>
      </c>
    </row>
    <row r="1320" spans="27:29" x14ac:dyDescent="0.3">
      <c r="AA1320" t="s">
        <v>5991</v>
      </c>
      <c r="AB1320" s="97">
        <v>46220</v>
      </c>
      <c r="AC1320" s="6" t="s">
        <v>7429</v>
      </c>
    </row>
    <row r="1321" spans="27:29" x14ac:dyDescent="0.3">
      <c r="AA1321" t="s">
        <v>5992</v>
      </c>
      <c r="AB1321" s="97">
        <v>46220</v>
      </c>
      <c r="AC1321" s="6" t="s">
        <v>7429</v>
      </c>
    </row>
    <row r="1322" spans="27:29" x14ac:dyDescent="0.3">
      <c r="AA1322" t="s">
        <v>5993</v>
      </c>
      <c r="AB1322" s="97">
        <v>46233</v>
      </c>
      <c r="AC1322" s="6" t="s">
        <v>7429</v>
      </c>
    </row>
    <row r="1323" spans="27:29" x14ac:dyDescent="0.3">
      <c r="AA1323" t="s">
        <v>5994</v>
      </c>
      <c r="AB1323" s="97">
        <v>46233</v>
      </c>
      <c r="AC1323" s="6" t="s">
        <v>7429</v>
      </c>
    </row>
    <row r="1324" spans="27:29" x14ac:dyDescent="0.3">
      <c r="AA1324" t="s">
        <v>6005</v>
      </c>
      <c r="AB1324" s="97">
        <v>46220</v>
      </c>
      <c r="AC1324" s="6" t="s">
        <v>7429</v>
      </c>
    </row>
    <row r="1325" spans="27:29" x14ac:dyDescent="0.3">
      <c r="AA1325" t="s">
        <v>6006</v>
      </c>
      <c r="AB1325" s="97">
        <v>46220</v>
      </c>
      <c r="AC1325" s="6" t="s">
        <v>7429</v>
      </c>
    </row>
    <row r="1326" spans="27:29" x14ac:dyDescent="0.3">
      <c r="AA1326" t="s">
        <v>6007</v>
      </c>
      <c r="AB1326" s="97">
        <v>46220</v>
      </c>
      <c r="AC1326" s="6" t="s">
        <v>7429</v>
      </c>
    </row>
    <row r="1327" spans="27:29" x14ac:dyDescent="0.3">
      <c r="AA1327" t="s">
        <v>6008</v>
      </c>
      <c r="AB1327" s="97">
        <v>46220</v>
      </c>
      <c r="AC1327" s="6" t="s">
        <v>7429</v>
      </c>
    </row>
    <row r="1328" spans="27:29" x14ac:dyDescent="0.3">
      <c r="AA1328" t="s">
        <v>6009</v>
      </c>
      <c r="AB1328" s="97">
        <v>46220</v>
      </c>
      <c r="AC1328" s="6" t="s">
        <v>7429</v>
      </c>
    </row>
    <row r="1329" spans="27:29" x14ac:dyDescent="0.3">
      <c r="AA1329" t="s">
        <v>6010</v>
      </c>
      <c r="AB1329" s="97">
        <v>46220</v>
      </c>
      <c r="AC1329" s="6" t="s">
        <v>7429</v>
      </c>
    </row>
    <row r="1330" spans="27:29" x14ac:dyDescent="0.3">
      <c r="AA1330" t="s">
        <v>6011</v>
      </c>
      <c r="AB1330" s="97">
        <v>46233</v>
      </c>
      <c r="AC1330" s="6" t="s">
        <v>7429</v>
      </c>
    </row>
    <row r="1331" spans="27:29" x14ac:dyDescent="0.3">
      <c r="AA1331" t="s">
        <v>6012</v>
      </c>
      <c r="AB1331" s="97">
        <v>46234</v>
      </c>
      <c r="AC1331" s="6" t="s">
        <v>7429</v>
      </c>
    </row>
    <row r="1332" spans="27:29" x14ac:dyDescent="0.3">
      <c r="AA1332" t="s">
        <v>6013</v>
      </c>
      <c r="AB1332" s="97">
        <v>46234</v>
      </c>
      <c r="AC1332" s="6" t="s">
        <v>7429</v>
      </c>
    </row>
    <row r="1333" spans="27:29" x14ac:dyDescent="0.3">
      <c r="AA1333" t="s">
        <v>6014</v>
      </c>
      <c r="AB1333" s="97">
        <v>46234</v>
      </c>
      <c r="AC1333" s="6" t="s">
        <v>7429</v>
      </c>
    </row>
    <row r="1334" spans="27:29" x14ac:dyDescent="0.3">
      <c r="AA1334" t="s">
        <v>6015</v>
      </c>
      <c r="AB1334" s="97">
        <v>46234</v>
      </c>
      <c r="AC1334" s="6" t="s">
        <v>7429</v>
      </c>
    </row>
    <row r="1335" spans="27:29" x14ac:dyDescent="0.3">
      <c r="AA1335" t="s">
        <v>6016</v>
      </c>
      <c r="AB1335" s="97">
        <v>46234</v>
      </c>
      <c r="AC1335" s="6" t="s">
        <v>7429</v>
      </c>
    </row>
    <row r="1336" spans="27:29" x14ac:dyDescent="0.3">
      <c r="AA1336" t="s">
        <v>6047</v>
      </c>
      <c r="AB1336" s="97">
        <v>46220</v>
      </c>
      <c r="AC1336" s="6" t="s">
        <v>7429</v>
      </c>
    </row>
    <row r="1337" spans="27:29" x14ac:dyDescent="0.3">
      <c r="AA1337" t="s">
        <v>6048</v>
      </c>
      <c r="AB1337" s="97">
        <v>46220</v>
      </c>
      <c r="AC1337" s="6" t="s">
        <v>7429</v>
      </c>
    </row>
    <row r="1338" spans="27:29" x14ac:dyDescent="0.3">
      <c r="AA1338" t="s">
        <v>6049</v>
      </c>
      <c r="AB1338" s="97">
        <v>46220</v>
      </c>
      <c r="AC1338" s="6" t="s">
        <v>7429</v>
      </c>
    </row>
    <row r="1339" spans="27:29" x14ac:dyDescent="0.3">
      <c r="AA1339" t="s">
        <v>6050</v>
      </c>
      <c r="AB1339" s="97">
        <v>46220</v>
      </c>
      <c r="AC1339" s="6" t="s">
        <v>7429</v>
      </c>
    </row>
    <row r="1340" spans="27:29" x14ac:dyDescent="0.3">
      <c r="AA1340" t="s">
        <v>6051</v>
      </c>
      <c r="AB1340" s="97">
        <v>46233</v>
      </c>
      <c r="AC1340" s="6" t="s">
        <v>7429</v>
      </c>
    </row>
    <row r="1341" spans="27:29" x14ac:dyDescent="0.3">
      <c r="AA1341" t="s">
        <v>6052</v>
      </c>
      <c r="AB1341" s="97">
        <v>46233</v>
      </c>
      <c r="AC1341" s="6" t="s">
        <v>7429</v>
      </c>
    </row>
    <row r="1342" spans="27:29" x14ac:dyDescent="0.3">
      <c r="AA1342" t="s">
        <v>6053</v>
      </c>
      <c r="AB1342" s="97">
        <v>46233</v>
      </c>
      <c r="AC1342" s="6" t="s">
        <v>7429</v>
      </c>
    </row>
    <row r="1343" spans="27:29" x14ac:dyDescent="0.3">
      <c r="AA1343" t="s">
        <v>6054</v>
      </c>
      <c r="AB1343" s="97">
        <v>46233</v>
      </c>
      <c r="AC1343" s="6" t="s">
        <v>7429</v>
      </c>
    </row>
    <row r="1344" spans="27:29" x14ac:dyDescent="0.3">
      <c r="AA1344" t="s">
        <v>6075</v>
      </c>
      <c r="AB1344" s="97">
        <v>46220</v>
      </c>
      <c r="AC1344" s="6" t="s">
        <v>7429</v>
      </c>
    </row>
    <row r="1345" spans="27:29" x14ac:dyDescent="0.3">
      <c r="AA1345" t="s">
        <v>6076</v>
      </c>
      <c r="AB1345" s="97">
        <v>46220</v>
      </c>
      <c r="AC1345" s="6" t="s">
        <v>7429</v>
      </c>
    </row>
    <row r="1346" spans="27:29" x14ac:dyDescent="0.3">
      <c r="AA1346" t="s">
        <v>6077</v>
      </c>
      <c r="AB1346" s="97">
        <v>46220</v>
      </c>
      <c r="AC1346" s="6" t="s">
        <v>7429</v>
      </c>
    </row>
    <row r="1347" spans="27:29" x14ac:dyDescent="0.3">
      <c r="AA1347" t="s">
        <v>6078</v>
      </c>
      <c r="AB1347" s="97">
        <v>46220</v>
      </c>
      <c r="AC1347" s="6" t="s">
        <v>7429</v>
      </c>
    </row>
    <row r="1348" spans="27:29" x14ac:dyDescent="0.3">
      <c r="AA1348" t="s">
        <v>6079</v>
      </c>
      <c r="AB1348" s="97">
        <v>46233</v>
      </c>
      <c r="AC1348" s="6" t="s">
        <v>7429</v>
      </c>
    </row>
    <row r="1349" spans="27:29" x14ac:dyDescent="0.3">
      <c r="AA1349" t="s">
        <v>6080</v>
      </c>
      <c r="AB1349" s="97">
        <v>46233</v>
      </c>
      <c r="AC1349" s="6" t="s">
        <v>7429</v>
      </c>
    </row>
    <row r="1350" spans="27:29" x14ac:dyDescent="0.3">
      <c r="AA1350" t="s">
        <v>6081</v>
      </c>
      <c r="AB1350" s="97">
        <v>46233</v>
      </c>
      <c r="AC1350" s="6" t="s">
        <v>7429</v>
      </c>
    </row>
    <row r="1351" spans="27:29" x14ac:dyDescent="0.3">
      <c r="AA1351" t="s">
        <v>6082</v>
      </c>
      <c r="AB1351" s="97">
        <v>46233</v>
      </c>
      <c r="AC1351" s="6" t="s">
        <v>7429</v>
      </c>
    </row>
    <row r="1352" spans="27:29" x14ac:dyDescent="0.3">
      <c r="AA1352" t="s">
        <v>6103</v>
      </c>
      <c r="AB1352" s="97">
        <v>46233</v>
      </c>
      <c r="AC1352" s="6" t="s">
        <v>7429</v>
      </c>
    </row>
    <row r="1353" spans="27:29" x14ac:dyDescent="0.3">
      <c r="AA1353" t="s">
        <v>6104</v>
      </c>
      <c r="AB1353" s="97">
        <v>46234</v>
      </c>
      <c r="AC1353" s="6" t="s">
        <v>7429</v>
      </c>
    </row>
    <row r="1354" spans="27:29" x14ac:dyDescent="0.3">
      <c r="AA1354" t="s">
        <v>6110</v>
      </c>
      <c r="AB1354" s="97">
        <v>46220</v>
      </c>
      <c r="AC1354" s="6" t="s">
        <v>7429</v>
      </c>
    </row>
    <row r="1355" spans="27:29" x14ac:dyDescent="0.3">
      <c r="AA1355" t="s">
        <v>6111</v>
      </c>
      <c r="AB1355" s="97">
        <v>46220</v>
      </c>
      <c r="AC1355" s="6" t="s">
        <v>7429</v>
      </c>
    </row>
    <row r="1356" spans="27:29" x14ac:dyDescent="0.3">
      <c r="AA1356" t="s">
        <v>6112</v>
      </c>
      <c r="AB1356" s="97">
        <v>46233</v>
      </c>
      <c r="AC1356" s="6" t="s">
        <v>7429</v>
      </c>
    </row>
    <row r="1357" spans="27:29" x14ac:dyDescent="0.3">
      <c r="AA1357" t="s">
        <v>6113</v>
      </c>
      <c r="AB1357" s="97">
        <v>46233</v>
      </c>
      <c r="AC1357" s="6" t="s">
        <v>7429</v>
      </c>
    </row>
    <row r="1358" spans="27:29" x14ac:dyDescent="0.3">
      <c r="AA1358" t="s">
        <v>6124</v>
      </c>
      <c r="AB1358" s="97">
        <v>46233</v>
      </c>
      <c r="AC1358" s="6" t="s">
        <v>7429</v>
      </c>
    </row>
    <row r="1359" spans="27:29" x14ac:dyDescent="0.3">
      <c r="AA1359" t="s">
        <v>6130</v>
      </c>
      <c r="AB1359" s="97">
        <v>46220</v>
      </c>
      <c r="AC1359" s="6" t="s">
        <v>7429</v>
      </c>
    </row>
    <row r="1360" spans="27:29" x14ac:dyDescent="0.3">
      <c r="AA1360" t="s">
        <v>6131</v>
      </c>
      <c r="AB1360" s="97">
        <v>46220</v>
      </c>
      <c r="AC1360" s="6" t="s">
        <v>7429</v>
      </c>
    </row>
    <row r="1361" spans="27:29" x14ac:dyDescent="0.3">
      <c r="AA1361" t="s">
        <v>6132</v>
      </c>
      <c r="AB1361" s="97">
        <v>46220</v>
      </c>
      <c r="AC1361" s="6" t="s">
        <v>7429</v>
      </c>
    </row>
    <row r="1362" spans="27:29" x14ac:dyDescent="0.3">
      <c r="AA1362" t="s">
        <v>6133</v>
      </c>
      <c r="AB1362" s="97">
        <v>46220</v>
      </c>
      <c r="AC1362" s="6" t="s">
        <v>7429</v>
      </c>
    </row>
    <row r="1363" spans="27:29" x14ac:dyDescent="0.3">
      <c r="AA1363" t="s">
        <v>6134</v>
      </c>
      <c r="AB1363" s="97">
        <v>46220</v>
      </c>
      <c r="AC1363" s="6" t="s">
        <v>7429</v>
      </c>
    </row>
    <row r="1364" spans="27:29" x14ac:dyDescent="0.3">
      <c r="AA1364" t="s">
        <v>6135</v>
      </c>
      <c r="AB1364" s="97">
        <v>46220</v>
      </c>
      <c r="AC1364" s="6" t="s">
        <v>7429</v>
      </c>
    </row>
    <row r="1365" spans="27:29" x14ac:dyDescent="0.3">
      <c r="AA1365" t="s">
        <v>6136</v>
      </c>
      <c r="AB1365" s="97">
        <v>46220</v>
      </c>
      <c r="AC1365" s="6" t="s">
        <v>7429</v>
      </c>
    </row>
    <row r="1366" spans="27:29" x14ac:dyDescent="0.3">
      <c r="AA1366" t="s">
        <v>6137</v>
      </c>
      <c r="AB1366" s="97">
        <v>46220</v>
      </c>
      <c r="AC1366" s="6" t="s">
        <v>7429</v>
      </c>
    </row>
    <row r="1367" spans="27:29" x14ac:dyDescent="0.3">
      <c r="AA1367" t="s">
        <v>6138</v>
      </c>
      <c r="AB1367" s="97">
        <v>46220</v>
      </c>
      <c r="AC1367" s="6" t="s">
        <v>7429</v>
      </c>
    </row>
    <row r="1368" spans="27:29" x14ac:dyDescent="0.3">
      <c r="AA1368" t="s">
        <v>6139</v>
      </c>
      <c r="AB1368" s="97">
        <v>46220</v>
      </c>
      <c r="AC1368" s="6" t="s">
        <v>7429</v>
      </c>
    </row>
    <row r="1369" spans="27:29" x14ac:dyDescent="0.3">
      <c r="AA1369" t="s">
        <v>6140</v>
      </c>
      <c r="AB1369" s="97">
        <v>46220</v>
      </c>
      <c r="AC1369" s="6" t="s">
        <v>7429</v>
      </c>
    </row>
    <row r="1370" spans="27:29" x14ac:dyDescent="0.3">
      <c r="AA1370" t="s">
        <v>6141</v>
      </c>
      <c r="AB1370" s="97">
        <v>46220</v>
      </c>
      <c r="AC1370" s="6" t="s">
        <v>7429</v>
      </c>
    </row>
    <row r="1371" spans="27:29" x14ac:dyDescent="0.3">
      <c r="AA1371" t="s">
        <v>6142</v>
      </c>
      <c r="AB1371" s="97">
        <v>46220</v>
      </c>
      <c r="AC1371" s="6" t="s">
        <v>7429</v>
      </c>
    </row>
    <row r="1372" spans="27:29" x14ac:dyDescent="0.3">
      <c r="AA1372" t="s">
        <v>6143</v>
      </c>
      <c r="AB1372" s="97">
        <v>46220</v>
      </c>
      <c r="AC1372" s="6" t="s">
        <v>7429</v>
      </c>
    </row>
    <row r="1373" spans="27:29" x14ac:dyDescent="0.3">
      <c r="AA1373" t="s">
        <v>6144</v>
      </c>
      <c r="AB1373" s="97">
        <v>46220</v>
      </c>
      <c r="AC1373" s="6" t="s">
        <v>7429</v>
      </c>
    </row>
    <row r="1374" spans="27:29" x14ac:dyDescent="0.3">
      <c r="AA1374" t="s">
        <v>6145</v>
      </c>
      <c r="AB1374" s="97">
        <v>46220</v>
      </c>
      <c r="AC1374" s="6" t="s">
        <v>7429</v>
      </c>
    </row>
    <row r="1375" spans="27:29" x14ac:dyDescent="0.3">
      <c r="AA1375" t="s">
        <v>6146</v>
      </c>
      <c r="AB1375" s="97">
        <v>46233</v>
      </c>
      <c r="AC1375" s="6" t="s">
        <v>7429</v>
      </c>
    </row>
    <row r="1376" spans="27:29" x14ac:dyDescent="0.3">
      <c r="AA1376" t="s">
        <v>6147</v>
      </c>
      <c r="AB1376" s="97">
        <v>46233</v>
      </c>
      <c r="AC1376" s="6" t="s">
        <v>7429</v>
      </c>
    </row>
    <row r="1377" spans="27:29" x14ac:dyDescent="0.3">
      <c r="AA1377" t="s">
        <v>6148</v>
      </c>
      <c r="AB1377" s="97">
        <v>46233</v>
      </c>
      <c r="AC1377" s="6" t="s">
        <v>7429</v>
      </c>
    </row>
    <row r="1378" spans="27:29" x14ac:dyDescent="0.3">
      <c r="AA1378" t="s">
        <v>6149</v>
      </c>
      <c r="AB1378" s="97">
        <v>46233</v>
      </c>
      <c r="AC1378" s="6" t="s">
        <v>7429</v>
      </c>
    </row>
    <row r="1379" spans="27:29" x14ac:dyDescent="0.3">
      <c r="AA1379" t="s">
        <v>6150</v>
      </c>
      <c r="AB1379" s="97">
        <v>46233</v>
      </c>
      <c r="AC1379" s="6" t="s">
        <v>7429</v>
      </c>
    </row>
    <row r="1380" spans="27:29" x14ac:dyDescent="0.3">
      <c r="AA1380" t="s">
        <v>6151</v>
      </c>
      <c r="AB1380" s="97">
        <v>46233</v>
      </c>
      <c r="AC1380" s="6" t="s">
        <v>7429</v>
      </c>
    </row>
    <row r="1381" spans="27:29" x14ac:dyDescent="0.3">
      <c r="AA1381" t="s">
        <v>6152</v>
      </c>
      <c r="AB1381" s="97">
        <v>46233</v>
      </c>
      <c r="AC1381" s="6" t="s">
        <v>7429</v>
      </c>
    </row>
    <row r="1382" spans="27:29" x14ac:dyDescent="0.3">
      <c r="AA1382" t="s">
        <v>6153</v>
      </c>
      <c r="AB1382" s="97">
        <v>46233</v>
      </c>
      <c r="AC1382" s="6" t="s">
        <v>7429</v>
      </c>
    </row>
    <row r="1383" spans="27:29" x14ac:dyDescent="0.3">
      <c r="AA1383" t="s">
        <v>6154</v>
      </c>
      <c r="AB1383" s="97">
        <v>46233</v>
      </c>
      <c r="AC1383" s="6" t="s">
        <v>7429</v>
      </c>
    </row>
    <row r="1384" spans="27:29" x14ac:dyDescent="0.3">
      <c r="AA1384" t="s">
        <v>6155</v>
      </c>
      <c r="AB1384" s="97">
        <v>46233</v>
      </c>
      <c r="AC1384" s="6" t="s">
        <v>7429</v>
      </c>
    </row>
    <row r="1385" spans="27:29" x14ac:dyDescent="0.3">
      <c r="AA1385" t="s">
        <v>6156</v>
      </c>
      <c r="AB1385" s="97">
        <v>46233</v>
      </c>
      <c r="AC1385" s="6" t="s">
        <v>7429</v>
      </c>
    </row>
    <row r="1386" spans="27:29" x14ac:dyDescent="0.3">
      <c r="AA1386" t="s">
        <v>6157</v>
      </c>
      <c r="AB1386" s="97">
        <v>46233</v>
      </c>
      <c r="AC1386" s="6" t="s">
        <v>7429</v>
      </c>
    </row>
    <row r="1387" spans="27:29" x14ac:dyDescent="0.3">
      <c r="AA1387" t="s">
        <v>6158</v>
      </c>
      <c r="AB1387" s="97">
        <v>46233</v>
      </c>
      <c r="AC1387" s="6" t="s">
        <v>7429</v>
      </c>
    </row>
    <row r="1388" spans="27:29" x14ac:dyDescent="0.3">
      <c r="AA1388" t="s">
        <v>6159</v>
      </c>
      <c r="AB1388" s="97">
        <v>46233</v>
      </c>
      <c r="AC1388" s="6" t="s">
        <v>7429</v>
      </c>
    </row>
    <row r="1389" spans="27:29" x14ac:dyDescent="0.3">
      <c r="AA1389" t="s">
        <v>6160</v>
      </c>
      <c r="AB1389" s="97">
        <v>46233</v>
      </c>
      <c r="AC1389" s="6" t="s">
        <v>7429</v>
      </c>
    </row>
    <row r="1390" spans="27:29" x14ac:dyDescent="0.3">
      <c r="AA1390" t="s">
        <v>6161</v>
      </c>
      <c r="AB1390" s="97">
        <v>46233</v>
      </c>
      <c r="AC1390" s="6" t="s">
        <v>7429</v>
      </c>
    </row>
    <row r="1391" spans="27:29" x14ac:dyDescent="0.3">
      <c r="AA1391" t="s">
        <v>6242</v>
      </c>
      <c r="AB1391" s="97">
        <v>46233</v>
      </c>
      <c r="AC1391" s="6" t="s">
        <v>7429</v>
      </c>
    </row>
    <row r="1392" spans="27:29" x14ac:dyDescent="0.3">
      <c r="AA1392" t="s">
        <v>6243</v>
      </c>
      <c r="AB1392" s="97">
        <v>46233</v>
      </c>
      <c r="AC1392" s="6" t="s">
        <v>7429</v>
      </c>
    </row>
    <row r="1393" spans="27:29" x14ac:dyDescent="0.3">
      <c r="AA1393" t="s">
        <v>6244</v>
      </c>
      <c r="AB1393" s="97">
        <v>46233</v>
      </c>
      <c r="AC1393" s="6" t="s">
        <v>7429</v>
      </c>
    </row>
    <row r="1394" spans="27:29" x14ac:dyDescent="0.3">
      <c r="AA1394" t="s">
        <v>6245</v>
      </c>
      <c r="AB1394" s="97">
        <v>46233</v>
      </c>
      <c r="AC1394" s="6" t="s">
        <v>7429</v>
      </c>
    </row>
    <row r="1395" spans="27:29" x14ac:dyDescent="0.3">
      <c r="AA1395" t="s">
        <v>6246</v>
      </c>
      <c r="AB1395" s="97">
        <v>46233</v>
      </c>
      <c r="AC1395" s="6" t="s">
        <v>7429</v>
      </c>
    </row>
    <row r="1396" spans="27:29" x14ac:dyDescent="0.3">
      <c r="AA1396" t="s">
        <v>6247</v>
      </c>
      <c r="AB1396" s="97">
        <v>46233</v>
      </c>
      <c r="AC1396" s="6" t="s">
        <v>7429</v>
      </c>
    </row>
    <row r="1397" spans="27:29" x14ac:dyDescent="0.3">
      <c r="AA1397" t="s">
        <v>6248</v>
      </c>
      <c r="AB1397" s="97">
        <v>46233</v>
      </c>
      <c r="AC1397" s="6" t="s">
        <v>7429</v>
      </c>
    </row>
    <row r="1398" spans="27:29" x14ac:dyDescent="0.3">
      <c r="AA1398" t="s">
        <v>6249</v>
      </c>
      <c r="AB1398" s="97">
        <v>46233</v>
      </c>
      <c r="AC1398" s="6" t="s">
        <v>7429</v>
      </c>
    </row>
    <row r="1399" spans="27:29" x14ac:dyDescent="0.3">
      <c r="AA1399" t="s">
        <v>6250</v>
      </c>
      <c r="AB1399" s="97">
        <v>46233</v>
      </c>
      <c r="AC1399" s="6" t="s">
        <v>7429</v>
      </c>
    </row>
    <row r="1400" spans="27:29" x14ac:dyDescent="0.3">
      <c r="AA1400" t="s">
        <v>6251</v>
      </c>
      <c r="AB1400" s="97">
        <v>46233</v>
      </c>
      <c r="AC1400" s="6" t="s">
        <v>7429</v>
      </c>
    </row>
    <row r="1401" spans="27:29" x14ac:dyDescent="0.3">
      <c r="AA1401" t="s">
        <v>6252</v>
      </c>
      <c r="AB1401" s="97">
        <v>46233</v>
      </c>
      <c r="AC1401" s="6" t="s">
        <v>7429</v>
      </c>
    </row>
    <row r="1402" spans="27:29" x14ac:dyDescent="0.3">
      <c r="AA1402" t="s">
        <v>6253</v>
      </c>
      <c r="AB1402" s="97">
        <v>46233</v>
      </c>
      <c r="AC1402" s="6" t="s">
        <v>7429</v>
      </c>
    </row>
    <row r="1403" spans="27:29" x14ac:dyDescent="0.3">
      <c r="AA1403" t="s">
        <v>6254</v>
      </c>
      <c r="AB1403" s="97">
        <v>46233</v>
      </c>
      <c r="AC1403" s="6" t="s">
        <v>7429</v>
      </c>
    </row>
    <row r="1404" spans="27:29" x14ac:dyDescent="0.3">
      <c r="AA1404" t="s">
        <v>6255</v>
      </c>
      <c r="AB1404" s="97">
        <v>46233</v>
      </c>
      <c r="AC1404" s="6" t="s">
        <v>7429</v>
      </c>
    </row>
    <row r="1405" spans="27:29" x14ac:dyDescent="0.3">
      <c r="AA1405" t="s">
        <v>6256</v>
      </c>
      <c r="AB1405" s="97">
        <v>46233</v>
      </c>
      <c r="AC1405" s="6" t="s">
        <v>7429</v>
      </c>
    </row>
    <row r="1406" spans="27:29" x14ac:dyDescent="0.3">
      <c r="AA1406" t="s">
        <v>6277</v>
      </c>
      <c r="AB1406" s="97">
        <v>46220</v>
      </c>
      <c r="AC1406" s="6" t="s">
        <v>7429</v>
      </c>
    </row>
    <row r="1407" spans="27:29" x14ac:dyDescent="0.3">
      <c r="AA1407" t="s">
        <v>6278</v>
      </c>
      <c r="AB1407" s="97">
        <v>46220</v>
      </c>
      <c r="AC1407" s="6" t="s">
        <v>7429</v>
      </c>
    </row>
    <row r="1408" spans="27:29" x14ac:dyDescent="0.3">
      <c r="AA1408" t="s">
        <v>6279</v>
      </c>
      <c r="AB1408" s="97">
        <v>46220</v>
      </c>
      <c r="AC1408" s="6" t="s">
        <v>7429</v>
      </c>
    </row>
    <row r="1409" spans="27:29" x14ac:dyDescent="0.3">
      <c r="AA1409" t="s">
        <v>6280</v>
      </c>
      <c r="AB1409" s="97">
        <v>46220</v>
      </c>
      <c r="AC1409" s="6" t="s">
        <v>7429</v>
      </c>
    </row>
    <row r="1410" spans="27:29" x14ac:dyDescent="0.3">
      <c r="AA1410" t="s">
        <v>6281</v>
      </c>
      <c r="AB1410" s="97">
        <v>46220</v>
      </c>
      <c r="AC1410" s="6" t="s">
        <v>7429</v>
      </c>
    </row>
    <row r="1411" spans="27:29" x14ac:dyDescent="0.3">
      <c r="AA1411" t="s">
        <v>6282</v>
      </c>
      <c r="AB1411" s="97">
        <v>46220</v>
      </c>
      <c r="AC1411" s="6" t="s">
        <v>7429</v>
      </c>
    </row>
    <row r="1412" spans="27:29" x14ac:dyDescent="0.3">
      <c r="AA1412" t="s">
        <v>6283</v>
      </c>
      <c r="AB1412" s="97">
        <v>46234</v>
      </c>
      <c r="AC1412" s="6" t="s">
        <v>7429</v>
      </c>
    </row>
    <row r="1413" spans="27:29" x14ac:dyDescent="0.3">
      <c r="AA1413" t="s">
        <v>6284</v>
      </c>
      <c r="AB1413" s="97">
        <v>46234</v>
      </c>
      <c r="AC1413" s="6" t="s">
        <v>7429</v>
      </c>
    </row>
    <row r="1414" spans="27:29" x14ac:dyDescent="0.3">
      <c r="AA1414" t="s">
        <v>6285</v>
      </c>
      <c r="AB1414" s="97">
        <v>46234</v>
      </c>
      <c r="AC1414" s="6" t="s">
        <v>7429</v>
      </c>
    </row>
    <row r="1415" spans="27:29" x14ac:dyDescent="0.3">
      <c r="AA1415" t="s">
        <v>6286</v>
      </c>
      <c r="AB1415" s="97">
        <v>46234</v>
      </c>
      <c r="AC1415" s="6" t="s">
        <v>7429</v>
      </c>
    </row>
    <row r="1416" spans="27:29" x14ac:dyDescent="0.3">
      <c r="AA1416" t="s">
        <v>6287</v>
      </c>
      <c r="AB1416" s="97">
        <v>46234</v>
      </c>
      <c r="AC1416" s="6" t="s">
        <v>7429</v>
      </c>
    </row>
    <row r="1417" spans="27:29" x14ac:dyDescent="0.3">
      <c r="AA1417" t="s">
        <v>6288</v>
      </c>
      <c r="AB1417" s="97">
        <v>46234</v>
      </c>
      <c r="AC1417" s="6" t="s">
        <v>7429</v>
      </c>
    </row>
    <row r="1418" spans="27:29" x14ac:dyDescent="0.3">
      <c r="AA1418" t="s">
        <v>6319</v>
      </c>
      <c r="AB1418" s="97">
        <v>46220</v>
      </c>
      <c r="AC1418" s="6" t="s">
        <v>7429</v>
      </c>
    </row>
    <row r="1419" spans="27:29" x14ac:dyDescent="0.3">
      <c r="AA1419" t="s">
        <v>6320</v>
      </c>
      <c r="AB1419" s="97">
        <v>46220</v>
      </c>
      <c r="AC1419" s="6" t="s">
        <v>7429</v>
      </c>
    </row>
    <row r="1420" spans="27:29" x14ac:dyDescent="0.3">
      <c r="AA1420" t="s">
        <v>6321</v>
      </c>
      <c r="AB1420" s="97">
        <v>46220</v>
      </c>
      <c r="AC1420" s="6" t="s">
        <v>7429</v>
      </c>
    </row>
    <row r="1421" spans="27:29" x14ac:dyDescent="0.3">
      <c r="AA1421" t="s">
        <v>6322</v>
      </c>
      <c r="AB1421" s="97">
        <v>46220</v>
      </c>
      <c r="AC1421" s="6" t="s">
        <v>7429</v>
      </c>
    </row>
    <row r="1422" spans="27:29" x14ac:dyDescent="0.3">
      <c r="AA1422" t="s">
        <v>6323</v>
      </c>
      <c r="AB1422" s="97">
        <v>46220</v>
      </c>
      <c r="AC1422" s="6" t="s">
        <v>7429</v>
      </c>
    </row>
    <row r="1423" spans="27:29" x14ac:dyDescent="0.3">
      <c r="AA1423" t="s">
        <v>6324</v>
      </c>
      <c r="AB1423" s="97">
        <v>46220</v>
      </c>
      <c r="AC1423" s="6" t="s">
        <v>7429</v>
      </c>
    </row>
    <row r="1424" spans="27:29" x14ac:dyDescent="0.3">
      <c r="AA1424" t="s">
        <v>6325</v>
      </c>
      <c r="AB1424" s="97">
        <v>46220</v>
      </c>
      <c r="AC1424" s="6" t="s">
        <v>7429</v>
      </c>
    </row>
    <row r="1425" spans="27:29" x14ac:dyDescent="0.3">
      <c r="AA1425" t="s">
        <v>6326</v>
      </c>
      <c r="AB1425" s="97">
        <v>46220</v>
      </c>
      <c r="AC1425" s="6" t="s">
        <v>7429</v>
      </c>
    </row>
    <row r="1426" spans="27:29" x14ac:dyDescent="0.3">
      <c r="AA1426" t="s">
        <v>6327</v>
      </c>
      <c r="AB1426" s="97">
        <v>46220</v>
      </c>
      <c r="AC1426" s="6" t="s">
        <v>7429</v>
      </c>
    </row>
    <row r="1427" spans="27:29" x14ac:dyDescent="0.3">
      <c r="AA1427" t="s">
        <v>6334</v>
      </c>
      <c r="AB1427" s="97">
        <v>46234</v>
      </c>
      <c r="AC1427" s="6" t="s">
        <v>7429</v>
      </c>
    </row>
    <row r="1428" spans="27:29" x14ac:dyDescent="0.3">
      <c r="AA1428" t="s">
        <v>6335</v>
      </c>
      <c r="AB1428" s="97">
        <v>46234</v>
      </c>
      <c r="AC1428" s="6" t="s">
        <v>7429</v>
      </c>
    </row>
    <row r="1429" spans="27:29" x14ac:dyDescent="0.3">
      <c r="AA1429" t="s">
        <v>6336</v>
      </c>
      <c r="AB1429" s="97">
        <v>46234</v>
      </c>
      <c r="AC1429" s="6" t="s">
        <v>7429</v>
      </c>
    </row>
    <row r="1430" spans="27:29" x14ac:dyDescent="0.3">
      <c r="AA1430" t="s">
        <v>6337</v>
      </c>
      <c r="AB1430" s="97">
        <v>46234</v>
      </c>
      <c r="AC1430" s="6" t="s">
        <v>7429</v>
      </c>
    </row>
    <row r="1431" spans="27:29" x14ac:dyDescent="0.3">
      <c r="AA1431" t="s">
        <v>6338</v>
      </c>
      <c r="AB1431" s="97">
        <v>46234</v>
      </c>
      <c r="AC1431" s="6" t="s">
        <v>7429</v>
      </c>
    </row>
    <row r="1432" spans="27:29" x14ac:dyDescent="0.3">
      <c r="AA1432" t="s">
        <v>6339</v>
      </c>
      <c r="AB1432" s="97">
        <v>46234</v>
      </c>
      <c r="AC1432" s="6" t="s">
        <v>7429</v>
      </c>
    </row>
    <row r="1433" spans="27:29" x14ac:dyDescent="0.3">
      <c r="AA1433" t="s">
        <v>6340</v>
      </c>
      <c r="AB1433" s="97">
        <v>46233</v>
      </c>
      <c r="AC1433" s="6" t="s">
        <v>7429</v>
      </c>
    </row>
    <row r="1434" spans="27:29" x14ac:dyDescent="0.3">
      <c r="AA1434" t="s">
        <v>6341</v>
      </c>
      <c r="AB1434" s="97">
        <v>46234</v>
      </c>
      <c r="AC1434" s="6" t="s">
        <v>7429</v>
      </c>
    </row>
    <row r="1435" spans="27:29" x14ac:dyDescent="0.3">
      <c r="AA1435" t="s">
        <v>6342</v>
      </c>
      <c r="AB1435" s="97">
        <v>46234</v>
      </c>
      <c r="AC1435" s="6" t="s">
        <v>7429</v>
      </c>
    </row>
    <row r="1436" spans="27:29" x14ac:dyDescent="0.3">
      <c r="AA1436" t="s">
        <v>6343</v>
      </c>
      <c r="AB1436" s="97">
        <v>46234</v>
      </c>
      <c r="AC1436" s="6" t="s">
        <v>7429</v>
      </c>
    </row>
    <row r="1437" spans="27:29" x14ac:dyDescent="0.3">
      <c r="AA1437" t="s">
        <v>6344</v>
      </c>
      <c r="AB1437" s="97">
        <v>46234</v>
      </c>
      <c r="AC1437" s="6" t="s">
        <v>7429</v>
      </c>
    </row>
    <row r="1438" spans="27:29" x14ac:dyDescent="0.3">
      <c r="AA1438" t="s">
        <v>6345</v>
      </c>
      <c r="AB1438" s="97">
        <v>46234</v>
      </c>
      <c r="AC1438" s="6" t="s">
        <v>7429</v>
      </c>
    </row>
    <row r="1439" spans="27:29" x14ac:dyDescent="0.3">
      <c r="AA1439" t="s">
        <v>6346</v>
      </c>
      <c r="AB1439" s="97">
        <v>46234</v>
      </c>
      <c r="AC1439" s="6" t="s">
        <v>7429</v>
      </c>
    </row>
    <row r="1440" spans="27:29" x14ac:dyDescent="0.3">
      <c r="AA1440" t="s">
        <v>6347</v>
      </c>
      <c r="AB1440" s="97">
        <v>46234</v>
      </c>
      <c r="AC1440" s="6" t="s">
        <v>7429</v>
      </c>
    </row>
    <row r="1441" spans="27:29" x14ac:dyDescent="0.3">
      <c r="AA1441" t="s">
        <v>6348</v>
      </c>
      <c r="AB1441" s="97">
        <v>46234</v>
      </c>
      <c r="AC1441" s="6" t="s">
        <v>7429</v>
      </c>
    </row>
    <row r="1442" spans="27:29" x14ac:dyDescent="0.3">
      <c r="AA1442" t="s">
        <v>6349</v>
      </c>
      <c r="AB1442" s="97">
        <v>46234</v>
      </c>
      <c r="AC1442" s="6" t="s">
        <v>7429</v>
      </c>
    </row>
    <row r="1443" spans="27:29" x14ac:dyDescent="0.3">
      <c r="AA1443" t="s">
        <v>6350</v>
      </c>
      <c r="AB1443" s="97">
        <v>46234</v>
      </c>
      <c r="AC1443" s="6" t="s">
        <v>7429</v>
      </c>
    </row>
    <row r="1444" spans="27:29" x14ac:dyDescent="0.3">
      <c r="AA1444" t="s">
        <v>6351</v>
      </c>
      <c r="AB1444" s="97">
        <v>46234</v>
      </c>
      <c r="AC1444" s="6" t="s">
        <v>7429</v>
      </c>
    </row>
    <row r="1445" spans="27:29" x14ac:dyDescent="0.3">
      <c r="AA1445" t="s">
        <v>6352</v>
      </c>
      <c r="AB1445" s="97">
        <v>46234</v>
      </c>
      <c r="AC1445" s="6" t="s">
        <v>7429</v>
      </c>
    </row>
    <row r="1446" spans="27:29" x14ac:dyDescent="0.3">
      <c r="AA1446" t="s">
        <v>6353</v>
      </c>
      <c r="AB1446" s="97">
        <v>46234</v>
      </c>
      <c r="AC1446" s="6" t="s">
        <v>7429</v>
      </c>
    </row>
    <row r="1447" spans="27:29" x14ac:dyDescent="0.3">
      <c r="AA1447" t="s">
        <v>6354</v>
      </c>
      <c r="AB1447" s="97">
        <v>46234</v>
      </c>
      <c r="AC1447" s="6" t="s">
        <v>7429</v>
      </c>
    </row>
    <row r="1448" spans="27:29" x14ac:dyDescent="0.3">
      <c r="AA1448" t="s">
        <v>6355</v>
      </c>
      <c r="AB1448" s="97">
        <v>46234</v>
      </c>
      <c r="AC1448" s="6" t="s">
        <v>7429</v>
      </c>
    </row>
    <row r="1449" spans="27:29" x14ac:dyDescent="0.3">
      <c r="AA1449" t="s">
        <v>6356</v>
      </c>
      <c r="AB1449" s="97">
        <v>46220</v>
      </c>
      <c r="AC1449" s="6" t="s">
        <v>7429</v>
      </c>
    </row>
    <row r="1450" spans="27:29" x14ac:dyDescent="0.3">
      <c r="AA1450" t="s">
        <v>6357</v>
      </c>
      <c r="AB1450" s="97">
        <v>46220</v>
      </c>
      <c r="AC1450" s="6" t="s">
        <v>7429</v>
      </c>
    </row>
    <row r="1451" spans="27:29" x14ac:dyDescent="0.3">
      <c r="AA1451" t="s">
        <v>6363</v>
      </c>
      <c r="AB1451" s="97">
        <v>46220</v>
      </c>
      <c r="AC1451" s="6" t="s">
        <v>7429</v>
      </c>
    </row>
    <row r="1452" spans="27:29" x14ac:dyDescent="0.3">
      <c r="AA1452" t="s">
        <v>6364</v>
      </c>
      <c r="AB1452" s="97">
        <v>46220</v>
      </c>
      <c r="AC1452" s="6" t="s">
        <v>7429</v>
      </c>
    </row>
    <row r="1453" spans="27:29" x14ac:dyDescent="0.3">
      <c r="AA1453" t="s">
        <v>6365</v>
      </c>
      <c r="AB1453" s="97">
        <v>46220</v>
      </c>
      <c r="AC1453" s="6" t="s">
        <v>7429</v>
      </c>
    </row>
    <row r="1454" spans="27:29" x14ac:dyDescent="0.3">
      <c r="AA1454" t="s">
        <v>6366</v>
      </c>
      <c r="AB1454" s="97">
        <v>46233</v>
      </c>
      <c r="AC1454" s="6" t="s">
        <v>7429</v>
      </c>
    </row>
    <row r="1455" spans="27:29" x14ac:dyDescent="0.3">
      <c r="AA1455" t="s">
        <v>6367</v>
      </c>
      <c r="AB1455" s="97">
        <v>46233</v>
      </c>
      <c r="AC1455" s="6" t="s">
        <v>7429</v>
      </c>
    </row>
    <row r="1456" spans="27:29" x14ac:dyDescent="0.3">
      <c r="AA1456" t="s">
        <v>6368</v>
      </c>
      <c r="AB1456" s="97">
        <v>46233</v>
      </c>
      <c r="AC1456" s="6" t="s">
        <v>7429</v>
      </c>
    </row>
    <row r="1457" spans="27:29" x14ac:dyDescent="0.3">
      <c r="AA1457" t="s">
        <v>6384</v>
      </c>
      <c r="AB1457" s="97">
        <v>46234</v>
      </c>
      <c r="AC1457" s="6" t="s">
        <v>7430</v>
      </c>
    </row>
    <row r="1458" spans="27:29" x14ac:dyDescent="0.3">
      <c r="AA1458" t="s">
        <v>6385</v>
      </c>
      <c r="AB1458" s="97">
        <v>46234</v>
      </c>
      <c r="AC1458" s="6" t="s">
        <v>7430</v>
      </c>
    </row>
    <row r="1459" spans="27:29" x14ac:dyDescent="0.3">
      <c r="AA1459" t="s">
        <v>6386</v>
      </c>
      <c r="AB1459" s="97">
        <v>46234</v>
      </c>
      <c r="AC1459" s="6" t="s">
        <v>7430</v>
      </c>
    </row>
    <row r="1460" spans="27:29" x14ac:dyDescent="0.3">
      <c r="AA1460" t="s">
        <v>6387</v>
      </c>
      <c r="AB1460" s="97">
        <v>46234</v>
      </c>
      <c r="AC1460" s="6" t="s">
        <v>7430</v>
      </c>
    </row>
    <row r="1461" spans="27:29" x14ac:dyDescent="0.3">
      <c r="AA1461" t="s">
        <v>6388</v>
      </c>
      <c r="AB1461" s="97">
        <v>46234</v>
      </c>
      <c r="AC1461" s="6" t="s">
        <v>7430</v>
      </c>
    </row>
    <row r="1462" spans="27:29" x14ac:dyDescent="0.3">
      <c r="AA1462" t="s">
        <v>6389</v>
      </c>
      <c r="AB1462" s="97">
        <v>46234</v>
      </c>
      <c r="AC1462" s="6" t="s">
        <v>7430</v>
      </c>
    </row>
    <row r="1463" spans="27:29" x14ac:dyDescent="0.3">
      <c r="AA1463" t="s">
        <v>6390</v>
      </c>
      <c r="AB1463" s="97">
        <v>46234</v>
      </c>
      <c r="AC1463" s="6" t="s">
        <v>7430</v>
      </c>
    </row>
    <row r="1464" spans="27:29" x14ac:dyDescent="0.3">
      <c r="AA1464" t="s">
        <v>6391</v>
      </c>
      <c r="AB1464" s="97">
        <v>46224</v>
      </c>
      <c r="AC1464" s="6" t="s">
        <v>7429</v>
      </c>
    </row>
    <row r="1465" spans="27:29" x14ac:dyDescent="0.3">
      <c r="AA1465" t="s">
        <v>6392</v>
      </c>
      <c r="AB1465" s="97">
        <v>46224</v>
      </c>
      <c r="AC1465" s="6" t="s">
        <v>7429</v>
      </c>
    </row>
    <row r="1466" spans="27:29" x14ac:dyDescent="0.3">
      <c r="AA1466" t="s">
        <v>6393</v>
      </c>
      <c r="AB1466" s="97">
        <v>46224</v>
      </c>
      <c r="AC1466" s="6" t="s">
        <v>7429</v>
      </c>
    </row>
    <row r="1467" spans="27:29" x14ac:dyDescent="0.3">
      <c r="AA1467" t="s">
        <v>6394</v>
      </c>
      <c r="AB1467" s="97">
        <v>46234</v>
      </c>
      <c r="AC1467" s="6" t="s">
        <v>7430</v>
      </c>
    </row>
    <row r="1468" spans="27:29" x14ac:dyDescent="0.3">
      <c r="AA1468" t="s">
        <v>6395</v>
      </c>
      <c r="AB1468" s="97">
        <v>46234</v>
      </c>
      <c r="AC1468" s="6" t="s">
        <v>7430</v>
      </c>
    </row>
    <row r="1469" spans="27:29" x14ac:dyDescent="0.3">
      <c r="AA1469" t="s">
        <v>6396</v>
      </c>
      <c r="AB1469" s="97">
        <v>46234</v>
      </c>
      <c r="AC1469" s="6" t="s">
        <v>7430</v>
      </c>
    </row>
    <row r="1470" spans="27:29" x14ac:dyDescent="0.3">
      <c r="AA1470" t="s">
        <v>6397</v>
      </c>
      <c r="AB1470" s="97">
        <v>46234</v>
      </c>
      <c r="AC1470" s="6" t="s">
        <v>7430</v>
      </c>
    </row>
    <row r="1471" spans="27:29" x14ac:dyDescent="0.3">
      <c r="AA1471" t="s">
        <v>6398</v>
      </c>
      <c r="AB1471" s="97">
        <v>46234</v>
      </c>
      <c r="AC1471" s="6" t="s">
        <v>7430</v>
      </c>
    </row>
    <row r="1472" spans="27:29" x14ac:dyDescent="0.3">
      <c r="AA1472" t="s">
        <v>6399</v>
      </c>
      <c r="AB1472" s="97">
        <v>46234</v>
      </c>
      <c r="AC1472" s="6" t="s">
        <v>7430</v>
      </c>
    </row>
    <row r="1473" spans="27:29" x14ac:dyDescent="0.3">
      <c r="AA1473" t="s">
        <v>6400</v>
      </c>
      <c r="AB1473" s="97">
        <v>46234</v>
      </c>
      <c r="AC1473" s="6" t="s">
        <v>7430</v>
      </c>
    </row>
    <row r="1474" spans="27:29" x14ac:dyDescent="0.3">
      <c r="AA1474" t="s">
        <v>6401</v>
      </c>
      <c r="AB1474" s="97">
        <v>46234</v>
      </c>
      <c r="AC1474" s="6" t="s">
        <v>7430</v>
      </c>
    </row>
    <row r="1475" spans="27:29" x14ac:dyDescent="0.3">
      <c r="AA1475" t="s">
        <v>6402</v>
      </c>
      <c r="AB1475" s="97">
        <v>46234</v>
      </c>
      <c r="AC1475" s="6" t="s">
        <v>7430</v>
      </c>
    </row>
    <row r="1476" spans="27:29" x14ac:dyDescent="0.3">
      <c r="AA1476" t="s">
        <v>6403</v>
      </c>
      <c r="AB1476" s="97">
        <v>46234</v>
      </c>
      <c r="AC1476" s="6" t="s">
        <v>7430</v>
      </c>
    </row>
    <row r="1477" spans="27:29" x14ac:dyDescent="0.3">
      <c r="AA1477" t="s">
        <v>6404</v>
      </c>
      <c r="AB1477" s="97">
        <v>46234</v>
      </c>
      <c r="AC1477" s="6" t="s">
        <v>7430</v>
      </c>
    </row>
    <row r="1478" spans="27:29" x14ac:dyDescent="0.3">
      <c r="AA1478" t="s">
        <v>6405</v>
      </c>
      <c r="AB1478" s="97">
        <v>46234</v>
      </c>
      <c r="AC1478" s="6" t="s">
        <v>7430</v>
      </c>
    </row>
    <row r="1479" spans="27:29" x14ac:dyDescent="0.3">
      <c r="AA1479" t="s">
        <v>6406</v>
      </c>
      <c r="AB1479" s="97">
        <v>46234</v>
      </c>
      <c r="AC1479" s="6" t="s">
        <v>7430</v>
      </c>
    </row>
    <row r="1480" spans="27:29" x14ac:dyDescent="0.3">
      <c r="AA1480" t="s">
        <v>6407</v>
      </c>
      <c r="AB1480" s="97">
        <v>46234</v>
      </c>
      <c r="AC1480" s="6" t="s">
        <v>7430</v>
      </c>
    </row>
    <row r="1481" spans="27:29" x14ac:dyDescent="0.3">
      <c r="AA1481" t="s">
        <v>6408</v>
      </c>
      <c r="AB1481" s="97">
        <v>46234</v>
      </c>
      <c r="AC1481" s="6" t="s">
        <v>7430</v>
      </c>
    </row>
    <row r="1482" spans="27:29" x14ac:dyDescent="0.3">
      <c r="AA1482" t="s">
        <v>6409</v>
      </c>
      <c r="AB1482" s="97">
        <v>46234</v>
      </c>
      <c r="AC1482" s="6" t="s">
        <v>7430</v>
      </c>
    </row>
    <row r="1483" spans="27:29" x14ac:dyDescent="0.3">
      <c r="AA1483" t="s">
        <v>6410</v>
      </c>
      <c r="AB1483" s="97">
        <v>46234</v>
      </c>
      <c r="AC1483" s="6" t="s">
        <v>7430</v>
      </c>
    </row>
    <row r="1484" spans="27:29" x14ac:dyDescent="0.3">
      <c r="AA1484" t="s">
        <v>6411</v>
      </c>
      <c r="AB1484" s="97">
        <v>46234</v>
      </c>
      <c r="AC1484" s="6" t="s">
        <v>7430</v>
      </c>
    </row>
    <row r="1485" spans="27:29" x14ac:dyDescent="0.3">
      <c r="AA1485" t="s">
        <v>6412</v>
      </c>
      <c r="AB1485" s="97">
        <v>46224</v>
      </c>
      <c r="AC1485" s="6" t="s">
        <v>7429</v>
      </c>
    </row>
    <row r="1486" spans="27:29" x14ac:dyDescent="0.3">
      <c r="AA1486" t="s">
        <v>6413</v>
      </c>
      <c r="AB1486" s="97">
        <v>46224</v>
      </c>
      <c r="AC1486" s="6" t="s">
        <v>7429</v>
      </c>
    </row>
    <row r="1487" spans="27:29" x14ac:dyDescent="0.3">
      <c r="AA1487" t="s">
        <v>6414</v>
      </c>
      <c r="AB1487" s="97">
        <v>46224</v>
      </c>
      <c r="AC1487" s="6" t="s">
        <v>7429</v>
      </c>
    </row>
    <row r="1488" spans="27:29" x14ac:dyDescent="0.3">
      <c r="AA1488" t="s">
        <v>6415</v>
      </c>
      <c r="AB1488" s="97">
        <v>46224</v>
      </c>
      <c r="AC1488" s="6" t="s">
        <v>7429</v>
      </c>
    </row>
    <row r="1489" spans="27:29" x14ac:dyDescent="0.3">
      <c r="AA1489" t="s">
        <v>6416</v>
      </c>
      <c r="AB1489" s="97">
        <v>46234</v>
      </c>
      <c r="AC1489" s="6" t="s">
        <v>7430</v>
      </c>
    </row>
    <row r="1490" spans="27:29" x14ac:dyDescent="0.3">
      <c r="AA1490" t="s">
        <v>6417</v>
      </c>
      <c r="AB1490" s="97">
        <v>46234</v>
      </c>
      <c r="AC1490" s="6" t="s">
        <v>7430</v>
      </c>
    </row>
    <row r="1491" spans="27:29" x14ac:dyDescent="0.3">
      <c r="AA1491" t="s">
        <v>6418</v>
      </c>
      <c r="AB1491" s="97">
        <v>46224</v>
      </c>
      <c r="AC1491" s="6" t="s">
        <v>7429</v>
      </c>
    </row>
    <row r="1492" spans="27:29" x14ac:dyDescent="0.3">
      <c r="AA1492" t="s">
        <v>6419</v>
      </c>
      <c r="AB1492" s="97">
        <v>46224</v>
      </c>
      <c r="AC1492" s="6" t="s">
        <v>7429</v>
      </c>
    </row>
    <row r="1493" spans="27:29" x14ac:dyDescent="0.3">
      <c r="AA1493" t="s">
        <v>6420</v>
      </c>
      <c r="AB1493" s="97">
        <v>46234</v>
      </c>
      <c r="AC1493" s="6" t="s">
        <v>7430</v>
      </c>
    </row>
    <row r="1494" spans="27:29" x14ac:dyDescent="0.3">
      <c r="AA1494" t="s">
        <v>6421</v>
      </c>
      <c r="AB1494" s="97">
        <v>46234</v>
      </c>
      <c r="AC1494" s="6" t="s">
        <v>7430</v>
      </c>
    </row>
    <row r="1495" spans="27:29" x14ac:dyDescent="0.3">
      <c r="AA1495" t="s">
        <v>6422</v>
      </c>
      <c r="AB1495" s="97">
        <v>46224</v>
      </c>
      <c r="AC1495" s="6" t="s">
        <v>7429</v>
      </c>
    </row>
    <row r="1496" spans="27:29" x14ac:dyDescent="0.3">
      <c r="AA1496" t="s">
        <v>6423</v>
      </c>
      <c r="AB1496" s="97">
        <v>46224</v>
      </c>
      <c r="AC1496" s="6" t="s">
        <v>7429</v>
      </c>
    </row>
    <row r="1497" spans="27:29" x14ac:dyDescent="0.3">
      <c r="AA1497" t="s">
        <v>6424</v>
      </c>
      <c r="AB1497" s="97">
        <v>46234</v>
      </c>
      <c r="AC1497" s="6" t="s">
        <v>7430</v>
      </c>
    </row>
    <row r="1498" spans="27:29" x14ac:dyDescent="0.3">
      <c r="AA1498" t="s">
        <v>6425</v>
      </c>
      <c r="AB1498" s="97">
        <v>46234</v>
      </c>
      <c r="AC1498" s="6" t="s">
        <v>7430</v>
      </c>
    </row>
    <row r="1499" spans="27:29" x14ac:dyDescent="0.3">
      <c r="AA1499" t="s">
        <v>6426</v>
      </c>
      <c r="AB1499" s="97">
        <v>46224</v>
      </c>
      <c r="AC1499" s="6" t="s">
        <v>7429</v>
      </c>
    </row>
    <row r="1500" spans="27:29" x14ac:dyDescent="0.3">
      <c r="AA1500" t="s">
        <v>6427</v>
      </c>
      <c r="AB1500" s="97">
        <v>46224</v>
      </c>
      <c r="AC1500" s="6" t="s">
        <v>7429</v>
      </c>
    </row>
    <row r="1501" spans="27:29" x14ac:dyDescent="0.3">
      <c r="AA1501" t="s">
        <v>6428</v>
      </c>
      <c r="AB1501" s="97">
        <v>46234</v>
      </c>
      <c r="AC1501" s="6" t="s">
        <v>7430</v>
      </c>
    </row>
    <row r="1502" spans="27:29" x14ac:dyDescent="0.3">
      <c r="AA1502" t="s">
        <v>6429</v>
      </c>
      <c r="AB1502" s="97">
        <v>46234</v>
      </c>
      <c r="AC1502" s="6" t="s">
        <v>7430</v>
      </c>
    </row>
    <row r="1503" spans="27:29" x14ac:dyDescent="0.3">
      <c r="AA1503" t="s">
        <v>6430</v>
      </c>
      <c r="AB1503" s="97">
        <v>46224</v>
      </c>
      <c r="AC1503" s="6" t="s">
        <v>7429</v>
      </c>
    </row>
    <row r="1504" spans="27:29" x14ac:dyDescent="0.3">
      <c r="AA1504" t="s">
        <v>6431</v>
      </c>
      <c r="AB1504" s="97">
        <v>46224</v>
      </c>
      <c r="AC1504" s="6" t="s">
        <v>7429</v>
      </c>
    </row>
    <row r="1505" spans="27:29" x14ac:dyDescent="0.3">
      <c r="AA1505" t="s">
        <v>6434</v>
      </c>
      <c r="AB1505" s="97">
        <v>46233</v>
      </c>
      <c r="AC1505" s="6" t="s">
        <v>7429</v>
      </c>
    </row>
    <row r="1506" spans="27:29" x14ac:dyDescent="0.3">
      <c r="AA1506" t="s">
        <v>6435</v>
      </c>
      <c r="AB1506" s="97">
        <v>46233</v>
      </c>
      <c r="AC1506" s="6" t="s">
        <v>7429</v>
      </c>
    </row>
    <row r="1507" spans="27:29" x14ac:dyDescent="0.3">
      <c r="AA1507" t="s">
        <v>6436</v>
      </c>
      <c r="AB1507" s="97">
        <v>46233</v>
      </c>
      <c r="AC1507" s="6" t="s">
        <v>7429</v>
      </c>
    </row>
    <row r="1508" spans="27:29" x14ac:dyDescent="0.3">
      <c r="AA1508" t="s">
        <v>6989</v>
      </c>
      <c r="AB1508" s="97">
        <v>46233</v>
      </c>
      <c r="AC1508" s="6" t="s">
        <v>7429</v>
      </c>
    </row>
    <row r="1509" spans="27:29" x14ac:dyDescent="0.3">
      <c r="AA1509" t="s">
        <v>6441</v>
      </c>
      <c r="AB1509" s="97">
        <v>46220</v>
      </c>
      <c r="AC1509" s="6" t="s">
        <v>7429</v>
      </c>
    </row>
    <row r="1510" spans="27:29" x14ac:dyDescent="0.3">
      <c r="AA1510" t="s">
        <v>6443</v>
      </c>
      <c r="AB1510" s="97">
        <v>46220</v>
      </c>
      <c r="AC1510" s="6" t="s">
        <v>7429</v>
      </c>
    </row>
    <row r="1511" spans="27:29" x14ac:dyDescent="0.3">
      <c r="AA1511" t="s">
        <v>6448</v>
      </c>
      <c r="AB1511" s="97">
        <v>46220</v>
      </c>
      <c r="AC1511" s="6" t="s">
        <v>7429</v>
      </c>
    </row>
    <row r="1512" spans="27:29" x14ac:dyDescent="0.3">
      <c r="AA1512" t="s">
        <v>6450</v>
      </c>
      <c r="AB1512" s="97">
        <v>46220</v>
      </c>
      <c r="AC1512" s="6" t="s">
        <v>7429</v>
      </c>
    </row>
    <row r="1513" spans="27:29" x14ac:dyDescent="0.3">
      <c r="AA1513" t="s">
        <v>6455</v>
      </c>
      <c r="AB1513" s="97">
        <v>46220</v>
      </c>
      <c r="AC1513" s="6" t="s">
        <v>7429</v>
      </c>
    </row>
    <row r="1514" spans="27:29" x14ac:dyDescent="0.3">
      <c r="AA1514" t="s">
        <v>6456</v>
      </c>
      <c r="AB1514" s="97">
        <v>46220</v>
      </c>
      <c r="AC1514" s="6" t="s">
        <v>7429</v>
      </c>
    </row>
    <row r="1515" spans="27:29" x14ac:dyDescent="0.3">
      <c r="AA1515" t="s">
        <v>6458</v>
      </c>
      <c r="AB1515" s="97">
        <v>46220</v>
      </c>
      <c r="AC1515" s="6" t="s">
        <v>7429</v>
      </c>
    </row>
    <row r="1516" spans="27:29" x14ac:dyDescent="0.3">
      <c r="AA1516" t="s">
        <v>6459</v>
      </c>
      <c r="AB1516" s="97">
        <v>46220</v>
      </c>
      <c r="AC1516" s="6" t="s">
        <v>7429</v>
      </c>
    </row>
    <row r="1517" spans="27:29" x14ac:dyDescent="0.3">
      <c r="AA1517" t="s">
        <v>6466</v>
      </c>
      <c r="AB1517" s="97">
        <v>46233</v>
      </c>
      <c r="AC1517" s="6" t="s">
        <v>7429</v>
      </c>
    </row>
    <row r="1518" spans="27:29" x14ac:dyDescent="0.3">
      <c r="AA1518" t="s">
        <v>6469</v>
      </c>
      <c r="AB1518" s="97">
        <v>46233</v>
      </c>
      <c r="AC1518" s="6" t="s">
        <v>7429</v>
      </c>
    </row>
    <row r="1519" spans="27:29" x14ac:dyDescent="0.3">
      <c r="AA1519" t="s">
        <v>6470</v>
      </c>
      <c r="AB1519" s="97">
        <v>46233</v>
      </c>
      <c r="AC1519" s="6" t="s">
        <v>7429</v>
      </c>
    </row>
    <row r="1520" spans="27:29" x14ac:dyDescent="0.3">
      <c r="AA1520" t="s">
        <v>6471</v>
      </c>
      <c r="AB1520" s="97">
        <v>46233</v>
      </c>
      <c r="AC1520" s="6" t="s">
        <v>7429</v>
      </c>
    </row>
    <row r="1521" spans="27:29" x14ac:dyDescent="0.3">
      <c r="AA1521" t="s">
        <v>6491</v>
      </c>
      <c r="AB1521" s="97">
        <v>46233</v>
      </c>
      <c r="AC1521" s="6" t="s">
        <v>7429</v>
      </c>
    </row>
    <row r="1522" spans="27:29" x14ac:dyDescent="0.3">
      <c r="AA1522" t="s">
        <v>6492</v>
      </c>
      <c r="AB1522" s="97">
        <v>46233</v>
      </c>
      <c r="AC1522" s="6" t="s">
        <v>7429</v>
      </c>
    </row>
    <row r="1523" spans="27:29" x14ac:dyDescent="0.3">
      <c r="AA1523" t="s">
        <v>6493</v>
      </c>
      <c r="AB1523" s="97">
        <v>46233</v>
      </c>
      <c r="AC1523" s="6" t="s">
        <v>7429</v>
      </c>
    </row>
    <row r="1524" spans="27:29" x14ac:dyDescent="0.3">
      <c r="AA1524" t="s">
        <v>6494</v>
      </c>
      <c r="AB1524" s="97">
        <v>46233</v>
      </c>
      <c r="AC1524" s="6" t="s">
        <v>7429</v>
      </c>
    </row>
    <row r="1525" spans="27:29" x14ac:dyDescent="0.3">
      <c r="AA1525" t="s">
        <v>6495</v>
      </c>
      <c r="AB1525" s="97">
        <v>46233</v>
      </c>
      <c r="AC1525" s="6" t="s">
        <v>7429</v>
      </c>
    </row>
    <row r="1526" spans="27:29" x14ac:dyDescent="0.3">
      <c r="AA1526" t="s">
        <v>6496</v>
      </c>
      <c r="AB1526" s="97">
        <v>46233</v>
      </c>
      <c r="AC1526" s="6" t="s">
        <v>7429</v>
      </c>
    </row>
    <row r="1527" spans="27:29" x14ac:dyDescent="0.3">
      <c r="AA1527" t="s">
        <v>6497</v>
      </c>
      <c r="AB1527" s="97">
        <v>46220</v>
      </c>
      <c r="AC1527" s="6" t="s">
        <v>7429</v>
      </c>
    </row>
    <row r="1528" spans="27:29" x14ac:dyDescent="0.3">
      <c r="AA1528" t="s">
        <v>6498</v>
      </c>
      <c r="AB1528" s="97">
        <v>46233</v>
      </c>
      <c r="AC1528" s="6" t="s">
        <v>7429</v>
      </c>
    </row>
    <row r="1529" spans="27:29" x14ac:dyDescent="0.3">
      <c r="AA1529" t="s">
        <v>6504</v>
      </c>
      <c r="AB1529" s="97">
        <v>46233</v>
      </c>
      <c r="AC1529" s="6" t="s">
        <v>7429</v>
      </c>
    </row>
    <row r="1530" spans="27:29" x14ac:dyDescent="0.3">
      <c r="AA1530" t="s">
        <v>6505</v>
      </c>
      <c r="AB1530" s="97">
        <v>46233</v>
      </c>
      <c r="AC1530" s="6" t="s">
        <v>7429</v>
      </c>
    </row>
    <row r="1531" spans="27:29" x14ac:dyDescent="0.3">
      <c r="AA1531" t="s">
        <v>6511</v>
      </c>
      <c r="AB1531" s="97">
        <v>46220</v>
      </c>
      <c r="AC1531" s="6" t="s">
        <v>7429</v>
      </c>
    </row>
    <row r="1532" spans="27:29" x14ac:dyDescent="0.3">
      <c r="AA1532" t="s">
        <v>6512</v>
      </c>
      <c r="AB1532" s="97">
        <v>46234</v>
      </c>
      <c r="AC1532" s="6" t="s">
        <v>7429</v>
      </c>
    </row>
    <row r="1533" spans="27:29" x14ac:dyDescent="0.3">
      <c r="AA1533" t="s">
        <v>6519</v>
      </c>
      <c r="AB1533" s="97">
        <v>46233</v>
      </c>
      <c r="AC1533" s="6" t="s">
        <v>7429</v>
      </c>
    </row>
    <row r="1534" spans="27:29" x14ac:dyDescent="0.3">
      <c r="AA1534" t="s">
        <v>6520</v>
      </c>
      <c r="AB1534" s="97">
        <v>46233</v>
      </c>
      <c r="AC1534" s="6" t="s">
        <v>7429</v>
      </c>
    </row>
    <row r="1535" spans="27:29" x14ac:dyDescent="0.3">
      <c r="AA1535" t="s">
        <v>6521</v>
      </c>
      <c r="AB1535" s="97">
        <v>46233</v>
      </c>
      <c r="AC1535" s="6" t="s">
        <v>7429</v>
      </c>
    </row>
    <row r="1536" spans="27:29" x14ac:dyDescent="0.3">
      <c r="AA1536" t="s">
        <v>6524</v>
      </c>
      <c r="AB1536" s="97">
        <v>46234</v>
      </c>
      <c r="AC1536" s="6" t="s">
        <v>7429</v>
      </c>
    </row>
    <row r="1537" spans="27:29" x14ac:dyDescent="0.3">
      <c r="AA1537" t="s">
        <v>6525</v>
      </c>
      <c r="AB1537" s="97">
        <v>46234</v>
      </c>
      <c r="AC1537" s="6" t="s">
        <v>7429</v>
      </c>
    </row>
    <row r="1538" spans="27:29" x14ac:dyDescent="0.3">
      <c r="AA1538" t="s">
        <v>6526</v>
      </c>
      <c r="AB1538" s="97">
        <v>46234</v>
      </c>
      <c r="AC1538" s="6" t="s">
        <v>7429</v>
      </c>
    </row>
    <row r="1539" spans="27:29" x14ac:dyDescent="0.3">
      <c r="AA1539" t="s">
        <v>6527</v>
      </c>
      <c r="AB1539" s="97">
        <v>46234</v>
      </c>
      <c r="AC1539" s="6" t="s">
        <v>7429</v>
      </c>
    </row>
    <row r="1540" spans="27:29" x14ac:dyDescent="0.3">
      <c r="AA1540" t="s">
        <v>6528</v>
      </c>
      <c r="AB1540" s="97">
        <v>46234</v>
      </c>
      <c r="AC1540" s="6" t="s">
        <v>7429</v>
      </c>
    </row>
    <row r="1541" spans="27:29" x14ac:dyDescent="0.3">
      <c r="AA1541" t="s">
        <v>6529</v>
      </c>
      <c r="AB1541" s="97">
        <v>46234</v>
      </c>
      <c r="AC1541" s="6" t="s">
        <v>7429</v>
      </c>
    </row>
    <row r="1542" spans="27:29" x14ac:dyDescent="0.3">
      <c r="AA1542" t="s">
        <v>6530</v>
      </c>
      <c r="AB1542" s="97">
        <v>46234</v>
      </c>
      <c r="AC1542" s="6" t="s">
        <v>7429</v>
      </c>
    </row>
    <row r="1543" spans="27:29" x14ac:dyDescent="0.3">
      <c r="AA1543" t="s">
        <v>6531</v>
      </c>
      <c r="AB1543" s="97">
        <v>46234</v>
      </c>
      <c r="AC1543" s="6" t="s">
        <v>7430</v>
      </c>
    </row>
    <row r="1544" spans="27:29" x14ac:dyDescent="0.3">
      <c r="AA1544" t="s">
        <v>6532</v>
      </c>
      <c r="AB1544" s="97">
        <v>46224</v>
      </c>
      <c r="AC1544" s="6" t="s">
        <v>7429</v>
      </c>
    </row>
    <row r="1545" spans="27:29" x14ac:dyDescent="0.3">
      <c r="AA1545" t="s">
        <v>6533</v>
      </c>
      <c r="AB1545" s="97">
        <v>46220</v>
      </c>
      <c r="AC1545" s="6" t="s">
        <v>7429</v>
      </c>
    </row>
    <row r="1546" spans="27:29" x14ac:dyDescent="0.3">
      <c r="AA1546" t="s">
        <v>6535</v>
      </c>
      <c r="AB1546" s="97">
        <v>46233</v>
      </c>
      <c r="AC1546" s="6" t="s">
        <v>7429</v>
      </c>
    </row>
    <row r="1547" spans="27:29" x14ac:dyDescent="0.3">
      <c r="AA1547" t="s">
        <v>6541</v>
      </c>
      <c r="AB1547" s="97">
        <v>46220</v>
      </c>
      <c r="AC1547" s="6" t="s">
        <v>7429</v>
      </c>
    </row>
    <row r="1548" spans="27:29" x14ac:dyDescent="0.3">
      <c r="AA1548" t="s">
        <v>6542</v>
      </c>
      <c r="AB1548" s="97">
        <v>46233</v>
      </c>
      <c r="AC1548" s="6" t="s">
        <v>7429</v>
      </c>
    </row>
    <row r="1549" spans="27:29" x14ac:dyDescent="0.3">
      <c r="AA1549" t="s">
        <v>6543</v>
      </c>
      <c r="AB1549" s="97">
        <v>46233</v>
      </c>
      <c r="AC1549" s="6" t="s">
        <v>7429</v>
      </c>
    </row>
    <row r="1550" spans="27:29" x14ac:dyDescent="0.3">
      <c r="AA1550" t="s">
        <v>6549</v>
      </c>
      <c r="AB1550" s="97">
        <v>46220</v>
      </c>
      <c r="AC1550" s="6" t="s">
        <v>7429</v>
      </c>
    </row>
    <row r="1551" spans="27:29" x14ac:dyDescent="0.3">
      <c r="AA1551" t="s">
        <v>6550</v>
      </c>
      <c r="AB1551" s="97">
        <v>46220</v>
      </c>
      <c r="AC1551" s="6" t="s">
        <v>7429</v>
      </c>
    </row>
    <row r="1552" spans="27:29" x14ac:dyDescent="0.3">
      <c r="AA1552" t="s">
        <v>6555</v>
      </c>
      <c r="AB1552" s="97">
        <v>46220</v>
      </c>
      <c r="AC1552" s="6" t="s">
        <v>7429</v>
      </c>
    </row>
    <row r="1553" spans="27:29" x14ac:dyDescent="0.3">
      <c r="AA1553" t="s">
        <v>6556</v>
      </c>
      <c r="AB1553" s="97">
        <v>46220</v>
      </c>
      <c r="AC1553" s="6" t="s">
        <v>7429</v>
      </c>
    </row>
    <row r="1554" spans="27:29" x14ac:dyDescent="0.3">
      <c r="AA1554" t="s">
        <v>6562</v>
      </c>
      <c r="AB1554" s="97">
        <v>46234</v>
      </c>
      <c r="AC1554" s="6" t="s">
        <v>7430</v>
      </c>
    </row>
    <row r="1555" spans="27:29" x14ac:dyDescent="0.3">
      <c r="AA1555" t="s">
        <v>6563</v>
      </c>
      <c r="AB1555" s="97">
        <v>46234</v>
      </c>
      <c r="AC1555" s="6" t="s">
        <v>7430</v>
      </c>
    </row>
    <row r="1556" spans="27:29" x14ac:dyDescent="0.3">
      <c r="AA1556" t="s">
        <v>6565</v>
      </c>
      <c r="AB1556" s="97">
        <v>46220</v>
      </c>
      <c r="AC1556" s="6" t="s">
        <v>7429</v>
      </c>
    </row>
    <row r="1557" spans="27:29" x14ac:dyDescent="0.3">
      <c r="AA1557" t="s">
        <v>6566</v>
      </c>
      <c r="AB1557" s="97">
        <v>46233</v>
      </c>
      <c r="AC1557" s="6" t="s">
        <v>7429</v>
      </c>
    </row>
    <row r="1558" spans="27:29" x14ac:dyDescent="0.3">
      <c r="AA1558" t="s">
        <v>6580</v>
      </c>
      <c r="AB1558" s="97">
        <v>46220</v>
      </c>
      <c r="AC1558" s="6" t="s">
        <v>7429</v>
      </c>
    </row>
    <row r="1559" spans="27:29" x14ac:dyDescent="0.3">
      <c r="AA1559" t="s">
        <v>6581</v>
      </c>
      <c r="AB1559" s="97">
        <v>46220</v>
      </c>
      <c r="AC1559" s="6" t="s">
        <v>7429</v>
      </c>
    </row>
    <row r="1560" spans="27:29" x14ac:dyDescent="0.3">
      <c r="AA1560" t="s">
        <v>6582</v>
      </c>
      <c r="AB1560" s="97">
        <v>46220</v>
      </c>
      <c r="AC1560" s="6" t="s">
        <v>7429</v>
      </c>
    </row>
    <row r="1561" spans="27:29" x14ac:dyDescent="0.3">
      <c r="AA1561" t="s">
        <v>6583</v>
      </c>
      <c r="AB1561" s="97">
        <v>46220</v>
      </c>
      <c r="AC1561" s="6" t="s">
        <v>7429</v>
      </c>
    </row>
    <row r="1562" spans="27:29" x14ac:dyDescent="0.3">
      <c r="AA1562" t="s">
        <v>6584</v>
      </c>
      <c r="AB1562" s="97">
        <v>46234</v>
      </c>
      <c r="AC1562" s="6" t="s">
        <v>7429</v>
      </c>
    </row>
    <row r="1563" spans="27:29" x14ac:dyDescent="0.3">
      <c r="AA1563" t="s">
        <v>6592</v>
      </c>
      <c r="AB1563" s="97">
        <v>46234</v>
      </c>
      <c r="AC1563" s="6" t="s">
        <v>7430</v>
      </c>
    </row>
    <row r="1564" spans="27:29" x14ac:dyDescent="0.3">
      <c r="AA1564" t="s">
        <v>6593</v>
      </c>
      <c r="AB1564" s="97">
        <v>46220</v>
      </c>
      <c r="AC1564" s="6" t="s">
        <v>7429</v>
      </c>
    </row>
    <row r="1565" spans="27:29" x14ac:dyDescent="0.3">
      <c r="AA1565" t="s">
        <v>6598</v>
      </c>
      <c r="AB1565" s="97">
        <v>46233</v>
      </c>
      <c r="AC1565" s="6" t="s">
        <v>7429</v>
      </c>
    </row>
    <row r="1566" spans="27:29" x14ac:dyDescent="0.3">
      <c r="AA1566" t="s">
        <v>6602</v>
      </c>
      <c r="AB1566" s="97">
        <v>46220</v>
      </c>
      <c r="AC1566" s="6" t="s">
        <v>7429</v>
      </c>
    </row>
    <row r="1567" spans="27:29" x14ac:dyDescent="0.3">
      <c r="AA1567" t="s">
        <v>6605</v>
      </c>
      <c r="AB1567" s="97">
        <v>46234</v>
      </c>
      <c r="AC1567" s="6" t="s">
        <v>7429</v>
      </c>
    </row>
    <row r="1568" spans="27:29" x14ac:dyDescent="0.3">
      <c r="AA1568" t="s">
        <v>6609</v>
      </c>
      <c r="AB1568" s="97">
        <v>46220</v>
      </c>
      <c r="AC1568" s="6" t="s">
        <v>7429</v>
      </c>
    </row>
    <row r="1569" spans="27:29" x14ac:dyDescent="0.3">
      <c r="AA1569" t="s">
        <v>6610</v>
      </c>
      <c r="AB1569" s="97">
        <v>46233</v>
      </c>
      <c r="AC1569" s="6" t="s">
        <v>7429</v>
      </c>
    </row>
    <row r="1570" spans="27:29" x14ac:dyDescent="0.3">
      <c r="AA1570" t="s">
        <v>6750</v>
      </c>
      <c r="AB1570" s="97">
        <v>46220</v>
      </c>
      <c r="AC1570" s="6" t="s">
        <v>7429</v>
      </c>
    </row>
    <row r="1571" spans="27:29" x14ac:dyDescent="0.3">
      <c r="AA1571" t="s">
        <v>6751</v>
      </c>
      <c r="AB1571" s="97">
        <v>46233</v>
      </c>
      <c r="AC1571" s="6" t="s">
        <v>7429</v>
      </c>
    </row>
    <row r="1572" spans="27:29" x14ac:dyDescent="0.3">
      <c r="AA1572" t="s">
        <v>6673</v>
      </c>
      <c r="AB1572" s="97">
        <v>46220</v>
      </c>
      <c r="AC1572" s="6" t="s">
        <v>7429</v>
      </c>
    </row>
    <row r="1573" spans="27:29" x14ac:dyDescent="0.3">
      <c r="AA1573" t="s">
        <v>6674</v>
      </c>
      <c r="AB1573" s="97">
        <v>46220</v>
      </c>
      <c r="AC1573" s="6" t="s">
        <v>7429</v>
      </c>
    </row>
    <row r="1574" spans="27:29" x14ac:dyDescent="0.3">
      <c r="AA1574" t="s">
        <v>6675</v>
      </c>
      <c r="AB1574" s="97">
        <v>46220</v>
      </c>
      <c r="AC1574" s="6" t="s">
        <v>7429</v>
      </c>
    </row>
    <row r="1575" spans="27:29" x14ac:dyDescent="0.3">
      <c r="AA1575" t="s">
        <v>6676</v>
      </c>
      <c r="AB1575" s="97">
        <v>46233</v>
      </c>
      <c r="AC1575" s="6" t="s">
        <v>7429</v>
      </c>
    </row>
    <row r="1576" spans="27:29" x14ac:dyDescent="0.3">
      <c r="AA1576" t="s">
        <v>6677</v>
      </c>
      <c r="AB1576" s="97">
        <v>46233</v>
      </c>
      <c r="AC1576" s="6" t="s">
        <v>7429</v>
      </c>
    </row>
    <row r="1577" spans="27:29" x14ac:dyDescent="0.3">
      <c r="AA1577" t="s">
        <v>6678</v>
      </c>
      <c r="AB1577" s="97">
        <v>46233</v>
      </c>
      <c r="AC1577" s="6" t="s">
        <v>7429</v>
      </c>
    </row>
    <row r="1578" spans="27:29" x14ac:dyDescent="0.3">
      <c r="AA1578" t="s">
        <v>6694</v>
      </c>
      <c r="AB1578" s="97">
        <v>46233</v>
      </c>
      <c r="AC1578" s="6" t="s">
        <v>7429</v>
      </c>
    </row>
    <row r="1579" spans="27:29" x14ac:dyDescent="0.3">
      <c r="AA1579" t="s">
        <v>6695</v>
      </c>
      <c r="AB1579" s="97">
        <v>46233</v>
      </c>
      <c r="AC1579" s="6" t="s">
        <v>7429</v>
      </c>
    </row>
    <row r="1580" spans="27:29" x14ac:dyDescent="0.3">
      <c r="AA1580" t="s">
        <v>6696</v>
      </c>
      <c r="AB1580" s="97">
        <v>46233</v>
      </c>
      <c r="AC1580" s="6" t="s">
        <v>7429</v>
      </c>
    </row>
    <row r="1581" spans="27:29" x14ac:dyDescent="0.3">
      <c r="AA1581" t="s">
        <v>6697</v>
      </c>
      <c r="AB1581" s="97">
        <v>46233</v>
      </c>
      <c r="AC1581" s="6" t="s">
        <v>7429</v>
      </c>
    </row>
    <row r="1582" spans="27:29" x14ac:dyDescent="0.3">
      <c r="AA1582" t="s">
        <v>6698</v>
      </c>
      <c r="AB1582" s="97">
        <v>46233</v>
      </c>
      <c r="AC1582" s="6" t="s">
        <v>7429</v>
      </c>
    </row>
    <row r="1583" spans="27:29" x14ac:dyDescent="0.3">
      <c r="AA1583" t="s">
        <v>7228</v>
      </c>
      <c r="AB1583" s="97">
        <v>46198</v>
      </c>
      <c r="AC1583" s="6" t="s">
        <v>7429</v>
      </c>
    </row>
    <row r="1584" spans="27:29" x14ac:dyDescent="0.3">
      <c r="AA1584" t="s">
        <v>7231</v>
      </c>
      <c r="AB1584" s="97">
        <v>46198</v>
      </c>
      <c r="AC1584" s="6" t="s">
        <v>7429</v>
      </c>
    </row>
    <row r="1585" spans="27:29" x14ac:dyDescent="0.3">
      <c r="AA1585" t="s">
        <v>7234</v>
      </c>
      <c r="AB1585" s="97">
        <v>46198</v>
      </c>
      <c r="AC1585" s="6" t="s">
        <v>7429</v>
      </c>
    </row>
    <row r="1586" spans="27:29" x14ac:dyDescent="0.3">
      <c r="AA1586" t="s">
        <v>7237</v>
      </c>
      <c r="AB1586" s="97">
        <v>46198</v>
      </c>
      <c r="AC1586" s="6" t="s">
        <v>7429</v>
      </c>
    </row>
    <row r="1587" spans="27:29" x14ac:dyDescent="0.3">
      <c r="AA1587" t="s">
        <v>7240</v>
      </c>
      <c r="AB1587" s="97">
        <v>46198</v>
      </c>
      <c r="AC1587" s="6" t="s">
        <v>7429</v>
      </c>
    </row>
    <row r="1588" spans="27:29" x14ac:dyDescent="0.3">
      <c r="AA1588" t="s">
        <v>7243</v>
      </c>
      <c r="AB1588" s="97">
        <v>46198</v>
      </c>
      <c r="AC1588" s="6" t="s">
        <v>7429</v>
      </c>
    </row>
    <row r="1589" spans="27:29" x14ac:dyDescent="0.3">
      <c r="AA1589" t="s">
        <v>7246</v>
      </c>
      <c r="AB1589" s="97">
        <v>46198</v>
      </c>
      <c r="AC1589" s="6" t="s">
        <v>7429</v>
      </c>
    </row>
    <row r="1590" spans="27:29" x14ac:dyDescent="0.3">
      <c r="AA1590" t="s">
        <v>7249</v>
      </c>
      <c r="AB1590" s="97">
        <v>46198</v>
      </c>
      <c r="AC1590" s="6" t="s">
        <v>7429</v>
      </c>
    </row>
    <row r="1591" spans="27:29" x14ac:dyDescent="0.3">
      <c r="AA1591" t="s">
        <v>7252</v>
      </c>
      <c r="AB1591" s="97">
        <v>46198</v>
      </c>
      <c r="AC1591" s="6" t="s">
        <v>7429</v>
      </c>
    </row>
    <row r="1592" spans="27:29" x14ac:dyDescent="0.3">
      <c r="AA1592" t="s">
        <v>7255</v>
      </c>
      <c r="AB1592" s="97">
        <v>46234</v>
      </c>
      <c r="AC1592" s="6" t="s">
        <v>7429</v>
      </c>
    </row>
    <row r="1593" spans="27:29" x14ac:dyDescent="0.3">
      <c r="AA1593" t="s">
        <v>7258</v>
      </c>
      <c r="AB1593" s="97">
        <v>46234</v>
      </c>
      <c r="AC1593" s="6" t="s">
        <v>7429</v>
      </c>
    </row>
    <row r="1594" spans="27:29" x14ac:dyDescent="0.3">
      <c r="AA1594" t="s">
        <v>7261</v>
      </c>
      <c r="AB1594" s="97">
        <v>46234</v>
      </c>
      <c r="AC1594" s="6" t="s">
        <v>7429</v>
      </c>
    </row>
    <row r="1595" spans="27:29" x14ac:dyDescent="0.3">
      <c r="AA1595" t="s">
        <v>7264</v>
      </c>
      <c r="AB1595" s="97">
        <v>46234</v>
      </c>
      <c r="AC1595" s="6" t="s">
        <v>7429</v>
      </c>
    </row>
    <row r="1596" spans="27:29" x14ac:dyDescent="0.3">
      <c r="AA1596" t="s">
        <v>7267</v>
      </c>
      <c r="AB1596" s="97">
        <v>46234</v>
      </c>
      <c r="AC1596" s="6" t="s">
        <v>7429</v>
      </c>
    </row>
    <row r="1597" spans="27:29" x14ac:dyDescent="0.3">
      <c r="AA1597" t="s">
        <v>7270</v>
      </c>
      <c r="AB1597" s="97">
        <v>46234</v>
      </c>
      <c r="AC1597" s="6" t="s">
        <v>7429</v>
      </c>
    </row>
    <row r="1598" spans="27:29" x14ac:dyDescent="0.3">
      <c r="AA1598" t="s">
        <v>7273</v>
      </c>
      <c r="AB1598" s="97">
        <v>46234</v>
      </c>
      <c r="AC1598" s="6" t="s">
        <v>7429</v>
      </c>
    </row>
    <row r="1599" spans="27:29" x14ac:dyDescent="0.3">
      <c r="AA1599" t="s">
        <v>7276</v>
      </c>
      <c r="AB1599" s="97">
        <v>46234</v>
      </c>
      <c r="AC1599" s="6" t="s">
        <v>7429</v>
      </c>
    </row>
    <row r="1600" spans="27:29" x14ac:dyDescent="0.3">
      <c r="AA1600" t="s">
        <v>7279</v>
      </c>
      <c r="AB1600" s="97">
        <v>46234</v>
      </c>
      <c r="AC1600" s="6" t="s">
        <v>7429</v>
      </c>
    </row>
    <row r="1601" spans="27:29" x14ac:dyDescent="0.3">
      <c r="AA1601" t="s">
        <v>7282</v>
      </c>
      <c r="AB1601" s="97">
        <v>46234</v>
      </c>
      <c r="AC1601" s="6" t="s">
        <v>7429</v>
      </c>
    </row>
    <row r="1602" spans="27:29" x14ac:dyDescent="0.3">
      <c r="AA1602" t="s">
        <v>7285</v>
      </c>
      <c r="AB1602" s="97">
        <v>46234</v>
      </c>
      <c r="AC1602" s="6" t="s">
        <v>7429</v>
      </c>
    </row>
    <row r="1603" spans="27:29" x14ac:dyDescent="0.3">
      <c r="AA1603" t="s">
        <v>7288</v>
      </c>
      <c r="AB1603" s="97">
        <v>46234</v>
      </c>
      <c r="AC1603" s="6" t="s">
        <v>7429</v>
      </c>
    </row>
    <row r="1604" spans="27:29" x14ac:dyDescent="0.3">
      <c r="AA1604" t="s">
        <v>7291</v>
      </c>
      <c r="AB1604" s="97">
        <v>46234</v>
      </c>
      <c r="AC1604" s="6" t="s">
        <v>7429</v>
      </c>
    </row>
    <row r="1605" spans="27:29" x14ac:dyDescent="0.3">
      <c r="AA1605" t="s">
        <v>7294</v>
      </c>
      <c r="AB1605" s="97">
        <v>46234</v>
      </c>
      <c r="AC1605" s="6" t="s">
        <v>7429</v>
      </c>
    </row>
    <row r="1606" spans="27:29" x14ac:dyDescent="0.3">
      <c r="AA1606" t="s">
        <v>7297</v>
      </c>
      <c r="AB1606" s="97">
        <v>46234</v>
      </c>
      <c r="AC1606" s="6" t="s">
        <v>7429</v>
      </c>
    </row>
    <row r="1607" spans="27:29" x14ac:dyDescent="0.3">
      <c r="AA1607" t="s">
        <v>7300</v>
      </c>
      <c r="AB1607" s="97">
        <v>46234</v>
      </c>
      <c r="AC1607" s="6" t="s">
        <v>7429</v>
      </c>
    </row>
    <row r="1608" spans="27:29" x14ac:dyDescent="0.3">
      <c r="AA1608" t="s">
        <v>7303</v>
      </c>
      <c r="AB1608" s="97">
        <v>46234</v>
      </c>
      <c r="AC1608" s="6" t="s">
        <v>7429</v>
      </c>
    </row>
    <row r="1609" spans="27:29" x14ac:dyDescent="0.3">
      <c r="AA1609" t="s">
        <v>7306</v>
      </c>
      <c r="AB1609" s="97">
        <v>46234</v>
      </c>
      <c r="AC1609" s="6" t="s">
        <v>7429</v>
      </c>
    </row>
    <row r="1610" spans="27:29" x14ac:dyDescent="0.3">
      <c r="AA1610" t="s">
        <v>7309</v>
      </c>
      <c r="AB1610" s="97">
        <v>46234</v>
      </c>
      <c r="AC1610" s="6" t="s">
        <v>7429</v>
      </c>
    </row>
    <row r="1611" spans="27:29" x14ac:dyDescent="0.3">
      <c r="AA1611" t="s">
        <v>7312</v>
      </c>
      <c r="AB1611" s="97">
        <v>46234</v>
      </c>
      <c r="AC1611" s="6" t="s">
        <v>7429</v>
      </c>
    </row>
    <row r="1612" spans="27:29" x14ac:dyDescent="0.3">
      <c r="AA1612" t="s">
        <v>7315</v>
      </c>
      <c r="AB1612" s="97">
        <v>46234</v>
      </c>
      <c r="AC1612" s="6" t="s">
        <v>7429</v>
      </c>
    </row>
    <row r="1613" spans="27:29" x14ac:dyDescent="0.3">
      <c r="AA1613" t="s">
        <v>7318</v>
      </c>
      <c r="AB1613" s="97">
        <v>46234</v>
      </c>
      <c r="AC1613" s="6" t="s">
        <v>7429</v>
      </c>
    </row>
    <row r="1614" spans="27:29" x14ac:dyDescent="0.3">
      <c r="AA1614" t="s">
        <v>7321</v>
      </c>
      <c r="AB1614" s="97">
        <v>46234</v>
      </c>
      <c r="AC1614" s="6" t="s">
        <v>7429</v>
      </c>
    </row>
    <row r="1615" spans="27:29" x14ac:dyDescent="0.3">
      <c r="AA1615" t="s">
        <v>7324</v>
      </c>
      <c r="AB1615" s="97">
        <v>46234</v>
      </c>
      <c r="AC1615" s="6" t="s">
        <v>7429</v>
      </c>
    </row>
    <row r="1616" spans="27:29" x14ac:dyDescent="0.3">
      <c r="AA1616" t="s">
        <v>7327</v>
      </c>
      <c r="AB1616" s="97">
        <v>46234</v>
      </c>
      <c r="AC1616" s="6" t="s">
        <v>7429</v>
      </c>
    </row>
    <row r="1617" spans="27:29" x14ac:dyDescent="0.3">
      <c r="AA1617" t="s">
        <v>7330</v>
      </c>
      <c r="AB1617" s="97">
        <v>46234</v>
      </c>
      <c r="AC1617" s="6" t="s">
        <v>7429</v>
      </c>
    </row>
    <row r="1618" spans="27:29" x14ac:dyDescent="0.3">
      <c r="AA1618" t="s">
        <v>7333</v>
      </c>
      <c r="AB1618" s="97">
        <v>46234</v>
      </c>
      <c r="AC1618" s="6" t="s">
        <v>7429</v>
      </c>
    </row>
    <row r="1619" spans="27:29" x14ac:dyDescent="0.3">
      <c r="AA1619" t="s">
        <v>7336</v>
      </c>
      <c r="AB1619" s="97">
        <v>46234</v>
      </c>
      <c r="AC1619" s="6" t="s">
        <v>7429</v>
      </c>
    </row>
    <row r="1620" spans="27:29" x14ac:dyDescent="0.3">
      <c r="AA1620" t="s">
        <v>7339</v>
      </c>
      <c r="AB1620" s="97">
        <v>46234</v>
      </c>
      <c r="AC1620" s="6" t="s">
        <v>7429</v>
      </c>
    </row>
    <row r="1621" spans="27:29" x14ac:dyDescent="0.3">
      <c r="AA1621" t="s">
        <v>7342</v>
      </c>
      <c r="AB1621" s="97">
        <v>46234</v>
      </c>
      <c r="AC1621" s="6" t="s">
        <v>7429</v>
      </c>
    </row>
    <row r="1622" spans="27:29" x14ac:dyDescent="0.3">
      <c r="AA1622" t="s">
        <v>6702</v>
      </c>
      <c r="AB1622" s="97">
        <v>46234</v>
      </c>
      <c r="AC1622" s="6" t="s">
        <v>7429</v>
      </c>
    </row>
    <row r="1623" spans="27:29" x14ac:dyDescent="0.3">
      <c r="AA1623" t="s">
        <v>6703</v>
      </c>
      <c r="AB1623" s="97">
        <v>46234</v>
      </c>
      <c r="AC1623" s="6" t="s">
        <v>7429</v>
      </c>
    </row>
    <row r="1624" spans="27:29" x14ac:dyDescent="0.3">
      <c r="AA1624" t="s">
        <v>6704</v>
      </c>
      <c r="AB1624" s="97">
        <v>46234</v>
      </c>
      <c r="AC1624" s="6" t="s">
        <v>7429</v>
      </c>
    </row>
    <row r="1625" spans="27:29" x14ac:dyDescent="0.3">
      <c r="AA1625" t="s">
        <v>6705</v>
      </c>
      <c r="AB1625" s="97">
        <v>46234</v>
      </c>
      <c r="AC1625" s="6" t="s">
        <v>7429</v>
      </c>
    </row>
    <row r="1626" spans="27:29" x14ac:dyDescent="0.3">
      <c r="AA1626" t="s">
        <v>6706</v>
      </c>
      <c r="AB1626" s="97">
        <v>46234</v>
      </c>
      <c r="AC1626" s="6" t="s">
        <v>7429</v>
      </c>
    </row>
    <row r="1627" spans="27:29" x14ac:dyDescent="0.3">
      <c r="AA1627" t="s">
        <v>6707</v>
      </c>
      <c r="AB1627" s="97">
        <v>46234</v>
      </c>
      <c r="AC1627" s="6" t="s">
        <v>7429</v>
      </c>
    </row>
    <row r="1628" spans="27:29" x14ac:dyDescent="0.3">
      <c r="AA1628" t="s">
        <v>6708</v>
      </c>
      <c r="AB1628" s="97">
        <v>46234</v>
      </c>
      <c r="AC1628" s="6" t="s">
        <v>7429</v>
      </c>
    </row>
    <row r="1629" spans="27:29" x14ac:dyDescent="0.3">
      <c r="AA1629" t="s">
        <v>6709</v>
      </c>
      <c r="AB1629" s="97">
        <v>46234</v>
      </c>
      <c r="AC1629" s="6" t="s">
        <v>7429</v>
      </c>
    </row>
    <row r="1630" spans="27:29" x14ac:dyDescent="0.3">
      <c r="AA1630" t="s">
        <v>6730</v>
      </c>
      <c r="AB1630" s="97">
        <v>46234</v>
      </c>
      <c r="AC1630" s="6" t="s">
        <v>7429</v>
      </c>
    </row>
    <row r="1631" spans="27:29" x14ac:dyDescent="0.3">
      <c r="AA1631" t="s">
        <v>6731</v>
      </c>
      <c r="AB1631" s="97">
        <v>46234</v>
      </c>
      <c r="AC1631" s="6" t="s">
        <v>7429</v>
      </c>
    </row>
    <row r="1632" spans="27:29" x14ac:dyDescent="0.3">
      <c r="AA1632" t="s">
        <v>6732</v>
      </c>
      <c r="AB1632" s="97">
        <v>46234</v>
      </c>
      <c r="AC1632" s="6" t="s">
        <v>7429</v>
      </c>
    </row>
    <row r="1633" spans="27:29" x14ac:dyDescent="0.3">
      <c r="AA1633" t="s">
        <v>6733</v>
      </c>
      <c r="AB1633" s="97">
        <v>46234</v>
      </c>
      <c r="AC1633" s="6" t="s">
        <v>7429</v>
      </c>
    </row>
    <row r="1634" spans="27:29" x14ac:dyDescent="0.3">
      <c r="AA1634" t="s">
        <v>7345</v>
      </c>
      <c r="AB1634" s="97">
        <v>46234</v>
      </c>
      <c r="AC1634" s="6" t="s">
        <v>7429</v>
      </c>
    </row>
    <row r="1635" spans="27:29" x14ac:dyDescent="0.3">
      <c r="AA1635" t="s">
        <v>7348</v>
      </c>
      <c r="AB1635" s="97">
        <v>46234</v>
      </c>
      <c r="AC1635" s="6" t="s">
        <v>7429</v>
      </c>
    </row>
    <row r="1636" spans="27:29" x14ac:dyDescent="0.3">
      <c r="AA1636" t="s">
        <v>7351</v>
      </c>
      <c r="AB1636" s="97">
        <v>46234</v>
      </c>
      <c r="AC1636" s="6" t="s">
        <v>7429</v>
      </c>
    </row>
    <row r="1637" spans="27:29" x14ac:dyDescent="0.3">
      <c r="AA1637" t="s">
        <v>7354</v>
      </c>
      <c r="AB1637" s="97">
        <v>46234</v>
      </c>
      <c r="AC1637" s="6" t="s">
        <v>7429</v>
      </c>
    </row>
    <row r="1638" spans="27:29" x14ac:dyDescent="0.3">
      <c r="AA1638" t="s">
        <v>7357</v>
      </c>
      <c r="AB1638" s="97">
        <v>46234</v>
      </c>
      <c r="AC1638" s="6" t="s">
        <v>7429</v>
      </c>
    </row>
    <row r="1639" spans="27:29" x14ac:dyDescent="0.3">
      <c r="AA1639" t="s">
        <v>7360</v>
      </c>
      <c r="AB1639" s="97">
        <v>46234</v>
      </c>
      <c r="AC1639" s="6" t="s">
        <v>7429</v>
      </c>
    </row>
    <row r="1640" spans="27:29" x14ac:dyDescent="0.3">
      <c r="AA1640" t="s">
        <v>7363</v>
      </c>
      <c r="AB1640" s="97">
        <v>46234</v>
      </c>
      <c r="AC1640" s="6" t="s">
        <v>7429</v>
      </c>
    </row>
    <row r="1641" spans="27:29" x14ac:dyDescent="0.3">
      <c r="AA1641" t="s">
        <v>7366</v>
      </c>
      <c r="AB1641" s="97">
        <v>46234</v>
      </c>
      <c r="AC1641" s="6" t="s">
        <v>7429</v>
      </c>
    </row>
    <row r="1642" spans="27:29" x14ac:dyDescent="0.3">
      <c r="AA1642" t="s">
        <v>7369</v>
      </c>
      <c r="AB1642" s="97">
        <v>46234</v>
      </c>
      <c r="AC1642" s="6" t="s">
        <v>7429</v>
      </c>
    </row>
    <row r="1643" spans="27:29" x14ac:dyDescent="0.3">
      <c r="AA1643" t="s">
        <v>7372</v>
      </c>
      <c r="AB1643" s="97">
        <v>46234</v>
      </c>
      <c r="AC1643" s="6" t="s">
        <v>7429</v>
      </c>
    </row>
    <row r="1644" spans="27:29" x14ac:dyDescent="0.3">
      <c r="AA1644" t="s">
        <v>7375</v>
      </c>
      <c r="AB1644" s="97">
        <v>46234</v>
      </c>
      <c r="AC1644" s="6" t="s">
        <v>7429</v>
      </c>
    </row>
    <row r="1645" spans="27:29" x14ac:dyDescent="0.3">
      <c r="AA1645" t="s">
        <v>7378</v>
      </c>
      <c r="AB1645" s="97">
        <v>46234</v>
      </c>
      <c r="AC1645" s="6" t="s">
        <v>7429</v>
      </c>
    </row>
    <row r="1646" spans="27:29" x14ac:dyDescent="0.3">
      <c r="AA1646" t="s">
        <v>7381</v>
      </c>
      <c r="AB1646" s="97">
        <v>46234</v>
      </c>
      <c r="AC1646" s="6" t="s">
        <v>7429</v>
      </c>
    </row>
    <row r="1647" spans="27:29" x14ac:dyDescent="0.3">
      <c r="AA1647" t="s">
        <v>7384</v>
      </c>
      <c r="AB1647" s="97">
        <v>46234</v>
      </c>
      <c r="AC1647" s="6" t="s">
        <v>7429</v>
      </c>
    </row>
    <row r="1648" spans="27:29" x14ac:dyDescent="0.3">
      <c r="AA1648" t="s">
        <v>7387</v>
      </c>
      <c r="AB1648" s="97">
        <v>46234</v>
      </c>
      <c r="AC1648" s="6" t="s">
        <v>7429</v>
      </c>
    </row>
    <row r="1649" spans="27:29" x14ac:dyDescent="0.3">
      <c r="AA1649" t="s">
        <v>7390</v>
      </c>
      <c r="AB1649" s="97">
        <v>46234</v>
      </c>
      <c r="AC1649" s="6" t="s">
        <v>7429</v>
      </c>
    </row>
    <row r="1650" spans="27:29" x14ac:dyDescent="0.3">
      <c r="AA1650" t="s">
        <v>7393</v>
      </c>
      <c r="AB1650" s="97">
        <v>46234</v>
      </c>
      <c r="AC1650" s="6" t="s">
        <v>7429</v>
      </c>
    </row>
    <row r="1651" spans="27:29" x14ac:dyDescent="0.3">
      <c r="AA1651" t="s">
        <v>7396</v>
      </c>
      <c r="AB1651" s="97">
        <v>46234</v>
      </c>
      <c r="AC1651" s="6" t="s">
        <v>7429</v>
      </c>
    </row>
    <row r="1652" spans="27:29" x14ac:dyDescent="0.3">
      <c r="AA1652" t="s">
        <v>7399</v>
      </c>
      <c r="AB1652" s="97">
        <v>46234</v>
      </c>
      <c r="AC1652" s="6" t="s">
        <v>7429</v>
      </c>
    </row>
    <row r="1653" spans="27:29" x14ac:dyDescent="0.3">
      <c r="AA1653" t="s">
        <v>7402</v>
      </c>
      <c r="AB1653" s="97">
        <v>46234</v>
      </c>
      <c r="AC1653" s="6" t="s">
        <v>7429</v>
      </c>
    </row>
    <row r="1654" spans="27:29" x14ac:dyDescent="0.3">
      <c r="AA1654" t="s">
        <v>7405</v>
      </c>
      <c r="AB1654" s="97">
        <v>46234</v>
      </c>
      <c r="AC1654" s="6" t="s">
        <v>7429</v>
      </c>
    </row>
    <row r="1655" spans="27:29" x14ac:dyDescent="0.3">
      <c r="AA1655" t="s">
        <v>7408</v>
      </c>
      <c r="AB1655" s="97">
        <v>46234</v>
      </c>
      <c r="AC1655" s="6" t="s">
        <v>7429</v>
      </c>
    </row>
    <row r="1656" spans="27:29" x14ac:dyDescent="0.3">
      <c r="AA1656" t="s">
        <v>7411</v>
      </c>
      <c r="AB1656" s="97">
        <v>46234</v>
      </c>
      <c r="AC1656" s="6" t="s">
        <v>7429</v>
      </c>
    </row>
    <row r="1657" spans="27:29" x14ac:dyDescent="0.3">
      <c r="AA1657" t="s">
        <v>7414</v>
      </c>
      <c r="AB1657" s="97">
        <v>46234</v>
      </c>
      <c r="AC1657" s="6" t="s">
        <v>7429</v>
      </c>
    </row>
    <row r="1658" spans="27:29" x14ac:dyDescent="0.3">
      <c r="AA1658" t="s">
        <v>7417</v>
      </c>
      <c r="AB1658" s="97">
        <v>46234</v>
      </c>
      <c r="AC1658" s="6" t="s">
        <v>7429</v>
      </c>
    </row>
    <row r="1659" spans="27:29" x14ac:dyDescent="0.3">
      <c r="AA1659" t="s">
        <v>6734</v>
      </c>
      <c r="AB1659" s="97">
        <v>46234</v>
      </c>
      <c r="AC1659" s="6" t="s">
        <v>7430</v>
      </c>
    </row>
    <row r="1660" spans="27:29" x14ac:dyDescent="0.3">
      <c r="AA1660" t="s">
        <v>6735</v>
      </c>
      <c r="AB1660" s="97">
        <v>46234</v>
      </c>
      <c r="AC1660" s="6" t="s">
        <v>7430</v>
      </c>
    </row>
    <row r="1661" spans="27:29" x14ac:dyDescent="0.3">
      <c r="AA1661" t="s">
        <v>6736</v>
      </c>
      <c r="AB1661" s="97">
        <v>46234</v>
      </c>
      <c r="AC1661" s="6" t="s">
        <v>7430</v>
      </c>
    </row>
    <row r="1662" spans="27:29" x14ac:dyDescent="0.3">
      <c r="AA1662" t="s">
        <v>6737</v>
      </c>
      <c r="AB1662" s="97">
        <v>46234</v>
      </c>
      <c r="AC1662" s="6" t="s">
        <v>7429</v>
      </c>
    </row>
    <row r="1663" spans="27:29" x14ac:dyDescent="0.3">
      <c r="AA1663" t="s">
        <v>6738</v>
      </c>
      <c r="AB1663" s="97">
        <v>46234</v>
      </c>
      <c r="AC1663" s="6" t="s">
        <v>7429</v>
      </c>
    </row>
    <row r="1664" spans="27:29" x14ac:dyDescent="0.3">
      <c r="AA1664" t="s">
        <v>6739</v>
      </c>
      <c r="AB1664" s="97">
        <v>46234</v>
      </c>
      <c r="AC1664" s="6" t="s">
        <v>7429</v>
      </c>
    </row>
  </sheetData>
  <autoFilter ref="AA1:AC1664" xr:uid="{1B7DE50B-6445-4875-8BF7-34DDDD4BFB83}"/>
  <mergeCells count="12">
    <mergeCell ref="I8:M8"/>
    <mergeCell ref="I4:M4"/>
    <mergeCell ref="A2:A3"/>
    <mergeCell ref="A1:G1"/>
    <mergeCell ref="E2:G2"/>
    <mergeCell ref="B2:D2"/>
    <mergeCell ref="I1:M1"/>
    <mergeCell ref="I2:I3"/>
    <mergeCell ref="J2:J3"/>
    <mergeCell ref="K2:K3"/>
    <mergeCell ref="L2:L3"/>
    <mergeCell ref="M2:M3"/>
  </mergeCells>
  <conditionalFormatting sqref="L5:L6">
    <cfRule type="dataBar" priority="13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{5847BAE3-52DE-48DB-B79D-0B42984A109E}</x14:id>
        </ext>
      </extLst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{A3ED55D5-2E30-42DA-AEE8-5E1981ED4087}</x14:id>
        </ext>
      </extLs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{19CF1875-98A8-440D-92B5-FC7C72393088}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{E5B407AE-811B-4AE9-A93A-DC575898CE97}</x14:id>
        </ext>
      </extLst>
    </cfRule>
  </conditionalFormatting>
  <conditionalFormatting sqref="L9:L11">
    <cfRule type="dataBar" priority="9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{C09B110B-D9AB-41D1-8DB3-AA67DEADDAAF}</x14:id>
        </ext>
      </extLst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{800CCA73-FA80-4B77-8561-33E2E0BBCC65}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{764112C6-E9D7-4F71-8090-3CC6A49C35C6}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{5B93F5AB-556E-443A-B59B-B90283FBCECB}</x14:id>
        </ext>
      </extLst>
    </cfRule>
  </conditionalFormatting>
  <conditionalFormatting sqref="M18:M19">
    <cfRule type="dataBar" priority="5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{02AE8488-643F-4455-AC99-39EDAEF75846}</x14:id>
        </ext>
      </extLst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{B4098FD5-0BAF-4DF5-A14E-4ED4C2971007}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{FD35A109-5FBB-4185-A7A3-978E1E7A746A}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{537A348A-73BF-4763-B47E-41715BAC841B}</x14:id>
        </ext>
      </extLst>
    </cfRule>
  </conditionalFormatting>
  <conditionalFormatting sqref="M23:M24">
    <cfRule type="dataBar" priority="1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{B5E5847B-81E2-4A14-834B-536971317D5B}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{9542E99B-6490-4119-8A8C-3A157F0AD0CC}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{62F95412-9F5C-44FF-B109-7FEB6A4E88F1}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{8501AAA2-DBFB-4BC0-B70B-BE0D7DA86A52}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47BAE3-52DE-48DB-B79D-0B42984A109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ED55D5-2E30-42DA-AEE8-5E1981ED40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9CF1875-98A8-440D-92B5-FC7C723930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B407AE-811B-4AE9-A93A-DC575898CE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L5:L6</xm:sqref>
        </x14:conditionalFormatting>
        <x14:conditionalFormatting xmlns:xm="http://schemas.microsoft.com/office/excel/2006/main">
          <x14:cfRule type="dataBar" id="{C09B110B-D9AB-41D1-8DB3-AA67DEADDAA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0CCA73-FA80-4B77-8561-33E2E0BBCC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4112C6-E9D7-4F71-8090-3CC6A49C35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93F5AB-556E-443A-B59B-B90283FBCE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L9:L11</xm:sqref>
        </x14:conditionalFormatting>
        <x14:conditionalFormatting xmlns:xm="http://schemas.microsoft.com/office/excel/2006/main">
          <x14:cfRule type="dataBar" id="{02AE8488-643F-4455-AC99-39EDAEF7584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4098FD5-0BAF-4DF5-A14E-4ED4C29710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35A109-5FBB-4185-A7A3-978E1E7A74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37A348A-73BF-4763-B47E-41715BAC8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M18:M19</xm:sqref>
        </x14:conditionalFormatting>
        <x14:conditionalFormatting xmlns:xm="http://schemas.microsoft.com/office/excel/2006/main">
          <x14:cfRule type="dataBar" id="{B5E5847B-81E2-4A14-834B-536971317D5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42E99B-6490-4119-8A8C-3A157F0AD0C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F95412-9F5C-44FF-B109-7FEB6A4E88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01AAA2-DBFB-4BC0-B70B-BE0D7DA86A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CHECKSHEET</vt:lpstr>
      <vt:lpstr>ITR SUMMARY</vt:lpstr>
      <vt:lpstr>DETAILED ITR LIST</vt:lpstr>
      <vt:lpstr>PRELIMINARY -MILESTONES</vt:lpstr>
      <vt:lpstr>MILESTONE &amp; DIS.</vt:lpstr>
      <vt:lpstr>1ST PRIORITY MANTRAC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</dc:creator>
  <cp:lastModifiedBy>Jabesteen Arun</cp:lastModifiedBy>
  <cp:lastPrinted>2025-10-08T07:04:26Z</cp:lastPrinted>
  <dcterms:created xsi:type="dcterms:W3CDTF">2025-08-14T04:27:41Z</dcterms:created>
  <dcterms:modified xsi:type="dcterms:W3CDTF">2026-07-04T04:30:49Z</dcterms:modified>
</cp:coreProperties>
</file>